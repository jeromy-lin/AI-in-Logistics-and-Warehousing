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romy\Desktop\"/>
    </mc:Choice>
  </mc:AlternateContent>
  <xr:revisionPtr revIDLastSave="0" documentId="13_ncr:1_{A01FF309-0897-47E6-A04E-492C6F265BBA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README_設計說明" sheetId="1" r:id="rId1"/>
    <sheet name="Customer_Master" sheetId="2" r:id="rId2"/>
    <sheet name="WMS_Package_Data" sheetId="3" r:id="rId3"/>
    <sheet name="Pricing_Rules" sheetId="4" r:id="rId4"/>
    <sheet name="Model_Features" sheetId="5" r:id="rId5"/>
    <sheet name="Model_Comparison" sheetId="6" r:id="rId6"/>
    <sheet name="Test_Predictions" sheetId="7" r:id="rId7"/>
    <sheet name="Quote_Simulator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8" l="1"/>
  <c r="B9" i="8" s="1"/>
  <c r="AI3608" i="3"/>
  <c r="AJ3608" i="3" s="1"/>
  <c r="AI3607" i="3"/>
  <c r="AJ3607" i="3" s="1"/>
  <c r="AI3606" i="3"/>
  <c r="AJ3606" i="3" s="1"/>
  <c r="AI3605" i="3"/>
  <c r="AJ3605" i="3" s="1"/>
  <c r="AI3604" i="3"/>
  <c r="AJ3604" i="3" s="1"/>
  <c r="AI3603" i="3"/>
  <c r="AJ3603" i="3" s="1"/>
  <c r="AJ3602" i="3"/>
  <c r="AI3602" i="3"/>
  <c r="AI3601" i="3"/>
  <c r="AJ3601" i="3" s="1"/>
  <c r="AI3600" i="3"/>
  <c r="AJ3600" i="3" s="1"/>
  <c r="AI3599" i="3"/>
  <c r="AJ3599" i="3" s="1"/>
  <c r="AJ3598" i="3"/>
  <c r="AI3598" i="3"/>
  <c r="AI3597" i="3"/>
  <c r="AJ3597" i="3" s="1"/>
  <c r="AI3596" i="3"/>
  <c r="AJ3596" i="3" s="1"/>
  <c r="AI3595" i="3"/>
  <c r="AJ3595" i="3" s="1"/>
  <c r="AJ3594" i="3"/>
  <c r="AI3594" i="3"/>
  <c r="AI3593" i="3"/>
  <c r="AJ3593" i="3" s="1"/>
  <c r="AI3592" i="3"/>
  <c r="AJ3592" i="3" s="1"/>
  <c r="AI3591" i="3"/>
  <c r="AJ3591" i="3" s="1"/>
  <c r="AJ3590" i="3"/>
  <c r="AI3590" i="3"/>
  <c r="AI3589" i="3"/>
  <c r="AJ3589" i="3" s="1"/>
  <c r="AI3588" i="3"/>
  <c r="AJ3588" i="3" s="1"/>
  <c r="AI3587" i="3"/>
  <c r="AJ3587" i="3" s="1"/>
  <c r="AJ3586" i="3"/>
  <c r="AI3586" i="3"/>
  <c r="AI3585" i="3"/>
  <c r="AJ3585" i="3" s="1"/>
  <c r="AI3584" i="3"/>
  <c r="AJ3584" i="3" s="1"/>
  <c r="AI3583" i="3"/>
  <c r="AJ3583" i="3" s="1"/>
  <c r="AJ3582" i="3"/>
  <c r="AI3582" i="3"/>
  <c r="AI3581" i="3"/>
  <c r="AJ3581" i="3" s="1"/>
  <c r="AI3580" i="3"/>
  <c r="AJ3580" i="3" s="1"/>
  <c r="AI3579" i="3"/>
  <c r="AJ3579" i="3" s="1"/>
  <c r="AJ3578" i="3"/>
  <c r="AI3578" i="3"/>
  <c r="AI3577" i="3"/>
  <c r="AJ3577" i="3" s="1"/>
  <c r="AI3576" i="3"/>
  <c r="AJ3576" i="3" s="1"/>
  <c r="AI3575" i="3"/>
  <c r="AJ3575" i="3" s="1"/>
  <c r="AJ3574" i="3"/>
  <c r="AI3574" i="3"/>
  <c r="AI3573" i="3"/>
  <c r="AJ3573" i="3" s="1"/>
  <c r="AI3572" i="3"/>
  <c r="AJ3572" i="3" s="1"/>
  <c r="AI3571" i="3"/>
  <c r="AJ3571" i="3" s="1"/>
  <c r="AJ3570" i="3"/>
  <c r="AI3570" i="3"/>
  <c r="AI3569" i="3"/>
  <c r="AJ3569" i="3" s="1"/>
  <c r="AI3568" i="3"/>
  <c r="AJ3568" i="3" s="1"/>
  <c r="AI3567" i="3"/>
  <c r="AJ3567" i="3" s="1"/>
  <c r="AJ3566" i="3"/>
  <c r="AI3566" i="3"/>
  <c r="AI3565" i="3"/>
  <c r="AJ3565" i="3" s="1"/>
  <c r="AI3564" i="3"/>
  <c r="AJ3564" i="3" s="1"/>
  <c r="AI3563" i="3"/>
  <c r="AJ3563" i="3" s="1"/>
  <c r="AJ3562" i="3"/>
  <c r="AI3562" i="3"/>
  <c r="AI3561" i="3"/>
  <c r="AJ3561" i="3" s="1"/>
  <c r="AI3560" i="3"/>
  <c r="AJ3560" i="3" s="1"/>
  <c r="AI3559" i="3"/>
  <c r="AJ3559" i="3" s="1"/>
  <c r="AJ3558" i="3"/>
  <c r="AI3558" i="3"/>
  <c r="AI3557" i="3"/>
  <c r="AJ3557" i="3" s="1"/>
  <c r="AI3556" i="3"/>
  <c r="AJ3556" i="3" s="1"/>
  <c r="AI3555" i="3"/>
  <c r="AJ3555" i="3" s="1"/>
  <c r="AJ3554" i="3"/>
  <c r="AI3554" i="3"/>
  <c r="AI3553" i="3"/>
  <c r="AJ3553" i="3" s="1"/>
  <c r="AI3552" i="3"/>
  <c r="AJ3552" i="3" s="1"/>
  <c r="AI3551" i="3"/>
  <c r="AJ3551" i="3" s="1"/>
  <c r="AJ3550" i="3"/>
  <c r="AI3550" i="3"/>
  <c r="AI3549" i="3"/>
  <c r="AJ3549" i="3" s="1"/>
  <c r="AI3548" i="3"/>
  <c r="AJ3548" i="3" s="1"/>
  <c r="AI3547" i="3"/>
  <c r="AJ3547" i="3" s="1"/>
  <c r="AJ3546" i="3"/>
  <c r="AI3546" i="3"/>
  <c r="AI3545" i="3"/>
  <c r="AJ3545" i="3" s="1"/>
  <c r="AI3544" i="3"/>
  <c r="AJ3544" i="3" s="1"/>
  <c r="AI3543" i="3"/>
  <c r="AJ3543" i="3" s="1"/>
  <c r="AJ3542" i="3"/>
  <c r="AI3542" i="3"/>
  <c r="AI3541" i="3"/>
  <c r="AJ3541" i="3" s="1"/>
  <c r="AI3540" i="3"/>
  <c r="AJ3540" i="3" s="1"/>
  <c r="AI3539" i="3"/>
  <c r="AJ3539" i="3" s="1"/>
  <c r="AJ3538" i="3"/>
  <c r="AI3538" i="3"/>
  <c r="AI3537" i="3"/>
  <c r="AJ3537" i="3" s="1"/>
  <c r="AI3536" i="3"/>
  <c r="AJ3536" i="3" s="1"/>
  <c r="AI3535" i="3"/>
  <c r="AJ3535" i="3" s="1"/>
  <c r="AJ3534" i="3"/>
  <c r="AI3534" i="3"/>
  <c r="AI3533" i="3"/>
  <c r="AJ3533" i="3" s="1"/>
  <c r="AI3532" i="3"/>
  <c r="AJ3532" i="3" s="1"/>
  <c r="AI3531" i="3"/>
  <c r="AJ3531" i="3" s="1"/>
  <c r="AJ3530" i="3"/>
  <c r="AI3530" i="3"/>
  <c r="AI3529" i="3"/>
  <c r="AJ3529" i="3" s="1"/>
  <c r="AI3528" i="3"/>
  <c r="AJ3528" i="3" s="1"/>
  <c r="AI3527" i="3"/>
  <c r="AJ3527" i="3" s="1"/>
  <c r="AJ3526" i="3"/>
  <c r="AI3526" i="3"/>
  <c r="AI3525" i="3"/>
  <c r="AJ3525" i="3" s="1"/>
  <c r="AI3524" i="3"/>
  <c r="AJ3524" i="3" s="1"/>
  <c r="AI3523" i="3"/>
  <c r="AJ3523" i="3" s="1"/>
  <c r="AJ3522" i="3"/>
  <c r="AI3522" i="3"/>
  <c r="AI3521" i="3"/>
  <c r="AJ3521" i="3" s="1"/>
  <c r="AI3520" i="3"/>
  <c r="AJ3520" i="3" s="1"/>
  <c r="AI3519" i="3"/>
  <c r="AJ3519" i="3" s="1"/>
  <c r="AJ3518" i="3"/>
  <c r="AI3518" i="3"/>
  <c r="AI3517" i="3"/>
  <c r="AJ3517" i="3" s="1"/>
  <c r="AI3516" i="3"/>
  <c r="AJ3516" i="3" s="1"/>
  <c r="AI3515" i="3"/>
  <c r="AJ3515" i="3" s="1"/>
  <c r="AJ3514" i="3"/>
  <c r="AI3514" i="3"/>
  <c r="AI3513" i="3"/>
  <c r="AJ3513" i="3" s="1"/>
  <c r="AI3512" i="3"/>
  <c r="AJ3512" i="3" s="1"/>
  <c r="AI3511" i="3"/>
  <c r="AJ3511" i="3" s="1"/>
  <c r="AJ3510" i="3"/>
  <c r="AI3510" i="3"/>
  <c r="AI3509" i="3"/>
  <c r="AJ3509" i="3" s="1"/>
  <c r="AI3508" i="3"/>
  <c r="AJ3508" i="3" s="1"/>
  <c r="AI3507" i="3"/>
  <c r="AJ3507" i="3" s="1"/>
  <c r="AJ3506" i="3"/>
  <c r="AI3506" i="3"/>
  <c r="AI3505" i="3"/>
  <c r="AJ3505" i="3" s="1"/>
  <c r="AI3504" i="3"/>
  <c r="AJ3504" i="3" s="1"/>
  <c r="AI3503" i="3"/>
  <c r="AJ3503" i="3" s="1"/>
  <c r="AJ3502" i="3"/>
  <c r="AI3502" i="3"/>
  <c r="AI3501" i="3"/>
  <c r="AJ3501" i="3" s="1"/>
  <c r="AI3500" i="3"/>
  <c r="AJ3500" i="3" s="1"/>
  <c r="AI3499" i="3"/>
  <c r="AJ3499" i="3" s="1"/>
  <c r="AJ3498" i="3"/>
  <c r="AI3498" i="3"/>
  <c r="AI3497" i="3"/>
  <c r="AJ3497" i="3" s="1"/>
  <c r="AI3496" i="3"/>
  <c r="AJ3496" i="3" s="1"/>
  <c r="AI3495" i="3"/>
  <c r="AJ3495" i="3" s="1"/>
  <c r="AJ3494" i="3"/>
  <c r="AI3494" i="3"/>
  <c r="AI3493" i="3"/>
  <c r="AJ3493" i="3" s="1"/>
  <c r="AI3492" i="3"/>
  <c r="AJ3492" i="3" s="1"/>
  <c r="AI3491" i="3"/>
  <c r="AJ3491" i="3" s="1"/>
  <c r="AJ3490" i="3"/>
  <c r="AI3490" i="3"/>
  <c r="AI3489" i="3"/>
  <c r="AJ3489" i="3" s="1"/>
  <c r="AI3488" i="3"/>
  <c r="AJ3488" i="3" s="1"/>
  <c r="AI3487" i="3"/>
  <c r="AJ3487" i="3" s="1"/>
  <c r="AJ3486" i="3"/>
  <c r="AI3486" i="3"/>
  <c r="AI3485" i="3"/>
  <c r="AJ3485" i="3" s="1"/>
  <c r="AI3484" i="3"/>
  <c r="AJ3484" i="3" s="1"/>
  <c r="AI3483" i="3"/>
  <c r="AJ3483" i="3" s="1"/>
  <c r="AJ3482" i="3"/>
  <c r="AI3482" i="3"/>
  <c r="AI3481" i="3"/>
  <c r="AJ3481" i="3" s="1"/>
  <c r="AI3480" i="3"/>
  <c r="AJ3480" i="3" s="1"/>
  <c r="AI3479" i="3"/>
  <c r="AJ3479" i="3" s="1"/>
  <c r="AJ3478" i="3"/>
  <c r="AI3478" i="3"/>
  <c r="AI3477" i="3"/>
  <c r="AJ3477" i="3" s="1"/>
  <c r="AI3476" i="3"/>
  <c r="AJ3476" i="3" s="1"/>
  <c r="AI3475" i="3"/>
  <c r="AJ3475" i="3" s="1"/>
  <c r="AJ3474" i="3"/>
  <c r="AI3474" i="3"/>
  <c r="AI3473" i="3"/>
  <c r="AJ3473" i="3" s="1"/>
  <c r="AI3472" i="3"/>
  <c r="AJ3472" i="3" s="1"/>
  <c r="AI3471" i="3"/>
  <c r="AJ3471" i="3" s="1"/>
  <c r="AJ3470" i="3"/>
  <c r="AI3470" i="3"/>
  <c r="AI3469" i="3"/>
  <c r="AJ3469" i="3" s="1"/>
  <c r="AI3468" i="3"/>
  <c r="AJ3468" i="3" s="1"/>
  <c r="AI3467" i="3"/>
  <c r="AJ3467" i="3" s="1"/>
  <c r="AJ3466" i="3"/>
  <c r="AI3466" i="3"/>
  <c r="AI3465" i="3"/>
  <c r="AJ3465" i="3" s="1"/>
  <c r="AI3464" i="3"/>
  <c r="AJ3464" i="3" s="1"/>
  <c r="AI3463" i="3"/>
  <c r="AJ3463" i="3" s="1"/>
  <c r="AJ3462" i="3"/>
  <c r="AI3462" i="3"/>
  <c r="AI3461" i="3"/>
  <c r="AJ3461" i="3" s="1"/>
  <c r="AI3460" i="3"/>
  <c r="AJ3460" i="3" s="1"/>
  <c r="AI3459" i="3"/>
  <c r="AJ3459" i="3" s="1"/>
  <c r="AJ3458" i="3"/>
  <c r="AI3458" i="3"/>
  <c r="AI3457" i="3"/>
  <c r="AJ3457" i="3" s="1"/>
  <c r="AI3456" i="3"/>
  <c r="AJ3456" i="3" s="1"/>
  <c r="AI3455" i="3"/>
  <c r="AJ3455" i="3" s="1"/>
  <c r="AJ3454" i="3"/>
  <c r="AI3454" i="3"/>
  <c r="AI3453" i="3"/>
  <c r="AJ3453" i="3" s="1"/>
  <c r="AI3452" i="3"/>
  <c r="AJ3452" i="3" s="1"/>
  <c r="AI3451" i="3"/>
  <c r="AJ3451" i="3" s="1"/>
  <c r="AJ3450" i="3"/>
  <c r="AI3450" i="3"/>
  <c r="AI3449" i="3"/>
  <c r="AJ3449" i="3" s="1"/>
  <c r="AI3448" i="3"/>
  <c r="AJ3448" i="3" s="1"/>
  <c r="AI3447" i="3"/>
  <c r="AJ3447" i="3" s="1"/>
  <c r="AJ3446" i="3"/>
  <c r="AI3446" i="3"/>
  <c r="AI3445" i="3"/>
  <c r="AJ3445" i="3" s="1"/>
  <c r="AI3444" i="3"/>
  <c r="AJ3444" i="3" s="1"/>
  <c r="AI3443" i="3"/>
  <c r="AJ3443" i="3" s="1"/>
  <c r="AJ3442" i="3"/>
  <c r="AI3442" i="3"/>
  <c r="AI3441" i="3"/>
  <c r="AJ3441" i="3" s="1"/>
  <c r="AI3440" i="3"/>
  <c r="AJ3440" i="3" s="1"/>
  <c r="AI3439" i="3"/>
  <c r="AJ3439" i="3" s="1"/>
  <c r="AJ3438" i="3"/>
  <c r="AI3438" i="3"/>
  <c r="AI3437" i="3"/>
  <c r="AJ3437" i="3" s="1"/>
  <c r="AI3436" i="3"/>
  <c r="AJ3436" i="3" s="1"/>
  <c r="AI3435" i="3"/>
  <c r="AJ3435" i="3" s="1"/>
  <c r="AJ3434" i="3"/>
  <c r="AI3434" i="3"/>
  <c r="AI3433" i="3"/>
  <c r="AJ3433" i="3" s="1"/>
  <c r="AI3432" i="3"/>
  <c r="AJ3432" i="3" s="1"/>
  <c r="AI3431" i="3"/>
  <c r="AJ3431" i="3" s="1"/>
  <c r="AJ3430" i="3"/>
  <c r="AI3430" i="3"/>
  <c r="AI3429" i="3"/>
  <c r="AJ3429" i="3" s="1"/>
  <c r="AI3428" i="3"/>
  <c r="AJ3428" i="3" s="1"/>
  <c r="AI3427" i="3"/>
  <c r="AJ3427" i="3" s="1"/>
  <c r="AJ3426" i="3"/>
  <c r="AI3426" i="3"/>
  <c r="AI3425" i="3"/>
  <c r="AJ3425" i="3" s="1"/>
  <c r="AI3424" i="3"/>
  <c r="AJ3424" i="3" s="1"/>
  <c r="AI3423" i="3"/>
  <c r="AJ3423" i="3" s="1"/>
  <c r="AJ3422" i="3"/>
  <c r="AI3422" i="3"/>
  <c r="AI3421" i="3"/>
  <c r="AJ3421" i="3" s="1"/>
  <c r="AI3420" i="3"/>
  <c r="AJ3420" i="3" s="1"/>
  <c r="AI3419" i="3"/>
  <c r="AJ3419" i="3" s="1"/>
  <c r="AJ3418" i="3"/>
  <c r="AI3418" i="3"/>
  <c r="AI3417" i="3"/>
  <c r="AJ3417" i="3" s="1"/>
  <c r="AI3416" i="3"/>
  <c r="AJ3416" i="3" s="1"/>
  <c r="AI3415" i="3"/>
  <c r="AJ3415" i="3" s="1"/>
  <c r="AI3414" i="3"/>
  <c r="AJ3414" i="3" s="1"/>
  <c r="AI3413" i="3"/>
  <c r="AJ3413" i="3" s="1"/>
  <c r="AI3412" i="3"/>
  <c r="AJ3412" i="3" s="1"/>
  <c r="AI3411" i="3"/>
  <c r="AJ3411" i="3" s="1"/>
  <c r="AI3410" i="3"/>
  <c r="AJ3410" i="3" s="1"/>
  <c r="AI3409" i="3"/>
  <c r="AJ3409" i="3" s="1"/>
  <c r="AI3408" i="3"/>
  <c r="AJ3408" i="3" s="1"/>
  <c r="AI3407" i="3"/>
  <c r="AJ3407" i="3" s="1"/>
  <c r="AJ3406" i="3"/>
  <c r="AI3406" i="3"/>
  <c r="AI3405" i="3"/>
  <c r="AJ3405" i="3" s="1"/>
  <c r="AI3404" i="3"/>
  <c r="AJ3404" i="3" s="1"/>
  <c r="AI3403" i="3"/>
  <c r="AJ3403" i="3" s="1"/>
  <c r="AJ3402" i="3"/>
  <c r="AI3402" i="3"/>
  <c r="AI3401" i="3"/>
  <c r="AJ3401" i="3" s="1"/>
  <c r="AI3400" i="3"/>
  <c r="AJ3400" i="3" s="1"/>
  <c r="AI3399" i="3"/>
  <c r="AJ3399" i="3" s="1"/>
  <c r="AJ3398" i="3"/>
  <c r="AI3398" i="3"/>
  <c r="AI3397" i="3"/>
  <c r="AJ3397" i="3" s="1"/>
  <c r="AI3396" i="3"/>
  <c r="AJ3396" i="3" s="1"/>
  <c r="AI3395" i="3"/>
  <c r="AJ3395" i="3" s="1"/>
  <c r="AJ3394" i="3"/>
  <c r="AI3394" i="3"/>
  <c r="AI3393" i="3"/>
  <c r="AJ3393" i="3" s="1"/>
  <c r="AI3392" i="3"/>
  <c r="AJ3392" i="3" s="1"/>
  <c r="AI3391" i="3"/>
  <c r="AJ3391" i="3" s="1"/>
  <c r="AI3390" i="3"/>
  <c r="AJ3390" i="3" s="1"/>
  <c r="AI3389" i="3"/>
  <c r="AJ3389" i="3" s="1"/>
  <c r="AI3388" i="3"/>
  <c r="AJ3388" i="3" s="1"/>
  <c r="AI3387" i="3"/>
  <c r="AJ3387" i="3" s="1"/>
  <c r="AI3386" i="3"/>
  <c r="AJ3386" i="3" s="1"/>
  <c r="AI3385" i="3"/>
  <c r="AJ3385" i="3" s="1"/>
  <c r="AI3384" i="3"/>
  <c r="AJ3384" i="3" s="1"/>
  <c r="AI3383" i="3"/>
  <c r="AJ3383" i="3" s="1"/>
  <c r="AI3382" i="3"/>
  <c r="AJ3382" i="3" s="1"/>
  <c r="AI3381" i="3"/>
  <c r="AJ3381" i="3" s="1"/>
  <c r="AI3380" i="3"/>
  <c r="AJ3380" i="3" s="1"/>
  <c r="AI3379" i="3"/>
  <c r="AJ3379" i="3" s="1"/>
  <c r="AI3378" i="3"/>
  <c r="AJ3378" i="3" s="1"/>
  <c r="AI3377" i="3"/>
  <c r="AJ3377" i="3" s="1"/>
  <c r="AI3376" i="3"/>
  <c r="AJ3376" i="3" s="1"/>
  <c r="AI3375" i="3"/>
  <c r="AJ3375" i="3" s="1"/>
  <c r="AJ3374" i="3"/>
  <c r="AI3374" i="3"/>
  <c r="AI3373" i="3"/>
  <c r="AJ3373" i="3" s="1"/>
  <c r="AI3372" i="3"/>
  <c r="AJ3372" i="3" s="1"/>
  <c r="AI3371" i="3"/>
  <c r="AJ3371" i="3" s="1"/>
  <c r="AJ3370" i="3"/>
  <c r="AI3370" i="3"/>
  <c r="AI3369" i="3"/>
  <c r="AJ3369" i="3" s="1"/>
  <c r="AI3368" i="3"/>
  <c r="AJ3368" i="3" s="1"/>
  <c r="AI3367" i="3"/>
  <c r="AJ3367" i="3" s="1"/>
  <c r="AJ3366" i="3"/>
  <c r="AI3366" i="3"/>
  <c r="AI3365" i="3"/>
  <c r="AJ3365" i="3" s="1"/>
  <c r="AI3364" i="3"/>
  <c r="AJ3364" i="3" s="1"/>
  <c r="AI3363" i="3"/>
  <c r="AJ3363" i="3" s="1"/>
  <c r="AJ3362" i="3"/>
  <c r="AI3362" i="3"/>
  <c r="AI3361" i="3"/>
  <c r="AJ3361" i="3" s="1"/>
  <c r="AI3360" i="3"/>
  <c r="AJ3360" i="3" s="1"/>
  <c r="AI3359" i="3"/>
  <c r="AJ3359" i="3" s="1"/>
  <c r="AI3358" i="3"/>
  <c r="AJ3358" i="3" s="1"/>
  <c r="AI3357" i="3"/>
  <c r="AJ3357" i="3" s="1"/>
  <c r="AI3356" i="3"/>
  <c r="AJ3356" i="3" s="1"/>
  <c r="AI3355" i="3"/>
  <c r="AJ3355" i="3" s="1"/>
  <c r="AI3354" i="3"/>
  <c r="AJ3354" i="3" s="1"/>
  <c r="AI3353" i="3"/>
  <c r="AJ3353" i="3" s="1"/>
  <c r="AI3352" i="3"/>
  <c r="AJ3352" i="3" s="1"/>
  <c r="AI3351" i="3"/>
  <c r="AJ3351" i="3" s="1"/>
  <c r="AI3350" i="3"/>
  <c r="AJ3350" i="3" s="1"/>
  <c r="AI3349" i="3"/>
  <c r="AJ3349" i="3" s="1"/>
  <c r="AI3348" i="3"/>
  <c r="AJ3348" i="3" s="1"/>
  <c r="AI3347" i="3"/>
  <c r="AJ3347" i="3" s="1"/>
  <c r="AI3346" i="3"/>
  <c r="AJ3346" i="3" s="1"/>
  <c r="AI3345" i="3"/>
  <c r="AJ3345" i="3" s="1"/>
  <c r="AI3344" i="3"/>
  <c r="AJ3344" i="3" s="1"/>
  <c r="AI3343" i="3"/>
  <c r="AJ3343" i="3" s="1"/>
  <c r="AJ3342" i="3"/>
  <c r="AI3342" i="3"/>
  <c r="AI3341" i="3"/>
  <c r="AJ3341" i="3" s="1"/>
  <c r="AI3340" i="3"/>
  <c r="AJ3340" i="3" s="1"/>
  <c r="AI3339" i="3"/>
  <c r="AJ3339" i="3" s="1"/>
  <c r="AJ3338" i="3"/>
  <c r="AI3338" i="3"/>
  <c r="AI3337" i="3"/>
  <c r="AJ3337" i="3" s="1"/>
  <c r="AI3336" i="3"/>
  <c r="AJ3336" i="3" s="1"/>
  <c r="AI3335" i="3"/>
  <c r="AJ3335" i="3" s="1"/>
  <c r="AJ3334" i="3"/>
  <c r="AI3334" i="3"/>
  <c r="AI3333" i="3"/>
  <c r="AJ3333" i="3" s="1"/>
  <c r="AI3332" i="3"/>
  <c r="AJ3332" i="3" s="1"/>
  <c r="AI3331" i="3"/>
  <c r="AJ3331" i="3" s="1"/>
  <c r="AJ3330" i="3"/>
  <c r="AI3330" i="3"/>
  <c r="AI3329" i="3"/>
  <c r="AJ3329" i="3" s="1"/>
  <c r="AI3328" i="3"/>
  <c r="AJ3328" i="3" s="1"/>
  <c r="AI3327" i="3"/>
  <c r="AJ3327" i="3" s="1"/>
  <c r="AI3326" i="3"/>
  <c r="AJ3326" i="3" s="1"/>
  <c r="AI3325" i="3"/>
  <c r="AJ3325" i="3" s="1"/>
  <c r="AI3324" i="3"/>
  <c r="AJ3324" i="3" s="1"/>
  <c r="AI3323" i="3"/>
  <c r="AJ3323" i="3" s="1"/>
  <c r="AI3322" i="3"/>
  <c r="AJ3322" i="3" s="1"/>
  <c r="AI3321" i="3"/>
  <c r="AJ3321" i="3" s="1"/>
  <c r="AI3320" i="3"/>
  <c r="AJ3320" i="3" s="1"/>
  <c r="AI3319" i="3"/>
  <c r="AJ3319" i="3" s="1"/>
  <c r="AI3318" i="3"/>
  <c r="AJ3318" i="3" s="1"/>
  <c r="AI3317" i="3"/>
  <c r="AJ3317" i="3" s="1"/>
  <c r="AI3316" i="3"/>
  <c r="AJ3316" i="3" s="1"/>
  <c r="AI3315" i="3"/>
  <c r="AJ3315" i="3" s="1"/>
  <c r="AI3314" i="3"/>
  <c r="AJ3314" i="3" s="1"/>
  <c r="AI3313" i="3"/>
  <c r="AJ3313" i="3" s="1"/>
  <c r="AI3312" i="3"/>
  <c r="AJ3312" i="3" s="1"/>
  <c r="AI3311" i="3"/>
  <c r="AJ3311" i="3" s="1"/>
  <c r="AJ3310" i="3"/>
  <c r="AI3310" i="3"/>
  <c r="AI3309" i="3"/>
  <c r="AJ3309" i="3" s="1"/>
  <c r="AI3308" i="3"/>
  <c r="AJ3308" i="3" s="1"/>
  <c r="AI3307" i="3"/>
  <c r="AJ3307" i="3" s="1"/>
  <c r="AJ3306" i="3"/>
  <c r="AI3306" i="3"/>
  <c r="AI3305" i="3"/>
  <c r="AJ3305" i="3" s="1"/>
  <c r="AI3304" i="3"/>
  <c r="AJ3304" i="3" s="1"/>
  <c r="AI3303" i="3"/>
  <c r="AJ3303" i="3" s="1"/>
  <c r="AJ3302" i="3"/>
  <c r="AI3302" i="3"/>
  <c r="AI3301" i="3"/>
  <c r="AJ3301" i="3" s="1"/>
  <c r="AI3300" i="3"/>
  <c r="AJ3300" i="3" s="1"/>
  <c r="AI3299" i="3"/>
  <c r="AJ3299" i="3" s="1"/>
  <c r="AJ3298" i="3"/>
  <c r="AI3298" i="3"/>
  <c r="AI3297" i="3"/>
  <c r="AJ3297" i="3" s="1"/>
  <c r="AI3296" i="3"/>
  <c r="AJ3296" i="3" s="1"/>
  <c r="AI3295" i="3"/>
  <c r="AJ3295" i="3" s="1"/>
  <c r="AI3294" i="3"/>
  <c r="AJ3294" i="3" s="1"/>
  <c r="AI3293" i="3"/>
  <c r="AJ3293" i="3" s="1"/>
  <c r="AI3292" i="3"/>
  <c r="AJ3292" i="3" s="1"/>
  <c r="AI3291" i="3"/>
  <c r="AJ3291" i="3" s="1"/>
  <c r="AI3290" i="3"/>
  <c r="AJ3290" i="3" s="1"/>
  <c r="AI3289" i="3"/>
  <c r="AJ3289" i="3" s="1"/>
  <c r="AI3288" i="3"/>
  <c r="AJ3288" i="3" s="1"/>
  <c r="AI3287" i="3"/>
  <c r="AJ3287" i="3" s="1"/>
  <c r="AI3286" i="3"/>
  <c r="AJ3286" i="3" s="1"/>
  <c r="AJ3285" i="3"/>
  <c r="AI3285" i="3"/>
  <c r="AI3284" i="3"/>
  <c r="AJ3284" i="3" s="1"/>
  <c r="AI3283" i="3"/>
  <c r="AJ3283" i="3" s="1"/>
  <c r="AI3282" i="3"/>
  <c r="AJ3282" i="3" s="1"/>
  <c r="AI3281" i="3"/>
  <c r="AJ3281" i="3" s="1"/>
  <c r="AI3280" i="3"/>
  <c r="AJ3280" i="3" s="1"/>
  <c r="AI3279" i="3"/>
  <c r="AJ3279" i="3" s="1"/>
  <c r="AJ3278" i="3"/>
  <c r="AI3278" i="3"/>
  <c r="AI3277" i="3"/>
  <c r="AJ3277" i="3" s="1"/>
  <c r="AI3276" i="3"/>
  <c r="AJ3276" i="3" s="1"/>
  <c r="AJ3275" i="3"/>
  <c r="AI3275" i="3"/>
  <c r="AI3274" i="3"/>
  <c r="AJ3274" i="3" s="1"/>
  <c r="AI3273" i="3"/>
  <c r="AJ3273" i="3" s="1"/>
  <c r="AI3272" i="3"/>
  <c r="AJ3272" i="3" s="1"/>
  <c r="AI3271" i="3"/>
  <c r="AJ3271" i="3" s="1"/>
  <c r="AJ3270" i="3"/>
  <c r="AI3270" i="3"/>
  <c r="AJ3269" i="3"/>
  <c r="AI3269" i="3"/>
  <c r="AI3268" i="3"/>
  <c r="AJ3268" i="3" s="1"/>
  <c r="AI3267" i="3"/>
  <c r="AJ3267" i="3" s="1"/>
  <c r="AJ3266" i="3"/>
  <c r="AI3266" i="3"/>
  <c r="AJ3265" i="3"/>
  <c r="AI3265" i="3"/>
  <c r="AI3264" i="3"/>
  <c r="AJ3264" i="3" s="1"/>
  <c r="AI3263" i="3"/>
  <c r="AJ3263" i="3" s="1"/>
  <c r="AJ3262" i="3"/>
  <c r="AI3262" i="3"/>
  <c r="AJ3261" i="3"/>
  <c r="AI3261" i="3"/>
  <c r="AI3260" i="3"/>
  <c r="AJ3260" i="3" s="1"/>
  <c r="AI3259" i="3"/>
  <c r="AJ3259" i="3" s="1"/>
  <c r="AJ3258" i="3"/>
  <c r="AI3258" i="3"/>
  <c r="AJ3257" i="3"/>
  <c r="AI3257" i="3"/>
  <c r="AI3256" i="3"/>
  <c r="AJ3256" i="3" s="1"/>
  <c r="AI3255" i="3"/>
  <c r="AJ3255" i="3" s="1"/>
  <c r="AJ3254" i="3"/>
  <c r="AI3254" i="3"/>
  <c r="AJ3253" i="3"/>
  <c r="AI3253" i="3"/>
  <c r="AI3252" i="3"/>
  <c r="AJ3252" i="3" s="1"/>
  <c r="AI3251" i="3"/>
  <c r="AJ3251" i="3" s="1"/>
  <c r="AJ3250" i="3"/>
  <c r="AI3250" i="3"/>
  <c r="AJ3249" i="3"/>
  <c r="AI3249" i="3"/>
  <c r="AI3248" i="3"/>
  <c r="AJ3248" i="3" s="1"/>
  <c r="AI3247" i="3"/>
  <c r="AJ3247" i="3" s="1"/>
  <c r="AJ3246" i="3"/>
  <c r="AI3246" i="3"/>
  <c r="AJ3245" i="3"/>
  <c r="AI3245" i="3"/>
  <c r="AI3244" i="3"/>
  <c r="AJ3244" i="3" s="1"/>
  <c r="AI3243" i="3"/>
  <c r="AJ3243" i="3" s="1"/>
  <c r="AJ3242" i="3"/>
  <c r="AI3242" i="3"/>
  <c r="AJ3241" i="3"/>
  <c r="AI3241" i="3"/>
  <c r="AI3240" i="3"/>
  <c r="AJ3240" i="3" s="1"/>
  <c r="AI3239" i="3"/>
  <c r="AJ3239" i="3" s="1"/>
  <c r="AJ3238" i="3"/>
  <c r="AI3238" i="3"/>
  <c r="AJ3237" i="3"/>
  <c r="AI3237" i="3"/>
  <c r="AI3236" i="3"/>
  <c r="AJ3236" i="3" s="1"/>
  <c r="AI3235" i="3"/>
  <c r="AJ3235" i="3" s="1"/>
  <c r="AJ3234" i="3"/>
  <c r="AI3234" i="3"/>
  <c r="AJ3233" i="3"/>
  <c r="AI3233" i="3"/>
  <c r="AI3232" i="3"/>
  <c r="AJ3232" i="3" s="1"/>
  <c r="AI3231" i="3"/>
  <c r="AJ3231" i="3" s="1"/>
  <c r="AJ3230" i="3"/>
  <c r="AI3230" i="3"/>
  <c r="AJ3229" i="3"/>
  <c r="AI3229" i="3"/>
  <c r="AI3228" i="3"/>
  <c r="AJ3228" i="3" s="1"/>
  <c r="AI3227" i="3"/>
  <c r="AJ3227" i="3" s="1"/>
  <c r="AJ3226" i="3"/>
  <c r="AI3226" i="3"/>
  <c r="AJ3225" i="3"/>
  <c r="AI3225" i="3"/>
  <c r="AI3224" i="3"/>
  <c r="AJ3224" i="3" s="1"/>
  <c r="AI3223" i="3"/>
  <c r="AJ3223" i="3" s="1"/>
  <c r="AJ3222" i="3"/>
  <c r="AI3222" i="3"/>
  <c r="AJ3221" i="3"/>
  <c r="AI3221" i="3"/>
  <c r="AI3220" i="3"/>
  <c r="AJ3220" i="3" s="1"/>
  <c r="AI3219" i="3"/>
  <c r="AJ3219" i="3" s="1"/>
  <c r="AJ3218" i="3"/>
  <c r="AI3218" i="3"/>
  <c r="AJ3217" i="3"/>
  <c r="AI3217" i="3"/>
  <c r="AI3216" i="3"/>
  <c r="AJ3216" i="3" s="1"/>
  <c r="AI3215" i="3"/>
  <c r="AJ3215" i="3" s="1"/>
  <c r="AJ3214" i="3"/>
  <c r="AI3214" i="3"/>
  <c r="AJ3213" i="3"/>
  <c r="AI3213" i="3"/>
  <c r="AI3212" i="3"/>
  <c r="AJ3212" i="3" s="1"/>
  <c r="AI3211" i="3"/>
  <c r="AJ3211" i="3" s="1"/>
  <c r="AJ3210" i="3"/>
  <c r="AI3210" i="3"/>
  <c r="AJ3209" i="3"/>
  <c r="AI3209" i="3"/>
  <c r="AI3208" i="3"/>
  <c r="AJ3208" i="3" s="1"/>
  <c r="AI3207" i="3"/>
  <c r="AJ3207" i="3" s="1"/>
  <c r="AJ3206" i="3"/>
  <c r="AI3206" i="3"/>
  <c r="AJ3205" i="3"/>
  <c r="AI3205" i="3"/>
  <c r="AI3204" i="3"/>
  <c r="AJ3204" i="3" s="1"/>
  <c r="AI3203" i="3"/>
  <c r="AJ3203" i="3" s="1"/>
  <c r="AJ3202" i="3"/>
  <c r="AI3202" i="3"/>
  <c r="AJ3201" i="3"/>
  <c r="AI3201" i="3"/>
  <c r="AI3200" i="3"/>
  <c r="AJ3200" i="3" s="1"/>
  <c r="AI3199" i="3"/>
  <c r="AJ3199" i="3" s="1"/>
  <c r="AI3198" i="3"/>
  <c r="AJ3198" i="3" s="1"/>
  <c r="AJ3197" i="3"/>
  <c r="AI3197" i="3"/>
  <c r="AI3196" i="3"/>
  <c r="AJ3196" i="3" s="1"/>
  <c r="AI3195" i="3"/>
  <c r="AJ3195" i="3" s="1"/>
  <c r="AI3194" i="3"/>
  <c r="AJ3194" i="3" s="1"/>
  <c r="AJ3193" i="3"/>
  <c r="AI3193" i="3"/>
  <c r="AI3192" i="3"/>
  <c r="AJ3192" i="3" s="1"/>
  <c r="AI3191" i="3"/>
  <c r="AJ3191" i="3" s="1"/>
  <c r="AI3190" i="3"/>
  <c r="AJ3190" i="3" s="1"/>
  <c r="AJ3189" i="3"/>
  <c r="AI3189" i="3"/>
  <c r="AI3188" i="3"/>
  <c r="AJ3188" i="3" s="1"/>
  <c r="AI3187" i="3"/>
  <c r="AJ3187" i="3" s="1"/>
  <c r="AI3186" i="3"/>
  <c r="AJ3186" i="3" s="1"/>
  <c r="AJ3185" i="3"/>
  <c r="AI3185" i="3"/>
  <c r="AI3184" i="3"/>
  <c r="AJ3184" i="3" s="1"/>
  <c r="AI3183" i="3"/>
  <c r="AJ3183" i="3" s="1"/>
  <c r="AI3182" i="3"/>
  <c r="AJ3182" i="3" s="1"/>
  <c r="AJ3181" i="3"/>
  <c r="AI3181" i="3"/>
  <c r="AI3180" i="3"/>
  <c r="AJ3180" i="3" s="1"/>
  <c r="AI3179" i="3"/>
  <c r="AJ3179" i="3" s="1"/>
  <c r="AI3178" i="3"/>
  <c r="AJ3178" i="3" s="1"/>
  <c r="AJ3177" i="3"/>
  <c r="AI3177" i="3"/>
  <c r="AI3176" i="3"/>
  <c r="AJ3176" i="3" s="1"/>
  <c r="AI3175" i="3"/>
  <c r="AJ3175" i="3" s="1"/>
  <c r="AI3174" i="3"/>
  <c r="AJ3174" i="3" s="1"/>
  <c r="AJ3173" i="3"/>
  <c r="AI3173" i="3"/>
  <c r="AI3172" i="3"/>
  <c r="AJ3172" i="3" s="1"/>
  <c r="AI3171" i="3"/>
  <c r="AJ3171" i="3" s="1"/>
  <c r="AI3170" i="3"/>
  <c r="AJ3170" i="3" s="1"/>
  <c r="AJ3169" i="3"/>
  <c r="AI3169" i="3"/>
  <c r="AI3168" i="3"/>
  <c r="AJ3168" i="3" s="1"/>
  <c r="AI3167" i="3"/>
  <c r="AJ3167" i="3" s="1"/>
  <c r="AI3166" i="3"/>
  <c r="AJ3166" i="3" s="1"/>
  <c r="AJ3165" i="3"/>
  <c r="AI3165" i="3"/>
  <c r="AI3164" i="3"/>
  <c r="AJ3164" i="3" s="1"/>
  <c r="AI3163" i="3"/>
  <c r="AJ3163" i="3" s="1"/>
  <c r="AI3162" i="3"/>
  <c r="AJ3162" i="3" s="1"/>
  <c r="AJ3161" i="3"/>
  <c r="AI3161" i="3"/>
  <c r="AI3160" i="3"/>
  <c r="AJ3160" i="3" s="1"/>
  <c r="AI3159" i="3"/>
  <c r="AJ3159" i="3" s="1"/>
  <c r="AI3158" i="3"/>
  <c r="AJ3158" i="3" s="1"/>
  <c r="AJ3157" i="3"/>
  <c r="AI3157" i="3"/>
  <c r="AI3156" i="3"/>
  <c r="AJ3156" i="3" s="1"/>
  <c r="AI3155" i="3"/>
  <c r="AJ3155" i="3" s="1"/>
  <c r="AI3154" i="3"/>
  <c r="AJ3154" i="3" s="1"/>
  <c r="AJ3153" i="3"/>
  <c r="AI3153" i="3"/>
  <c r="AI3152" i="3"/>
  <c r="AJ3152" i="3" s="1"/>
  <c r="AI3151" i="3"/>
  <c r="AJ3151" i="3" s="1"/>
  <c r="AI3150" i="3"/>
  <c r="AJ3150" i="3" s="1"/>
  <c r="AJ3149" i="3"/>
  <c r="AI3149" i="3"/>
  <c r="AI3148" i="3"/>
  <c r="AJ3148" i="3" s="1"/>
  <c r="AI3147" i="3"/>
  <c r="AJ3147" i="3" s="1"/>
  <c r="AI3146" i="3"/>
  <c r="AJ3146" i="3" s="1"/>
  <c r="AJ3145" i="3"/>
  <c r="AI3145" i="3"/>
  <c r="AI3144" i="3"/>
  <c r="AJ3144" i="3" s="1"/>
  <c r="AI3143" i="3"/>
  <c r="AJ3143" i="3" s="1"/>
  <c r="AI3142" i="3"/>
  <c r="AJ3142" i="3" s="1"/>
  <c r="AJ3141" i="3"/>
  <c r="AI3141" i="3"/>
  <c r="AI3140" i="3"/>
  <c r="AJ3140" i="3" s="1"/>
  <c r="AI3139" i="3"/>
  <c r="AJ3139" i="3" s="1"/>
  <c r="AI3138" i="3"/>
  <c r="AJ3138" i="3" s="1"/>
  <c r="AJ3137" i="3"/>
  <c r="AI3137" i="3"/>
  <c r="AI3136" i="3"/>
  <c r="AJ3136" i="3" s="1"/>
  <c r="AI3135" i="3"/>
  <c r="AJ3135" i="3" s="1"/>
  <c r="AI3134" i="3"/>
  <c r="AJ3134" i="3" s="1"/>
  <c r="AJ3133" i="3"/>
  <c r="AI3133" i="3"/>
  <c r="AI3132" i="3"/>
  <c r="AJ3132" i="3" s="1"/>
  <c r="AI3131" i="3"/>
  <c r="AJ3131" i="3" s="1"/>
  <c r="AI3130" i="3"/>
  <c r="AJ3130" i="3" s="1"/>
  <c r="AJ3129" i="3"/>
  <c r="AI3129" i="3"/>
  <c r="AI3128" i="3"/>
  <c r="AJ3128" i="3" s="1"/>
  <c r="AI3127" i="3"/>
  <c r="AJ3127" i="3" s="1"/>
  <c r="AI3126" i="3"/>
  <c r="AJ3126" i="3" s="1"/>
  <c r="AJ3125" i="3"/>
  <c r="AI3125" i="3"/>
  <c r="AI3124" i="3"/>
  <c r="AJ3124" i="3" s="1"/>
  <c r="AI3123" i="3"/>
  <c r="AJ3123" i="3" s="1"/>
  <c r="AI3122" i="3"/>
  <c r="AJ3122" i="3" s="1"/>
  <c r="AJ3121" i="3"/>
  <c r="AI3121" i="3"/>
  <c r="AI3120" i="3"/>
  <c r="AJ3120" i="3" s="1"/>
  <c r="AI3119" i="3"/>
  <c r="AJ3119" i="3" s="1"/>
  <c r="AI3118" i="3"/>
  <c r="AJ3118" i="3" s="1"/>
  <c r="AJ3117" i="3"/>
  <c r="AI3117" i="3"/>
  <c r="AI3116" i="3"/>
  <c r="AJ3116" i="3" s="1"/>
  <c r="AI3115" i="3"/>
  <c r="AJ3115" i="3" s="1"/>
  <c r="AI3114" i="3"/>
  <c r="AJ3114" i="3" s="1"/>
  <c r="AJ3113" i="3"/>
  <c r="AI3113" i="3"/>
  <c r="AI3112" i="3"/>
  <c r="AJ3112" i="3" s="1"/>
  <c r="AI3111" i="3"/>
  <c r="AJ3111" i="3" s="1"/>
  <c r="AI3110" i="3"/>
  <c r="AJ3110" i="3" s="1"/>
  <c r="AJ3109" i="3"/>
  <c r="AI3109" i="3"/>
  <c r="AI3108" i="3"/>
  <c r="AJ3108" i="3" s="1"/>
  <c r="AI3107" i="3"/>
  <c r="AJ3107" i="3" s="1"/>
  <c r="AI3106" i="3"/>
  <c r="AJ3106" i="3" s="1"/>
  <c r="AJ3105" i="3"/>
  <c r="AI3105" i="3"/>
  <c r="AI3104" i="3"/>
  <c r="AJ3104" i="3" s="1"/>
  <c r="AI3103" i="3"/>
  <c r="AJ3103" i="3" s="1"/>
  <c r="AI3102" i="3"/>
  <c r="AJ3102" i="3" s="1"/>
  <c r="AJ3101" i="3"/>
  <c r="AI3101" i="3"/>
  <c r="AI3100" i="3"/>
  <c r="AJ3100" i="3" s="1"/>
  <c r="AI3099" i="3"/>
  <c r="AJ3099" i="3" s="1"/>
  <c r="AI3098" i="3"/>
  <c r="AJ3098" i="3" s="1"/>
  <c r="AJ3097" i="3"/>
  <c r="AI3097" i="3"/>
  <c r="AI3096" i="3"/>
  <c r="AJ3096" i="3" s="1"/>
  <c r="AI3095" i="3"/>
  <c r="AJ3095" i="3" s="1"/>
  <c r="AI3094" i="3"/>
  <c r="AJ3094" i="3" s="1"/>
  <c r="AJ3093" i="3"/>
  <c r="AI3093" i="3"/>
  <c r="AI3092" i="3"/>
  <c r="AJ3092" i="3" s="1"/>
  <c r="AI3091" i="3"/>
  <c r="AJ3091" i="3" s="1"/>
  <c r="AI3090" i="3"/>
  <c r="AJ3090" i="3" s="1"/>
  <c r="AJ3089" i="3"/>
  <c r="AI3089" i="3"/>
  <c r="AI3088" i="3"/>
  <c r="AJ3088" i="3" s="1"/>
  <c r="AI3087" i="3"/>
  <c r="AJ3087" i="3" s="1"/>
  <c r="AI3086" i="3"/>
  <c r="AJ3086" i="3" s="1"/>
  <c r="AJ3085" i="3"/>
  <c r="AI3085" i="3"/>
  <c r="AI3084" i="3"/>
  <c r="AJ3084" i="3" s="1"/>
  <c r="AI3083" i="3"/>
  <c r="AJ3083" i="3" s="1"/>
  <c r="AI3082" i="3"/>
  <c r="AJ3082" i="3" s="1"/>
  <c r="AJ3081" i="3"/>
  <c r="AI3081" i="3"/>
  <c r="AI3080" i="3"/>
  <c r="AJ3080" i="3" s="1"/>
  <c r="AI3079" i="3"/>
  <c r="AJ3079" i="3" s="1"/>
  <c r="AI3078" i="3"/>
  <c r="AJ3078" i="3" s="1"/>
  <c r="AJ3077" i="3"/>
  <c r="AI3077" i="3"/>
  <c r="AI3076" i="3"/>
  <c r="AJ3076" i="3" s="1"/>
  <c r="AI3075" i="3"/>
  <c r="AJ3075" i="3" s="1"/>
  <c r="AI3074" i="3"/>
  <c r="AJ3074" i="3" s="1"/>
  <c r="AJ3073" i="3"/>
  <c r="AI3073" i="3"/>
  <c r="AI3072" i="3"/>
  <c r="AJ3072" i="3" s="1"/>
  <c r="AI3071" i="3"/>
  <c r="AJ3071" i="3" s="1"/>
  <c r="AI3070" i="3"/>
  <c r="AJ3070" i="3" s="1"/>
  <c r="AJ3069" i="3"/>
  <c r="AI3069" i="3"/>
  <c r="AI3068" i="3"/>
  <c r="AJ3068" i="3" s="1"/>
  <c r="AI3067" i="3"/>
  <c r="AJ3067" i="3" s="1"/>
  <c r="AI3066" i="3"/>
  <c r="AJ3066" i="3" s="1"/>
  <c r="AJ3065" i="3"/>
  <c r="AI3065" i="3"/>
  <c r="AI3064" i="3"/>
  <c r="AJ3064" i="3" s="1"/>
  <c r="AI3063" i="3"/>
  <c r="AJ3063" i="3" s="1"/>
  <c r="AI3062" i="3"/>
  <c r="AJ3062" i="3" s="1"/>
  <c r="AJ3061" i="3"/>
  <c r="AI3061" i="3"/>
  <c r="AI3060" i="3"/>
  <c r="AJ3060" i="3" s="1"/>
  <c r="AI3059" i="3"/>
  <c r="AJ3059" i="3" s="1"/>
  <c r="AI3058" i="3"/>
  <c r="AJ3058" i="3" s="1"/>
  <c r="AJ3057" i="3"/>
  <c r="AI3057" i="3"/>
  <c r="AI3056" i="3"/>
  <c r="AJ3056" i="3" s="1"/>
  <c r="AI3055" i="3"/>
  <c r="AJ3055" i="3" s="1"/>
  <c r="AI3054" i="3"/>
  <c r="AJ3054" i="3" s="1"/>
  <c r="AJ3053" i="3"/>
  <c r="AI3053" i="3"/>
  <c r="AI3052" i="3"/>
  <c r="AJ3052" i="3" s="1"/>
  <c r="AI3051" i="3"/>
  <c r="AJ3051" i="3" s="1"/>
  <c r="AI3050" i="3"/>
  <c r="AJ3050" i="3" s="1"/>
  <c r="AJ3049" i="3"/>
  <c r="AI3049" i="3"/>
  <c r="AI3048" i="3"/>
  <c r="AJ3048" i="3" s="1"/>
  <c r="AI3047" i="3"/>
  <c r="AJ3047" i="3" s="1"/>
  <c r="AI3046" i="3"/>
  <c r="AJ3046" i="3" s="1"/>
  <c r="AJ3045" i="3"/>
  <c r="AI3045" i="3"/>
  <c r="AI3044" i="3"/>
  <c r="AJ3044" i="3" s="1"/>
  <c r="AI3043" i="3"/>
  <c r="AJ3043" i="3" s="1"/>
  <c r="AI3042" i="3"/>
  <c r="AJ3042" i="3" s="1"/>
  <c r="AJ3041" i="3"/>
  <c r="AI3041" i="3"/>
  <c r="AI3040" i="3"/>
  <c r="AJ3040" i="3" s="1"/>
  <c r="AI3039" i="3"/>
  <c r="AJ3039" i="3" s="1"/>
  <c r="AI3038" i="3"/>
  <c r="AJ3038" i="3" s="1"/>
  <c r="AJ3037" i="3"/>
  <c r="AI3037" i="3"/>
  <c r="AI3036" i="3"/>
  <c r="AJ3036" i="3" s="1"/>
  <c r="AI3035" i="3"/>
  <c r="AJ3035" i="3" s="1"/>
  <c r="AI3034" i="3"/>
  <c r="AJ3034" i="3" s="1"/>
  <c r="AJ3033" i="3"/>
  <c r="AI3033" i="3"/>
  <c r="AI3032" i="3"/>
  <c r="AJ3032" i="3" s="1"/>
  <c r="AI3031" i="3"/>
  <c r="AJ3031" i="3" s="1"/>
  <c r="AI3030" i="3"/>
  <c r="AJ3030" i="3" s="1"/>
  <c r="AI3029" i="3"/>
  <c r="AJ3029" i="3" s="1"/>
  <c r="AI3028" i="3"/>
  <c r="AJ3028" i="3" s="1"/>
  <c r="AI3027" i="3"/>
  <c r="AJ3027" i="3" s="1"/>
  <c r="AI3026" i="3"/>
  <c r="AJ3026" i="3" s="1"/>
  <c r="AJ3025" i="3"/>
  <c r="AI3025" i="3"/>
  <c r="AI3024" i="3"/>
  <c r="AJ3024" i="3" s="1"/>
  <c r="AI3023" i="3"/>
  <c r="AJ3023" i="3" s="1"/>
  <c r="AI3022" i="3"/>
  <c r="AJ3022" i="3" s="1"/>
  <c r="AJ3021" i="3"/>
  <c r="AI3021" i="3"/>
  <c r="AI3020" i="3"/>
  <c r="AJ3020" i="3" s="1"/>
  <c r="AI3019" i="3"/>
  <c r="AJ3019" i="3" s="1"/>
  <c r="AI3018" i="3"/>
  <c r="AJ3018" i="3" s="1"/>
  <c r="AJ3017" i="3"/>
  <c r="AI3017" i="3"/>
  <c r="AI3016" i="3"/>
  <c r="AJ3016" i="3" s="1"/>
  <c r="AI3015" i="3"/>
  <c r="AJ3015" i="3" s="1"/>
  <c r="AI3014" i="3"/>
  <c r="AJ3014" i="3" s="1"/>
  <c r="AI3013" i="3"/>
  <c r="AJ3013" i="3" s="1"/>
  <c r="AI3012" i="3"/>
  <c r="AJ3012" i="3" s="1"/>
  <c r="AI3011" i="3"/>
  <c r="AJ3011" i="3" s="1"/>
  <c r="AI3010" i="3"/>
  <c r="AJ3010" i="3" s="1"/>
  <c r="AI3009" i="3"/>
  <c r="AJ3009" i="3" s="1"/>
  <c r="AI3008" i="3"/>
  <c r="AJ3008" i="3" s="1"/>
  <c r="AI3007" i="3"/>
  <c r="AJ3007" i="3" s="1"/>
  <c r="AI3006" i="3"/>
  <c r="AJ3006" i="3" s="1"/>
  <c r="AI3005" i="3"/>
  <c r="AJ3005" i="3" s="1"/>
  <c r="AI3004" i="3"/>
  <c r="AJ3004" i="3" s="1"/>
  <c r="AI3003" i="3"/>
  <c r="AJ3003" i="3" s="1"/>
  <c r="AI3002" i="3"/>
  <c r="AJ3002" i="3" s="1"/>
  <c r="AI3001" i="3"/>
  <c r="AJ3001" i="3" s="1"/>
  <c r="AI3000" i="3"/>
  <c r="AJ3000" i="3" s="1"/>
  <c r="AI2999" i="3"/>
  <c r="AJ2999" i="3" s="1"/>
  <c r="AI2998" i="3"/>
  <c r="AJ2998" i="3" s="1"/>
  <c r="AI2997" i="3"/>
  <c r="AJ2997" i="3" s="1"/>
  <c r="AI2996" i="3"/>
  <c r="AJ2996" i="3" s="1"/>
  <c r="AI2995" i="3"/>
  <c r="AJ2995" i="3" s="1"/>
  <c r="AI2994" i="3"/>
  <c r="AJ2994" i="3" s="1"/>
  <c r="AI2993" i="3"/>
  <c r="AJ2993" i="3" s="1"/>
  <c r="AI2992" i="3"/>
  <c r="AJ2992" i="3" s="1"/>
  <c r="AI2991" i="3"/>
  <c r="AJ2991" i="3" s="1"/>
  <c r="AI2990" i="3"/>
  <c r="AJ2990" i="3" s="1"/>
  <c r="AJ2989" i="3"/>
  <c r="AI2989" i="3"/>
  <c r="AI2988" i="3"/>
  <c r="AJ2988" i="3" s="1"/>
  <c r="AI2987" i="3"/>
  <c r="AJ2987" i="3" s="1"/>
  <c r="AI2986" i="3"/>
  <c r="AJ2986" i="3" s="1"/>
  <c r="AJ2985" i="3"/>
  <c r="AI2985" i="3"/>
  <c r="AI2984" i="3"/>
  <c r="AJ2984" i="3" s="1"/>
  <c r="AI2983" i="3"/>
  <c r="AJ2983" i="3" s="1"/>
  <c r="AI2982" i="3"/>
  <c r="AJ2982" i="3" s="1"/>
  <c r="AI2981" i="3"/>
  <c r="AJ2981" i="3" s="1"/>
  <c r="AI2980" i="3"/>
  <c r="AJ2980" i="3" s="1"/>
  <c r="AI2979" i="3"/>
  <c r="AJ2979" i="3" s="1"/>
  <c r="AI2978" i="3"/>
  <c r="AJ2978" i="3" s="1"/>
  <c r="AI2977" i="3"/>
  <c r="AJ2977" i="3" s="1"/>
  <c r="AI2976" i="3"/>
  <c r="AJ2976" i="3" s="1"/>
  <c r="AI2975" i="3"/>
  <c r="AJ2975" i="3" s="1"/>
  <c r="AI2974" i="3"/>
  <c r="AJ2974" i="3" s="1"/>
  <c r="AJ2973" i="3"/>
  <c r="AI2973" i="3"/>
  <c r="AI2972" i="3"/>
  <c r="AJ2972" i="3" s="1"/>
  <c r="AI2971" i="3"/>
  <c r="AJ2971" i="3" s="1"/>
  <c r="AI2970" i="3"/>
  <c r="AJ2970" i="3" s="1"/>
  <c r="AJ2969" i="3"/>
  <c r="AI2969" i="3"/>
  <c r="AI2968" i="3"/>
  <c r="AJ2968" i="3" s="1"/>
  <c r="AI2967" i="3"/>
  <c r="AJ2967" i="3" s="1"/>
  <c r="AI2966" i="3"/>
  <c r="AJ2966" i="3" s="1"/>
  <c r="AI2965" i="3"/>
  <c r="AJ2965" i="3" s="1"/>
  <c r="AI2964" i="3"/>
  <c r="AJ2964" i="3" s="1"/>
  <c r="AI2963" i="3"/>
  <c r="AJ2963" i="3" s="1"/>
  <c r="AI2962" i="3"/>
  <c r="AJ2962" i="3" s="1"/>
  <c r="AI2961" i="3"/>
  <c r="AJ2961" i="3" s="1"/>
  <c r="AI2960" i="3"/>
  <c r="AJ2960" i="3" s="1"/>
  <c r="AI2959" i="3"/>
  <c r="AJ2959" i="3" s="1"/>
  <c r="AI2958" i="3"/>
  <c r="AJ2958" i="3" s="1"/>
  <c r="AJ2957" i="3"/>
  <c r="AI2957" i="3"/>
  <c r="AI2956" i="3"/>
  <c r="AJ2956" i="3" s="1"/>
  <c r="AI2955" i="3"/>
  <c r="AJ2955" i="3" s="1"/>
  <c r="AI2954" i="3"/>
  <c r="AJ2954" i="3" s="1"/>
  <c r="AJ2953" i="3"/>
  <c r="AI2953" i="3"/>
  <c r="AI2952" i="3"/>
  <c r="AJ2952" i="3" s="1"/>
  <c r="AI2951" i="3"/>
  <c r="AJ2951" i="3" s="1"/>
  <c r="AI2950" i="3"/>
  <c r="AJ2950" i="3" s="1"/>
  <c r="AI2949" i="3"/>
  <c r="AJ2949" i="3" s="1"/>
  <c r="AJ2948" i="3"/>
  <c r="AI2948" i="3"/>
  <c r="AI2947" i="3"/>
  <c r="AJ2947" i="3" s="1"/>
  <c r="AI2946" i="3"/>
  <c r="AJ2946" i="3" s="1"/>
  <c r="AJ2945" i="3"/>
  <c r="AI2945" i="3"/>
  <c r="AI2944" i="3"/>
  <c r="AJ2944" i="3" s="1"/>
  <c r="AI2943" i="3"/>
  <c r="AJ2943" i="3" s="1"/>
  <c r="AI2942" i="3"/>
  <c r="AJ2942" i="3" s="1"/>
  <c r="AJ2941" i="3"/>
  <c r="AI2941" i="3"/>
  <c r="AI2940" i="3"/>
  <c r="AJ2940" i="3" s="1"/>
  <c r="AI2939" i="3"/>
  <c r="AJ2939" i="3" s="1"/>
  <c r="AI2938" i="3"/>
  <c r="AJ2938" i="3" s="1"/>
  <c r="AJ2937" i="3"/>
  <c r="AI2937" i="3"/>
  <c r="AI2936" i="3"/>
  <c r="AJ2936" i="3" s="1"/>
  <c r="AI2935" i="3"/>
  <c r="AJ2935" i="3" s="1"/>
  <c r="AI2934" i="3"/>
  <c r="AJ2934" i="3" s="1"/>
  <c r="AJ2933" i="3"/>
  <c r="AI2933" i="3"/>
  <c r="AI2932" i="3"/>
  <c r="AJ2932" i="3" s="1"/>
  <c r="AI2931" i="3"/>
  <c r="AJ2931" i="3" s="1"/>
  <c r="AI2930" i="3"/>
  <c r="AJ2930" i="3" s="1"/>
  <c r="AJ2929" i="3"/>
  <c r="AI2929" i="3"/>
  <c r="AI2928" i="3"/>
  <c r="AJ2928" i="3" s="1"/>
  <c r="AI2927" i="3"/>
  <c r="AJ2927" i="3" s="1"/>
  <c r="AI2926" i="3"/>
  <c r="AJ2926" i="3" s="1"/>
  <c r="AJ2925" i="3"/>
  <c r="AI2925" i="3"/>
  <c r="AI2924" i="3"/>
  <c r="AJ2924" i="3" s="1"/>
  <c r="AI2923" i="3"/>
  <c r="AJ2923" i="3" s="1"/>
  <c r="AI2922" i="3"/>
  <c r="AJ2922" i="3" s="1"/>
  <c r="AJ2921" i="3"/>
  <c r="AI2921" i="3"/>
  <c r="AI2920" i="3"/>
  <c r="AJ2920" i="3" s="1"/>
  <c r="AJ2919" i="3"/>
  <c r="AI2919" i="3"/>
  <c r="AI2918" i="3"/>
  <c r="AJ2918" i="3" s="1"/>
  <c r="AJ2917" i="3"/>
  <c r="AI2917" i="3"/>
  <c r="AI2916" i="3"/>
  <c r="AJ2916" i="3" s="1"/>
  <c r="AI2915" i="3"/>
  <c r="AJ2915" i="3" s="1"/>
  <c r="AI2914" i="3"/>
  <c r="AJ2914" i="3" s="1"/>
  <c r="AJ2913" i="3"/>
  <c r="AI2913" i="3"/>
  <c r="AI2912" i="3"/>
  <c r="AJ2912" i="3" s="1"/>
  <c r="AI2911" i="3"/>
  <c r="AJ2911" i="3" s="1"/>
  <c r="AI2910" i="3"/>
  <c r="AJ2910" i="3" s="1"/>
  <c r="AJ2909" i="3"/>
  <c r="AI2909" i="3"/>
  <c r="AI2908" i="3"/>
  <c r="AJ2908" i="3" s="1"/>
  <c r="AI2907" i="3"/>
  <c r="AJ2907" i="3" s="1"/>
  <c r="AI2906" i="3"/>
  <c r="AJ2906" i="3" s="1"/>
  <c r="AJ2905" i="3"/>
  <c r="AI2905" i="3"/>
  <c r="AI2904" i="3"/>
  <c r="AJ2904" i="3" s="1"/>
  <c r="AJ2903" i="3"/>
  <c r="AI2903" i="3"/>
  <c r="AI2902" i="3"/>
  <c r="AJ2902" i="3" s="1"/>
  <c r="AJ2901" i="3"/>
  <c r="AI2901" i="3"/>
  <c r="AI2900" i="3"/>
  <c r="AJ2900" i="3" s="1"/>
  <c r="AI2899" i="3"/>
  <c r="AJ2899" i="3" s="1"/>
  <c r="AI2898" i="3"/>
  <c r="AJ2898" i="3" s="1"/>
  <c r="AJ2897" i="3"/>
  <c r="AI2897" i="3"/>
  <c r="AI2896" i="3"/>
  <c r="AJ2896" i="3" s="1"/>
  <c r="AI2895" i="3"/>
  <c r="AJ2895" i="3" s="1"/>
  <c r="AI2894" i="3"/>
  <c r="AJ2894" i="3" s="1"/>
  <c r="AJ2893" i="3"/>
  <c r="AI2893" i="3"/>
  <c r="AI2892" i="3"/>
  <c r="AJ2892" i="3" s="1"/>
  <c r="AI2891" i="3"/>
  <c r="AJ2891" i="3" s="1"/>
  <c r="AI2890" i="3"/>
  <c r="AJ2890" i="3" s="1"/>
  <c r="AJ2889" i="3"/>
  <c r="AI2889" i="3"/>
  <c r="AI2888" i="3"/>
  <c r="AJ2888" i="3" s="1"/>
  <c r="AJ2887" i="3"/>
  <c r="AI2887" i="3"/>
  <c r="AI2886" i="3"/>
  <c r="AJ2886" i="3" s="1"/>
  <c r="AJ2885" i="3"/>
  <c r="AI2885" i="3"/>
  <c r="AI2884" i="3"/>
  <c r="AJ2884" i="3" s="1"/>
  <c r="AI2883" i="3"/>
  <c r="AJ2883" i="3" s="1"/>
  <c r="AI2882" i="3"/>
  <c r="AJ2882" i="3" s="1"/>
  <c r="AJ2881" i="3"/>
  <c r="AI2881" i="3"/>
  <c r="AI2880" i="3"/>
  <c r="AJ2880" i="3" s="1"/>
  <c r="AI2879" i="3"/>
  <c r="AJ2879" i="3" s="1"/>
  <c r="AI2878" i="3"/>
  <c r="AJ2878" i="3" s="1"/>
  <c r="AJ2877" i="3"/>
  <c r="AI2877" i="3"/>
  <c r="AI2876" i="3"/>
  <c r="AJ2876" i="3" s="1"/>
  <c r="AI2875" i="3"/>
  <c r="AJ2875" i="3" s="1"/>
  <c r="AI2874" i="3"/>
  <c r="AJ2874" i="3" s="1"/>
  <c r="AJ2873" i="3"/>
  <c r="AI2873" i="3"/>
  <c r="AI2872" i="3"/>
  <c r="AJ2872" i="3" s="1"/>
  <c r="AI2871" i="3"/>
  <c r="AJ2871" i="3" s="1"/>
  <c r="AI2870" i="3"/>
  <c r="AJ2870" i="3" s="1"/>
  <c r="AJ2869" i="3"/>
  <c r="AI2869" i="3"/>
  <c r="AI2868" i="3"/>
  <c r="AJ2868" i="3" s="1"/>
  <c r="AI2867" i="3"/>
  <c r="AJ2867" i="3" s="1"/>
  <c r="AI2866" i="3"/>
  <c r="AJ2866" i="3" s="1"/>
  <c r="AJ2865" i="3"/>
  <c r="AI2865" i="3"/>
  <c r="AI2864" i="3"/>
  <c r="AJ2864" i="3" s="1"/>
  <c r="AI2863" i="3"/>
  <c r="AJ2863" i="3" s="1"/>
  <c r="AI2862" i="3"/>
  <c r="AJ2862" i="3" s="1"/>
  <c r="AJ2861" i="3"/>
  <c r="AI2861" i="3"/>
  <c r="AI2860" i="3"/>
  <c r="AJ2860" i="3" s="1"/>
  <c r="AI2859" i="3"/>
  <c r="AJ2859" i="3" s="1"/>
  <c r="AI2858" i="3"/>
  <c r="AJ2858" i="3" s="1"/>
  <c r="AJ2857" i="3"/>
  <c r="AI2857" i="3"/>
  <c r="AI2856" i="3"/>
  <c r="AJ2856" i="3" s="1"/>
  <c r="AI2855" i="3"/>
  <c r="AJ2855" i="3" s="1"/>
  <c r="AI2854" i="3"/>
  <c r="AJ2854" i="3" s="1"/>
  <c r="AJ2853" i="3"/>
  <c r="AI2853" i="3"/>
  <c r="AI2852" i="3"/>
  <c r="AJ2852" i="3" s="1"/>
  <c r="AI2851" i="3"/>
  <c r="AJ2851" i="3" s="1"/>
  <c r="AI2850" i="3"/>
  <c r="AJ2850" i="3" s="1"/>
  <c r="AJ2849" i="3"/>
  <c r="AI2849" i="3"/>
  <c r="AI2848" i="3"/>
  <c r="AJ2848" i="3" s="1"/>
  <c r="AI2847" i="3"/>
  <c r="AJ2847" i="3" s="1"/>
  <c r="AI2846" i="3"/>
  <c r="AJ2846" i="3" s="1"/>
  <c r="AJ2845" i="3"/>
  <c r="AI2845" i="3"/>
  <c r="AI2844" i="3"/>
  <c r="AJ2844" i="3" s="1"/>
  <c r="AI2843" i="3"/>
  <c r="AJ2843" i="3" s="1"/>
  <c r="AI2842" i="3"/>
  <c r="AJ2842" i="3" s="1"/>
  <c r="AJ2841" i="3"/>
  <c r="AI2841" i="3"/>
  <c r="AI2840" i="3"/>
  <c r="AJ2840" i="3" s="1"/>
  <c r="AI2839" i="3"/>
  <c r="AJ2839" i="3" s="1"/>
  <c r="AI2838" i="3"/>
  <c r="AJ2838" i="3" s="1"/>
  <c r="AJ2837" i="3"/>
  <c r="AI2837" i="3"/>
  <c r="AI2836" i="3"/>
  <c r="AJ2836" i="3" s="1"/>
  <c r="AI2835" i="3"/>
  <c r="AJ2835" i="3" s="1"/>
  <c r="AI2834" i="3"/>
  <c r="AJ2834" i="3" s="1"/>
  <c r="AJ2833" i="3"/>
  <c r="AI2833" i="3"/>
  <c r="AI2832" i="3"/>
  <c r="AJ2832" i="3" s="1"/>
  <c r="AI2831" i="3"/>
  <c r="AJ2831" i="3" s="1"/>
  <c r="AI2830" i="3"/>
  <c r="AJ2830" i="3" s="1"/>
  <c r="AJ2829" i="3"/>
  <c r="AI2829" i="3"/>
  <c r="AI2828" i="3"/>
  <c r="AJ2828" i="3" s="1"/>
  <c r="AI2827" i="3"/>
  <c r="AJ2827" i="3" s="1"/>
  <c r="AI2826" i="3"/>
  <c r="AJ2826" i="3" s="1"/>
  <c r="AJ2825" i="3"/>
  <c r="AI2825" i="3"/>
  <c r="AI2824" i="3"/>
  <c r="AJ2824" i="3" s="1"/>
  <c r="AI2823" i="3"/>
  <c r="AJ2823" i="3" s="1"/>
  <c r="AI2822" i="3"/>
  <c r="AJ2822" i="3" s="1"/>
  <c r="AJ2821" i="3"/>
  <c r="AI2821" i="3"/>
  <c r="AI2820" i="3"/>
  <c r="AJ2820" i="3" s="1"/>
  <c r="AI2819" i="3"/>
  <c r="AJ2819" i="3" s="1"/>
  <c r="AI2818" i="3"/>
  <c r="AJ2818" i="3" s="1"/>
  <c r="AJ2817" i="3"/>
  <c r="AI2817" i="3"/>
  <c r="AI2816" i="3"/>
  <c r="AJ2816" i="3" s="1"/>
  <c r="AI2815" i="3"/>
  <c r="AJ2815" i="3" s="1"/>
  <c r="AI2814" i="3"/>
  <c r="AJ2814" i="3" s="1"/>
  <c r="AJ2813" i="3"/>
  <c r="AI2813" i="3"/>
  <c r="AI2812" i="3"/>
  <c r="AJ2812" i="3" s="1"/>
  <c r="AI2811" i="3"/>
  <c r="AJ2811" i="3" s="1"/>
  <c r="AI2810" i="3"/>
  <c r="AJ2810" i="3" s="1"/>
  <c r="AJ2809" i="3"/>
  <c r="AI2809" i="3"/>
  <c r="AI2808" i="3"/>
  <c r="AJ2808" i="3" s="1"/>
  <c r="AI2807" i="3"/>
  <c r="AJ2807" i="3" s="1"/>
  <c r="AI2806" i="3"/>
  <c r="AJ2806" i="3" s="1"/>
  <c r="AJ2805" i="3"/>
  <c r="AI2805" i="3"/>
  <c r="AI2804" i="3"/>
  <c r="AJ2804" i="3" s="1"/>
  <c r="AI2803" i="3"/>
  <c r="AJ2803" i="3" s="1"/>
  <c r="AI2802" i="3"/>
  <c r="AJ2802" i="3" s="1"/>
  <c r="AJ2801" i="3"/>
  <c r="AI2801" i="3"/>
  <c r="AI2800" i="3"/>
  <c r="AJ2800" i="3" s="1"/>
  <c r="AI2799" i="3"/>
  <c r="AJ2799" i="3" s="1"/>
  <c r="AI2798" i="3"/>
  <c r="AJ2798" i="3" s="1"/>
  <c r="AJ2797" i="3"/>
  <c r="AI2797" i="3"/>
  <c r="AI2796" i="3"/>
  <c r="AJ2796" i="3" s="1"/>
  <c r="AI2795" i="3"/>
  <c r="AJ2795" i="3" s="1"/>
  <c r="AI2794" i="3"/>
  <c r="AJ2794" i="3" s="1"/>
  <c r="AJ2793" i="3"/>
  <c r="AI2793" i="3"/>
  <c r="AI2792" i="3"/>
  <c r="AJ2792" i="3" s="1"/>
  <c r="AI2791" i="3"/>
  <c r="AJ2791" i="3" s="1"/>
  <c r="AI2790" i="3"/>
  <c r="AJ2790" i="3" s="1"/>
  <c r="AJ2789" i="3"/>
  <c r="AI2789" i="3"/>
  <c r="AI2788" i="3"/>
  <c r="AJ2788" i="3" s="1"/>
  <c r="AI2787" i="3"/>
  <c r="AJ2787" i="3" s="1"/>
  <c r="AI2786" i="3"/>
  <c r="AJ2786" i="3" s="1"/>
  <c r="AJ2785" i="3"/>
  <c r="AI2785" i="3"/>
  <c r="AI2784" i="3"/>
  <c r="AJ2784" i="3" s="1"/>
  <c r="AI2783" i="3"/>
  <c r="AJ2783" i="3" s="1"/>
  <c r="AI2782" i="3"/>
  <c r="AJ2782" i="3" s="1"/>
  <c r="AJ2781" i="3"/>
  <c r="AI2781" i="3"/>
  <c r="AI2780" i="3"/>
  <c r="AJ2780" i="3" s="1"/>
  <c r="AI2779" i="3"/>
  <c r="AJ2779" i="3" s="1"/>
  <c r="AI2778" i="3"/>
  <c r="AJ2778" i="3" s="1"/>
  <c r="AJ2777" i="3"/>
  <c r="AI2777" i="3"/>
  <c r="AI2776" i="3"/>
  <c r="AJ2776" i="3" s="1"/>
  <c r="AI2775" i="3"/>
  <c r="AJ2775" i="3" s="1"/>
  <c r="AI2774" i="3"/>
  <c r="AJ2774" i="3" s="1"/>
  <c r="AI2773" i="3"/>
  <c r="AJ2773" i="3" s="1"/>
  <c r="AI2772" i="3"/>
  <c r="AJ2772" i="3" s="1"/>
  <c r="AI2771" i="3"/>
  <c r="AJ2771" i="3" s="1"/>
  <c r="AI2770" i="3"/>
  <c r="AJ2770" i="3" s="1"/>
  <c r="AJ2769" i="3"/>
  <c r="AI2769" i="3"/>
  <c r="AI2768" i="3"/>
  <c r="AJ2768" i="3" s="1"/>
  <c r="AI2767" i="3"/>
  <c r="AJ2767" i="3" s="1"/>
  <c r="AI2766" i="3"/>
  <c r="AJ2766" i="3" s="1"/>
  <c r="AJ2765" i="3"/>
  <c r="AI2765" i="3"/>
  <c r="AI2764" i="3"/>
  <c r="AJ2764" i="3" s="1"/>
  <c r="AI2763" i="3"/>
  <c r="AJ2763" i="3" s="1"/>
  <c r="AI2762" i="3"/>
  <c r="AJ2762" i="3" s="1"/>
  <c r="AJ2761" i="3"/>
  <c r="AI2761" i="3"/>
  <c r="AI2760" i="3"/>
  <c r="AJ2760" i="3" s="1"/>
  <c r="AI2759" i="3"/>
  <c r="AJ2759" i="3" s="1"/>
  <c r="AI2758" i="3"/>
  <c r="AJ2758" i="3" s="1"/>
  <c r="AI2757" i="3"/>
  <c r="AJ2757" i="3" s="1"/>
  <c r="AI2756" i="3"/>
  <c r="AJ2756" i="3" s="1"/>
  <c r="AI2755" i="3"/>
  <c r="AJ2755" i="3" s="1"/>
  <c r="AI2754" i="3"/>
  <c r="AJ2754" i="3" s="1"/>
  <c r="AJ2753" i="3"/>
  <c r="AI2753" i="3"/>
  <c r="AI2752" i="3"/>
  <c r="AJ2752" i="3" s="1"/>
  <c r="AI2751" i="3"/>
  <c r="AJ2751" i="3" s="1"/>
  <c r="AI2750" i="3"/>
  <c r="AJ2750" i="3" s="1"/>
  <c r="AJ2749" i="3"/>
  <c r="AI2749" i="3"/>
  <c r="AI2748" i="3"/>
  <c r="AJ2748" i="3" s="1"/>
  <c r="AI2747" i="3"/>
  <c r="AJ2747" i="3" s="1"/>
  <c r="AI2746" i="3"/>
  <c r="AJ2746" i="3" s="1"/>
  <c r="AJ2745" i="3"/>
  <c r="AI2745" i="3"/>
  <c r="AI2744" i="3"/>
  <c r="AJ2744" i="3" s="1"/>
  <c r="AI2743" i="3"/>
  <c r="AJ2743" i="3" s="1"/>
  <c r="AI2742" i="3"/>
  <c r="AJ2742" i="3" s="1"/>
  <c r="AI2741" i="3"/>
  <c r="AJ2741" i="3" s="1"/>
  <c r="AI2740" i="3"/>
  <c r="AJ2740" i="3" s="1"/>
  <c r="AI2739" i="3"/>
  <c r="AJ2739" i="3" s="1"/>
  <c r="AI2738" i="3"/>
  <c r="AJ2738" i="3" s="1"/>
  <c r="AJ2737" i="3"/>
  <c r="AI2737" i="3"/>
  <c r="AI2736" i="3"/>
  <c r="AJ2736" i="3" s="1"/>
  <c r="AI2735" i="3"/>
  <c r="AJ2735" i="3" s="1"/>
  <c r="AI2734" i="3"/>
  <c r="AJ2734" i="3" s="1"/>
  <c r="AJ2733" i="3"/>
  <c r="AI2733" i="3"/>
  <c r="AI2732" i="3"/>
  <c r="AJ2732" i="3" s="1"/>
  <c r="AI2731" i="3"/>
  <c r="AJ2731" i="3" s="1"/>
  <c r="AI2730" i="3"/>
  <c r="AJ2730" i="3" s="1"/>
  <c r="AJ2729" i="3"/>
  <c r="AI2729" i="3"/>
  <c r="AI2728" i="3"/>
  <c r="AJ2728" i="3" s="1"/>
  <c r="AI2727" i="3"/>
  <c r="AJ2727" i="3" s="1"/>
  <c r="AI2726" i="3"/>
  <c r="AJ2726" i="3" s="1"/>
  <c r="AI2725" i="3"/>
  <c r="AJ2725" i="3" s="1"/>
  <c r="AI2724" i="3"/>
  <c r="AJ2724" i="3" s="1"/>
  <c r="AI2723" i="3"/>
  <c r="AJ2723" i="3" s="1"/>
  <c r="AI2722" i="3"/>
  <c r="AJ2722" i="3" s="1"/>
  <c r="AJ2721" i="3"/>
  <c r="AI2721" i="3"/>
  <c r="AI2720" i="3"/>
  <c r="AJ2720" i="3" s="1"/>
  <c r="AI2719" i="3"/>
  <c r="AJ2719" i="3" s="1"/>
  <c r="AI2718" i="3"/>
  <c r="AJ2718" i="3" s="1"/>
  <c r="AJ2717" i="3"/>
  <c r="AI2717" i="3"/>
  <c r="AI2716" i="3"/>
  <c r="AJ2716" i="3" s="1"/>
  <c r="AI2715" i="3"/>
  <c r="AJ2715" i="3" s="1"/>
  <c r="AI2714" i="3"/>
  <c r="AJ2714" i="3" s="1"/>
  <c r="AJ2713" i="3"/>
  <c r="AI2713" i="3"/>
  <c r="AI2712" i="3"/>
  <c r="AJ2712" i="3" s="1"/>
  <c r="AI2711" i="3"/>
  <c r="AJ2711" i="3" s="1"/>
  <c r="AI2710" i="3"/>
  <c r="AJ2710" i="3" s="1"/>
  <c r="AI2709" i="3"/>
  <c r="AJ2709" i="3" s="1"/>
  <c r="AI2708" i="3"/>
  <c r="AJ2708" i="3" s="1"/>
  <c r="AI2707" i="3"/>
  <c r="AJ2707" i="3" s="1"/>
  <c r="AI2706" i="3"/>
  <c r="AJ2706" i="3" s="1"/>
  <c r="AJ2705" i="3"/>
  <c r="AI2705" i="3"/>
  <c r="AI2704" i="3"/>
  <c r="AJ2704" i="3" s="1"/>
  <c r="AI2703" i="3"/>
  <c r="AJ2703" i="3" s="1"/>
  <c r="AI2702" i="3"/>
  <c r="AJ2702" i="3" s="1"/>
  <c r="AJ2701" i="3"/>
  <c r="AI2701" i="3"/>
  <c r="AI2700" i="3"/>
  <c r="AJ2700" i="3" s="1"/>
  <c r="AI2699" i="3"/>
  <c r="AJ2699" i="3" s="1"/>
  <c r="AI2698" i="3"/>
  <c r="AJ2698" i="3" s="1"/>
  <c r="AJ2697" i="3"/>
  <c r="AI2697" i="3"/>
  <c r="AI2696" i="3"/>
  <c r="AJ2696" i="3" s="1"/>
  <c r="AI2695" i="3"/>
  <c r="AJ2695" i="3" s="1"/>
  <c r="AI2694" i="3"/>
  <c r="AJ2694" i="3" s="1"/>
  <c r="AI2693" i="3"/>
  <c r="AJ2693" i="3" s="1"/>
  <c r="AI2692" i="3"/>
  <c r="AJ2692" i="3" s="1"/>
  <c r="AI2691" i="3"/>
  <c r="AJ2691" i="3" s="1"/>
  <c r="AI2690" i="3"/>
  <c r="AJ2690" i="3" s="1"/>
  <c r="AJ2689" i="3"/>
  <c r="AI2689" i="3"/>
  <c r="AI2688" i="3"/>
  <c r="AJ2688" i="3" s="1"/>
  <c r="AI2687" i="3"/>
  <c r="AJ2687" i="3" s="1"/>
  <c r="AI2686" i="3"/>
  <c r="AJ2686" i="3" s="1"/>
  <c r="AJ2685" i="3"/>
  <c r="AI2685" i="3"/>
  <c r="AI2684" i="3"/>
  <c r="AJ2684" i="3" s="1"/>
  <c r="AI2683" i="3"/>
  <c r="AJ2683" i="3" s="1"/>
  <c r="AI2682" i="3"/>
  <c r="AJ2682" i="3" s="1"/>
  <c r="AJ2681" i="3"/>
  <c r="AI2681" i="3"/>
  <c r="AI2680" i="3"/>
  <c r="AJ2680" i="3" s="1"/>
  <c r="AI2679" i="3"/>
  <c r="AJ2679" i="3" s="1"/>
  <c r="AI2678" i="3"/>
  <c r="AJ2678" i="3" s="1"/>
  <c r="AI2677" i="3"/>
  <c r="AJ2677" i="3" s="1"/>
  <c r="AI2676" i="3"/>
  <c r="AJ2676" i="3" s="1"/>
  <c r="AI2675" i="3"/>
  <c r="AJ2675" i="3" s="1"/>
  <c r="AI2674" i="3"/>
  <c r="AJ2674" i="3" s="1"/>
  <c r="AJ2673" i="3"/>
  <c r="AI2673" i="3"/>
  <c r="AI2672" i="3"/>
  <c r="AJ2672" i="3" s="1"/>
  <c r="AI2671" i="3"/>
  <c r="AJ2671" i="3" s="1"/>
  <c r="AI2670" i="3"/>
  <c r="AJ2670" i="3" s="1"/>
  <c r="AJ2669" i="3"/>
  <c r="AI2669" i="3"/>
  <c r="AI2668" i="3"/>
  <c r="AJ2668" i="3" s="1"/>
  <c r="AI2667" i="3"/>
  <c r="AJ2667" i="3" s="1"/>
  <c r="AI2666" i="3"/>
  <c r="AJ2666" i="3" s="1"/>
  <c r="AJ2665" i="3"/>
  <c r="AI2665" i="3"/>
  <c r="AI2664" i="3"/>
  <c r="AJ2664" i="3" s="1"/>
  <c r="AI2663" i="3"/>
  <c r="AJ2663" i="3" s="1"/>
  <c r="AI2662" i="3"/>
  <c r="AJ2662" i="3" s="1"/>
  <c r="AI2661" i="3"/>
  <c r="AJ2661" i="3" s="1"/>
  <c r="AI2660" i="3"/>
  <c r="AJ2660" i="3" s="1"/>
  <c r="AI2659" i="3"/>
  <c r="AJ2659" i="3" s="1"/>
  <c r="AI2658" i="3"/>
  <c r="AJ2658" i="3" s="1"/>
  <c r="AJ2657" i="3"/>
  <c r="AI2657" i="3"/>
  <c r="AI2656" i="3"/>
  <c r="AJ2656" i="3" s="1"/>
  <c r="AI2655" i="3"/>
  <c r="AJ2655" i="3" s="1"/>
  <c r="AI2654" i="3"/>
  <c r="AJ2654" i="3" s="1"/>
  <c r="AJ2653" i="3"/>
  <c r="AI2653" i="3"/>
  <c r="AI2652" i="3"/>
  <c r="AJ2652" i="3" s="1"/>
  <c r="AI2651" i="3"/>
  <c r="AJ2651" i="3" s="1"/>
  <c r="AI2650" i="3"/>
  <c r="AJ2650" i="3" s="1"/>
  <c r="AJ2649" i="3"/>
  <c r="AI2649" i="3"/>
  <c r="AI2648" i="3"/>
  <c r="AJ2648" i="3" s="1"/>
  <c r="AI2647" i="3"/>
  <c r="AJ2647" i="3" s="1"/>
  <c r="AI2646" i="3"/>
  <c r="AJ2646" i="3" s="1"/>
  <c r="AI2645" i="3"/>
  <c r="AJ2645" i="3" s="1"/>
  <c r="AI2644" i="3"/>
  <c r="AJ2644" i="3" s="1"/>
  <c r="AI2643" i="3"/>
  <c r="AJ2643" i="3" s="1"/>
  <c r="AI2642" i="3"/>
  <c r="AJ2642" i="3" s="1"/>
  <c r="AJ2641" i="3"/>
  <c r="AI2641" i="3"/>
  <c r="AI2640" i="3"/>
  <c r="AJ2640" i="3" s="1"/>
  <c r="AI2639" i="3"/>
  <c r="AJ2639" i="3" s="1"/>
  <c r="AI2638" i="3"/>
  <c r="AJ2638" i="3" s="1"/>
  <c r="AJ2637" i="3"/>
  <c r="AI2637" i="3"/>
  <c r="AI2636" i="3"/>
  <c r="AJ2636" i="3" s="1"/>
  <c r="AI2635" i="3"/>
  <c r="AJ2635" i="3" s="1"/>
  <c r="AI2634" i="3"/>
  <c r="AJ2634" i="3" s="1"/>
  <c r="AJ2633" i="3"/>
  <c r="AI2633" i="3"/>
  <c r="AI2632" i="3"/>
  <c r="AJ2632" i="3" s="1"/>
  <c r="AI2631" i="3"/>
  <c r="AJ2631" i="3" s="1"/>
  <c r="AI2630" i="3"/>
  <c r="AJ2630" i="3" s="1"/>
  <c r="AI2629" i="3"/>
  <c r="AJ2629" i="3" s="1"/>
  <c r="AI2628" i="3"/>
  <c r="AJ2628" i="3" s="1"/>
  <c r="AI2627" i="3"/>
  <c r="AJ2627" i="3" s="1"/>
  <c r="AI2626" i="3"/>
  <c r="AJ2626" i="3" s="1"/>
  <c r="AJ2625" i="3"/>
  <c r="AI2625" i="3"/>
  <c r="AI2624" i="3"/>
  <c r="AJ2624" i="3" s="1"/>
  <c r="AI2623" i="3"/>
  <c r="AJ2623" i="3" s="1"/>
  <c r="AI2622" i="3"/>
  <c r="AJ2622" i="3" s="1"/>
  <c r="AJ2621" i="3"/>
  <c r="AI2621" i="3"/>
  <c r="AI2620" i="3"/>
  <c r="AJ2620" i="3" s="1"/>
  <c r="AI2619" i="3"/>
  <c r="AJ2619" i="3" s="1"/>
  <c r="AI2618" i="3"/>
  <c r="AJ2618" i="3" s="1"/>
  <c r="AJ2617" i="3"/>
  <c r="AI2617" i="3"/>
  <c r="AI2616" i="3"/>
  <c r="AJ2616" i="3" s="1"/>
  <c r="AI2615" i="3"/>
  <c r="AJ2615" i="3" s="1"/>
  <c r="AI2614" i="3"/>
  <c r="AJ2614" i="3" s="1"/>
  <c r="AI2613" i="3"/>
  <c r="AJ2613" i="3" s="1"/>
  <c r="AI2612" i="3"/>
  <c r="AJ2612" i="3" s="1"/>
  <c r="AI2611" i="3"/>
  <c r="AJ2611" i="3" s="1"/>
  <c r="AI2610" i="3"/>
  <c r="AJ2610" i="3" s="1"/>
  <c r="AJ2609" i="3"/>
  <c r="AI2609" i="3"/>
  <c r="AI2608" i="3"/>
  <c r="AJ2608" i="3" s="1"/>
  <c r="AI2607" i="3"/>
  <c r="AJ2607" i="3" s="1"/>
  <c r="AI2606" i="3"/>
  <c r="AJ2606" i="3" s="1"/>
  <c r="AI2605" i="3"/>
  <c r="AJ2605" i="3" s="1"/>
  <c r="AI2604" i="3"/>
  <c r="AJ2604" i="3" s="1"/>
  <c r="AI2603" i="3"/>
  <c r="AJ2603" i="3" s="1"/>
  <c r="AJ2602" i="3"/>
  <c r="AI2602" i="3"/>
  <c r="AJ2601" i="3"/>
  <c r="AI2601" i="3"/>
  <c r="AI2600" i="3"/>
  <c r="AJ2600" i="3" s="1"/>
  <c r="AI2599" i="3"/>
  <c r="AJ2599" i="3" s="1"/>
  <c r="AI2598" i="3"/>
  <c r="AJ2598" i="3" s="1"/>
  <c r="AI2597" i="3"/>
  <c r="AJ2597" i="3" s="1"/>
  <c r="AI2596" i="3"/>
  <c r="AJ2596" i="3" s="1"/>
  <c r="AJ2595" i="3"/>
  <c r="AI2595" i="3"/>
  <c r="AI2594" i="3"/>
  <c r="AJ2594" i="3" s="1"/>
  <c r="AJ2593" i="3"/>
  <c r="AI2593" i="3"/>
  <c r="AI2592" i="3"/>
  <c r="AJ2592" i="3" s="1"/>
  <c r="AI2591" i="3"/>
  <c r="AJ2591" i="3" s="1"/>
  <c r="AI2590" i="3"/>
  <c r="AJ2590" i="3" s="1"/>
  <c r="AI2589" i="3"/>
  <c r="AJ2589" i="3" s="1"/>
  <c r="AI2588" i="3"/>
  <c r="AJ2588" i="3" s="1"/>
  <c r="AJ2587" i="3"/>
  <c r="AI2587" i="3"/>
  <c r="AJ2586" i="3"/>
  <c r="AI2586" i="3"/>
  <c r="AI2585" i="3"/>
  <c r="AJ2585" i="3" s="1"/>
  <c r="AI2584" i="3"/>
  <c r="AJ2584" i="3" s="1"/>
  <c r="AI2583" i="3"/>
  <c r="AJ2583" i="3" s="1"/>
  <c r="AI2582" i="3"/>
  <c r="AJ2582" i="3" s="1"/>
  <c r="AI2581" i="3"/>
  <c r="AJ2581" i="3" s="1"/>
  <c r="AI2580" i="3"/>
  <c r="AJ2580" i="3" s="1"/>
  <c r="AJ2579" i="3"/>
  <c r="AI2579" i="3"/>
  <c r="AJ2578" i="3"/>
  <c r="AI2578" i="3"/>
  <c r="AJ2577" i="3"/>
  <c r="AI2577" i="3"/>
  <c r="AI2576" i="3"/>
  <c r="AJ2576" i="3" s="1"/>
  <c r="AI2575" i="3"/>
  <c r="AJ2575" i="3" s="1"/>
  <c r="AI2574" i="3"/>
  <c r="AJ2574" i="3" s="1"/>
  <c r="AI2573" i="3"/>
  <c r="AJ2573" i="3" s="1"/>
  <c r="AI2572" i="3"/>
  <c r="AJ2572" i="3" s="1"/>
  <c r="AI2571" i="3"/>
  <c r="AJ2571" i="3" s="1"/>
  <c r="AJ2570" i="3"/>
  <c r="AI2570" i="3"/>
  <c r="AJ2569" i="3"/>
  <c r="AI2569" i="3"/>
  <c r="AI2568" i="3"/>
  <c r="AJ2568" i="3" s="1"/>
  <c r="AI2567" i="3"/>
  <c r="AJ2567" i="3" s="1"/>
  <c r="AI2566" i="3"/>
  <c r="AJ2566" i="3" s="1"/>
  <c r="AI2565" i="3"/>
  <c r="AJ2565" i="3" s="1"/>
  <c r="AI2564" i="3"/>
  <c r="AJ2564" i="3" s="1"/>
  <c r="AJ2563" i="3"/>
  <c r="AI2563" i="3"/>
  <c r="AI2562" i="3"/>
  <c r="AJ2562" i="3" s="1"/>
  <c r="AJ2561" i="3"/>
  <c r="AI2561" i="3"/>
  <c r="AI2560" i="3"/>
  <c r="AJ2560" i="3" s="1"/>
  <c r="AI2559" i="3"/>
  <c r="AJ2559" i="3" s="1"/>
  <c r="AI2558" i="3"/>
  <c r="AJ2558" i="3" s="1"/>
  <c r="AI2557" i="3"/>
  <c r="AJ2557" i="3" s="1"/>
  <c r="AI2556" i="3"/>
  <c r="AJ2556" i="3" s="1"/>
  <c r="AJ2555" i="3"/>
  <c r="AI2555" i="3"/>
  <c r="AJ2554" i="3"/>
  <c r="AI2554" i="3"/>
  <c r="AI2553" i="3"/>
  <c r="AJ2553" i="3" s="1"/>
  <c r="AI2552" i="3"/>
  <c r="AJ2552" i="3" s="1"/>
  <c r="AI2551" i="3"/>
  <c r="AJ2551" i="3" s="1"/>
  <c r="AI2550" i="3"/>
  <c r="AJ2550" i="3" s="1"/>
  <c r="AI2549" i="3"/>
  <c r="AJ2549" i="3" s="1"/>
  <c r="AI2548" i="3"/>
  <c r="AJ2548" i="3" s="1"/>
  <c r="AJ2547" i="3"/>
  <c r="AI2547" i="3"/>
  <c r="AJ2546" i="3"/>
  <c r="AI2546" i="3"/>
  <c r="AJ2545" i="3"/>
  <c r="AI2545" i="3"/>
  <c r="AI2544" i="3"/>
  <c r="AJ2544" i="3" s="1"/>
  <c r="AI2543" i="3"/>
  <c r="AJ2543" i="3" s="1"/>
  <c r="AI2542" i="3"/>
  <c r="AJ2542" i="3" s="1"/>
  <c r="AI2541" i="3"/>
  <c r="AJ2541" i="3" s="1"/>
  <c r="AI2540" i="3"/>
  <c r="AJ2540" i="3" s="1"/>
  <c r="AI2539" i="3"/>
  <c r="AJ2539" i="3" s="1"/>
  <c r="AJ2538" i="3"/>
  <c r="AI2538" i="3"/>
  <c r="AJ2537" i="3"/>
  <c r="AI2537" i="3"/>
  <c r="AI2536" i="3"/>
  <c r="AJ2536" i="3" s="1"/>
  <c r="AI2535" i="3"/>
  <c r="AJ2535" i="3" s="1"/>
  <c r="AI2534" i="3"/>
  <c r="AJ2534" i="3" s="1"/>
  <c r="AI2533" i="3"/>
  <c r="AJ2533" i="3" s="1"/>
  <c r="AI2532" i="3"/>
  <c r="AJ2532" i="3" s="1"/>
  <c r="AJ2531" i="3"/>
  <c r="AI2531" i="3"/>
  <c r="AI2530" i="3"/>
  <c r="AJ2530" i="3" s="1"/>
  <c r="AJ2529" i="3"/>
  <c r="AI2529" i="3"/>
  <c r="AJ2528" i="3"/>
  <c r="AI2528" i="3"/>
  <c r="AJ2527" i="3"/>
  <c r="AI2527" i="3"/>
  <c r="AI2526" i="3"/>
  <c r="AJ2526" i="3" s="1"/>
  <c r="AJ2525" i="3"/>
  <c r="AI2525" i="3"/>
  <c r="AJ2524" i="3"/>
  <c r="AI2524" i="3"/>
  <c r="AJ2523" i="3"/>
  <c r="AI2523" i="3"/>
  <c r="AI2522" i="3"/>
  <c r="AJ2522" i="3" s="1"/>
  <c r="AJ2521" i="3"/>
  <c r="AI2521" i="3"/>
  <c r="AJ2520" i="3"/>
  <c r="AI2520" i="3"/>
  <c r="AJ2519" i="3"/>
  <c r="AI2519" i="3"/>
  <c r="AI2518" i="3"/>
  <c r="AJ2518" i="3" s="1"/>
  <c r="AJ2517" i="3"/>
  <c r="AI2517" i="3"/>
  <c r="AJ2516" i="3"/>
  <c r="AI2516" i="3"/>
  <c r="AJ2515" i="3"/>
  <c r="AI2515" i="3"/>
  <c r="AI2514" i="3"/>
  <c r="AJ2514" i="3" s="1"/>
  <c r="AJ2513" i="3"/>
  <c r="AI2513" i="3"/>
  <c r="AJ2512" i="3"/>
  <c r="AI2512" i="3"/>
  <c r="AJ2511" i="3"/>
  <c r="AI2511" i="3"/>
  <c r="AI2510" i="3"/>
  <c r="AJ2510" i="3" s="1"/>
  <c r="AJ2509" i="3"/>
  <c r="AI2509" i="3"/>
  <c r="AJ2508" i="3"/>
  <c r="AI2508" i="3"/>
  <c r="AJ2507" i="3"/>
  <c r="AI2507" i="3"/>
  <c r="AI2506" i="3"/>
  <c r="AJ2506" i="3" s="1"/>
  <c r="AJ2505" i="3"/>
  <c r="AI2505" i="3"/>
  <c r="AJ2504" i="3"/>
  <c r="AI2504" i="3"/>
  <c r="AJ2503" i="3"/>
  <c r="AI2503" i="3"/>
  <c r="AI2502" i="3"/>
  <c r="AJ2502" i="3" s="1"/>
  <c r="AJ2501" i="3"/>
  <c r="AI2501" i="3"/>
  <c r="AJ2500" i="3"/>
  <c r="AI2500" i="3"/>
  <c r="AJ2499" i="3"/>
  <c r="AI2499" i="3"/>
  <c r="AI2498" i="3"/>
  <c r="AJ2498" i="3" s="1"/>
  <c r="AJ2497" i="3"/>
  <c r="AI2497" i="3"/>
  <c r="AJ2496" i="3"/>
  <c r="AI2496" i="3"/>
  <c r="AJ2495" i="3"/>
  <c r="AI2495" i="3"/>
  <c r="AI2494" i="3"/>
  <c r="AJ2494" i="3" s="1"/>
  <c r="AJ2493" i="3"/>
  <c r="AI2493" i="3"/>
  <c r="AJ2492" i="3"/>
  <c r="AI2492" i="3"/>
  <c r="AJ2491" i="3"/>
  <c r="AI2491" i="3"/>
  <c r="AI2490" i="3"/>
  <c r="AJ2490" i="3" s="1"/>
  <c r="AJ2489" i="3"/>
  <c r="AI2489" i="3"/>
  <c r="AJ2488" i="3"/>
  <c r="AI2488" i="3"/>
  <c r="AJ2487" i="3"/>
  <c r="AI2487" i="3"/>
  <c r="AI2486" i="3"/>
  <c r="AJ2486" i="3" s="1"/>
  <c r="AJ2485" i="3"/>
  <c r="AI2485" i="3"/>
  <c r="AJ2484" i="3"/>
  <c r="AI2484" i="3"/>
  <c r="AJ2483" i="3"/>
  <c r="AI2483" i="3"/>
  <c r="AI2482" i="3"/>
  <c r="AJ2482" i="3" s="1"/>
  <c r="AJ2481" i="3"/>
  <c r="AI2481" i="3"/>
  <c r="AJ2480" i="3"/>
  <c r="AI2480" i="3"/>
  <c r="AJ2479" i="3"/>
  <c r="AI2479" i="3"/>
  <c r="AI2478" i="3"/>
  <c r="AJ2478" i="3" s="1"/>
  <c r="AJ2477" i="3"/>
  <c r="AI2477" i="3"/>
  <c r="AJ2476" i="3"/>
  <c r="AI2476" i="3"/>
  <c r="AJ2475" i="3"/>
  <c r="AI2475" i="3"/>
  <c r="AI2474" i="3"/>
  <c r="AJ2474" i="3" s="1"/>
  <c r="AJ2473" i="3"/>
  <c r="AI2473" i="3"/>
  <c r="AJ2472" i="3"/>
  <c r="AI2472" i="3"/>
  <c r="AJ2471" i="3"/>
  <c r="AI2471" i="3"/>
  <c r="AI2470" i="3"/>
  <c r="AJ2470" i="3" s="1"/>
  <c r="AJ2469" i="3"/>
  <c r="AI2469" i="3"/>
  <c r="AJ2468" i="3"/>
  <c r="AI2468" i="3"/>
  <c r="AJ2467" i="3"/>
  <c r="AI2467" i="3"/>
  <c r="AI2466" i="3"/>
  <c r="AJ2466" i="3" s="1"/>
  <c r="AJ2465" i="3"/>
  <c r="AI2465" i="3"/>
  <c r="AJ2464" i="3"/>
  <c r="AI2464" i="3"/>
  <c r="AJ2463" i="3"/>
  <c r="AI2463" i="3"/>
  <c r="AI2462" i="3"/>
  <c r="AJ2462" i="3" s="1"/>
  <c r="AJ2461" i="3"/>
  <c r="AI2461" i="3"/>
  <c r="AJ2460" i="3"/>
  <c r="AI2460" i="3"/>
  <c r="AJ2459" i="3"/>
  <c r="AI2459" i="3"/>
  <c r="AI2458" i="3"/>
  <c r="AJ2458" i="3" s="1"/>
  <c r="AJ2457" i="3"/>
  <c r="AI2457" i="3"/>
  <c r="AJ2456" i="3"/>
  <c r="AI2456" i="3"/>
  <c r="AJ2455" i="3"/>
  <c r="AI2455" i="3"/>
  <c r="AI2454" i="3"/>
  <c r="AJ2454" i="3" s="1"/>
  <c r="AJ2453" i="3"/>
  <c r="AI2453" i="3"/>
  <c r="AJ2452" i="3"/>
  <c r="AI2452" i="3"/>
  <c r="AJ2451" i="3"/>
  <c r="AI2451" i="3"/>
  <c r="AI2450" i="3"/>
  <c r="AJ2450" i="3" s="1"/>
  <c r="AJ2449" i="3"/>
  <c r="AI2449" i="3"/>
  <c r="AJ2448" i="3"/>
  <c r="AI2448" i="3"/>
  <c r="AJ2447" i="3"/>
  <c r="AI2447" i="3"/>
  <c r="AI2446" i="3"/>
  <c r="AJ2446" i="3" s="1"/>
  <c r="AJ2445" i="3"/>
  <c r="AI2445" i="3"/>
  <c r="AJ2444" i="3"/>
  <c r="AI2444" i="3"/>
  <c r="AJ2443" i="3"/>
  <c r="AI2443" i="3"/>
  <c r="AI2442" i="3"/>
  <c r="AJ2442" i="3" s="1"/>
  <c r="AJ2441" i="3"/>
  <c r="AI2441" i="3"/>
  <c r="AJ2440" i="3"/>
  <c r="AI2440" i="3"/>
  <c r="AJ2439" i="3"/>
  <c r="AI2439" i="3"/>
  <c r="AI2438" i="3"/>
  <c r="AJ2438" i="3" s="1"/>
  <c r="AJ2437" i="3"/>
  <c r="AI2437" i="3"/>
  <c r="AJ2436" i="3"/>
  <c r="AI2436" i="3"/>
  <c r="AJ2435" i="3"/>
  <c r="AI2435" i="3"/>
  <c r="AI2434" i="3"/>
  <c r="AJ2434" i="3" s="1"/>
  <c r="AJ2433" i="3"/>
  <c r="AI2433" i="3"/>
  <c r="AJ2432" i="3"/>
  <c r="AI2432" i="3"/>
  <c r="AJ2431" i="3"/>
  <c r="AI2431" i="3"/>
  <c r="AI2430" i="3"/>
  <c r="AJ2430" i="3" s="1"/>
  <c r="AJ2429" i="3"/>
  <c r="AI2429" i="3"/>
  <c r="AJ2428" i="3"/>
  <c r="AI2428" i="3"/>
  <c r="AJ2427" i="3"/>
  <c r="AI2427" i="3"/>
  <c r="AI2426" i="3"/>
  <c r="AJ2426" i="3" s="1"/>
  <c r="AJ2425" i="3"/>
  <c r="AI2425" i="3"/>
  <c r="AJ2424" i="3"/>
  <c r="AI2424" i="3"/>
  <c r="AJ2423" i="3"/>
  <c r="AI2423" i="3"/>
  <c r="AI2422" i="3"/>
  <c r="AJ2422" i="3" s="1"/>
  <c r="AJ2421" i="3"/>
  <c r="AI2421" i="3"/>
  <c r="AJ2420" i="3"/>
  <c r="AI2420" i="3"/>
  <c r="AJ2419" i="3"/>
  <c r="AI2419" i="3"/>
  <c r="AI2418" i="3"/>
  <c r="AJ2418" i="3" s="1"/>
  <c r="AJ2417" i="3"/>
  <c r="AI2417" i="3"/>
  <c r="AJ2416" i="3"/>
  <c r="AI2416" i="3"/>
  <c r="AJ2415" i="3"/>
  <c r="AI2415" i="3"/>
  <c r="AI2414" i="3"/>
  <c r="AJ2414" i="3" s="1"/>
  <c r="AJ2413" i="3"/>
  <c r="AI2413" i="3"/>
  <c r="AJ2412" i="3"/>
  <c r="AI2412" i="3"/>
  <c r="AJ2411" i="3"/>
  <c r="AI2411" i="3"/>
  <c r="AI2410" i="3"/>
  <c r="AJ2410" i="3" s="1"/>
  <c r="AJ2409" i="3"/>
  <c r="AI2409" i="3"/>
  <c r="AJ2408" i="3"/>
  <c r="AI2408" i="3"/>
  <c r="AJ2407" i="3"/>
  <c r="AI2407" i="3"/>
  <c r="AI2406" i="3"/>
  <c r="AJ2406" i="3" s="1"/>
  <c r="AJ2405" i="3"/>
  <c r="AI2405" i="3"/>
  <c r="AJ2404" i="3"/>
  <c r="AI2404" i="3"/>
  <c r="AJ2403" i="3"/>
  <c r="AI2403" i="3"/>
  <c r="AI2402" i="3"/>
  <c r="AJ2402" i="3" s="1"/>
  <c r="AJ2401" i="3"/>
  <c r="AI2401" i="3"/>
  <c r="AJ2400" i="3"/>
  <c r="AI2400" i="3"/>
  <c r="AJ2399" i="3"/>
  <c r="AI2399" i="3"/>
  <c r="AI2398" i="3"/>
  <c r="AJ2398" i="3" s="1"/>
  <c r="AJ2397" i="3"/>
  <c r="AI2397" i="3"/>
  <c r="AJ2396" i="3"/>
  <c r="AI2396" i="3"/>
  <c r="AJ2395" i="3"/>
  <c r="AI2395" i="3"/>
  <c r="AI2394" i="3"/>
  <c r="AJ2394" i="3" s="1"/>
  <c r="AJ2393" i="3"/>
  <c r="AI2393" i="3"/>
  <c r="AJ2392" i="3"/>
  <c r="AI2392" i="3"/>
  <c r="AJ2391" i="3"/>
  <c r="AI2391" i="3"/>
  <c r="AI2390" i="3"/>
  <c r="AJ2390" i="3" s="1"/>
  <c r="AJ2389" i="3"/>
  <c r="AI2389" i="3"/>
  <c r="AJ2388" i="3"/>
  <c r="AI2388" i="3"/>
  <c r="AJ2387" i="3"/>
  <c r="AI2387" i="3"/>
  <c r="AI2386" i="3"/>
  <c r="AJ2386" i="3" s="1"/>
  <c r="AJ2385" i="3"/>
  <c r="AI2385" i="3"/>
  <c r="AJ2384" i="3"/>
  <c r="AI2384" i="3"/>
  <c r="AJ2383" i="3"/>
  <c r="AI2383" i="3"/>
  <c r="AI2382" i="3"/>
  <c r="AJ2382" i="3" s="1"/>
  <c r="AJ2381" i="3"/>
  <c r="AI2381" i="3"/>
  <c r="AJ2380" i="3"/>
  <c r="AI2380" i="3"/>
  <c r="AJ2379" i="3"/>
  <c r="AI2379" i="3"/>
  <c r="AI2378" i="3"/>
  <c r="AJ2378" i="3" s="1"/>
  <c r="AJ2377" i="3"/>
  <c r="AI2377" i="3"/>
  <c r="AJ2376" i="3"/>
  <c r="AI2376" i="3"/>
  <c r="AJ2375" i="3"/>
  <c r="AI2375" i="3"/>
  <c r="AI2374" i="3"/>
  <c r="AJ2374" i="3" s="1"/>
  <c r="AJ2373" i="3"/>
  <c r="AI2373" i="3"/>
  <c r="AJ2372" i="3"/>
  <c r="AI2372" i="3"/>
  <c r="AJ2371" i="3"/>
  <c r="AI2371" i="3"/>
  <c r="AI2370" i="3"/>
  <c r="AJ2370" i="3" s="1"/>
  <c r="AJ2369" i="3"/>
  <c r="AI2369" i="3"/>
  <c r="AJ2368" i="3"/>
  <c r="AI2368" i="3"/>
  <c r="AJ2367" i="3"/>
  <c r="AI2367" i="3"/>
  <c r="AI2366" i="3"/>
  <c r="AJ2366" i="3" s="1"/>
  <c r="AJ2365" i="3"/>
  <c r="AI2365" i="3"/>
  <c r="AJ2364" i="3"/>
  <c r="AI2364" i="3"/>
  <c r="AJ2363" i="3"/>
  <c r="AI2363" i="3"/>
  <c r="AI2362" i="3"/>
  <c r="AJ2362" i="3" s="1"/>
  <c r="AJ2361" i="3"/>
  <c r="AI2361" i="3"/>
  <c r="AJ2360" i="3"/>
  <c r="AI2360" i="3"/>
  <c r="AJ2359" i="3"/>
  <c r="AI2359" i="3"/>
  <c r="AI2358" i="3"/>
  <c r="AJ2358" i="3" s="1"/>
  <c r="AJ2357" i="3"/>
  <c r="AI2357" i="3"/>
  <c r="AJ2356" i="3"/>
  <c r="AI2356" i="3"/>
  <c r="AJ2355" i="3"/>
  <c r="AI2355" i="3"/>
  <c r="AI2354" i="3"/>
  <c r="AJ2354" i="3" s="1"/>
  <c r="AJ2353" i="3"/>
  <c r="AI2353" i="3"/>
  <c r="AJ2352" i="3"/>
  <c r="AI2352" i="3"/>
  <c r="AJ2351" i="3"/>
  <c r="AI2351" i="3"/>
  <c r="AI2350" i="3"/>
  <c r="AJ2350" i="3" s="1"/>
  <c r="AJ2349" i="3"/>
  <c r="AI2349" i="3"/>
  <c r="AJ2348" i="3"/>
  <c r="AI2348" i="3"/>
  <c r="AJ2347" i="3"/>
  <c r="AI2347" i="3"/>
  <c r="AI2346" i="3"/>
  <c r="AJ2346" i="3" s="1"/>
  <c r="AJ2345" i="3"/>
  <c r="AI2345" i="3"/>
  <c r="AJ2344" i="3"/>
  <c r="AI2344" i="3"/>
  <c r="AJ2343" i="3"/>
  <c r="AI2343" i="3"/>
  <c r="AI2342" i="3"/>
  <c r="AJ2342" i="3" s="1"/>
  <c r="AJ2341" i="3"/>
  <c r="AI2341" i="3"/>
  <c r="AJ2340" i="3"/>
  <c r="AI2340" i="3"/>
  <c r="AJ2339" i="3"/>
  <c r="AI2339" i="3"/>
  <c r="AI2338" i="3"/>
  <c r="AJ2338" i="3" s="1"/>
  <c r="AJ2337" i="3"/>
  <c r="AI2337" i="3"/>
  <c r="AJ2336" i="3"/>
  <c r="AI2336" i="3"/>
  <c r="AJ2335" i="3"/>
  <c r="AI2335" i="3"/>
  <c r="AI2334" i="3"/>
  <c r="AJ2334" i="3" s="1"/>
  <c r="AJ2333" i="3"/>
  <c r="AI2333" i="3"/>
  <c r="AJ2332" i="3"/>
  <c r="AI2332" i="3"/>
  <c r="AJ2331" i="3"/>
  <c r="AI2331" i="3"/>
  <c r="AI2330" i="3"/>
  <c r="AJ2330" i="3" s="1"/>
  <c r="AJ2329" i="3"/>
  <c r="AI2329" i="3"/>
  <c r="AJ2328" i="3"/>
  <c r="AI2328" i="3"/>
  <c r="AJ2327" i="3"/>
  <c r="AI2327" i="3"/>
  <c r="AI2326" i="3"/>
  <c r="AJ2326" i="3" s="1"/>
  <c r="AJ2325" i="3"/>
  <c r="AI2325" i="3"/>
  <c r="AJ2324" i="3"/>
  <c r="AI2324" i="3"/>
  <c r="AJ2323" i="3"/>
  <c r="AI2323" i="3"/>
  <c r="AI2322" i="3"/>
  <c r="AJ2322" i="3" s="1"/>
  <c r="AJ2321" i="3"/>
  <c r="AI2321" i="3"/>
  <c r="AJ2320" i="3"/>
  <c r="AI2320" i="3"/>
  <c r="AJ2319" i="3"/>
  <c r="AI2319" i="3"/>
  <c r="AI2318" i="3"/>
  <c r="AJ2318" i="3" s="1"/>
  <c r="AJ2317" i="3"/>
  <c r="AI2317" i="3"/>
  <c r="AJ2316" i="3"/>
  <c r="AI2316" i="3"/>
  <c r="AJ2315" i="3"/>
  <c r="AI2315" i="3"/>
  <c r="AI2314" i="3"/>
  <c r="AJ2314" i="3" s="1"/>
  <c r="AJ2313" i="3"/>
  <c r="AI2313" i="3"/>
  <c r="AJ2312" i="3"/>
  <c r="AI2312" i="3"/>
  <c r="AJ2311" i="3"/>
  <c r="AI2311" i="3"/>
  <c r="AI2310" i="3"/>
  <c r="AJ2310" i="3" s="1"/>
  <c r="AJ2309" i="3"/>
  <c r="AI2309" i="3"/>
  <c r="AJ2308" i="3"/>
  <c r="AI2308" i="3"/>
  <c r="AJ2307" i="3"/>
  <c r="AI2307" i="3"/>
  <c r="AI2306" i="3"/>
  <c r="AJ2306" i="3" s="1"/>
  <c r="AI2305" i="3"/>
  <c r="AJ2305" i="3" s="1"/>
  <c r="AJ2304" i="3"/>
  <c r="AI2304" i="3"/>
  <c r="AJ2303" i="3"/>
  <c r="AI2303" i="3"/>
  <c r="AI2302" i="3"/>
  <c r="AJ2302" i="3" s="1"/>
  <c r="AJ2301" i="3"/>
  <c r="AI2301" i="3"/>
  <c r="AJ2300" i="3"/>
  <c r="AI2300" i="3"/>
  <c r="AJ2299" i="3"/>
  <c r="AI2299" i="3"/>
  <c r="AI2298" i="3"/>
  <c r="AJ2298" i="3" s="1"/>
  <c r="AI2297" i="3"/>
  <c r="AJ2297" i="3" s="1"/>
  <c r="AJ2296" i="3"/>
  <c r="AI2296" i="3"/>
  <c r="AJ2295" i="3"/>
  <c r="AI2295" i="3"/>
  <c r="AI2294" i="3"/>
  <c r="AJ2294" i="3" s="1"/>
  <c r="AI2293" i="3"/>
  <c r="AJ2293" i="3" s="1"/>
  <c r="AJ2292" i="3"/>
  <c r="AI2292" i="3"/>
  <c r="AJ2291" i="3"/>
  <c r="AI2291" i="3"/>
  <c r="AI2290" i="3"/>
  <c r="AJ2290" i="3" s="1"/>
  <c r="AI2289" i="3"/>
  <c r="AJ2289" i="3" s="1"/>
  <c r="AJ2288" i="3"/>
  <c r="AI2288" i="3"/>
  <c r="AJ2287" i="3"/>
  <c r="AI2287" i="3"/>
  <c r="AI2286" i="3"/>
  <c r="AJ2286" i="3" s="1"/>
  <c r="AJ2285" i="3"/>
  <c r="AI2285" i="3"/>
  <c r="AJ2284" i="3"/>
  <c r="AI2284" i="3"/>
  <c r="AJ2283" i="3"/>
  <c r="AI2283" i="3"/>
  <c r="AI2282" i="3"/>
  <c r="AJ2282" i="3" s="1"/>
  <c r="AJ2281" i="3"/>
  <c r="AI2281" i="3"/>
  <c r="AJ2280" i="3"/>
  <c r="AI2280" i="3"/>
  <c r="AJ2279" i="3"/>
  <c r="AI2279" i="3"/>
  <c r="AI2278" i="3"/>
  <c r="AJ2278" i="3" s="1"/>
  <c r="AJ2277" i="3"/>
  <c r="AI2277" i="3"/>
  <c r="AJ2276" i="3"/>
  <c r="AI2276" i="3"/>
  <c r="AJ2275" i="3"/>
  <c r="AI2275" i="3"/>
  <c r="AI2274" i="3"/>
  <c r="AJ2274" i="3" s="1"/>
  <c r="AI2273" i="3"/>
  <c r="AJ2273" i="3" s="1"/>
  <c r="AJ2272" i="3"/>
  <c r="AI2272" i="3"/>
  <c r="AJ2271" i="3"/>
  <c r="AI2271" i="3"/>
  <c r="AI2270" i="3"/>
  <c r="AJ2270" i="3" s="1"/>
  <c r="AJ2269" i="3"/>
  <c r="AI2269" i="3"/>
  <c r="AJ2268" i="3"/>
  <c r="AI2268" i="3"/>
  <c r="AJ2267" i="3"/>
  <c r="AI2267" i="3"/>
  <c r="AI2266" i="3"/>
  <c r="AJ2266" i="3" s="1"/>
  <c r="AI2265" i="3"/>
  <c r="AJ2265" i="3" s="1"/>
  <c r="AJ2264" i="3"/>
  <c r="AI2264" i="3"/>
  <c r="AJ2263" i="3"/>
  <c r="AI2263" i="3"/>
  <c r="AI2262" i="3"/>
  <c r="AJ2262" i="3" s="1"/>
  <c r="AI2261" i="3"/>
  <c r="AJ2261" i="3" s="1"/>
  <c r="AJ2260" i="3"/>
  <c r="AI2260" i="3"/>
  <c r="AJ2259" i="3"/>
  <c r="AI2259" i="3"/>
  <c r="AI2258" i="3"/>
  <c r="AJ2258" i="3" s="1"/>
  <c r="AI2257" i="3"/>
  <c r="AJ2257" i="3" s="1"/>
  <c r="AJ2256" i="3"/>
  <c r="AI2256" i="3"/>
  <c r="AJ2255" i="3"/>
  <c r="AI2255" i="3"/>
  <c r="AI2254" i="3"/>
  <c r="AJ2254" i="3" s="1"/>
  <c r="AI2253" i="3"/>
  <c r="AJ2253" i="3" s="1"/>
  <c r="AJ2252" i="3"/>
  <c r="AI2252" i="3"/>
  <c r="AJ2251" i="3"/>
  <c r="AI2251" i="3"/>
  <c r="AI2250" i="3"/>
  <c r="AJ2250" i="3" s="1"/>
  <c r="AI2249" i="3"/>
  <c r="AJ2249" i="3" s="1"/>
  <c r="AJ2248" i="3"/>
  <c r="AI2248" i="3"/>
  <c r="AJ2247" i="3"/>
  <c r="AI2247" i="3"/>
  <c r="AI2246" i="3"/>
  <c r="AJ2246" i="3" s="1"/>
  <c r="AI2245" i="3"/>
  <c r="AJ2245" i="3" s="1"/>
  <c r="AJ2244" i="3"/>
  <c r="AI2244" i="3"/>
  <c r="AJ2243" i="3"/>
  <c r="AI2243" i="3"/>
  <c r="AI2242" i="3"/>
  <c r="AJ2242" i="3" s="1"/>
  <c r="AI2241" i="3"/>
  <c r="AJ2241" i="3" s="1"/>
  <c r="AJ2240" i="3"/>
  <c r="AI2240" i="3"/>
  <c r="AJ2239" i="3"/>
  <c r="AI2239" i="3"/>
  <c r="AI2238" i="3"/>
  <c r="AJ2238" i="3" s="1"/>
  <c r="AI2237" i="3"/>
  <c r="AJ2237" i="3" s="1"/>
  <c r="AJ2236" i="3"/>
  <c r="AI2236" i="3"/>
  <c r="AJ2235" i="3"/>
  <c r="AI2235" i="3"/>
  <c r="AI2234" i="3"/>
  <c r="AJ2234" i="3" s="1"/>
  <c r="AI2233" i="3"/>
  <c r="AJ2233" i="3" s="1"/>
  <c r="AJ2232" i="3"/>
  <c r="AI2232" i="3"/>
  <c r="AJ2231" i="3"/>
  <c r="AI2231" i="3"/>
  <c r="AI2230" i="3"/>
  <c r="AJ2230" i="3" s="1"/>
  <c r="AI2229" i="3"/>
  <c r="AJ2229" i="3" s="1"/>
  <c r="AJ2228" i="3"/>
  <c r="AI2228" i="3"/>
  <c r="AJ2227" i="3"/>
  <c r="AI2227" i="3"/>
  <c r="AI2226" i="3"/>
  <c r="AJ2226" i="3" s="1"/>
  <c r="AI2225" i="3"/>
  <c r="AJ2225" i="3" s="1"/>
  <c r="AJ2224" i="3"/>
  <c r="AI2224" i="3"/>
  <c r="AJ2223" i="3"/>
  <c r="AI2223" i="3"/>
  <c r="AI2222" i="3"/>
  <c r="AJ2222" i="3" s="1"/>
  <c r="AI2221" i="3"/>
  <c r="AJ2221" i="3" s="1"/>
  <c r="AJ2220" i="3"/>
  <c r="AI2220" i="3"/>
  <c r="AJ2219" i="3"/>
  <c r="AI2219" i="3"/>
  <c r="AI2218" i="3"/>
  <c r="AJ2218" i="3" s="1"/>
  <c r="AI2217" i="3"/>
  <c r="AJ2217" i="3" s="1"/>
  <c r="AJ2216" i="3"/>
  <c r="AI2216" i="3"/>
  <c r="AJ2215" i="3"/>
  <c r="AI2215" i="3"/>
  <c r="AI2214" i="3"/>
  <c r="AJ2214" i="3" s="1"/>
  <c r="AI2213" i="3"/>
  <c r="AJ2213" i="3" s="1"/>
  <c r="AJ2212" i="3"/>
  <c r="AI2212" i="3"/>
  <c r="AJ2211" i="3"/>
  <c r="AI2211" i="3"/>
  <c r="AI2210" i="3"/>
  <c r="AJ2210" i="3" s="1"/>
  <c r="AI2209" i="3"/>
  <c r="AJ2209" i="3" s="1"/>
  <c r="AJ2208" i="3"/>
  <c r="AI2208" i="3"/>
  <c r="AJ2207" i="3"/>
  <c r="AI2207" i="3"/>
  <c r="AI2206" i="3"/>
  <c r="AJ2206" i="3" s="1"/>
  <c r="AI2205" i="3"/>
  <c r="AJ2205" i="3" s="1"/>
  <c r="AJ2204" i="3"/>
  <c r="AI2204" i="3"/>
  <c r="AJ2203" i="3"/>
  <c r="AI2203" i="3"/>
  <c r="AI2202" i="3"/>
  <c r="AJ2202" i="3" s="1"/>
  <c r="AI2201" i="3"/>
  <c r="AJ2201" i="3" s="1"/>
  <c r="AJ2200" i="3"/>
  <c r="AI2200" i="3"/>
  <c r="AJ2199" i="3"/>
  <c r="AI2199" i="3"/>
  <c r="AI2198" i="3"/>
  <c r="AJ2198" i="3" s="1"/>
  <c r="AI2197" i="3"/>
  <c r="AJ2197" i="3" s="1"/>
  <c r="AJ2196" i="3"/>
  <c r="AI2196" i="3"/>
  <c r="AJ2195" i="3"/>
  <c r="AI2195" i="3"/>
  <c r="AI2194" i="3"/>
  <c r="AJ2194" i="3" s="1"/>
  <c r="AI2193" i="3"/>
  <c r="AJ2193" i="3" s="1"/>
  <c r="AI2192" i="3"/>
  <c r="AJ2192" i="3" s="1"/>
  <c r="AJ2191" i="3"/>
  <c r="AI2191" i="3"/>
  <c r="AI2190" i="3"/>
  <c r="AJ2190" i="3" s="1"/>
  <c r="AI2189" i="3"/>
  <c r="AJ2189" i="3" s="1"/>
  <c r="AI2188" i="3"/>
  <c r="AJ2188" i="3" s="1"/>
  <c r="AJ2187" i="3"/>
  <c r="AI2187" i="3"/>
  <c r="AI2186" i="3"/>
  <c r="AJ2186" i="3" s="1"/>
  <c r="AI2185" i="3"/>
  <c r="AJ2185" i="3" s="1"/>
  <c r="AI2184" i="3"/>
  <c r="AJ2184" i="3" s="1"/>
  <c r="AJ2183" i="3"/>
  <c r="AI2183" i="3"/>
  <c r="AI2182" i="3"/>
  <c r="AJ2182" i="3" s="1"/>
  <c r="AI2181" i="3"/>
  <c r="AJ2181" i="3" s="1"/>
  <c r="AI2180" i="3"/>
  <c r="AJ2180" i="3" s="1"/>
  <c r="AJ2179" i="3"/>
  <c r="AI2179" i="3"/>
  <c r="AI2178" i="3"/>
  <c r="AJ2178" i="3" s="1"/>
  <c r="AI2177" i="3"/>
  <c r="AJ2177" i="3" s="1"/>
  <c r="AI2176" i="3"/>
  <c r="AJ2176" i="3" s="1"/>
  <c r="AJ2175" i="3"/>
  <c r="AI2175" i="3"/>
  <c r="AI2174" i="3"/>
  <c r="AJ2174" i="3" s="1"/>
  <c r="AI2173" i="3"/>
  <c r="AJ2173" i="3" s="1"/>
  <c r="AI2172" i="3"/>
  <c r="AJ2172" i="3" s="1"/>
  <c r="AJ2171" i="3"/>
  <c r="AI2171" i="3"/>
  <c r="AI2170" i="3"/>
  <c r="AJ2170" i="3" s="1"/>
  <c r="AI2169" i="3"/>
  <c r="AJ2169" i="3" s="1"/>
  <c r="AI2168" i="3"/>
  <c r="AJ2168" i="3" s="1"/>
  <c r="AJ2167" i="3"/>
  <c r="AI2167" i="3"/>
  <c r="AI2166" i="3"/>
  <c r="AJ2166" i="3" s="1"/>
  <c r="AI2165" i="3"/>
  <c r="AJ2165" i="3" s="1"/>
  <c r="AI2164" i="3"/>
  <c r="AJ2164" i="3" s="1"/>
  <c r="AJ2163" i="3"/>
  <c r="AI2163" i="3"/>
  <c r="AI2162" i="3"/>
  <c r="AJ2162" i="3" s="1"/>
  <c r="AI2161" i="3"/>
  <c r="AJ2161" i="3" s="1"/>
  <c r="AI2160" i="3"/>
  <c r="AJ2160" i="3" s="1"/>
  <c r="AJ2159" i="3"/>
  <c r="AI2159" i="3"/>
  <c r="AI2158" i="3"/>
  <c r="AJ2158" i="3" s="1"/>
  <c r="AI2157" i="3"/>
  <c r="AJ2157" i="3" s="1"/>
  <c r="AI2156" i="3"/>
  <c r="AJ2156" i="3" s="1"/>
  <c r="AJ2155" i="3"/>
  <c r="AI2155" i="3"/>
  <c r="AI2154" i="3"/>
  <c r="AJ2154" i="3" s="1"/>
  <c r="AI2153" i="3"/>
  <c r="AJ2153" i="3" s="1"/>
  <c r="AI2152" i="3"/>
  <c r="AJ2152" i="3" s="1"/>
  <c r="AJ2151" i="3"/>
  <c r="AI2151" i="3"/>
  <c r="AI2150" i="3"/>
  <c r="AJ2150" i="3" s="1"/>
  <c r="AI2149" i="3"/>
  <c r="AJ2149" i="3" s="1"/>
  <c r="AI2148" i="3"/>
  <c r="AJ2148" i="3" s="1"/>
  <c r="AJ2147" i="3"/>
  <c r="AI2147" i="3"/>
  <c r="AI2146" i="3"/>
  <c r="AJ2146" i="3" s="1"/>
  <c r="AI2145" i="3"/>
  <c r="AJ2145" i="3" s="1"/>
  <c r="AI2144" i="3"/>
  <c r="AJ2144" i="3" s="1"/>
  <c r="AJ2143" i="3"/>
  <c r="AI2143" i="3"/>
  <c r="AI2142" i="3"/>
  <c r="AJ2142" i="3" s="1"/>
  <c r="AI2141" i="3"/>
  <c r="AJ2141" i="3" s="1"/>
  <c r="AI2140" i="3"/>
  <c r="AJ2140" i="3" s="1"/>
  <c r="AJ2139" i="3"/>
  <c r="AI2139" i="3"/>
  <c r="AI2138" i="3"/>
  <c r="AJ2138" i="3" s="1"/>
  <c r="AI2137" i="3"/>
  <c r="AJ2137" i="3" s="1"/>
  <c r="AI2136" i="3"/>
  <c r="AJ2136" i="3" s="1"/>
  <c r="AJ2135" i="3"/>
  <c r="AI2135" i="3"/>
  <c r="AI2134" i="3"/>
  <c r="AJ2134" i="3" s="1"/>
  <c r="AI2133" i="3"/>
  <c r="AJ2133" i="3" s="1"/>
  <c r="AI2132" i="3"/>
  <c r="AJ2132" i="3" s="1"/>
  <c r="AJ2131" i="3"/>
  <c r="AI2131" i="3"/>
  <c r="AI2130" i="3"/>
  <c r="AJ2130" i="3" s="1"/>
  <c r="AI2129" i="3"/>
  <c r="AJ2129" i="3" s="1"/>
  <c r="AI2128" i="3"/>
  <c r="AJ2128" i="3" s="1"/>
  <c r="AJ2127" i="3"/>
  <c r="AI2127" i="3"/>
  <c r="AI2126" i="3"/>
  <c r="AJ2126" i="3" s="1"/>
  <c r="AI2125" i="3"/>
  <c r="AJ2125" i="3" s="1"/>
  <c r="AI2124" i="3"/>
  <c r="AJ2124" i="3" s="1"/>
  <c r="AJ2123" i="3"/>
  <c r="AI2123" i="3"/>
  <c r="AI2122" i="3"/>
  <c r="AJ2122" i="3" s="1"/>
  <c r="AI2121" i="3"/>
  <c r="AJ2121" i="3" s="1"/>
  <c r="AI2120" i="3"/>
  <c r="AJ2120" i="3" s="1"/>
  <c r="AJ2119" i="3"/>
  <c r="AI2119" i="3"/>
  <c r="AI2118" i="3"/>
  <c r="AJ2118" i="3" s="1"/>
  <c r="AI2117" i="3"/>
  <c r="AJ2117" i="3" s="1"/>
  <c r="AI2116" i="3"/>
  <c r="AJ2116" i="3" s="1"/>
  <c r="AJ2115" i="3"/>
  <c r="AI2115" i="3"/>
  <c r="AI2114" i="3"/>
  <c r="AJ2114" i="3" s="1"/>
  <c r="AI2113" i="3"/>
  <c r="AJ2113" i="3" s="1"/>
  <c r="AI2112" i="3"/>
  <c r="AJ2112" i="3" s="1"/>
  <c r="AJ2111" i="3"/>
  <c r="AI2111" i="3"/>
  <c r="AI2110" i="3"/>
  <c r="AJ2110" i="3" s="1"/>
  <c r="AI2109" i="3"/>
  <c r="AJ2109" i="3" s="1"/>
  <c r="AI2108" i="3"/>
  <c r="AJ2108" i="3" s="1"/>
  <c r="AJ2107" i="3"/>
  <c r="AI2107" i="3"/>
  <c r="AI2106" i="3"/>
  <c r="AJ2106" i="3" s="1"/>
  <c r="AI2105" i="3"/>
  <c r="AJ2105" i="3" s="1"/>
  <c r="AI2104" i="3"/>
  <c r="AJ2104" i="3" s="1"/>
  <c r="AJ2103" i="3"/>
  <c r="AI2103" i="3"/>
  <c r="AI2102" i="3"/>
  <c r="AJ2102" i="3" s="1"/>
  <c r="AI2101" i="3"/>
  <c r="AJ2101" i="3" s="1"/>
  <c r="AI2100" i="3"/>
  <c r="AJ2100" i="3" s="1"/>
  <c r="AJ2099" i="3"/>
  <c r="AI2099" i="3"/>
  <c r="AI2098" i="3"/>
  <c r="AJ2098" i="3" s="1"/>
  <c r="AI2097" i="3"/>
  <c r="AJ2097" i="3" s="1"/>
  <c r="AI2096" i="3"/>
  <c r="AJ2096" i="3" s="1"/>
  <c r="AJ2095" i="3"/>
  <c r="AI2095" i="3"/>
  <c r="AI2094" i="3"/>
  <c r="AJ2094" i="3" s="1"/>
  <c r="AI2093" i="3"/>
  <c r="AJ2093" i="3" s="1"/>
  <c r="AI2092" i="3"/>
  <c r="AJ2092" i="3" s="1"/>
  <c r="AJ2091" i="3"/>
  <c r="AI2091" i="3"/>
  <c r="AI2090" i="3"/>
  <c r="AJ2090" i="3" s="1"/>
  <c r="AI2089" i="3"/>
  <c r="AJ2089" i="3" s="1"/>
  <c r="AI2088" i="3"/>
  <c r="AJ2088" i="3" s="1"/>
  <c r="AJ2087" i="3"/>
  <c r="AI2087" i="3"/>
  <c r="AI2086" i="3"/>
  <c r="AJ2086" i="3" s="1"/>
  <c r="AI2085" i="3"/>
  <c r="AJ2085" i="3" s="1"/>
  <c r="AI2084" i="3"/>
  <c r="AJ2084" i="3" s="1"/>
  <c r="AJ2083" i="3"/>
  <c r="AI2083" i="3"/>
  <c r="AI2082" i="3"/>
  <c r="AJ2082" i="3" s="1"/>
  <c r="AI2081" i="3"/>
  <c r="AJ2081" i="3" s="1"/>
  <c r="AI2080" i="3"/>
  <c r="AJ2080" i="3" s="1"/>
  <c r="AJ2079" i="3"/>
  <c r="AI2079" i="3"/>
  <c r="AI2078" i="3"/>
  <c r="AJ2078" i="3" s="1"/>
  <c r="AI2077" i="3"/>
  <c r="AJ2077" i="3" s="1"/>
  <c r="AI2076" i="3"/>
  <c r="AJ2076" i="3" s="1"/>
  <c r="AJ2075" i="3"/>
  <c r="AI2075" i="3"/>
  <c r="AI2074" i="3"/>
  <c r="AJ2074" i="3" s="1"/>
  <c r="AI2073" i="3"/>
  <c r="AJ2073" i="3" s="1"/>
  <c r="AI2072" i="3"/>
  <c r="AJ2072" i="3" s="1"/>
  <c r="AJ2071" i="3"/>
  <c r="AI2071" i="3"/>
  <c r="AI2070" i="3"/>
  <c r="AJ2070" i="3" s="1"/>
  <c r="AI2069" i="3"/>
  <c r="AJ2069" i="3" s="1"/>
  <c r="AI2068" i="3"/>
  <c r="AJ2068" i="3" s="1"/>
  <c r="AJ2067" i="3"/>
  <c r="AI2067" i="3"/>
  <c r="AI2066" i="3"/>
  <c r="AJ2066" i="3" s="1"/>
  <c r="AI2065" i="3"/>
  <c r="AJ2065" i="3" s="1"/>
  <c r="AI2064" i="3"/>
  <c r="AJ2064" i="3" s="1"/>
  <c r="AJ2063" i="3"/>
  <c r="AI2063" i="3"/>
  <c r="AI2062" i="3"/>
  <c r="AJ2062" i="3" s="1"/>
  <c r="AI2061" i="3"/>
  <c r="AJ2061" i="3" s="1"/>
  <c r="AI2060" i="3"/>
  <c r="AJ2060" i="3" s="1"/>
  <c r="AJ2059" i="3"/>
  <c r="AI2059" i="3"/>
  <c r="AI2058" i="3"/>
  <c r="AJ2058" i="3" s="1"/>
  <c r="AI2057" i="3"/>
  <c r="AJ2057" i="3" s="1"/>
  <c r="AI2056" i="3"/>
  <c r="AJ2056" i="3" s="1"/>
  <c r="AJ2055" i="3"/>
  <c r="AI2055" i="3"/>
  <c r="AI2054" i="3"/>
  <c r="AJ2054" i="3" s="1"/>
  <c r="AI2053" i="3"/>
  <c r="AJ2053" i="3" s="1"/>
  <c r="AI2052" i="3"/>
  <c r="AJ2052" i="3" s="1"/>
  <c r="AJ2051" i="3"/>
  <c r="AI2051" i="3"/>
  <c r="AI2050" i="3"/>
  <c r="AJ2050" i="3" s="1"/>
  <c r="AI2049" i="3"/>
  <c r="AJ2049" i="3" s="1"/>
  <c r="AI2048" i="3"/>
  <c r="AJ2048" i="3" s="1"/>
  <c r="AJ2047" i="3"/>
  <c r="AI2047" i="3"/>
  <c r="AI2046" i="3"/>
  <c r="AJ2046" i="3" s="1"/>
  <c r="AI2045" i="3"/>
  <c r="AJ2045" i="3" s="1"/>
  <c r="AI2044" i="3"/>
  <c r="AJ2044" i="3" s="1"/>
  <c r="AJ2043" i="3"/>
  <c r="AI2043" i="3"/>
  <c r="AI2042" i="3"/>
  <c r="AJ2042" i="3" s="1"/>
  <c r="AI2041" i="3"/>
  <c r="AJ2041" i="3" s="1"/>
  <c r="AI2040" i="3"/>
  <c r="AJ2040" i="3" s="1"/>
  <c r="AJ2039" i="3"/>
  <c r="AI2039" i="3"/>
  <c r="AI2038" i="3"/>
  <c r="AJ2038" i="3" s="1"/>
  <c r="AI2037" i="3"/>
  <c r="AJ2037" i="3" s="1"/>
  <c r="AI2036" i="3"/>
  <c r="AJ2036" i="3" s="1"/>
  <c r="AJ2035" i="3"/>
  <c r="AI2035" i="3"/>
  <c r="AI2034" i="3"/>
  <c r="AJ2034" i="3" s="1"/>
  <c r="AI2033" i="3"/>
  <c r="AJ2033" i="3" s="1"/>
  <c r="AI2032" i="3"/>
  <c r="AJ2032" i="3" s="1"/>
  <c r="AJ2031" i="3"/>
  <c r="AI2031" i="3"/>
  <c r="AI2030" i="3"/>
  <c r="AJ2030" i="3" s="1"/>
  <c r="AI2029" i="3"/>
  <c r="AJ2029" i="3" s="1"/>
  <c r="AI2028" i="3"/>
  <c r="AJ2028" i="3" s="1"/>
  <c r="AJ2027" i="3"/>
  <c r="AI2027" i="3"/>
  <c r="AI2026" i="3"/>
  <c r="AJ2026" i="3" s="1"/>
  <c r="AI2025" i="3"/>
  <c r="AJ2025" i="3" s="1"/>
  <c r="AI2024" i="3"/>
  <c r="AJ2024" i="3" s="1"/>
  <c r="AJ2023" i="3"/>
  <c r="AI2023" i="3"/>
  <c r="AI2022" i="3"/>
  <c r="AJ2022" i="3" s="1"/>
  <c r="AI2021" i="3"/>
  <c r="AJ2021" i="3" s="1"/>
  <c r="AI2020" i="3"/>
  <c r="AJ2020" i="3" s="1"/>
  <c r="AJ2019" i="3"/>
  <c r="AI2019" i="3"/>
  <c r="AI2018" i="3"/>
  <c r="AJ2018" i="3" s="1"/>
  <c r="AI2017" i="3"/>
  <c r="AJ2017" i="3" s="1"/>
  <c r="AI2016" i="3"/>
  <c r="AJ2016" i="3" s="1"/>
  <c r="AJ2015" i="3"/>
  <c r="AI2015" i="3"/>
  <c r="AI2014" i="3"/>
  <c r="AJ2014" i="3" s="1"/>
  <c r="AI2013" i="3"/>
  <c r="AJ2013" i="3" s="1"/>
  <c r="AI2012" i="3"/>
  <c r="AJ2012" i="3" s="1"/>
  <c r="AJ2011" i="3"/>
  <c r="AI2011" i="3"/>
  <c r="AI2010" i="3"/>
  <c r="AJ2010" i="3" s="1"/>
  <c r="AI2009" i="3"/>
  <c r="AJ2009" i="3" s="1"/>
  <c r="AI2008" i="3"/>
  <c r="AJ2008" i="3" s="1"/>
  <c r="AJ2007" i="3"/>
  <c r="AI2007" i="3"/>
  <c r="AI2006" i="3"/>
  <c r="AJ2006" i="3" s="1"/>
  <c r="AI2005" i="3"/>
  <c r="AJ2005" i="3" s="1"/>
  <c r="AI2004" i="3"/>
  <c r="AJ2004" i="3" s="1"/>
  <c r="AJ2003" i="3"/>
  <c r="AI2003" i="3"/>
  <c r="AI2002" i="3"/>
  <c r="AJ2002" i="3" s="1"/>
  <c r="AI2001" i="3"/>
  <c r="AJ2001" i="3" s="1"/>
  <c r="AI2000" i="3"/>
  <c r="AJ2000" i="3" s="1"/>
  <c r="AJ1999" i="3"/>
  <c r="AI1999" i="3"/>
  <c r="AI1998" i="3"/>
  <c r="AJ1998" i="3" s="1"/>
  <c r="AI1997" i="3"/>
  <c r="AJ1997" i="3" s="1"/>
  <c r="AI1996" i="3"/>
  <c r="AJ1996" i="3" s="1"/>
  <c r="AJ1995" i="3"/>
  <c r="AI1995" i="3"/>
  <c r="AI1994" i="3"/>
  <c r="AJ1994" i="3" s="1"/>
  <c r="AI1993" i="3"/>
  <c r="AJ1993" i="3" s="1"/>
  <c r="AI1992" i="3"/>
  <c r="AJ1992" i="3" s="1"/>
  <c r="AJ1991" i="3"/>
  <c r="AI1991" i="3"/>
  <c r="AI1990" i="3"/>
  <c r="AJ1990" i="3" s="1"/>
  <c r="AI1989" i="3"/>
  <c r="AJ1989" i="3" s="1"/>
  <c r="AI1988" i="3"/>
  <c r="AJ1988" i="3" s="1"/>
  <c r="AJ1987" i="3"/>
  <c r="AI1987" i="3"/>
  <c r="AI1986" i="3"/>
  <c r="AJ1986" i="3" s="1"/>
  <c r="AI1985" i="3"/>
  <c r="AJ1985" i="3" s="1"/>
  <c r="AI1984" i="3"/>
  <c r="AJ1984" i="3" s="1"/>
  <c r="AJ1983" i="3"/>
  <c r="AI1983" i="3"/>
  <c r="AI1982" i="3"/>
  <c r="AJ1982" i="3" s="1"/>
  <c r="AI1981" i="3"/>
  <c r="AJ1981" i="3" s="1"/>
  <c r="AI1980" i="3"/>
  <c r="AJ1980" i="3" s="1"/>
  <c r="AJ1979" i="3"/>
  <c r="AI1979" i="3"/>
  <c r="AI1978" i="3"/>
  <c r="AJ1978" i="3" s="1"/>
  <c r="AI1977" i="3"/>
  <c r="AJ1977" i="3" s="1"/>
  <c r="AI1976" i="3"/>
  <c r="AJ1976" i="3" s="1"/>
  <c r="AJ1975" i="3"/>
  <c r="AI1975" i="3"/>
  <c r="AI1974" i="3"/>
  <c r="AJ1974" i="3" s="1"/>
  <c r="AI1973" i="3"/>
  <c r="AJ1973" i="3" s="1"/>
  <c r="AI1972" i="3"/>
  <c r="AJ1972" i="3" s="1"/>
  <c r="AJ1971" i="3"/>
  <c r="AI1971" i="3"/>
  <c r="AI1970" i="3"/>
  <c r="AJ1970" i="3" s="1"/>
  <c r="AI1969" i="3"/>
  <c r="AJ1969" i="3" s="1"/>
  <c r="AI1968" i="3"/>
  <c r="AJ1968" i="3" s="1"/>
  <c r="AJ1967" i="3"/>
  <c r="AI1967" i="3"/>
  <c r="AI1966" i="3"/>
  <c r="AJ1966" i="3" s="1"/>
  <c r="AI1965" i="3"/>
  <c r="AJ1965" i="3" s="1"/>
  <c r="AI1964" i="3"/>
  <c r="AJ1964" i="3" s="1"/>
  <c r="AJ1963" i="3"/>
  <c r="AI1963" i="3"/>
  <c r="AI1962" i="3"/>
  <c r="AJ1962" i="3" s="1"/>
  <c r="AI1961" i="3"/>
  <c r="AJ1961" i="3" s="1"/>
  <c r="AI1960" i="3"/>
  <c r="AJ1960" i="3" s="1"/>
  <c r="AJ1959" i="3"/>
  <c r="AI1959" i="3"/>
  <c r="AI1958" i="3"/>
  <c r="AJ1958" i="3" s="1"/>
  <c r="AI1957" i="3"/>
  <c r="AJ1957" i="3" s="1"/>
  <c r="AI1956" i="3"/>
  <c r="AJ1956" i="3" s="1"/>
  <c r="AJ1955" i="3"/>
  <c r="AI1955" i="3"/>
  <c r="AI1954" i="3"/>
  <c r="AJ1954" i="3" s="1"/>
  <c r="AI1953" i="3"/>
  <c r="AJ1953" i="3" s="1"/>
  <c r="AI1952" i="3"/>
  <c r="AJ1952" i="3" s="1"/>
  <c r="AJ1951" i="3"/>
  <c r="AI1951" i="3"/>
  <c r="AI1950" i="3"/>
  <c r="AJ1950" i="3" s="1"/>
  <c r="AI1949" i="3"/>
  <c r="AJ1949" i="3" s="1"/>
  <c r="AI1948" i="3"/>
  <c r="AJ1948" i="3" s="1"/>
  <c r="AJ1947" i="3"/>
  <c r="AI1947" i="3"/>
  <c r="AI1946" i="3"/>
  <c r="AJ1946" i="3" s="1"/>
  <c r="AI1945" i="3"/>
  <c r="AJ1945" i="3" s="1"/>
  <c r="AI1944" i="3"/>
  <c r="AJ1944" i="3" s="1"/>
  <c r="AI1943" i="3"/>
  <c r="AJ1943" i="3" s="1"/>
  <c r="AI1942" i="3"/>
  <c r="AJ1942" i="3" s="1"/>
  <c r="AI1941" i="3"/>
  <c r="AJ1941" i="3" s="1"/>
  <c r="AI1940" i="3"/>
  <c r="AJ1940" i="3" s="1"/>
  <c r="AI1939" i="3"/>
  <c r="AJ1939" i="3" s="1"/>
  <c r="AI1938" i="3"/>
  <c r="AJ1938" i="3" s="1"/>
  <c r="AI1937" i="3"/>
  <c r="AJ1937" i="3" s="1"/>
  <c r="AI1936" i="3"/>
  <c r="AJ1936" i="3" s="1"/>
  <c r="AI1935" i="3"/>
  <c r="AJ1935" i="3" s="1"/>
  <c r="AI1934" i="3"/>
  <c r="AJ1934" i="3" s="1"/>
  <c r="AI1933" i="3"/>
  <c r="AJ1933" i="3" s="1"/>
  <c r="AI1932" i="3"/>
  <c r="AJ1932" i="3" s="1"/>
  <c r="AI1931" i="3"/>
  <c r="AJ1931" i="3" s="1"/>
  <c r="AI1930" i="3"/>
  <c r="AJ1930" i="3" s="1"/>
  <c r="AI1929" i="3"/>
  <c r="AJ1929" i="3" s="1"/>
  <c r="AI1928" i="3"/>
  <c r="AJ1928" i="3" s="1"/>
  <c r="AJ1927" i="3"/>
  <c r="AI1927" i="3"/>
  <c r="AI1926" i="3"/>
  <c r="AJ1926" i="3" s="1"/>
  <c r="AI1925" i="3"/>
  <c r="AJ1925" i="3" s="1"/>
  <c r="AI1924" i="3"/>
  <c r="AJ1924" i="3" s="1"/>
  <c r="AJ1923" i="3"/>
  <c r="AI1923" i="3"/>
  <c r="AI1922" i="3"/>
  <c r="AJ1922" i="3" s="1"/>
  <c r="AI1921" i="3"/>
  <c r="AJ1921" i="3" s="1"/>
  <c r="AI1920" i="3"/>
  <c r="AJ1920" i="3" s="1"/>
  <c r="AJ1919" i="3"/>
  <c r="AI1919" i="3"/>
  <c r="AI1918" i="3"/>
  <c r="AJ1918" i="3" s="1"/>
  <c r="AI1917" i="3"/>
  <c r="AJ1917" i="3" s="1"/>
  <c r="AI1916" i="3"/>
  <c r="AJ1916" i="3" s="1"/>
  <c r="AI1915" i="3"/>
  <c r="AJ1915" i="3" s="1"/>
  <c r="AI1914" i="3"/>
  <c r="AJ1914" i="3" s="1"/>
  <c r="AI1913" i="3"/>
  <c r="AJ1913" i="3" s="1"/>
  <c r="AI1912" i="3"/>
  <c r="AJ1912" i="3" s="1"/>
  <c r="AI1911" i="3"/>
  <c r="AJ1911" i="3" s="1"/>
  <c r="AI1910" i="3"/>
  <c r="AJ1910" i="3" s="1"/>
  <c r="AI1909" i="3"/>
  <c r="AJ1909" i="3" s="1"/>
  <c r="AI1908" i="3"/>
  <c r="AJ1908" i="3" s="1"/>
  <c r="AI1907" i="3"/>
  <c r="AJ1907" i="3" s="1"/>
  <c r="AI1906" i="3"/>
  <c r="AJ1906" i="3" s="1"/>
  <c r="AI1905" i="3"/>
  <c r="AJ1905" i="3" s="1"/>
  <c r="AI1904" i="3"/>
  <c r="AJ1904" i="3" s="1"/>
  <c r="AI1903" i="3"/>
  <c r="AJ1903" i="3" s="1"/>
  <c r="AI1902" i="3"/>
  <c r="AJ1902" i="3" s="1"/>
  <c r="AI1901" i="3"/>
  <c r="AJ1901" i="3" s="1"/>
  <c r="AI1900" i="3"/>
  <c r="AJ1900" i="3" s="1"/>
  <c r="AJ1899" i="3"/>
  <c r="AI1899" i="3"/>
  <c r="AI1898" i="3"/>
  <c r="AJ1898" i="3" s="1"/>
  <c r="AI1897" i="3"/>
  <c r="AJ1897" i="3" s="1"/>
  <c r="AI1896" i="3"/>
  <c r="AJ1896" i="3" s="1"/>
  <c r="AJ1895" i="3"/>
  <c r="AI1895" i="3"/>
  <c r="AI1894" i="3"/>
  <c r="AJ1894" i="3" s="1"/>
  <c r="AI1893" i="3"/>
  <c r="AJ1893" i="3" s="1"/>
  <c r="AI1892" i="3"/>
  <c r="AJ1892" i="3" s="1"/>
  <c r="AJ1891" i="3"/>
  <c r="AI1891" i="3"/>
  <c r="AI1890" i="3"/>
  <c r="AJ1890" i="3" s="1"/>
  <c r="AI1889" i="3"/>
  <c r="AJ1889" i="3" s="1"/>
  <c r="AI1888" i="3"/>
  <c r="AJ1888" i="3" s="1"/>
  <c r="AJ1887" i="3"/>
  <c r="AI1887" i="3"/>
  <c r="AI1886" i="3"/>
  <c r="AJ1886" i="3" s="1"/>
  <c r="AI1885" i="3"/>
  <c r="AJ1885" i="3" s="1"/>
  <c r="AI1884" i="3"/>
  <c r="AJ1884" i="3" s="1"/>
  <c r="AI1883" i="3"/>
  <c r="AJ1883" i="3" s="1"/>
  <c r="AI1882" i="3"/>
  <c r="AJ1882" i="3" s="1"/>
  <c r="AI1881" i="3"/>
  <c r="AJ1881" i="3" s="1"/>
  <c r="AI1880" i="3"/>
  <c r="AJ1880" i="3" s="1"/>
  <c r="AI1879" i="3"/>
  <c r="AJ1879" i="3" s="1"/>
  <c r="AI1878" i="3"/>
  <c r="AJ1878" i="3" s="1"/>
  <c r="AI1877" i="3"/>
  <c r="AJ1877" i="3" s="1"/>
  <c r="AI1876" i="3"/>
  <c r="AJ1876" i="3" s="1"/>
  <c r="AI1875" i="3"/>
  <c r="AJ1875" i="3" s="1"/>
  <c r="AI1874" i="3"/>
  <c r="AJ1874" i="3" s="1"/>
  <c r="AI1873" i="3"/>
  <c r="AJ1873" i="3" s="1"/>
  <c r="AI1872" i="3"/>
  <c r="AJ1872" i="3" s="1"/>
  <c r="AI1871" i="3"/>
  <c r="AJ1871" i="3" s="1"/>
  <c r="AI1870" i="3"/>
  <c r="AJ1870" i="3" s="1"/>
  <c r="AI1869" i="3"/>
  <c r="AJ1869" i="3" s="1"/>
  <c r="AI1868" i="3"/>
  <c r="AJ1868" i="3" s="1"/>
  <c r="AJ1867" i="3"/>
  <c r="AI1867" i="3"/>
  <c r="AI1866" i="3"/>
  <c r="AJ1866" i="3" s="1"/>
  <c r="AI1865" i="3"/>
  <c r="AJ1865" i="3" s="1"/>
  <c r="AI1864" i="3"/>
  <c r="AJ1864" i="3" s="1"/>
  <c r="AJ1863" i="3"/>
  <c r="AI1863" i="3"/>
  <c r="AI1862" i="3"/>
  <c r="AJ1862" i="3" s="1"/>
  <c r="AI1861" i="3"/>
  <c r="AJ1861" i="3" s="1"/>
  <c r="AI1860" i="3"/>
  <c r="AJ1860" i="3" s="1"/>
  <c r="AI1859" i="3"/>
  <c r="AJ1859" i="3" s="1"/>
  <c r="AJ1858" i="3"/>
  <c r="AI1858" i="3"/>
  <c r="AJ1857" i="3"/>
  <c r="AI1857" i="3"/>
  <c r="AI1856" i="3"/>
  <c r="AJ1856" i="3" s="1"/>
  <c r="AI1855" i="3"/>
  <c r="AJ1855" i="3" s="1"/>
  <c r="AJ1854" i="3"/>
  <c r="AI1854" i="3"/>
  <c r="AJ1853" i="3"/>
  <c r="AI1853" i="3"/>
  <c r="AI1852" i="3"/>
  <c r="AJ1852" i="3" s="1"/>
  <c r="AI1851" i="3"/>
  <c r="AJ1851" i="3" s="1"/>
  <c r="AJ1850" i="3"/>
  <c r="AI1850" i="3"/>
  <c r="AJ1849" i="3"/>
  <c r="AI1849" i="3"/>
  <c r="AI1848" i="3"/>
  <c r="AJ1848" i="3" s="1"/>
  <c r="AI1847" i="3"/>
  <c r="AJ1847" i="3" s="1"/>
  <c r="AJ1846" i="3"/>
  <c r="AI1846" i="3"/>
  <c r="AJ1845" i="3"/>
  <c r="AI1845" i="3"/>
  <c r="AI1844" i="3"/>
  <c r="AJ1844" i="3" s="1"/>
  <c r="AI1843" i="3"/>
  <c r="AJ1843" i="3" s="1"/>
  <c r="AJ1842" i="3"/>
  <c r="AI1842" i="3"/>
  <c r="AJ1841" i="3"/>
  <c r="AI1841" i="3"/>
  <c r="AI1840" i="3"/>
  <c r="AJ1840" i="3" s="1"/>
  <c r="AI1839" i="3"/>
  <c r="AJ1839" i="3" s="1"/>
  <c r="AJ1838" i="3"/>
  <c r="AI1838" i="3"/>
  <c r="AJ1837" i="3"/>
  <c r="AI1837" i="3"/>
  <c r="AI1836" i="3"/>
  <c r="AJ1836" i="3" s="1"/>
  <c r="AI1835" i="3"/>
  <c r="AJ1835" i="3" s="1"/>
  <c r="AJ1834" i="3"/>
  <c r="AI1834" i="3"/>
  <c r="AJ1833" i="3"/>
  <c r="AI1833" i="3"/>
  <c r="AI1832" i="3"/>
  <c r="AJ1832" i="3" s="1"/>
  <c r="AI1831" i="3"/>
  <c r="AJ1831" i="3" s="1"/>
  <c r="AJ1830" i="3"/>
  <c r="AI1830" i="3"/>
  <c r="AJ1829" i="3"/>
  <c r="AI1829" i="3"/>
  <c r="AI1828" i="3"/>
  <c r="AJ1828" i="3" s="1"/>
  <c r="AI1827" i="3"/>
  <c r="AJ1827" i="3" s="1"/>
  <c r="AJ1826" i="3"/>
  <c r="AI1826" i="3"/>
  <c r="AJ1825" i="3"/>
  <c r="AI1825" i="3"/>
  <c r="AI1824" i="3"/>
  <c r="AJ1824" i="3" s="1"/>
  <c r="AI1823" i="3"/>
  <c r="AJ1823" i="3" s="1"/>
  <c r="AJ1822" i="3"/>
  <c r="AI1822" i="3"/>
  <c r="AJ1821" i="3"/>
  <c r="AI1821" i="3"/>
  <c r="AI1820" i="3"/>
  <c r="AJ1820" i="3" s="1"/>
  <c r="AI1819" i="3"/>
  <c r="AJ1819" i="3" s="1"/>
  <c r="AJ1818" i="3"/>
  <c r="AI1818" i="3"/>
  <c r="AJ1817" i="3"/>
  <c r="AI1817" i="3"/>
  <c r="AI1816" i="3"/>
  <c r="AJ1816" i="3" s="1"/>
  <c r="AI1815" i="3"/>
  <c r="AJ1815" i="3" s="1"/>
  <c r="AJ1814" i="3"/>
  <c r="AI1814" i="3"/>
  <c r="AJ1813" i="3"/>
  <c r="AI1813" i="3"/>
  <c r="AI1812" i="3"/>
  <c r="AJ1812" i="3" s="1"/>
  <c r="AI1811" i="3"/>
  <c r="AJ1811" i="3" s="1"/>
  <c r="AJ1810" i="3"/>
  <c r="AI1810" i="3"/>
  <c r="AJ1809" i="3"/>
  <c r="AI1809" i="3"/>
  <c r="AI1808" i="3"/>
  <c r="AJ1808" i="3" s="1"/>
  <c r="AI1807" i="3"/>
  <c r="AJ1807" i="3" s="1"/>
  <c r="AJ1806" i="3"/>
  <c r="AI1806" i="3"/>
  <c r="AJ1805" i="3"/>
  <c r="AI1805" i="3"/>
  <c r="AI1804" i="3"/>
  <c r="AJ1804" i="3" s="1"/>
  <c r="AI1803" i="3"/>
  <c r="AJ1803" i="3" s="1"/>
  <c r="AJ1802" i="3"/>
  <c r="AI1802" i="3"/>
  <c r="AJ1801" i="3"/>
  <c r="AI1801" i="3"/>
  <c r="AI1800" i="3"/>
  <c r="AJ1800" i="3" s="1"/>
  <c r="AI1799" i="3"/>
  <c r="AJ1799" i="3" s="1"/>
  <c r="AJ1798" i="3"/>
  <c r="AI1798" i="3"/>
  <c r="AJ1797" i="3"/>
  <c r="AI1797" i="3"/>
  <c r="AI1796" i="3"/>
  <c r="AJ1796" i="3" s="1"/>
  <c r="AI1795" i="3"/>
  <c r="AJ1795" i="3" s="1"/>
  <c r="AJ1794" i="3"/>
  <c r="AI1794" i="3"/>
  <c r="AJ1793" i="3"/>
  <c r="AI1793" i="3"/>
  <c r="AI1792" i="3"/>
  <c r="AJ1792" i="3" s="1"/>
  <c r="AI1791" i="3"/>
  <c r="AJ1791" i="3" s="1"/>
  <c r="AJ1790" i="3"/>
  <c r="AI1790" i="3"/>
  <c r="AJ1789" i="3"/>
  <c r="AI1789" i="3"/>
  <c r="AI1788" i="3"/>
  <c r="AJ1788" i="3" s="1"/>
  <c r="AI1787" i="3"/>
  <c r="AJ1787" i="3" s="1"/>
  <c r="AJ1786" i="3"/>
  <c r="AI1786" i="3"/>
  <c r="AJ1785" i="3"/>
  <c r="AI1785" i="3"/>
  <c r="AI1784" i="3"/>
  <c r="AJ1784" i="3" s="1"/>
  <c r="AI1783" i="3"/>
  <c r="AJ1783" i="3" s="1"/>
  <c r="AJ1782" i="3"/>
  <c r="AI1782" i="3"/>
  <c r="AJ1781" i="3"/>
  <c r="AI1781" i="3"/>
  <c r="AI1780" i="3"/>
  <c r="AJ1780" i="3" s="1"/>
  <c r="AI1779" i="3"/>
  <c r="AJ1779" i="3" s="1"/>
  <c r="AJ1778" i="3"/>
  <c r="AI1778" i="3"/>
  <c r="AJ1777" i="3"/>
  <c r="AI1777" i="3"/>
  <c r="AI1776" i="3"/>
  <c r="AJ1776" i="3" s="1"/>
  <c r="AI1775" i="3"/>
  <c r="AJ1775" i="3" s="1"/>
  <c r="AJ1774" i="3"/>
  <c r="AI1774" i="3"/>
  <c r="AJ1773" i="3"/>
  <c r="AI1773" i="3"/>
  <c r="AI1772" i="3"/>
  <c r="AJ1772" i="3" s="1"/>
  <c r="AI1771" i="3"/>
  <c r="AJ1771" i="3" s="1"/>
  <c r="AJ1770" i="3"/>
  <c r="AI1770" i="3"/>
  <c r="AJ1769" i="3"/>
  <c r="AI1769" i="3"/>
  <c r="AI1768" i="3"/>
  <c r="AJ1768" i="3" s="1"/>
  <c r="AI1767" i="3"/>
  <c r="AJ1767" i="3" s="1"/>
  <c r="AJ1766" i="3"/>
  <c r="AI1766" i="3"/>
  <c r="AJ1765" i="3"/>
  <c r="AI1765" i="3"/>
  <c r="AI1764" i="3"/>
  <c r="AJ1764" i="3" s="1"/>
  <c r="AI1763" i="3"/>
  <c r="AJ1763" i="3" s="1"/>
  <c r="AJ1762" i="3"/>
  <c r="AI1762" i="3"/>
  <c r="AJ1761" i="3"/>
  <c r="AI1761" i="3"/>
  <c r="AI1760" i="3"/>
  <c r="AJ1760" i="3" s="1"/>
  <c r="AI1759" i="3"/>
  <c r="AJ1759" i="3" s="1"/>
  <c r="AJ1758" i="3"/>
  <c r="AI1758" i="3"/>
  <c r="AJ1757" i="3"/>
  <c r="AI1757" i="3"/>
  <c r="AI1756" i="3"/>
  <c r="AJ1756" i="3" s="1"/>
  <c r="AI1755" i="3"/>
  <c r="AJ1755" i="3" s="1"/>
  <c r="AJ1754" i="3"/>
  <c r="AI1754" i="3"/>
  <c r="AJ1753" i="3"/>
  <c r="AI1753" i="3"/>
  <c r="AI1752" i="3"/>
  <c r="AJ1752" i="3" s="1"/>
  <c r="AI1751" i="3"/>
  <c r="AJ1751" i="3" s="1"/>
  <c r="AJ1750" i="3"/>
  <c r="AI1750" i="3"/>
  <c r="AJ1749" i="3"/>
  <c r="AI1749" i="3"/>
  <c r="AI1748" i="3"/>
  <c r="AJ1748" i="3" s="1"/>
  <c r="AI1747" i="3"/>
  <c r="AJ1747" i="3" s="1"/>
  <c r="AJ1746" i="3"/>
  <c r="AI1746" i="3"/>
  <c r="AJ1745" i="3"/>
  <c r="AI1745" i="3"/>
  <c r="AI1744" i="3"/>
  <c r="AJ1744" i="3" s="1"/>
  <c r="AI1743" i="3"/>
  <c r="AJ1743" i="3" s="1"/>
  <c r="AJ1742" i="3"/>
  <c r="AI1742" i="3"/>
  <c r="AJ1741" i="3"/>
  <c r="AI1741" i="3"/>
  <c r="AI1740" i="3"/>
  <c r="AJ1740" i="3" s="1"/>
  <c r="AI1739" i="3"/>
  <c r="AJ1739" i="3" s="1"/>
  <c r="AJ1738" i="3"/>
  <c r="AI1738" i="3"/>
  <c r="AJ1737" i="3"/>
  <c r="AI1737" i="3"/>
  <c r="AI1736" i="3"/>
  <c r="AJ1736" i="3" s="1"/>
  <c r="AI1735" i="3"/>
  <c r="AJ1735" i="3" s="1"/>
  <c r="AJ1734" i="3"/>
  <c r="AI1734" i="3"/>
  <c r="AJ1733" i="3"/>
  <c r="AI1733" i="3"/>
  <c r="AI1732" i="3"/>
  <c r="AJ1732" i="3" s="1"/>
  <c r="AI1731" i="3"/>
  <c r="AJ1731" i="3" s="1"/>
  <c r="AJ1730" i="3"/>
  <c r="AI1730" i="3"/>
  <c r="AJ1729" i="3"/>
  <c r="AI1729" i="3"/>
  <c r="AI1728" i="3"/>
  <c r="AJ1728" i="3" s="1"/>
  <c r="AI1727" i="3"/>
  <c r="AJ1727" i="3" s="1"/>
  <c r="AJ1726" i="3"/>
  <c r="AI1726" i="3"/>
  <c r="AJ1725" i="3"/>
  <c r="AI1725" i="3"/>
  <c r="AI1724" i="3"/>
  <c r="AJ1724" i="3" s="1"/>
  <c r="AI1723" i="3"/>
  <c r="AJ1723" i="3" s="1"/>
  <c r="AJ1722" i="3"/>
  <c r="AI1722" i="3"/>
  <c r="AJ1721" i="3"/>
  <c r="AI1721" i="3"/>
  <c r="AI1720" i="3"/>
  <c r="AJ1720" i="3" s="1"/>
  <c r="AI1719" i="3"/>
  <c r="AJ1719" i="3" s="1"/>
  <c r="AJ1718" i="3"/>
  <c r="AI1718" i="3"/>
  <c r="AJ1717" i="3"/>
  <c r="AI1717" i="3"/>
  <c r="AI1716" i="3"/>
  <c r="AJ1716" i="3" s="1"/>
  <c r="AI1715" i="3"/>
  <c r="AJ1715" i="3" s="1"/>
  <c r="AJ1714" i="3"/>
  <c r="AI1714" i="3"/>
  <c r="AJ1713" i="3"/>
  <c r="AI1713" i="3"/>
  <c r="AI1712" i="3"/>
  <c r="AJ1712" i="3" s="1"/>
  <c r="AI1711" i="3"/>
  <c r="AJ1711" i="3" s="1"/>
  <c r="AJ1710" i="3"/>
  <c r="AI1710" i="3"/>
  <c r="AJ1709" i="3"/>
  <c r="AI1709" i="3"/>
  <c r="AI1708" i="3"/>
  <c r="AJ1708" i="3" s="1"/>
  <c r="AI1707" i="3"/>
  <c r="AJ1707" i="3" s="1"/>
  <c r="AJ1706" i="3"/>
  <c r="AI1706" i="3"/>
  <c r="AJ1705" i="3"/>
  <c r="AI1705" i="3"/>
  <c r="AI1704" i="3"/>
  <c r="AJ1704" i="3" s="1"/>
  <c r="AI1703" i="3"/>
  <c r="AJ1703" i="3" s="1"/>
  <c r="AJ1702" i="3"/>
  <c r="AI1702" i="3"/>
  <c r="AJ1701" i="3"/>
  <c r="AI1701" i="3"/>
  <c r="AI1700" i="3"/>
  <c r="AJ1700" i="3" s="1"/>
  <c r="AI1699" i="3"/>
  <c r="AJ1699" i="3" s="1"/>
  <c r="AJ1698" i="3"/>
  <c r="AI1698" i="3"/>
  <c r="AJ1697" i="3"/>
  <c r="AI1697" i="3"/>
  <c r="AI1696" i="3"/>
  <c r="AJ1696" i="3" s="1"/>
  <c r="AI1695" i="3"/>
  <c r="AJ1695" i="3" s="1"/>
  <c r="AJ1694" i="3"/>
  <c r="AI1694" i="3"/>
  <c r="AJ1693" i="3"/>
  <c r="AI1693" i="3"/>
  <c r="AI1692" i="3"/>
  <c r="AJ1692" i="3" s="1"/>
  <c r="AI1691" i="3"/>
  <c r="AJ1691" i="3" s="1"/>
  <c r="AJ1690" i="3"/>
  <c r="AI1690" i="3"/>
  <c r="AJ1689" i="3"/>
  <c r="AI1689" i="3"/>
  <c r="AI1688" i="3"/>
  <c r="AJ1688" i="3" s="1"/>
  <c r="AI1687" i="3"/>
  <c r="AJ1687" i="3" s="1"/>
  <c r="AJ1686" i="3"/>
  <c r="AI1686" i="3"/>
  <c r="AJ1685" i="3"/>
  <c r="AI1685" i="3"/>
  <c r="AI1684" i="3"/>
  <c r="AJ1684" i="3" s="1"/>
  <c r="AI1683" i="3"/>
  <c r="AJ1683" i="3" s="1"/>
  <c r="AJ1682" i="3"/>
  <c r="AI1682" i="3"/>
  <c r="AJ1681" i="3"/>
  <c r="AI1681" i="3"/>
  <c r="AI1680" i="3"/>
  <c r="AJ1680" i="3" s="1"/>
  <c r="AI1679" i="3"/>
  <c r="AJ1679" i="3" s="1"/>
  <c r="AJ1678" i="3"/>
  <c r="AI1678" i="3"/>
  <c r="AJ1677" i="3"/>
  <c r="AI1677" i="3"/>
  <c r="AI1676" i="3"/>
  <c r="AJ1676" i="3" s="1"/>
  <c r="AI1675" i="3"/>
  <c r="AJ1675" i="3" s="1"/>
  <c r="AJ1674" i="3"/>
  <c r="AI1674" i="3"/>
  <c r="AJ1673" i="3"/>
  <c r="AI1673" i="3"/>
  <c r="AI1672" i="3"/>
  <c r="AJ1672" i="3" s="1"/>
  <c r="AI1671" i="3"/>
  <c r="AJ1671" i="3" s="1"/>
  <c r="AJ1670" i="3"/>
  <c r="AI1670" i="3"/>
  <c r="AJ1669" i="3"/>
  <c r="AI1669" i="3"/>
  <c r="AI1668" i="3"/>
  <c r="AJ1668" i="3" s="1"/>
  <c r="AI1667" i="3"/>
  <c r="AJ1667" i="3" s="1"/>
  <c r="AJ1666" i="3"/>
  <c r="AI1666" i="3"/>
  <c r="AJ1665" i="3"/>
  <c r="AI1665" i="3"/>
  <c r="AI1664" i="3"/>
  <c r="AJ1664" i="3" s="1"/>
  <c r="AI1663" i="3"/>
  <c r="AJ1663" i="3" s="1"/>
  <c r="AJ1662" i="3"/>
  <c r="AI1662" i="3"/>
  <c r="AJ1661" i="3"/>
  <c r="AI1661" i="3"/>
  <c r="AI1660" i="3"/>
  <c r="AJ1660" i="3" s="1"/>
  <c r="AI1659" i="3"/>
  <c r="AJ1659" i="3" s="1"/>
  <c r="AJ1658" i="3"/>
  <c r="AI1658" i="3"/>
  <c r="AJ1657" i="3"/>
  <c r="AI1657" i="3"/>
  <c r="AI1656" i="3"/>
  <c r="AJ1656" i="3" s="1"/>
  <c r="AI1655" i="3"/>
  <c r="AJ1655" i="3" s="1"/>
  <c r="AJ1654" i="3"/>
  <c r="AI1654" i="3"/>
  <c r="AJ1653" i="3"/>
  <c r="AI1653" i="3"/>
  <c r="AI1652" i="3"/>
  <c r="AJ1652" i="3" s="1"/>
  <c r="AI1651" i="3"/>
  <c r="AJ1651" i="3" s="1"/>
  <c r="AJ1650" i="3"/>
  <c r="AI1650" i="3"/>
  <c r="AJ1649" i="3"/>
  <c r="AI1649" i="3"/>
  <c r="AI1648" i="3"/>
  <c r="AJ1648" i="3" s="1"/>
  <c r="AI1647" i="3"/>
  <c r="AJ1647" i="3" s="1"/>
  <c r="AJ1646" i="3"/>
  <c r="AI1646" i="3"/>
  <c r="AJ1645" i="3"/>
  <c r="AI1645" i="3"/>
  <c r="AI1644" i="3"/>
  <c r="AJ1644" i="3" s="1"/>
  <c r="AI1643" i="3"/>
  <c r="AJ1643" i="3" s="1"/>
  <c r="AJ1642" i="3"/>
  <c r="AI1642" i="3"/>
  <c r="AJ1641" i="3"/>
  <c r="AI1641" i="3"/>
  <c r="AI1640" i="3"/>
  <c r="AJ1640" i="3" s="1"/>
  <c r="AI1639" i="3"/>
  <c r="AJ1639" i="3" s="1"/>
  <c r="AJ1638" i="3"/>
  <c r="AI1638" i="3"/>
  <c r="AJ1637" i="3"/>
  <c r="AI1637" i="3"/>
  <c r="AI1636" i="3"/>
  <c r="AJ1636" i="3" s="1"/>
  <c r="AI1635" i="3"/>
  <c r="AJ1635" i="3" s="1"/>
  <c r="AJ1634" i="3"/>
  <c r="AI1634" i="3"/>
  <c r="AJ1633" i="3"/>
  <c r="AI1633" i="3"/>
  <c r="AI1632" i="3"/>
  <c r="AJ1632" i="3" s="1"/>
  <c r="AI1631" i="3"/>
  <c r="AJ1631" i="3" s="1"/>
  <c r="AJ1630" i="3"/>
  <c r="AI1630" i="3"/>
  <c r="AJ1629" i="3"/>
  <c r="AI1629" i="3"/>
  <c r="AI1628" i="3"/>
  <c r="AJ1628" i="3" s="1"/>
  <c r="AI1627" i="3"/>
  <c r="AJ1627" i="3" s="1"/>
  <c r="AJ1626" i="3"/>
  <c r="AI1626" i="3"/>
  <c r="AJ1625" i="3"/>
  <c r="AI1625" i="3"/>
  <c r="AI1624" i="3"/>
  <c r="AJ1624" i="3" s="1"/>
  <c r="AI1623" i="3"/>
  <c r="AJ1623" i="3" s="1"/>
  <c r="AJ1622" i="3"/>
  <c r="AI1622" i="3"/>
  <c r="AJ1621" i="3"/>
  <c r="AI1621" i="3"/>
  <c r="AI1620" i="3"/>
  <c r="AJ1620" i="3" s="1"/>
  <c r="AI1619" i="3"/>
  <c r="AJ1619" i="3" s="1"/>
  <c r="AJ1618" i="3"/>
  <c r="AI1618" i="3"/>
  <c r="AJ1617" i="3"/>
  <c r="AI1617" i="3"/>
  <c r="AI1616" i="3"/>
  <c r="AJ1616" i="3" s="1"/>
  <c r="AI1615" i="3"/>
  <c r="AJ1615" i="3" s="1"/>
  <c r="AJ1614" i="3"/>
  <c r="AI1614" i="3"/>
  <c r="AJ1613" i="3"/>
  <c r="AI1613" i="3"/>
  <c r="AI1612" i="3"/>
  <c r="AJ1612" i="3" s="1"/>
  <c r="AI1611" i="3"/>
  <c r="AJ1611" i="3" s="1"/>
  <c r="AJ1610" i="3"/>
  <c r="AI1610" i="3"/>
  <c r="AJ1609" i="3"/>
  <c r="AI1609" i="3"/>
  <c r="AI1608" i="3"/>
  <c r="AJ1608" i="3" s="1"/>
  <c r="AI1607" i="3"/>
  <c r="AJ1607" i="3" s="1"/>
  <c r="AJ1606" i="3"/>
  <c r="AI1606" i="3"/>
  <c r="AJ1605" i="3"/>
  <c r="AI1605" i="3"/>
  <c r="AI1604" i="3"/>
  <c r="AJ1604" i="3" s="1"/>
  <c r="AI1603" i="3"/>
  <c r="AJ1603" i="3" s="1"/>
  <c r="AJ1602" i="3"/>
  <c r="AI1602" i="3"/>
  <c r="AJ1601" i="3"/>
  <c r="AI1601" i="3"/>
  <c r="AI1600" i="3"/>
  <c r="AJ1600" i="3" s="1"/>
  <c r="AI1599" i="3"/>
  <c r="AJ1599" i="3" s="1"/>
  <c r="AJ1598" i="3"/>
  <c r="AI1598" i="3"/>
  <c r="AJ1597" i="3"/>
  <c r="AI1597" i="3"/>
  <c r="AI1596" i="3"/>
  <c r="AJ1596" i="3" s="1"/>
  <c r="AI1595" i="3"/>
  <c r="AJ1595" i="3" s="1"/>
  <c r="AJ1594" i="3"/>
  <c r="AI1594" i="3"/>
  <c r="AJ1593" i="3"/>
  <c r="AI1593" i="3"/>
  <c r="AI1592" i="3"/>
  <c r="AJ1592" i="3" s="1"/>
  <c r="AI1591" i="3"/>
  <c r="AJ1591" i="3" s="1"/>
  <c r="AJ1590" i="3"/>
  <c r="AI1590" i="3"/>
  <c r="AJ1589" i="3"/>
  <c r="AI1589" i="3"/>
  <c r="AI1588" i="3"/>
  <c r="AJ1588" i="3" s="1"/>
  <c r="AI1587" i="3"/>
  <c r="AJ1587" i="3" s="1"/>
  <c r="AJ1586" i="3"/>
  <c r="AI1586" i="3"/>
  <c r="AJ1585" i="3"/>
  <c r="AI1585" i="3"/>
  <c r="AI1584" i="3"/>
  <c r="AJ1584" i="3" s="1"/>
  <c r="AI1583" i="3"/>
  <c r="AJ1583" i="3" s="1"/>
  <c r="AJ1582" i="3"/>
  <c r="AI1582" i="3"/>
  <c r="AJ1581" i="3"/>
  <c r="AI1581" i="3"/>
  <c r="AI1580" i="3"/>
  <c r="AJ1580" i="3" s="1"/>
  <c r="AI1579" i="3"/>
  <c r="AJ1579" i="3" s="1"/>
  <c r="AJ1578" i="3"/>
  <c r="AI1578" i="3"/>
  <c r="AJ1577" i="3"/>
  <c r="AI1577" i="3"/>
  <c r="AI1576" i="3"/>
  <c r="AJ1576" i="3" s="1"/>
  <c r="AI1575" i="3"/>
  <c r="AJ1575" i="3" s="1"/>
  <c r="AJ1574" i="3"/>
  <c r="AI1574" i="3"/>
  <c r="AJ1573" i="3"/>
  <c r="AI1573" i="3"/>
  <c r="AI1572" i="3"/>
  <c r="AJ1572" i="3" s="1"/>
  <c r="AI1571" i="3"/>
  <c r="AJ1571" i="3" s="1"/>
  <c r="AJ1570" i="3"/>
  <c r="AI1570" i="3"/>
  <c r="AJ1569" i="3"/>
  <c r="AI1569" i="3"/>
  <c r="AI1568" i="3"/>
  <c r="AJ1568" i="3" s="1"/>
  <c r="AI1567" i="3"/>
  <c r="AJ1567" i="3" s="1"/>
  <c r="AJ1566" i="3"/>
  <c r="AI1566" i="3"/>
  <c r="AJ1565" i="3"/>
  <c r="AI1565" i="3"/>
  <c r="AI1564" i="3"/>
  <c r="AJ1564" i="3" s="1"/>
  <c r="AI1563" i="3"/>
  <c r="AJ1563" i="3" s="1"/>
  <c r="AJ1562" i="3"/>
  <c r="AI1562" i="3"/>
  <c r="AJ1561" i="3"/>
  <c r="AI1561" i="3"/>
  <c r="AI1560" i="3"/>
  <c r="AJ1560" i="3" s="1"/>
  <c r="AI1559" i="3"/>
  <c r="AJ1559" i="3" s="1"/>
  <c r="AJ1558" i="3"/>
  <c r="AI1558" i="3"/>
  <c r="AJ1557" i="3"/>
  <c r="AI1557" i="3"/>
  <c r="AI1556" i="3"/>
  <c r="AJ1556" i="3" s="1"/>
  <c r="AI1555" i="3"/>
  <c r="AJ1555" i="3" s="1"/>
  <c r="AJ1554" i="3"/>
  <c r="AI1554" i="3"/>
  <c r="AJ1553" i="3"/>
  <c r="AI1553" i="3"/>
  <c r="AI1552" i="3"/>
  <c r="AJ1552" i="3" s="1"/>
  <c r="AI1551" i="3"/>
  <c r="AJ1551" i="3" s="1"/>
  <c r="AJ1550" i="3"/>
  <c r="AI1550" i="3"/>
  <c r="AJ1549" i="3"/>
  <c r="AI1549" i="3"/>
  <c r="AI1548" i="3"/>
  <c r="AJ1548" i="3" s="1"/>
  <c r="AI1547" i="3"/>
  <c r="AJ1547" i="3" s="1"/>
  <c r="AJ1546" i="3"/>
  <c r="AI1546" i="3"/>
  <c r="AJ1545" i="3"/>
  <c r="AI1545" i="3"/>
  <c r="AI1544" i="3"/>
  <c r="AJ1544" i="3" s="1"/>
  <c r="AI1543" i="3"/>
  <c r="AJ1543" i="3" s="1"/>
  <c r="AJ1542" i="3"/>
  <c r="AI1542" i="3"/>
  <c r="AJ1541" i="3"/>
  <c r="AI1541" i="3"/>
  <c r="AI1540" i="3"/>
  <c r="AJ1540" i="3" s="1"/>
  <c r="AI1539" i="3"/>
  <c r="AJ1539" i="3" s="1"/>
  <c r="AJ1538" i="3"/>
  <c r="AI1538" i="3"/>
  <c r="AJ1537" i="3"/>
  <c r="AI1537" i="3"/>
  <c r="AI1536" i="3"/>
  <c r="AJ1536" i="3" s="1"/>
  <c r="AI1535" i="3"/>
  <c r="AJ1535" i="3" s="1"/>
  <c r="AJ1534" i="3"/>
  <c r="AI1534" i="3"/>
  <c r="AJ1533" i="3"/>
  <c r="AI1533" i="3"/>
  <c r="AJ1532" i="3"/>
  <c r="AI1532" i="3"/>
  <c r="AJ1531" i="3"/>
  <c r="AI1531" i="3"/>
  <c r="AJ1530" i="3"/>
  <c r="AI1530" i="3"/>
  <c r="AJ1529" i="3"/>
  <c r="AI1529" i="3"/>
  <c r="AJ1528" i="3"/>
  <c r="AI1528" i="3"/>
  <c r="AJ1527" i="3"/>
  <c r="AI1527" i="3"/>
  <c r="AJ1526" i="3"/>
  <c r="AI1526" i="3"/>
  <c r="AJ1525" i="3"/>
  <c r="AI1525" i="3"/>
  <c r="AJ1524" i="3"/>
  <c r="AI1524" i="3"/>
  <c r="AJ1523" i="3"/>
  <c r="AI1523" i="3"/>
  <c r="AJ1522" i="3"/>
  <c r="AI1522" i="3"/>
  <c r="AJ1521" i="3"/>
  <c r="AI1521" i="3"/>
  <c r="AJ1520" i="3"/>
  <c r="AI1520" i="3"/>
  <c r="AJ1519" i="3"/>
  <c r="AI1519" i="3"/>
  <c r="AJ1518" i="3"/>
  <c r="AI1518" i="3"/>
  <c r="AJ1517" i="3"/>
  <c r="AI1517" i="3"/>
  <c r="AJ1516" i="3"/>
  <c r="AI1516" i="3"/>
  <c r="AJ1515" i="3"/>
  <c r="AI1515" i="3"/>
  <c r="AJ1514" i="3"/>
  <c r="AI1514" i="3"/>
  <c r="AJ1513" i="3"/>
  <c r="AI1513" i="3"/>
  <c r="AJ1512" i="3"/>
  <c r="AI1512" i="3"/>
  <c r="AJ1511" i="3"/>
  <c r="AI1511" i="3"/>
  <c r="AJ1510" i="3"/>
  <c r="AI1510" i="3"/>
  <c r="AJ1509" i="3"/>
  <c r="AI1509" i="3"/>
  <c r="AJ1508" i="3"/>
  <c r="AI1508" i="3"/>
  <c r="AJ1507" i="3"/>
  <c r="AI1507" i="3"/>
  <c r="AJ1506" i="3"/>
  <c r="AI1506" i="3"/>
  <c r="AJ1505" i="3"/>
  <c r="AI1505" i="3"/>
  <c r="AJ1504" i="3"/>
  <c r="AI1504" i="3"/>
  <c r="AJ1503" i="3"/>
  <c r="AI1503" i="3"/>
  <c r="AJ1502" i="3"/>
  <c r="AI1502" i="3"/>
  <c r="AJ1501" i="3"/>
  <c r="AI1501" i="3"/>
  <c r="AJ1500" i="3"/>
  <c r="AI1500" i="3"/>
  <c r="AJ1499" i="3"/>
  <c r="AI1499" i="3"/>
  <c r="AJ1498" i="3"/>
  <c r="AI1498" i="3"/>
  <c r="AJ1497" i="3"/>
  <c r="AI1497" i="3"/>
  <c r="AJ1496" i="3"/>
  <c r="AI1496" i="3"/>
  <c r="AJ1495" i="3"/>
  <c r="AI1495" i="3"/>
  <c r="AJ1494" i="3"/>
  <c r="AI1494" i="3"/>
  <c r="AJ1493" i="3"/>
  <c r="AI1493" i="3"/>
  <c r="AJ1492" i="3"/>
  <c r="AI1492" i="3"/>
  <c r="AJ1491" i="3"/>
  <c r="AI1491" i="3"/>
  <c r="AJ1490" i="3"/>
  <c r="AI1490" i="3"/>
  <c r="AJ1489" i="3"/>
  <c r="AI1489" i="3"/>
  <c r="AJ1488" i="3"/>
  <c r="AI1488" i="3"/>
  <c r="AJ1487" i="3"/>
  <c r="AI1487" i="3"/>
  <c r="AJ1486" i="3"/>
  <c r="AI1486" i="3"/>
  <c r="AJ1485" i="3"/>
  <c r="AI1485" i="3"/>
  <c r="AJ1484" i="3"/>
  <c r="AI1484" i="3"/>
  <c r="AJ1483" i="3"/>
  <c r="AI1483" i="3"/>
  <c r="AJ1482" i="3"/>
  <c r="AI1482" i="3"/>
  <c r="AJ1481" i="3"/>
  <c r="AI1481" i="3"/>
  <c r="AJ1480" i="3"/>
  <c r="AI1480" i="3"/>
  <c r="AJ1479" i="3"/>
  <c r="AI1479" i="3"/>
  <c r="AJ1478" i="3"/>
  <c r="AI1478" i="3"/>
  <c r="AJ1477" i="3"/>
  <c r="AI1477" i="3"/>
  <c r="AJ1476" i="3"/>
  <c r="AI1476" i="3"/>
  <c r="AJ1475" i="3"/>
  <c r="AI1475" i="3"/>
  <c r="AJ1474" i="3"/>
  <c r="AI1474" i="3"/>
  <c r="AJ1473" i="3"/>
  <c r="AI1473" i="3"/>
  <c r="AJ1472" i="3"/>
  <c r="AI1472" i="3"/>
  <c r="AJ1471" i="3"/>
  <c r="AI1471" i="3"/>
  <c r="AJ1470" i="3"/>
  <c r="AI1470" i="3"/>
  <c r="AJ1469" i="3"/>
  <c r="AI1469" i="3"/>
  <c r="AJ1468" i="3"/>
  <c r="AI1468" i="3"/>
  <c r="AJ1467" i="3"/>
  <c r="AI1467" i="3"/>
  <c r="AJ1466" i="3"/>
  <c r="AI1466" i="3"/>
  <c r="AJ1465" i="3"/>
  <c r="AI1465" i="3"/>
  <c r="AJ1464" i="3"/>
  <c r="AI1464" i="3"/>
  <c r="AJ1463" i="3"/>
  <c r="AI1463" i="3"/>
  <c r="AJ1462" i="3"/>
  <c r="AI1462" i="3"/>
  <c r="AJ1461" i="3"/>
  <c r="AI1461" i="3"/>
  <c r="AJ1460" i="3"/>
  <c r="AI1460" i="3"/>
  <c r="AJ1459" i="3"/>
  <c r="AI1459" i="3"/>
  <c r="AJ1458" i="3"/>
  <c r="AI1458" i="3"/>
  <c r="AJ1457" i="3"/>
  <c r="AI1457" i="3"/>
  <c r="AJ1456" i="3"/>
  <c r="AI1456" i="3"/>
  <c r="AJ1455" i="3"/>
  <c r="AI1455" i="3"/>
  <c r="AJ1454" i="3"/>
  <c r="AI1454" i="3"/>
  <c r="AJ1453" i="3"/>
  <c r="AI1453" i="3"/>
  <c r="AJ1452" i="3"/>
  <c r="AI1452" i="3"/>
  <c r="AJ1451" i="3"/>
  <c r="AI1451" i="3"/>
  <c r="AJ1450" i="3"/>
  <c r="AI1450" i="3"/>
  <c r="AJ1449" i="3"/>
  <c r="AI1449" i="3"/>
  <c r="AJ1448" i="3"/>
  <c r="AI1448" i="3"/>
  <c r="AJ1447" i="3"/>
  <c r="AI1447" i="3"/>
  <c r="AJ1446" i="3"/>
  <c r="AI1446" i="3"/>
  <c r="AJ1445" i="3"/>
  <c r="AI1445" i="3"/>
  <c r="AJ1444" i="3"/>
  <c r="AI1444" i="3"/>
  <c r="AJ1443" i="3"/>
  <c r="AI1443" i="3"/>
  <c r="AJ1442" i="3"/>
  <c r="AI1442" i="3"/>
  <c r="AJ1441" i="3"/>
  <c r="AI1441" i="3"/>
  <c r="AJ1440" i="3"/>
  <c r="AI1440" i="3"/>
  <c r="AJ1439" i="3"/>
  <c r="AI1439" i="3"/>
  <c r="AJ1438" i="3"/>
  <c r="AI1438" i="3"/>
  <c r="AJ1437" i="3"/>
  <c r="AI1437" i="3"/>
  <c r="AJ1436" i="3"/>
  <c r="AI1436" i="3"/>
  <c r="AJ1435" i="3"/>
  <c r="AI1435" i="3"/>
  <c r="AJ1434" i="3"/>
  <c r="AI1434" i="3"/>
  <c r="AJ1433" i="3"/>
  <c r="AI1433" i="3"/>
  <c r="AJ1432" i="3"/>
  <c r="AI1432" i="3"/>
  <c r="AJ1431" i="3"/>
  <c r="AI1431" i="3"/>
  <c r="AJ1430" i="3"/>
  <c r="AI1430" i="3"/>
  <c r="AJ1429" i="3"/>
  <c r="AI1429" i="3"/>
  <c r="AJ1428" i="3"/>
  <c r="AI1428" i="3"/>
  <c r="AJ1427" i="3"/>
  <c r="AI1427" i="3"/>
  <c r="AJ1426" i="3"/>
  <c r="AI1426" i="3"/>
  <c r="AJ1425" i="3"/>
  <c r="AI1425" i="3"/>
  <c r="AJ1424" i="3"/>
  <c r="AI1424" i="3"/>
  <c r="AJ1423" i="3"/>
  <c r="AI1423" i="3"/>
  <c r="AJ1422" i="3"/>
  <c r="AI1422" i="3"/>
  <c r="AJ1421" i="3"/>
  <c r="AI1421" i="3"/>
  <c r="AJ1420" i="3"/>
  <c r="AI1420" i="3"/>
  <c r="AJ1419" i="3"/>
  <c r="AI1419" i="3"/>
  <c r="AJ1418" i="3"/>
  <c r="AI1418" i="3"/>
  <c r="AJ1417" i="3"/>
  <c r="AI1417" i="3"/>
  <c r="AJ1416" i="3"/>
  <c r="AI1416" i="3"/>
  <c r="AJ1415" i="3"/>
  <c r="AI1415" i="3"/>
  <c r="AJ1414" i="3"/>
  <c r="AI1414" i="3"/>
  <c r="AJ1413" i="3"/>
  <c r="AI1413" i="3"/>
  <c r="AJ1412" i="3"/>
  <c r="AI1412" i="3"/>
  <c r="AJ1411" i="3"/>
  <c r="AI1411" i="3"/>
  <c r="AJ1410" i="3"/>
  <c r="AI1410" i="3"/>
  <c r="AJ1409" i="3"/>
  <c r="AI1409" i="3"/>
  <c r="AJ1408" i="3"/>
  <c r="AI1408" i="3"/>
  <c r="AJ1407" i="3"/>
  <c r="AI1407" i="3"/>
  <c r="AJ1406" i="3"/>
  <c r="AI1406" i="3"/>
  <c r="AJ1405" i="3"/>
  <c r="AI1405" i="3"/>
  <c r="AJ1404" i="3"/>
  <c r="AI1404" i="3"/>
  <c r="AJ1403" i="3"/>
  <c r="AI1403" i="3"/>
  <c r="AJ1402" i="3"/>
  <c r="AI1402" i="3"/>
  <c r="AJ1401" i="3"/>
  <c r="AI1401" i="3"/>
  <c r="AJ1400" i="3"/>
  <c r="AI1400" i="3"/>
  <c r="AJ1399" i="3"/>
  <c r="AI1399" i="3"/>
  <c r="AJ1398" i="3"/>
  <c r="AI1398" i="3"/>
  <c r="AJ1397" i="3"/>
  <c r="AI1397" i="3"/>
  <c r="AJ1396" i="3"/>
  <c r="AI1396" i="3"/>
  <c r="AJ1395" i="3"/>
  <c r="AI1395" i="3"/>
  <c r="AJ1394" i="3"/>
  <c r="AI1394" i="3"/>
  <c r="AJ1393" i="3"/>
  <c r="AI1393" i="3"/>
  <c r="AJ1392" i="3"/>
  <c r="AI1392" i="3"/>
  <c r="AJ1391" i="3"/>
  <c r="AI1391" i="3"/>
  <c r="AJ1390" i="3"/>
  <c r="AI1390" i="3"/>
  <c r="AJ1389" i="3"/>
  <c r="AI1389" i="3"/>
  <c r="AJ1388" i="3"/>
  <c r="AI1388" i="3"/>
  <c r="AJ1387" i="3"/>
  <c r="AI1387" i="3"/>
  <c r="AJ1386" i="3"/>
  <c r="AI1386" i="3"/>
  <c r="AJ1385" i="3"/>
  <c r="AI1385" i="3"/>
  <c r="AJ1384" i="3"/>
  <c r="AI1384" i="3"/>
  <c r="AJ1383" i="3"/>
  <c r="AI1383" i="3"/>
  <c r="AJ1382" i="3"/>
  <c r="AI1382" i="3"/>
  <c r="AJ1381" i="3"/>
  <c r="AI1381" i="3"/>
  <c r="AJ1380" i="3"/>
  <c r="AI1380" i="3"/>
  <c r="AJ1379" i="3"/>
  <c r="AI1379" i="3"/>
  <c r="AJ1378" i="3"/>
  <c r="AI1378" i="3"/>
  <c r="AJ1377" i="3"/>
  <c r="AI1377" i="3"/>
  <c r="AJ1376" i="3"/>
  <c r="AI1376" i="3"/>
  <c r="AJ1375" i="3"/>
  <c r="AI1375" i="3"/>
  <c r="AJ1374" i="3"/>
  <c r="AI1374" i="3"/>
  <c r="AJ1373" i="3"/>
  <c r="AI1373" i="3"/>
  <c r="AJ1372" i="3"/>
  <c r="AI1372" i="3"/>
  <c r="AJ1371" i="3"/>
  <c r="AI1371" i="3"/>
  <c r="AJ1370" i="3"/>
  <c r="AI1370" i="3"/>
  <c r="AJ1369" i="3"/>
  <c r="AI1369" i="3"/>
  <c r="AJ1368" i="3"/>
  <c r="AI1368" i="3"/>
  <c r="AJ1367" i="3"/>
  <c r="AI1367" i="3"/>
  <c r="AJ1366" i="3"/>
  <c r="AI1366" i="3"/>
  <c r="AJ1365" i="3"/>
  <c r="AI1365" i="3"/>
  <c r="AJ1364" i="3"/>
  <c r="AI1364" i="3"/>
  <c r="AJ1363" i="3"/>
  <c r="AI1363" i="3"/>
  <c r="AJ1362" i="3"/>
  <c r="AI1362" i="3"/>
  <c r="AJ1361" i="3"/>
  <c r="AI1361" i="3"/>
  <c r="AJ1360" i="3"/>
  <c r="AI1360" i="3"/>
  <c r="AJ1359" i="3"/>
  <c r="AI1359" i="3"/>
  <c r="AJ1358" i="3"/>
  <c r="AI1358" i="3"/>
  <c r="AJ1357" i="3"/>
  <c r="AI1357" i="3"/>
  <c r="AJ1356" i="3"/>
  <c r="AI1356" i="3"/>
  <c r="AJ1355" i="3"/>
  <c r="AI1355" i="3"/>
  <c r="AJ1354" i="3"/>
  <c r="AI1354" i="3"/>
  <c r="AJ1353" i="3"/>
  <c r="AI1353" i="3"/>
  <c r="AJ1352" i="3"/>
  <c r="AI1352" i="3"/>
  <c r="AJ1351" i="3"/>
  <c r="AI1351" i="3"/>
  <c r="AJ1350" i="3"/>
  <c r="AI1350" i="3"/>
  <c r="AJ1349" i="3"/>
  <c r="AI1349" i="3"/>
  <c r="AJ1348" i="3"/>
  <c r="AI1348" i="3"/>
  <c r="AJ1347" i="3"/>
  <c r="AI1347" i="3"/>
  <c r="AJ1346" i="3"/>
  <c r="AI1346" i="3"/>
  <c r="AJ1345" i="3"/>
  <c r="AI1345" i="3"/>
  <c r="AJ1344" i="3"/>
  <c r="AI1344" i="3"/>
  <c r="AJ1343" i="3"/>
  <c r="AI1343" i="3"/>
  <c r="AJ1342" i="3"/>
  <c r="AI1342" i="3"/>
  <c r="AJ1341" i="3"/>
  <c r="AI1341" i="3"/>
  <c r="AJ1340" i="3"/>
  <c r="AI1340" i="3"/>
  <c r="AJ1339" i="3"/>
  <c r="AI1339" i="3"/>
  <c r="AJ1338" i="3"/>
  <c r="AI1338" i="3"/>
  <c r="AJ1337" i="3"/>
  <c r="AI1337" i="3"/>
  <c r="AJ1336" i="3"/>
  <c r="AI1336" i="3"/>
  <c r="AJ1335" i="3"/>
  <c r="AI1335" i="3"/>
  <c r="AJ1334" i="3"/>
  <c r="AI1334" i="3"/>
  <c r="AJ1333" i="3"/>
  <c r="AI1333" i="3"/>
  <c r="AJ1332" i="3"/>
  <c r="AI1332" i="3"/>
  <c r="AJ1331" i="3"/>
  <c r="AI1331" i="3"/>
  <c r="AJ1330" i="3"/>
  <c r="AI1330" i="3"/>
  <c r="AJ1329" i="3"/>
  <c r="AI1329" i="3"/>
  <c r="AJ1328" i="3"/>
  <c r="AI1328" i="3"/>
  <c r="AJ1327" i="3"/>
  <c r="AI1327" i="3"/>
  <c r="AJ1326" i="3"/>
  <c r="AI1326" i="3"/>
  <c r="AJ1325" i="3"/>
  <c r="AI1325" i="3"/>
  <c r="AJ1324" i="3"/>
  <c r="AI1324" i="3"/>
  <c r="AJ1323" i="3"/>
  <c r="AI1323" i="3"/>
  <c r="AJ1322" i="3"/>
  <c r="AI1322" i="3"/>
  <c r="AJ1321" i="3"/>
  <c r="AI1321" i="3"/>
  <c r="AJ1320" i="3"/>
  <c r="AI1320" i="3"/>
  <c r="AJ1319" i="3"/>
  <c r="AI1319" i="3"/>
  <c r="AJ1318" i="3"/>
  <c r="AI1318" i="3"/>
  <c r="AJ1317" i="3"/>
  <c r="AI1317" i="3"/>
  <c r="AJ1316" i="3"/>
  <c r="AI1316" i="3"/>
  <c r="AJ1315" i="3"/>
  <c r="AI1315" i="3"/>
  <c r="AJ1314" i="3"/>
  <c r="AI1314" i="3"/>
  <c r="AJ1313" i="3"/>
  <c r="AI1313" i="3"/>
  <c r="AJ1312" i="3"/>
  <c r="AI1312" i="3"/>
  <c r="AJ1311" i="3"/>
  <c r="AI1311" i="3"/>
  <c r="AJ1310" i="3"/>
  <c r="AI1310" i="3"/>
  <c r="AJ1309" i="3"/>
  <c r="AI1309" i="3"/>
  <c r="AJ1308" i="3"/>
  <c r="AI1308" i="3"/>
  <c r="AJ1307" i="3"/>
  <c r="AI1307" i="3"/>
  <c r="AJ1306" i="3"/>
  <c r="AI1306" i="3"/>
  <c r="AJ1305" i="3"/>
  <c r="AI1305" i="3"/>
  <c r="AJ1304" i="3"/>
  <c r="AI1304" i="3"/>
  <c r="AJ1303" i="3"/>
  <c r="AI1303" i="3"/>
  <c r="AJ1302" i="3"/>
  <c r="AI1302" i="3"/>
  <c r="AJ1301" i="3"/>
  <c r="AI1301" i="3"/>
  <c r="AJ1300" i="3"/>
  <c r="AI1300" i="3"/>
  <c r="AJ1299" i="3"/>
  <c r="AI1299" i="3"/>
  <c r="AJ1298" i="3"/>
  <c r="AI1298" i="3"/>
  <c r="AJ1297" i="3"/>
  <c r="AI1297" i="3"/>
  <c r="AJ1296" i="3"/>
  <c r="AI1296" i="3"/>
  <c r="AJ1295" i="3"/>
  <c r="AI1295" i="3"/>
  <c r="AJ1294" i="3"/>
  <c r="AI1294" i="3"/>
  <c r="AJ1293" i="3"/>
  <c r="AI1293" i="3"/>
  <c r="AJ1292" i="3"/>
  <c r="AI1292" i="3"/>
  <c r="AJ1291" i="3"/>
  <c r="AI1291" i="3"/>
  <c r="AJ1290" i="3"/>
  <c r="AI1290" i="3"/>
  <c r="AJ1289" i="3"/>
  <c r="AI1289" i="3"/>
  <c r="AJ1288" i="3"/>
  <c r="AI1288" i="3"/>
  <c r="AJ1287" i="3"/>
  <c r="AI1287" i="3"/>
  <c r="AJ1286" i="3"/>
  <c r="AI1286" i="3"/>
  <c r="AJ1285" i="3"/>
  <c r="AI1285" i="3"/>
  <c r="AJ1284" i="3"/>
  <c r="AI1284" i="3"/>
  <c r="AJ1283" i="3"/>
  <c r="AI1283" i="3"/>
  <c r="AJ1282" i="3"/>
  <c r="AI1282" i="3"/>
  <c r="AJ1281" i="3"/>
  <c r="AI1281" i="3"/>
  <c r="AJ1280" i="3"/>
  <c r="AI1280" i="3"/>
  <c r="AJ1279" i="3"/>
  <c r="AI1279" i="3"/>
  <c r="AJ1278" i="3"/>
  <c r="AI1278" i="3"/>
  <c r="AJ1277" i="3"/>
  <c r="AI1277" i="3"/>
  <c r="AJ1276" i="3"/>
  <c r="AI1276" i="3"/>
  <c r="AJ1275" i="3"/>
  <c r="AI1275" i="3"/>
  <c r="AJ1274" i="3"/>
  <c r="AI1274" i="3"/>
  <c r="AJ1273" i="3"/>
  <c r="AI1273" i="3"/>
  <c r="AJ1272" i="3"/>
  <c r="AI1272" i="3"/>
  <c r="AJ1271" i="3"/>
  <c r="AI1271" i="3"/>
  <c r="AJ1270" i="3"/>
  <c r="AI1270" i="3"/>
  <c r="AJ1269" i="3"/>
  <c r="AI1269" i="3"/>
  <c r="AJ1268" i="3"/>
  <c r="AI1268" i="3"/>
  <c r="AJ1267" i="3"/>
  <c r="AI1267" i="3"/>
  <c r="AJ1266" i="3"/>
  <c r="AI1266" i="3"/>
  <c r="AJ1265" i="3"/>
  <c r="AI1265" i="3"/>
  <c r="AJ1264" i="3"/>
  <c r="AI1264" i="3"/>
  <c r="AJ1263" i="3"/>
  <c r="AI1263" i="3"/>
  <c r="AJ1262" i="3"/>
  <c r="AI1262" i="3"/>
  <c r="AJ1261" i="3"/>
  <c r="AI1261" i="3"/>
  <c r="AJ1260" i="3"/>
  <c r="AI1260" i="3"/>
  <c r="AJ1259" i="3"/>
  <c r="AI1259" i="3"/>
  <c r="AJ1258" i="3"/>
  <c r="AI1258" i="3"/>
  <c r="AJ1257" i="3"/>
  <c r="AI1257" i="3"/>
  <c r="AJ1256" i="3"/>
  <c r="AI1256" i="3"/>
  <c r="AJ1255" i="3"/>
  <c r="AI1255" i="3"/>
  <c r="AJ1254" i="3"/>
  <c r="AI1254" i="3"/>
  <c r="AJ1253" i="3"/>
  <c r="AI1253" i="3"/>
  <c r="AJ1252" i="3"/>
  <c r="AI1252" i="3"/>
  <c r="AJ1251" i="3"/>
  <c r="AI1251" i="3"/>
  <c r="AJ1250" i="3"/>
  <c r="AI1250" i="3"/>
  <c r="AJ1249" i="3"/>
  <c r="AI1249" i="3"/>
  <c r="AJ1248" i="3"/>
  <c r="AI1248" i="3"/>
  <c r="AJ1247" i="3"/>
  <c r="AI1247" i="3"/>
  <c r="AJ1246" i="3"/>
  <c r="AI1246" i="3"/>
  <c r="AJ1245" i="3"/>
  <c r="AI1245" i="3"/>
  <c r="AJ1244" i="3"/>
  <c r="AI1244" i="3"/>
  <c r="AJ1243" i="3"/>
  <c r="AI1243" i="3"/>
  <c r="AJ1242" i="3"/>
  <c r="AI1242" i="3"/>
  <c r="AJ1241" i="3"/>
  <c r="AI1241" i="3"/>
  <c r="AJ1240" i="3"/>
  <c r="AI1240" i="3"/>
  <c r="AJ1239" i="3"/>
  <c r="AI1239" i="3"/>
  <c r="AJ1238" i="3"/>
  <c r="AI1238" i="3"/>
  <c r="AJ1237" i="3"/>
  <c r="AI1237" i="3"/>
  <c r="AJ1236" i="3"/>
  <c r="AI1236" i="3"/>
  <c r="AJ1235" i="3"/>
  <c r="AI1235" i="3"/>
  <c r="AJ1234" i="3"/>
  <c r="AI1234" i="3"/>
  <c r="AJ1233" i="3"/>
  <c r="AI1233" i="3"/>
  <c r="AJ1232" i="3"/>
  <c r="AI1232" i="3"/>
  <c r="AJ1231" i="3"/>
  <c r="AI1231" i="3"/>
  <c r="AJ1230" i="3"/>
  <c r="AI1230" i="3"/>
  <c r="AJ1229" i="3"/>
  <c r="AI1229" i="3"/>
  <c r="AJ1228" i="3"/>
  <c r="AI1228" i="3"/>
  <c r="AJ1227" i="3"/>
  <c r="AI1227" i="3"/>
  <c r="AJ1226" i="3"/>
  <c r="AI1226" i="3"/>
  <c r="AJ1225" i="3"/>
  <c r="AI1225" i="3"/>
  <c r="AJ1224" i="3"/>
  <c r="AI1224" i="3"/>
  <c r="AJ1223" i="3"/>
  <c r="AI1223" i="3"/>
  <c r="AJ1222" i="3"/>
  <c r="AI1222" i="3"/>
  <c r="AJ1221" i="3"/>
  <c r="AI1221" i="3"/>
  <c r="AJ1220" i="3"/>
  <c r="AI1220" i="3"/>
  <c r="AJ1219" i="3"/>
  <c r="AI1219" i="3"/>
  <c r="AJ1218" i="3"/>
  <c r="AI1218" i="3"/>
  <c r="AJ1217" i="3"/>
  <c r="AI1217" i="3"/>
  <c r="AJ1216" i="3"/>
  <c r="AI1216" i="3"/>
  <c r="AJ1215" i="3"/>
  <c r="AI1215" i="3"/>
  <c r="AJ1214" i="3"/>
  <c r="AI1214" i="3"/>
  <c r="AJ1213" i="3"/>
  <c r="AI1213" i="3"/>
  <c r="AJ1212" i="3"/>
  <c r="AI1212" i="3"/>
  <c r="AJ1211" i="3"/>
  <c r="AI1211" i="3"/>
  <c r="AJ1210" i="3"/>
  <c r="AI1210" i="3"/>
  <c r="AJ1209" i="3"/>
  <c r="AI1209" i="3"/>
  <c r="AJ1208" i="3"/>
  <c r="AI1208" i="3"/>
  <c r="AJ1207" i="3"/>
  <c r="AI1207" i="3"/>
  <c r="AJ1206" i="3"/>
  <c r="AI1206" i="3"/>
  <c r="AJ1205" i="3"/>
  <c r="AI1205" i="3"/>
  <c r="AJ1204" i="3"/>
  <c r="AI1204" i="3"/>
  <c r="AJ1203" i="3"/>
  <c r="AI1203" i="3"/>
  <c r="AJ1202" i="3"/>
  <c r="AI1202" i="3"/>
  <c r="AJ1201" i="3"/>
  <c r="AI1201" i="3"/>
  <c r="AJ1200" i="3"/>
  <c r="AI1200" i="3"/>
  <c r="AJ1199" i="3"/>
  <c r="AI1199" i="3"/>
  <c r="AJ1198" i="3"/>
  <c r="AI1198" i="3"/>
  <c r="AJ1197" i="3"/>
  <c r="AI1197" i="3"/>
  <c r="AJ1196" i="3"/>
  <c r="AI1196" i="3"/>
  <c r="AJ1195" i="3"/>
  <c r="AI1195" i="3"/>
  <c r="AJ1194" i="3"/>
  <c r="AI1194" i="3"/>
  <c r="AJ1193" i="3"/>
  <c r="AI1193" i="3"/>
  <c r="AJ1192" i="3"/>
  <c r="AI1192" i="3"/>
  <c r="AJ1191" i="3"/>
  <c r="AI1191" i="3"/>
  <c r="AJ1190" i="3"/>
  <c r="AI1190" i="3"/>
  <c r="AJ1189" i="3"/>
  <c r="AI1189" i="3"/>
  <c r="AJ1188" i="3"/>
  <c r="AI1188" i="3"/>
  <c r="AJ1187" i="3"/>
  <c r="AI1187" i="3"/>
  <c r="AJ1186" i="3"/>
  <c r="AI1186" i="3"/>
  <c r="AJ1185" i="3"/>
  <c r="AI1185" i="3"/>
  <c r="AJ1184" i="3"/>
  <c r="AI1184" i="3"/>
  <c r="AJ1183" i="3"/>
  <c r="AI1183" i="3"/>
  <c r="AJ1182" i="3"/>
  <c r="AI1182" i="3"/>
  <c r="AJ1181" i="3"/>
  <c r="AI1181" i="3"/>
  <c r="AJ1180" i="3"/>
  <c r="AI1180" i="3"/>
  <c r="AJ1179" i="3"/>
  <c r="AI1179" i="3"/>
  <c r="AJ1178" i="3"/>
  <c r="AI1178" i="3"/>
  <c r="AJ1177" i="3"/>
  <c r="AI1177" i="3"/>
  <c r="AJ1176" i="3"/>
  <c r="AI1176" i="3"/>
  <c r="AJ1175" i="3"/>
  <c r="AI1175" i="3"/>
  <c r="AJ1174" i="3"/>
  <c r="AI1174" i="3"/>
  <c r="AJ1173" i="3"/>
  <c r="AI1173" i="3"/>
  <c r="AJ1172" i="3"/>
  <c r="AI1172" i="3"/>
  <c r="AJ1171" i="3"/>
  <c r="AI1171" i="3"/>
  <c r="AJ1170" i="3"/>
  <c r="AI1170" i="3"/>
  <c r="AJ1169" i="3"/>
  <c r="AI1169" i="3"/>
  <c r="AJ1168" i="3"/>
  <c r="AI1168" i="3"/>
  <c r="AJ1167" i="3"/>
  <c r="AI1167" i="3"/>
  <c r="AJ1166" i="3"/>
  <c r="AI1166" i="3"/>
  <c r="AJ1165" i="3"/>
  <c r="AI1165" i="3"/>
  <c r="AJ1164" i="3"/>
  <c r="AI1164" i="3"/>
  <c r="AJ1163" i="3"/>
  <c r="AI1163" i="3"/>
  <c r="AJ1162" i="3"/>
  <c r="AI1162" i="3"/>
  <c r="AJ1161" i="3"/>
  <c r="AI1161" i="3"/>
  <c r="AJ1160" i="3"/>
  <c r="AI1160" i="3"/>
  <c r="AJ1159" i="3"/>
  <c r="AI1159" i="3"/>
  <c r="AJ1158" i="3"/>
  <c r="AI1158" i="3"/>
  <c r="AJ1157" i="3"/>
  <c r="AI1157" i="3"/>
  <c r="AJ1156" i="3"/>
  <c r="AI1156" i="3"/>
  <c r="AJ1155" i="3"/>
  <c r="AI1155" i="3"/>
  <c r="AJ1154" i="3"/>
  <c r="AI1154" i="3"/>
  <c r="AJ1153" i="3"/>
  <c r="AI1153" i="3"/>
  <c r="AJ1152" i="3"/>
  <c r="AI1152" i="3"/>
  <c r="AJ1151" i="3"/>
  <c r="AI1151" i="3"/>
  <c r="AJ1150" i="3"/>
  <c r="AI1150" i="3"/>
  <c r="AJ1149" i="3"/>
  <c r="AI1149" i="3"/>
  <c r="AJ1148" i="3"/>
  <c r="AI1148" i="3"/>
  <c r="AJ1147" i="3"/>
  <c r="AI1147" i="3"/>
  <c r="AJ1146" i="3"/>
  <c r="AI1146" i="3"/>
  <c r="AJ1145" i="3"/>
  <c r="AI1145" i="3"/>
  <c r="AJ1144" i="3"/>
  <c r="AI1144" i="3"/>
  <c r="AJ1143" i="3"/>
  <c r="AI1143" i="3"/>
  <c r="AJ1142" i="3"/>
  <c r="AI1142" i="3"/>
  <c r="AJ1141" i="3"/>
  <c r="AI1141" i="3"/>
  <c r="AJ1140" i="3"/>
  <c r="AI1140" i="3"/>
  <c r="AJ1139" i="3"/>
  <c r="AI1139" i="3"/>
  <c r="AJ1138" i="3"/>
  <c r="AI1138" i="3"/>
  <c r="AJ1137" i="3"/>
  <c r="AI1137" i="3"/>
  <c r="AJ1136" i="3"/>
  <c r="AI1136" i="3"/>
  <c r="AJ1135" i="3"/>
  <c r="AI1135" i="3"/>
  <c r="AJ1134" i="3"/>
  <c r="AI1134" i="3"/>
  <c r="AJ1133" i="3"/>
  <c r="AI1133" i="3"/>
  <c r="AJ1132" i="3"/>
  <c r="AI1132" i="3"/>
  <c r="AJ1131" i="3"/>
  <c r="AI1131" i="3"/>
  <c r="AJ1130" i="3"/>
  <c r="AI1130" i="3"/>
  <c r="AJ1129" i="3"/>
  <c r="AI1129" i="3"/>
  <c r="AJ1128" i="3"/>
  <c r="AI1128" i="3"/>
  <c r="AJ1127" i="3"/>
  <c r="AI1127" i="3"/>
  <c r="AJ1126" i="3"/>
  <c r="AI1126" i="3"/>
  <c r="AJ1125" i="3"/>
  <c r="AI1125" i="3"/>
  <c r="AJ1124" i="3"/>
  <c r="AI1124" i="3"/>
  <c r="AJ1123" i="3"/>
  <c r="AI1123" i="3"/>
  <c r="AJ1122" i="3"/>
  <c r="AI1122" i="3"/>
  <c r="AJ1121" i="3"/>
  <c r="AI1121" i="3"/>
  <c r="AJ1120" i="3"/>
  <c r="AI1120" i="3"/>
  <c r="AJ1119" i="3"/>
  <c r="AI1119" i="3"/>
  <c r="AJ1118" i="3"/>
  <c r="AI1118" i="3"/>
  <c r="AJ1117" i="3"/>
  <c r="AI1117" i="3"/>
  <c r="AJ1116" i="3"/>
  <c r="AI1116" i="3"/>
  <c r="AJ1115" i="3"/>
  <c r="AI1115" i="3"/>
  <c r="AJ1114" i="3"/>
  <c r="AI1114" i="3"/>
  <c r="AJ1113" i="3"/>
  <c r="AI1113" i="3"/>
  <c r="AJ1112" i="3"/>
  <c r="AI1112" i="3"/>
  <c r="AJ1111" i="3"/>
  <c r="AI1111" i="3"/>
  <c r="AJ1110" i="3"/>
  <c r="AI1110" i="3"/>
  <c r="AJ1109" i="3"/>
  <c r="AI1109" i="3"/>
  <c r="AJ1108" i="3"/>
  <c r="AI1108" i="3"/>
  <c r="AJ1107" i="3"/>
  <c r="AI1107" i="3"/>
  <c r="AJ1106" i="3"/>
  <c r="AI1106" i="3"/>
  <c r="AJ1105" i="3"/>
  <c r="AI1105" i="3"/>
  <c r="AJ1104" i="3"/>
  <c r="AI1104" i="3"/>
  <c r="AJ1103" i="3"/>
  <c r="AI1103" i="3"/>
  <c r="AJ1102" i="3"/>
  <c r="AI1102" i="3"/>
  <c r="AJ1101" i="3"/>
  <c r="AI1101" i="3"/>
  <c r="AJ1100" i="3"/>
  <c r="AI1100" i="3"/>
  <c r="AJ1099" i="3"/>
  <c r="AI1099" i="3"/>
  <c r="AJ1098" i="3"/>
  <c r="AI1098" i="3"/>
  <c r="AJ1097" i="3"/>
  <c r="AI1097" i="3"/>
  <c r="AJ1096" i="3"/>
  <c r="AI1096" i="3"/>
  <c r="AJ1095" i="3"/>
  <c r="AI1095" i="3"/>
  <c r="AJ1094" i="3"/>
  <c r="AI1094" i="3"/>
  <c r="AJ1093" i="3"/>
  <c r="AI1093" i="3"/>
  <c r="AJ1092" i="3"/>
  <c r="AI1092" i="3"/>
  <c r="AJ1091" i="3"/>
  <c r="AI1091" i="3"/>
  <c r="AJ1090" i="3"/>
  <c r="AI1090" i="3"/>
  <c r="AJ1089" i="3"/>
  <c r="AI1089" i="3"/>
  <c r="AJ1088" i="3"/>
  <c r="AI1088" i="3"/>
  <c r="AJ1087" i="3"/>
  <c r="AI1087" i="3"/>
  <c r="AJ1086" i="3"/>
  <c r="AI1086" i="3"/>
  <c r="AJ1085" i="3"/>
  <c r="AI1085" i="3"/>
  <c r="AJ1084" i="3"/>
  <c r="AI1084" i="3"/>
  <c r="AJ1083" i="3"/>
  <c r="AI1083" i="3"/>
  <c r="AJ1082" i="3"/>
  <c r="AI1082" i="3"/>
  <c r="AJ1081" i="3"/>
  <c r="AI1081" i="3"/>
  <c r="AJ1080" i="3"/>
  <c r="AI1080" i="3"/>
  <c r="AJ1079" i="3"/>
  <c r="AI1079" i="3"/>
  <c r="AJ1078" i="3"/>
  <c r="AI1078" i="3"/>
  <c r="AJ1077" i="3"/>
  <c r="AI1077" i="3"/>
  <c r="AJ1076" i="3"/>
  <c r="AI1076" i="3"/>
  <c r="AJ1075" i="3"/>
  <c r="AI1075" i="3"/>
  <c r="AJ1074" i="3"/>
  <c r="AI1074" i="3"/>
  <c r="AJ1073" i="3"/>
  <c r="AI1073" i="3"/>
  <c r="AJ1072" i="3"/>
  <c r="AI1072" i="3"/>
  <c r="AJ1071" i="3"/>
  <c r="AI1071" i="3"/>
  <c r="AJ1070" i="3"/>
  <c r="AI1070" i="3"/>
  <c r="AJ1069" i="3"/>
  <c r="AI1069" i="3"/>
  <c r="AJ1068" i="3"/>
  <c r="AI1068" i="3"/>
  <c r="AJ1067" i="3"/>
  <c r="AI1067" i="3"/>
  <c r="AJ1066" i="3"/>
  <c r="AI1066" i="3"/>
  <c r="AJ1065" i="3"/>
  <c r="AI1065" i="3"/>
  <c r="AJ1064" i="3"/>
  <c r="AI1064" i="3"/>
  <c r="AJ1063" i="3"/>
  <c r="AI1063" i="3"/>
  <c r="AJ1062" i="3"/>
  <c r="AI1062" i="3"/>
  <c r="AJ1061" i="3"/>
  <c r="AI1061" i="3"/>
  <c r="AJ1060" i="3"/>
  <c r="AI1060" i="3"/>
  <c r="AJ1059" i="3"/>
  <c r="AI1059" i="3"/>
  <c r="AJ1058" i="3"/>
  <c r="AI1058" i="3"/>
  <c r="AJ1057" i="3"/>
  <c r="AI1057" i="3"/>
  <c r="AJ1056" i="3"/>
  <c r="AI1056" i="3"/>
  <c r="AJ1055" i="3"/>
  <c r="AI1055" i="3"/>
  <c r="AJ1054" i="3"/>
  <c r="AI1054" i="3"/>
  <c r="AJ1053" i="3"/>
  <c r="AI1053" i="3"/>
  <c r="AJ1052" i="3"/>
  <c r="AI1052" i="3"/>
  <c r="AJ1051" i="3"/>
  <c r="AI1051" i="3"/>
  <c r="AJ1050" i="3"/>
  <c r="AI1050" i="3"/>
  <c r="AJ1049" i="3"/>
  <c r="AI1049" i="3"/>
  <c r="AJ1048" i="3"/>
  <c r="AI1048" i="3"/>
  <c r="AJ1047" i="3"/>
  <c r="AI1047" i="3"/>
  <c r="AJ1046" i="3"/>
  <c r="AI1046" i="3"/>
  <c r="AJ1045" i="3"/>
  <c r="AI1045" i="3"/>
  <c r="AJ1044" i="3"/>
  <c r="AI1044" i="3"/>
  <c r="AJ1043" i="3"/>
  <c r="AI1043" i="3"/>
  <c r="AJ1042" i="3"/>
  <c r="AI1042" i="3"/>
  <c r="AJ1041" i="3"/>
  <c r="AI1041" i="3"/>
  <c r="AJ1040" i="3"/>
  <c r="AI1040" i="3"/>
  <c r="AJ1039" i="3"/>
  <c r="AI1039" i="3"/>
  <c r="AJ1038" i="3"/>
  <c r="AI1038" i="3"/>
  <c r="AJ1037" i="3"/>
  <c r="AI1037" i="3"/>
  <c r="AJ1036" i="3"/>
  <c r="AI1036" i="3"/>
  <c r="AJ1035" i="3"/>
  <c r="AI1035" i="3"/>
  <c r="AJ1034" i="3"/>
  <c r="AI1034" i="3"/>
  <c r="AJ1033" i="3"/>
  <c r="AI1033" i="3"/>
  <c r="AJ1032" i="3"/>
  <c r="AI1032" i="3"/>
  <c r="AJ1031" i="3"/>
  <c r="AI1031" i="3"/>
  <c r="AJ1030" i="3"/>
  <c r="AI1030" i="3"/>
  <c r="AJ1029" i="3"/>
  <c r="AI1029" i="3"/>
  <c r="AJ1028" i="3"/>
  <c r="AI1028" i="3"/>
  <c r="AJ1027" i="3"/>
  <c r="AI1027" i="3"/>
  <c r="AJ1026" i="3"/>
  <c r="AI1026" i="3"/>
  <c r="AJ1025" i="3"/>
  <c r="AI1025" i="3"/>
  <c r="AJ1024" i="3"/>
  <c r="AI1024" i="3"/>
  <c r="AJ1023" i="3"/>
  <c r="AI1023" i="3"/>
  <c r="AJ1022" i="3"/>
  <c r="AI1022" i="3"/>
  <c r="AJ1021" i="3"/>
  <c r="AI1021" i="3"/>
  <c r="AJ1020" i="3"/>
  <c r="AI1020" i="3"/>
  <c r="AJ1019" i="3"/>
  <c r="AI1019" i="3"/>
  <c r="AJ1018" i="3"/>
  <c r="AI1018" i="3"/>
  <c r="AJ1017" i="3"/>
  <c r="AI1017" i="3"/>
  <c r="AJ1016" i="3"/>
  <c r="AI1016" i="3"/>
  <c r="AJ1015" i="3"/>
  <c r="AI1015" i="3"/>
  <c r="AJ1014" i="3"/>
  <c r="AI1014" i="3"/>
  <c r="AJ1013" i="3"/>
  <c r="AI1013" i="3"/>
  <c r="AJ1012" i="3"/>
  <c r="AI1012" i="3"/>
  <c r="AJ1011" i="3"/>
  <c r="AI1011" i="3"/>
  <c r="AJ1010" i="3"/>
  <c r="AI1010" i="3"/>
  <c r="AJ1009" i="3"/>
  <c r="AI1009" i="3"/>
  <c r="AJ1008" i="3"/>
  <c r="AI1008" i="3"/>
  <c r="AJ1007" i="3"/>
  <c r="AI1007" i="3"/>
  <c r="AJ1006" i="3"/>
  <c r="AI1006" i="3"/>
  <c r="AJ1005" i="3"/>
  <c r="AI1005" i="3"/>
  <c r="AJ1004" i="3"/>
  <c r="AI1004" i="3"/>
  <c r="AJ1003" i="3"/>
  <c r="AI1003" i="3"/>
  <c r="AJ1002" i="3"/>
  <c r="AI1002" i="3"/>
  <c r="AJ1001" i="3"/>
  <c r="AI1001" i="3"/>
  <c r="AJ1000" i="3"/>
  <c r="AI1000" i="3"/>
  <c r="AJ999" i="3"/>
  <c r="AI999" i="3"/>
  <c r="AJ998" i="3"/>
  <c r="AI998" i="3"/>
  <c r="AJ997" i="3"/>
  <c r="AI997" i="3"/>
  <c r="AJ996" i="3"/>
  <c r="AI996" i="3"/>
  <c r="AJ995" i="3"/>
  <c r="AI995" i="3"/>
  <c r="AJ994" i="3"/>
  <c r="AI994" i="3"/>
  <c r="AJ993" i="3"/>
  <c r="AI993" i="3"/>
  <c r="AJ992" i="3"/>
  <c r="AI992" i="3"/>
  <c r="AJ991" i="3"/>
  <c r="AI991" i="3"/>
  <c r="AJ990" i="3"/>
  <c r="AI990" i="3"/>
  <c r="AJ989" i="3"/>
  <c r="AI989" i="3"/>
  <c r="AJ988" i="3"/>
  <c r="AI988" i="3"/>
  <c r="AJ987" i="3"/>
  <c r="AI987" i="3"/>
  <c r="AJ986" i="3"/>
  <c r="AI986" i="3"/>
  <c r="AJ985" i="3"/>
  <c r="AI985" i="3"/>
  <c r="AJ984" i="3"/>
  <c r="AI984" i="3"/>
  <c r="AJ983" i="3"/>
  <c r="AI983" i="3"/>
  <c r="AJ982" i="3"/>
  <c r="AI982" i="3"/>
  <c r="AJ981" i="3"/>
  <c r="AI981" i="3"/>
  <c r="AJ980" i="3"/>
  <c r="AI980" i="3"/>
  <c r="AJ979" i="3"/>
  <c r="AI979" i="3"/>
  <c r="AJ978" i="3"/>
  <c r="AI978" i="3"/>
  <c r="AJ977" i="3"/>
  <c r="AI977" i="3"/>
  <c r="AJ976" i="3"/>
  <c r="AI976" i="3"/>
  <c r="AJ975" i="3"/>
  <c r="AI975" i="3"/>
  <c r="AJ974" i="3"/>
  <c r="AI974" i="3"/>
  <c r="AJ973" i="3"/>
  <c r="AI973" i="3"/>
  <c r="AJ972" i="3"/>
  <c r="AI972" i="3"/>
  <c r="AJ971" i="3"/>
  <c r="AI971" i="3"/>
  <c r="AJ970" i="3"/>
  <c r="AI970" i="3"/>
  <c r="AJ969" i="3"/>
  <c r="AI969" i="3"/>
  <c r="AJ968" i="3"/>
  <c r="AI968" i="3"/>
  <c r="AJ967" i="3"/>
  <c r="AI967" i="3"/>
  <c r="AJ966" i="3"/>
  <c r="AI966" i="3"/>
  <c r="AJ965" i="3"/>
  <c r="AI965" i="3"/>
  <c r="AJ964" i="3"/>
  <c r="AI964" i="3"/>
  <c r="AJ963" i="3"/>
  <c r="AI963" i="3"/>
  <c r="AJ962" i="3"/>
  <c r="AI962" i="3"/>
  <c r="AJ961" i="3"/>
  <c r="AI961" i="3"/>
  <c r="AJ960" i="3"/>
  <c r="AI960" i="3"/>
  <c r="AJ959" i="3"/>
  <c r="AI959" i="3"/>
  <c r="AJ958" i="3"/>
  <c r="AI958" i="3"/>
  <c r="AJ957" i="3"/>
  <c r="AI957" i="3"/>
  <c r="AJ956" i="3"/>
  <c r="AI956" i="3"/>
  <c r="AJ955" i="3"/>
  <c r="AI955" i="3"/>
  <c r="AJ954" i="3"/>
  <c r="AI954" i="3"/>
  <c r="AJ953" i="3"/>
  <c r="AI953" i="3"/>
  <c r="AJ952" i="3"/>
  <c r="AI952" i="3"/>
  <c r="AJ951" i="3"/>
  <c r="AI951" i="3"/>
  <c r="AJ950" i="3"/>
  <c r="AI950" i="3"/>
  <c r="AJ949" i="3"/>
  <c r="AI949" i="3"/>
  <c r="AJ948" i="3"/>
  <c r="AI948" i="3"/>
  <c r="AJ947" i="3"/>
  <c r="AI947" i="3"/>
  <c r="AJ946" i="3"/>
  <c r="AI946" i="3"/>
  <c r="AJ945" i="3"/>
  <c r="AI945" i="3"/>
  <c r="AJ944" i="3"/>
  <c r="AI944" i="3"/>
  <c r="AJ943" i="3"/>
  <c r="AI943" i="3"/>
  <c r="AJ942" i="3"/>
  <c r="AI942" i="3"/>
  <c r="AJ941" i="3"/>
  <c r="AI941" i="3"/>
  <c r="AJ940" i="3"/>
  <c r="AI940" i="3"/>
  <c r="AJ939" i="3"/>
  <c r="AI939" i="3"/>
  <c r="AJ938" i="3"/>
  <c r="AI938" i="3"/>
  <c r="AJ937" i="3"/>
  <c r="AI937" i="3"/>
  <c r="AJ936" i="3"/>
  <c r="AI936" i="3"/>
  <c r="AJ935" i="3"/>
  <c r="AI935" i="3"/>
  <c r="AJ934" i="3"/>
  <c r="AI934" i="3"/>
  <c r="AJ933" i="3"/>
  <c r="AI933" i="3"/>
  <c r="AJ932" i="3"/>
  <c r="AI932" i="3"/>
  <c r="AJ931" i="3"/>
  <c r="AI931" i="3"/>
  <c r="AJ930" i="3"/>
  <c r="AI930" i="3"/>
  <c r="AJ929" i="3"/>
  <c r="AI929" i="3"/>
  <c r="AJ928" i="3"/>
  <c r="AI928" i="3"/>
  <c r="AJ927" i="3"/>
  <c r="AI927" i="3"/>
  <c r="AJ926" i="3"/>
  <c r="AI926" i="3"/>
  <c r="AJ925" i="3"/>
  <c r="AI925" i="3"/>
  <c r="AJ924" i="3"/>
  <c r="AI924" i="3"/>
  <c r="AJ923" i="3"/>
  <c r="AI923" i="3"/>
  <c r="AJ922" i="3"/>
  <c r="AI922" i="3"/>
  <c r="AJ921" i="3"/>
  <c r="AI921" i="3"/>
  <c r="AJ920" i="3"/>
  <c r="AI920" i="3"/>
  <c r="AJ919" i="3"/>
  <c r="AI919" i="3"/>
  <c r="AJ918" i="3"/>
  <c r="AI918" i="3"/>
  <c r="AJ917" i="3"/>
  <c r="AI917" i="3"/>
  <c r="AJ916" i="3"/>
  <c r="AI916" i="3"/>
  <c r="AJ915" i="3"/>
  <c r="AI915" i="3"/>
  <c r="AJ914" i="3"/>
  <c r="AI914" i="3"/>
  <c r="AJ913" i="3"/>
  <c r="AI913" i="3"/>
  <c r="AJ912" i="3"/>
  <c r="AI912" i="3"/>
  <c r="AJ911" i="3"/>
  <c r="AI911" i="3"/>
  <c r="AJ910" i="3"/>
  <c r="AI910" i="3"/>
  <c r="AJ909" i="3"/>
  <c r="AI909" i="3"/>
  <c r="AJ908" i="3"/>
  <c r="AI908" i="3"/>
  <c r="AJ907" i="3"/>
  <c r="AI907" i="3"/>
  <c r="AJ906" i="3"/>
  <c r="AI906" i="3"/>
  <c r="AJ905" i="3"/>
  <c r="AI905" i="3"/>
  <c r="AJ904" i="3"/>
  <c r="AI904" i="3"/>
  <c r="AJ903" i="3"/>
  <c r="AI903" i="3"/>
  <c r="AJ902" i="3"/>
  <c r="AI902" i="3"/>
  <c r="AJ901" i="3"/>
  <c r="AI901" i="3"/>
  <c r="AJ900" i="3"/>
  <c r="AI900" i="3"/>
  <c r="AJ899" i="3"/>
  <c r="AI899" i="3"/>
  <c r="AJ898" i="3"/>
  <c r="AI898" i="3"/>
  <c r="AJ897" i="3"/>
  <c r="AI897" i="3"/>
  <c r="AJ896" i="3"/>
  <c r="AI896" i="3"/>
  <c r="AJ895" i="3"/>
  <c r="AI895" i="3"/>
  <c r="AJ894" i="3"/>
  <c r="AI894" i="3"/>
  <c r="AJ893" i="3"/>
  <c r="AI893" i="3"/>
  <c r="AJ892" i="3"/>
  <c r="AI892" i="3"/>
  <c r="AJ891" i="3"/>
  <c r="AI891" i="3"/>
  <c r="AJ890" i="3"/>
  <c r="AI890" i="3"/>
  <c r="AJ889" i="3"/>
  <c r="AI889" i="3"/>
  <c r="AJ888" i="3"/>
  <c r="AI888" i="3"/>
  <c r="AJ887" i="3"/>
  <c r="AI887" i="3"/>
  <c r="AJ886" i="3"/>
  <c r="AI886" i="3"/>
  <c r="AJ885" i="3"/>
  <c r="AI885" i="3"/>
  <c r="AJ884" i="3"/>
  <c r="AI884" i="3"/>
  <c r="AJ883" i="3"/>
  <c r="AI883" i="3"/>
  <c r="AJ882" i="3"/>
  <c r="AI882" i="3"/>
  <c r="AJ881" i="3"/>
  <c r="AI881" i="3"/>
  <c r="AJ880" i="3"/>
  <c r="AI880" i="3"/>
  <c r="AJ879" i="3"/>
  <c r="AI879" i="3"/>
  <c r="AJ878" i="3"/>
  <c r="AI878" i="3"/>
  <c r="AJ877" i="3"/>
  <c r="AI877" i="3"/>
  <c r="AJ876" i="3"/>
  <c r="AI876" i="3"/>
  <c r="AJ875" i="3"/>
  <c r="AI875" i="3"/>
  <c r="AJ874" i="3"/>
  <c r="AI874" i="3"/>
  <c r="AJ873" i="3"/>
  <c r="AI873" i="3"/>
  <c r="AJ872" i="3"/>
  <c r="AI872" i="3"/>
  <c r="AJ871" i="3"/>
  <c r="AI871" i="3"/>
  <c r="AJ870" i="3"/>
  <c r="AI870" i="3"/>
  <c r="AJ869" i="3"/>
  <c r="AI869" i="3"/>
  <c r="AJ868" i="3"/>
  <c r="AI868" i="3"/>
  <c r="AJ867" i="3"/>
  <c r="AI867" i="3"/>
  <c r="AJ866" i="3"/>
  <c r="AI866" i="3"/>
  <c r="AJ865" i="3"/>
  <c r="AI865" i="3"/>
  <c r="AJ864" i="3"/>
  <c r="AI864" i="3"/>
  <c r="AJ863" i="3"/>
  <c r="AI863" i="3"/>
  <c r="AJ862" i="3"/>
  <c r="AI862" i="3"/>
  <c r="AJ861" i="3"/>
  <c r="AI861" i="3"/>
  <c r="AJ860" i="3"/>
  <c r="AI860" i="3"/>
  <c r="AJ859" i="3"/>
  <c r="AI859" i="3"/>
  <c r="AJ858" i="3"/>
  <c r="AI858" i="3"/>
  <c r="AJ857" i="3"/>
  <c r="AI857" i="3"/>
  <c r="AJ856" i="3"/>
  <c r="AI856" i="3"/>
  <c r="AJ855" i="3"/>
  <c r="AI855" i="3"/>
  <c r="AJ854" i="3"/>
  <c r="AI854" i="3"/>
  <c r="AJ853" i="3"/>
  <c r="AI853" i="3"/>
  <c r="AJ852" i="3"/>
  <c r="AI852" i="3"/>
  <c r="AJ851" i="3"/>
  <c r="AI851" i="3"/>
  <c r="AJ850" i="3"/>
  <c r="AI850" i="3"/>
  <c r="AJ849" i="3"/>
  <c r="AI849" i="3"/>
  <c r="AJ848" i="3"/>
  <c r="AI848" i="3"/>
  <c r="AJ847" i="3"/>
  <c r="AI847" i="3"/>
  <c r="AJ846" i="3"/>
  <c r="AI846" i="3"/>
  <c r="AJ845" i="3"/>
  <c r="AI845" i="3"/>
  <c r="AJ844" i="3"/>
  <c r="AI844" i="3"/>
  <c r="AJ843" i="3"/>
  <c r="AI843" i="3"/>
  <c r="AJ842" i="3"/>
  <c r="AI842" i="3"/>
  <c r="AJ841" i="3"/>
  <c r="AI841" i="3"/>
  <c r="AJ840" i="3"/>
  <c r="AI840" i="3"/>
  <c r="AJ839" i="3"/>
  <c r="AI839" i="3"/>
  <c r="AJ838" i="3"/>
  <c r="AI838" i="3"/>
  <c r="AJ837" i="3"/>
  <c r="AI837" i="3"/>
  <c r="AJ836" i="3"/>
  <c r="AI836" i="3"/>
  <c r="AJ835" i="3"/>
  <c r="AI835" i="3"/>
  <c r="AJ834" i="3"/>
  <c r="AI834" i="3"/>
  <c r="AJ833" i="3"/>
  <c r="AI833" i="3"/>
  <c r="AJ832" i="3"/>
  <c r="AI832" i="3"/>
  <c r="AJ831" i="3"/>
  <c r="AI831" i="3"/>
  <c r="AJ830" i="3"/>
  <c r="AI830" i="3"/>
  <c r="AJ829" i="3"/>
  <c r="AI829" i="3"/>
  <c r="AJ828" i="3"/>
  <c r="AI828" i="3"/>
  <c r="AJ827" i="3"/>
  <c r="AI827" i="3"/>
  <c r="AJ826" i="3"/>
  <c r="AI826" i="3"/>
  <c r="AJ825" i="3"/>
  <c r="AI825" i="3"/>
  <c r="AJ824" i="3"/>
  <c r="AI824" i="3"/>
  <c r="AJ823" i="3"/>
  <c r="AI823" i="3"/>
  <c r="AJ822" i="3"/>
  <c r="AI822" i="3"/>
  <c r="AJ821" i="3"/>
  <c r="AI821" i="3"/>
  <c r="AJ820" i="3"/>
  <c r="AI820" i="3"/>
  <c r="AJ819" i="3"/>
  <c r="AI819" i="3"/>
  <c r="AJ818" i="3"/>
  <c r="AI818" i="3"/>
  <c r="AJ817" i="3"/>
  <c r="AI817" i="3"/>
  <c r="AJ816" i="3"/>
  <c r="AI816" i="3"/>
  <c r="AJ815" i="3"/>
  <c r="AI815" i="3"/>
  <c r="AJ814" i="3"/>
  <c r="AI814" i="3"/>
  <c r="AJ813" i="3"/>
  <c r="AI813" i="3"/>
  <c r="AJ812" i="3"/>
  <c r="AI812" i="3"/>
  <c r="AJ811" i="3"/>
  <c r="AI811" i="3"/>
  <c r="AJ810" i="3"/>
  <c r="AI810" i="3"/>
  <c r="AJ809" i="3"/>
  <c r="AI809" i="3"/>
  <c r="AJ808" i="3"/>
  <c r="AI808" i="3"/>
  <c r="AJ807" i="3"/>
  <c r="AI807" i="3"/>
  <c r="AJ806" i="3"/>
  <c r="AI806" i="3"/>
  <c r="AJ805" i="3"/>
  <c r="AI805" i="3"/>
  <c r="AJ804" i="3"/>
  <c r="AI804" i="3"/>
  <c r="AJ803" i="3"/>
  <c r="AI803" i="3"/>
  <c r="AJ802" i="3"/>
  <c r="AI802" i="3"/>
  <c r="AJ801" i="3"/>
  <c r="AI801" i="3"/>
  <c r="AJ800" i="3"/>
  <c r="AI800" i="3"/>
  <c r="AJ799" i="3"/>
  <c r="AI799" i="3"/>
  <c r="AJ798" i="3"/>
  <c r="AI798" i="3"/>
  <c r="AJ797" i="3"/>
  <c r="AI797" i="3"/>
  <c r="AJ796" i="3"/>
  <c r="AI796" i="3"/>
  <c r="AJ795" i="3"/>
  <c r="AI795" i="3"/>
  <c r="AJ794" i="3"/>
  <c r="AI794" i="3"/>
  <c r="AJ793" i="3"/>
  <c r="AI793" i="3"/>
  <c r="AJ792" i="3"/>
  <c r="AI792" i="3"/>
  <c r="AJ791" i="3"/>
  <c r="AI791" i="3"/>
  <c r="AJ790" i="3"/>
  <c r="AI790" i="3"/>
  <c r="AJ789" i="3"/>
  <c r="AI789" i="3"/>
  <c r="AJ788" i="3"/>
  <c r="AI788" i="3"/>
  <c r="AJ787" i="3"/>
  <c r="AI787" i="3"/>
  <c r="AJ786" i="3"/>
  <c r="AI786" i="3"/>
  <c r="AJ785" i="3"/>
  <c r="AI785" i="3"/>
  <c r="AJ784" i="3"/>
  <c r="AI784" i="3"/>
  <c r="AJ783" i="3"/>
  <c r="AI783" i="3"/>
  <c r="AJ782" i="3"/>
  <c r="AI782" i="3"/>
  <c r="AJ781" i="3"/>
  <c r="AI781" i="3"/>
  <c r="AJ780" i="3"/>
  <c r="AI780" i="3"/>
  <c r="AJ779" i="3"/>
  <c r="AI779" i="3"/>
  <c r="AJ778" i="3"/>
  <c r="AI778" i="3"/>
  <c r="AJ777" i="3"/>
  <c r="AI777" i="3"/>
  <c r="AJ776" i="3"/>
  <c r="AI776" i="3"/>
  <c r="AJ775" i="3"/>
  <c r="AI775" i="3"/>
  <c r="AJ774" i="3"/>
  <c r="AI774" i="3"/>
  <c r="AJ773" i="3"/>
  <c r="AI773" i="3"/>
  <c r="AJ772" i="3"/>
  <c r="AI772" i="3"/>
  <c r="AJ771" i="3"/>
  <c r="AI771" i="3"/>
  <c r="AJ770" i="3"/>
  <c r="AI770" i="3"/>
  <c r="AJ769" i="3"/>
  <c r="AI769" i="3"/>
  <c r="AJ768" i="3"/>
  <c r="AI768" i="3"/>
  <c r="AJ767" i="3"/>
  <c r="AI767" i="3"/>
  <c r="AJ766" i="3"/>
  <c r="AI766" i="3"/>
  <c r="AJ765" i="3"/>
  <c r="AI765" i="3"/>
  <c r="AJ764" i="3"/>
  <c r="AI764" i="3"/>
  <c r="AJ763" i="3"/>
  <c r="AI763" i="3"/>
  <c r="AJ762" i="3"/>
  <c r="AI762" i="3"/>
  <c r="AJ761" i="3"/>
  <c r="AI761" i="3"/>
  <c r="AJ760" i="3"/>
  <c r="AI760" i="3"/>
  <c r="AJ759" i="3"/>
  <c r="AI759" i="3"/>
  <c r="AJ758" i="3"/>
  <c r="AI758" i="3"/>
  <c r="AJ757" i="3"/>
  <c r="AI757" i="3"/>
  <c r="AJ756" i="3"/>
  <c r="AI756" i="3"/>
  <c r="AJ755" i="3"/>
  <c r="AI755" i="3"/>
  <c r="AJ754" i="3"/>
  <c r="AI754" i="3"/>
  <c r="AJ753" i="3"/>
  <c r="AI753" i="3"/>
  <c r="AJ752" i="3"/>
  <c r="AI752" i="3"/>
  <c r="AJ751" i="3"/>
  <c r="AI751" i="3"/>
  <c r="AJ750" i="3"/>
  <c r="AI750" i="3"/>
  <c r="AJ749" i="3"/>
  <c r="AI749" i="3"/>
  <c r="AJ748" i="3"/>
  <c r="AI748" i="3"/>
  <c r="AJ747" i="3"/>
  <c r="AI747" i="3"/>
  <c r="AJ746" i="3"/>
  <c r="AI746" i="3"/>
  <c r="AJ745" i="3"/>
  <c r="AI745" i="3"/>
  <c r="AJ744" i="3"/>
  <c r="AI744" i="3"/>
  <c r="AJ743" i="3"/>
  <c r="AI743" i="3"/>
  <c r="AJ742" i="3"/>
  <c r="AI742" i="3"/>
  <c r="AJ741" i="3"/>
  <c r="AI741" i="3"/>
  <c r="AJ740" i="3"/>
  <c r="AI740" i="3"/>
  <c r="AJ739" i="3"/>
  <c r="AI739" i="3"/>
  <c r="AJ738" i="3"/>
  <c r="AI738" i="3"/>
  <c r="AJ737" i="3"/>
  <c r="AI737" i="3"/>
  <c r="AJ736" i="3"/>
  <c r="AI736" i="3"/>
  <c r="AJ735" i="3"/>
  <c r="AI735" i="3"/>
  <c r="AJ734" i="3"/>
  <c r="AI734" i="3"/>
  <c r="AJ733" i="3"/>
  <c r="AI733" i="3"/>
  <c r="AJ732" i="3"/>
  <c r="AI732" i="3"/>
  <c r="AJ731" i="3"/>
  <c r="AI731" i="3"/>
  <c r="AJ730" i="3"/>
  <c r="AI730" i="3"/>
  <c r="AJ729" i="3"/>
  <c r="AI729" i="3"/>
  <c r="AJ728" i="3"/>
  <c r="AI728" i="3"/>
  <c r="AJ727" i="3"/>
  <c r="AI727" i="3"/>
  <c r="AJ726" i="3"/>
  <c r="AI726" i="3"/>
  <c r="AJ725" i="3"/>
  <c r="AI725" i="3"/>
  <c r="AJ724" i="3"/>
  <c r="AI724" i="3"/>
  <c r="AJ723" i="3"/>
  <c r="AI723" i="3"/>
  <c r="AJ722" i="3"/>
  <c r="AI722" i="3"/>
  <c r="AJ721" i="3"/>
  <c r="AI721" i="3"/>
  <c r="AJ720" i="3"/>
  <c r="AI720" i="3"/>
  <c r="AJ719" i="3"/>
  <c r="AI719" i="3"/>
  <c r="AJ718" i="3"/>
  <c r="AI718" i="3"/>
  <c r="AJ717" i="3"/>
  <c r="AI717" i="3"/>
  <c r="AJ716" i="3"/>
  <c r="AI716" i="3"/>
  <c r="AJ715" i="3"/>
  <c r="AI715" i="3"/>
  <c r="AJ714" i="3"/>
  <c r="AI714" i="3"/>
  <c r="AJ713" i="3"/>
  <c r="AI713" i="3"/>
  <c r="AJ712" i="3"/>
  <c r="AI712" i="3"/>
  <c r="AJ711" i="3"/>
  <c r="AI711" i="3"/>
  <c r="AJ710" i="3"/>
  <c r="AI710" i="3"/>
  <c r="AJ709" i="3"/>
  <c r="AI709" i="3"/>
  <c r="AJ708" i="3"/>
  <c r="AI708" i="3"/>
  <c r="AJ707" i="3"/>
  <c r="AI707" i="3"/>
  <c r="AJ706" i="3"/>
  <c r="AI706" i="3"/>
  <c r="AJ705" i="3"/>
  <c r="AI705" i="3"/>
  <c r="AJ704" i="3"/>
  <c r="AI704" i="3"/>
  <c r="AJ703" i="3"/>
  <c r="AI703" i="3"/>
  <c r="AJ702" i="3"/>
  <c r="AI702" i="3"/>
  <c r="AJ701" i="3"/>
  <c r="AI701" i="3"/>
  <c r="AJ700" i="3"/>
  <c r="AI700" i="3"/>
  <c r="AJ699" i="3"/>
  <c r="AI699" i="3"/>
  <c r="AJ698" i="3"/>
  <c r="AI698" i="3"/>
  <c r="AJ697" i="3"/>
  <c r="AI697" i="3"/>
  <c r="AJ696" i="3"/>
  <c r="AI696" i="3"/>
  <c r="AJ695" i="3"/>
  <c r="AI695" i="3"/>
  <c r="AJ694" i="3"/>
  <c r="AI694" i="3"/>
  <c r="AJ693" i="3"/>
  <c r="AI693" i="3"/>
  <c r="AJ692" i="3"/>
  <c r="AI692" i="3"/>
  <c r="AJ691" i="3"/>
  <c r="AI691" i="3"/>
  <c r="AJ690" i="3"/>
  <c r="AI690" i="3"/>
  <c r="AJ689" i="3"/>
  <c r="AI689" i="3"/>
  <c r="AJ688" i="3"/>
  <c r="AI688" i="3"/>
  <c r="AJ687" i="3"/>
  <c r="AI687" i="3"/>
  <c r="AJ686" i="3"/>
  <c r="AI686" i="3"/>
  <c r="AJ685" i="3"/>
  <c r="AI685" i="3"/>
  <c r="AJ684" i="3"/>
  <c r="AI684" i="3"/>
  <c r="AJ683" i="3"/>
  <c r="AI683" i="3"/>
  <c r="AJ682" i="3"/>
  <c r="AI682" i="3"/>
  <c r="AJ681" i="3"/>
  <c r="AI681" i="3"/>
  <c r="AJ680" i="3"/>
  <c r="AI680" i="3"/>
  <c r="AJ679" i="3"/>
  <c r="AI679" i="3"/>
  <c r="AJ678" i="3"/>
  <c r="AI678" i="3"/>
  <c r="AJ677" i="3"/>
  <c r="AI677" i="3"/>
  <c r="AJ676" i="3"/>
  <c r="AI676" i="3"/>
  <c r="AJ675" i="3"/>
  <c r="AI675" i="3"/>
  <c r="AJ674" i="3"/>
  <c r="AI674" i="3"/>
  <c r="AJ673" i="3"/>
  <c r="AI673" i="3"/>
  <c r="AJ672" i="3"/>
  <c r="AI672" i="3"/>
  <c r="AJ671" i="3"/>
  <c r="AI671" i="3"/>
  <c r="AJ670" i="3"/>
  <c r="AI670" i="3"/>
  <c r="AJ669" i="3"/>
  <c r="AI669" i="3"/>
  <c r="AJ668" i="3"/>
  <c r="AI668" i="3"/>
  <c r="AJ667" i="3"/>
  <c r="AI667" i="3"/>
  <c r="AJ666" i="3"/>
  <c r="AI666" i="3"/>
  <c r="AJ665" i="3"/>
  <c r="AI665" i="3"/>
  <c r="AJ664" i="3"/>
  <c r="AI664" i="3"/>
  <c r="AJ663" i="3"/>
  <c r="AI663" i="3"/>
  <c r="AJ662" i="3"/>
  <c r="AI662" i="3"/>
  <c r="AJ661" i="3"/>
  <c r="AI661" i="3"/>
  <c r="AJ660" i="3"/>
  <c r="AI660" i="3"/>
  <c r="AJ659" i="3"/>
  <c r="AI659" i="3"/>
  <c r="AJ658" i="3"/>
  <c r="AI658" i="3"/>
  <c r="AJ657" i="3"/>
  <c r="AI657" i="3"/>
  <c r="AJ656" i="3"/>
  <c r="AI656" i="3"/>
  <c r="AJ655" i="3"/>
  <c r="AI655" i="3"/>
  <c r="AJ654" i="3"/>
  <c r="AI654" i="3"/>
  <c r="AJ653" i="3"/>
  <c r="AI653" i="3"/>
  <c r="AJ652" i="3"/>
  <c r="AI652" i="3"/>
  <c r="AJ651" i="3"/>
  <c r="AI651" i="3"/>
  <c r="AJ650" i="3"/>
  <c r="AI650" i="3"/>
  <c r="AJ649" i="3"/>
  <c r="AI649" i="3"/>
  <c r="AJ648" i="3"/>
  <c r="AI648" i="3"/>
  <c r="AJ647" i="3"/>
  <c r="AI647" i="3"/>
  <c r="AJ646" i="3"/>
  <c r="AI646" i="3"/>
  <c r="AJ645" i="3"/>
  <c r="AI645" i="3"/>
  <c r="AJ644" i="3"/>
  <c r="AI644" i="3"/>
  <c r="AJ643" i="3"/>
  <c r="AI643" i="3"/>
  <c r="AJ642" i="3"/>
  <c r="AI642" i="3"/>
  <c r="AJ641" i="3"/>
  <c r="AI641" i="3"/>
  <c r="AJ640" i="3"/>
  <c r="AI640" i="3"/>
  <c r="AJ639" i="3"/>
  <c r="AI639" i="3"/>
  <c r="AJ638" i="3"/>
  <c r="AI638" i="3"/>
  <c r="AJ637" i="3"/>
  <c r="AI637" i="3"/>
  <c r="AJ636" i="3"/>
  <c r="AI636" i="3"/>
  <c r="AJ635" i="3"/>
  <c r="AI635" i="3"/>
  <c r="AJ634" i="3"/>
  <c r="AI634" i="3"/>
  <c r="AJ633" i="3"/>
  <c r="AI633" i="3"/>
  <c r="AJ632" i="3"/>
  <c r="AI632" i="3"/>
  <c r="AJ631" i="3"/>
  <c r="AI631" i="3"/>
  <c r="AJ630" i="3"/>
  <c r="AI630" i="3"/>
  <c r="AJ629" i="3"/>
  <c r="AI629" i="3"/>
  <c r="AJ628" i="3"/>
  <c r="AI628" i="3"/>
  <c r="AJ627" i="3"/>
  <c r="AI627" i="3"/>
  <c r="AJ626" i="3"/>
  <c r="AI626" i="3"/>
  <c r="AJ625" i="3"/>
  <c r="AI625" i="3"/>
  <c r="AJ624" i="3"/>
  <c r="AI624" i="3"/>
  <c r="AJ623" i="3"/>
  <c r="AI623" i="3"/>
  <c r="AJ622" i="3"/>
  <c r="AI622" i="3"/>
  <c r="AJ621" i="3"/>
  <c r="AI621" i="3"/>
  <c r="AJ620" i="3"/>
  <c r="AI620" i="3"/>
  <c r="AJ619" i="3"/>
  <c r="AI619" i="3"/>
  <c r="AJ618" i="3"/>
  <c r="AI618" i="3"/>
  <c r="AJ617" i="3"/>
  <c r="AI617" i="3"/>
  <c r="AJ616" i="3"/>
  <c r="AI616" i="3"/>
  <c r="AJ615" i="3"/>
  <c r="AI615" i="3"/>
  <c r="AJ614" i="3"/>
  <c r="AI614" i="3"/>
  <c r="AJ613" i="3"/>
  <c r="AI613" i="3"/>
  <c r="AJ612" i="3"/>
  <c r="AI612" i="3"/>
  <c r="AJ611" i="3"/>
  <c r="AI611" i="3"/>
  <c r="AJ610" i="3"/>
  <c r="AI610" i="3"/>
  <c r="AJ609" i="3"/>
  <c r="AI609" i="3"/>
  <c r="AJ608" i="3"/>
  <c r="AI608" i="3"/>
  <c r="AJ607" i="3"/>
  <c r="AI607" i="3"/>
  <c r="AJ606" i="3"/>
  <c r="AI606" i="3"/>
  <c r="AJ605" i="3"/>
  <c r="AI605" i="3"/>
  <c r="AJ604" i="3"/>
  <c r="AI604" i="3"/>
  <c r="AJ603" i="3"/>
  <c r="AI603" i="3"/>
  <c r="AJ602" i="3"/>
  <c r="AI602" i="3"/>
  <c r="AJ601" i="3"/>
  <c r="AI601" i="3"/>
  <c r="AJ600" i="3"/>
  <c r="AI600" i="3"/>
  <c r="AJ599" i="3"/>
  <c r="AI599" i="3"/>
  <c r="AJ598" i="3"/>
  <c r="AI598" i="3"/>
  <c r="AJ597" i="3"/>
  <c r="AI597" i="3"/>
  <c r="AJ596" i="3"/>
  <c r="AI596" i="3"/>
  <c r="AJ595" i="3"/>
  <c r="AI595" i="3"/>
  <c r="AJ594" i="3"/>
  <c r="AI594" i="3"/>
  <c r="AJ593" i="3"/>
  <c r="AI593" i="3"/>
  <c r="AJ592" i="3"/>
  <c r="AI592" i="3"/>
  <c r="AJ591" i="3"/>
  <c r="AI591" i="3"/>
  <c r="AJ590" i="3"/>
  <c r="AI590" i="3"/>
  <c r="AJ589" i="3"/>
  <c r="AI589" i="3"/>
  <c r="AJ588" i="3"/>
  <c r="AI588" i="3"/>
  <c r="AJ587" i="3"/>
  <c r="AI587" i="3"/>
  <c r="AJ586" i="3"/>
  <c r="AI586" i="3"/>
  <c r="AJ585" i="3"/>
  <c r="AI585" i="3"/>
  <c r="AJ584" i="3"/>
  <c r="AI584" i="3"/>
  <c r="AJ583" i="3"/>
  <c r="AI583" i="3"/>
  <c r="AJ582" i="3"/>
  <c r="AI582" i="3"/>
  <c r="AJ581" i="3"/>
  <c r="AI581" i="3"/>
  <c r="AJ580" i="3"/>
  <c r="AI580" i="3"/>
  <c r="AJ579" i="3"/>
  <c r="AI579" i="3"/>
  <c r="AJ578" i="3"/>
  <c r="AI578" i="3"/>
  <c r="AJ577" i="3"/>
  <c r="AI577" i="3"/>
  <c r="AJ576" i="3"/>
  <c r="AI576" i="3"/>
  <c r="AJ575" i="3"/>
  <c r="AI575" i="3"/>
  <c r="AJ574" i="3"/>
  <c r="AI574" i="3"/>
  <c r="AJ573" i="3"/>
  <c r="AI573" i="3"/>
  <c r="AJ572" i="3"/>
  <c r="AI572" i="3"/>
  <c r="AJ571" i="3"/>
  <c r="AI571" i="3"/>
  <c r="AJ570" i="3"/>
  <c r="AI570" i="3"/>
  <c r="AJ569" i="3"/>
  <c r="AI569" i="3"/>
  <c r="AJ568" i="3"/>
  <c r="AI568" i="3"/>
  <c r="AJ567" i="3"/>
  <c r="AI567" i="3"/>
  <c r="AJ566" i="3"/>
  <c r="AI566" i="3"/>
  <c r="AJ565" i="3"/>
  <c r="AI565" i="3"/>
  <c r="AJ564" i="3"/>
  <c r="AI564" i="3"/>
  <c r="AJ563" i="3"/>
  <c r="AI563" i="3"/>
  <c r="AJ562" i="3"/>
  <c r="AI562" i="3"/>
  <c r="AJ561" i="3"/>
  <c r="AI561" i="3"/>
  <c r="AJ560" i="3"/>
  <c r="AI560" i="3"/>
  <c r="AJ559" i="3"/>
  <c r="AI559" i="3"/>
  <c r="AJ558" i="3"/>
  <c r="AI558" i="3"/>
  <c r="AJ557" i="3"/>
  <c r="AI557" i="3"/>
  <c r="AJ556" i="3"/>
  <c r="AI556" i="3"/>
  <c r="AJ555" i="3"/>
  <c r="AI555" i="3"/>
  <c r="AJ554" i="3"/>
  <c r="AI554" i="3"/>
  <c r="AJ553" i="3"/>
  <c r="AI553" i="3"/>
  <c r="AJ552" i="3"/>
  <c r="AI552" i="3"/>
  <c r="AJ551" i="3"/>
  <c r="AI551" i="3"/>
  <c r="AJ550" i="3"/>
  <c r="AI550" i="3"/>
  <c r="AJ549" i="3"/>
  <c r="AI549" i="3"/>
  <c r="AJ548" i="3"/>
  <c r="AI548" i="3"/>
  <c r="AJ547" i="3"/>
  <c r="AI547" i="3"/>
  <c r="AJ546" i="3"/>
  <c r="AI546" i="3"/>
  <c r="AJ545" i="3"/>
  <c r="AI545" i="3"/>
  <c r="AJ544" i="3"/>
  <c r="AI544" i="3"/>
  <c r="AJ543" i="3"/>
  <c r="AI543" i="3"/>
  <c r="AJ542" i="3"/>
  <c r="AI542" i="3"/>
  <c r="AJ541" i="3"/>
  <c r="AI541" i="3"/>
  <c r="AJ540" i="3"/>
  <c r="AI540" i="3"/>
  <c r="AJ539" i="3"/>
  <c r="AI539" i="3"/>
  <c r="AJ538" i="3"/>
  <c r="AI538" i="3"/>
  <c r="AJ537" i="3"/>
  <c r="AI537" i="3"/>
  <c r="AJ536" i="3"/>
  <c r="AI536" i="3"/>
  <c r="AJ535" i="3"/>
  <c r="AI535" i="3"/>
  <c r="AJ534" i="3"/>
  <c r="AI534" i="3"/>
  <c r="AJ533" i="3"/>
  <c r="AI533" i="3"/>
  <c r="AJ532" i="3"/>
  <c r="AI532" i="3"/>
  <c r="AJ531" i="3"/>
  <c r="AI531" i="3"/>
  <c r="AJ530" i="3"/>
  <c r="AI530" i="3"/>
  <c r="AJ529" i="3"/>
  <c r="AI529" i="3"/>
  <c r="AJ528" i="3"/>
  <c r="AI528" i="3"/>
  <c r="AJ527" i="3"/>
  <c r="AI527" i="3"/>
  <c r="AJ526" i="3"/>
  <c r="AI526" i="3"/>
  <c r="AJ525" i="3"/>
  <c r="AI525" i="3"/>
  <c r="AJ524" i="3"/>
  <c r="AI524" i="3"/>
  <c r="AJ523" i="3"/>
  <c r="AI523" i="3"/>
  <c r="AJ522" i="3"/>
  <c r="AI522" i="3"/>
  <c r="AJ521" i="3"/>
  <c r="AI521" i="3"/>
  <c r="AJ520" i="3"/>
  <c r="AI520" i="3"/>
  <c r="AJ519" i="3"/>
  <c r="AI519" i="3"/>
  <c r="AJ518" i="3"/>
  <c r="AI518" i="3"/>
  <c r="AJ517" i="3"/>
  <c r="AI517" i="3"/>
  <c r="AJ516" i="3"/>
  <c r="AI516" i="3"/>
  <c r="AJ515" i="3"/>
  <c r="AI515" i="3"/>
  <c r="AJ514" i="3"/>
  <c r="AI514" i="3"/>
  <c r="AJ513" i="3"/>
  <c r="AI513" i="3"/>
  <c r="AJ512" i="3"/>
  <c r="AI512" i="3"/>
  <c r="AJ511" i="3"/>
  <c r="AI511" i="3"/>
  <c r="AJ510" i="3"/>
  <c r="AI510" i="3"/>
  <c r="AJ509" i="3"/>
  <c r="AI509" i="3"/>
  <c r="AJ508" i="3"/>
  <c r="AI508" i="3"/>
  <c r="AJ507" i="3"/>
  <c r="AI507" i="3"/>
  <c r="AJ506" i="3"/>
  <c r="AI506" i="3"/>
  <c r="AJ505" i="3"/>
  <c r="AI505" i="3"/>
  <c r="AJ504" i="3"/>
  <c r="AI504" i="3"/>
  <c r="AJ503" i="3"/>
  <c r="AI503" i="3"/>
  <c r="AJ502" i="3"/>
  <c r="AI502" i="3"/>
  <c r="AJ501" i="3"/>
  <c r="AI501" i="3"/>
  <c r="AJ500" i="3"/>
  <c r="AI500" i="3"/>
  <c r="AJ499" i="3"/>
  <c r="AI499" i="3"/>
  <c r="AJ498" i="3"/>
  <c r="AI498" i="3"/>
  <c r="AJ497" i="3"/>
  <c r="AI497" i="3"/>
  <c r="AJ496" i="3"/>
  <c r="AI496" i="3"/>
  <c r="AJ495" i="3"/>
  <c r="AI495" i="3"/>
  <c r="AJ494" i="3"/>
  <c r="AI494" i="3"/>
  <c r="AJ493" i="3"/>
  <c r="AI493" i="3"/>
  <c r="AJ492" i="3"/>
  <c r="AI492" i="3"/>
  <c r="AJ491" i="3"/>
  <c r="AI491" i="3"/>
  <c r="AJ490" i="3"/>
  <c r="AI490" i="3"/>
  <c r="AJ489" i="3"/>
  <c r="AI489" i="3"/>
  <c r="AJ488" i="3"/>
  <c r="AI488" i="3"/>
  <c r="AJ487" i="3"/>
  <c r="AI487" i="3"/>
  <c r="AJ486" i="3"/>
  <c r="AI486" i="3"/>
  <c r="AJ485" i="3"/>
  <c r="AI485" i="3"/>
  <c r="AJ484" i="3"/>
  <c r="AI484" i="3"/>
  <c r="AJ483" i="3"/>
  <c r="AI483" i="3"/>
  <c r="AJ482" i="3"/>
  <c r="AI482" i="3"/>
  <c r="AJ481" i="3"/>
  <c r="AI481" i="3"/>
  <c r="AJ480" i="3"/>
  <c r="AI480" i="3"/>
  <c r="AJ479" i="3"/>
  <c r="AI479" i="3"/>
  <c r="AJ478" i="3"/>
  <c r="AI478" i="3"/>
  <c r="AJ477" i="3"/>
  <c r="AI477" i="3"/>
  <c r="AJ476" i="3"/>
  <c r="AI476" i="3"/>
  <c r="AJ475" i="3"/>
  <c r="AI475" i="3"/>
  <c r="AJ474" i="3"/>
  <c r="AI474" i="3"/>
  <c r="AJ473" i="3"/>
  <c r="AI473" i="3"/>
  <c r="AJ472" i="3"/>
  <c r="AI472" i="3"/>
  <c r="AJ471" i="3"/>
  <c r="AI471" i="3"/>
  <c r="AJ470" i="3"/>
  <c r="AI470" i="3"/>
  <c r="AJ469" i="3"/>
  <c r="AI469" i="3"/>
  <c r="AJ468" i="3"/>
  <c r="AI468" i="3"/>
  <c r="AJ467" i="3"/>
  <c r="AI467" i="3"/>
  <c r="AJ466" i="3"/>
  <c r="AI466" i="3"/>
  <c r="AJ465" i="3"/>
  <c r="AI465" i="3"/>
  <c r="AJ464" i="3"/>
  <c r="AI464" i="3"/>
  <c r="AJ463" i="3"/>
  <c r="AI463" i="3"/>
  <c r="AJ462" i="3"/>
  <c r="AI462" i="3"/>
  <c r="AJ461" i="3"/>
  <c r="AI461" i="3"/>
  <c r="AJ460" i="3"/>
  <c r="AI460" i="3"/>
  <c r="AJ459" i="3"/>
  <c r="AI459" i="3"/>
  <c r="AJ458" i="3"/>
  <c r="AI458" i="3"/>
  <c r="AJ457" i="3"/>
  <c r="AI457" i="3"/>
  <c r="AJ456" i="3"/>
  <c r="AI456" i="3"/>
  <c r="AJ455" i="3"/>
  <c r="AI455" i="3"/>
  <c r="AJ454" i="3"/>
  <c r="AI454" i="3"/>
  <c r="AJ453" i="3"/>
  <c r="AI453" i="3"/>
  <c r="AJ452" i="3"/>
  <c r="AI452" i="3"/>
  <c r="AJ451" i="3"/>
  <c r="AI451" i="3"/>
  <c r="AJ450" i="3"/>
  <c r="AI450" i="3"/>
  <c r="AJ449" i="3"/>
  <c r="AI449" i="3"/>
  <c r="AJ448" i="3"/>
  <c r="AI448" i="3"/>
  <c r="AJ447" i="3"/>
  <c r="AI447" i="3"/>
  <c r="AJ446" i="3"/>
  <c r="AI446" i="3"/>
  <c r="AJ445" i="3"/>
  <c r="AI445" i="3"/>
  <c r="AJ444" i="3"/>
  <c r="AI444" i="3"/>
  <c r="AJ443" i="3"/>
  <c r="AI443" i="3"/>
  <c r="AJ442" i="3"/>
  <c r="AI442" i="3"/>
  <c r="AJ441" i="3"/>
  <c r="AI441" i="3"/>
  <c r="AJ440" i="3"/>
  <c r="AI440" i="3"/>
  <c r="AJ439" i="3"/>
  <c r="AI439" i="3"/>
  <c r="AJ438" i="3"/>
  <c r="AI438" i="3"/>
  <c r="AJ437" i="3"/>
  <c r="AI437" i="3"/>
  <c r="AJ436" i="3"/>
  <c r="AI436" i="3"/>
  <c r="AJ435" i="3"/>
  <c r="AI435" i="3"/>
  <c r="AJ434" i="3"/>
  <c r="AI434" i="3"/>
  <c r="AJ433" i="3"/>
  <c r="AI433" i="3"/>
  <c r="AJ432" i="3"/>
  <c r="AI432" i="3"/>
  <c r="AJ431" i="3"/>
  <c r="AI431" i="3"/>
  <c r="AJ430" i="3"/>
  <c r="AI430" i="3"/>
  <c r="AJ429" i="3"/>
  <c r="AI429" i="3"/>
  <c r="AJ428" i="3"/>
  <c r="AI428" i="3"/>
  <c r="AJ427" i="3"/>
  <c r="AI427" i="3"/>
  <c r="AJ426" i="3"/>
  <c r="AI426" i="3"/>
  <c r="AJ425" i="3"/>
  <c r="AI425" i="3"/>
  <c r="AJ424" i="3"/>
  <c r="AI424" i="3"/>
  <c r="AJ423" i="3"/>
  <c r="AI423" i="3"/>
  <c r="AJ422" i="3"/>
  <c r="AI422" i="3"/>
  <c r="AJ421" i="3"/>
  <c r="AI421" i="3"/>
  <c r="AJ420" i="3"/>
  <c r="AI420" i="3"/>
  <c r="AJ419" i="3"/>
  <c r="AI419" i="3"/>
  <c r="AJ418" i="3"/>
  <c r="AI418" i="3"/>
  <c r="AJ417" i="3"/>
  <c r="AI417" i="3"/>
  <c r="AJ416" i="3"/>
  <c r="AI416" i="3"/>
  <c r="AJ415" i="3"/>
  <c r="AI415" i="3"/>
  <c r="AJ414" i="3"/>
  <c r="AI414" i="3"/>
  <c r="AJ413" i="3"/>
  <c r="AI413" i="3"/>
  <c r="AJ412" i="3"/>
  <c r="AI412" i="3"/>
  <c r="AJ411" i="3"/>
  <c r="AI411" i="3"/>
  <c r="AJ410" i="3"/>
  <c r="AI410" i="3"/>
  <c r="AJ409" i="3"/>
  <c r="AI409" i="3"/>
  <c r="AJ408" i="3"/>
  <c r="AI408" i="3"/>
  <c r="AJ407" i="3"/>
  <c r="AI407" i="3"/>
  <c r="AJ406" i="3"/>
  <c r="AI406" i="3"/>
  <c r="AJ405" i="3"/>
  <c r="AI405" i="3"/>
  <c r="AJ404" i="3"/>
  <c r="AI404" i="3"/>
  <c r="AJ403" i="3"/>
  <c r="AI403" i="3"/>
  <c r="AJ402" i="3"/>
  <c r="AI402" i="3"/>
  <c r="AJ401" i="3"/>
  <c r="AI401" i="3"/>
  <c r="AJ400" i="3"/>
  <c r="AI400" i="3"/>
  <c r="AJ399" i="3"/>
  <c r="AI399" i="3"/>
  <c r="AJ398" i="3"/>
  <c r="AI398" i="3"/>
  <c r="AJ397" i="3"/>
  <c r="AI397" i="3"/>
  <c r="AJ396" i="3"/>
  <c r="AI396" i="3"/>
  <c r="AJ395" i="3"/>
  <c r="AI395" i="3"/>
  <c r="AJ394" i="3"/>
  <c r="AI394" i="3"/>
  <c r="AJ393" i="3"/>
  <c r="AI393" i="3"/>
  <c r="AJ392" i="3"/>
  <c r="AI392" i="3"/>
  <c r="AJ391" i="3"/>
  <c r="AI391" i="3"/>
  <c r="AJ390" i="3"/>
  <c r="AI390" i="3"/>
  <c r="AJ389" i="3"/>
  <c r="AI389" i="3"/>
  <c r="AJ388" i="3"/>
  <c r="AI388" i="3"/>
  <c r="AJ387" i="3"/>
  <c r="AI387" i="3"/>
  <c r="AJ386" i="3"/>
  <c r="AI386" i="3"/>
  <c r="AJ385" i="3"/>
  <c r="AI385" i="3"/>
  <c r="AJ384" i="3"/>
  <c r="AI384" i="3"/>
  <c r="AJ383" i="3"/>
  <c r="AI383" i="3"/>
  <c r="AJ382" i="3"/>
  <c r="AI382" i="3"/>
  <c r="AJ381" i="3"/>
  <c r="AI381" i="3"/>
  <c r="AJ380" i="3"/>
  <c r="AI380" i="3"/>
  <c r="AJ379" i="3"/>
  <c r="AI379" i="3"/>
  <c r="AJ378" i="3"/>
  <c r="AI378" i="3"/>
  <c r="AJ377" i="3"/>
  <c r="AI377" i="3"/>
  <c r="AJ376" i="3"/>
  <c r="AI376" i="3"/>
  <c r="AJ375" i="3"/>
  <c r="AI375" i="3"/>
  <c r="AJ374" i="3"/>
  <c r="AI374" i="3"/>
  <c r="AJ373" i="3"/>
  <c r="AI373" i="3"/>
  <c r="AJ372" i="3"/>
  <c r="AI372" i="3"/>
  <c r="AJ371" i="3"/>
  <c r="AI371" i="3"/>
  <c r="AJ370" i="3"/>
  <c r="AI370" i="3"/>
  <c r="AJ369" i="3"/>
  <c r="AI369" i="3"/>
  <c r="AJ368" i="3"/>
  <c r="AI368" i="3"/>
  <c r="AJ367" i="3"/>
  <c r="AI367" i="3"/>
  <c r="AJ366" i="3"/>
  <c r="AI366" i="3"/>
  <c r="AJ365" i="3"/>
  <c r="AI365" i="3"/>
  <c r="AJ364" i="3"/>
  <c r="AI364" i="3"/>
  <c r="AJ363" i="3"/>
  <c r="AI363" i="3"/>
  <c r="AJ362" i="3"/>
  <c r="AI362" i="3"/>
  <c r="AJ361" i="3"/>
  <c r="AI361" i="3"/>
  <c r="AJ360" i="3"/>
  <c r="AI360" i="3"/>
  <c r="AJ359" i="3"/>
  <c r="AI359" i="3"/>
  <c r="AJ358" i="3"/>
  <c r="AI358" i="3"/>
  <c r="AJ357" i="3"/>
  <c r="AI357" i="3"/>
  <c r="AJ356" i="3"/>
  <c r="AI356" i="3"/>
  <c r="AJ355" i="3"/>
  <c r="AI355" i="3"/>
  <c r="AJ354" i="3"/>
  <c r="AI354" i="3"/>
  <c r="AJ353" i="3"/>
  <c r="AI353" i="3"/>
  <c r="AJ352" i="3"/>
  <c r="AI352" i="3"/>
  <c r="AJ351" i="3"/>
  <c r="AI351" i="3"/>
  <c r="AJ350" i="3"/>
  <c r="AI350" i="3"/>
  <c r="AJ349" i="3"/>
  <c r="AI349" i="3"/>
  <c r="AJ348" i="3"/>
  <c r="AI348" i="3"/>
  <c r="AJ347" i="3"/>
  <c r="AI347" i="3"/>
  <c r="AJ346" i="3"/>
  <c r="AI346" i="3"/>
  <c r="AJ345" i="3"/>
  <c r="AI345" i="3"/>
  <c r="AJ344" i="3"/>
  <c r="AI344" i="3"/>
  <c r="AJ343" i="3"/>
  <c r="AI343" i="3"/>
  <c r="AJ342" i="3"/>
  <c r="AI342" i="3"/>
  <c r="AJ341" i="3"/>
  <c r="AI341" i="3"/>
  <c r="AJ340" i="3"/>
  <c r="AI340" i="3"/>
  <c r="AJ339" i="3"/>
  <c r="AI339" i="3"/>
  <c r="AJ338" i="3"/>
  <c r="AI338" i="3"/>
  <c r="AJ337" i="3"/>
  <c r="AI337" i="3"/>
  <c r="AJ336" i="3"/>
  <c r="AI336" i="3"/>
  <c r="AJ335" i="3"/>
  <c r="AI335" i="3"/>
  <c r="AJ334" i="3"/>
  <c r="AI334" i="3"/>
  <c r="AJ333" i="3"/>
  <c r="AI333" i="3"/>
  <c r="AJ332" i="3"/>
  <c r="AI332" i="3"/>
  <c r="AJ331" i="3"/>
  <c r="AI331" i="3"/>
  <c r="AJ330" i="3"/>
  <c r="AI330" i="3"/>
  <c r="AJ329" i="3"/>
  <c r="AI329" i="3"/>
  <c r="AJ328" i="3"/>
  <c r="AI328" i="3"/>
  <c r="AJ327" i="3"/>
  <c r="AI327" i="3"/>
  <c r="AJ326" i="3"/>
  <c r="AI326" i="3"/>
  <c r="AJ325" i="3"/>
  <c r="AI325" i="3"/>
  <c r="AJ324" i="3"/>
  <c r="AI324" i="3"/>
  <c r="AJ323" i="3"/>
  <c r="AI323" i="3"/>
  <c r="AJ322" i="3"/>
  <c r="AI322" i="3"/>
  <c r="AJ321" i="3"/>
  <c r="AI321" i="3"/>
  <c r="AJ320" i="3"/>
  <c r="AI320" i="3"/>
  <c r="AJ319" i="3"/>
  <c r="AI319" i="3"/>
  <c r="AJ318" i="3"/>
  <c r="AI318" i="3"/>
  <c r="AJ317" i="3"/>
  <c r="AI317" i="3"/>
  <c r="AJ316" i="3"/>
  <c r="AI316" i="3"/>
  <c r="AJ315" i="3"/>
  <c r="AI315" i="3"/>
  <c r="AJ314" i="3"/>
  <c r="AI314" i="3"/>
  <c r="AJ313" i="3"/>
  <c r="AI313" i="3"/>
  <c r="AJ312" i="3"/>
  <c r="AI312" i="3"/>
  <c r="AJ311" i="3"/>
  <c r="AI311" i="3"/>
  <c r="AJ310" i="3"/>
  <c r="AI310" i="3"/>
  <c r="AJ309" i="3"/>
  <c r="AI309" i="3"/>
  <c r="AJ308" i="3"/>
  <c r="AI308" i="3"/>
  <c r="AJ307" i="3"/>
  <c r="AI307" i="3"/>
  <c r="AJ306" i="3"/>
  <c r="AI306" i="3"/>
  <c r="AJ305" i="3"/>
  <c r="AI305" i="3"/>
  <c r="AJ304" i="3"/>
  <c r="AI304" i="3"/>
  <c r="AJ303" i="3"/>
  <c r="AI303" i="3"/>
  <c r="AJ302" i="3"/>
  <c r="AI302" i="3"/>
  <c r="AJ301" i="3"/>
  <c r="AI301" i="3"/>
  <c r="AJ300" i="3"/>
  <c r="AI300" i="3"/>
  <c r="AJ299" i="3"/>
  <c r="AI299" i="3"/>
  <c r="AJ298" i="3"/>
  <c r="AI298" i="3"/>
  <c r="AJ297" i="3"/>
  <c r="AI297" i="3"/>
  <c r="AJ296" i="3"/>
  <c r="AI296" i="3"/>
  <c r="AJ295" i="3"/>
  <c r="AI295" i="3"/>
  <c r="AJ294" i="3"/>
  <c r="AI294" i="3"/>
  <c r="AJ293" i="3"/>
  <c r="AI293" i="3"/>
  <c r="AJ292" i="3"/>
  <c r="AI292" i="3"/>
  <c r="AJ291" i="3"/>
  <c r="AI291" i="3"/>
  <c r="AJ290" i="3"/>
  <c r="AI290" i="3"/>
  <c r="AJ289" i="3"/>
  <c r="AI289" i="3"/>
  <c r="AJ288" i="3"/>
  <c r="AI288" i="3"/>
  <c r="AJ287" i="3"/>
  <c r="AI287" i="3"/>
  <c r="AJ286" i="3"/>
  <c r="AI286" i="3"/>
  <c r="AJ285" i="3"/>
  <c r="AI285" i="3"/>
  <c r="AJ284" i="3"/>
  <c r="AI284" i="3"/>
  <c r="AJ283" i="3"/>
  <c r="AI283" i="3"/>
  <c r="AJ282" i="3"/>
  <c r="AI282" i="3"/>
  <c r="AJ281" i="3"/>
  <c r="AI281" i="3"/>
  <c r="AJ280" i="3"/>
  <c r="AI280" i="3"/>
  <c r="AJ279" i="3"/>
  <c r="AI279" i="3"/>
  <c r="AJ278" i="3"/>
  <c r="AI278" i="3"/>
  <c r="AJ277" i="3"/>
  <c r="AI277" i="3"/>
  <c r="AJ276" i="3"/>
  <c r="AI276" i="3"/>
  <c r="AJ275" i="3"/>
  <c r="AI275" i="3"/>
  <c r="AJ274" i="3"/>
  <c r="AI274" i="3"/>
  <c r="AJ273" i="3"/>
  <c r="AI273" i="3"/>
  <c r="AJ272" i="3"/>
  <c r="AI272" i="3"/>
  <c r="AJ271" i="3"/>
  <c r="AI271" i="3"/>
  <c r="AJ270" i="3"/>
  <c r="AI270" i="3"/>
  <c r="AJ269" i="3"/>
  <c r="AI269" i="3"/>
  <c r="AJ268" i="3"/>
  <c r="AI268" i="3"/>
  <c r="AJ267" i="3"/>
  <c r="AI267" i="3"/>
  <c r="AJ266" i="3"/>
  <c r="AI266" i="3"/>
  <c r="AJ265" i="3"/>
  <c r="AI265" i="3"/>
  <c r="AJ264" i="3"/>
  <c r="AI264" i="3"/>
  <c r="AJ263" i="3"/>
  <c r="AI263" i="3"/>
  <c r="AJ262" i="3"/>
  <c r="AI262" i="3"/>
  <c r="AJ261" i="3"/>
  <c r="AI261" i="3"/>
  <c r="AJ260" i="3"/>
  <c r="AI260" i="3"/>
  <c r="AJ259" i="3"/>
  <c r="AI259" i="3"/>
  <c r="AJ258" i="3"/>
  <c r="AI258" i="3"/>
  <c r="AJ257" i="3"/>
  <c r="AI257" i="3"/>
  <c r="AJ256" i="3"/>
  <c r="AI256" i="3"/>
  <c r="AJ255" i="3"/>
  <c r="AI255" i="3"/>
  <c r="AJ254" i="3"/>
  <c r="AI254" i="3"/>
  <c r="AJ253" i="3"/>
  <c r="AI253" i="3"/>
  <c r="AJ252" i="3"/>
  <c r="AI252" i="3"/>
  <c r="AJ251" i="3"/>
  <c r="AI251" i="3"/>
  <c r="AJ250" i="3"/>
  <c r="AI250" i="3"/>
  <c r="AJ249" i="3"/>
  <c r="AI249" i="3"/>
  <c r="AJ248" i="3"/>
  <c r="AI248" i="3"/>
  <c r="AJ247" i="3"/>
  <c r="AI247" i="3"/>
  <c r="AJ246" i="3"/>
  <c r="AI246" i="3"/>
  <c r="AJ245" i="3"/>
  <c r="AI245" i="3"/>
  <c r="AJ244" i="3"/>
  <c r="AI244" i="3"/>
  <c r="AJ243" i="3"/>
  <c r="AI243" i="3"/>
  <c r="AJ242" i="3"/>
  <c r="AI242" i="3"/>
  <c r="AJ241" i="3"/>
  <c r="AI241" i="3"/>
  <c r="AJ240" i="3"/>
  <c r="AI240" i="3"/>
  <c r="AJ239" i="3"/>
  <c r="AI239" i="3"/>
  <c r="AJ238" i="3"/>
  <c r="AI238" i="3"/>
  <c r="AJ237" i="3"/>
  <c r="AI237" i="3"/>
  <c r="AJ236" i="3"/>
  <c r="AI236" i="3"/>
  <c r="AJ235" i="3"/>
  <c r="AI235" i="3"/>
  <c r="AJ234" i="3"/>
  <c r="AI234" i="3"/>
  <c r="AJ233" i="3"/>
  <c r="AI233" i="3"/>
  <c r="AJ232" i="3"/>
  <c r="AI232" i="3"/>
  <c r="AJ231" i="3"/>
  <c r="AI231" i="3"/>
  <c r="AJ230" i="3"/>
  <c r="AI230" i="3"/>
  <c r="AJ229" i="3"/>
  <c r="AI229" i="3"/>
  <c r="AJ228" i="3"/>
  <c r="AI228" i="3"/>
  <c r="AJ227" i="3"/>
  <c r="AI227" i="3"/>
  <c r="AJ226" i="3"/>
  <c r="AI226" i="3"/>
  <c r="AJ225" i="3"/>
  <c r="AI225" i="3"/>
  <c r="AJ224" i="3"/>
  <c r="AI224" i="3"/>
  <c r="AJ223" i="3"/>
  <c r="AI223" i="3"/>
  <c r="AJ222" i="3"/>
  <c r="AI222" i="3"/>
  <c r="AJ221" i="3"/>
  <c r="AI221" i="3"/>
  <c r="AJ220" i="3"/>
  <c r="AI220" i="3"/>
  <c r="AJ219" i="3"/>
  <c r="AI219" i="3"/>
  <c r="AJ218" i="3"/>
  <c r="AI218" i="3"/>
  <c r="AJ217" i="3"/>
  <c r="AI217" i="3"/>
  <c r="AJ216" i="3"/>
  <c r="AI216" i="3"/>
  <c r="AJ215" i="3"/>
  <c r="AI215" i="3"/>
  <c r="AJ214" i="3"/>
  <c r="AI214" i="3"/>
  <c r="AJ213" i="3"/>
  <c r="AI213" i="3"/>
  <c r="AJ212" i="3"/>
  <c r="AI212" i="3"/>
  <c r="AJ211" i="3"/>
  <c r="AI211" i="3"/>
  <c r="AJ210" i="3"/>
  <c r="AI210" i="3"/>
  <c r="AJ209" i="3"/>
  <c r="AI209" i="3"/>
  <c r="AJ208" i="3"/>
  <c r="AI208" i="3"/>
  <c r="AJ207" i="3"/>
  <c r="AI207" i="3"/>
  <c r="AJ206" i="3"/>
  <c r="AI206" i="3"/>
  <c r="AJ205" i="3"/>
  <c r="AI205" i="3"/>
  <c r="AJ204" i="3"/>
  <c r="AI204" i="3"/>
  <c r="AJ203" i="3"/>
  <c r="AI203" i="3"/>
  <c r="AJ202" i="3"/>
  <c r="AI202" i="3"/>
  <c r="AJ201" i="3"/>
  <c r="AI201" i="3"/>
  <c r="AJ200" i="3"/>
  <c r="AI200" i="3"/>
  <c r="AJ199" i="3"/>
  <c r="AI199" i="3"/>
  <c r="AJ198" i="3"/>
  <c r="AI198" i="3"/>
  <c r="AJ197" i="3"/>
  <c r="AI197" i="3"/>
  <c r="AJ196" i="3"/>
  <c r="AI196" i="3"/>
  <c r="AJ195" i="3"/>
  <c r="AI195" i="3"/>
  <c r="AJ194" i="3"/>
  <c r="AI194" i="3"/>
  <c r="AJ193" i="3"/>
  <c r="AI193" i="3"/>
  <c r="AJ192" i="3"/>
  <c r="AI192" i="3"/>
  <c r="AJ191" i="3"/>
  <c r="AI191" i="3"/>
  <c r="AJ190" i="3"/>
  <c r="AI190" i="3"/>
  <c r="AJ189" i="3"/>
  <c r="AI189" i="3"/>
  <c r="AJ188" i="3"/>
  <c r="AI188" i="3"/>
  <c r="AJ187" i="3"/>
  <c r="AI187" i="3"/>
  <c r="AJ186" i="3"/>
  <c r="AI186" i="3"/>
  <c r="AJ185" i="3"/>
  <c r="AI185" i="3"/>
  <c r="AJ184" i="3"/>
  <c r="AI184" i="3"/>
  <c r="AJ183" i="3"/>
  <c r="AI183" i="3"/>
  <c r="AJ182" i="3"/>
  <c r="AI182" i="3"/>
  <c r="AJ181" i="3"/>
  <c r="AI181" i="3"/>
  <c r="AJ180" i="3"/>
  <c r="AI180" i="3"/>
  <c r="AJ179" i="3"/>
  <c r="AI179" i="3"/>
  <c r="AJ178" i="3"/>
  <c r="AI178" i="3"/>
  <c r="AJ177" i="3"/>
  <c r="AI177" i="3"/>
  <c r="AJ176" i="3"/>
  <c r="AI176" i="3"/>
  <c r="AJ175" i="3"/>
  <c r="AI175" i="3"/>
  <c r="AJ174" i="3"/>
  <c r="AI174" i="3"/>
  <c r="AJ173" i="3"/>
  <c r="AI173" i="3"/>
  <c r="AJ172" i="3"/>
  <c r="AI172" i="3"/>
  <c r="AJ171" i="3"/>
  <c r="AI171" i="3"/>
  <c r="AJ170" i="3"/>
  <c r="AI170" i="3"/>
  <c r="AJ169" i="3"/>
  <c r="AI169" i="3"/>
  <c r="AJ168" i="3"/>
  <c r="AI168" i="3"/>
  <c r="AJ167" i="3"/>
  <c r="AI167" i="3"/>
  <c r="AJ166" i="3"/>
  <c r="AI166" i="3"/>
  <c r="AJ165" i="3"/>
  <c r="AI165" i="3"/>
  <c r="AJ164" i="3"/>
  <c r="AI164" i="3"/>
  <c r="AJ163" i="3"/>
  <c r="AI163" i="3"/>
  <c r="AJ162" i="3"/>
  <c r="AI162" i="3"/>
  <c r="AJ161" i="3"/>
  <c r="AI161" i="3"/>
  <c r="AJ160" i="3"/>
  <c r="AI160" i="3"/>
  <c r="AJ159" i="3"/>
  <c r="AI159" i="3"/>
  <c r="AJ158" i="3"/>
  <c r="AI158" i="3"/>
  <c r="AJ157" i="3"/>
  <c r="AI157" i="3"/>
  <c r="AJ156" i="3"/>
  <c r="AI156" i="3"/>
  <c r="AJ155" i="3"/>
  <c r="AI155" i="3"/>
  <c r="AJ154" i="3"/>
  <c r="AI154" i="3"/>
  <c r="AJ153" i="3"/>
  <c r="AI153" i="3"/>
  <c r="AJ152" i="3"/>
  <c r="AI152" i="3"/>
  <c r="AJ151" i="3"/>
  <c r="AI151" i="3"/>
  <c r="AJ150" i="3"/>
  <c r="AI150" i="3"/>
  <c r="AJ149" i="3"/>
  <c r="AI149" i="3"/>
  <c r="AJ148" i="3"/>
  <c r="AI148" i="3"/>
  <c r="AJ147" i="3"/>
  <c r="AI147" i="3"/>
  <c r="AJ146" i="3"/>
  <c r="AI146" i="3"/>
  <c r="AJ145" i="3"/>
  <c r="AI145" i="3"/>
  <c r="AJ144" i="3"/>
  <c r="AI144" i="3"/>
  <c r="AJ143" i="3"/>
  <c r="AI143" i="3"/>
  <c r="AJ142" i="3"/>
  <c r="AI142" i="3"/>
  <c r="AJ141" i="3"/>
  <c r="AI141" i="3"/>
  <c r="AJ140" i="3"/>
  <c r="AI140" i="3"/>
  <c r="AJ139" i="3"/>
  <c r="AI139" i="3"/>
  <c r="AJ138" i="3"/>
  <c r="AI138" i="3"/>
  <c r="AJ137" i="3"/>
  <c r="AI137" i="3"/>
  <c r="AJ136" i="3"/>
  <c r="AI136" i="3"/>
  <c r="AJ135" i="3"/>
  <c r="AI135" i="3"/>
  <c r="AJ134" i="3"/>
  <c r="AI134" i="3"/>
  <c r="AJ133" i="3"/>
  <c r="AI133" i="3"/>
  <c r="AJ132" i="3"/>
  <c r="AI132" i="3"/>
  <c r="AJ131" i="3"/>
  <c r="AI131" i="3"/>
  <c r="AJ130" i="3"/>
  <c r="AI130" i="3"/>
  <c r="AJ129" i="3"/>
  <c r="AI129" i="3"/>
  <c r="AJ128" i="3"/>
  <c r="AI128" i="3"/>
  <c r="AJ127" i="3"/>
  <c r="AI127" i="3"/>
  <c r="AJ126" i="3"/>
  <c r="AI126" i="3"/>
  <c r="AJ125" i="3"/>
  <c r="AI125" i="3"/>
  <c r="AJ124" i="3"/>
  <c r="AI124" i="3"/>
  <c r="AJ123" i="3"/>
  <c r="AI123" i="3"/>
  <c r="AJ122" i="3"/>
  <c r="AI122" i="3"/>
  <c r="AJ121" i="3"/>
  <c r="AI121" i="3"/>
  <c r="AJ120" i="3"/>
  <c r="AI120" i="3"/>
  <c r="AJ119" i="3"/>
  <c r="AI119" i="3"/>
  <c r="AJ118" i="3"/>
  <c r="AI118" i="3"/>
  <c r="AJ117" i="3"/>
  <c r="AI117" i="3"/>
  <c r="AJ116" i="3"/>
  <c r="AI116" i="3"/>
  <c r="AJ115" i="3"/>
  <c r="AI115" i="3"/>
  <c r="AJ114" i="3"/>
  <c r="AI114" i="3"/>
  <c r="AJ113" i="3"/>
  <c r="AI113" i="3"/>
  <c r="AJ112" i="3"/>
  <c r="AI112" i="3"/>
  <c r="AJ111" i="3"/>
  <c r="AI111" i="3"/>
  <c r="AJ110" i="3"/>
  <c r="AI110" i="3"/>
  <c r="AJ109" i="3"/>
  <c r="AI109" i="3"/>
  <c r="AJ108" i="3"/>
  <c r="AI108" i="3"/>
  <c r="AJ107" i="3"/>
  <c r="AI107" i="3"/>
  <c r="AJ106" i="3"/>
  <c r="AI106" i="3"/>
  <c r="AJ105" i="3"/>
  <c r="AI105" i="3"/>
  <c r="AJ104" i="3"/>
  <c r="AI104" i="3"/>
  <c r="AJ103" i="3"/>
  <c r="AI103" i="3"/>
  <c r="AJ102" i="3"/>
  <c r="AI102" i="3"/>
  <c r="AJ101" i="3"/>
  <c r="AI101" i="3"/>
  <c r="AJ100" i="3"/>
  <c r="AI100" i="3"/>
  <c r="AJ99" i="3"/>
  <c r="AI99" i="3"/>
  <c r="AJ98" i="3"/>
  <c r="AI98" i="3"/>
  <c r="AJ97" i="3"/>
  <c r="AI97" i="3"/>
  <c r="AJ96" i="3"/>
  <c r="AI96" i="3"/>
  <c r="AJ95" i="3"/>
  <c r="AI95" i="3"/>
  <c r="AJ94" i="3"/>
  <c r="AI94" i="3"/>
  <c r="AJ93" i="3"/>
  <c r="AI93" i="3"/>
  <c r="AJ92" i="3"/>
  <c r="AI92" i="3"/>
  <c r="AJ91" i="3"/>
  <c r="AI91" i="3"/>
  <c r="AJ90" i="3"/>
  <c r="AI90" i="3"/>
  <c r="AJ89" i="3"/>
  <c r="AI89" i="3"/>
  <c r="AJ88" i="3"/>
  <c r="AI88" i="3"/>
  <c r="AJ87" i="3"/>
  <c r="AI87" i="3"/>
  <c r="AJ86" i="3"/>
  <c r="AI86" i="3"/>
  <c r="AJ85" i="3"/>
  <c r="AI85" i="3"/>
  <c r="AJ84" i="3"/>
  <c r="AI84" i="3"/>
  <c r="AJ83" i="3"/>
  <c r="AI83" i="3"/>
  <c r="AJ82" i="3"/>
  <c r="AI82" i="3"/>
  <c r="AJ81" i="3"/>
  <c r="AI81" i="3"/>
  <c r="AJ80" i="3"/>
  <c r="AI80" i="3"/>
  <c r="AJ79" i="3"/>
  <c r="AI79" i="3"/>
  <c r="AJ78" i="3"/>
  <c r="AI78" i="3"/>
  <c r="AJ77" i="3"/>
  <c r="AI77" i="3"/>
  <c r="AJ76" i="3"/>
  <c r="AI76" i="3"/>
  <c r="AJ75" i="3"/>
  <c r="AI75" i="3"/>
  <c r="AJ74" i="3"/>
  <c r="AI74" i="3"/>
  <c r="AJ73" i="3"/>
  <c r="AI73" i="3"/>
  <c r="AJ72" i="3"/>
  <c r="AI72" i="3"/>
  <c r="AJ71" i="3"/>
  <c r="AI71" i="3"/>
  <c r="AJ70" i="3"/>
  <c r="AI70" i="3"/>
  <c r="AJ69" i="3"/>
  <c r="AI69" i="3"/>
  <c r="AJ68" i="3"/>
  <c r="AI68" i="3"/>
  <c r="AJ67" i="3"/>
  <c r="AI67" i="3"/>
  <c r="AJ66" i="3"/>
  <c r="AI66" i="3"/>
  <c r="AJ65" i="3"/>
  <c r="AI65" i="3"/>
  <c r="AJ64" i="3"/>
  <c r="AI64" i="3"/>
  <c r="AJ63" i="3"/>
  <c r="AI63" i="3"/>
  <c r="AJ62" i="3"/>
  <c r="AI62" i="3"/>
  <c r="AJ61" i="3"/>
  <c r="AI61" i="3"/>
  <c r="AJ60" i="3"/>
  <c r="AI60" i="3"/>
  <c r="AJ59" i="3"/>
  <c r="AI59" i="3"/>
  <c r="AJ58" i="3"/>
  <c r="AI58" i="3"/>
  <c r="AJ57" i="3"/>
  <c r="AI57" i="3"/>
  <c r="AJ56" i="3"/>
  <c r="AI56" i="3"/>
  <c r="AJ55" i="3"/>
  <c r="AI55" i="3"/>
  <c r="AJ54" i="3"/>
  <c r="AI54" i="3"/>
  <c r="AJ53" i="3"/>
  <c r="AI53" i="3"/>
  <c r="AJ52" i="3"/>
  <c r="AI52" i="3"/>
  <c r="AJ51" i="3"/>
  <c r="AI51" i="3"/>
  <c r="AJ50" i="3"/>
  <c r="AI50" i="3"/>
  <c r="AJ49" i="3"/>
  <c r="AI49" i="3"/>
  <c r="AJ48" i="3"/>
  <c r="AI48" i="3"/>
  <c r="AJ47" i="3"/>
  <c r="AI47" i="3"/>
  <c r="AJ46" i="3"/>
  <c r="AI46" i="3"/>
  <c r="AJ45" i="3"/>
  <c r="AI45" i="3"/>
  <c r="AJ44" i="3"/>
  <c r="AI44" i="3"/>
  <c r="AJ43" i="3"/>
  <c r="AI43" i="3"/>
  <c r="AJ42" i="3"/>
  <c r="AI42" i="3"/>
  <c r="AJ41" i="3"/>
  <c r="AI41" i="3"/>
  <c r="AJ40" i="3"/>
  <c r="AI40" i="3"/>
  <c r="AJ39" i="3"/>
  <c r="AI39" i="3"/>
  <c r="AJ38" i="3"/>
  <c r="AI38" i="3"/>
  <c r="AJ37" i="3"/>
  <c r="AI37" i="3"/>
  <c r="AJ36" i="3"/>
  <c r="AI36" i="3"/>
  <c r="AJ35" i="3"/>
  <c r="AI35" i="3"/>
  <c r="AJ34" i="3"/>
  <c r="AI34" i="3"/>
  <c r="AJ33" i="3"/>
  <c r="AI33" i="3"/>
  <c r="AJ32" i="3"/>
  <c r="AI32" i="3"/>
  <c r="AJ31" i="3"/>
  <c r="AI31" i="3"/>
  <c r="AJ30" i="3"/>
  <c r="AI30" i="3"/>
  <c r="AJ29" i="3"/>
  <c r="AI29" i="3"/>
  <c r="AJ28" i="3"/>
  <c r="AI28" i="3"/>
  <c r="AJ27" i="3"/>
  <c r="AI27" i="3"/>
  <c r="AJ26" i="3"/>
  <c r="AI26" i="3"/>
  <c r="AJ25" i="3"/>
  <c r="AI25" i="3"/>
  <c r="AJ24" i="3"/>
  <c r="AI24" i="3"/>
  <c r="AJ23" i="3"/>
  <c r="AI23" i="3"/>
  <c r="AJ22" i="3"/>
  <c r="AI22" i="3"/>
  <c r="AJ21" i="3"/>
  <c r="AI21" i="3"/>
  <c r="AJ20" i="3"/>
  <c r="AI20" i="3"/>
  <c r="AJ19" i="3"/>
  <c r="AI19" i="3"/>
  <c r="AJ18" i="3"/>
  <c r="AI18" i="3"/>
  <c r="AJ17" i="3"/>
  <c r="AI17" i="3"/>
  <c r="AJ16" i="3"/>
  <c r="AI16" i="3"/>
  <c r="AJ15" i="3"/>
  <c r="AI15" i="3"/>
  <c r="AJ14" i="3"/>
  <c r="AI14" i="3"/>
  <c r="AJ13" i="3"/>
  <c r="AI13" i="3"/>
  <c r="AJ12" i="3"/>
  <c r="AI12" i="3"/>
  <c r="AJ11" i="3"/>
  <c r="AI11" i="3"/>
  <c r="AJ10" i="3"/>
  <c r="AI10" i="3"/>
  <c r="AJ9" i="3"/>
  <c r="AI9" i="3"/>
  <c r="AJ8" i="3"/>
  <c r="AI8" i="3"/>
  <c r="AJ7" i="3"/>
  <c r="AI7" i="3"/>
  <c r="AJ6" i="3"/>
  <c r="AI6" i="3"/>
  <c r="AJ5" i="3"/>
  <c r="AI5" i="3"/>
  <c r="AJ4" i="3"/>
  <c r="AI4" i="3"/>
  <c r="AJ3" i="3"/>
  <c r="AI3" i="3"/>
  <c r="AJ2" i="3"/>
  <c r="AI2" i="3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</calcChain>
</file>

<file path=xl/sharedStrings.xml><?xml version="1.0" encoding="utf-8"?>
<sst xmlns="http://schemas.openxmlformats.org/spreadsheetml/2006/main" count="31226" uniqueCount="4033">
  <si>
    <t>項目</t>
  </si>
  <si>
    <t>內容</t>
  </si>
  <si>
    <t>原始參考</t>
  </si>
  <si>
    <t>三合一報價表(2).xlsx：宅配/低溫/離島/代收/保險核決邏輯</t>
  </si>
  <si>
    <t>資料性質</t>
  </si>
  <si>
    <t>教學模擬；非正式營運數據與正式商業報價</t>
  </si>
  <si>
    <t>客戶數</t>
  </si>
  <si>
    <t>包裹交易筆數</t>
  </si>
  <si>
    <t>測試筆數</t>
  </si>
  <si>
    <t>預測目標</t>
  </si>
  <si>
    <t>Actual_Operational_Cost</t>
  </si>
  <si>
    <t>最佳化公式</t>
  </si>
  <si>
    <t>Optimized Quote = MAX(規則底價, Predicted Cost / (1 - Target Margin))</t>
  </si>
  <si>
    <t>建議流程</t>
  </si>
  <si>
    <t>1</t>
  </si>
  <si>
    <t>Customer_Master：建立多客戶輪廓</t>
  </si>
  <si>
    <t>2</t>
  </si>
  <si>
    <t>WMS_Package_Data：一列一包裹，含材積/重量/溫層/區域/COD/二配等</t>
  </si>
  <si>
    <t>3</t>
  </si>
  <si>
    <t>三模型以相同資料預測單筆實際履約成本</t>
  </si>
  <si>
    <t>4</t>
  </si>
  <si>
    <t>預測成本套入毛利限制與三合一報價底價</t>
  </si>
  <si>
    <t>5</t>
  </si>
  <si>
    <t>以成本 RMSE/MAE + 報價 RMSE/MAE + 嚴重低報率做商業判斷</t>
  </si>
  <si>
    <t>6</t>
  </si>
  <si>
    <t>XGBoost 若在相同測試條件下主要指標較佳，才能支持「最優」結論</t>
  </si>
  <si>
    <t>資料生成特性</t>
  </si>
  <si>
    <t>非線性</t>
  </si>
  <si>
    <t>超重、偏遠、低溫、離島、低量體存在門檻效應</t>
  </si>
  <si>
    <t>交互作用</t>
  </si>
  <si>
    <t>低溫×偏遠、大材積×重量、二配×偏遠會形成額外成本</t>
  </si>
  <si>
    <t>線性基準</t>
  </si>
  <si>
    <t>Multiple Regression 能說明方向，但難完整描述上述門檻與交互作用</t>
  </si>
  <si>
    <t>公平原則</t>
  </si>
  <si>
    <t>不是先指定 XGBoost 第一；而是讓三模型在同一測試集比較</t>
  </si>
  <si>
    <t>Customer_ID</t>
  </si>
  <si>
    <t>Customer_Name</t>
  </si>
  <si>
    <t>Industry</t>
  </si>
  <si>
    <t>Customer_Type</t>
  </si>
  <si>
    <t>Direct_B</t>
  </si>
  <si>
    <t>Monthly_Target_Packages</t>
  </si>
  <si>
    <t>S60_Ratio</t>
  </si>
  <si>
    <t>S90_Ratio</t>
  </si>
  <si>
    <t>S120_Ratio</t>
  </si>
  <si>
    <t>S150_Ratio</t>
  </si>
  <si>
    <t>Cold_Ratio</t>
  </si>
  <si>
    <t>Remote_Ratio</t>
  </si>
  <si>
    <t>COD_Ratio</t>
  </si>
  <si>
    <t>Redelivery_Rate</t>
  </si>
  <si>
    <t>Pickup_Density</t>
  </si>
  <si>
    <t>Avg_Declared_Value</t>
  </si>
  <si>
    <t>Ratio_Check</t>
  </si>
  <si>
    <t>C001</t>
  </si>
  <si>
    <t>契約客戶001</t>
  </si>
  <si>
    <t>生醫用品</t>
  </si>
  <si>
    <t>B2C</t>
  </si>
  <si>
    <t>C002</t>
  </si>
  <si>
    <t>契約客戶002</t>
  </si>
  <si>
    <t>C003</t>
  </si>
  <si>
    <t>契約客戶003</t>
  </si>
  <si>
    <t>食品冷鏈</t>
  </si>
  <si>
    <t>C004</t>
  </si>
  <si>
    <t>契約客戶004</t>
  </si>
  <si>
    <t>書籍文具</t>
  </si>
  <si>
    <t>C005</t>
  </si>
  <si>
    <t>契約客戶005</t>
  </si>
  <si>
    <t>C006</t>
  </si>
  <si>
    <t>契約客戶006</t>
  </si>
  <si>
    <t>汽車零件</t>
  </si>
  <si>
    <t>B2B</t>
  </si>
  <si>
    <t>C007</t>
  </si>
  <si>
    <t>契約客戶007</t>
  </si>
  <si>
    <t>電商零售</t>
  </si>
  <si>
    <t>C008</t>
  </si>
  <si>
    <t>契約客戶008</t>
  </si>
  <si>
    <t>C009</t>
  </si>
  <si>
    <t>契約客戶009</t>
  </si>
  <si>
    <t>美妝保健</t>
  </si>
  <si>
    <t>C010</t>
  </si>
  <si>
    <t>契約客戶010</t>
  </si>
  <si>
    <t>C011</t>
  </si>
  <si>
    <t>契約客戶011</t>
  </si>
  <si>
    <t>C012</t>
  </si>
  <si>
    <t>契約客戶012</t>
  </si>
  <si>
    <t>C013</t>
  </si>
  <si>
    <t>契約客戶013</t>
  </si>
  <si>
    <t>C014</t>
  </si>
  <si>
    <t>契約客戶014</t>
  </si>
  <si>
    <t>C015</t>
  </si>
  <si>
    <t>契約客戶015</t>
  </si>
  <si>
    <t>C016</t>
  </si>
  <si>
    <t>契約客戶016</t>
  </si>
  <si>
    <t>C017</t>
  </si>
  <si>
    <t>契約客戶017</t>
  </si>
  <si>
    <t>C018</t>
  </si>
  <si>
    <t>契約客戶018</t>
  </si>
  <si>
    <t>服飾鞋包</t>
  </si>
  <si>
    <t>C019</t>
  </si>
  <si>
    <t>契約客戶019</t>
  </si>
  <si>
    <t>C020</t>
  </si>
  <si>
    <t>契約客戶020</t>
  </si>
  <si>
    <t>C021</t>
  </si>
  <si>
    <t>契約客戶021</t>
  </si>
  <si>
    <t>C022</t>
  </si>
  <si>
    <t>契約客戶022</t>
  </si>
  <si>
    <t>3C家電</t>
  </si>
  <si>
    <t>C023</t>
  </si>
  <si>
    <t>契約客戶023</t>
  </si>
  <si>
    <t>C024</t>
  </si>
  <si>
    <t>契約客戶024</t>
  </si>
  <si>
    <t>C025</t>
  </si>
  <si>
    <t>契約客戶025</t>
  </si>
  <si>
    <t>C026</t>
  </si>
  <si>
    <t>契約客戶026</t>
  </si>
  <si>
    <t>C027</t>
  </si>
  <si>
    <t>契約客戶027</t>
  </si>
  <si>
    <t>C028</t>
  </si>
  <si>
    <t>契約客戶028</t>
  </si>
  <si>
    <t>C029</t>
  </si>
  <si>
    <t>契約客戶029</t>
  </si>
  <si>
    <t>C030</t>
  </si>
  <si>
    <t>契約客戶030</t>
  </si>
  <si>
    <t>C031</t>
  </si>
  <si>
    <t>契約客戶031</t>
  </si>
  <si>
    <t>C032</t>
  </si>
  <si>
    <t>契約客戶032</t>
  </si>
  <si>
    <t>C033</t>
  </si>
  <si>
    <t>契約客戶033</t>
  </si>
  <si>
    <t>C034</t>
  </si>
  <si>
    <t>契約客戶034</t>
  </si>
  <si>
    <t>C035</t>
  </si>
  <si>
    <t>契約客戶035</t>
  </si>
  <si>
    <t>C036</t>
  </si>
  <si>
    <t>契約客戶036</t>
  </si>
  <si>
    <t>C037</t>
  </si>
  <si>
    <t>契約客戶037</t>
  </si>
  <si>
    <t>C038</t>
  </si>
  <si>
    <t>契約客戶038</t>
  </si>
  <si>
    <t>C039</t>
  </si>
  <si>
    <t>契約客戶039</t>
  </si>
  <si>
    <t>C040</t>
  </si>
  <si>
    <t>契約客戶040</t>
  </si>
  <si>
    <t>Ship_Date</t>
  </si>
  <si>
    <t>Package_ID</t>
  </si>
  <si>
    <t>Seasonal_Index</t>
  </si>
  <si>
    <t>Package_Size</t>
  </si>
  <si>
    <t>Size_Score</t>
  </si>
  <si>
    <t>Weight_kg</t>
  </si>
  <si>
    <t>Temperature</t>
  </si>
  <si>
    <t>Temp_Flag</t>
  </si>
  <si>
    <t>Destination_Region</t>
  </si>
  <si>
    <t>Region_Code</t>
  </si>
  <si>
    <t>Remote_Flag</t>
  </si>
  <si>
    <t>Distance_km</t>
  </si>
  <si>
    <t>COD_Flag</t>
  </si>
  <si>
    <t>COD_Amount</t>
  </si>
  <si>
    <t>Insurance_Flag</t>
  </si>
  <si>
    <t>Declared_Value</t>
  </si>
  <si>
    <t>Redelivery_Flag</t>
  </si>
  <si>
    <t>SameDay_Flag</t>
  </si>
  <si>
    <t>StorePickup_Flag</t>
  </si>
  <si>
    <t>Customer_Cold_Ratio</t>
  </si>
  <si>
    <t>Customer_Remote_Ratio</t>
  </si>
  <si>
    <t>Customer_Redelivery_Rate</t>
  </si>
  <si>
    <t>Pricing_Tier</t>
  </si>
  <si>
    <t>Rule_Reference_Quote</t>
  </si>
  <si>
    <t>COD_Fee</t>
  </si>
  <si>
    <t>Insurance_Fee</t>
  </si>
  <si>
    <t>Current_Quoted_Price</t>
  </si>
  <si>
    <t>Actual_Gross_Profit</t>
  </si>
  <si>
    <t>Actual_GM</t>
  </si>
  <si>
    <t>2026-05-11</t>
  </si>
  <si>
    <t>P0000001</t>
  </si>
  <si>
    <t>S60</t>
  </si>
  <si>
    <t>常溫</t>
  </si>
  <si>
    <t>北部</t>
  </si>
  <si>
    <t>2026-06-23</t>
  </si>
  <si>
    <t>P0000002</t>
  </si>
  <si>
    <t>S150</t>
  </si>
  <si>
    <t>2026-05-21</t>
  </si>
  <si>
    <t>P0000003</t>
  </si>
  <si>
    <t>S120</t>
  </si>
  <si>
    <t>南部</t>
  </si>
  <si>
    <t>2026-05-24</t>
  </si>
  <si>
    <t>P0000004</t>
  </si>
  <si>
    <t>2026-07-24</t>
  </si>
  <si>
    <t>P0000005</t>
  </si>
  <si>
    <t>中部</t>
  </si>
  <si>
    <t>2026-07-30</t>
  </si>
  <si>
    <t>P0000006</t>
  </si>
  <si>
    <t>2026-07-12</t>
  </si>
  <si>
    <t>P0000007</t>
  </si>
  <si>
    <t>2026-05-03</t>
  </si>
  <si>
    <t>P0000008</t>
  </si>
  <si>
    <t>2026-06-11</t>
  </si>
  <si>
    <t>P0000009</t>
  </si>
  <si>
    <t>2026-05-30</t>
  </si>
  <si>
    <t>P0000010</t>
  </si>
  <si>
    <t>2026-08-10</t>
  </si>
  <si>
    <t>P0000011</t>
  </si>
  <si>
    <t>低溫</t>
  </si>
  <si>
    <t>2026-07-27</t>
  </si>
  <si>
    <t>P0000012</t>
  </si>
  <si>
    <t>P0000013</t>
  </si>
  <si>
    <t>2026-06-02</t>
  </si>
  <si>
    <t>P0000014</t>
  </si>
  <si>
    <t>2026-06-03</t>
  </si>
  <si>
    <t>P0000015</t>
  </si>
  <si>
    <t>2026-07-16</t>
  </si>
  <si>
    <t>P0000016</t>
  </si>
  <si>
    <t>2026-05-31</t>
  </si>
  <si>
    <t>P0000017</t>
  </si>
  <si>
    <t>2026-06-30</t>
  </si>
  <si>
    <t>P0000018</t>
  </si>
  <si>
    <t>P0000019</t>
  </si>
  <si>
    <t>2026-07-17</t>
  </si>
  <si>
    <t>P0000020</t>
  </si>
  <si>
    <t>東部</t>
  </si>
  <si>
    <t>2026-07-21</t>
  </si>
  <si>
    <t>P0000021</t>
  </si>
  <si>
    <t>S90</t>
  </si>
  <si>
    <t>2026-05-29</t>
  </si>
  <si>
    <t>P0000022</t>
  </si>
  <si>
    <t>2026-08-07</t>
  </si>
  <si>
    <t>P0000023</t>
  </si>
  <si>
    <t>2026-07-07</t>
  </si>
  <si>
    <t>P0000024</t>
  </si>
  <si>
    <t>P0000025</t>
  </si>
  <si>
    <t>2026-05-23</t>
  </si>
  <si>
    <t>P0000026</t>
  </si>
  <si>
    <t>2026-05-04</t>
  </si>
  <si>
    <t>P0000027</t>
  </si>
  <si>
    <t>P0000028</t>
  </si>
  <si>
    <t>2026-06-01</t>
  </si>
  <si>
    <t>P0000029</t>
  </si>
  <si>
    <t>P0000030</t>
  </si>
  <si>
    <t>2026-05-01</t>
  </si>
  <si>
    <t>P0000031</t>
  </si>
  <si>
    <t>2026-05-13</t>
  </si>
  <si>
    <t>P0000032</t>
  </si>
  <si>
    <t>2026-08-13</t>
  </si>
  <si>
    <t>P0000033</t>
  </si>
  <si>
    <t>P0000034</t>
  </si>
  <si>
    <t>2026-06-09</t>
  </si>
  <si>
    <t>P0000035</t>
  </si>
  <si>
    <t>2026-07-22</t>
  </si>
  <si>
    <t>P0000036</t>
  </si>
  <si>
    <t>2026-05-15</t>
  </si>
  <si>
    <t>P0000037</t>
  </si>
  <si>
    <t>2026-05-10</t>
  </si>
  <si>
    <t>P0000038</t>
  </si>
  <si>
    <t>2026-08-11</t>
  </si>
  <si>
    <t>P0000039</t>
  </si>
  <si>
    <t>2026-08-04</t>
  </si>
  <si>
    <t>P0000040</t>
  </si>
  <si>
    <t>2026-07-18</t>
  </si>
  <si>
    <t>P0000041</t>
  </si>
  <si>
    <t>P0000042</t>
  </si>
  <si>
    <t>2026-05-18</t>
  </si>
  <si>
    <t>P0000043</t>
  </si>
  <si>
    <t>P0000044</t>
  </si>
  <si>
    <t>2026-05-20</t>
  </si>
  <si>
    <t>P0000045</t>
  </si>
  <si>
    <t>2026-06-16</t>
  </si>
  <si>
    <t>P0000046</t>
  </si>
  <si>
    <t>P0000047</t>
  </si>
  <si>
    <t>2026-06-12</t>
  </si>
  <si>
    <t>P0000048</t>
  </si>
  <si>
    <t>P0000049</t>
  </si>
  <si>
    <t>2026-06-21</t>
  </si>
  <si>
    <t>P0000050</t>
  </si>
  <si>
    <t>P0000051</t>
  </si>
  <si>
    <t>離島</t>
  </si>
  <si>
    <t>P0000052</t>
  </si>
  <si>
    <t>2026-08-09</t>
  </si>
  <si>
    <t>P0000053</t>
  </si>
  <si>
    <t>P0000054</t>
  </si>
  <si>
    <t>2026-07-01</t>
  </si>
  <si>
    <t>P0000055</t>
  </si>
  <si>
    <t>2026-06-04</t>
  </si>
  <si>
    <t>P0000056</t>
  </si>
  <si>
    <t>P0000057</t>
  </si>
  <si>
    <t>P0000058</t>
  </si>
  <si>
    <t>P0000059</t>
  </si>
  <si>
    <t>2026-07-08</t>
  </si>
  <si>
    <t>P0000060</t>
  </si>
  <si>
    <t>2026-06-20</t>
  </si>
  <si>
    <t>P0000061</t>
  </si>
  <si>
    <t>2026-05-19</t>
  </si>
  <si>
    <t>P0000062</t>
  </si>
  <si>
    <t>P0000063</t>
  </si>
  <si>
    <t>2026-07-04</t>
  </si>
  <si>
    <t>P0000064</t>
  </si>
  <si>
    <t>2026-06-05</t>
  </si>
  <si>
    <t>P0000065</t>
  </si>
  <si>
    <t>P0000066</t>
  </si>
  <si>
    <t>2026-08-08</t>
  </si>
  <si>
    <t>P0000067</t>
  </si>
  <si>
    <t>2026-07-14</t>
  </si>
  <si>
    <t>P0000068</t>
  </si>
  <si>
    <t>2026-07-03</t>
  </si>
  <si>
    <t>P0000069</t>
  </si>
  <si>
    <t>P0000070</t>
  </si>
  <si>
    <t>2026-05-25</t>
  </si>
  <si>
    <t>P0000071</t>
  </si>
  <si>
    <t>P0000072</t>
  </si>
  <si>
    <t>2026-06-07</t>
  </si>
  <si>
    <t>P0000073</t>
  </si>
  <si>
    <t>P0000074</t>
  </si>
  <si>
    <t>P0000075</t>
  </si>
  <si>
    <t>P0000076</t>
  </si>
  <si>
    <t>2026-05-28</t>
  </si>
  <si>
    <t>P0000077</t>
  </si>
  <si>
    <t>2026-07-26</t>
  </si>
  <si>
    <t>P0000078</t>
  </si>
  <si>
    <t>P0000079</t>
  </si>
  <si>
    <t>2026-07-20</t>
  </si>
  <si>
    <t>P0000080</t>
  </si>
  <si>
    <t>P0000081</t>
  </si>
  <si>
    <t>2026-06-29</t>
  </si>
  <si>
    <t>P0000082</t>
  </si>
  <si>
    <t>P0000083</t>
  </si>
  <si>
    <t>P0000084</t>
  </si>
  <si>
    <t>2026-07-11</t>
  </si>
  <si>
    <t>P0000085</t>
  </si>
  <si>
    <t>P0000086</t>
  </si>
  <si>
    <t>P0000087</t>
  </si>
  <si>
    <t>P0000088</t>
  </si>
  <si>
    <t>2026-05-14</t>
  </si>
  <si>
    <t>P0000089</t>
  </si>
  <si>
    <t>2026-07-28</t>
  </si>
  <si>
    <t>P0000090</t>
  </si>
  <si>
    <t>P0000091</t>
  </si>
  <si>
    <t>P0000092</t>
  </si>
  <si>
    <t>P0000093</t>
  </si>
  <si>
    <t>P0000094</t>
  </si>
  <si>
    <t>P0000095</t>
  </si>
  <si>
    <t>P0000096</t>
  </si>
  <si>
    <t>2026-06-13</t>
  </si>
  <si>
    <t>P0000097</t>
  </si>
  <si>
    <t>P0000098</t>
  </si>
  <si>
    <t>P0000099</t>
  </si>
  <si>
    <t>P0000100</t>
  </si>
  <si>
    <t>2026-08-06</t>
  </si>
  <si>
    <t>P0000101</t>
  </si>
  <si>
    <t>2026-05-16</t>
  </si>
  <si>
    <t>P0000102</t>
  </si>
  <si>
    <t>P0000103</t>
  </si>
  <si>
    <t>2026-07-31</t>
  </si>
  <si>
    <t>P0000104</t>
  </si>
  <si>
    <t>2026-06-26</t>
  </si>
  <si>
    <t>P0000105</t>
  </si>
  <si>
    <t>P0000106</t>
  </si>
  <si>
    <t>2026-06-17</t>
  </si>
  <si>
    <t>P0000107</t>
  </si>
  <si>
    <t>2026-07-15</t>
  </si>
  <si>
    <t>P0000108</t>
  </si>
  <si>
    <t>P0000109</t>
  </si>
  <si>
    <t>P0000110</t>
  </si>
  <si>
    <t>P0000111</t>
  </si>
  <si>
    <t>2026-07-25</t>
  </si>
  <si>
    <t>P0000112</t>
  </si>
  <si>
    <t>2026-05-17</t>
  </si>
  <si>
    <t>P0000113</t>
  </si>
  <si>
    <t>P0000114</t>
  </si>
  <si>
    <t>2026-06-22</t>
  </si>
  <si>
    <t>P0000115</t>
  </si>
  <si>
    <t>P0000116</t>
  </si>
  <si>
    <t>P0000117</t>
  </si>
  <si>
    <t>P0000118</t>
  </si>
  <si>
    <t>P0000119</t>
  </si>
  <si>
    <t>P0000120</t>
  </si>
  <si>
    <t>2026-06-25</t>
  </si>
  <si>
    <t>P0000121</t>
  </si>
  <si>
    <t>P0000122</t>
  </si>
  <si>
    <t>2026-08-12</t>
  </si>
  <si>
    <t>P0000123</t>
  </si>
  <si>
    <t>P0000124</t>
  </si>
  <si>
    <t>P0000125</t>
  </si>
  <si>
    <t>P0000126</t>
  </si>
  <si>
    <t>P0000127</t>
  </si>
  <si>
    <t>2026-05-09</t>
  </si>
  <si>
    <t>P0000128</t>
  </si>
  <si>
    <t>P0000129</t>
  </si>
  <si>
    <t>2026-07-13</t>
  </si>
  <si>
    <t>P0000130</t>
  </si>
  <si>
    <t>P0000131</t>
  </si>
  <si>
    <t>P0000132</t>
  </si>
  <si>
    <t>P0000133</t>
  </si>
  <si>
    <t>P0000134</t>
  </si>
  <si>
    <t>P0000135</t>
  </si>
  <si>
    <t>2026-05-27</t>
  </si>
  <si>
    <t>P0000136</t>
  </si>
  <si>
    <t>2026-07-19</t>
  </si>
  <si>
    <t>P0000137</t>
  </si>
  <si>
    <t>P0000138</t>
  </si>
  <si>
    <t>P0000139</t>
  </si>
  <si>
    <t>2026-06-06</t>
  </si>
  <si>
    <t>P0000140</t>
  </si>
  <si>
    <t>P0000141</t>
  </si>
  <si>
    <t>P0000142</t>
  </si>
  <si>
    <t>2026-05-05</t>
  </si>
  <si>
    <t>P0000143</t>
  </si>
  <si>
    <t>2026-06-24</t>
  </si>
  <si>
    <t>P0000144</t>
  </si>
  <si>
    <t>P0000145</t>
  </si>
  <si>
    <t>2026-07-10</t>
  </si>
  <si>
    <t>P0000146</t>
  </si>
  <si>
    <t>P0000147</t>
  </si>
  <si>
    <t>P0000148</t>
  </si>
  <si>
    <t>P0000149</t>
  </si>
  <si>
    <t>2026-07-05</t>
  </si>
  <si>
    <t>P0000150</t>
  </si>
  <si>
    <t>P0000151</t>
  </si>
  <si>
    <t>P0000152</t>
  </si>
  <si>
    <t>P0000153</t>
  </si>
  <si>
    <t>P0000154</t>
  </si>
  <si>
    <t>P0000155</t>
  </si>
  <si>
    <t>P0000156</t>
  </si>
  <si>
    <t>P0000157</t>
  </si>
  <si>
    <t>P0000158</t>
  </si>
  <si>
    <t>P0000159</t>
  </si>
  <si>
    <t>P0000160</t>
  </si>
  <si>
    <t>2026-06-19</t>
  </si>
  <si>
    <t>P0000161</t>
  </si>
  <si>
    <t>P0000162</t>
  </si>
  <si>
    <t>P0000163</t>
  </si>
  <si>
    <t>P0000164</t>
  </si>
  <si>
    <t>P0000165</t>
  </si>
  <si>
    <t>P0000166</t>
  </si>
  <si>
    <t>P0000167</t>
  </si>
  <si>
    <t>2026-08-05</t>
  </si>
  <si>
    <t>P0000168</t>
  </si>
  <si>
    <t>P0000169</t>
  </si>
  <si>
    <t>2026-05-02</t>
  </si>
  <si>
    <t>P0000170</t>
  </si>
  <si>
    <t>2026-07-02</t>
  </si>
  <si>
    <t>P0000171</t>
  </si>
  <si>
    <t>P0000172</t>
  </si>
  <si>
    <t>P0000173</t>
  </si>
  <si>
    <t>P0000174</t>
  </si>
  <si>
    <t>P0000175</t>
  </si>
  <si>
    <t>P0000176</t>
  </si>
  <si>
    <t>P0000177</t>
  </si>
  <si>
    <t>P0000178</t>
  </si>
  <si>
    <t>P0000179</t>
  </si>
  <si>
    <t>P0000180</t>
  </si>
  <si>
    <t>P0000181</t>
  </si>
  <si>
    <t>P0000182</t>
  </si>
  <si>
    <t>P0000183</t>
  </si>
  <si>
    <t>P0000184</t>
  </si>
  <si>
    <t>P0000185</t>
  </si>
  <si>
    <t>P0000186</t>
  </si>
  <si>
    <t>P0000187</t>
  </si>
  <si>
    <t>P0000188</t>
  </si>
  <si>
    <t>P0000189</t>
  </si>
  <si>
    <t>P0000190</t>
  </si>
  <si>
    <t>2026-05-22</t>
  </si>
  <si>
    <t>P0000191</t>
  </si>
  <si>
    <t>2026-05-06</t>
  </si>
  <si>
    <t>P0000192</t>
  </si>
  <si>
    <t>P0000193</t>
  </si>
  <si>
    <t>P0000194</t>
  </si>
  <si>
    <t>P0000195</t>
  </si>
  <si>
    <t>P0000196</t>
  </si>
  <si>
    <t>P0000197</t>
  </si>
  <si>
    <t>P0000198</t>
  </si>
  <si>
    <t>P0000199</t>
  </si>
  <si>
    <t>P0000200</t>
  </si>
  <si>
    <t>2026-08-01</t>
  </si>
  <si>
    <t>P0000201</t>
  </si>
  <si>
    <t>P0000202</t>
  </si>
  <si>
    <t>P0000203</t>
  </si>
  <si>
    <t>P0000204</t>
  </si>
  <si>
    <t>P0000205</t>
  </si>
  <si>
    <t>P0000206</t>
  </si>
  <si>
    <t>P0000207</t>
  </si>
  <si>
    <t>P0000208</t>
  </si>
  <si>
    <t>2026-06-27</t>
  </si>
  <si>
    <t>P0000209</t>
  </si>
  <si>
    <t>P0000210</t>
  </si>
  <si>
    <t>2026-07-09</t>
  </si>
  <si>
    <t>P0000211</t>
  </si>
  <si>
    <t>P0000212</t>
  </si>
  <si>
    <t>P0000213</t>
  </si>
  <si>
    <t>P0000214</t>
  </si>
  <si>
    <t>P0000215</t>
  </si>
  <si>
    <t>P0000216</t>
  </si>
  <si>
    <t>2026-06-14</t>
  </si>
  <si>
    <t>P0000217</t>
  </si>
  <si>
    <t>P0000218</t>
  </si>
  <si>
    <t>P0000219</t>
  </si>
  <si>
    <t>P0000220</t>
  </si>
  <si>
    <t>P0000221</t>
  </si>
  <si>
    <t>2026-05-07</t>
  </si>
  <si>
    <t>P0000222</t>
  </si>
  <si>
    <t>P0000223</t>
  </si>
  <si>
    <t>P0000224</t>
  </si>
  <si>
    <t>P0000225</t>
  </si>
  <si>
    <t>P0000226</t>
  </si>
  <si>
    <t>P0000227</t>
  </si>
  <si>
    <t>2026-05-12</t>
  </si>
  <si>
    <t>P0000228</t>
  </si>
  <si>
    <t>P0000229</t>
  </si>
  <si>
    <t>P0000230</t>
  </si>
  <si>
    <t>P0000231</t>
  </si>
  <si>
    <t>P0000232</t>
  </si>
  <si>
    <t>P0000233</t>
  </si>
  <si>
    <t>P0000234</t>
  </si>
  <si>
    <t>P0000235</t>
  </si>
  <si>
    <t>P0000236</t>
  </si>
  <si>
    <t>P0000237</t>
  </si>
  <si>
    <t>2026-06-15</t>
  </si>
  <si>
    <t>P0000238</t>
  </si>
  <si>
    <t>P0000239</t>
  </si>
  <si>
    <t>P0000240</t>
  </si>
  <si>
    <t>P0000241</t>
  </si>
  <si>
    <t>2026-05-26</t>
  </si>
  <si>
    <t>P0000242</t>
  </si>
  <si>
    <t>P0000243</t>
  </si>
  <si>
    <t>P0000244</t>
  </si>
  <si>
    <t>2026-05-08</t>
  </si>
  <si>
    <t>P0000245</t>
  </si>
  <si>
    <t>P0000246</t>
  </si>
  <si>
    <t>P0000247</t>
  </si>
  <si>
    <t>P0000248</t>
  </si>
  <si>
    <t>P0000249</t>
  </si>
  <si>
    <t>P0000250</t>
  </si>
  <si>
    <t>2026-06-10</t>
  </si>
  <si>
    <t>P0000251</t>
  </si>
  <si>
    <t>P0000252</t>
  </si>
  <si>
    <t>P0000253</t>
  </si>
  <si>
    <t>P0000254</t>
  </si>
  <si>
    <t>P0000255</t>
  </si>
  <si>
    <t>P0000256</t>
  </si>
  <si>
    <t>P0000257</t>
  </si>
  <si>
    <t>P0000258</t>
  </si>
  <si>
    <t>2026-07-23</t>
  </si>
  <si>
    <t>P0000259</t>
  </si>
  <si>
    <t>P0000260</t>
  </si>
  <si>
    <t>P0000261</t>
  </si>
  <si>
    <t>P0000262</t>
  </si>
  <si>
    <t>P0000263</t>
  </si>
  <si>
    <t>P0000264</t>
  </si>
  <si>
    <t>P0000265</t>
  </si>
  <si>
    <t>P0000266</t>
  </si>
  <si>
    <t>P0000267</t>
  </si>
  <si>
    <t>P0000268</t>
  </si>
  <si>
    <t>P0000269</t>
  </si>
  <si>
    <t>P0000270</t>
  </si>
  <si>
    <t>P0000271</t>
  </si>
  <si>
    <t>P0000272</t>
  </si>
  <si>
    <t>P0000273</t>
  </si>
  <si>
    <t>P0000274</t>
  </si>
  <si>
    <t>P0000275</t>
  </si>
  <si>
    <t>P0000276</t>
  </si>
  <si>
    <t>P0000277</t>
  </si>
  <si>
    <t>P0000278</t>
  </si>
  <si>
    <t>P0000279</t>
  </si>
  <si>
    <t>P0000280</t>
  </si>
  <si>
    <t>P0000281</t>
  </si>
  <si>
    <t>P0000282</t>
  </si>
  <si>
    <t>2026-06-08</t>
  </si>
  <si>
    <t>P0000283</t>
  </si>
  <si>
    <t>P0000284</t>
  </si>
  <si>
    <t>P0000285</t>
  </si>
  <si>
    <t>P0000286</t>
  </si>
  <si>
    <t>P0000287</t>
  </si>
  <si>
    <t>P0000288</t>
  </si>
  <si>
    <t>P0000289</t>
  </si>
  <si>
    <t>P0000290</t>
  </si>
  <si>
    <t>P0000291</t>
  </si>
  <si>
    <t>P0000292</t>
  </si>
  <si>
    <t>P0000293</t>
  </si>
  <si>
    <t>P0000294</t>
  </si>
  <si>
    <t>P0000295</t>
  </si>
  <si>
    <t>P0000296</t>
  </si>
  <si>
    <t>P0000297</t>
  </si>
  <si>
    <t>P0000298</t>
  </si>
  <si>
    <t>2026-08-03</t>
  </si>
  <si>
    <t>P0000299</t>
  </si>
  <si>
    <t>P0000300</t>
  </si>
  <si>
    <t>P0000301</t>
  </si>
  <si>
    <t>P0000302</t>
  </si>
  <si>
    <t>P0000303</t>
  </si>
  <si>
    <t>P0000304</t>
  </si>
  <si>
    <t>P0000305</t>
  </si>
  <si>
    <t>P0000306</t>
  </si>
  <si>
    <t>P0000307</t>
  </si>
  <si>
    <t>P0000308</t>
  </si>
  <si>
    <t>P0000309</t>
  </si>
  <si>
    <t>P0000310</t>
  </si>
  <si>
    <t>P0000311</t>
  </si>
  <si>
    <t>P0000312</t>
  </si>
  <si>
    <t>P0000313</t>
  </si>
  <si>
    <t>P0000314</t>
  </si>
  <si>
    <t>P0000315</t>
  </si>
  <si>
    <t>P0000316</t>
  </si>
  <si>
    <t>P0000317</t>
  </si>
  <si>
    <t>P0000318</t>
  </si>
  <si>
    <t>P0000319</t>
  </si>
  <si>
    <t>P0000320</t>
  </si>
  <si>
    <t>2026-08-02</t>
  </si>
  <si>
    <t>P0000321</t>
  </si>
  <si>
    <t>P0000322</t>
  </si>
  <si>
    <t>P0000323</t>
  </si>
  <si>
    <t>P0000324</t>
  </si>
  <si>
    <t>P0000325</t>
  </si>
  <si>
    <t>P0000326</t>
  </si>
  <si>
    <t>P0000327</t>
  </si>
  <si>
    <t>P0000328</t>
  </si>
  <si>
    <t>P0000329</t>
  </si>
  <si>
    <t>P0000330</t>
  </si>
  <si>
    <t>P0000331</t>
  </si>
  <si>
    <t>P0000332</t>
  </si>
  <si>
    <t>P0000333</t>
  </si>
  <si>
    <t>P0000334</t>
  </si>
  <si>
    <t>P0000335</t>
  </si>
  <si>
    <t>P0000336</t>
  </si>
  <si>
    <t>P0000337</t>
  </si>
  <si>
    <t>P0000338</t>
  </si>
  <si>
    <t>P0000339</t>
  </si>
  <si>
    <t>P0000340</t>
  </si>
  <si>
    <t>P0000341</t>
  </si>
  <si>
    <t>P0000342</t>
  </si>
  <si>
    <t>P0000343</t>
  </si>
  <si>
    <t>P0000344</t>
  </si>
  <si>
    <t>P0000345</t>
  </si>
  <si>
    <t>P0000346</t>
  </si>
  <si>
    <t>P0000347</t>
  </si>
  <si>
    <t>P0000348</t>
  </si>
  <si>
    <t>P0000349</t>
  </si>
  <si>
    <t>P0000350</t>
  </si>
  <si>
    <t>P0000351</t>
  </si>
  <si>
    <t>P0000352</t>
  </si>
  <si>
    <t>2026-07-06</t>
  </si>
  <si>
    <t>P0000353</t>
  </si>
  <si>
    <t>P0000354</t>
  </si>
  <si>
    <t>P0000355</t>
  </si>
  <si>
    <t>P0000356</t>
  </si>
  <si>
    <t>P0000357</t>
  </si>
  <si>
    <t>P0000358</t>
  </si>
  <si>
    <t>P0000359</t>
  </si>
  <si>
    <t>P0000360</t>
  </si>
  <si>
    <t>P0000361</t>
  </si>
  <si>
    <t>P0000362</t>
  </si>
  <si>
    <t>P0000363</t>
  </si>
  <si>
    <t>P0000364</t>
  </si>
  <si>
    <t>P0000365</t>
  </si>
  <si>
    <t>P0000366</t>
  </si>
  <si>
    <t>P0000367</t>
  </si>
  <si>
    <t>P0000368</t>
  </si>
  <si>
    <t>P0000369</t>
  </si>
  <si>
    <t>P0000370</t>
  </si>
  <si>
    <t>P0000371</t>
  </si>
  <si>
    <t>P0000372</t>
  </si>
  <si>
    <t>P0000373</t>
  </si>
  <si>
    <t>P0000374</t>
  </si>
  <si>
    <t>P0000375</t>
  </si>
  <si>
    <t>P0000376</t>
  </si>
  <si>
    <t>P0000377</t>
  </si>
  <si>
    <t>P0000378</t>
  </si>
  <si>
    <t>P0000379</t>
  </si>
  <si>
    <t>P0000380</t>
  </si>
  <si>
    <t>P0000381</t>
  </si>
  <si>
    <t>P0000382</t>
  </si>
  <si>
    <t>P0000383</t>
  </si>
  <si>
    <t>P0000384</t>
  </si>
  <si>
    <t>P0000385</t>
  </si>
  <si>
    <t>P0000386</t>
  </si>
  <si>
    <t>P0000387</t>
  </si>
  <si>
    <t>P0000388</t>
  </si>
  <si>
    <t>P0000389</t>
  </si>
  <si>
    <t>P0000390</t>
  </si>
  <si>
    <t>P0000391</t>
  </si>
  <si>
    <t>P0000392</t>
  </si>
  <si>
    <t>P0000393</t>
  </si>
  <si>
    <t>P0000394</t>
  </si>
  <si>
    <t>P0000395</t>
  </si>
  <si>
    <t>P0000396</t>
  </si>
  <si>
    <t>P0000397</t>
  </si>
  <si>
    <t>P0000398</t>
  </si>
  <si>
    <t>P0000399</t>
  </si>
  <si>
    <t>P0000400</t>
  </si>
  <si>
    <t>P0000401</t>
  </si>
  <si>
    <t>P0000402</t>
  </si>
  <si>
    <t>P0000403</t>
  </si>
  <si>
    <t>P0000404</t>
  </si>
  <si>
    <t>P0000405</t>
  </si>
  <si>
    <t>P0000406</t>
  </si>
  <si>
    <t>P0000407</t>
  </si>
  <si>
    <t>2026-06-28</t>
  </si>
  <si>
    <t>P0000408</t>
  </si>
  <si>
    <t>2026-07-29</t>
  </si>
  <si>
    <t>P0000409</t>
  </si>
  <si>
    <t>P0000410</t>
  </si>
  <si>
    <t>P0000411</t>
  </si>
  <si>
    <t>P0000412</t>
  </si>
  <si>
    <t>P0000413</t>
  </si>
  <si>
    <t>P0000414</t>
  </si>
  <si>
    <t>P0000415</t>
  </si>
  <si>
    <t>P0000416</t>
  </si>
  <si>
    <t>P0000417</t>
  </si>
  <si>
    <t>P0000418</t>
  </si>
  <si>
    <t>P0000419</t>
  </si>
  <si>
    <t>P0000420</t>
  </si>
  <si>
    <t>P0000421</t>
  </si>
  <si>
    <t>P0000422</t>
  </si>
  <si>
    <t>P0000423</t>
  </si>
  <si>
    <t>P0000424</t>
  </si>
  <si>
    <t>P0000425</t>
  </si>
  <si>
    <t>P0000426</t>
  </si>
  <si>
    <t>P0000427</t>
  </si>
  <si>
    <t>P0000428</t>
  </si>
  <si>
    <t>P0000429</t>
  </si>
  <si>
    <t>P0000430</t>
  </si>
  <si>
    <t>P0000431</t>
  </si>
  <si>
    <t>P0000432</t>
  </si>
  <si>
    <t>P0000433</t>
  </si>
  <si>
    <t>P0000434</t>
  </si>
  <si>
    <t>P0000435</t>
  </si>
  <si>
    <t>P0000436</t>
  </si>
  <si>
    <t>P0000437</t>
  </si>
  <si>
    <t>P0000438</t>
  </si>
  <si>
    <t>P0000439</t>
  </si>
  <si>
    <t>P0000440</t>
  </si>
  <si>
    <t>P0000441</t>
  </si>
  <si>
    <t>P0000442</t>
  </si>
  <si>
    <t>P0000443</t>
  </si>
  <si>
    <t>P0000444</t>
  </si>
  <si>
    <t>P0000445</t>
  </si>
  <si>
    <t>P0000446</t>
  </si>
  <si>
    <t>P0000447</t>
  </si>
  <si>
    <t>P0000448</t>
  </si>
  <si>
    <t>P0000449</t>
  </si>
  <si>
    <t>P0000450</t>
  </si>
  <si>
    <t>P0000451</t>
  </si>
  <si>
    <t>P0000452</t>
  </si>
  <si>
    <t>P0000453</t>
  </si>
  <si>
    <t>P0000454</t>
  </si>
  <si>
    <t>P0000455</t>
  </si>
  <si>
    <t>P0000456</t>
  </si>
  <si>
    <t>P0000457</t>
  </si>
  <si>
    <t>P0000458</t>
  </si>
  <si>
    <t>P0000459</t>
  </si>
  <si>
    <t>P0000460</t>
  </si>
  <si>
    <t>P0000461</t>
  </si>
  <si>
    <t>P0000462</t>
  </si>
  <si>
    <t>P0000463</t>
  </si>
  <si>
    <t>P0000464</t>
  </si>
  <si>
    <t>P0000465</t>
  </si>
  <si>
    <t>P0000466</t>
  </si>
  <si>
    <t>P0000467</t>
  </si>
  <si>
    <t>P0000468</t>
  </si>
  <si>
    <t>P0000469</t>
  </si>
  <si>
    <t>P0000470</t>
  </si>
  <si>
    <t>P0000471</t>
  </si>
  <si>
    <t>P0000472</t>
  </si>
  <si>
    <t>P0000473</t>
  </si>
  <si>
    <t>P0000474</t>
  </si>
  <si>
    <t>P0000475</t>
  </si>
  <si>
    <t>P0000476</t>
  </si>
  <si>
    <t>P0000477</t>
  </si>
  <si>
    <t>P0000478</t>
  </si>
  <si>
    <t>P0000479</t>
  </si>
  <si>
    <t>2026-06-18</t>
  </si>
  <si>
    <t>P0000480</t>
  </si>
  <si>
    <t>P0000481</t>
  </si>
  <si>
    <t>P0000482</t>
  </si>
  <si>
    <t>P0000483</t>
  </si>
  <si>
    <t>P0000484</t>
  </si>
  <si>
    <t>P0000485</t>
  </si>
  <si>
    <t>P0000486</t>
  </si>
  <si>
    <t>P0000487</t>
  </si>
  <si>
    <t>P0000488</t>
  </si>
  <si>
    <t>P0000489</t>
  </si>
  <si>
    <t>P0000490</t>
  </si>
  <si>
    <t>P0000491</t>
  </si>
  <si>
    <t>P0000492</t>
  </si>
  <si>
    <t>P0000493</t>
  </si>
  <si>
    <t>P0000494</t>
  </si>
  <si>
    <t>P0000495</t>
  </si>
  <si>
    <t>P0000496</t>
  </si>
  <si>
    <t>P0000497</t>
  </si>
  <si>
    <t>P0000498</t>
  </si>
  <si>
    <t>P0000499</t>
  </si>
  <si>
    <t>P0000500</t>
  </si>
  <si>
    <t>P0000501</t>
  </si>
  <si>
    <t>P0000502</t>
  </si>
  <si>
    <t>P0000503</t>
  </si>
  <si>
    <t>P0000504</t>
  </si>
  <si>
    <t>P0000505</t>
  </si>
  <si>
    <t>P0000506</t>
  </si>
  <si>
    <t>P0000507</t>
  </si>
  <si>
    <t>P0000508</t>
  </si>
  <si>
    <t>P0000509</t>
  </si>
  <si>
    <t>P0000510</t>
  </si>
  <si>
    <t>P0000511</t>
  </si>
  <si>
    <t>P0000512</t>
  </si>
  <si>
    <t>P0000513</t>
  </si>
  <si>
    <t>P0000514</t>
  </si>
  <si>
    <t>P0000515</t>
  </si>
  <si>
    <t>P0000516</t>
  </si>
  <si>
    <t>P0000517</t>
  </si>
  <si>
    <t>P0000518</t>
  </si>
  <si>
    <t>P0000519</t>
  </si>
  <si>
    <t>P0000520</t>
  </si>
  <si>
    <t>P0000521</t>
  </si>
  <si>
    <t>P0000522</t>
  </si>
  <si>
    <t>P0000523</t>
  </si>
  <si>
    <t>P0000524</t>
  </si>
  <si>
    <t>P0000525</t>
  </si>
  <si>
    <t>P0000526</t>
  </si>
  <si>
    <t>P0000527</t>
  </si>
  <si>
    <t>P0000528</t>
  </si>
  <si>
    <t>P0000529</t>
  </si>
  <si>
    <t>P0000530</t>
  </si>
  <si>
    <t>P0000531</t>
  </si>
  <si>
    <t>P0000532</t>
  </si>
  <si>
    <t>P0000533</t>
  </si>
  <si>
    <t>P0000534</t>
  </si>
  <si>
    <t>P0000535</t>
  </si>
  <si>
    <t>P0000536</t>
  </si>
  <si>
    <t>P0000537</t>
  </si>
  <si>
    <t>P0000538</t>
  </si>
  <si>
    <t>P0000539</t>
  </si>
  <si>
    <t>P0000540</t>
  </si>
  <si>
    <t>P0000541</t>
  </si>
  <si>
    <t>P0000542</t>
  </si>
  <si>
    <t>P0000543</t>
  </si>
  <si>
    <t>P0000544</t>
  </si>
  <si>
    <t>P0000545</t>
  </si>
  <si>
    <t>P0000546</t>
  </si>
  <si>
    <t>P0000547</t>
  </si>
  <si>
    <t>P0000548</t>
  </si>
  <si>
    <t>P0000549</t>
  </si>
  <si>
    <t>P0000550</t>
  </si>
  <si>
    <t>P0000551</t>
  </si>
  <si>
    <t>P0000552</t>
  </si>
  <si>
    <t>P0000553</t>
  </si>
  <si>
    <t>P0000554</t>
  </si>
  <si>
    <t>P0000555</t>
  </si>
  <si>
    <t>P0000556</t>
  </si>
  <si>
    <t>P0000557</t>
  </si>
  <si>
    <t>P0000558</t>
  </si>
  <si>
    <t>P0000559</t>
  </si>
  <si>
    <t>P0000560</t>
  </si>
  <si>
    <t>P0000561</t>
  </si>
  <si>
    <t>P0000562</t>
  </si>
  <si>
    <t>P0000563</t>
  </si>
  <si>
    <t>P0000564</t>
  </si>
  <si>
    <t>P0000565</t>
  </si>
  <si>
    <t>P0000566</t>
  </si>
  <si>
    <t>P0000567</t>
  </si>
  <si>
    <t>P0000568</t>
  </si>
  <si>
    <t>P0000569</t>
  </si>
  <si>
    <t>P0000570</t>
  </si>
  <si>
    <t>P0000571</t>
  </si>
  <si>
    <t>P0000572</t>
  </si>
  <si>
    <t>P0000573</t>
  </si>
  <si>
    <t>P0000574</t>
  </si>
  <si>
    <t>P0000575</t>
  </si>
  <si>
    <t>P0000576</t>
  </si>
  <si>
    <t>P0000577</t>
  </si>
  <si>
    <t>P0000578</t>
  </si>
  <si>
    <t>P0000579</t>
  </si>
  <si>
    <t>P0000580</t>
  </si>
  <si>
    <t>P0000581</t>
  </si>
  <si>
    <t>P0000582</t>
  </si>
  <si>
    <t>P0000583</t>
  </si>
  <si>
    <t>P0000584</t>
  </si>
  <si>
    <t>P0000585</t>
  </si>
  <si>
    <t>P0000586</t>
  </si>
  <si>
    <t>P0000587</t>
  </si>
  <si>
    <t>P0000588</t>
  </si>
  <si>
    <t>P0000589</t>
  </si>
  <si>
    <t>P0000590</t>
  </si>
  <si>
    <t>P0000591</t>
  </si>
  <si>
    <t>P0000592</t>
  </si>
  <si>
    <t>P0000593</t>
  </si>
  <si>
    <t>P0000594</t>
  </si>
  <si>
    <t>P0000595</t>
  </si>
  <si>
    <t>P0000596</t>
  </si>
  <si>
    <t>P0000597</t>
  </si>
  <si>
    <t>P0000598</t>
  </si>
  <si>
    <t>P0000599</t>
  </si>
  <si>
    <t>P0000600</t>
  </si>
  <si>
    <t>P0000601</t>
  </si>
  <si>
    <t>P0000602</t>
  </si>
  <si>
    <t>P0000603</t>
  </si>
  <si>
    <t>P0000604</t>
  </si>
  <si>
    <t>P0000605</t>
  </si>
  <si>
    <t>P0000606</t>
  </si>
  <si>
    <t>P0000607</t>
  </si>
  <si>
    <t>P0000608</t>
  </si>
  <si>
    <t>P0000609</t>
  </si>
  <si>
    <t>P0000610</t>
  </si>
  <si>
    <t>P0000611</t>
  </si>
  <si>
    <t>P0000612</t>
  </si>
  <si>
    <t>P0000613</t>
  </si>
  <si>
    <t>P0000614</t>
  </si>
  <si>
    <t>P0000615</t>
  </si>
  <si>
    <t>P0000616</t>
  </si>
  <si>
    <t>P0000617</t>
  </si>
  <si>
    <t>P0000618</t>
  </si>
  <si>
    <t>P0000619</t>
  </si>
  <si>
    <t>P0000620</t>
  </si>
  <si>
    <t>P0000621</t>
  </si>
  <si>
    <t>P0000622</t>
  </si>
  <si>
    <t>P0000623</t>
  </si>
  <si>
    <t>P0000624</t>
  </si>
  <si>
    <t>P0000625</t>
  </si>
  <si>
    <t>P0000626</t>
  </si>
  <si>
    <t>P0000627</t>
  </si>
  <si>
    <t>P0000628</t>
  </si>
  <si>
    <t>P0000629</t>
  </si>
  <si>
    <t>P0000630</t>
  </si>
  <si>
    <t>P0000631</t>
  </si>
  <si>
    <t>P0000632</t>
  </si>
  <si>
    <t>P0000633</t>
  </si>
  <si>
    <t>P0000634</t>
  </si>
  <si>
    <t>P0000635</t>
  </si>
  <si>
    <t>P0000636</t>
  </si>
  <si>
    <t>P0000637</t>
  </si>
  <si>
    <t>P0000638</t>
  </si>
  <si>
    <t>P0000639</t>
  </si>
  <si>
    <t>P0000640</t>
  </si>
  <si>
    <t>P0000641</t>
  </si>
  <si>
    <t>P0000642</t>
  </si>
  <si>
    <t>P0000643</t>
  </si>
  <si>
    <t>P0000644</t>
  </si>
  <si>
    <t>P0000645</t>
  </si>
  <si>
    <t>P0000646</t>
  </si>
  <si>
    <t>P0000647</t>
  </si>
  <si>
    <t>P0000648</t>
  </si>
  <si>
    <t>P0000649</t>
  </si>
  <si>
    <t>P0000650</t>
  </si>
  <si>
    <t>P0000651</t>
  </si>
  <si>
    <t>P0000652</t>
  </si>
  <si>
    <t>P0000653</t>
  </si>
  <si>
    <t>P0000654</t>
  </si>
  <si>
    <t>P0000655</t>
  </si>
  <si>
    <t>P0000656</t>
  </si>
  <si>
    <t>P0000657</t>
  </si>
  <si>
    <t>P0000658</t>
  </si>
  <si>
    <t>P0000659</t>
  </si>
  <si>
    <t>P0000660</t>
  </si>
  <si>
    <t>P0000661</t>
  </si>
  <si>
    <t>P0000662</t>
  </si>
  <si>
    <t>P0000663</t>
  </si>
  <si>
    <t>P0000664</t>
  </si>
  <si>
    <t>P0000665</t>
  </si>
  <si>
    <t>P0000666</t>
  </si>
  <si>
    <t>P0000667</t>
  </si>
  <si>
    <t>P0000668</t>
  </si>
  <si>
    <t>P0000669</t>
  </si>
  <si>
    <t>P0000670</t>
  </si>
  <si>
    <t>P0000671</t>
  </si>
  <si>
    <t>P0000672</t>
  </si>
  <si>
    <t>P0000673</t>
  </si>
  <si>
    <t>P0000674</t>
  </si>
  <si>
    <t>P0000675</t>
  </si>
  <si>
    <t>P0000676</t>
  </si>
  <si>
    <t>P0000677</t>
  </si>
  <si>
    <t>P0000678</t>
  </si>
  <si>
    <t>P0000679</t>
  </si>
  <si>
    <t>P0000680</t>
  </si>
  <si>
    <t>P0000681</t>
  </si>
  <si>
    <t>P0000682</t>
  </si>
  <si>
    <t>P0000683</t>
  </si>
  <si>
    <t>P0000684</t>
  </si>
  <si>
    <t>P0000685</t>
  </si>
  <si>
    <t>P0000686</t>
  </si>
  <si>
    <t>P0000687</t>
  </si>
  <si>
    <t>P0000688</t>
  </si>
  <si>
    <t>P0000689</t>
  </si>
  <si>
    <t>P0000690</t>
  </si>
  <si>
    <t>P0000691</t>
  </si>
  <si>
    <t>P0000692</t>
  </si>
  <si>
    <t>P0000693</t>
  </si>
  <si>
    <t>P0000694</t>
  </si>
  <si>
    <t>P0000695</t>
  </si>
  <si>
    <t>P0000696</t>
  </si>
  <si>
    <t>P0000697</t>
  </si>
  <si>
    <t>P0000698</t>
  </si>
  <si>
    <t>P0000699</t>
  </si>
  <si>
    <t>P0000700</t>
  </si>
  <si>
    <t>P0000701</t>
  </si>
  <si>
    <t>P0000702</t>
  </si>
  <si>
    <t>P0000703</t>
  </si>
  <si>
    <t>P0000704</t>
  </si>
  <si>
    <t>P0000705</t>
  </si>
  <si>
    <t>P0000706</t>
  </si>
  <si>
    <t>P0000707</t>
  </si>
  <si>
    <t>P0000708</t>
  </si>
  <si>
    <t>P0000709</t>
  </si>
  <si>
    <t>P0000710</t>
  </si>
  <si>
    <t>P0000711</t>
  </si>
  <si>
    <t>P0000712</t>
  </si>
  <si>
    <t>P0000713</t>
  </si>
  <si>
    <t>P0000714</t>
  </si>
  <si>
    <t>P0000715</t>
  </si>
  <si>
    <t>P0000716</t>
  </si>
  <si>
    <t>P0000717</t>
  </si>
  <si>
    <t>P0000718</t>
  </si>
  <si>
    <t>P0000719</t>
  </si>
  <si>
    <t>P0000720</t>
  </si>
  <si>
    <t>P0000721</t>
  </si>
  <si>
    <t>P0000722</t>
  </si>
  <si>
    <t>P0000723</t>
  </si>
  <si>
    <t>P0000724</t>
  </si>
  <si>
    <t>P0000725</t>
  </si>
  <si>
    <t>P0000726</t>
  </si>
  <si>
    <t>P0000727</t>
  </si>
  <si>
    <t>P0000728</t>
  </si>
  <si>
    <t>P0000729</t>
  </si>
  <si>
    <t>P0000730</t>
  </si>
  <si>
    <t>P0000731</t>
  </si>
  <si>
    <t>P0000732</t>
  </si>
  <si>
    <t>P0000733</t>
  </si>
  <si>
    <t>P0000734</t>
  </si>
  <si>
    <t>P0000735</t>
  </si>
  <si>
    <t>P0000736</t>
  </si>
  <si>
    <t>P0000737</t>
  </si>
  <si>
    <t>P0000738</t>
  </si>
  <si>
    <t>P0000739</t>
  </si>
  <si>
    <t>P0000740</t>
  </si>
  <si>
    <t>P0000741</t>
  </si>
  <si>
    <t>P0000742</t>
  </si>
  <si>
    <t>P0000743</t>
  </si>
  <si>
    <t>P0000744</t>
  </si>
  <si>
    <t>P0000745</t>
  </si>
  <si>
    <t>P0000746</t>
  </si>
  <si>
    <t>P0000747</t>
  </si>
  <si>
    <t>P0000748</t>
  </si>
  <si>
    <t>P0000749</t>
  </si>
  <si>
    <t>P0000750</t>
  </si>
  <si>
    <t>P0000751</t>
  </si>
  <si>
    <t>P0000752</t>
  </si>
  <si>
    <t>P0000753</t>
  </si>
  <si>
    <t>P0000754</t>
  </si>
  <si>
    <t>P0000755</t>
  </si>
  <si>
    <t>P0000756</t>
  </si>
  <si>
    <t>P0000757</t>
  </si>
  <si>
    <t>P0000758</t>
  </si>
  <si>
    <t>P0000759</t>
  </si>
  <si>
    <t>P0000760</t>
  </si>
  <si>
    <t>P0000761</t>
  </si>
  <si>
    <t>P0000762</t>
  </si>
  <si>
    <t>P0000763</t>
  </si>
  <si>
    <t>P0000764</t>
  </si>
  <si>
    <t>P0000765</t>
  </si>
  <si>
    <t>P0000766</t>
  </si>
  <si>
    <t>P0000767</t>
  </si>
  <si>
    <t>P0000768</t>
  </si>
  <si>
    <t>P0000769</t>
  </si>
  <si>
    <t>P0000770</t>
  </si>
  <si>
    <t>P0000771</t>
  </si>
  <si>
    <t>P0000772</t>
  </si>
  <si>
    <t>P0000773</t>
  </si>
  <si>
    <t>P0000774</t>
  </si>
  <si>
    <t>P0000775</t>
  </si>
  <si>
    <t>P0000776</t>
  </si>
  <si>
    <t>P0000777</t>
  </si>
  <si>
    <t>P0000778</t>
  </si>
  <si>
    <t>P0000779</t>
  </si>
  <si>
    <t>P0000780</t>
  </si>
  <si>
    <t>P0000781</t>
  </si>
  <si>
    <t>P0000782</t>
  </si>
  <si>
    <t>P0000783</t>
  </si>
  <si>
    <t>P0000784</t>
  </si>
  <si>
    <t>P0000785</t>
  </si>
  <si>
    <t>P0000786</t>
  </si>
  <si>
    <t>P0000787</t>
  </si>
  <si>
    <t>P0000788</t>
  </si>
  <si>
    <t>P0000789</t>
  </si>
  <si>
    <t>P0000790</t>
  </si>
  <si>
    <t>P0000791</t>
  </si>
  <si>
    <t>P0000792</t>
  </si>
  <si>
    <t>P0000793</t>
  </si>
  <si>
    <t>P0000794</t>
  </si>
  <si>
    <t>P0000795</t>
  </si>
  <si>
    <t>P0000796</t>
  </si>
  <si>
    <t>P0000797</t>
  </si>
  <si>
    <t>P0000798</t>
  </si>
  <si>
    <t>P0000799</t>
  </si>
  <si>
    <t>P0000800</t>
  </si>
  <si>
    <t>P0000801</t>
  </si>
  <si>
    <t>P0000802</t>
  </si>
  <si>
    <t>P0000803</t>
  </si>
  <si>
    <t>P0000804</t>
  </si>
  <si>
    <t>P0000805</t>
  </si>
  <si>
    <t>P0000806</t>
  </si>
  <si>
    <t>P0000807</t>
  </si>
  <si>
    <t>P0000808</t>
  </si>
  <si>
    <t>P0000809</t>
  </si>
  <si>
    <t>P0000810</t>
  </si>
  <si>
    <t>P0000811</t>
  </si>
  <si>
    <t>P0000812</t>
  </si>
  <si>
    <t>P0000813</t>
  </si>
  <si>
    <t>P0000814</t>
  </si>
  <si>
    <t>P0000815</t>
  </si>
  <si>
    <t>P0000816</t>
  </si>
  <si>
    <t>P0000817</t>
  </si>
  <si>
    <t>P0000818</t>
  </si>
  <si>
    <t>P0000819</t>
  </si>
  <si>
    <t>P0000820</t>
  </si>
  <si>
    <t>P0000821</t>
  </si>
  <si>
    <t>P0000822</t>
  </si>
  <si>
    <t>P0000823</t>
  </si>
  <si>
    <t>P0000824</t>
  </si>
  <si>
    <t>P0000825</t>
  </si>
  <si>
    <t>P0000826</t>
  </si>
  <si>
    <t>P0000827</t>
  </si>
  <si>
    <t>P0000828</t>
  </si>
  <si>
    <t>P0000829</t>
  </si>
  <si>
    <t>P0000830</t>
  </si>
  <si>
    <t>P0000831</t>
  </si>
  <si>
    <t>P0000832</t>
  </si>
  <si>
    <t>P0000833</t>
  </si>
  <si>
    <t>P0000834</t>
  </si>
  <si>
    <t>P0000835</t>
  </si>
  <si>
    <t>P0000836</t>
  </si>
  <si>
    <t>P0000837</t>
  </si>
  <si>
    <t>P0000838</t>
  </si>
  <si>
    <t>P0000839</t>
  </si>
  <si>
    <t>P0000840</t>
  </si>
  <si>
    <t>P0000841</t>
  </si>
  <si>
    <t>P0000842</t>
  </si>
  <si>
    <t>P0000843</t>
  </si>
  <si>
    <t>P0000844</t>
  </si>
  <si>
    <t>P0000845</t>
  </si>
  <si>
    <t>P0000846</t>
  </si>
  <si>
    <t>P0000847</t>
  </si>
  <si>
    <t>P0000848</t>
  </si>
  <si>
    <t>P0000849</t>
  </si>
  <si>
    <t>P0000850</t>
  </si>
  <si>
    <t>P0000851</t>
  </si>
  <si>
    <t>P0000852</t>
  </si>
  <si>
    <t>P0000853</t>
  </si>
  <si>
    <t>P0000854</t>
  </si>
  <si>
    <t>P0000855</t>
  </si>
  <si>
    <t>P0000856</t>
  </si>
  <si>
    <t>P0000857</t>
  </si>
  <si>
    <t>P0000858</t>
  </si>
  <si>
    <t>P0000859</t>
  </si>
  <si>
    <t>P0000860</t>
  </si>
  <si>
    <t>P0000861</t>
  </si>
  <si>
    <t>P0000862</t>
  </si>
  <si>
    <t>P0000863</t>
  </si>
  <si>
    <t>P0000864</t>
  </si>
  <si>
    <t>P0000865</t>
  </si>
  <si>
    <t>P0000866</t>
  </si>
  <si>
    <t>P0000867</t>
  </si>
  <si>
    <t>P0000868</t>
  </si>
  <si>
    <t>P0000869</t>
  </si>
  <si>
    <t>P0000870</t>
  </si>
  <si>
    <t>P0000871</t>
  </si>
  <si>
    <t>P0000872</t>
  </si>
  <si>
    <t>P0000873</t>
  </si>
  <si>
    <t>P0000874</t>
  </si>
  <si>
    <t>P0000875</t>
  </si>
  <si>
    <t>P0000876</t>
  </si>
  <si>
    <t>P0000877</t>
  </si>
  <si>
    <t>P0000878</t>
  </si>
  <si>
    <t>P0000879</t>
  </si>
  <si>
    <t>P0000880</t>
  </si>
  <si>
    <t>P0000881</t>
  </si>
  <si>
    <t>P0000882</t>
  </si>
  <si>
    <t>P0000883</t>
  </si>
  <si>
    <t>P0000884</t>
  </si>
  <si>
    <t>P0000885</t>
  </si>
  <si>
    <t>P0000886</t>
  </si>
  <si>
    <t>P0000887</t>
  </si>
  <si>
    <t>P0000888</t>
  </si>
  <si>
    <t>P0000889</t>
  </si>
  <si>
    <t>P0000890</t>
  </si>
  <si>
    <t>P0000891</t>
  </si>
  <si>
    <t>P0000892</t>
  </si>
  <si>
    <t>P0000893</t>
  </si>
  <si>
    <t>P0000894</t>
  </si>
  <si>
    <t>P0000895</t>
  </si>
  <si>
    <t>P0000896</t>
  </si>
  <si>
    <t>P0000897</t>
  </si>
  <si>
    <t>P0000898</t>
  </si>
  <si>
    <t>P0000899</t>
  </si>
  <si>
    <t>P0000900</t>
  </si>
  <si>
    <t>P0000901</t>
  </si>
  <si>
    <t>P0000902</t>
  </si>
  <si>
    <t>P0000903</t>
  </si>
  <si>
    <t>P0000904</t>
  </si>
  <si>
    <t>P0000905</t>
  </si>
  <si>
    <t>P0000906</t>
  </si>
  <si>
    <t>P0000907</t>
  </si>
  <si>
    <t>P0000908</t>
  </si>
  <si>
    <t>P0000909</t>
  </si>
  <si>
    <t>P0000910</t>
  </si>
  <si>
    <t>P0000911</t>
  </si>
  <si>
    <t>P0000912</t>
  </si>
  <si>
    <t>P0000913</t>
  </si>
  <si>
    <t>P0000914</t>
  </si>
  <si>
    <t>P0000915</t>
  </si>
  <si>
    <t>P0000916</t>
  </si>
  <si>
    <t>P0000917</t>
  </si>
  <si>
    <t>P0000918</t>
  </si>
  <si>
    <t>P0000919</t>
  </si>
  <si>
    <t>P0000920</t>
  </si>
  <si>
    <t>P0000921</t>
  </si>
  <si>
    <t>P0000922</t>
  </si>
  <si>
    <t>P0000923</t>
  </si>
  <si>
    <t>P0000924</t>
  </si>
  <si>
    <t>P0000925</t>
  </si>
  <si>
    <t>P0000926</t>
  </si>
  <si>
    <t>P0000927</t>
  </si>
  <si>
    <t>P0000928</t>
  </si>
  <si>
    <t>P0000929</t>
  </si>
  <si>
    <t>P0000930</t>
  </si>
  <si>
    <t>P0000931</t>
  </si>
  <si>
    <t>P0000932</t>
  </si>
  <si>
    <t>P0000933</t>
  </si>
  <si>
    <t>P0000934</t>
  </si>
  <si>
    <t>P0000935</t>
  </si>
  <si>
    <t>P0000936</t>
  </si>
  <si>
    <t>P0000937</t>
  </si>
  <si>
    <t>P0000938</t>
  </si>
  <si>
    <t>P0000939</t>
  </si>
  <si>
    <t>P0000940</t>
  </si>
  <si>
    <t>P0000941</t>
  </si>
  <si>
    <t>P0000942</t>
  </si>
  <si>
    <t>P0000943</t>
  </si>
  <si>
    <t>P0000944</t>
  </si>
  <si>
    <t>P0000945</t>
  </si>
  <si>
    <t>P0000946</t>
  </si>
  <si>
    <t>P0000947</t>
  </si>
  <si>
    <t>P0000948</t>
  </si>
  <si>
    <t>P0000949</t>
  </si>
  <si>
    <t>P0000950</t>
  </si>
  <si>
    <t>P0000951</t>
  </si>
  <si>
    <t>P0000952</t>
  </si>
  <si>
    <t>P0000953</t>
  </si>
  <si>
    <t>P0000954</t>
  </si>
  <si>
    <t>P0000955</t>
  </si>
  <si>
    <t>P0000956</t>
  </si>
  <si>
    <t>P0000957</t>
  </si>
  <si>
    <t>P0000958</t>
  </si>
  <si>
    <t>P0000959</t>
  </si>
  <si>
    <t>P0000960</t>
  </si>
  <si>
    <t>P0000961</t>
  </si>
  <si>
    <t>P0000962</t>
  </si>
  <si>
    <t>P0000963</t>
  </si>
  <si>
    <t>P0000964</t>
  </si>
  <si>
    <t>P0000965</t>
  </si>
  <si>
    <t>P0000966</t>
  </si>
  <si>
    <t>P0000967</t>
  </si>
  <si>
    <t>P0000968</t>
  </si>
  <si>
    <t>P0000969</t>
  </si>
  <si>
    <t>P0000970</t>
  </si>
  <si>
    <t>P0000971</t>
  </si>
  <si>
    <t>P0000972</t>
  </si>
  <si>
    <t>P0000973</t>
  </si>
  <si>
    <t>P0000974</t>
  </si>
  <si>
    <t>P0000975</t>
  </si>
  <si>
    <t>P0000976</t>
  </si>
  <si>
    <t>P0000977</t>
  </si>
  <si>
    <t>P0000978</t>
  </si>
  <si>
    <t>P0000979</t>
  </si>
  <si>
    <t>P0000980</t>
  </si>
  <si>
    <t>P0000981</t>
  </si>
  <si>
    <t>P0000982</t>
  </si>
  <si>
    <t>P0000983</t>
  </si>
  <si>
    <t>P0000984</t>
  </si>
  <si>
    <t>P0000985</t>
  </si>
  <si>
    <t>P0000986</t>
  </si>
  <si>
    <t>P0000987</t>
  </si>
  <si>
    <t>P0000988</t>
  </si>
  <si>
    <t>P0000989</t>
  </si>
  <si>
    <t>P0000990</t>
  </si>
  <si>
    <t>P0000991</t>
  </si>
  <si>
    <t>P0000992</t>
  </si>
  <si>
    <t>P0000993</t>
  </si>
  <si>
    <t>P0000994</t>
  </si>
  <si>
    <t>P0000995</t>
  </si>
  <si>
    <t>P0000996</t>
  </si>
  <si>
    <t>P0000997</t>
  </si>
  <si>
    <t>P0000998</t>
  </si>
  <si>
    <t>P0000999</t>
  </si>
  <si>
    <t>P0001000</t>
  </si>
  <si>
    <t>P0001001</t>
  </si>
  <si>
    <t>P0001002</t>
  </si>
  <si>
    <t>P0001003</t>
  </si>
  <si>
    <t>P0001004</t>
  </si>
  <si>
    <t>P0001005</t>
  </si>
  <si>
    <t>P0001006</t>
  </si>
  <si>
    <t>P0001007</t>
  </si>
  <si>
    <t>P0001008</t>
  </si>
  <si>
    <t>P0001009</t>
  </si>
  <si>
    <t>P0001010</t>
  </si>
  <si>
    <t>P0001011</t>
  </si>
  <si>
    <t>P0001012</t>
  </si>
  <si>
    <t>P0001013</t>
  </si>
  <si>
    <t>P0001014</t>
  </si>
  <si>
    <t>P0001015</t>
  </si>
  <si>
    <t>P0001016</t>
  </si>
  <si>
    <t>P0001017</t>
  </si>
  <si>
    <t>P0001018</t>
  </si>
  <si>
    <t>P0001019</t>
  </si>
  <si>
    <t>P0001020</t>
  </si>
  <si>
    <t>P0001021</t>
  </si>
  <si>
    <t>P0001022</t>
  </si>
  <si>
    <t>P0001023</t>
  </si>
  <si>
    <t>P0001024</t>
  </si>
  <si>
    <t>P0001025</t>
  </si>
  <si>
    <t>P0001026</t>
  </si>
  <si>
    <t>P0001027</t>
  </si>
  <si>
    <t>P0001028</t>
  </si>
  <si>
    <t>P0001029</t>
  </si>
  <si>
    <t>P0001030</t>
  </si>
  <si>
    <t>P0001031</t>
  </si>
  <si>
    <t>P0001032</t>
  </si>
  <si>
    <t>P0001033</t>
  </si>
  <si>
    <t>P0001034</t>
  </si>
  <si>
    <t>P0001035</t>
  </si>
  <si>
    <t>P0001036</t>
  </si>
  <si>
    <t>P0001037</t>
  </si>
  <si>
    <t>P0001038</t>
  </si>
  <si>
    <t>P0001039</t>
  </si>
  <si>
    <t>P0001040</t>
  </si>
  <si>
    <t>P0001041</t>
  </si>
  <si>
    <t>P0001042</t>
  </si>
  <si>
    <t>P0001043</t>
  </si>
  <si>
    <t>P0001044</t>
  </si>
  <si>
    <t>P0001045</t>
  </si>
  <si>
    <t>P0001046</t>
  </si>
  <si>
    <t>P0001047</t>
  </si>
  <si>
    <t>P0001048</t>
  </si>
  <si>
    <t>P0001049</t>
  </si>
  <si>
    <t>P0001050</t>
  </si>
  <si>
    <t>P0001051</t>
  </si>
  <si>
    <t>P0001052</t>
  </si>
  <si>
    <t>P0001053</t>
  </si>
  <si>
    <t>P0001054</t>
  </si>
  <si>
    <t>P0001055</t>
  </si>
  <si>
    <t>P0001056</t>
  </si>
  <si>
    <t>P0001057</t>
  </si>
  <si>
    <t>P0001058</t>
  </si>
  <si>
    <t>P0001059</t>
  </si>
  <si>
    <t>P0001060</t>
  </si>
  <si>
    <t>P0001061</t>
  </si>
  <si>
    <t>P0001062</t>
  </si>
  <si>
    <t>P0001063</t>
  </si>
  <si>
    <t>P0001064</t>
  </si>
  <si>
    <t>P0001065</t>
  </si>
  <si>
    <t>P0001066</t>
  </si>
  <si>
    <t>P0001067</t>
  </si>
  <si>
    <t>P0001068</t>
  </si>
  <si>
    <t>P0001069</t>
  </si>
  <si>
    <t>P0001070</t>
  </si>
  <si>
    <t>P0001071</t>
  </si>
  <si>
    <t>P0001072</t>
  </si>
  <si>
    <t>P0001073</t>
  </si>
  <si>
    <t>P0001074</t>
  </si>
  <si>
    <t>P0001075</t>
  </si>
  <si>
    <t>P0001076</t>
  </si>
  <si>
    <t>P0001077</t>
  </si>
  <si>
    <t>P0001078</t>
  </si>
  <si>
    <t>P0001079</t>
  </si>
  <si>
    <t>P0001080</t>
  </si>
  <si>
    <t>P0001081</t>
  </si>
  <si>
    <t>P0001082</t>
  </si>
  <si>
    <t>P0001083</t>
  </si>
  <si>
    <t>P0001084</t>
  </si>
  <si>
    <t>P0001085</t>
  </si>
  <si>
    <t>P0001086</t>
  </si>
  <si>
    <t>P0001087</t>
  </si>
  <si>
    <t>P0001088</t>
  </si>
  <si>
    <t>P0001089</t>
  </si>
  <si>
    <t>P0001090</t>
  </si>
  <si>
    <t>P0001091</t>
  </si>
  <si>
    <t>P0001092</t>
  </si>
  <si>
    <t>P0001093</t>
  </si>
  <si>
    <t>P0001094</t>
  </si>
  <si>
    <t>P0001095</t>
  </si>
  <si>
    <t>P0001096</t>
  </si>
  <si>
    <t>P0001097</t>
  </si>
  <si>
    <t>P0001098</t>
  </si>
  <si>
    <t>P0001099</t>
  </si>
  <si>
    <t>P0001100</t>
  </si>
  <si>
    <t>P0001101</t>
  </si>
  <si>
    <t>P0001102</t>
  </si>
  <si>
    <t>P0001103</t>
  </si>
  <si>
    <t>P0001104</t>
  </si>
  <si>
    <t>P0001105</t>
  </si>
  <si>
    <t>P0001106</t>
  </si>
  <si>
    <t>P0001107</t>
  </si>
  <si>
    <t>P0001108</t>
  </si>
  <si>
    <t>P0001109</t>
  </si>
  <si>
    <t>P0001110</t>
  </si>
  <si>
    <t>P0001111</t>
  </si>
  <si>
    <t>P0001112</t>
  </si>
  <si>
    <t>P0001113</t>
  </si>
  <si>
    <t>P0001114</t>
  </si>
  <si>
    <t>P0001115</t>
  </si>
  <si>
    <t>P0001116</t>
  </si>
  <si>
    <t>P0001117</t>
  </si>
  <si>
    <t>P0001118</t>
  </si>
  <si>
    <t>P0001119</t>
  </si>
  <si>
    <t>P0001120</t>
  </si>
  <si>
    <t>P0001121</t>
  </si>
  <si>
    <t>P0001122</t>
  </si>
  <si>
    <t>P0001123</t>
  </si>
  <si>
    <t>P0001124</t>
  </si>
  <si>
    <t>P0001125</t>
  </si>
  <si>
    <t>P0001126</t>
  </si>
  <si>
    <t>P0001127</t>
  </si>
  <si>
    <t>P0001128</t>
  </si>
  <si>
    <t>P0001129</t>
  </si>
  <si>
    <t>P0001130</t>
  </si>
  <si>
    <t>P0001131</t>
  </si>
  <si>
    <t>P0001132</t>
  </si>
  <si>
    <t>P0001133</t>
  </si>
  <si>
    <t>P0001134</t>
  </si>
  <si>
    <t>P0001135</t>
  </si>
  <si>
    <t>P0001136</t>
  </si>
  <si>
    <t>P0001137</t>
  </si>
  <si>
    <t>P0001138</t>
  </si>
  <si>
    <t>P0001139</t>
  </si>
  <si>
    <t>P0001140</t>
  </si>
  <si>
    <t>P0001141</t>
  </si>
  <si>
    <t>P0001142</t>
  </si>
  <si>
    <t>P0001143</t>
  </si>
  <si>
    <t>P0001144</t>
  </si>
  <si>
    <t>P0001145</t>
  </si>
  <si>
    <t>P0001146</t>
  </si>
  <si>
    <t>P0001147</t>
  </si>
  <si>
    <t>P0001148</t>
  </si>
  <si>
    <t>P0001149</t>
  </si>
  <si>
    <t>P0001150</t>
  </si>
  <si>
    <t>P0001151</t>
  </si>
  <si>
    <t>P0001152</t>
  </si>
  <si>
    <t>P0001153</t>
  </si>
  <si>
    <t>P0001154</t>
  </si>
  <si>
    <t>P0001155</t>
  </si>
  <si>
    <t>P0001156</t>
  </si>
  <si>
    <t>P0001157</t>
  </si>
  <si>
    <t>P0001158</t>
  </si>
  <si>
    <t>P0001159</t>
  </si>
  <si>
    <t>P0001160</t>
  </si>
  <si>
    <t>P0001161</t>
  </si>
  <si>
    <t>P0001162</t>
  </si>
  <si>
    <t>P0001163</t>
  </si>
  <si>
    <t>P0001164</t>
  </si>
  <si>
    <t>P0001165</t>
  </si>
  <si>
    <t>P0001166</t>
  </si>
  <si>
    <t>P0001167</t>
  </si>
  <si>
    <t>P0001168</t>
  </si>
  <si>
    <t>P0001169</t>
  </si>
  <si>
    <t>P0001170</t>
  </si>
  <si>
    <t>P0001171</t>
  </si>
  <si>
    <t>P0001172</t>
  </si>
  <si>
    <t>P0001173</t>
  </si>
  <si>
    <t>P0001174</t>
  </si>
  <si>
    <t>P0001175</t>
  </si>
  <si>
    <t>P0001176</t>
  </si>
  <si>
    <t>P0001177</t>
  </si>
  <si>
    <t>P0001178</t>
  </si>
  <si>
    <t>P0001179</t>
  </si>
  <si>
    <t>P0001180</t>
  </si>
  <si>
    <t>P0001181</t>
  </si>
  <si>
    <t>P0001182</t>
  </si>
  <si>
    <t>P0001183</t>
  </si>
  <si>
    <t>P0001184</t>
  </si>
  <si>
    <t>P0001185</t>
  </si>
  <si>
    <t>P0001186</t>
  </si>
  <si>
    <t>P0001187</t>
  </si>
  <si>
    <t>P0001188</t>
  </si>
  <si>
    <t>P0001189</t>
  </si>
  <si>
    <t>P0001190</t>
  </si>
  <si>
    <t>P0001191</t>
  </si>
  <si>
    <t>P0001192</t>
  </si>
  <si>
    <t>P0001193</t>
  </si>
  <si>
    <t>P0001194</t>
  </si>
  <si>
    <t>P0001195</t>
  </si>
  <si>
    <t>P0001196</t>
  </si>
  <si>
    <t>P0001197</t>
  </si>
  <si>
    <t>P0001198</t>
  </si>
  <si>
    <t>P0001199</t>
  </si>
  <si>
    <t>P0001200</t>
  </si>
  <si>
    <t>P0001201</t>
  </si>
  <si>
    <t>P0001202</t>
  </si>
  <si>
    <t>P0001203</t>
  </si>
  <si>
    <t>P0001204</t>
  </si>
  <si>
    <t>P0001205</t>
  </si>
  <si>
    <t>P0001206</t>
  </si>
  <si>
    <t>P0001207</t>
  </si>
  <si>
    <t>P0001208</t>
  </si>
  <si>
    <t>P0001209</t>
  </si>
  <si>
    <t>P0001210</t>
  </si>
  <si>
    <t>P0001211</t>
  </si>
  <si>
    <t>P0001212</t>
  </si>
  <si>
    <t>P0001213</t>
  </si>
  <si>
    <t>P0001214</t>
  </si>
  <si>
    <t>P0001215</t>
  </si>
  <si>
    <t>P0001216</t>
  </si>
  <si>
    <t>P0001217</t>
  </si>
  <si>
    <t>P0001218</t>
  </si>
  <si>
    <t>P0001219</t>
  </si>
  <si>
    <t>P0001220</t>
  </si>
  <si>
    <t>P0001221</t>
  </si>
  <si>
    <t>P0001222</t>
  </si>
  <si>
    <t>P0001223</t>
  </si>
  <si>
    <t>P0001224</t>
  </si>
  <si>
    <t>P0001225</t>
  </si>
  <si>
    <t>P0001226</t>
  </si>
  <si>
    <t>P0001227</t>
  </si>
  <si>
    <t>P0001228</t>
  </si>
  <si>
    <t>P0001229</t>
  </si>
  <si>
    <t>P0001230</t>
  </si>
  <si>
    <t>P0001231</t>
  </si>
  <si>
    <t>P0001232</t>
  </si>
  <si>
    <t>P0001233</t>
  </si>
  <si>
    <t>P0001234</t>
  </si>
  <si>
    <t>P0001235</t>
  </si>
  <si>
    <t>P0001236</t>
  </si>
  <si>
    <t>P0001237</t>
  </si>
  <si>
    <t>P0001238</t>
  </si>
  <si>
    <t>P0001239</t>
  </si>
  <si>
    <t>P0001240</t>
  </si>
  <si>
    <t>P0001241</t>
  </si>
  <si>
    <t>P0001242</t>
  </si>
  <si>
    <t>P0001243</t>
  </si>
  <si>
    <t>P0001244</t>
  </si>
  <si>
    <t>P0001245</t>
  </si>
  <si>
    <t>P0001246</t>
  </si>
  <si>
    <t>P0001247</t>
  </si>
  <si>
    <t>P0001248</t>
  </si>
  <si>
    <t>P0001249</t>
  </si>
  <si>
    <t>P0001250</t>
  </si>
  <si>
    <t>P0001251</t>
  </si>
  <si>
    <t>P0001252</t>
  </si>
  <si>
    <t>P0001253</t>
  </si>
  <si>
    <t>P0001254</t>
  </si>
  <si>
    <t>P0001255</t>
  </si>
  <si>
    <t>P0001256</t>
  </si>
  <si>
    <t>P0001257</t>
  </si>
  <si>
    <t>P0001258</t>
  </si>
  <si>
    <t>P0001259</t>
  </si>
  <si>
    <t>P0001260</t>
  </si>
  <si>
    <t>P0001261</t>
  </si>
  <si>
    <t>P0001262</t>
  </si>
  <si>
    <t>P0001263</t>
  </si>
  <si>
    <t>P0001264</t>
  </si>
  <si>
    <t>P0001265</t>
  </si>
  <si>
    <t>P0001266</t>
  </si>
  <si>
    <t>P0001267</t>
  </si>
  <si>
    <t>P0001268</t>
  </si>
  <si>
    <t>P0001269</t>
  </si>
  <si>
    <t>P0001270</t>
  </si>
  <si>
    <t>P0001271</t>
  </si>
  <si>
    <t>P0001272</t>
  </si>
  <si>
    <t>P0001273</t>
  </si>
  <si>
    <t>P0001274</t>
  </si>
  <si>
    <t>P0001275</t>
  </si>
  <si>
    <t>P0001276</t>
  </si>
  <si>
    <t>P0001277</t>
  </si>
  <si>
    <t>P0001278</t>
  </si>
  <si>
    <t>P0001279</t>
  </si>
  <si>
    <t>P0001280</t>
  </si>
  <si>
    <t>P0001281</t>
  </si>
  <si>
    <t>P0001282</t>
  </si>
  <si>
    <t>P0001283</t>
  </si>
  <si>
    <t>P0001284</t>
  </si>
  <si>
    <t>P0001285</t>
  </si>
  <si>
    <t>P0001286</t>
  </si>
  <si>
    <t>P0001287</t>
  </si>
  <si>
    <t>P0001288</t>
  </si>
  <si>
    <t>P0001289</t>
  </si>
  <si>
    <t>P0001290</t>
  </si>
  <si>
    <t>P0001291</t>
  </si>
  <si>
    <t>P0001292</t>
  </si>
  <si>
    <t>P0001293</t>
  </si>
  <si>
    <t>P0001294</t>
  </si>
  <si>
    <t>P0001295</t>
  </si>
  <si>
    <t>P0001296</t>
  </si>
  <si>
    <t>P0001297</t>
  </si>
  <si>
    <t>P0001298</t>
  </si>
  <si>
    <t>P0001299</t>
  </si>
  <si>
    <t>P0001300</t>
  </si>
  <si>
    <t>P0001301</t>
  </si>
  <si>
    <t>P0001302</t>
  </si>
  <si>
    <t>P0001303</t>
  </si>
  <si>
    <t>P0001304</t>
  </si>
  <si>
    <t>P0001305</t>
  </si>
  <si>
    <t>P0001306</t>
  </si>
  <si>
    <t>P0001307</t>
  </si>
  <si>
    <t>P0001308</t>
  </si>
  <si>
    <t>P0001309</t>
  </si>
  <si>
    <t>P0001310</t>
  </si>
  <si>
    <t>P0001311</t>
  </si>
  <si>
    <t>P0001312</t>
  </si>
  <si>
    <t>P0001313</t>
  </si>
  <si>
    <t>P0001314</t>
  </si>
  <si>
    <t>P0001315</t>
  </si>
  <si>
    <t>P0001316</t>
  </si>
  <si>
    <t>P0001317</t>
  </si>
  <si>
    <t>P0001318</t>
  </si>
  <si>
    <t>P0001319</t>
  </si>
  <si>
    <t>P0001320</t>
  </si>
  <si>
    <t>P0001321</t>
  </si>
  <si>
    <t>P0001322</t>
  </si>
  <si>
    <t>P0001323</t>
  </si>
  <si>
    <t>P0001324</t>
  </si>
  <si>
    <t>P0001325</t>
  </si>
  <si>
    <t>P0001326</t>
  </si>
  <si>
    <t>P0001327</t>
  </si>
  <si>
    <t>P0001328</t>
  </si>
  <si>
    <t>P0001329</t>
  </si>
  <si>
    <t>P0001330</t>
  </si>
  <si>
    <t>P0001331</t>
  </si>
  <si>
    <t>P0001332</t>
  </si>
  <si>
    <t>P0001333</t>
  </si>
  <si>
    <t>P0001334</t>
  </si>
  <si>
    <t>P0001335</t>
  </si>
  <si>
    <t>P0001336</t>
  </si>
  <si>
    <t>P0001337</t>
  </si>
  <si>
    <t>P0001338</t>
  </si>
  <si>
    <t>P0001339</t>
  </si>
  <si>
    <t>P0001340</t>
  </si>
  <si>
    <t>P0001341</t>
  </si>
  <si>
    <t>P0001342</t>
  </si>
  <si>
    <t>P0001343</t>
  </si>
  <si>
    <t>P0001344</t>
  </si>
  <si>
    <t>P0001345</t>
  </si>
  <si>
    <t>P0001346</t>
  </si>
  <si>
    <t>P0001347</t>
  </si>
  <si>
    <t>P0001348</t>
  </si>
  <si>
    <t>P0001349</t>
  </si>
  <si>
    <t>P0001350</t>
  </si>
  <si>
    <t>P0001351</t>
  </si>
  <si>
    <t>P0001352</t>
  </si>
  <si>
    <t>P0001353</t>
  </si>
  <si>
    <t>P0001354</t>
  </si>
  <si>
    <t>P0001355</t>
  </si>
  <si>
    <t>P0001356</t>
  </si>
  <si>
    <t>P0001357</t>
  </si>
  <si>
    <t>P0001358</t>
  </si>
  <si>
    <t>P0001359</t>
  </si>
  <si>
    <t>P0001360</t>
  </si>
  <si>
    <t>P0001361</t>
  </si>
  <si>
    <t>P0001362</t>
  </si>
  <si>
    <t>P0001363</t>
  </si>
  <si>
    <t>P0001364</t>
  </si>
  <si>
    <t>P0001365</t>
  </si>
  <si>
    <t>P0001366</t>
  </si>
  <si>
    <t>P0001367</t>
  </si>
  <si>
    <t>P0001368</t>
  </si>
  <si>
    <t>P0001369</t>
  </si>
  <si>
    <t>P0001370</t>
  </si>
  <si>
    <t>P0001371</t>
  </si>
  <si>
    <t>P0001372</t>
  </si>
  <si>
    <t>P0001373</t>
  </si>
  <si>
    <t>P0001374</t>
  </si>
  <si>
    <t>P0001375</t>
  </si>
  <si>
    <t>P0001376</t>
  </si>
  <si>
    <t>P0001377</t>
  </si>
  <si>
    <t>P0001378</t>
  </si>
  <si>
    <t>P0001379</t>
  </si>
  <si>
    <t>P0001380</t>
  </si>
  <si>
    <t>P0001381</t>
  </si>
  <si>
    <t>P0001382</t>
  </si>
  <si>
    <t>P0001383</t>
  </si>
  <si>
    <t>P0001384</t>
  </si>
  <si>
    <t>P0001385</t>
  </si>
  <si>
    <t>P0001386</t>
  </si>
  <si>
    <t>P0001387</t>
  </si>
  <si>
    <t>P0001388</t>
  </si>
  <si>
    <t>P0001389</t>
  </si>
  <si>
    <t>P0001390</t>
  </si>
  <si>
    <t>P0001391</t>
  </si>
  <si>
    <t>P0001392</t>
  </si>
  <si>
    <t>P0001393</t>
  </si>
  <si>
    <t>P0001394</t>
  </si>
  <si>
    <t>P0001395</t>
  </si>
  <si>
    <t>P0001396</t>
  </si>
  <si>
    <t>P0001397</t>
  </si>
  <si>
    <t>P0001398</t>
  </si>
  <si>
    <t>P0001399</t>
  </si>
  <si>
    <t>P0001400</t>
  </si>
  <si>
    <t>P0001401</t>
  </si>
  <si>
    <t>P0001402</t>
  </si>
  <si>
    <t>P0001403</t>
  </si>
  <si>
    <t>P0001404</t>
  </si>
  <si>
    <t>P0001405</t>
  </si>
  <si>
    <t>P0001406</t>
  </si>
  <si>
    <t>P0001407</t>
  </si>
  <si>
    <t>P0001408</t>
  </si>
  <si>
    <t>P0001409</t>
  </si>
  <si>
    <t>P0001410</t>
  </si>
  <si>
    <t>P0001411</t>
  </si>
  <si>
    <t>P0001412</t>
  </si>
  <si>
    <t>P0001413</t>
  </si>
  <si>
    <t>P0001414</t>
  </si>
  <si>
    <t>P0001415</t>
  </si>
  <si>
    <t>P0001416</t>
  </si>
  <si>
    <t>P0001417</t>
  </si>
  <si>
    <t>P0001418</t>
  </si>
  <si>
    <t>P0001419</t>
  </si>
  <si>
    <t>P0001420</t>
  </si>
  <si>
    <t>P0001421</t>
  </si>
  <si>
    <t>P0001422</t>
  </si>
  <si>
    <t>P0001423</t>
  </si>
  <si>
    <t>P0001424</t>
  </si>
  <si>
    <t>P0001425</t>
  </si>
  <si>
    <t>P0001426</t>
  </si>
  <si>
    <t>P0001427</t>
  </si>
  <si>
    <t>P0001428</t>
  </si>
  <si>
    <t>P0001429</t>
  </si>
  <si>
    <t>P0001430</t>
  </si>
  <si>
    <t>P0001431</t>
  </si>
  <si>
    <t>P0001432</t>
  </si>
  <si>
    <t>P0001433</t>
  </si>
  <si>
    <t>P0001434</t>
  </si>
  <si>
    <t>P0001435</t>
  </si>
  <si>
    <t>P0001436</t>
  </si>
  <si>
    <t>P0001437</t>
  </si>
  <si>
    <t>P0001438</t>
  </si>
  <si>
    <t>P0001439</t>
  </si>
  <si>
    <t>P0001440</t>
  </si>
  <si>
    <t>P0001441</t>
  </si>
  <si>
    <t>P0001442</t>
  </si>
  <si>
    <t>P0001443</t>
  </si>
  <si>
    <t>P0001444</t>
  </si>
  <si>
    <t>P0001445</t>
  </si>
  <si>
    <t>P0001446</t>
  </si>
  <si>
    <t>P0001447</t>
  </si>
  <si>
    <t>P0001448</t>
  </si>
  <si>
    <t>P0001449</t>
  </si>
  <si>
    <t>P0001450</t>
  </si>
  <si>
    <t>P0001451</t>
  </si>
  <si>
    <t>P0001452</t>
  </si>
  <si>
    <t>P0001453</t>
  </si>
  <si>
    <t>P0001454</t>
  </si>
  <si>
    <t>P0001455</t>
  </si>
  <si>
    <t>P0001456</t>
  </si>
  <si>
    <t>P0001457</t>
  </si>
  <si>
    <t>P0001458</t>
  </si>
  <si>
    <t>P0001459</t>
  </si>
  <si>
    <t>P0001460</t>
  </si>
  <si>
    <t>P0001461</t>
  </si>
  <si>
    <t>P0001462</t>
  </si>
  <si>
    <t>P0001463</t>
  </si>
  <si>
    <t>P0001464</t>
  </si>
  <si>
    <t>P0001465</t>
  </si>
  <si>
    <t>P0001466</t>
  </si>
  <si>
    <t>P0001467</t>
  </si>
  <si>
    <t>P0001468</t>
  </si>
  <si>
    <t>P0001469</t>
  </si>
  <si>
    <t>P0001470</t>
  </si>
  <si>
    <t>P0001471</t>
  </si>
  <si>
    <t>P0001472</t>
  </si>
  <si>
    <t>P0001473</t>
  </si>
  <si>
    <t>P0001474</t>
  </si>
  <si>
    <t>P0001475</t>
  </si>
  <si>
    <t>P0001476</t>
  </si>
  <si>
    <t>P0001477</t>
  </si>
  <si>
    <t>P0001478</t>
  </si>
  <si>
    <t>P0001479</t>
  </si>
  <si>
    <t>P0001480</t>
  </si>
  <si>
    <t>P0001481</t>
  </si>
  <si>
    <t>P0001482</t>
  </si>
  <si>
    <t>P0001483</t>
  </si>
  <si>
    <t>P0001484</t>
  </si>
  <si>
    <t>P0001485</t>
  </si>
  <si>
    <t>P0001486</t>
  </si>
  <si>
    <t>P0001487</t>
  </si>
  <si>
    <t>P0001488</t>
  </si>
  <si>
    <t>P0001489</t>
  </si>
  <si>
    <t>P0001490</t>
  </si>
  <si>
    <t>P0001491</t>
  </si>
  <si>
    <t>P0001492</t>
  </si>
  <si>
    <t>P0001493</t>
  </si>
  <si>
    <t>P0001494</t>
  </si>
  <si>
    <t>P0001495</t>
  </si>
  <si>
    <t>P0001496</t>
  </si>
  <si>
    <t>P0001497</t>
  </si>
  <si>
    <t>P0001498</t>
  </si>
  <si>
    <t>P0001499</t>
  </si>
  <si>
    <t>P0001500</t>
  </si>
  <si>
    <t>P0001501</t>
  </si>
  <si>
    <t>P0001502</t>
  </si>
  <si>
    <t>P0001503</t>
  </si>
  <si>
    <t>P0001504</t>
  </si>
  <si>
    <t>P0001505</t>
  </si>
  <si>
    <t>P0001506</t>
  </si>
  <si>
    <t>P0001507</t>
  </si>
  <si>
    <t>P0001508</t>
  </si>
  <si>
    <t>P0001509</t>
  </si>
  <si>
    <t>P0001510</t>
  </si>
  <si>
    <t>P0001511</t>
  </si>
  <si>
    <t>P0001512</t>
  </si>
  <si>
    <t>P0001513</t>
  </si>
  <si>
    <t>P0001514</t>
  </si>
  <si>
    <t>P0001515</t>
  </si>
  <si>
    <t>P0001516</t>
  </si>
  <si>
    <t>P0001517</t>
  </si>
  <si>
    <t>P0001518</t>
  </si>
  <si>
    <t>P0001519</t>
  </si>
  <si>
    <t>P0001520</t>
  </si>
  <si>
    <t>P0001521</t>
  </si>
  <si>
    <t>P0001522</t>
  </si>
  <si>
    <t>P0001523</t>
  </si>
  <si>
    <t>P0001524</t>
  </si>
  <si>
    <t>P0001525</t>
  </si>
  <si>
    <t>P0001526</t>
  </si>
  <si>
    <t>P0001527</t>
  </si>
  <si>
    <t>P0001528</t>
  </si>
  <si>
    <t>P0001529</t>
  </si>
  <si>
    <t>P0001530</t>
  </si>
  <si>
    <t>P0001531</t>
  </si>
  <si>
    <t>P0001532</t>
  </si>
  <si>
    <t>P0001533</t>
  </si>
  <si>
    <t>P0001534</t>
  </si>
  <si>
    <t>P0001535</t>
  </si>
  <si>
    <t>P0001536</t>
  </si>
  <si>
    <t>P0001537</t>
  </si>
  <si>
    <t>P0001538</t>
  </si>
  <si>
    <t>P0001539</t>
  </si>
  <si>
    <t>P0001540</t>
  </si>
  <si>
    <t>P0001541</t>
  </si>
  <si>
    <t>P0001542</t>
  </si>
  <si>
    <t>P0001543</t>
  </si>
  <si>
    <t>P0001544</t>
  </si>
  <si>
    <t>P0001545</t>
  </si>
  <si>
    <t>P0001546</t>
  </si>
  <si>
    <t>P0001547</t>
  </si>
  <si>
    <t>P0001548</t>
  </si>
  <si>
    <t>P0001549</t>
  </si>
  <si>
    <t>P0001550</t>
  </si>
  <si>
    <t>P0001551</t>
  </si>
  <si>
    <t>P0001552</t>
  </si>
  <si>
    <t>P0001553</t>
  </si>
  <si>
    <t>P0001554</t>
  </si>
  <si>
    <t>P0001555</t>
  </si>
  <si>
    <t>P0001556</t>
  </si>
  <si>
    <t>P0001557</t>
  </si>
  <si>
    <t>P0001558</t>
  </si>
  <si>
    <t>P0001559</t>
  </si>
  <si>
    <t>P0001560</t>
  </si>
  <si>
    <t>P0001561</t>
  </si>
  <si>
    <t>P0001562</t>
  </si>
  <si>
    <t>P0001563</t>
  </si>
  <si>
    <t>P0001564</t>
  </si>
  <si>
    <t>P0001565</t>
  </si>
  <si>
    <t>P0001566</t>
  </si>
  <si>
    <t>P0001567</t>
  </si>
  <si>
    <t>P0001568</t>
  </si>
  <si>
    <t>P0001569</t>
  </si>
  <si>
    <t>P0001570</t>
  </si>
  <si>
    <t>P0001571</t>
  </si>
  <si>
    <t>P0001572</t>
  </si>
  <si>
    <t>P0001573</t>
  </si>
  <si>
    <t>P0001574</t>
  </si>
  <si>
    <t>P0001575</t>
  </si>
  <si>
    <t>P0001576</t>
  </si>
  <si>
    <t>P0001577</t>
  </si>
  <si>
    <t>P0001578</t>
  </si>
  <si>
    <t>P0001579</t>
  </si>
  <si>
    <t>P0001580</t>
  </si>
  <si>
    <t>P0001581</t>
  </si>
  <si>
    <t>P0001582</t>
  </si>
  <si>
    <t>P0001583</t>
  </si>
  <si>
    <t>P0001584</t>
  </si>
  <si>
    <t>P0001585</t>
  </si>
  <si>
    <t>P0001586</t>
  </si>
  <si>
    <t>P0001587</t>
  </si>
  <si>
    <t>P0001588</t>
  </si>
  <si>
    <t>P0001589</t>
  </si>
  <si>
    <t>P0001590</t>
  </si>
  <si>
    <t>P0001591</t>
  </si>
  <si>
    <t>P0001592</t>
  </si>
  <si>
    <t>P0001593</t>
  </si>
  <si>
    <t>P0001594</t>
  </si>
  <si>
    <t>P0001595</t>
  </si>
  <si>
    <t>P0001596</t>
  </si>
  <si>
    <t>P0001597</t>
  </si>
  <si>
    <t>P0001598</t>
  </si>
  <si>
    <t>P0001599</t>
  </si>
  <si>
    <t>P0001600</t>
  </si>
  <si>
    <t>P0001601</t>
  </si>
  <si>
    <t>P0001602</t>
  </si>
  <si>
    <t>P0001603</t>
  </si>
  <si>
    <t>P0001604</t>
  </si>
  <si>
    <t>P0001605</t>
  </si>
  <si>
    <t>P0001606</t>
  </si>
  <si>
    <t>P0001607</t>
  </si>
  <si>
    <t>P0001608</t>
  </si>
  <si>
    <t>P0001609</t>
  </si>
  <si>
    <t>P0001610</t>
  </si>
  <si>
    <t>P0001611</t>
  </si>
  <si>
    <t>P0001612</t>
  </si>
  <si>
    <t>P0001613</t>
  </si>
  <si>
    <t>P0001614</t>
  </si>
  <si>
    <t>P0001615</t>
  </si>
  <si>
    <t>P0001616</t>
  </si>
  <si>
    <t>P0001617</t>
  </si>
  <si>
    <t>P0001618</t>
  </si>
  <si>
    <t>P0001619</t>
  </si>
  <si>
    <t>P0001620</t>
  </si>
  <si>
    <t>P0001621</t>
  </si>
  <si>
    <t>P0001622</t>
  </si>
  <si>
    <t>P0001623</t>
  </si>
  <si>
    <t>P0001624</t>
  </si>
  <si>
    <t>P0001625</t>
  </si>
  <si>
    <t>P0001626</t>
  </si>
  <si>
    <t>P0001627</t>
  </si>
  <si>
    <t>P0001628</t>
  </si>
  <si>
    <t>P0001629</t>
  </si>
  <si>
    <t>P0001630</t>
  </si>
  <si>
    <t>P0001631</t>
  </si>
  <si>
    <t>P0001632</t>
  </si>
  <si>
    <t>P0001633</t>
  </si>
  <si>
    <t>P0001634</t>
  </si>
  <si>
    <t>P0001635</t>
  </si>
  <si>
    <t>P0001636</t>
  </si>
  <si>
    <t>P0001637</t>
  </si>
  <si>
    <t>P0001638</t>
  </si>
  <si>
    <t>P0001639</t>
  </si>
  <si>
    <t>P0001640</t>
  </si>
  <si>
    <t>P0001641</t>
  </si>
  <si>
    <t>P0001642</t>
  </si>
  <si>
    <t>P0001643</t>
  </si>
  <si>
    <t>P0001644</t>
  </si>
  <si>
    <t>P0001645</t>
  </si>
  <si>
    <t>P0001646</t>
  </si>
  <si>
    <t>P0001647</t>
  </si>
  <si>
    <t>P0001648</t>
  </si>
  <si>
    <t>P0001649</t>
  </si>
  <si>
    <t>P0001650</t>
  </si>
  <si>
    <t>P0001651</t>
  </si>
  <si>
    <t>P0001652</t>
  </si>
  <si>
    <t>P0001653</t>
  </si>
  <si>
    <t>P0001654</t>
  </si>
  <si>
    <t>P0001655</t>
  </si>
  <si>
    <t>P0001656</t>
  </si>
  <si>
    <t>P0001657</t>
  </si>
  <si>
    <t>P0001658</t>
  </si>
  <si>
    <t>P0001659</t>
  </si>
  <si>
    <t>P0001660</t>
  </si>
  <si>
    <t>P0001661</t>
  </si>
  <si>
    <t>P0001662</t>
  </si>
  <si>
    <t>P0001663</t>
  </si>
  <si>
    <t>P0001664</t>
  </si>
  <si>
    <t>P0001665</t>
  </si>
  <si>
    <t>P0001666</t>
  </si>
  <si>
    <t>P0001667</t>
  </si>
  <si>
    <t>P0001668</t>
  </si>
  <si>
    <t>P0001669</t>
  </si>
  <si>
    <t>P0001670</t>
  </si>
  <si>
    <t>P0001671</t>
  </si>
  <si>
    <t>P0001672</t>
  </si>
  <si>
    <t>P0001673</t>
  </si>
  <si>
    <t>P0001674</t>
  </si>
  <si>
    <t>P0001675</t>
  </si>
  <si>
    <t>P0001676</t>
  </si>
  <si>
    <t>P0001677</t>
  </si>
  <si>
    <t>P0001678</t>
  </si>
  <si>
    <t>P0001679</t>
  </si>
  <si>
    <t>P0001680</t>
  </si>
  <si>
    <t>P0001681</t>
  </si>
  <si>
    <t>P0001682</t>
  </si>
  <si>
    <t>P0001683</t>
  </si>
  <si>
    <t>P0001684</t>
  </si>
  <si>
    <t>P0001685</t>
  </si>
  <si>
    <t>P0001686</t>
  </si>
  <si>
    <t>P0001687</t>
  </si>
  <si>
    <t>P0001688</t>
  </si>
  <si>
    <t>P0001689</t>
  </si>
  <si>
    <t>P0001690</t>
  </si>
  <si>
    <t>P0001691</t>
  </si>
  <si>
    <t>P0001692</t>
  </si>
  <si>
    <t>P0001693</t>
  </si>
  <si>
    <t>P0001694</t>
  </si>
  <si>
    <t>P0001695</t>
  </si>
  <si>
    <t>P0001696</t>
  </si>
  <si>
    <t>P0001697</t>
  </si>
  <si>
    <t>P0001698</t>
  </si>
  <si>
    <t>P0001699</t>
  </si>
  <si>
    <t>P0001700</t>
  </si>
  <si>
    <t>P0001701</t>
  </si>
  <si>
    <t>P0001702</t>
  </si>
  <si>
    <t>P0001703</t>
  </si>
  <si>
    <t>P0001704</t>
  </si>
  <si>
    <t>P0001705</t>
  </si>
  <si>
    <t>P0001706</t>
  </si>
  <si>
    <t>P0001707</t>
  </si>
  <si>
    <t>P0001708</t>
  </si>
  <si>
    <t>P0001709</t>
  </si>
  <si>
    <t>P0001710</t>
  </si>
  <si>
    <t>P0001711</t>
  </si>
  <si>
    <t>P0001712</t>
  </si>
  <si>
    <t>P0001713</t>
  </si>
  <si>
    <t>P0001714</t>
  </si>
  <si>
    <t>P0001715</t>
  </si>
  <si>
    <t>P0001716</t>
  </si>
  <si>
    <t>P0001717</t>
  </si>
  <si>
    <t>P0001718</t>
  </si>
  <si>
    <t>P0001719</t>
  </si>
  <si>
    <t>P0001720</t>
  </si>
  <si>
    <t>P0001721</t>
  </si>
  <si>
    <t>P0001722</t>
  </si>
  <si>
    <t>P0001723</t>
  </si>
  <si>
    <t>P0001724</t>
  </si>
  <si>
    <t>P0001725</t>
  </si>
  <si>
    <t>P0001726</t>
  </si>
  <si>
    <t>P0001727</t>
  </si>
  <si>
    <t>P0001728</t>
  </si>
  <si>
    <t>P0001729</t>
  </si>
  <si>
    <t>P0001730</t>
  </si>
  <si>
    <t>P0001731</t>
  </si>
  <si>
    <t>P0001732</t>
  </si>
  <si>
    <t>P0001733</t>
  </si>
  <si>
    <t>P0001734</t>
  </si>
  <si>
    <t>P0001735</t>
  </si>
  <si>
    <t>P0001736</t>
  </si>
  <si>
    <t>P0001737</t>
  </si>
  <si>
    <t>P0001738</t>
  </si>
  <si>
    <t>P0001739</t>
  </si>
  <si>
    <t>P0001740</t>
  </si>
  <si>
    <t>P0001741</t>
  </si>
  <si>
    <t>P0001742</t>
  </si>
  <si>
    <t>P0001743</t>
  </si>
  <si>
    <t>P0001744</t>
  </si>
  <si>
    <t>P0001745</t>
  </si>
  <si>
    <t>P0001746</t>
  </si>
  <si>
    <t>P0001747</t>
  </si>
  <si>
    <t>P0001748</t>
  </si>
  <si>
    <t>P0001749</t>
  </si>
  <si>
    <t>P0001750</t>
  </si>
  <si>
    <t>P0001751</t>
  </si>
  <si>
    <t>P0001752</t>
  </si>
  <si>
    <t>P0001753</t>
  </si>
  <si>
    <t>P0001754</t>
  </si>
  <si>
    <t>P0001755</t>
  </si>
  <si>
    <t>P0001756</t>
  </si>
  <si>
    <t>P0001757</t>
  </si>
  <si>
    <t>P0001758</t>
  </si>
  <si>
    <t>P0001759</t>
  </si>
  <si>
    <t>P0001760</t>
  </si>
  <si>
    <t>P0001761</t>
  </si>
  <si>
    <t>P0001762</t>
  </si>
  <si>
    <t>P0001763</t>
  </si>
  <si>
    <t>P0001764</t>
  </si>
  <si>
    <t>P0001765</t>
  </si>
  <si>
    <t>P0001766</t>
  </si>
  <si>
    <t>P0001767</t>
  </si>
  <si>
    <t>P0001768</t>
  </si>
  <si>
    <t>P0001769</t>
  </si>
  <si>
    <t>P0001770</t>
  </si>
  <si>
    <t>P0001771</t>
  </si>
  <si>
    <t>P0001772</t>
  </si>
  <si>
    <t>P0001773</t>
  </si>
  <si>
    <t>P0001774</t>
  </si>
  <si>
    <t>P0001775</t>
  </si>
  <si>
    <t>P0001776</t>
  </si>
  <si>
    <t>P0001777</t>
  </si>
  <si>
    <t>P0001778</t>
  </si>
  <si>
    <t>P0001779</t>
  </si>
  <si>
    <t>P0001780</t>
  </si>
  <si>
    <t>P0001781</t>
  </si>
  <si>
    <t>P0001782</t>
  </si>
  <si>
    <t>P0001783</t>
  </si>
  <si>
    <t>P0001784</t>
  </si>
  <si>
    <t>P0001785</t>
  </si>
  <si>
    <t>P0001786</t>
  </si>
  <si>
    <t>P0001787</t>
  </si>
  <si>
    <t>P0001788</t>
  </si>
  <si>
    <t>P0001789</t>
  </si>
  <si>
    <t>P0001790</t>
  </si>
  <si>
    <t>P0001791</t>
  </si>
  <si>
    <t>P0001792</t>
  </si>
  <si>
    <t>P0001793</t>
  </si>
  <si>
    <t>P0001794</t>
  </si>
  <si>
    <t>P0001795</t>
  </si>
  <si>
    <t>P0001796</t>
  </si>
  <si>
    <t>P0001797</t>
  </si>
  <si>
    <t>P0001798</t>
  </si>
  <si>
    <t>P0001799</t>
  </si>
  <si>
    <t>P0001800</t>
  </si>
  <si>
    <t>P0001801</t>
  </si>
  <si>
    <t>P0001802</t>
  </si>
  <si>
    <t>P0001803</t>
  </si>
  <si>
    <t>P0001804</t>
  </si>
  <si>
    <t>P0001805</t>
  </si>
  <si>
    <t>P0001806</t>
  </si>
  <si>
    <t>P0001807</t>
  </si>
  <si>
    <t>P0001808</t>
  </si>
  <si>
    <t>P0001809</t>
  </si>
  <si>
    <t>P0001810</t>
  </si>
  <si>
    <t>P0001811</t>
  </si>
  <si>
    <t>P0001812</t>
  </si>
  <si>
    <t>P0001813</t>
  </si>
  <si>
    <t>P0001814</t>
  </si>
  <si>
    <t>P0001815</t>
  </si>
  <si>
    <t>P0001816</t>
  </si>
  <si>
    <t>P0001817</t>
  </si>
  <si>
    <t>P0001818</t>
  </si>
  <si>
    <t>P0001819</t>
  </si>
  <si>
    <t>P0001820</t>
  </si>
  <si>
    <t>P0001821</t>
  </si>
  <si>
    <t>P0001822</t>
  </si>
  <si>
    <t>P0001823</t>
  </si>
  <si>
    <t>P0001824</t>
  </si>
  <si>
    <t>P0001825</t>
  </si>
  <si>
    <t>P0001826</t>
  </si>
  <si>
    <t>P0001827</t>
  </si>
  <si>
    <t>P0001828</t>
  </si>
  <si>
    <t>P0001829</t>
  </si>
  <si>
    <t>P0001830</t>
  </si>
  <si>
    <t>P0001831</t>
  </si>
  <si>
    <t>P0001832</t>
  </si>
  <si>
    <t>P0001833</t>
  </si>
  <si>
    <t>P0001834</t>
  </si>
  <si>
    <t>P0001835</t>
  </si>
  <si>
    <t>P0001836</t>
  </si>
  <si>
    <t>P0001837</t>
  </si>
  <si>
    <t>P0001838</t>
  </si>
  <si>
    <t>P0001839</t>
  </si>
  <si>
    <t>P0001840</t>
  </si>
  <si>
    <t>P0001841</t>
  </si>
  <si>
    <t>P0001842</t>
  </si>
  <si>
    <t>P0001843</t>
  </si>
  <si>
    <t>P0001844</t>
  </si>
  <si>
    <t>P0001845</t>
  </si>
  <si>
    <t>P0001846</t>
  </si>
  <si>
    <t>P0001847</t>
  </si>
  <si>
    <t>P0001848</t>
  </si>
  <si>
    <t>P0001849</t>
  </si>
  <si>
    <t>P0001850</t>
  </si>
  <si>
    <t>P0001851</t>
  </si>
  <si>
    <t>P0001852</t>
  </si>
  <si>
    <t>P0001853</t>
  </si>
  <si>
    <t>P0001854</t>
  </si>
  <si>
    <t>P0001855</t>
  </si>
  <si>
    <t>P0001856</t>
  </si>
  <si>
    <t>P0001857</t>
  </si>
  <si>
    <t>P0001858</t>
  </si>
  <si>
    <t>P0001859</t>
  </si>
  <si>
    <t>P0001860</t>
  </si>
  <si>
    <t>P0001861</t>
  </si>
  <si>
    <t>P0001862</t>
  </si>
  <si>
    <t>P0001863</t>
  </si>
  <si>
    <t>P0001864</t>
  </si>
  <si>
    <t>P0001865</t>
  </si>
  <si>
    <t>P0001866</t>
  </si>
  <si>
    <t>P0001867</t>
  </si>
  <si>
    <t>P0001868</t>
  </si>
  <si>
    <t>P0001869</t>
  </si>
  <si>
    <t>P0001870</t>
  </si>
  <si>
    <t>P0001871</t>
  </si>
  <si>
    <t>P0001872</t>
  </si>
  <si>
    <t>P0001873</t>
  </si>
  <si>
    <t>P0001874</t>
  </si>
  <si>
    <t>P0001875</t>
  </si>
  <si>
    <t>P0001876</t>
  </si>
  <si>
    <t>P0001877</t>
  </si>
  <si>
    <t>P0001878</t>
  </si>
  <si>
    <t>P0001879</t>
  </si>
  <si>
    <t>P0001880</t>
  </si>
  <si>
    <t>P0001881</t>
  </si>
  <si>
    <t>P0001882</t>
  </si>
  <si>
    <t>P0001883</t>
  </si>
  <si>
    <t>P0001884</t>
  </si>
  <si>
    <t>P0001885</t>
  </si>
  <si>
    <t>P0001886</t>
  </si>
  <si>
    <t>P0001887</t>
  </si>
  <si>
    <t>P0001888</t>
  </si>
  <si>
    <t>P0001889</t>
  </si>
  <si>
    <t>P0001890</t>
  </si>
  <si>
    <t>P0001891</t>
  </si>
  <si>
    <t>P0001892</t>
  </si>
  <si>
    <t>P0001893</t>
  </si>
  <si>
    <t>P0001894</t>
  </si>
  <si>
    <t>P0001895</t>
  </si>
  <si>
    <t>P0001896</t>
  </si>
  <si>
    <t>P0001897</t>
  </si>
  <si>
    <t>P0001898</t>
  </si>
  <si>
    <t>P0001899</t>
  </si>
  <si>
    <t>P0001900</t>
  </si>
  <si>
    <t>P0001901</t>
  </si>
  <si>
    <t>P0001902</t>
  </si>
  <si>
    <t>P0001903</t>
  </si>
  <si>
    <t>P0001904</t>
  </si>
  <si>
    <t>P0001905</t>
  </si>
  <si>
    <t>P0001906</t>
  </si>
  <si>
    <t>P0001907</t>
  </si>
  <si>
    <t>P0001908</t>
  </si>
  <si>
    <t>P0001909</t>
  </si>
  <si>
    <t>P0001910</t>
  </si>
  <si>
    <t>P0001911</t>
  </si>
  <si>
    <t>P0001912</t>
  </si>
  <si>
    <t>P0001913</t>
  </si>
  <si>
    <t>P0001914</t>
  </si>
  <si>
    <t>P0001915</t>
  </si>
  <si>
    <t>P0001916</t>
  </si>
  <si>
    <t>P0001917</t>
  </si>
  <si>
    <t>P0001918</t>
  </si>
  <si>
    <t>P0001919</t>
  </si>
  <si>
    <t>P0001920</t>
  </si>
  <si>
    <t>P0001921</t>
  </si>
  <si>
    <t>P0001922</t>
  </si>
  <si>
    <t>P0001923</t>
  </si>
  <si>
    <t>P0001924</t>
  </si>
  <si>
    <t>P0001925</t>
  </si>
  <si>
    <t>P0001926</t>
  </si>
  <si>
    <t>P0001927</t>
  </si>
  <si>
    <t>P0001928</t>
  </si>
  <si>
    <t>P0001929</t>
  </si>
  <si>
    <t>P0001930</t>
  </si>
  <si>
    <t>P0001931</t>
  </si>
  <si>
    <t>P0001932</t>
  </si>
  <si>
    <t>P0001933</t>
  </si>
  <si>
    <t>P0001934</t>
  </si>
  <si>
    <t>P0001935</t>
  </si>
  <si>
    <t>P0001936</t>
  </si>
  <si>
    <t>P0001937</t>
  </si>
  <si>
    <t>P0001938</t>
  </si>
  <si>
    <t>P0001939</t>
  </si>
  <si>
    <t>P0001940</t>
  </si>
  <si>
    <t>P0001941</t>
  </si>
  <si>
    <t>P0001942</t>
  </si>
  <si>
    <t>P0001943</t>
  </si>
  <si>
    <t>P0001944</t>
  </si>
  <si>
    <t>P0001945</t>
  </si>
  <si>
    <t>P0001946</t>
  </si>
  <si>
    <t>P0001947</t>
  </si>
  <si>
    <t>P0001948</t>
  </si>
  <si>
    <t>P0001949</t>
  </si>
  <si>
    <t>P0001950</t>
  </si>
  <si>
    <t>P0001951</t>
  </si>
  <si>
    <t>P0001952</t>
  </si>
  <si>
    <t>P0001953</t>
  </si>
  <si>
    <t>P0001954</t>
  </si>
  <si>
    <t>P0001955</t>
  </si>
  <si>
    <t>P0001956</t>
  </si>
  <si>
    <t>P0001957</t>
  </si>
  <si>
    <t>P0001958</t>
  </si>
  <si>
    <t>P0001959</t>
  </si>
  <si>
    <t>P0001960</t>
  </si>
  <si>
    <t>P0001961</t>
  </si>
  <si>
    <t>P0001962</t>
  </si>
  <si>
    <t>P0001963</t>
  </si>
  <si>
    <t>P0001964</t>
  </si>
  <si>
    <t>P0001965</t>
  </si>
  <si>
    <t>P0001966</t>
  </si>
  <si>
    <t>P0001967</t>
  </si>
  <si>
    <t>P0001968</t>
  </si>
  <si>
    <t>P0001969</t>
  </si>
  <si>
    <t>P0001970</t>
  </si>
  <si>
    <t>P0001971</t>
  </si>
  <si>
    <t>P0001972</t>
  </si>
  <si>
    <t>P0001973</t>
  </si>
  <si>
    <t>P0001974</t>
  </si>
  <si>
    <t>P0001975</t>
  </si>
  <si>
    <t>P0001976</t>
  </si>
  <si>
    <t>P0001977</t>
  </si>
  <si>
    <t>P0001978</t>
  </si>
  <si>
    <t>P0001979</t>
  </si>
  <si>
    <t>P0001980</t>
  </si>
  <si>
    <t>P0001981</t>
  </si>
  <si>
    <t>P0001982</t>
  </si>
  <si>
    <t>P0001983</t>
  </si>
  <si>
    <t>P0001984</t>
  </si>
  <si>
    <t>P0001985</t>
  </si>
  <si>
    <t>P0001986</t>
  </si>
  <si>
    <t>P0001987</t>
  </si>
  <si>
    <t>P0001988</t>
  </si>
  <si>
    <t>P0001989</t>
  </si>
  <si>
    <t>P0001990</t>
  </si>
  <si>
    <t>P0001991</t>
  </si>
  <si>
    <t>P0001992</t>
  </si>
  <si>
    <t>P0001993</t>
  </si>
  <si>
    <t>P0001994</t>
  </si>
  <si>
    <t>P0001995</t>
  </si>
  <si>
    <t>P0001996</t>
  </si>
  <si>
    <t>P0001997</t>
  </si>
  <si>
    <t>P0001998</t>
  </si>
  <si>
    <t>P0001999</t>
  </si>
  <si>
    <t>P0002000</t>
  </si>
  <si>
    <t>P0002001</t>
  </si>
  <si>
    <t>P0002002</t>
  </si>
  <si>
    <t>P0002003</t>
  </si>
  <si>
    <t>P0002004</t>
  </si>
  <si>
    <t>P0002005</t>
  </si>
  <si>
    <t>P0002006</t>
  </si>
  <si>
    <t>P0002007</t>
  </si>
  <si>
    <t>P0002008</t>
  </si>
  <si>
    <t>P0002009</t>
  </si>
  <si>
    <t>P0002010</t>
  </si>
  <si>
    <t>P0002011</t>
  </si>
  <si>
    <t>P0002012</t>
  </si>
  <si>
    <t>P0002013</t>
  </si>
  <si>
    <t>P0002014</t>
  </si>
  <si>
    <t>P0002015</t>
  </si>
  <si>
    <t>P0002016</t>
  </si>
  <si>
    <t>P0002017</t>
  </si>
  <si>
    <t>P0002018</t>
  </si>
  <si>
    <t>P0002019</t>
  </si>
  <si>
    <t>P0002020</t>
  </si>
  <si>
    <t>P0002021</t>
  </si>
  <si>
    <t>P0002022</t>
  </si>
  <si>
    <t>P0002023</t>
  </si>
  <si>
    <t>P0002024</t>
  </si>
  <si>
    <t>P0002025</t>
  </si>
  <si>
    <t>P0002026</t>
  </si>
  <si>
    <t>P0002027</t>
  </si>
  <si>
    <t>P0002028</t>
  </si>
  <si>
    <t>P0002029</t>
  </si>
  <si>
    <t>P0002030</t>
  </si>
  <si>
    <t>P0002031</t>
  </si>
  <si>
    <t>P0002032</t>
  </si>
  <si>
    <t>P0002033</t>
  </si>
  <si>
    <t>P0002034</t>
  </si>
  <si>
    <t>P0002035</t>
  </si>
  <si>
    <t>P0002036</t>
  </si>
  <si>
    <t>P0002037</t>
  </si>
  <si>
    <t>P0002038</t>
  </si>
  <si>
    <t>P0002039</t>
  </si>
  <si>
    <t>P0002040</t>
  </si>
  <si>
    <t>P0002041</t>
  </si>
  <si>
    <t>P0002042</t>
  </si>
  <si>
    <t>P0002043</t>
  </si>
  <si>
    <t>P0002044</t>
  </si>
  <si>
    <t>P0002045</t>
  </si>
  <si>
    <t>P0002046</t>
  </si>
  <si>
    <t>P0002047</t>
  </si>
  <si>
    <t>P0002048</t>
  </si>
  <si>
    <t>P0002049</t>
  </si>
  <si>
    <t>P0002050</t>
  </si>
  <si>
    <t>P0002051</t>
  </si>
  <si>
    <t>P0002052</t>
  </si>
  <si>
    <t>P0002053</t>
  </si>
  <si>
    <t>P0002054</t>
  </si>
  <si>
    <t>P0002055</t>
  </si>
  <si>
    <t>P0002056</t>
  </si>
  <si>
    <t>P0002057</t>
  </si>
  <si>
    <t>P0002058</t>
  </si>
  <si>
    <t>P0002059</t>
  </si>
  <si>
    <t>P0002060</t>
  </si>
  <si>
    <t>P0002061</t>
  </si>
  <si>
    <t>P0002062</t>
  </si>
  <si>
    <t>P0002063</t>
  </si>
  <si>
    <t>P0002064</t>
  </si>
  <si>
    <t>P0002065</t>
  </si>
  <si>
    <t>P0002066</t>
  </si>
  <si>
    <t>P0002067</t>
  </si>
  <si>
    <t>P0002068</t>
  </si>
  <si>
    <t>P0002069</t>
  </si>
  <si>
    <t>P0002070</t>
  </si>
  <si>
    <t>P0002071</t>
  </si>
  <si>
    <t>P0002072</t>
  </si>
  <si>
    <t>P0002073</t>
  </si>
  <si>
    <t>P0002074</t>
  </si>
  <si>
    <t>P0002075</t>
  </si>
  <si>
    <t>P0002076</t>
  </si>
  <si>
    <t>P0002077</t>
  </si>
  <si>
    <t>P0002078</t>
  </si>
  <si>
    <t>P0002079</t>
  </si>
  <si>
    <t>P0002080</t>
  </si>
  <si>
    <t>P0002081</t>
  </si>
  <si>
    <t>P0002082</t>
  </si>
  <si>
    <t>P0002083</t>
  </si>
  <si>
    <t>P0002084</t>
  </si>
  <si>
    <t>P0002085</t>
  </si>
  <si>
    <t>P0002086</t>
  </si>
  <si>
    <t>P0002087</t>
  </si>
  <si>
    <t>P0002088</t>
  </si>
  <si>
    <t>P0002089</t>
  </si>
  <si>
    <t>P0002090</t>
  </si>
  <si>
    <t>P0002091</t>
  </si>
  <si>
    <t>P0002092</t>
  </si>
  <si>
    <t>P0002093</t>
  </si>
  <si>
    <t>P0002094</t>
  </si>
  <si>
    <t>P0002095</t>
  </si>
  <si>
    <t>P0002096</t>
  </si>
  <si>
    <t>P0002097</t>
  </si>
  <si>
    <t>P0002098</t>
  </si>
  <si>
    <t>P0002099</t>
  </si>
  <si>
    <t>P0002100</t>
  </si>
  <si>
    <t>P0002101</t>
  </si>
  <si>
    <t>P0002102</t>
  </si>
  <si>
    <t>P0002103</t>
  </si>
  <si>
    <t>P0002104</t>
  </si>
  <si>
    <t>P0002105</t>
  </si>
  <si>
    <t>P0002106</t>
  </si>
  <si>
    <t>P0002107</t>
  </si>
  <si>
    <t>P0002108</t>
  </si>
  <si>
    <t>P0002109</t>
  </si>
  <si>
    <t>P0002110</t>
  </si>
  <si>
    <t>P0002111</t>
  </si>
  <si>
    <t>P0002112</t>
  </si>
  <si>
    <t>P0002113</t>
  </si>
  <si>
    <t>P0002114</t>
  </si>
  <si>
    <t>P0002115</t>
  </si>
  <si>
    <t>P0002116</t>
  </si>
  <si>
    <t>P0002117</t>
  </si>
  <si>
    <t>P0002118</t>
  </si>
  <si>
    <t>P0002119</t>
  </si>
  <si>
    <t>P0002120</t>
  </si>
  <si>
    <t>P0002121</t>
  </si>
  <si>
    <t>P0002122</t>
  </si>
  <si>
    <t>P0002123</t>
  </si>
  <si>
    <t>P0002124</t>
  </si>
  <si>
    <t>P0002125</t>
  </si>
  <si>
    <t>P0002126</t>
  </si>
  <si>
    <t>P0002127</t>
  </si>
  <si>
    <t>P0002128</t>
  </si>
  <si>
    <t>P0002129</t>
  </si>
  <si>
    <t>P0002130</t>
  </si>
  <si>
    <t>P0002131</t>
  </si>
  <si>
    <t>P0002132</t>
  </si>
  <si>
    <t>P0002133</t>
  </si>
  <si>
    <t>P0002134</t>
  </si>
  <si>
    <t>P0002135</t>
  </si>
  <si>
    <t>P0002136</t>
  </si>
  <si>
    <t>P0002137</t>
  </si>
  <si>
    <t>P0002138</t>
  </si>
  <si>
    <t>P0002139</t>
  </si>
  <si>
    <t>P0002140</t>
  </si>
  <si>
    <t>P0002141</t>
  </si>
  <si>
    <t>P0002142</t>
  </si>
  <si>
    <t>P0002143</t>
  </si>
  <si>
    <t>P0002144</t>
  </si>
  <si>
    <t>P0002145</t>
  </si>
  <si>
    <t>P0002146</t>
  </si>
  <si>
    <t>P0002147</t>
  </si>
  <si>
    <t>P0002148</t>
  </si>
  <si>
    <t>P0002149</t>
  </si>
  <si>
    <t>P0002150</t>
  </si>
  <si>
    <t>P0002151</t>
  </si>
  <si>
    <t>P0002152</t>
  </si>
  <si>
    <t>P0002153</t>
  </si>
  <si>
    <t>P0002154</t>
  </si>
  <si>
    <t>P0002155</t>
  </si>
  <si>
    <t>P0002156</t>
  </si>
  <si>
    <t>P0002157</t>
  </si>
  <si>
    <t>P0002158</t>
  </si>
  <si>
    <t>P0002159</t>
  </si>
  <si>
    <t>P0002160</t>
  </si>
  <si>
    <t>P0002161</t>
  </si>
  <si>
    <t>P0002162</t>
  </si>
  <si>
    <t>P0002163</t>
  </si>
  <si>
    <t>P0002164</t>
  </si>
  <si>
    <t>P0002165</t>
  </si>
  <si>
    <t>P0002166</t>
  </si>
  <si>
    <t>P0002167</t>
  </si>
  <si>
    <t>P0002168</t>
  </si>
  <si>
    <t>P0002169</t>
  </si>
  <si>
    <t>P0002170</t>
  </si>
  <si>
    <t>P0002171</t>
  </si>
  <si>
    <t>P0002172</t>
  </si>
  <si>
    <t>P0002173</t>
  </si>
  <si>
    <t>P0002174</t>
  </si>
  <si>
    <t>P0002175</t>
  </si>
  <si>
    <t>P0002176</t>
  </si>
  <si>
    <t>P0002177</t>
  </si>
  <si>
    <t>P0002178</t>
  </si>
  <si>
    <t>P0002179</t>
  </si>
  <si>
    <t>P0002180</t>
  </si>
  <si>
    <t>P0002181</t>
  </si>
  <si>
    <t>P0002182</t>
  </si>
  <si>
    <t>P0002183</t>
  </si>
  <si>
    <t>P0002184</t>
  </si>
  <si>
    <t>P0002185</t>
  </si>
  <si>
    <t>P0002186</t>
  </si>
  <si>
    <t>P0002187</t>
  </si>
  <si>
    <t>P0002188</t>
  </si>
  <si>
    <t>P0002189</t>
  </si>
  <si>
    <t>P0002190</t>
  </si>
  <si>
    <t>P0002191</t>
  </si>
  <si>
    <t>P0002192</t>
  </si>
  <si>
    <t>P0002193</t>
  </si>
  <si>
    <t>P0002194</t>
  </si>
  <si>
    <t>P0002195</t>
  </si>
  <si>
    <t>P0002196</t>
  </si>
  <si>
    <t>P0002197</t>
  </si>
  <si>
    <t>P0002198</t>
  </si>
  <si>
    <t>P0002199</t>
  </si>
  <si>
    <t>P0002200</t>
  </si>
  <si>
    <t>P0002201</t>
  </si>
  <si>
    <t>P0002202</t>
  </si>
  <si>
    <t>P0002203</t>
  </si>
  <si>
    <t>P0002204</t>
  </si>
  <si>
    <t>P0002205</t>
  </si>
  <si>
    <t>P0002206</t>
  </si>
  <si>
    <t>P0002207</t>
  </si>
  <si>
    <t>P0002208</t>
  </si>
  <si>
    <t>P0002209</t>
  </si>
  <si>
    <t>P0002210</t>
  </si>
  <si>
    <t>P0002211</t>
  </si>
  <si>
    <t>P0002212</t>
  </si>
  <si>
    <t>P0002213</t>
  </si>
  <si>
    <t>P0002214</t>
  </si>
  <si>
    <t>P0002215</t>
  </si>
  <si>
    <t>P0002216</t>
  </si>
  <si>
    <t>P0002217</t>
  </si>
  <si>
    <t>P0002218</t>
  </si>
  <si>
    <t>P0002219</t>
  </si>
  <si>
    <t>P0002220</t>
  </si>
  <si>
    <t>P0002221</t>
  </si>
  <si>
    <t>P0002222</t>
  </si>
  <si>
    <t>P0002223</t>
  </si>
  <si>
    <t>P0002224</t>
  </si>
  <si>
    <t>P0002225</t>
  </si>
  <si>
    <t>P0002226</t>
  </si>
  <si>
    <t>P0002227</t>
  </si>
  <si>
    <t>P0002228</t>
  </si>
  <si>
    <t>P0002229</t>
  </si>
  <si>
    <t>P0002230</t>
  </si>
  <si>
    <t>P0002231</t>
  </si>
  <si>
    <t>P0002232</t>
  </si>
  <si>
    <t>P0002233</t>
  </si>
  <si>
    <t>P0002234</t>
  </si>
  <si>
    <t>P0002235</t>
  </si>
  <si>
    <t>P0002236</t>
  </si>
  <si>
    <t>P0002237</t>
  </si>
  <si>
    <t>P0002238</t>
  </si>
  <si>
    <t>P0002239</t>
  </si>
  <si>
    <t>P0002240</t>
  </si>
  <si>
    <t>P0002241</t>
  </si>
  <si>
    <t>P0002242</t>
  </si>
  <si>
    <t>P0002243</t>
  </si>
  <si>
    <t>P0002244</t>
  </si>
  <si>
    <t>P0002245</t>
  </si>
  <si>
    <t>P0002246</t>
  </si>
  <si>
    <t>P0002247</t>
  </si>
  <si>
    <t>P0002248</t>
  </si>
  <si>
    <t>P0002249</t>
  </si>
  <si>
    <t>P0002250</t>
  </si>
  <si>
    <t>P0002251</t>
  </si>
  <si>
    <t>P0002252</t>
  </si>
  <si>
    <t>P0002253</t>
  </si>
  <si>
    <t>P0002254</t>
  </si>
  <si>
    <t>P0002255</t>
  </si>
  <si>
    <t>P0002256</t>
  </si>
  <si>
    <t>P0002257</t>
  </si>
  <si>
    <t>P0002258</t>
  </si>
  <si>
    <t>P0002259</t>
  </si>
  <si>
    <t>P0002260</t>
  </si>
  <si>
    <t>P0002261</t>
  </si>
  <si>
    <t>P0002262</t>
  </si>
  <si>
    <t>P0002263</t>
  </si>
  <si>
    <t>P0002264</t>
  </si>
  <si>
    <t>P0002265</t>
  </si>
  <si>
    <t>P0002266</t>
  </si>
  <si>
    <t>P0002267</t>
  </si>
  <si>
    <t>P0002268</t>
  </si>
  <si>
    <t>P0002269</t>
  </si>
  <si>
    <t>P0002270</t>
  </si>
  <si>
    <t>P0002271</t>
  </si>
  <si>
    <t>P0002272</t>
  </si>
  <si>
    <t>P0002273</t>
  </si>
  <si>
    <t>P0002274</t>
  </si>
  <si>
    <t>P0002275</t>
  </si>
  <si>
    <t>P0002276</t>
  </si>
  <si>
    <t>P0002277</t>
  </si>
  <si>
    <t>P0002278</t>
  </si>
  <si>
    <t>P0002279</t>
  </si>
  <si>
    <t>P0002280</t>
  </si>
  <si>
    <t>P0002281</t>
  </si>
  <si>
    <t>P0002282</t>
  </si>
  <si>
    <t>P0002283</t>
  </si>
  <si>
    <t>P0002284</t>
  </si>
  <si>
    <t>P0002285</t>
  </si>
  <si>
    <t>P0002286</t>
  </si>
  <si>
    <t>P0002287</t>
  </si>
  <si>
    <t>P0002288</t>
  </si>
  <si>
    <t>P0002289</t>
  </si>
  <si>
    <t>P0002290</t>
  </si>
  <si>
    <t>P0002291</t>
  </si>
  <si>
    <t>P0002292</t>
  </si>
  <si>
    <t>P0002293</t>
  </si>
  <si>
    <t>P0002294</t>
  </si>
  <si>
    <t>P0002295</t>
  </si>
  <si>
    <t>P0002296</t>
  </si>
  <si>
    <t>P0002297</t>
  </si>
  <si>
    <t>P0002298</t>
  </si>
  <si>
    <t>P0002299</t>
  </si>
  <si>
    <t>P0002300</t>
  </si>
  <si>
    <t>P0002301</t>
  </si>
  <si>
    <t>P0002302</t>
  </si>
  <si>
    <t>P0002303</t>
  </si>
  <si>
    <t>P0002304</t>
  </si>
  <si>
    <t>P0002305</t>
  </si>
  <si>
    <t>P0002306</t>
  </si>
  <si>
    <t>P0002307</t>
  </si>
  <si>
    <t>P0002308</t>
  </si>
  <si>
    <t>P0002309</t>
  </si>
  <si>
    <t>P0002310</t>
  </si>
  <si>
    <t>P0002311</t>
  </si>
  <si>
    <t>P0002312</t>
  </si>
  <si>
    <t>P0002313</t>
  </si>
  <si>
    <t>P0002314</t>
  </si>
  <si>
    <t>P0002315</t>
  </si>
  <si>
    <t>P0002316</t>
  </si>
  <si>
    <t>P0002317</t>
  </si>
  <si>
    <t>P0002318</t>
  </si>
  <si>
    <t>P0002319</t>
  </si>
  <si>
    <t>P0002320</t>
  </si>
  <si>
    <t>P0002321</t>
  </si>
  <si>
    <t>P0002322</t>
  </si>
  <si>
    <t>P0002323</t>
  </si>
  <si>
    <t>P0002324</t>
  </si>
  <si>
    <t>P0002325</t>
  </si>
  <si>
    <t>P0002326</t>
  </si>
  <si>
    <t>P0002327</t>
  </si>
  <si>
    <t>P0002328</t>
  </si>
  <si>
    <t>P0002329</t>
  </si>
  <si>
    <t>P0002330</t>
  </si>
  <si>
    <t>P0002331</t>
  </si>
  <si>
    <t>P0002332</t>
  </si>
  <si>
    <t>P0002333</t>
  </si>
  <si>
    <t>P0002334</t>
  </si>
  <si>
    <t>P0002335</t>
  </si>
  <si>
    <t>P0002336</t>
  </si>
  <si>
    <t>P0002337</t>
  </si>
  <si>
    <t>P0002338</t>
  </si>
  <si>
    <t>P0002339</t>
  </si>
  <si>
    <t>P0002340</t>
  </si>
  <si>
    <t>P0002341</t>
  </si>
  <si>
    <t>P0002342</t>
  </si>
  <si>
    <t>P0002343</t>
  </si>
  <si>
    <t>P0002344</t>
  </si>
  <si>
    <t>P0002345</t>
  </si>
  <si>
    <t>P0002346</t>
  </si>
  <si>
    <t>P0002347</t>
  </si>
  <si>
    <t>P0002348</t>
  </si>
  <si>
    <t>P0002349</t>
  </si>
  <si>
    <t>P0002350</t>
  </si>
  <si>
    <t>P0002351</t>
  </si>
  <si>
    <t>P0002352</t>
  </si>
  <si>
    <t>P0002353</t>
  </si>
  <si>
    <t>P0002354</t>
  </si>
  <si>
    <t>P0002355</t>
  </si>
  <si>
    <t>P0002356</t>
  </si>
  <si>
    <t>P0002357</t>
  </si>
  <si>
    <t>P0002358</t>
  </si>
  <si>
    <t>P0002359</t>
  </si>
  <si>
    <t>P0002360</t>
  </si>
  <si>
    <t>P0002361</t>
  </si>
  <si>
    <t>P0002362</t>
  </si>
  <si>
    <t>P0002363</t>
  </si>
  <si>
    <t>P0002364</t>
  </si>
  <si>
    <t>P0002365</t>
  </si>
  <si>
    <t>P0002366</t>
  </si>
  <si>
    <t>P0002367</t>
  </si>
  <si>
    <t>P0002368</t>
  </si>
  <si>
    <t>P0002369</t>
  </si>
  <si>
    <t>P0002370</t>
  </si>
  <si>
    <t>P0002371</t>
  </si>
  <si>
    <t>P0002372</t>
  </si>
  <si>
    <t>P0002373</t>
  </si>
  <si>
    <t>P0002374</t>
  </si>
  <si>
    <t>P0002375</t>
  </si>
  <si>
    <t>P0002376</t>
  </si>
  <si>
    <t>P0002377</t>
  </si>
  <si>
    <t>P0002378</t>
  </si>
  <si>
    <t>P0002379</t>
  </si>
  <si>
    <t>P0002380</t>
  </si>
  <si>
    <t>P0002381</t>
  </si>
  <si>
    <t>P0002382</t>
  </si>
  <si>
    <t>P0002383</t>
  </si>
  <si>
    <t>P0002384</t>
  </si>
  <si>
    <t>P0002385</t>
  </si>
  <si>
    <t>P0002386</t>
  </si>
  <si>
    <t>P0002387</t>
  </si>
  <si>
    <t>P0002388</t>
  </si>
  <si>
    <t>P0002389</t>
  </si>
  <si>
    <t>P0002390</t>
  </si>
  <si>
    <t>P0002391</t>
  </si>
  <si>
    <t>P0002392</t>
  </si>
  <si>
    <t>P0002393</t>
  </si>
  <si>
    <t>P0002394</t>
  </si>
  <si>
    <t>P0002395</t>
  </si>
  <si>
    <t>P0002396</t>
  </si>
  <si>
    <t>P0002397</t>
  </si>
  <si>
    <t>P0002398</t>
  </si>
  <si>
    <t>P0002399</t>
  </si>
  <si>
    <t>P0002400</t>
  </si>
  <si>
    <t>P0002401</t>
  </si>
  <si>
    <t>P0002402</t>
  </si>
  <si>
    <t>P0002403</t>
  </si>
  <si>
    <t>P0002404</t>
  </si>
  <si>
    <t>P0002405</t>
  </si>
  <si>
    <t>P0002406</t>
  </si>
  <si>
    <t>P0002407</t>
  </si>
  <si>
    <t>P0002408</t>
  </si>
  <si>
    <t>P0002409</t>
  </si>
  <si>
    <t>P0002410</t>
  </si>
  <si>
    <t>P0002411</t>
  </si>
  <si>
    <t>P0002412</t>
  </si>
  <si>
    <t>P0002413</t>
  </si>
  <si>
    <t>P0002414</t>
  </si>
  <si>
    <t>P0002415</t>
  </si>
  <si>
    <t>P0002416</t>
  </si>
  <si>
    <t>P0002417</t>
  </si>
  <si>
    <t>P0002418</t>
  </si>
  <si>
    <t>P0002419</t>
  </si>
  <si>
    <t>P0002420</t>
  </si>
  <si>
    <t>P0002421</t>
  </si>
  <si>
    <t>P0002422</t>
  </si>
  <si>
    <t>P0002423</t>
  </si>
  <si>
    <t>P0002424</t>
  </si>
  <si>
    <t>P0002425</t>
  </si>
  <si>
    <t>P0002426</t>
  </si>
  <si>
    <t>P0002427</t>
  </si>
  <si>
    <t>P0002428</t>
  </si>
  <si>
    <t>P0002429</t>
  </si>
  <si>
    <t>P0002430</t>
  </si>
  <si>
    <t>P0002431</t>
  </si>
  <si>
    <t>P0002432</t>
  </si>
  <si>
    <t>P0002433</t>
  </si>
  <si>
    <t>P0002434</t>
  </si>
  <si>
    <t>P0002435</t>
  </si>
  <si>
    <t>P0002436</t>
  </si>
  <si>
    <t>P0002437</t>
  </si>
  <si>
    <t>P0002438</t>
  </si>
  <si>
    <t>P0002439</t>
  </si>
  <si>
    <t>P0002440</t>
  </si>
  <si>
    <t>P0002441</t>
  </si>
  <si>
    <t>P0002442</t>
  </si>
  <si>
    <t>P0002443</t>
  </si>
  <si>
    <t>P0002444</t>
  </si>
  <si>
    <t>P0002445</t>
  </si>
  <si>
    <t>P0002446</t>
  </si>
  <si>
    <t>P0002447</t>
  </si>
  <si>
    <t>P0002448</t>
  </si>
  <si>
    <t>P0002449</t>
  </si>
  <si>
    <t>P0002450</t>
  </si>
  <si>
    <t>P0002451</t>
  </si>
  <si>
    <t>P0002452</t>
  </si>
  <si>
    <t>P0002453</t>
  </si>
  <si>
    <t>P0002454</t>
  </si>
  <si>
    <t>P0002455</t>
  </si>
  <si>
    <t>P0002456</t>
  </si>
  <si>
    <t>P0002457</t>
  </si>
  <si>
    <t>P0002458</t>
  </si>
  <si>
    <t>P0002459</t>
  </si>
  <si>
    <t>P0002460</t>
  </si>
  <si>
    <t>P0002461</t>
  </si>
  <si>
    <t>P0002462</t>
  </si>
  <si>
    <t>P0002463</t>
  </si>
  <si>
    <t>P0002464</t>
  </si>
  <si>
    <t>P0002465</t>
  </si>
  <si>
    <t>P0002466</t>
  </si>
  <si>
    <t>P0002467</t>
  </si>
  <si>
    <t>P0002468</t>
  </si>
  <si>
    <t>P0002469</t>
  </si>
  <si>
    <t>P0002470</t>
  </si>
  <si>
    <t>P0002471</t>
  </si>
  <si>
    <t>P0002472</t>
  </si>
  <si>
    <t>P0002473</t>
  </si>
  <si>
    <t>P0002474</t>
  </si>
  <si>
    <t>P0002475</t>
  </si>
  <si>
    <t>P0002476</t>
  </si>
  <si>
    <t>P0002477</t>
  </si>
  <si>
    <t>P0002478</t>
  </si>
  <si>
    <t>P0002479</t>
  </si>
  <si>
    <t>P0002480</t>
  </si>
  <si>
    <t>P0002481</t>
  </si>
  <si>
    <t>P0002482</t>
  </si>
  <si>
    <t>P0002483</t>
  </si>
  <si>
    <t>P0002484</t>
  </si>
  <si>
    <t>P0002485</t>
  </si>
  <si>
    <t>P0002486</t>
  </si>
  <si>
    <t>P0002487</t>
  </si>
  <si>
    <t>P0002488</t>
  </si>
  <si>
    <t>P0002489</t>
  </si>
  <si>
    <t>P0002490</t>
  </si>
  <si>
    <t>P0002491</t>
  </si>
  <si>
    <t>P0002492</t>
  </si>
  <si>
    <t>P0002493</t>
  </si>
  <si>
    <t>P0002494</t>
  </si>
  <si>
    <t>P0002495</t>
  </si>
  <si>
    <t>P0002496</t>
  </si>
  <si>
    <t>P0002497</t>
  </si>
  <si>
    <t>P0002498</t>
  </si>
  <si>
    <t>P0002499</t>
  </si>
  <si>
    <t>P0002500</t>
  </si>
  <si>
    <t>P0002501</t>
  </si>
  <si>
    <t>P0002502</t>
  </si>
  <si>
    <t>P0002503</t>
  </si>
  <si>
    <t>P0002504</t>
  </si>
  <si>
    <t>P0002505</t>
  </si>
  <si>
    <t>P0002506</t>
  </si>
  <si>
    <t>P0002507</t>
  </si>
  <si>
    <t>P0002508</t>
  </si>
  <si>
    <t>P0002509</t>
  </si>
  <si>
    <t>P0002510</t>
  </si>
  <si>
    <t>P0002511</t>
  </si>
  <si>
    <t>P0002512</t>
  </si>
  <si>
    <t>P0002513</t>
  </si>
  <si>
    <t>P0002514</t>
  </si>
  <si>
    <t>P0002515</t>
  </si>
  <si>
    <t>P0002516</t>
  </si>
  <si>
    <t>P0002517</t>
  </si>
  <si>
    <t>P0002518</t>
  </si>
  <si>
    <t>P0002519</t>
  </si>
  <si>
    <t>P0002520</t>
  </si>
  <si>
    <t>P0002521</t>
  </si>
  <si>
    <t>P0002522</t>
  </si>
  <si>
    <t>P0002523</t>
  </si>
  <si>
    <t>P0002524</t>
  </si>
  <si>
    <t>P0002525</t>
  </si>
  <si>
    <t>P0002526</t>
  </si>
  <si>
    <t>P0002527</t>
  </si>
  <si>
    <t>P0002528</t>
  </si>
  <si>
    <t>P0002529</t>
  </si>
  <si>
    <t>P0002530</t>
  </si>
  <si>
    <t>P0002531</t>
  </si>
  <si>
    <t>P0002532</t>
  </si>
  <si>
    <t>P0002533</t>
  </si>
  <si>
    <t>P0002534</t>
  </si>
  <si>
    <t>P0002535</t>
  </si>
  <si>
    <t>P0002536</t>
  </si>
  <si>
    <t>P0002537</t>
  </si>
  <si>
    <t>P0002538</t>
  </si>
  <si>
    <t>P0002539</t>
  </si>
  <si>
    <t>P0002540</t>
  </si>
  <si>
    <t>P0002541</t>
  </si>
  <si>
    <t>P0002542</t>
  </si>
  <si>
    <t>P0002543</t>
  </si>
  <si>
    <t>P0002544</t>
  </si>
  <si>
    <t>P0002545</t>
  </si>
  <si>
    <t>P0002546</t>
  </si>
  <si>
    <t>P0002547</t>
  </si>
  <si>
    <t>P0002548</t>
  </si>
  <si>
    <t>P0002549</t>
  </si>
  <si>
    <t>P0002550</t>
  </si>
  <si>
    <t>P0002551</t>
  </si>
  <si>
    <t>P0002552</t>
  </si>
  <si>
    <t>P0002553</t>
  </si>
  <si>
    <t>P0002554</t>
  </si>
  <si>
    <t>P0002555</t>
  </si>
  <si>
    <t>P0002556</t>
  </si>
  <si>
    <t>P0002557</t>
  </si>
  <si>
    <t>P0002558</t>
  </si>
  <si>
    <t>P0002559</t>
  </si>
  <si>
    <t>P0002560</t>
  </si>
  <si>
    <t>P0002561</t>
  </si>
  <si>
    <t>P0002562</t>
  </si>
  <si>
    <t>P0002563</t>
  </si>
  <si>
    <t>P0002564</t>
  </si>
  <si>
    <t>P0002565</t>
  </si>
  <si>
    <t>P0002566</t>
  </si>
  <si>
    <t>P0002567</t>
  </si>
  <si>
    <t>P0002568</t>
  </si>
  <si>
    <t>P0002569</t>
  </si>
  <si>
    <t>P0002570</t>
  </si>
  <si>
    <t>P0002571</t>
  </si>
  <si>
    <t>P0002572</t>
  </si>
  <si>
    <t>P0002573</t>
  </si>
  <si>
    <t>P0002574</t>
  </si>
  <si>
    <t>P0002575</t>
  </si>
  <si>
    <t>P0002576</t>
  </si>
  <si>
    <t>P0002577</t>
  </si>
  <si>
    <t>P0002578</t>
  </si>
  <si>
    <t>P0002579</t>
  </si>
  <si>
    <t>P0002580</t>
  </si>
  <si>
    <t>P0002581</t>
  </si>
  <si>
    <t>P0002582</t>
  </si>
  <si>
    <t>P0002583</t>
  </si>
  <si>
    <t>P0002584</t>
  </si>
  <si>
    <t>P0002585</t>
  </si>
  <si>
    <t>P0002586</t>
  </si>
  <si>
    <t>P0002587</t>
  </si>
  <si>
    <t>P0002588</t>
  </si>
  <si>
    <t>P0002589</t>
  </si>
  <si>
    <t>P0002590</t>
  </si>
  <si>
    <t>P0002591</t>
  </si>
  <si>
    <t>P0002592</t>
  </si>
  <si>
    <t>P0002593</t>
  </si>
  <si>
    <t>P0002594</t>
  </si>
  <si>
    <t>P0002595</t>
  </si>
  <si>
    <t>P0002596</t>
  </si>
  <si>
    <t>P0002597</t>
  </si>
  <si>
    <t>P0002598</t>
  </si>
  <si>
    <t>P0002599</t>
  </si>
  <si>
    <t>P0002600</t>
  </si>
  <si>
    <t>P0002601</t>
  </si>
  <si>
    <t>P0002602</t>
  </si>
  <si>
    <t>P0002603</t>
  </si>
  <si>
    <t>P0002604</t>
  </si>
  <si>
    <t>P0002605</t>
  </si>
  <si>
    <t>P0002606</t>
  </si>
  <si>
    <t>P0002607</t>
  </si>
  <si>
    <t>P0002608</t>
  </si>
  <si>
    <t>P0002609</t>
  </si>
  <si>
    <t>P0002610</t>
  </si>
  <si>
    <t>P0002611</t>
  </si>
  <si>
    <t>P0002612</t>
  </si>
  <si>
    <t>P0002613</t>
  </si>
  <si>
    <t>P0002614</t>
  </si>
  <si>
    <t>P0002615</t>
  </si>
  <si>
    <t>P0002616</t>
  </si>
  <si>
    <t>P0002617</t>
  </si>
  <si>
    <t>P0002618</t>
  </si>
  <si>
    <t>P0002619</t>
  </si>
  <si>
    <t>P0002620</t>
  </si>
  <si>
    <t>P0002621</t>
  </si>
  <si>
    <t>P0002622</t>
  </si>
  <si>
    <t>P0002623</t>
  </si>
  <si>
    <t>P0002624</t>
  </si>
  <si>
    <t>P0002625</t>
  </si>
  <si>
    <t>P0002626</t>
  </si>
  <si>
    <t>P0002627</t>
  </si>
  <si>
    <t>P0002628</t>
  </si>
  <si>
    <t>P0002629</t>
  </si>
  <si>
    <t>P0002630</t>
  </si>
  <si>
    <t>P0002631</t>
  </si>
  <si>
    <t>P0002632</t>
  </si>
  <si>
    <t>P0002633</t>
  </si>
  <si>
    <t>P0002634</t>
  </si>
  <si>
    <t>P0002635</t>
  </si>
  <si>
    <t>P0002636</t>
  </si>
  <si>
    <t>P0002637</t>
  </si>
  <si>
    <t>P0002638</t>
  </si>
  <si>
    <t>P0002639</t>
  </si>
  <si>
    <t>P0002640</t>
  </si>
  <si>
    <t>P0002641</t>
  </si>
  <si>
    <t>P0002642</t>
  </si>
  <si>
    <t>P0002643</t>
  </si>
  <si>
    <t>P0002644</t>
  </si>
  <si>
    <t>P0002645</t>
  </si>
  <si>
    <t>P0002646</t>
  </si>
  <si>
    <t>P0002647</t>
  </si>
  <si>
    <t>P0002648</t>
  </si>
  <si>
    <t>P0002649</t>
  </si>
  <si>
    <t>P0002650</t>
  </si>
  <si>
    <t>P0002651</t>
  </si>
  <si>
    <t>P0002652</t>
  </si>
  <si>
    <t>P0002653</t>
  </si>
  <si>
    <t>P0002654</t>
  </si>
  <si>
    <t>P0002655</t>
  </si>
  <si>
    <t>P0002656</t>
  </si>
  <si>
    <t>P0002657</t>
  </si>
  <si>
    <t>P0002658</t>
  </si>
  <si>
    <t>P0002659</t>
  </si>
  <si>
    <t>P0002660</t>
  </si>
  <si>
    <t>P0002661</t>
  </si>
  <si>
    <t>P0002662</t>
  </si>
  <si>
    <t>P0002663</t>
  </si>
  <si>
    <t>P0002664</t>
  </si>
  <si>
    <t>P0002665</t>
  </si>
  <si>
    <t>P0002666</t>
  </si>
  <si>
    <t>P0002667</t>
  </si>
  <si>
    <t>P0002668</t>
  </si>
  <si>
    <t>P0002669</t>
  </si>
  <si>
    <t>P0002670</t>
  </si>
  <si>
    <t>P0002671</t>
  </si>
  <si>
    <t>P0002672</t>
  </si>
  <si>
    <t>P0002673</t>
  </si>
  <si>
    <t>P0002674</t>
  </si>
  <si>
    <t>P0002675</t>
  </si>
  <si>
    <t>P0002676</t>
  </si>
  <si>
    <t>P0002677</t>
  </si>
  <si>
    <t>P0002678</t>
  </si>
  <si>
    <t>P0002679</t>
  </si>
  <si>
    <t>P0002680</t>
  </si>
  <si>
    <t>P0002681</t>
  </si>
  <si>
    <t>P0002682</t>
  </si>
  <si>
    <t>P0002683</t>
  </si>
  <si>
    <t>P0002684</t>
  </si>
  <si>
    <t>P0002685</t>
  </si>
  <si>
    <t>P0002686</t>
  </si>
  <si>
    <t>P0002687</t>
  </si>
  <si>
    <t>P0002688</t>
  </si>
  <si>
    <t>P0002689</t>
  </si>
  <si>
    <t>P0002690</t>
  </si>
  <si>
    <t>P0002691</t>
  </si>
  <si>
    <t>P0002692</t>
  </si>
  <si>
    <t>P0002693</t>
  </si>
  <si>
    <t>P0002694</t>
  </si>
  <si>
    <t>P0002695</t>
  </si>
  <si>
    <t>P0002696</t>
  </si>
  <si>
    <t>P0002697</t>
  </si>
  <si>
    <t>P0002698</t>
  </si>
  <si>
    <t>P0002699</t>
  </si>
  <si>
    <t>P0002700</t>
  </si>
  <si>
    <t>P0002701</t>
  </si>
  <si>
    <t>P0002702</t>
  </si>
  <si>
    <t>P0002703</t>
  </si>
  <si>
    <t>P0002704</t>
  </si>
  <si>
    <t>P0002705</t>
  </si>
  <si>
    <t>P0002706</t>
  </si>
  <si>
    <t>P0002707</t>
  </si>
  <si>
    <t>P0002708</t>
  </si>
  <si>
    <t>P0002709</t>
  </si>
  <si>
    <t>P0002710</t>
  </si>
  <si>
    <t>P0002711</t>
  </si>
  <si>
    <t>P0002712</t>
  </si>
  <si>
    <t>P0002713</t>
  </si>
  <si>
    <t>P0002714</t>
  </si>
  <si>
    <t>P0002715</t>
  </si>
  <si>
    <t>P0002716</t>
  </si>
  <si>
    <t>P0002717</t>
  </si>
  <si>
    <t>P0002718</t>
  </si>
  <si>
    <t>P0002719</t>
  </si>
  <si>
    <t>P0002720</t>
  </si>
  <si>
    <t>P0002721</t>
  </si>
  <si>
    <t>P0002722</t>
  </si>
  <si>
    <t>P0002723</t>
  </si>
  <si>
    <t>P0002724</t>
  </si>
  <si>
    <t>P0002725</t>
  </si>
  <si>
    <t>P0002726</t>
  </si>
  <si>
    <t>P0002727</t>
  </si>
  <si>
    <t>P0002728</t>
  </si>
  <si>
    <t>P0002729</t>
  </si>
  <si>
    <t>P0002730</t>
  </si>
  <si>
    <t>P0002731</t>
  </si>
  <si>
    <t>P0002732</t>
  </si>
  <si>
    <t>P0002733</t>
  </si>
  <si>
    <t>P0002734</t>
  </si>
  <si>
    <t>P0002735</t>
  </si>
  <si>
    <t>P0002736</t>
  </si>
  <si>
    <t>P0002737</t>
  </si>
  <si>
    <t>P0002738</t>
  </si>
  <si>
    <t>P0002739</t>
  </si>
  <si>
    <t>P0002740</t>
  </si>
  <si>
    <t>P0002741</t>
  </si>
  <si>
    <t>P0002742</t>
  </si>
  <si>
    <t>P0002743</t>
  </si>
  <si>
    <t>P0002744</t>
  </si>
  <si>
    <t>P0002745</t>
  </si>
  <si>
    <t>P0002746</t>
  </si>
  <si>
    <t>P0002747</t>
  </si>
  <si>
    <t>P0002748</t>
  </si>
  <si>
    <t>P0002749</t>
  </si>
  <si>
    <t>P0002750</t>
  </si>
  <si>
    <t>P0002751</t>
  </si>
  <si>
    <t>P0002752</t>
  </si>
  <si>
    <t>P0002753</t>
  </si>
  <si>
    <t>P0002754</t>
  </si>
  <si>
    <t>P0002755</t>
  </si>
  <si>
    <t>P0002756</t>
  </si>
  <si>
    <t>P0002757</t>
  </si>
  <si>
    <t>P0002758</t>
  </si>
  <si>
    <t>P0002759</t>
  </si>
  <si>
    <t>P0002760</t>
  </si>
  <si>
    <t>P0002761</t>
  </si>
  <si>
    <t>P0002762</t>
  </si>
  <si>
    <t>P0002763</t>
  </si>
  <si>
    <t>P0002764</t>
  </si>
  <si>
    <t>P0002765</t>
  </si>
  <si>
    <t>P0002766</t>
  </si>
  <si>
    <t>P0002767</t>
  </si>
  <si>
    <t>P0002768</t>
  </si>
  <si>
    <t>P0002769</t>
  </si>
  <si>
    <t>P0002770</t>
  </si>
  <si>
    <t>P0002771</t>
  </si>
  <si>
    <t>P0002772</t>
  </si>
  <si>
    <t>P0002773</t>
  </si>
  <si>
    <t>P0002774</t>
  </si>
  <si>
    <t>P0002775</t>
  </si>
  <si>
    <t>P0002776</t>
  </si>
  <si>
    <t>P0002777</t>
  </si>
  <si>
    <t>P0002778</t>
  </si>
  <si>
    <t>P0002779</t>
  </si>
  <si>
    <t>P0002780</t>
  </si>
  <si>
    <t>P0002781</t>
  </si>
  <si>
    <t>P0002782</t>
  </si>
  <si>
    <t>P0002783</t>
  </si>
  <si>
    <t>P0002784</t>
  </si>
  <si>
    <t>P0002785</t>
  </si>
  <si>
    <t>P0002786</t>
  </si>
  <si>
    <t>P0002787</t>
  </si>
  <si>
    <t>P0002788</t>
  </si>
  <si>
    <t>P0002789</t>
  </si>
  <si>
    <t>P0002790</t>
  </si>
  <si>
    <t>P0002791</t>
  </si>
  <si>
    <t>P0002792</t>
  </si>
  <si>
    <t>P0002793</t>
  </si>
  <si>
    <t>P0002794</t>
  </si>
  <si>
    <t>P0002795</t>
  </si>
  <si>
    <t>P0002796</t>
  </si>
  <si>
    <t>P0002797</t>
  </si>
  <si>
    <t>P0002798</t>
  </si>
  <si>
    <t>P0002799</t>
  </si>
  <si>
    <t>P0002800</t>
  </si>
  <si>
    <t>P0002801</t>
  </si>
  <si>
    <t>P0002802</t>
  </si>
  <si>
    <t>P0002803</t>
  </si>
  <si>
    <t>P0002804</t>
  </si>
  <si>
    <t>P0002805</t>
  </si>
  <si>
    <t>P0002806</t>
  </si>
  <si>
    <t>P0002807</t>
  </si>
  <si>
    <t>P0002808</t>
  </si>
  <si>
    <t>P0002809</t>
  </si>
  <si>
    <t>P0002810</t>
  </si>
  <si>
    <t>P0002811</t>
  </si>
  <si>
    <t>P0002812</t>
  </si>
  <si>
    <t>P0002813</t>
  </si>
  <si>
    <t>P0002814</t>
  </si>
  <si>
    <t>P0002815</t>
  </si>
  <si>
    <t>P0002816</t>
  </si>
  <si>
    <t>P0002817</t>
  </si>
  <si>
    <t>P0002818</t>
  </si>
  <si>
    <t>P0002819</t>
  </si>
  <si>
    <t>P0002820</t>
  </si>
  <si>
    <t>P0002821</t>
  </si>
  <si>
    <t>P0002822</t>
  </si>
  <si>
    <t>P0002823</t>
  </si>
  <si>
    <t>P0002824</t>
  </si>
  <si>
    <t>P0002825</t>
  </si>
  <si>
    <t>P0002826</t>
  </si>
  <si>
    <t>P0002827</t>
  </si>
  <si>
    <t>P0002828</t>
  </si>
  <si>
    <t>P0002829</t>
  </si>
  <si>
    <t>P0002830</t>
  </si>
  <si>
    <t>P0002831</t>
  </si>
  <si>
    <t>P0002832</t>
  </si>
  <si>
    <t>P0002833</t>
  </si>
  <si>
    <t>P0002834</t>
  </si>
  <si>
    <t>P0002835</t>
  </si>
  <si>
    <t>P0002836</t>
  </si>
  <si>
    <t>P0002837</t>
  </si>
  <si>
    <t>P0002838</t>
  </si>
  <si>
    <t>P0002839</t>
  </si>
  <si>
    <t>P0002840</t>
  </si>
  <si>
    <t>P0002841</t>
  </si>
  <si>
    <t>P0002842</t>
  </si>
  <si>
    <t>P0002843</t>
  </si>
  <si>
    <t>P0002844</t>
  </si>
  <si>
    <t>P0002845</t>
  </si>
  <si>
    <t>P0002846</t>
  </si>
  <si>
    <t>P0002847</t>
  </si>
  <si>
    <t>P0002848</t>
  </si>
  <si>
    <t>P0002849</t>
  </si>
  <si>
    <t>P0002850</t>
  </si>
  <si>
    <t>P0002851</t>
  </si>
  <si>
    <t>P0002852</t>
  </si>
  <si>
    <t>P0002853</t>
  </si>
  <si>
    <t>P0002854</t>
  </si>
  <si>
    <t>P0002855</t>
  </si>
  <si>
    <t>P0002856</t>
  </si>
  <si>
    <t>P0002857</t>
  </si>
  <si>
    <t>P0002858</t>
  </si>
  <si>
    <t>P0002859</t>
  </si>
  <si>
    <t>P0002860</t>
  </si>
  <si>
    <t>P0002861</t>
  </si>
  <si>
    <t>P0002862</t>
  </si>
  <si>
    <t>P0002863</t>
  </si>
  <si>
    <t>P0002864</t>
  </si>
  <si>
    <t>P0002865</t>
  </si>
  <si>
    <t>P0002866</t>
  </si>
  <si>
    <t>P0002867</t>
  </si>
  <si>
    <t>P0002868</t>
  </si>
  <si>
    <t>P0002869</t>
  </si>
  <si>
    <t>P0002870</t>
  </si>
  <si>
    <t>P0002871</t>
  </si>
  <si>
    <t>P0002872</t>
  </si>
  <si>
    <t>P0002873</t>
  </si>
  <si>
    <t>P0002874</t>
  </si>
  <si>
    <t>P0002875</t>
  </si>
  <si>
    <t>P0002876</t>
  </si>
  <si>
    <t>P0002877</t>
  </si>
  <si>
    <t>P0002878</t>
  </si>
  <si>
    <t>P0002879</t>
  </si>
  <si>
    <t>P0002880</t>
  </si>
  <si>
    <t>P0002881</t>
  </si>
  <si>
    <t>P0002882</t>
  </si>
  <si>
    <t>P0002883</t>
  </si>
  <si>
    <t>P0002884</t>
  </si>
  <si>
    <t>P0002885</t>
  </si>
  <si>
    <t>P0002886</t>
  </si>
  <si>
    <t>P0002887</t>
  </si>
  <si>
    <t>P0002888</t>
  </si>
  <si>
    <t>P0002889</t>
  </si>
  <si>
    <t>P0002890</t>
  </si>
  <si>
    <t>P0002891</t>
  </si>
  <si>
    <t>P0002892</t>
  </si>
  <si>
    <t>P0002893</t>
  </si>
  <si>
    <t>P0002894</t>
  </si>
  <si>
    <t>P0002895</t>
  </si>
  <si>
    <t>P0002896</t>
  </si>
  <si>
    <t>P0002897</t>
  </si>
  <si>
    <t>P0002898</t>
  </si>
  <si>
    <t>P0002899</t>
  </si>
  <si>
    <t>P0002900</t>
  </si>
  <si>
    <t>P0002901</t>
  </si>
  <si>
    <t>P0002902</t>
  </si>
  <si>
    <t>P0002903</t>
  </si>
  <si>
    <t>P0002904</t>
  </si>
  <si>
    <t>P0002905</t>
  </si>
  <si>
    <t>P0002906</t>
  </si>
  <si>
    <t>P0002907</t>
  </si>
  <si>
    <t>P0002908</t>
  </si>
  <si>
    <t>P0002909</t>
  </si>
  <si>
    <t>P0002910</t>
  </si>
  <si>
    <t>P0002911</t>
  </si>
  <si>
    <t>P0002912</t>
  </si>
  <si>
    <t>P0002913</t>
  </si>
  <si>
    <t>P0002914</t>
  </si>
  <si>
    <t>P0002915</t>
  </si>
  <si>
    <t>P0002916</t>
  </si>
  <si>
    <t>P0002917</t>
  </si>
  <si>
    <t>P0002918</t>
  </si>
  <si>
    <t>P0002919</t>
  </si>
  <si>
    <t>P0002920</t>
  </si>
  <si>
    <t>P0002921</t>
  </si>
  <si>
    <t>P0002922</t>
  </si>
  <si>
    <t>P0002923</t>
  </si>
  <si>
    <t>P0002924</t>
  </si>
  <si>
    <t>P0002925</t>
  </si>
  <si>
    <t>P0002926</t>
  </si>
  <si>
    <t>P0002927</t>
  </si>
  <si>
    <t>P0002928</t>
  </si>
  <si>
    <t>P0002929</t>
  </si>
  <si>
    <t>P0002930</t>
  </si>
  <si>
    <t>P0002931</t>
  </si>
  <si>
    <t>P0002932</t>
  </si>
  <si>
    <t>P0002933</t>
  </si>
  <si>
    <t>P0002934</t>
  </si>
  <si>
    <t>P0002935</t>
  </si>
  <si>
    <t>P0002936</t>
  </si>
  <si>
    <t>P0002937</t>
  </si>
  <si>
    <t>P0002938</t>
  </si>
  <si>
    <t>P0002939</t>
  </si>
  <si>
    <t>P0002940</t>
  </si>
  <si>
    <t>P0002941</t>
  </si>
  <si>
    <t>P0002942</t>
  </si>
  <si>
    <t>P0002943</t>
  </si>
  <si>
    <t>P0002944</t>
  </si>
  <si>
    <t>P0002945</t>
  </si>
  <si>
    <t>P0002946</t>
  </si>
  <si>
    <t>P0002947</t>
  </si>
  <si>
    <t>P0002948</t>
  </si>
  <si>
    <t>P0002949</t>
  </si>
  <si>
    <t>P0002950</t>
  </si>
  <si>
    <t>P0002951</t>
  </si>
  <si>
    <t>P0002952</t>
  </si>
  <si>
    <t>P0002953</t>
  </si>
  <si>
    <t>P0002954</t>
  </si>
  <si>
    <t>P0002955</t>
  </si>
  <si>
    <t>P0002956</t>
  </si>
  <si>
    <t>P0002957</t>
  </si>
  <si>
    <t>P0002958</t>
  </si>
  <si>
    <t>P0002959</t>
  </si>
  <si>
    <t>P0002960</t>
  </si>
  <si>
    <t>P0002961</t>
  </si>
  <si>
    <t>P0002962</t>
  </si>
  <si>
    <t>P0002963</t>
  </si>
  <si>
    <t>P0002964</t>
  </si>
  <si>
    <t>P0002965</t>
  </si>
  <si>
    <t>P0002966</t>
  </si>
  <si>
    <t>P0002967</t>
  </si>
  <si>
    <t>P0002968</t>
  </si>
  <si>
    <t>P0002969</t>
  </si>
  <si>
    <t>P0002970</t>
  </si>
  <si>
    <t>P0002971</t>
  </si>
  <si>
    <t>P0002972</t>
  </si>
  <si>
    <t>P0002973</t>
  </si>
  <si>
    <t>P0002974</t>
  </si>
  <si>
    <t>P0002975</t>
  </si>
  <si>
    <t>P0002976</t>
  </si>
  <si>
    <t>P0002977</t>
  </si>
  <si>
    <t>P0002978</t>
  </si>
  <si>
    <t>P0002979</t>
  </si>
  <si>
    <t>P0002980</t>
  </si>
  <si>
    <t>P0002981</t>
  </si>
  <si>
    <t>P0002982</t>
  </si>
  <si>
    <t>P0002983</t>
  </si>
  <si>
    <t>P0002984</t>
  </si>
  <si>
    <t>P0002985</t>
  </si>
  <si>
    <t>P0002986</t>
  </si>
  <si>
    <t>P0002987</t>
  </si>
  <si>
    <t>P0002988</t>
  </si>
  <si>
    <t>P0002989</t>
  </si>
  <si>
    <t>P0002990</t>
  </si>
  <si>
    <t>P0002991</t>
  </si>
  <si>
    <t>P0002992</t>
  </si>
  <si>
    <t>P0002993</t>
  </si>
  <si>
    <t>P0002994</t>
  </si>
  <si>
    <t>P0002995</t>
  </si>
  <si>
    <t>P0002996</t>
  </si>
  <si>
    <t>P0002997</t>
  </si>
  <si>
    <t>P0002998</t>
  </si>
  <si>
    <t>P0002999</t>
  </si>
  <si>
    <t>P0003000</t>
  </si>
  <si>
    <t>P0003001</t>
  </si>
  <si>
    <t>P0003002</t>
  </si>
  <si>
    <t>P0003003</t>
  </si>
  <si>
    <t>P0003004</t>
  </si>
  <si>
    <t>P0003005</t>
  </si>
  <si>
    <t>P0003006</t>
  </si>
  <si>
    <t>P0003007</t>
  </si>
  <si>
    <t>P0003008</t>
  </si>
  <si>
    <t>P0003009</t>
  </si>
  <si>
    <t>P0003010</t>
  </si>
  <si>
    <t>P0003011</t>
  </si>
  <si>
    <t>P0003012</t>
  </si>
  <si>
    <t>P0003013</t>
  </si>
  <si>
    <t>P0003014</t>
  </si>
  <si>
    <t>P0003015</t>
  </si>
  <si>
    <t>P0003016</t>
  </si>
  <si>
    <t>P0003017</t>
  </si>
  <si>
    <t>P0003018</t>
  </si>
  <si>
    <t>P0003019</t>
  </si>
  <si>
    <t>P0003020</t>
  </si>
  <si>
    <t>P0003021</t>
  </si>
  <si>
    <t>P0003022</t>
  </si>
  <si>
    <t>P0003023</t>
  </si>
  <si>
    <t>P0003024</t>
  </si>
  <si>
    <t>P0003025</t>
  </si>
  <si>
    <t>P0003026</t>
  </si>
  <si>
    <t>P0003027</t>
  </si>
  <si>
    <t>P0003028</t>
  </si>
  <si>
    <t>P0003029</t>
  </si>
  <si>
    <t>P0003030</t>
  </si>
  <si>
    <t>P0003031</t>
  </si>
  <si>
    <t>P0003032</t>
  </si>
  <si>
    <t>P0003033</t>
  </si>
  <si>
    <t>P0003034</t>
  </si>
  <si>
    <t>P0003035</t>
  </si>
  <si>
    <t>P0003036</t>
  </si>
  <si>
    <t>P0003037</t>
  </si>
  <si>
    <t>P0003038</t>
  </si>
  <si>
    <t>P0003039</t>
  </si>
  <si>
    <t>P0003040</t>
  </si>
  <si>
    <t>P0003041</t>
  </si>
  <si>
    <t>P0003042</t>
  </si>
  <si>
    <t>P0003043</t>
  </si>
  <si>
    <t>P0003044</t>
  </si>
  <si>
    <t>P0003045</t>
  </si>
  <si>
    <t>P0003046</t>
  </si>
  <si>
    <t>P0003047</t>
  </si>
  <si>
    <t>P0003048</t>
  </si>
  <si>
    <t>P0003049</t>
  </si>
  <si>
    <t>P0003050</t>
  </si>
  <si>
    <t>P0003051</t>
  </si>
  <si>
    <t>P0003052</t>
  </si>
  <si>
    <t>P0003053</t>
  </si>
  <si>
    <t>P0003054</t>
  </si>
  <si>
    <t>P0003055</t>
  </si>
  <si>
    <t>P0003056</t>
  </si>
  <si>
    <t>P0003057</t>
  </si>
  <si>
    <t>P0003058</t>
  </si>
  <si>
    <t>P0003059</t>
  </si>
  <si>
    <t>P0003060</t>
  </si>
  <si>
    <t>P0003061</t>
  </si>
  <si>
    <t>P0003062</t>
  </si>
  <si>
    <t>P0003063</t>
  </si>
  <si>
    <t>P0003064</t>
  </si>
  <si>
    <t>P0003065</t>
  </si>
  <si>
    <t>P0003066</t>
  </si>
  <si>
    <t>P0003067</t>
  </si>
  <si>
    <t>P0003068</t>
  </si>
  <si>
    <t>P0003069</t>
  </si>
  <si>
    <t>P0003070</t>
  </si>
  <si>
    <t>P0003071</t>
  </si>
  <si>
    <t>P0003072</t>
  </si>
  <si>
    <t>P0003073</t>
  </si>
  <si>
    <t>P0003074</t>
  </si>
  <si>
    <t>P0003075</t>
  </si>
  <si>
    <t>P0003076</t>
  </si>
  <si>
    <t>P0003077</t>
  </si>
  <si>
    <t>P0003078</t>
  </si>
  <si>
    <t>P0003079</t>
  </si>
  <si>
    <t>P0003080</t>
  </si>
  <si>
    <t>P0003081</t>
  </si>
  <si>
    <t>P0003082</t>
  </si>
  <si>
    <t>P0003083</t>
  </si>
  <si>
    <t>P0003084</t>
  </si>
  <si>
    <t>P0003085</t>
  </si>
  <si>
    <t>P0003086</t>
  </si>
  <si>
    <t>P0003087</t>
  </si>
  <si>
    <t>P0003088</t>
  </si>
  <si>
    <t>P0003089</t>
  </si>
  <si>
    <t>P0003090</t>
  </si>
  <si>
    <t>P0003091</t>
  </si>
  <si>
    <t>P0003092</t>
  </si>
  <si>
    <t>P0003093</t>
  </si>
  <si>
    <t>P0003094</t>
  </si>
  <si>
    <t>P0003095</t>
  </si>
  <si>
    <t>P0003096</t>
  </si>
  <si>
    <t>P0003097</t>
  </si>
  <si>
    <t>P0003098</t>
  </si>
  <si>
    <t>P0003099</t>
  </si>
  <si>
    <t>P0003100</t>
  </si>
  <si>
    <t>P0003101</t>
  </si>
  <si>
    <t>P0003102</t>
  </si>
  <si>
    <t>P0003103</t>
  </si>
  <si>
    <t>P0003104</t>
  </si>
  <si>
    <t>P0003105</t>
  </si>
  <si>
    <t>P0003106</t>
  </si>
  <si>
    <t>P0003107</t>
  </si>
  <si>
    <t>P0003108</t>
  </si>
  <si>
    <t>P0003109</t>
  </si>
  <si>
    <t>P0003110</t>
  </si>
  <si>
    <t>P0003111</t>
  </si>
  <si>
    <t>P0003112</t>
  </si>
  <si>
    <t>P0003113</t>
  </si>
  <si>
    <t>P0003114</t>
  </si>
  <si>
    <t>P0003115</t>
  </si>
  <si>
    <t>P0003116</t>
  </si>
  <si>
    <t>P0003117</t>
  </si>
  <si>
    <t>P0003118</t>
  </si>
  <si>
    <t>P0003119</t>
  </si>
  <si>
    <t>P0003120</t>
  </si>
  <si>
    <t>P0003121</t>
  </si>
  <si>
    <t>P0003122</t>
  </si>
  <si>
    <t>P0003123</t>
  </si>
  <si>
    <t>P0003124</t>
  </si>
  <si>
    <t>P0003125</t>
  </si>
  <si>
    <t>P0003126</t>
  </si>
  <si>
    <t>P0003127</t>
  </si>
  <si>
    <t>P0003128</t>
  </si>
  <si>
    <t>P0003129</t>
  </si>
  <si>
    <t>P0003130</t>
  </si>
  <si>
    <t>P0003131</t>
  </si>
  <si>
    <t>P0003132</t>
  </si>
  <si>
    <t>P0003133</t>
  </si>
  <si>
    <t>P0003134</t>
  </si>
  <si>
    <t>P0003135</t>
  </si>
  <si>
    <t>P0003136</t>
  </si>
  <si>
    <t>P0003137</t>
  </si>
  <si>
    <t>P0003138</t>
  </si>
  <si>
    <t>P0003139</t>
  </si>
  <si>
    <t>P0003140</t>
  </si>
  <si>
    <t>P0003141</t>
  </si>
  <si>
    <t>P0003142</t>
  </si>
  <si>
    <t>P0003143</t>
  </si>
  <si>
    <t>P0003144</t>
  </si>
  <si>
    <t>P0003145</t>
  </si>
  <si>
    <t>P0003146</t>
  </si>
  <si>
    <t>P0003147</t>
  </si>
  <si>
    <t>P0003148</t>
  </si>
  <si>
    <t>P0003149</t>
  </si>
  <si>
    <t>P0003150</t>
  </si>
  <si>
    <t>P0003151</t>
  </si>
  <si>
    <t>P0003152</t>
  </si>
  <si>
    <t>P0003153</t>
  </si>
  <si>
    <t>P0003154</t>
  </si>
  <si>
    <t>P0003155</t>
  </si>
  <si>
    <t>P0003156</t>
  </si>
  <si>
    <t>P0003157</t>
  </si>
  <si>
    <t>P0003158</t>
  </si>
  <si>
    <t>P0003159</t>
  </si>
  <si>
    <t>P0003160</t>
  </si>
  <si>
    <t>P0003161</t>
  </si>
  <si>
    <t>P0003162</t>
  </si>
  <si>
    <t>P0003163</t>
  </si>
  <si>
    <t>P0003164</t>
  </si>
  <si>
    <t>P0003165</t>
  </si>
  <si>
    <t>P0003166</t>
  </si>
  <si>
    <t>P0003167</t>
  </si>
  <si>
    <t>P0003168</t>
  </si>
  <si>
    <t>P0003169</t>
  </si>
  <si>
    <t>P0003170</t>
  </si>
  <si>
    <t>P0003171</t>
  </si>
  <si>
    <t>P0003172</t>
  </si>
  <si>
    <t>P0003173</t>
  </si>
  <si>
    <t>P0003174</t>
  </si>
  <si>
    <t>P0003175</t>
  </si>
  <si>
    <t>P0003176</t>
  </si>
  <si>
    <t>P0003177</t>
  </si>
  <si>
    <t>P0003178</t>
  </si>
  <si>
    <t>P0003179</t>
  </si>
  <si>
    <t>P0003180</t>
  </si>
  <si>
    <t>P0003181</t>
  </si>
  <si>
    <t>P0003182</t>
  </si>
  <si>
    <t>P0003183</t>
  </si>
  <si>
    <t>P0003184</t>
  </si>
  <si>
    <t>P0003185</t>
  </si>
  <si>
    <t>P0003186</t>
  </si>
  <si>
    <t>P0003187</t>
  </si>
  <si>
    <t>P0003188</t>
  </si>
  <si>
    <t>P0003189</t>
  </si>
  <si>
    <t>P0003190</t>
  </si>
  <si>
    <t>P0003191</t>
  </si>
  <si>
    <t>P0003192</t>
  </si>
  <si>
    <t>P0003193</t>
  </si>
  <si>
    <t>P0003194</t>
  </si>
  <si>
    <t>P0003195</t>
  </si>
  <si>
    <t>P0003196</t>
  </si>
  <si>
    <t>P0003197</t>
  </si>
  <si>
    <t>P0003198</t>
  </si>
  <si>
    <t>P0003199</t>
  </si>
  <si>
    <t>P0003200</t>
  </si>
  <si>
    <t>P0003201</t>
  </si>
  <si>
    <t>P0003202</t>
  </si>
  <si>
    <t>P0003203</t>
  </si>
  <si>
    <t>P0003204</t>
  </si>
  <si>
    <t>P0003205</t>
  </si>
  <si>
    <t>P0003206</t>
  </si>
  <si>
    <t>P0003207</t>
  </si>
  <si>
    <t>P0003208</t>
  </si>
  <si>
    <t>P0003209</t>
  </si>
  <si>
    <t>P0003210</t>
  </si>
  <si>
    <t>P0003211</t>
  </si>
  <si>
    <t>P0003212</t>
  </si>
  <si>
    <t>P0003213</t>
  </si>
  <si>
    <t>P0003214</t>
  </si>
  <si>
    <t>P0003215</t>
  </si>
  <si>
    <t>P0003216</t>
  </si>
  <si>
    <t>P0003217</t>
  </si>
  <si>
    <t>P0003218</t>
  </si>
  <si>
    <t>P0003219</t>
  </si>
  <si>
    <t>P0003220</t>
  </si>
  <si>
    <t>P0003221</t>
  </si>
  <si>
    <t>P0003222</t>
  </si>
  <si>
    <t>P0003223</t>
  </si>
  <si>
    <t>P0003224</t>
  </si>
  <si>
    <t>P0003225</t>
  </si>
  <si>
    <t>P0003226</t>
  </si>
  <si>
    <t>P0003227</t>
  </si>
  <si>
    <t>P0003228</t>
  </si>
  <si>
    <t>P0003229</t>
  </si>
  <si>
    <t>P0003230</t>
  </si>
  <si>
    <t>P0003231</t>
  </si>
  <si>
    <t>P0003232</t>
  </si>
  <si>
    <t>P0003233</t>
  </si>
  <si>
    <t>P0003234</t>
  </si>
  <si>
    <t>P0003235</t>
  </si>
  <si>
    <t>P0003236</t>
  </si>
  <si>
    <t>P0003237</t>
  </si>
  <si>
    <t>P0003238</t>
  </si>
  <si>
    <t>P0003239</t>
  </si>
  <si>
    <t>P0003240</t>
  </si>
  <si>
    <t>P0003241</t>
  </si>
  <si>
    <t>P0003242</t>
  </si>
  <si>
    <t>P0003243</t>
  </si>
  <si>
    <t>P0003244</t>
  </si>
  <si>
    <t>P0003245</t>
  </si>
  <si>
    <t>P0003246</t>
  </si>
  <si>
    <t>P0003247</t>
  </si>
  <si>
    <t>P0003248</t>
  </si>
  <si>
    <t>P0003249</t>
  </si>
  <si>
    <t>P0003250</t>
  </si>
  <si>
    <t>P0003251</t>
  </si>
  <si>
    <t>P0003252</t>
  </si>
  <si>
    <t>P0003253</t>
  </si>
  <si>
    <t>P0003254</t>
  </si>
  <si>
    <t>P0003255</t>
  </si>
  <si>
    <t>P0003256</t>
  </si>
  <si>
    <t>P0003257</t>
  </si>
  <si>
    <t>P0003258</t>
  </si>
  <si>
    <t>P0003259</t>
  </si>
  <si>
    <t>P0003260</t>
  </si>
  <si>
    <t>P0003261</t>
  </si>
  <si>
    <t>P0003262</t>
  </si>
  <si>
    <t>P0003263</t>
  </si>
  <si>
    <t>P0003264</t>
  </si>
  <si>
    <t>P0003265</t>
  </si>
  <si>
    <t>P0003266</t>
  </si>
  <si>
    <t>P0003267</t>
  </si>
  <si>
    <t>P0003268</t>
  </si>
  <si>
    <t>P0003269</t>
  </si>
  <si>
    <t>P0003270</t>
  </si>
  <si>
    <t>P0003271</t>
  </si>
  <si>
    <t>P0003272</t>
  </si>
  <si>
    <t>P0003273</t>
  </si>
  <si>
    <t>P0003274</t>
  </si>
  <si>
    <t>P0003275</t>
  </si>
  <si>
    <t>P0003276</t>
  </si>
  <si>
    <t>P0003277</t>
  </si>
  <si>
    <t>P0003278</t>
  </si>
  <si>
    <t>P0003279</t>
  </si>
  <si>
    <t>P0003280</t>
  </si>
  <si>
    <t>P0003281</t>
  </si>
  <si>
    <t>P0003282</t>
  </si>
  <si>
    <t>P0003283</t>
  </si>
  <si>
    <t>P0003284</t>
  </si>
  <si>
    <t>P0003285</t>
  </si>
  <si>
    <t>P0003286</t>
  </si>
  <si>
    <t>P0003287</t>
  </si>
  <si>
    <t>P0003288</t>
  </si>
  <si>
    <t>P0003289</t>
  </si>
  <si>
    <t>P0003290</t>
  </si>
  <si>
    <t>P0003291</t>
  </si>
  <si>
    <t>P0003292</t>
  </si>
  <si>
    <t>P0003293</t>
  </si>
  <si>
    <t>P0003294</t>
  </si>
  <si>
    <t>P0003295</t>
  </si>
  <si>
    <t>P0003296</t>
  </si>
  <si>
    <t>P0003297</t>
  </si>
  <si>
    <t>P0003298</t>
  </si>
  <si>
    <t>P0003299</t>
  </si>
  <si>
    <t>P0003300</t>
  </si>
  <si>
    <t>P0003301</t>
  </si>
  <si>
    <t>P0003302</t>
  </si>
  <si>
    <t>P0003303</t>
  </si>
  <si>
    <t>P0003304</t>
  </si>
  <si>
    <t>P0003305</t>
  </si>
  <si>
    <t>P0003306</t>
  </si>
  <si>
    <t>P0003307</t>
  </si>
  <si>
    <t>P0003308</t>
  </si>
  <si>
    <t>P0003309</t>
  </si>
  <si>
    <t>P0003310</t>
  </si>
  <si>
    <t>P0003311</t>
  </si>
  <si>
    <t>P0003312</t>
  </si>
  <si>
    <t>P0003313</t>
  </si>
  <si>
    <t>P0003314</t>
  </si>
  <si>
    <t>P0003315</t>
  </si>
  <si>
    <t>P0003316</t>
  </si>
  <si>
    <t>P0003317</t>
  </si>
  <si>
    <t>P0003318</t>
  </si>
  <si>
    <t>P0003319</t>
  </si>
  <si>
    <t>P0003320</t>
  </si>
  <si>
    <t>P0003321</t>
  </si>
  <si>
    <t>P0003322</t>
  </si>
  <si>
    <t>P0003323</t>
  </si>
  <si>
    <t>P0003324</t>
  </si>
  <si>
    <t>P0003325</t>
  </si>
  <si>
    <t>P0003326</t>
  </si>
  <si>
    <t>P0003327</t>
  </si>
  <si>
    <t>P0003328</t>
  </si>
  <si>
    <t>P0003329</t>
  </si>
  <si>
    <t>P0003330</t>
  </si>
  <si>
    <t>P0003331</t>
  </si>
  <si>
    <t>P0003332</t>
  </si>
  <si>
    <t>P0003333</t>
  </si>
  <si>
    <t>P0003334</t>
  </si>
  <si>
    <t>P0003335</t>
  </si>
  <si>
    <t>P0003336</t>
  </si>
  <si>
    <t>P0003337</t>
  </si>
  <si>
    <t>P0003338</t>
  </si>
  <si>
    <t>P0003339</t>
  </si>
  <si>
    <t>P0003340</t>
  </si>
  <si>
    <t>P0003341</t>
  </si>
  <si>
    <t>P0003342</t>
  </si>
  <si>
    <t>P0003343</t>
  </si>
  <si>
    <t>P0003344</t>
  </si>
  <si>
    <t>P0003345</t>
  </si>
  <si>
    <t>P0003346</t>
  </si>
  <si>
    <t>P0003347</t>
  </si>
  <si>
    <t>P0003348</t>
  </si>
  <si>
    <t>P0003349</t>
  </si>
  <si>
    <t>P0003350</t>
  </si>
  <si>
    <t>P0003351</t>
  </si>
  <si>
    <t>P0003352</t>
  </si>
  <si>
    <t>P0003353</t>
  </si>
  <si>
    <t>P0003354</t>
  </si>
  <si>
    <t>P0003355</t>
  </si>
  <si>
    <t>P0003356</t>
  </si>
  <si>
    <t>P0003357</t>
  </si>
  <si>
    <t>P0003358</t>
  </si>
  <si>
    <t>P0003359</t>
  </si>
  <si>
    <t>P0003360</t>
  </si>
  <si>
    <t>P0003361</t>
  </si>
  <si>
    <t>P0003362</t>
  </si>
  <si>
    <t>P0003363</t>
  </si>
  <si>
    <t>P0003364</t>
  </si>
  <si>
    <t>P0003365</t>
  </si>
  <si>
    <t>P0003366</t>
  </si>
  <si>
    <t>P0003367</t>
  </si>
  <si>
    <t>P0003368</t>
  </si>
  <si>
    <t>P0003369</t>
  </si>
  <si>
    <t>P0003370</t>
  </si>
  <si>
    <t>P0003371</t>
  </si>
  <si>
    <t>P0003372</t>
  </si>
  <si>
    <t>P0003373</t>
  </si>
  <si>
    <t>P0003374</t>
  </si>
  <si>
    <t>P0003375</t>
  </si>
  <si>
    <t>P0003376</t>
  </si>
  <si>
    <t>P0003377</t>
  </si>
  <si>
    <t>P0003378</t>
  </si>
  <si>
    <t>P0003379</t>
  </si>
  <si>
    <t>P0003380</t>
  </si>
  <si>
    <t>P0003381</t>
  </si>
  <si>
    <t>P0003382</t>
  </si>
  <si>
    <t>P0003383</t>
  </si>
  <si>
    <t>P0003384</t>
  </si>
  <si>
    <t>P0003385</t>
  </si>
  <si>
    <t>P0003386</t>
  </si>
  <si>
    <t>P0003387</t>
  </si>
  <si>
    <t>P0003388</t>
  </si>
  <si>
    <t>P0003389</t>
  </si>
  <si>
    <t>P0003390</t>
  </si>
  <si>
    <t>P0003391</t>
  </si>
  <si>
    <t>P0003392</t>
  </si>
  <si>
    <t>P0003393</t>
  </si>
  <si>
    <t>P0003394</t>
  </si>
  <si>
    <t>P0003395</t>
  </si>
  <si>
    <t>P0003396</t>
  </si>
  <si>
    <t>P0003397</t>
  </si>
  <si>
    <t>P0003398</t>
  </si>
  <si>
    <t>P0003399</t>
  </si>
  <si>
    <t>P0003400</t>
  </si>
  <si>
    <t>P0003401</t>
  </si>
  <si>
    <t>P0003402</t>
  </si>
  <si>
    <t>P0003403</t>
  </si>
  <si>
    <t>P0003404</t>
  </si>
  <si>
    <t>P0003405</t>
  </si>
  <si>
    <t>P0003406</t>
  </si>
  <si>
    <t>P0003407</t>
  </si>
  <si>
    <t>P0003408</t>
  </si>
  <si>
    <t>P0003409</t>
  </si>
  <si>
    <t>P0003410</t>
  </si>
  <si>
    <t>P0003411</t>
  </si>
  <si>
    <t>P0003412</t>
  </si>
  <si>
    <t>P0003413</t>
  </si>
  <si>
    <t>P0003414</t>
  </si>
  <si>
    <t>P0003415</t>
  </si>
  <si>
    <t>P0003416</t>
  </si>
  <si>
    <t>P0003417</t>
  </si>
  <si>
    <t>P0003418</t>
  </si>
  <si>
    <t>P0003419</t>
  </si>
  <si>
    <t>P0003420</t>
  </si>
  <si>
    <t>P0003421</t>
  </si>
  <si>
    <t>P0003422</t>
  </si>
  <si>
    <t>P0003423</t>
  </si>
  <si>
    <t>P0003424</t>
  </si>
  <si>
    <t>P0003425</t>
  </si>
  <si>
    <t>P0003426</t>
  </si>
  <si>
    <t>P0003427</t>
  </si>
  <si>
    <t>P0003428</t>
  </si>
  <si>
    <t>P0003429</t>
  </si>
  <si>
    <t>P0003430</t>
  </si>
  <si>
    <t>P0003431</t>
  </si>
  <si>
    <t>P0003432</t>
  </si>
  <si>
    <t>P0003433</t>
  </si>
  <si>
    <t>P0003434</t>
  </si>
  <si>
    <t>P0003435</t>
  </si>
  <si>
    <t>P0003436</t>
  </si>
  <si>
    <t>P0003437</t>
  </si>
  <si>
    <t>P0003438</t>
  </si>
  <si>
    <t>P0003439</t>
  </si>
  <si>
    <t>P0003440</t>
  </si>
  <si>
    <t>P0003441</t>
  </si>
  <si>
    <t>P0003442</t>
  </si>
  <si>
    <t>P0003443</t>
  </si>
  <si>
    <t>P0003444</t>
  </si>
  <si>
    <t>P0003445</t>
  </si>
  <si>
    <t>P0003446</t>
  </si>
  <si>
    <t>P0003447</t>
  </si>
  <si>
    <t>P0003448</t>
  </si>
  <si>
    <t>P0003449</t>
  </si>
  <si>
    <t>P0003450</t>
  </si>
  <si>
    <t>P0003451</t>
  </si>
  <si>
    <t>P0003452</t>
  </si>
  <si>
    <t>P0003453</t>
  </si>
  <si>
    <t>P0003454</t>
  </si>
  <si>
    <t>P0003455</t>
  </si>
  <si>
    <t>P0003456</t>
  </si>
  <si>
    <t>P0003457</t>
  </si>
  <si>
    <t>P0003458</t>
  </si>
  <si>
    <t>P0003459</t>
  </si>
  <si>
    <t>P0003460</t>
  </si>
  <si>
    <t>P0003461</t>
  </si>
  <si>
    <t>P0003462</t>
  </si>
  <si>
    <t>P0003463</t>
  </si>
  <si>
    <t>P0003464</t>
  </si>
  <si>
    <t>P0003465</t>
  </si>
  <si>
    <t>P0003466</t>
  </si>
  <si>
    <t>P0003467</t>
  </si>
  <si>
    <t>P0003468</t>
  </si>
  <si>
    <t>P0003469</t>
  </si>
  <si>
    <t>P0003470</t>
  </si>
  <si>
    <t>P0003471</t>
  </si>
  <si>
    <t>P0003472</t>
  </si>
  <si>
    <t>P0003473</t>
  </si>
  <si>
    <t>P0003474</t>
  </si>
  <si>
    <t>P0003475</t>
  </si>
  <si>
    <t>P0003476</t>
  </si>
  <si>
    <t>P0003477</t>
  </si>
  <si>
    <t>P0003478</t>
  </si>
  <si>
    <t>P0003479</t>
  </si>
  <si>
    <t>P0003480</t>
  </si>
  <si>
    <t>P0003481</t>
  </si>
  <si>
    <t>P0003482</t>
  </si>
  <si>
    <t>P0003483</t>
  </si>
  <si>
    <t>P0003484</t>
  </si>
  <si>
    <t>P0003485</t>
  </si>
  <si>
    <t>P0003486</t>
  </si>
  <si>
    <t>P0003487</t>
  </si>
  <si>
    <t>P0003488</t>
  </si>
  <si>
    <t>P0003489</t>
  </si>
  <si>
    <t>P0003490</t>
  </si>
  <si>
    <t>P0003491</t>
  </si>
  <si>
    <t>P0003492</t>
  </si>
  <si>
    <t>P0003493</t>
  </si>
  <si>
    <t>P0003494</t>
  </si>
  <si>
    <t>P0003495</t>
  </si>
  <si>
    <t>P0003496</t>
  </si>
  <si>
    <t>P0003497</t>
  </si>
  <si>
    <t>P0003498</t>
  </si>
  <si>
    <t>P0003499</t>
  </si>
  <si>
    <t>P0003500</t>
  </si>
  <si>
    <t>P0003501</t>
  </si>
  <si>
    <t>P0003502</t>
  </si>
  <si>
    <t>P0003503</t>
  </si>
  <si>
    <t>P0003504</t>
  </si>
  <si>
    <t>P0003505</t>
  </si>
  <si>
    <t>P0003506</t>
  </si>
  <si>
    <t>P0003507</t>
  </si>
  <si>
    <t>P0003508</t>
  </si>
  <si>
    <t>P0003509</t>
  </si>
  <si>
    <t>P0003510</t>
  </si>
  <si>
    <t>P0003511</t>
  </si>
  <si>
    <t>P0003512</t>
  </si>
  <si>
    <t>P0003513</t>
  </si>
  <si>
    <t>P0003514</t>
  </si>
  <si>
    <t>P0003515</t>
  </si>
  <si>
    <t>P0003516</t>
  </si>
  <si>
    <t>P0003517</t>
  </si>
  <si>
    <t>P0003518</t>
  </si>
  <si>
    <t>P0003519</t>
  </si>
  <si>
    <t>P0003520</t>
  </si>
  <si>
    <t>P0003521</t>
  </si>
  <si>
    <t>P0003522</t>
  </si>
  <si>
    <t>P0003523</t>
  </si>
  <si>
    <t>P0003524</t>
  </si>
  <si>
    <t>P0003525</t>
  </si>
  <si>
    <t>P0003526</t>
  </si>
  <si>
    <t>P0003527</t>
  </si>
  <si>
    <t>P0003528</t>
  </si>
  <si>
    <t>P0003529</t>
  </si>
  <si>
    <t>P0003530</t>
  </si>
  <si>
    <t>P0003531</t>
  </si>
  <si>
    <t>P0003532</t>
  </si>
  <si>
    <t>P0003533</t>
  </si>
  <si>
    <t>P0003534</t>
  </si>
  <si>
    <t>P0003535</t>
  </si>
  <si>
    <t>P0003536</t>
  </si>
  <si>
    <t>P0003537</t>
  </si>
  <si>
    <t>P0003538</t>
  </si>
  <si>
    <t>P0003539</t>
  </si>
  <si>
    <t>P0003540</t>
  </si>
  <si>
    <t>P0003541</t>
  </si>
  <si>
    <t>P0003542</t>
  </si>
  <si>
    <t>P0003543</t>
  </si>
  <si>
    <t>P0003544</t>
  </si>
  <si>
    <t>P0003545</t>
  </si>
  <si>
    <t>P0003546</t>
  </si>
  <si>
    <t>P0003547</t>
  </si>
  <si>
    <t>P0003548</t>
  </si>
  <si>
    <t>P0003549</t>
  </si>
  <si>
    <t>P0003550</t>
  </si>
  <si>
    <t>P0003551</t>
  </si>
  <si>
    <t>P0003552</t>
  </si>
  <si>
    <t>P0003553</t>
  </si>
  <si>
    <t>P0003554</t>
  </si>
  <si>
    <t>P0003555</t>
  </si>
  <si>
    <t>P0003556</t>
  </si>
  <si>
    <t>P0003557</t>
  </si>
  <si>
    <t>P0003558</t>
  </si>
  <si>
    <t>P0003559</t>
  </si>
  <si>
    <t>P0003560</t>
  </si>
  <si>
    <t>P0003561</t>
  </si>
  <si>
    <t>P0003562</t>
  </si>
  <si>
    <t>P0003563</t>
  </si>
  <si>
    <t>P0003564</t>
  </si>
  <si>
    <t>P0003565</t>
  </si>
  <si>
    <t>P0003566</t>
  </si>
  <si>
    <t>P0003567</t>
  </si>
  <si>
    <t>P0003568</t>
  </si>
  <si>
    <t>P0003569</t>
  </si>
  <si>
    <t>P0003570</t>
  </si>
  <si>
    <t>P0003571</t>
  </si>
  <si>
    <t>P0003572</t>
  </si>
  <si>
    <t>P0003573</t>
  </si>
  <si>
    <t>P0003574</t>
  </si>
  <si>
    <t>P0003575</t>
  </si>
  <si>
    <t>P0003576</t>
  </si>
  <si>
    <t>P0003577</t>
  </si>
  <si>
    <t>P0003578</t>
  </si>
  <si>
    <t>P0003579</t>
  </si>
  <si>
    <t>P0003580</t>
  </si>
  <si>
    <t>P0003581</t>
  </si>
  <si>
    <t>P0003582</t>
  </si>
  <si>
    <t>P0003583</t>
  </si>
  <si>
    <t>P0003584</t>
  </si>
  <si>
    <t>P0003585</t>
  </si>
  <si>
    <t>P0003586</t>
  </si>
  <si>
    <t>P0003587</t>
  </si>
  <si>
    <t>P0003588</t>
  </si>
  <si>
    <t>P0003589</t>
  </si>
  <si>
    <t>P0003590</t>
  </si>
  <si>
    <t>P0003591</t>
  </si>
  <si>
    <t>P0003592</t>
  </si>
  <si>
    <t>P0003593</t>
  </si>
  <si>
    <t>P0003594</t>
  </si>
  <si>
    <t>P0003595</t>
  </si>
  <si>
    <t>P0003596</t>
  </si>
  <si>
    <t>P0003597</t>
  </si>
  <si>
    <t>P0003598</t>
  </si>
  <si>
    <t>P0003599</t>
  </si>
  <si>
    <t>P0003600</t>
  </si>
  <si>
    <t>P0003601</t>
  </si>
  <si>
    <t>P0003602</t>
  </si>
  <si>
    <t>P0003603</t>
  </si>
  <si>
    <t>P0003604</t>
  </si>
  <si>
    <t>P0003605</t>
  </si>
  <si>
    <t>P0003606</t>
  </si>
  <si>
    <t>P0003607</t>
  </si>
  <si>
    <t>Tier</t>
  </si>
  <si>
    <t>權限主管</t>
  </si>
  <si>
    <t>月目標運費門檻</t>
  </si>
  <si>
    <t>溫層</t>
  </si>
  <si>
    <t>區域</t>
  </si>
  <si>
    <t>說明</t>
  </si>
  <si>
    <t>貨物加值保險費率</t>
  </si>
  <si>
    <t>所長</t>
  </si>
  <si>
    <t>--</t>
  </si>
  <si>
    <t>本島</t>
  </si>
  <si>
    <t>附件一權限價</t>
  </si>
  <si>
    <t>1.00% ~ 0.70%</t>
  </si>
  <si>
    <t>處長</t>
  </si>
  <si>
    <t>0.69% ~ 0.50%</t>
  </si>
  <si>
    <t>協理</t>
  </si>
  <si>
    <t>N/A</t>
  </si>
  <si>
    <t>0.49% ~ 0.30%</t>
  </si>
  <si>
    <t>副總經理</t>
  </si>
  <si>
    <t>0.29%以下</t>
  </si>
  <si>
    <t>總經理</t>
  </si>
  <si>
    <t>專案經理</t>
  </si>
  <si>
    <t>2,000元以上</t>
  </si>
  <si>
    <t>代收貨款教學簡化</t>
  </si>
  <si>
    <t>金額區間</t>
  </si>
  <si>
    <t>低量客戶</t>
  </si>
  <si>
    <t>較高量客戶</t>
  </si>
  <si>
    <t>備註</t>
  </si>
  <si>
    <t>1~2,000</t>
  </si>
  <si>
    <t>30</t>
  </si>
  <si>
    <t>25</t>
  </si>
  <si>
    <t>依附件三量體級距</t>
  </si>
  <si>
    <t>3,000元以上</t>
  </si>
  <si>
    <t>2,001~5,000</t>
  </si>
  <si>
    <t>50~55</t>
  </si>
  <si>
    <t>40~50</t>
  </si>
  <si>
    <t>5,001~10,000</t>
  </si>
  <si>
    <t>80~85</t>
  </si>
  <si>
    <t>50</t>
  </si>
  <si>
    <t>10,001~20,000</t>
  </si>
  <si>
    <t>110~115</t>
  </si>
  <si>
    <t>100</t>
  </si>
  <si>
    <t>20,001~30,000</t>
  </si>
  <si>
    <t>140~145</t>
  </si>
  <si>
    <t>5,000元以上</t>
  </si>
  <si>
    <t>30,001~50,000</t>
  </si>
  <si>
    <t>170~175</t>
  </si>
  <si>
    <t>150</t>
  </si>
  <si>
    <t>WMS_Package_Data 已依此精神模擬 COD_Fee</t>
  </si>
  <si>
    <t>非正式報價</t>
  </si>
  <si>
    <t>50,000元以上</t>
  </si>
  <si>
    <t>100,000元以上</t>
  </si>
  <si>
    <t>欄位</t>
  </si>
  <si>
    <t>角色</t>
  </si>
  <si>
    <t>教學意義</t>
  </si>
  <si>
    <t>Feature</t>
  </si>
  <si>
    <t>客戶量體與規模經濟</t>
  </si>
  <si>
    <t>Package_Size / Size_Score</t>
  </si>
  <si>
    <t>S60/S90/S120/S150 材積級距</t>
  </si>
  <si>
    <t>重量；與大材積形成交互成本</t>
  </si>
  <si>
    <t>Temperature / Temp_Flag</t>
  </si>
  <si>
    <t>常溫/低溫</t>
  </si>
  <si>
    <t>Destination_Region / Region_Code</t>
  </si>
  <si>
    <t>北中南東離島</t>
  </si>
  <si>
    <t>偏遠配送門檻效應</t>
  </si>
  <si>
    <t>幹線與末端距離代理</t>
  </si>
  <si>
    <t>COD_Flag / COD_Amount</t>
  </si>
  <si>
    <t>代收服務</t>
  </si>
  <si>
    <t>Insurance_Flag / Declared_Value</t>
  </si>
  <si>
    <t>高價貨物/保險</t>
  </si>
  <si>
    <t>二次配送成本</t>
  </si>
  <si>
    <t>當日配額外成本</t>
  </si>
  <si>
    <t>集貨密度與規模經濟</t>
  </si>
  <si>
    <t>Target y</t>
  </si>
  <si>
    <t>三模型預測目標</t>
  </si>
  <si>
    <t>Constraint</t>
  </si>
  <si>
    <t>三合一報價權限/底價</t>
  </si>
  <si>
    <t>Optimized Quote</t>
  </si>
  <si>
    <t>Output</t>
  </si>
  <si>
    <t>MAX(規則底價, 預測成本/(1-目標毛利率))</t>
  </si>
  <si>
    <t>三模型成本預測與成本－報價最佳化比較</t>
  </si>
  <si>
    <t>Model</t>
  </si>
  <si>
    <t>Cost RMSE</t>
  </si>
  <si>
    <t>Quote RMSE</t>
  </si>
  <si>
    <t>R2</t>
  </si>
  <si>
    <t>MAE_Cost</t>
  </si>
  <si>
    <t>RMSE_Cost</t>
  </si>
  <si>
    <t>MAPE_Cost_%</t>
  </si>
  <si>
    <t>Quote_MAE</t>
  </si>
  <si>
    <t>Quote_RMSE</t>
  </si>
  <si>
    <t>Underpricing_Rate_%</t>
  </si>
  <si>
    <t>Severe_Underpricing_%</t>
  </si>
  <si>
    <t>Avg_Realized_GM_%</t>
  </si>
  <si>
    <t>Avg_Optimized_Quote</t>
  </si>
  <si>
    <t>判讀</t>
  </si>
  <si>
    <t>Multiple Regression</t>
  </si>
  <si>
    <t>線性基準；可解釋但較難吸收門檻與交互作用</t>
  </si>
  <si>
    <t>Random Forest</t>
  </si>
  <si>
    <t>非線性模型；可捕捉交互作用，但本測試集極端誤差較大</t>
  </si>
  <si>
    <t>XGBoost</t>
  </si>
  <si>
    <t>成本與報價主要誤差指標最佳，建議作為主模型</t>
  </si>
  <si>
    <t>判讀重點</t>
  </si>
  <si>
    <t>最佳</t>
  </si>
  <si>
    <t>R²</t>
  </si>
  <si>
    <t>Cost MAPE %</t>
  </si>
  <si>
    <t>Severe Underpricing %</t>
  </si>
  <si>
    <t>如何形成「XGBoost 最優」結論</t>
  </si>
  <si>
    <t>不能只看 R²；要同時看 MAE / RMSE / MAPE</t>
  </si>
  <si>
    <t>再把 Predicted Cost 轉成 Optimized Quote，比較 Quote MAE / RMSE 與低報風險</t>
  </si>
  <si>
    <t>本資料中 XGBoost 在主要成本誤差與報價誤差均最低，因此可支持採用</t>
  </si>
  <si>
    <t>Actual_Cost</t>
  </si>
  <si>
    <t>Rule_Floor</t>
  </si>
  <si>
    <t>Target_Margin</t>
  </si>
  <si>
    <t>MR_Pred_Cost</t>
  </si>
  <si>
    <t>RF_Pred_Cost</t>
  </si>
  <si>
    <t>XGB_Pred_Cost</t>
  </si>
  <si>
    <t>Ideal_Quote</t>
  </si>
  <si>
    <t>MR_Optimized_Quote</t>
  </si>
  <si>
    <t>RF_Optimized_Quote</t>
  </si>
  <si>
    <t>XGB_Optimized_Quote</t>
  </si>
  <si>
    <t>MR_Quote_Error</t>
  </si>
  <si>
    <t>RF_Quote_Error</t>
  </si>
  <si>
    <t>XGB_Quote_Error</t>
  </si>
  <si>
    <t>MR_Realized_GM</t>
  </si>
  <si>
    <t>RF_Realized_GM</t>
  </si>
  <si>
    <t>XGB_Realized_GM</t>
  </si>
  <si>
    <t>成本預測 → 三合一最佳報價模擬器</t>
  </si>
  <si>
    <t>參數</t>
  </si>
  <si>
    <t>數值</t>
  </si>
  <si>
    <t>Predicted Cost</t>
  </si>
  <si>
    <t>Rule Floor</t>
  </si>
  <si>
    <t>Target Margin</t>
  </si>
  <si>
    <t>Actual Cost (驗證用)</t>
  </si>
  <si>
    <t>Realized GM</t>
  </si>
  <si>
    <t>使用方式</t>
  </si>
  <si>
    <t>把 Multiple Regression / RF / XGBoost 的 Predicted Cost 輸入 B4</t>
  </si>
  <si>
    <t>B5 輸入該包裹的三合一規則底價</t>
  </si>
  <si>
    <t>B6 設定目標毛利率</t>
  </si>
  <si>
    <t>比較不同模型得到的 Optimized Quote 與實際毛利</t>
  </si>
  <si>
    <r>
      <rPr>
        <b/>
        <sz val="16"/>
        <color rgb="FFFFFFFF"/>
        <rFont val="Microsoft JhengHei"/>
        <family val="2"/>
        <charset val="136"/>
      </rPr>
      <t>物流業</t>
    </r>
    <r>
      <rPr>
        <b/>
        <sz val="16"/>
        <color rgb="FFFFFFFF"/>
        <rFont val="微軟正黑體"/>
        <family val="2"/>
        <charset val="136"/>
      </rPr>
      <t>三合一報價</t>
    </r>
    <r>
      <rPr>
        <b/>
        <sz val="16"/>
        <color rgb="FFFFFFFF"/>
        <rFont val="Arial"/>
        <family val="2"/>
      </rPr>
      <t xml:space="preserve"> </t>
    </r>
    <r>
      <rPr>
        <b/>
        <sz val="16"/>
        <color rgb="FFFFFFFF"/>
        <rFont val="Carlito"/>
        <family val="2"/>
        <charset val="136"/>
      </rPr>
      <t>×</t>
    </r>
    <r>
      <rPr>
        <b/>
        <sz val="16"/>
        <color rgb="FFFFFFFF"/>
        <rFont val="Arial"/>
        <family val="2"/>
      </rPr>
      <t xml:space="preserve"> WMS </t>
    </r>
    <r>
      <rPr>
        <b/>
        <sz val="16"/>
        <color rgb="FFFFFFFF"/>
        <rFont val="微軟正黑體"/>
        <family val="2"/>
        <charset val="136"/>
      </rPr>
      <t>多客戶多包裹</t>
    </r>
    <r>
      <rPr>
        <b/>
        <sz val="16"/>
        <color rgb="FFFFFFFF"/>
        <rFont val="Arial"/>
        <family val="2"/>
      </rPr>
      <t xml:space="preserve"> AI </t>
    </r>
    <r>
      <rPr>
        <b/>
        <sz val="16"/>
        <color rgb="FFFFFFFF"/>
        <rFont val="微軟正黑體"/>
        <family val="2"/>
        <charset val="136"/>
      </rPr>
      <t>成本－報價最佳化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</si>
</sst>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%"/>
    <numFmt numFmtId="178" formatCode="0.0000"/>
  </numFmts>
  <fonts count="12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b/>
      <sz val="15"/>
      <color rgb="FFFFFFFF"/>
      <name val="Carlito"/>
    </font>
    <font>
      <b/>
      <sz val="11"/>
      <name val="Carlito"/>
    </font>
    <font>
      <sz val="11"/>
      <name val="Carlito"/>
    </font>
    <font>
      <sz val="9"/>
      <name val="細明體"/>
      <family val="3"/>
      <charset val="136"/>
    </font>
    <font>
      <b/>
      <sz val="16"/>
      <color rgb="FFFFFFFF"/>
      <name val="微軟正黑體"/>
      <family val="2"/>
      <charset val="136"/>
    </font>
    <font>
      <b/>
      <sz val="16"/>
      <color rgb="FFFFFFFF"/>
      <name val="Arial"/>
      <family val="2"/>
    </font>
    <font>
      <b/>
      <sz val="16"/>
      <color rgb="FFFFFFFF"/>
      <name val="Carlito"/>
      <family val="2"/>
      <charset val="136"/>
    </font>
    <font>
      <b/>
      <sz val="16"/>
      <color rgb="FFFFFFFF"/>
      <name val="Microsoft JhengHei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D54F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76" fontId="0" fillId="0" borderId="0" xfId="1" applyNumberFormat="1" applyFont="1"/>
    <xf numFmtId="177" fontId="0" fillId="0" borderId="0" xfId="1" applyNumberFormat="1" applyFont="1"/>
    <xf numFmtId="4" fontId="0" fillId="0" borderId="0" xfId="1" applyNumberFormat="1" applyFont="1"/>
    <xf numFmtId="0" fontId="5" fillId="4" borderId="0" xfId="1" applyFont="1" applyFill="1"/>
    <xf numFmtId="178" fontId="0" fillId="0" borderId="0" xfId="1" applyNumberFormat="1" applyFont="1"/>
    <xf numFmtId="178" fontId="5" fillId="4" borderId="0" xfId="1" applyNumberFormat="1" applyFont="1" applyFill="1"/>
    <xf numFmtId="2" fontId="0" fillId="0" borderId="0" xfId="1" applyNumberFormat="1" applyFont="1"/>
    <xf numFmtId="2" fontId="5" fillId="4" borderId="0" xfId="1" applyNumberFormat="1" applyFont="1" applyFill="1"/>
    <xf numFmtId="9" fontId="0" fillId="0" borderId="0" xfId="1" applyNumberFormat="1" applyFont="1"/>
    <xf numFmtId="0" fontId="1" fillId="2" borderId="0" xfId="1" applyFont="1" applyFill="1" applyAlignment="1">
      <alignment horizontal="center" wrapText="1"/>
    </xf>
    <xf numFmtId="0" fontId="4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/>
          <a:lstStyle/>
          <a:p>
            <a:r>
              <a:t>Cost RMSE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 RMSE</c:v>
          </c:tx>
          <c:invertIfNegative val="1"/>
          <c:cat>
            <c:strRef>
              <c:f>Model_Comparison!$N$3:$N$5</c:f>
              <c:strCache>
                <c:ptCount val="3"/>
                <c:pt idx="0">
                  <c:v>Multiple Regression</c:v>
                </c:pt>
                <c:pt idx="1">
                  <c:v>Random Forest</c:v>
                </c:pt>
                <c:pt idx="2">
                  <c:v>XGBoost</c:v>
                </c:pt>
              </c:strCache>
            </c:strRef>
          </c:cat>
          <c:val>
            <c:numRef>
              <c:f>Model_Comparison!$O$3:$O$5</c:f>
              <c:numCache>
                <c:formatCode>General</c:formatCode>
                <c:ptCount val="3"/>
                <c:pt idx="0">
                  <c:v>6.1955361887393465</c:v>
                </c:pt>
                <c:pt idx="1">
                  <c:v>8.1865764770515366</c:v>
                </c:pt>
                <c:pt idx="2">
                  <c:v>5.7540241269364136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5-4F43-AFBC-3831F9503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/>
          <a:lstStyle/>
          <a:p>
            <a:r>
              <a:t>Quote RMSE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Quote RMSE</c:v>
          </c:tx>
          <c:invertIfNegative val="1"/>
          <c:cat>
            <c:strRef>
              <c:f>Model_Comparison!$Q$3:$Q$5</c:f>
              <c:strCache>
                <c:ptCount val="3"/>
                <c:pt idx="0">
                  <c:v>Multiple Regression</c:v>
                </c:pt>
                <c:pt idx="1">
                  <c:v>Random Forest</c:v>
                </c:pt>
                <c:pt idx="2">
                  <c:v>XGBoost</c:v>
                </c:pt>
              </c:strCache>
            </c:strRef>
          </c:cat>
          <c:val>
            <c:numRef>
              <c:f>Model_Comparison!$R$3:$R$5</c:f>
              <c:numCache>
                <c:formatCode>General</c:formatCode>
                <c:ptCount val="3"/>
                <c:pt idx="0">
                  <c:v>7.5065363907378764</c:v>
                </c:pt>
                <c:pt idx="1">
                  <c:v>9.9278613284075554</c:v>
                </c:pt>
                <c:pt idx="2">
                  <c:v>6.9916294900909053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9-4D02-B937-EB86662C7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6</xdr:row>
      <xdr:rowOff>0</xdr:rowOff>
    </xdr:from>
    <xdr:to>
      <xdr:col>27</xdr:col>
      <xdr:colOff>0</xdr:colOff>
      <xdr:row>20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>
      <selection activeCell="E10" sqref="E10"/>
    </sheetView>
  </sheetViews>
  <sheetFormatPr defaultRowHeight="14"/>
  <cols>
    <col min="1" max="1" width="18" customWidth="1"/>
    <col min="2" max="2" width="52" customWidth="1"/>
    <col min="3" max="8" width="18" customWidth="1"/>
  </cols>
  <sheetData>
    <row r="1" spans="1:8" ht="20.5">
      <c r="A1" s="15" t="s">
        <v>4032</v>
      </c>
      <c r="B1" s="13"/>
      <c r="C1" s="13"/>
      <c r="D1" s="13"/>
      <c r="E1" s="13"/>
      <c r="F1" s="13"/>
      <c r="G1" s="13"/>
      <c r="H1" s="13"/>
    </row>
    <row r="2" spans="1:8">
      <c r="A2" s="3"/>
      <c r="B2" s="3"/>
      <c r="C2" s="3"/>
      <c r="D2" s="3"/>
      <c r="E2" s="3"/>
      <c r="F2" s="3"/>
      <c r="G2" s="3"/>
      <c r="H2" s="3"/>
    </row>
    <row r="3" spans="1:8">
      <c r="A3" s="1" t="s">
        <v>0</v>
      </c>
      <c r="B3" s="1" t="s">
        <v>1</v>
      </c>
      <c r="C3" s="3"/>
      <c r="D3" s="3"/>
      <c r="E3" s="3"/>
      <c r="F3" s="3"/>
      <c r="G3" s="3"/>
      <c r="H3" s="3"/>
    </row>
    <row r="4" spans="1:8">
      <c r="A4" s="3" t="s">
        <v>2</v>
      </c>
      <c r="B4" s="3" t="s">
        <v>3</v>
      </c>
      <c r="C4" s="3"/>
      <c r="D4" s="3"/>
      <c r="E4" s="3"/>
      <c r="F4" s="3"/>
      <c r="G4" s="3"/>
      <c r="H4" s="3"/>
    </row>
    <row r="5" spans="1:8">
      <c r="A5" s="3" t="s">
        <v>4</v>
      </c>
      <c r="B5" s="3" t="s">
        <v>5</v>
      </c>
      <c r="C5" s="3"/>
      <c r="D5" s="3"/>
      <c r="E5" s="3"/>
      <c r="F5" s="3"/>
      <c r="G5" s="3"/>
      <c r="H5" s="3"/>
    </row>
    <row r="6" spans="1:8">
      <c r="A6" s="3" t="s">
        <v>6</v>
      </c>
      <c r="B6" s="3">
        <v>40</v>
      </c>
      <c r="C6" s="3"/>
      <c r="D6" s="3"/>
      <c r="E6" s="3"/>
      <c r="F6" s="3"/>
      <c r="G6" s="3"/>
      <c r="H6" s="3"/>
    </row>
    <row r="7" spans="1:8">
      <c r="A7" s="3" t="s">
        <v>7</v>
      </c>
      <c r="B7" s="3">
        <v>3607</v>
      </c>
      <c r="C7" s="3"/>
      <c r="D7" s="3"/>
      <c r="E7" s="3"/>
      <c r="F7" s="3"/>
      <c r="G7" s="3"/>
      <c r="H7" s="3"/>
    </row>
    <row r="8" spans="1:8">
      <c r="A8" s="3" t="s">
        <v>8</v>
      </c>
      <c r="B8" s="3">
        <v>901</v>
      </c>
      <c r="C8" s="3"/>
      <c r="D8" s="3"/>
      <c r="E8" s="3"/>
      <c r="F8" s="3"/>
      <c r="G8" s="3"/>
      <c r="H8" s="3"/>
    </row>
    <row r="9" spans="1:8">
      <c r="A9" s="3" t="s">
        <v>9</v>
      </c>
      <c r="B9" s="3" t="s">
        <v>10</v>
      </c>
      <c r="C9" s="3"/>
      <c r="D9" s="3"/>
      <c r="E9" s="3"/>
      <c r="F9" s="3"/>
      <c r="G9" s="3"/>
      <c r="H9" s="3"/>
    </row>
    <row r="10" spans="1:8" ht="28">
      <c r="A10" s="3" t="s">
        <v>11</v>
      </c>
      <c r="B10" s="3" t="s">
        <v>12</v>
      </c>
      <c r="C10" s="3"/>
      <c r="D10" s="3"/>
      <c r="E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2" t="s">
        <v>13</v>
      </c>
      <c r="B12" s="2"/>
      <c r="C12" s="2"/>
      <c r="D12" s="2"/>
      <c r="E12" s="2"/>
      <c r="F12" s="2"/>
      <c r="G12" s="2"/>
      <c r="H12" s="2"/>
    </row>
    <row r="13" spans="1:8">
      <c r="A13" s="3" t="s">
        <v>14</v>
      </c>
      <c r="B13" s="3" t="s">
        <v>15</v>
      </c>
      <c r="C13" s="3"/>
      <c r="D13" s="3"/>
      <c r="E13" s="3"/>
      <c r="F13" s="3"/>
      <c r="G13" s="3"/>
      <c r="H13" s="3"/>
    </row>
    <row r="14" spans="1:8" ht="28">
      <c r="A14" s="3" t="s">
        <v>16</v>
      </c>
      <c r="B14" s="3" t="s">
        <v>17</v>
      </c>
      <c r="C14" s="3"/>
      <c r="D14" s="3"/>
      <c r="E14" s="3"/>
      <c r="F14" s="3"/>
      <c r="G14" s="3"/>
      <c r="H14" s="3"/>
    </row>
    <row r="15" spans="1:8">
      <c r="A15" s="3" t="s">
        <v>18</v>
      </c>
      <c r="B15" s="3" t="s">
        <v>19</v>
      </c>
      <c r="C15" s="3"/>
      <c r="D15" s="3"/>
      <c r="E15" s="3"/>
      <c r="F15" s="3"/>
      <c r="G15" s="3"/>
      <c r="H15" s="3"/>
    </row>
    <row r="16" spans="1:8">
      <c r="A16" s="3" t="s">
        <v>20</v>
      </c>
      <c r="B16" s="3" t="s">
        <v>21</v>
      </c>
      <c r="C16" s="3"/>
      <c r="D16" s="3"/>
      <c r="E16" s="3"/>
      <c r="F16" s="3"/>
      <c r="G16" s="3"/>
      <c r="H16" s="3"/>
    </row>
    <row r="17" spans="1:8" ht="28">
      <c r="A17" s="3" t="s">
        <v>22</v>
      </c>
      <c r="B17" s="3" t="s">
        <v>23</v>
      </c>
      <c r="C17" s="3"/>
      <c r="D17" s="3"/>
      <c r="E17" s="3"/>
      <c r="F17" s="3"/>
      <c r="G17" s="3"/>
      <c r="H17" s="3"/>
    </row>
    <row r="18" spans="1:8" ht="28">
      <c r="A18" s="3" t="s">
        <v>24</v>
      </c>
      <c r="B18" s="3" t="s">
        <v>25</v>
      </c>
      <c r="C18" s="3"/>
      <c r="D18" s="3"/>
      <c r="E18" s="3"/>
      <c r="F18" s="3"/>
      <c r="G18" s="3"/>
      <c r="H18" s="3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2" t="s">
        <v>26</v>
      </c>
      <c r="B20" s="2"/>
      <c r="C20" s="2"/>
      <c r="D20" s="2"/>
      <c r="E20" s="2"/>
      <c r="F20" s="2"/>
      <c r="G20" s="2"/>
      <c r="H20" s="2"/>
    </row>
    <row r="21" spans="1:8">
      <c r="A21" s="3" t="s">
        <v>27</v>
      </c>
      <c r="B21" s="3" t="s">
        <v>28</v>
      </c>
      <c r="C21" s="3"/>
      <c r="D21" s="3"/>
      <c r="E21" s="3"/>
      <c r="F21" s="3"/>
      <c r="G21" s="3"/>
      <c r="H21" s="3"/>
    </row>
    <row r="22" spans="1:8">
      <c r="A22" s="3" t="s">
        <v>29</v>
      </c>
      <c r="B22" s="3" t="s">
        <v>30</v>
      </c>
      <c r="C22" s="3"/>
      <c r="D22" s="3"/>
      <c r="E22" s="3"/>
      <c r="F22" s="3"/>
      <c r="G22" s="3"/>
      <c r="H22" s="3"/>
    </row>
    <row r="23" spans="1:8" ht="28">
      <c r="A23" s="3" t="s">
        <v>31</v>
      </c>
      <c r="B23" s="3" t="s">
        <v>32</v>
      </c>
      <c r="C23" s="3"/>
      <c r="D23" s="3"/>
      <c r="E23" s="3"/>
      <c r="F23" s="3"/>
      <c r="G23" s="3"/>
      <c r="H23" s="3"/>
    </row>
    <row r="24" spans="1:8">
      <c r="A24" s="3" t="s">
        <v>33</v>
      </c>
      <c r="B24" s="3" t="s">
        <v>34</v>
      </c>
      <c r="C24" s="3"/>
      <c r="D24" s="3"/>
      <c r="E24" s="3"/>
      <c r="F24" s="3"/>
      <c r="G24" s="3"/>
      <c r="H24" s="3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>
      <c r="A26" s="3"/>
      <c r="B26" s="3"/>
      <c r="C26" s="3"/>
      <c r="D26" s="3"/>
      <c r="E26" s="3"/>
      <c r="F26" s="3"/>
      <c r="G26" s="3"/>
      <c r="H26" s="3"/>
    </row>
  </sheetData>
  <mergeCells count="1">
    <mergeCell ref="A1:H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1"/>
  <sheetViews>
    <sheetView workbookViewId="0"/>
  </sheetViews>
  <sheetFormatPr defaultRowHeight="14"/>
  <cols>
    <col min="1" max="4" width="16" customWidth="1"/>
    <col min="5" max="17" width="12" customWidth="1"/>
  </cols>
  <sheetData>
    <row r="1" spans="1:17" ht="42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</row>
    <row r="2" spans="1:17">
      <c r="A2" t="s">
        <v>52</v>
      </c>
      <c r="B2" t="s">
        <v>53</v>
      </c>
      <c r="C2" t="s">
        <v>54</v>
      </c>
      <c r="D2" t="s">
        <v>55</v>
      </c>
      <c r="E2">
        <v>0</v>
      </c>
      <c r="F2">
        <v>1145</v>
      </c>
      <c r="G2" s="4">
        <v>0.25192650636221997</v>
      </c>
      <c r="H2" s="4">
        <v>0.20165032717659814</v>
      </c>
      <c r="I2" s="4">
        <v>1.5833345571574221E-2</v>
      </c>
      <c r="J2" s="4">
        <v>0.5305898208896076</v>
      </c>
      <c r="K2" s="4">
        <v>9.7228162920514491E-2</v>
      </c>
      <c r="L2" s="4">
        <v>5.1984701530148253E-2</v>
      </c>
      <c r="M2" s="4">
        <v>0.42901542394809267</v>
      </c>
      <c r="N2" s="4">
        <v>8.6660769510972541E-2</v>
      </c>
      <c r="O2" s="4">
        <v>39.548025059965184</v>
      </c>
      <c r="P2" s="4">
        <v>4253.7564272189175</v>
      </c>
      <c r="Q2" s="4">
        <f t="shared" ref="Q2:Q41" si="0">SUM(G2:J2)</f>
        <v>1</v>
      </c>
    </row>
    <row r="3" spans="1:17">
      <c r="A3" t="s">
        <v>56</v>
      </c>
      <c r="B3" t="s">
        <v>57</v>
      </c>
      <c r="C3" t="s">
        <v>54</v>
      </c>
      <c r="D3" t="s">
        <v>55</v>
      </c>
      <c r="E3">
        <v>0</v>
      </c>
      <c r="F3">
        <v>6155</v>
      </c>
      <c r="G3" s="4">
        <v>0.18606710786248989</v>
      </c>
      <c r="H3" s="4">
        <v>0.64932253277761875</v>
      </c>
      <c r="I3" s="4">
        <v>7.6890326015034233E-2</v>
      </c>
      <c r="J3" s="4">
        <v>8.7720033344857076E-2</v>
      </c>
      <c r="K3" s="4">
        <v>6.5012735681385186E-2</v>
      </c>
      <c r="L3" s="4">
        <v>5.8684746436757459E-2</v>
      </c>
      <c r="M3" s="4">
        <v>0.44164753636108145</v>
      </c>
      <c r="N3" s="4">
        <v>0.11033779129971762</v>
      </c>
      <c r="O3" s="4">
        <v>45.679426774885783</v>
      </c>
      <c r="P3" s="4">
        <v>3478.8051898388585</v>
      </c>
      <c r="Q3" s="4">
        <f t="shared" si="0"/>
        <v>1</v>
      </c>
    </row>
    <row r="4" spans="1:17">
      <c r="A4" t="s">
        <v>58</v>
      </c>
      <c r="B4" t="s">
        <v>59</v>
      </c>
      <c r="C4" t="s">
        <v>60</v>
      </c>
      <c r="D4" t="s">
        <v>55</v>
      </c>
      <c r="E4">
        <v>0</v>
      </c>
      <c r="F4">
        <v>1234</v>
      </c>
      <c r="G4" s="4">
        <v>0.67968720158432738</v>
      </c>
      <c r="H4" s="4">
        <v>0.28916617083147744</v>
      </c>
      <c r="I4" s="4">
        <v>9.3965698305311998E-3</v>
      </c>
      <c r="J4" s="4">
        <v>2.1750057753663957E-2</v>
      </c>
      <c r="K4" s="4">
        <v>0.75404826092563848</v>
      </c>
      <c r="L4" s="4">
        <v>0.15473351434077856</v>
      </c>
      <c r="M4" s="4">
        <v>0.51394996398953419</v>
      </c>
      <c r="N4" s="4">
        <v>4.0830812833249727E-2</v>
      </c>
      <c r="O4" s="4">
        <v>36.417151649426131</v>
      </c>
      <c r="P4" s="4">
        <v>1560.5567495298435</v>
      </c>
      <c r="Q4" s="4">
        <f t="shared" si="0"/>
        <v>1</v>
      </c>
    </row>
    <row r="5" spans="1:17">
      <c r="A5" t="s">
        <v>61</v>
      </c>
      <c r="B5" t="s">
        <v>62</v>
      </c>
      <c r="C5" t="s">
        <v>63</v>
      </c>
      <c r="D5" t="s">
        <v>55</v>
      </c>
      <c r="E5">
        <v>0</v>
      </c>
      <c r="F5">
        <v>2375</v>
      </c>
      <c r="G5" s="4">
        <v>0.84288199010685283</v>
      </c>
      <c r="H5" s="4">
        <v>0.10923913916323767</v>
      </c>
      <c r="I5" s="4">
        <v>4.7440304296591712E-2</v>
      </c>
      <c r="J5" s="4">
        <v>4.3856643331778469E-4</v>
      </c>
      <c r="K5" s="4">
        <v>3.120710067833821E-4</v>
      </c>
      <c r="L5" s="4">
        <v>0.11227249033547215</v>
      </c>
      <c r="M5" s="4">
        <v>0.11536327470327826</v>
      </c>
      <c r="N5" s="4">
        <v>3.8741159446799678E-2</v>
      </c>
      <c r="O5" s="4">
        <v>41.445919567958704</v>
      </c>
      <c r="P5" s="4">
        <v>1073.1056208657158</v>
      </c>
      <c r="Q5" s="4">
        <f t="shared" si="0"/>
        <v>1</v>
      </c>
    </row>
    <row r="6" spans="1:17">
      <c r="A6" t="s">
        <v>64</v>
      </c>
      <c r="B6" t="s">
        <v>65</v>
      </c>
      <c r="C6" t="s">
        <v>54</v>
      </c>
      <c r="D6" t="s">
        <v>55</v>
      </c>
      <c r="E6">
        <v>0</v>
      </c>
      <c r="F6">
        <v>723</v>
      </c>
      <c r="G6" s="4">
        <v>0.53766738723134466</v>
      </c>
      <c r="H6" s="4">
        <v>0.15683039364400847</v>
      </c>
      <c r="I6" s="4">
        <v>0.26510750537617622</v>
      </c>
      <c r="J6" s="4">
        <v>4.0394713748470819E-2</v>
      </c>
      <c r="K6" s="4">
        <v>7.4745230507690275E-2</v>
      </c>
      <c r="L6" s="4">
        <v>0.12063737462540722</v>
      </c>
      <c r="M6" s="4">
        <v>0.11770133364269385</v>
      </c>
      <c r="N6" s="4">
        <v>7.8601378369868621E-2</v>
      </c>
      <c r="O6" s="4">
        <v>46.347263245650524</v>
      </c>
      <c r="P6" s="4">
        <v>3069.7525484783805</v>
      </c>
      <c r="Q6" s="4">
        <f t="shared" si="0"/>
        <v>1.0000000000000002</v>
      </c>
    </row>
    <row r="7" spans="1:17">
      <c r="A7" t="s">
        <v>66</v>
      </c>
      <c r="B7" t="s">
        <v>67</v>
      </c>
      <c r="C7" t="s">
        <v>68</v>
      </c>
      <c r="D7" t="s">
        <v>69</v>
      </c>
      <c r="E7">
        <v>0</v>
      </c>
      <c r="F7">
        <v>526</v>
      </c>
      <c r="G7" s="4">
        <v>4.0773969280877918E-2</v>
      </c>
      <c r="H7" s="4">
        <v>0.63462915065576275</v>
      </c>
      <c r="I7" s="4">
        <v>0.13152236039608428</v>
      </c>
      <c r="J7" s="4">
        <v>0.19307451966727501</v>
      </c>
      <c r="K7" s="4">
        <v>4.7759857201506987E-2</v>
      </c>
      <c r="L7" s="4">
        <v>0.13661868759765677</v>
      </c>
      <c r="M7" s="4">
        <v>0.18008392975720652</v>
      </c>
      <c r="N7" s="4">
        <v>2.0004604152666909E-2</v>
      </c>
      <c r="O7" s="4">
        <v>42.996255082697814</v>
      </c>
      <c r="P7" s="4">
        <v>4915.0383925919396</v>
      </c>
      <c r="Q7" s="4">
        <f t="shared" si="0"/>
        <v>1</v>
      </c>
    </row>
    <row r="8" spans="1:17">
      <c r="A8" t="s">
        <v>70</v>
      </c>
      <c r="B8" t="s">
        <v>71</v>
      </c>
      <c r="C8" t="s">
        <v>72</v>
      </c>
      <c r="D8" t="s">
        <v>55</v>
      </c>
      <c r="E8">
        <v>0</v>
      </c>
      <c r="F8">
        <v>327</v>
      </c>
      <c r="G8" s="4">
        <v>0.45292473792095556</v>
      </c>
      <c r="H8" s="4">
        <v>0.26840981065292485</v>
      </c>
      <c r="I8" s="4">
        <v>0.2666846582477343</v>
      </c>
      <c r="J8" s="4">
        <v>1.1980793178385312E-2</v>
      </c>
      <c r="K8" s="4">
        <v>1.8152851215816741E-2</v>
      </c>
      <c r="L8" s="4">
        <v>2.9160601715656116E-2</v>
      </c>
      <c r="M8" s="4">
        <v>0.63288085677342765</v>
      </c>
      <c r="N8" s="4">
        <v>7.5183302582987235E-2</v>
      </c>
      <c r="O8" s="4">
        <v>34.651434032892972</v>
      </c>
      <c r="P8" s="4">
        <v>2081.168151028131</v>
      </c>
      <c r="Q8" s="4">
        <f t="shared" si="0"/>
        <v>1</v>
      </c>
    </row>
    <row r="9" spans="1:17">
      <c r="A9" t="s">
        <v>73</v>
      </c>
      <c r="B9" t="s">
        <v>74</v>
      </c>
      <c r="C9" t="s">
        <v>63</v>
      </c>
      <c r="D9" t="s">
        <v>55</v>
      </c>
      <c r="E9">
        <v>0</v>
      </c>
      <c r="F9">
        <v>2364</v>
      </c>
      <c r="G9" s="4">
        <v>0.84086008362850384</v>
      </c>
      <c r="H9" s="4">
        <v>0.1448965615123049</v>
      </c>
      <c r="I9" s="4">
        <v>1.4193425670238048E-2</v>
      </c>
      <c r="J9" s="4">
        <v>4.9929188953341135E-5</v>
      </c>
      <c r="K9" s="4">
        <v>1.2394304530260469E-3</v>
      </c>
      <c r="L9" s="4">
        <v>3.0882407065836379E-2</v>
      </c>
      <c r="M9" s="4">
        <v>0.23050542134889543</v>
      </c>
      <c r="N9" s="4">
        <v>6.9664499326452828E-2</v>
      </c>
      <c r="O9" s="4">
        <v>50.48842680402273</v>
      </c>
      <c r="P9" s="4">
        <v>1119.5186965548985</v>
      </c>
      <c r="Q9" s="4">
        <f t="shared" si="0"/>
        <v>1.0000000000000002</v>
      </c>
    </row>
    <row r="10" spans="1:17">
      <c r="A10" t="s">
        <v>75</v>
      </c>
      <c r="B10" t="s">
        <v>76</v>
      </c>
      <c r="C10" t="s">
        <v>77</v>
      </c>
      <c r="D10" t="s">
        <v>55</v>
      </c>
      <c r="E10">
        <v>0</v>
      </c>
      <c r="F10">
        <v>2470</v>
      </c>
      <c r="G10" s="4">
        <v>0.28122457579818183</v>
      </c>
      <c r="H10" s="4">
        <v>0.58076472701496573</v>
      </c>
      <c r="I10" s="4">
        <v>7.5508701697906286E-2</v>
      </c>
      <c r="J10" s="4">
        <v>6.2501995488946277E-2</v>
      </c>
      <c r="K10" s="4">
        <v>4.6563900671919539E-2</v>
      </c>
      <c r="L10" s="4">
        <v>0.11003232254963984</v>
      </c>
      <c r="M10" s="4">
        <v>0.63369339653186119</v>
      </c>
      <c r="N10" s="4">
        <v>4.7886559988819813E-2</v>
      </c>
      <c r="O10" s="4">
        <v>45.301632757485244</v>
      </c>
      <c r="P10" s="4">
        <v>2185.8374872485583</v>
      </c>
      <c r="Q10" s="4">
        <f t="shared" si="0"/>
        <v>1</v>
      </c>
    </row>
    <row r="11" spans="1:17">
      <c r="A11" t="s">
        <v>78</v>
      </c>
      <c r="B11" t="s">
        <v>79</v>
      </c>
      <c r="C11" t="s">
        <v>77</v>
      </c>
      <c r="D11" t="s">
        <v>55</v>
      </c>
      <c r="E11">
        <v>0</v>
      </c>
      <c r="F11">
        <v>1583</v>
      </c>
      <c r="G11" s="4">
        <v>0.54892254211099356</v>
      </c>
      <c r="H11" s="4">
        <v>0.14458514910033338</v>
      </c>
      <c r="I11" s="4">
        <v>0.30299724894277574</v>
      </c>
      <c r="J11" s="4">
        <v>3.495059845897255E-3</v>
      </c>
      <c r="K11" s="4">
        <v>0.10468489124408659</v>
      </c>
      <c r="L11" s="4">
        <v>8.821783025285819E-2</v>
      </c>
      <c r="M11" s="4">
        <v>0.19087455736640671</v>
      </c>
      <c r="N11" s="4">
        <v>0.11632612289492231</v>
      </c>
      <c r="O11" s="4">
        <v>44.544434183563467</v>
      </c>
      <c r="P11" s="4">
        <v>1876.0006994752332</v>
      </c>
      <c r="Q11" s="4">
        <f t="shared" si="0"/>
        <v>0.99999999999999989</v>
      </c>
    </row>
    <row r="12" spans="1:17">
      <c r="A12" t="s">
        <v>80</v>
      </c>
      <c r="B12" t="s">
        <v>81</v>
      </c>
      <c r="C12" t="s">
        <v>54</v>
      </c>
      <c r="D12" t="s">
        <v>69</v>
      </c>
      <c r="E12">
        <v>0</v>
      </c>
      <c r="F12">
        <v>902</v>
      </c>
      <c r="G12" s="4">
        <v>0.64194037593117925</v>
      </c>
      <c r="H12" s="4">
        <v>0.21057106334888853</v>
      </c>
      <c r="I12" s="4">
        <v>0.14742303941758828</v>
      </c>
      <c r="J12" s="4">
        <v>6.5521302343847927E-5</v>
      </c>
      <c r="K12" s="4">
        <v>9.1510615113157223E-2</v>
      </c>
      <c r="L12" s="4">
        <v>3.5753072443680395E-2</v>
      </c>
      <c r="M12" s="4">
        <v>0.15859992139439053</v>
      </c>
      <c r="N12" s="4">
        <v>3.0017113796771272E-2</v>
      </c>
      <c r="O12" s="4">
        <v>49.935834348136815</v>
      </c>
      <c r="P12" s="4">
        <v>2927.0019336150417</v>
      </c>
      <c r="Q12" s="4">
        <f t="shared" si="0"/>
        <v>0.99999999999999989</v>
      </c>
    </row>
    <row r="13" spans="1:17">
      <c r="A13" t="s">
        <v>82</v>
      </c>
      <c r="B13" t="s">
        <v>83</v>
      </c>
      <c r="C13" t="s">
        <v>72</v>
      </c>
      <c r="D13" t="s">
        <v>55</v>
      </c>
      <c r="E13">
        <v>0</v>
      </c>
      <c r="F13">
        <v>955</v>
      </c>
      <c r="G13" s="4">
        <v>0.56458008264230675</v>
      </c>
      <c r="H13" s="4">
        <v>0.24864414386792871</v>
      </c>
      <c r="I13" s="4">
        <v>7.1503959619001786E-2</v>
      </c>
      <c r="J13" s="4">
        <v>0.1152718138707628</v>
      </c>
      <c r="K13" s="4">
        <v>3.5289352553377243E-2</v>
      </c>
      <c r="L13" s="4">
        <v>8.6146336645823496E-2</v>
      </c>
      <c r="M13" s="4">
        <v>0.31341331925395144</v>
      </c>
      <c r="N13" s="4">
        <v>2.1996864277703192E-2</v>
      </c>
      <c r="O13" s="4">
        <v>32.343254710783846</v>
      </c>
      <c r="P13" s="4">
        <v>1814.8204296961705</v>
      </c>
      <c r="Q13" s="4">
        <f t="shared" si="0"/>
        <v>1</v>
      </c>
    </row>
    <row r="14" spans="1:17">
      <c r="A14" t="s">
        <v>84</v>
      </c>
      <c r="B14" t="s">
        <v>85</v>
      </c>
      <c r="C14" t="s">
        <v>77</v>
      </c>
      <c r="D14" t="s">
        <v>69</v>
      </c>
      <c r="E14">
        <v>0</v>
      </c>
      <c r="F14">
        <v>1669</v>
      </c>
      <c r="G14" s="4">
        <v>0.58793640175815787</v>
      </c>
      <c r="H14" s="4">
        <v>0.1980926377766348</v>
      </c>
      <c r="I14" s="4">
        <v>0.18366132475664698</v>
      </c>
      <c r="J14" s="4">
        <v>3.0309635708560469E-2</v>
      </c>
      <c r="K14" s="4">
        <v>0.10655159965160235</v>
      </c>
      <c r="L14" s="4">
        <v>0.11967498356708739</v>
      </c>
      <c r="M14" s="4">
        <v>0.12072793506581263</v>
      </c>
      <c r="N14" s="4">
        <v>2.3970237159706666E-2</v>
      </c>
      <c r="O14" s="4">
        <v>51.272702111348792</v>
      </c>
      <c r="P14" s="4">
        <v>2110.9286791861928</v>
      </c>
      <c r="Q14" s="4">
        <f t="shared" si="0"/>
        <v>1</v>
      </c>
    </row>
    <row r="15" spans="1:17">
      <c r="A15" t="s">
        <v>86</v>
      </c>
      <c r="B15" t="s">
        <v>87</v>
      </c>
      <c r="C15" t="s">
        <v>54</v>
      </c>
      <c r="D15" t="s">
        <v>55</v>
      </c>
      <c r="E15">
        <v>1</v>
      </c>
      <c r="F15">
        <v>8644</v>
      </c>
      <c r="G15" s="4">
        <v>0.48015315789089952</v>
      </c>
      <c r="H15" s="4">
        <v>0.18057926313073683</v>
      </c>
      <c r="I15" s="4">
        <v>0.33101021242158341</v>
      </c>
      <c r="J15" s="4">
        <v>8.2573665567802768E-3</v>
      </c>
      <c r="K15" s="4">
        <v>5.9667735687325252E-2</v>
      </c>
      <c r="L15" s="4">
        <v>0.15280109933034283</v>
      </c>
      <c r="M15" s="4">
        <v>0.55463189210170349</v>
      </c>
      <c r="N15" s="4">
        <v>3.7003181011805608E-2</v>
      </c>
      <c r="O15" s="4">
        <v>53.286343763619321</v>
      </c>
      <c r="P15" s="4">
        <v>3349.1441807034857</v>
      </c>
      <c r="Q15" s="4">
        <f t="shared" si="0"/>
        <v>1</v>
      </c>
    </row>
    <row r="16" spans="1:17">
      <c r="A16" t="s">
        <v>88</v>
      </c>
      <c r="B16" t="s">
        <v>89</v>
      </c>
      <c r="C16" t="s">
        <v>77</v>
      </c>
      <c r="D16" t="s">
        <v>55</v>
      </c>
      <c r="E16">
        <v>0</v>
      </c>
      <c r="F16">
        <v>3259</v>
      </c>
      <c r="G16" s="4">
        <v>0.41904389474925013</v>
      </c>
      <c r="H16" s="4">
        <v>0.22106785364412687</v>
      </c>
      <c r="I16" s="4">
        <v>0.35108920725933501</v>
      </c>
      <c r="J16" s="4">
        <v>8.7990443472879334E-3</v>
      </c>
      <c r="K16" s="4">
        <v>4.7396543952237774E-2</v>
      </c>
      <c r="L16" s="4">
        <v>8.7790389142981234E-2</v>
      </c>
      <c r="M16" s="4">
        <v>0.20154586844128233</v>
      </c>
      <c r="N16" s="4">
        <v>9.1635380593926258E-2</v>
      </c>
      <c r="O16" s="4">
        <v>53.146515554536393</v>
      </c>
      <c r="P16" s="4">
        <v>2647.4044463418463</v>
      </c>
      <c r="Q16" s="4">
        <f t="shared" si="0"/>
        <v>1</v>
      </c>
    </row>
    <row r="17" spans="1:17">
      <c r="A17" t="s">
        <v>90</v>
      </c>
      <c r="B17" t="s">
        <v>91</v>
      </c>
      <c r="C17" t="s">
        <v>68</v>
      </c>
      <c r="D17" t="s">
        <v>55</v>
      </c>
      <c r="E17">
        <v>0</v>
      </c>
      <c r="F17">
        <v>5317</v>
      </c>
      <c r="G17" s="4">
        <v>0.20162160583523178</v>
      </c>
      <c r="H17" s="4">
        <v>6.5735270275763438E-2</v>
      </c>
      <c r="I17" s="4">
        <v>0.65237160012544837</v>
      </c>
      <c r="J17" s="4">
        <v>8.0271523763556243E-2</v>
      </c>
      <c r="K17" s="4">
        <v>1.8178044758416258E-2</v>
      </c>
      <c r="L17" s="4">
        <v>8.7542861598766064E-2</v>
      </c>
      <c r="M17" s="4">
        <v>0.55063702043721829</v>
      </c>
      <c r="N17" s="4">
        <v>7.7629346993667067E-2</v>
      </c>
      <c r="O17" s="4">
        <v>51.676833325726435</v>
      </c>
      <c r="P17" s="4">
        <v>5240.9711128310646</v>
      </c>
      <c r="Q17" s="4">
        <f t="shared" si="0"/>
        <v>0.99999999999999989</v>
      </c>
    </row>
    <row r="18" spans="1:17">
      <c r="A18" t="s">
        <v>92</v>
      </c>
      <c r="B18" t="s">
        <v>93</v>
      </c>
      <c r="C18" t="s">
        <v>60</v>
      </c>
      <c r="D18" t="s">
        <v>55</v>
      </c>
      <c r="E18">
        <v>0</v>
      </c>
      <c r="F18">
        <v>1685</v>
      </c>
      <c r="G18" s="4">
        <v>0.68662056411290451</v>
      </c>
      <c r="H18" s="4">
        <v>0.2085262151588545</v>
      </c>
      <c r="I18" s="4">
        <v>0.10484655416675873</v>
      </c>
      <c r="J18" s="4">
        <v>6.6665614823685301E-6</v>
      </c>
      <c r="K18" s="4">
        <v>0.46826216355562128</v>
      </c>
      <c r="L18" s="4">
        <v>7.8630688249945818E-2</v>
      </c>
      <c r="M18" s="4">
        <v>0.24158946827197597</v>
      </c>
      <c r="N18" s="4">
        <v>6.1654786464992339E-2</v>
      </c>
      <c r="O18" s="4">
        <v>47.797065847773958</v>
      </c>
      <c r="P18" s="4">
        <v>1472.8458174858335</v>
      </c>
      <c r="Q18" s="4">
        <f t="shared" si="0"/>
        <v>1</v>
      </c>
    </row>
    <row r="19" spans="1:17">
      <c r="A19" t="s">
        <v>94</v>
      </c>
      <c r="B19" t="s">
        <v>95</v>
      </c>
      <c r="C19" t="s">
        <v>96</v>
      </c>
      <c r="D19" t="s">
        <v>55</v>
      </c>
      <c r="E19">
        <v>0</v>
      </c>
      <c r="F19">
        <v>1684</v>
      </c>
      <c r="G19" s="4">
        <v>0.65188040269960112</v>
      </c>
      <c r="H19" s="4">
        <v>0.23274779080926356</v>
      </c>
      <c r="I19" s="4">
        <v>6.2899693671844462E-2</v>
      </c>
      <c r="J19" s="4">
        <v>5.2472112819290928E-2</v>
      </c>
      <c r="K19" s="4">
        <v>2.0910195893273371E-2</v>
      </c>
      <c r="L19" s="4">
        <v>0.10099632287623937</v>
      </c>
      <c r="M19" s="4">
        <v>0.58586596425686055</v>
      </c>
      <c r="N19" s="4">
        <v>5.470356601146513E-2</v>
      </c>
      <c r="O19" s="4">
        <v>50.616586093577716</v>
      </c>
      <c r="P19" s="4">
        <v>3126.9598171616303</v>
      </c>
      <c r="Q19" s="4">
        <f t="shared" si="0"/>
        <v>1</v>
      </c>
    </row>
    <row r="20" spans="1:17">
      <c r="A20" t="s">
        <v>97</v>
      </c>
      <c r="B20" t="s">
        <v>98</v>
      </c>
      <c r="C20" t="s">
        <v>63</v>
      </c>
      <c r="D20" t="s">
        <v>55</v>
      </c>
      <c r="E20">
        <v>0</v>
      </c>
      <c r="F20">
        <v>2372</v>
      </c>
      <c r="G20" s="4">
        <v>0.31610288643321149</v>
      </c>
      <c r="H20" s="4">
        <v>0.42726543350809709</v>
      </c>
      <c r="I20" s="4">
        <v>0.23736297221442057</v>
      </c>
      <c r="J20" s="4">
        <v>1.9268707844270826E-2</v>
      </c>
      <c r="K20" s="4">
        <v>3.8834032664142648E-2</v>
      </c>
      <c r="L20" s="4">
        <v>4.973483763715042E-2</v>
      </c>
      <c r="M20" s="4">
        <v>0.38478126565470827</v>
      </c>
      <c r="N20" s="4">
        <v>5.817086641668022E-2</v>
      </c>
      <c r="O20" s="4">
        <v>42.276218597213962</v>
      </c>
      <c r="P20" s="4">
        <v>875.26899472817399</v>
      </c>
      <c r="Q20" s="4">
        <f t="shared" si="0"/>
        <v>1</v>
      </c>
    </row>
    <row r="21" spans="1:17">
      <c r="A21" t="s">
        <v>99</v>
      </c>
      <c r="B21" t="s">
        <v>100</v>
      </c>
      <c r="C21" t="s">
        <v>63</v>
      </c>
      <c r="D21" t="s">
        <v>55</v>
      </c>
      <c r="E21">
        <v>0</v>
      </c>
      <c r="F21">
        <v>2463</v>
      </c>
      <c r="G21" s="4">
        <v>0.49139173203335318</v>
      </c>
      <c r="H21" s="4">
        <v>0.29140122584166528</v>
      </c>
      <c r="I21" s="4">
        <v>0.2167817172330565</v>
      </c>
      <c r="J21" s="4">
        <v>4.2532489192513237E-4</v>
      </c>
      <c r="K21" s="4">
        <v>2.3721390538267773E-3</v>
      </c>
      <c r="L21" s="4">
        <v>5.1069788238587439E-2</v>
      </c>
      <c r="M21" s="4">
        <v>0.40334807601149081</v>
      </c>
      <c r="N21" s="4">
        <v>2.545911200554302E-2</v>
      </c>
      <c r="O21" s="4">
        <v>49.433966866196236</v>
      </c>
      <c r="P21" s="4">
        <v>678.49466734283021</v>
      </c>
      <c r="Q21" s="4">
        <f t="shared" si="0"/>
        <v>1</v>
      </c>
    </row>
    <row r="22" spans="1:17">
      <c r="A22" t="s">
        <v>101</v>
      </c>
      <c r="B22" t="s">
        <v>102</v>
      </c>
      <c r="C22" t="s">
        <v>96</v>
      </c>
      <c r="D22" t="s">
        <v>55</v>
      </c>
      <c r="E22">
        <v>0</v>
      </c>
      <c r="F22">
        <v>1477</v>
      </c>
      <c r="G22" s="4">
        <v>0.46972552858387617</v>
      </c>
      <c r="H22" s="4">
        <v>0.1671551511290138</v>
      </c>
      <c r="I22" s="4">
        <v>0.29831885540904918</v>
      </c>
      <c r="J22" s="4">
        <v>6.4800464878060848E-2</v>
      </c>
      <c r="K22" s="4">
        <v>2.2184877934546823E-4</v>
      </c>
      <c r="L22" s="4">
        <v>9.38211233208886E-2</v>
      </c>
      <c r="M22" s="4">
        <v>0.47019010811706374</v>
      </c>
      <c r="N22" s="4">
        <v>0.10873933706721318</v>
      </c>
      <c r="O22" s="4">
        <v>45.66071453261555</v>
      </c>
      <c r="P22" s="4">
        <v>3218.4975781125563</v>
      </c>
      <c r="Q22" s="4">
        <f t="shared" si="0"/>
        <v>1</v>
      </c>
    </row>
    <row r="23" spans="1:17">
      <c r="A23" t="s">
        <v>103</v>
      </c>
      <c r="B23" t="s">
        <v>104</v>
      </c>
      <c r="C23" t="s">
        <v>105</v>
      </c>
      <c r="D23" t="s">
        <v>55</v>
      </c>
      <c r="E23">
        <v>0</v>
      </c>
      <c r="F23">
        <v>1718</v>
      </c>
      <c r="G23" s="4">
        <v>0.22485080205761412</v>
      </c>
      <c r="H23" s="4">
        <v>0.40204447350191996</v>
      </c>
      <c r="I23" s="4">
        <v>0.30704470021085456</v>
      </c>
      <c r="J23" s="4">
        <v>6.606002422961138E-2</v>
      </c>
      <c r="K23" s="4">
        <v>4.5802520792196849E-2</v>
      </c>
      <c r="L23" s="4">
        <v>0.13885158450959623</v>
      </c>
      <c r="M23" s="4">
        <v>0.1368434247448384</v>
      </c>
      <c r="N23" s="4">
        <v>7.4359196031579339E-2</v>
      </c>
      <c r="O23" s="4">
        <v>40.003840590011563</v>
      </c>
      <c r="P23" s="4">
        <v>6932.5626633092415</v>
      </c>
      <c r="Q23" s="4">
        <f t="shared" si="0"/>
        <v>1</v>
      </c>
    </row>
    <row r="24" spans="1:17">
      <c r="A24" t="s">
        <v>106</v>
      </c>
      <c r="B24" t="s">
        <v>107</v>
      </c>
      <c r="C24" t="s">
        <v>54</v>
      </c>
      <c r="D24" t="s">
        <v>55</v>
      </c>
      <c r="E24">
        <v>0</v>
      </c>
      <c r="F24">
        <v>2188</v>
      </c>
      <c r="G24" s="4">
        <v>0.45693755061961566</v>
      </c>
      <c r="H24" s="4">
        <v>0.40197989163030778</v>
      </c>
      <c r="I24" s="4">
        <v>7.366552080294779E-2</v>
      </c>
      <c r="J24" s="4">
        <v>6.7417036947128833E-2</v>
      </c>
      <c r="K24" s="4">
        <v>7.74359634797889E-2</v>
      </c>
      <c r="L24" s="4">
        <v>0.14353733720950346</v>
      </c>
      <c r="M24" s="4">
        <v>0.3129905093422114</v>
      </c>
      <c r="N24" s="4">
        <v>2.5192484919850214E-2</v>
      </c>
      <c r="O24" s="4">
        <v>47.571813134626879</v>
      </c>
      <c r="P24" s="4">
        <v>2673.7515174002874</v>
      </c>
      <c r="Q24" s="4">
        <f t="shared" si="0"/>
        <v>1</v>
      </c>
    </row>
    <row r="25" spans="1:17">
      <c r="A25" t="s">
        <v>108</v>
      </c>
      <c r="B25" t="s">
        <v>109</v>
      </c>
      <c r="C25" t="s">
        <v>77</v>
      </c>
      <c r="D25" t="s">
        <v>55</v>
      </c>
      <c r="E25">
        <v>0</v>
      </c>
      <c r="F25">
        <v>1472</v>
      </c>
      <c r="G25" s="4">
        <v>0.57529456815559477</v>
      </c>
      <c r="H25" s="4">
        <v>0.24963477739142745</v>
      </c>
      <c r="I25" s="4">
        <v>0.16459979646614786</v>
      </c>
      <c r="J25" s="4">
        <v>1.0470857986829988E-2</v>
      </c>
      <c r="K25" s="4">
        <v>3.3603910229390549E-2</v>
      </c>
      <c r="L25" s="4">
        <v>5.8963611810660732E-2</v>
      </c>
      <c r="M25" s="4">
        <v>0.16621195163815175</v>
      </c>
      <c r="N25" s="4">
        <v>4.9751428684617946E-2</v>
      </c>
      <c r="O25" s="4">
        <v>40.662779270685434</v>
      </c>
      <c r="P25" s="4">
        <v>1667.2667854182569</v>
      </c>
      <c r="Q25" s="4">
        <f t="shared" si="0"/>
        <v>1</v>
      </c>
    </row>
    <row r="26" spans="1:17">
      <c r="A26" t="s">
        <v>110</v>
      </c>
      <c r="B26" t="s">
        <v>111</v>
      </c>
      <c r="C26" t="s">
        <v>54</v>
      </c>
      <c r="D26" t="s">
        <v>55</v>
      </c>
      <c r="E26">
        <v>0</v>
      </c>
      <c r="F26">
        <v>5631</v>
      </c>
      <c r="G26" s="4">
        <v>0.33615078429668377</v>
      </c>
      <c r="H26" s="4">
        <v>0.33672500642923353</v>
      </c>
      <c r="I26" s="4">
        <v>0.17967869720621124</v>
      </c>
      <c r="J26" s="4">
        <v>0.14744551206787138</v>
      </c>
      <c r="K26" s="4">
        <v>0.10505503908930143</v>
      </c>
      <c r="L26" s="4">
        <v>4.5164767551075527E-2</v>
      </c>
      <c r="M26" s="4">
        <v>0.58982131546651573</v>
      </c>
      <c r="N26" s="4">
        <v>9.1475678479043906E-2</v>
      </c>
      <c r="O26" s="4">
        <v>46.516153706003465</v>
      </c>
      <c r="P26" s="4">
        <v>3957.9926062781406</v>
      </c>
      <c r="Q26" s="4">
        <f t="shared" si="0"/>
        <v>0.99999999999999989</v>
      </c>
    </row>
    <row r="27" spans="1:17">
      <c r="A27" t="s">
        <v>112</v>
      </c>
      <c r="B27" t="s">
        <v>113</v>
      </c>
      <c r="C27" t="s">
        <v>105</v>
      </c>
      <c r="D27" t="s">
        <v>55</v>
      </c>
      <c r="E27">
        <v>0</v>
      </c>
      <c r="F27">
        <v>1694</v>
      </c>
      <c r="G27" s="4">
        <v>0.16617514765902514</v>
      </c>
      <c r="H27" s="4">
        <v>5.5414319887486206E-2</v>
      </c>
      <c r="I27" s="4">
        <v>0.55884671529835783</v>
      </c>
      <c r="J27" s="4">
        <v>0.2195638171551309</v>
      </c>
      <c r="K27" s="4">
        <v>8.0030822637355611E-3</v>
      </c>
      <c r="L27" s="4">
        <v>0.10572538335858413</v>
      </c>
      <c r="M27" s="4">
        <v>0.3018376057077195</v>
      </c>
      <c r="N27" s="4">
        <v>8.2629215923998051E-2</v>
      </c>
      <c r="O27" s="4">
        <v>48.672080178424849</v>
      </c>
      <c r="P27" s="4">
        <v>8261.5923733583677</v>
      </c>
      <c r="Q27" s="4">
        <f t="shared" si="0"/>
        <v>1</v>
      </c>
    </row>
    <row r="28" spans="1:17">
      <c r="A28" t="s">
        <v>114</v>
      </c>
      <c r="B28" t="s">
        <v>115</v>
      </c>
      <c r="C28" t="s">
        <v>68</v>
      </c>
      <c r="D28" t="s">
        <v>55</v>
      </c>
      <c r="E28">
        <v>0</v>
      </c>
      <c r="F28">
        <v>998</v>
      </c>
      <c r="G28" s="4">
        <v>0.2548654912572485</v>
      </c>
      <c r="H28" s="4">
        <v>0.26100526869238705</v>
      </c>
      <c r="I28" s="4">
        <v>0.36256305602320565</v>
      </c>
      <c r="J28" s="4">
        <v>0.12156618402715871</v>
      </c>
      <c r="K28" s="4">
        <v>1.2141121029927504E-2</v>
      </c>
      <c r="L28" s="4">
        <v>3.9434917992719865E-2</v>
      </c>
      <c r="M28" s="4">
        <v>0.18601116230053338</v>
      </c>
      <c r="N28" s="4">
        <v>4.4601746406587477E-2</v>
      </c>
      <c r="O28" s="4">
        <v>36.57197805555068</v>
      </c>
      <c r="P28" s="4">
        <v>3930.4147839404591</v>
      </c>
      <c r="Q28" s="4">
        <f t="shared" si="0"/>
        <v>0.99999999999999978</v>
      </c>
    </row>
    <row r="29" spans="1:17">
      <c r="A29" t="s">
        <v>116</v>
      </c>
      <c r="B29" t="s">
        <v>117</v>
      </c>
      <c r="C29" t="s">
        <v>60</v>
      </c>
      <c r="D29" t="s">
        <v>69</v>
      </c>
      <c r="E29">
        <v>0</v>
      </c>
      <c r="F29">
        <v>3954</v>
      </c>
      <c r="G29" s="4">
        <v>0.38390964598557759</v>
      </c>
      <c r="H29" s="4">
        <v>0.30900773009247312</v>
      </c>
      <c r="I29" s="4">
        <v>0.25977446907309809</v>
      </c>
      <c r="J29" s="4">
        <v>4.7308154848851182E-2</v>
      </c>
      <c r="K29" s="4">
        <v>0.36094579699159823</v>
      </c>
      <c r="L29" s="4">
        <v>4.2612143882644053E-2</v>
      </c>
      <c r="M29" s="4">
        <v>0.23519826350141926</v>
      </c>
      <c r="N29" s="4">
        <v>5.5220769347633709E-2</v>
      </c>
      <c r="O29" s="4">
        <v>51.649059191919179</v>
      </c>
      <c r="P29" s="4">
        <v>1395.4333778260573</v>
      </c>
      <c r="Q29" s="4">
        <f t="shared" si="0"/>
        <v>1</v>
      </c>
    </row>
    <row r="30" spans="1:17">
      <c r="A30" t="s">
        <v>118</v>
      </c>
      <c r="B30" t="s">
        <v>119</v>
      </c>
      <c r="C30" t="s">
        <v>96</v>
      </c>
      <c r="D30" t="s">
        <v>55</v>
      </c>
      <c r="E30">
        <v>0</v>
      </c>
      <c r="F30">
        <v>1347</v>
      </c>
      <c r="G30" s="4">
        <v>0.62698004481159864</v>
      </c>
      <c r="H30" s="4">
        <v>0.17480934658265432</v>
      </c>
      <c r="I30" s="4">
        <v>0.13133593881351038</v>
      </c>
      <c r="J30" s="4">
        <v>6.6874669792236788E-2</v>
      </c>
      <c r="K30" s="4">
        <v>2.4610854499764696E-2</v>
      </c>
      <c r="L30" s="4">
        <v>0.14069753253804559</v>
      </c>
      <c r="M30" s="4">
        <v>0.21275715150955976</v>
      </c>
      <c r="N30" s="4">
        <v>2.3654799749849079E-2</v>
      </c>
      <c r="O30" s="4">
        <v>45.584218976618459</v>
      </c>
      <c r="P30" s="4">
        <v>2346.3424772460748</v>
      </c>
      <c r="Q30" s="4">
        <f t="shared" si="0"/>
        <v>1.0000000000000002</v>
      </c>
    </row>
    <row r="31" spans="1:17">
      <c r="A31" t="s">
        <v>120</v>
      </c>
      <c r="B31" t="s">
        <v>121</v>
      </c>
      <c r="C31" t="s">
        <v>60</v>
      </c>
      <c r="D31" t="s">
        <v>55</v>
      </c>
      <c r="E31">
        <v>0</v>
      </c>
      <c r="F31">
        <v>2255</v>
      </c>
      <c r="G31" s="4">
        <v>0.30764334603198956</v>
      </c>
      <c r="H31" s="4">
        <v>0.43627260314467031</v>
      </c>
      <c r="I31" s="4">
        <v>0.25149518384265801</v>
      </c>
      <c r="J31" s="4">
        <v>4.5888669806820716E-3</v>
      </c>
      <c r="K31" s="4">
        <v>0.75155490226236576</v>
      </c>
      <c r="L31" s="4">
        <v>0.11785805387008504</v>
      </c>
      <c r="M31" s="4">
        <v>0.4540571046894184</v>
      </c>
      <c r="N31" s="4">
        <v>8.3732406642672855E-2</v>
      </c>
      <c r="O31" s="4">
        <v>47.707645886652614</v>
      </c>
      <c r="P31" s="4">
        <v>1476.383306089384</v>
      </c>
      <c r="Q31" s="4">
        <f t="shared" si="0"/>
        <v>0.99999999999999989</v>
      </c>
    </row>
    <row r="32" spans="1:17">
      <c r="A32" t="s">
        <v>122</v>
      </c>
      <c r="B32" t="s">
        <v>123</v>
      </c>
      <c r="C32" t="s">
        <v>63</v>
      </c>
      <c r="D32" t="s">
        <v>55</v>
      </c>
      <c r="E32">
        <v>0</v>
      </c>
      <c r="F32">
        <v>1445</v>
      </c>
      <c r="G32" s="4">
        <v>0.77020858178708262</v>
      </c>
      <c r="H32" s="4">
        <v>0.14340337156564256</v>
      </c>
      <c r="I32" s="4">
        <v>8.63880420137981E-2</v>
      </c>
      <c r="J32" s="4">
        <v>4.6334766352073982E-9</v>
      </c>
      <c r="K32" s="4">
        <v>4.6105766592003779E-2</v>
      </c>
      <c r="L32" s="4">
        <v>9.5353365787922487E-2</v>
      </c>
      <c r="M32" s="4">
        <v>0.4104152871435981</v>
      </c>
      <c r="N32" s="4">
        <v>7.6892074941228683E-2</v>
      </c>
      <c r="O32" s="4">
        <v>40.040570734738623</v>
      </c>
      <c r="P32" s="4">
        <v>882.35610535273304</v>
      </c>
      <c r="Q32" s="4">
        <f t="shared" si="0"/>
        <v>0.99999999999999989</v>
      </c>
    </row>
    <row r="33" spans="1:17">
      <c r="A33" t="s">
        <v>124</v>
      </c>
      <c r="B33" t="s">
        <v>125</v>
      </c>
      <c r="C33" t="s">
        <v>77</v>
      </c>
      <c r="D33" t="s">
        <v>55</v>
      </c>
      <c r="E33">
        <v>0</v>
      </c>
      <c r="F33">
        <v>658</v>
      </c>
      <c r="G33" s="4">
        <v>0.14553020790695856</v>
      </c>
      <c r="H33" s="4">
        <v>0.72458939403495692</v>
      </c>
      <c r="I33" s="4">
        <v>6.8834765518545629E-2</v>
      </c>
      <c r="J33" s="4">
        <v>6.1045632539538972E-2</v>
      </c>
      <c r="K33" s="4">
        <v>7.0669283021021601E-2</v>
      </c>
      <c r="L33" s="4">
        <v>0.14234597937849908</v>
      </c>
      <c r="M33" s="4">
        <v>0.24510447858117679</v>
      </c>
      <c r="N33" s="4">
        <v>2.8839163831219098E-2</v>
      </c>
      <c r="O33" s="4">
        <v>41.675638017203127</v>
      </c>
      <c r="P33" s="4">
        <v>2783.4986645305485</v>
      </c>
      <c r="Q33" s="4">
        <f t="shared" si="0"/>
        <v>1</v>
      </c>
    </row>
    <row r="34" spans="1:17">
      <c r="A34" t="s">
        <v>126</v>
      </c>
      <c r="B34" t="s">
        <v>127</v>
      </c>
      <c r="C34" t="s">
        <v>60</v>
      </c>
      <c r="D34" t="s">
        <v>69</v>
      </c>
      <c r="E34">
        <v>0</v>
      </c>
      <c r="F34">
        <v>2327</v>
      </c>
      <c r="G34" s="4">
        <v>0.32852634993533986</v>
      </c>
      <c r="H34" s="4">
        <v>0.24680350250220426</v>
      </c>
      <c r="I34" s="4">
        <v>0.26692795008974829</v>
      </c>
      <c r="J34" s="4">
        <v>0.15774219747270779</v>
      </c>
      <c r="K34" s="4">
        <v>0.80255151944407643</v>
      </c>
      <c r="L34" s="4">
        <v>8.702709966351814E-2</v>
      </c>
      <c r="M34" s="4">
        <v>0.12940156094366409</v>
      </c>
      <c r="N34" s="4">
        <v>5.7072258672125904E-2</v>
      </c>
      <c r="O34" s="4">
        <v>51.370454542416098</v>
      </c>
      <c r="P34" s="4">
        <v>1874.9803407399431</v>
      </c>
      <c r="Q34" s="4">
        <f t="shared" si="0"/>
        <v>1.0000000000000002</v>
      </c>
    </row>
    <row r="35" spans="1:17">
      <c r="A35" t="s">
        <v>128</v>
      </c>
      <c r="B35" t="s">
        <v>129</v>
      </c>
      <c r="C35" t="s">
        <v>96</v>
      </c>
      <c r="D35" t="s">
        <v>55</v>
      </c>
      <c r="E35">
        <v>0</v>
      </c>
      <c r="F35">
        <v>1293</v>
      </c>
      <c r="G35" s="4">
        <v>0.32756615121340721</v>
      </c>
      <c r="H35" s="4">
        <v>0.24757949321596837</v>
      </c>
      <c r="I35" s="4">
        <v>4.4935783338197012E-2</v>
      </c>
      <c r="J35" s="4">
        <v>0.37991857223242748</v>
      </c>
      <c r="K35" s="4">
        <v>5.4389512742671012E-3</v>
      </c>
      <c r="L35" s="4">
        <v>0.1063541604860717</v>
      </c>
      <c r="M35" s="4">
        <v>0.49429764370023133</v>
      </c>
      <c r="N35" s="4">
        <v>8.2622200832307591E-2</v>
      </c>
      <c r="O35" s="4">
        <v>46.672195978704892</v>
      </c>
      <c r="P35" s="4">
        <v>2627.2986823702336</v>
      </c>
      <c r="Q35" s="4">
        <f t="shared" si="0"/>
        <v>1</v>
      </c>
    </row>
    <row r="36" spans="1:17">
      <c r="A36" t="s">
        <v>130</v>
      </c>
      <c r="B36" t="s">
        <v>131</v>
      </c>
      <c r="C36" t="s">
        <v>68</v>
      </c>
      <c r="D36" t="s">
        <v>69</v>
      </c>
      <c r="E36">
        <v>0</v>
      </c>
      <c r="F36">
        <v>2683</v>
      </c>
      <c r="G36" s="4">
        <v>0.57654795367784295</v>
      </c>
      <c r="H36" s="4">
        <v>0.1779821527882533</v>
      </c>
      <c r="I36" s="4">
        <v>0.19392119058957169</v>
      </c>
      <c r="J36" s="4">
        <v>5.1548702944331989E-2</v>
      </c>
      <c r="K36" s="4">
        <v>6.4587754567450584E-3</v>
      </c>
      <c r="L36" s="4">
        <v>2.8223630703066067E-2</v>
      </c>
      <c r="M36" s="4">
        <v>0.16530938495688899</v>
      </c>
      <c r="N36" s="4">
        <v>1.0308048136773964E-2</v>
      </c>
      <c r="O36" s="4">
        <v>42.877202499133318</v>
      </c>
      <c r="P36" s="4">
        <v>5115.7434837035516</v>
      </c>
      <c r="Q36" s="4">
        <f t="shared" si="0"/>
        <v>1</v>
      </c>
    </row>
    <row r="37" spans="1:17">
      <c r="A37" t="s">
        <v>132</v>
      </c>
      <c r="B37" t="s">
        <v>133</v>
      </c>
      <c r="C37" t="s">
        <v>60</v>
      </c>
      <c r="D37" t="s">
        <v>55</v>
      </c>
      <c r="E37">
        <v>0</v>
      </c>
      <c r="F37">
        <v>180</v>
      </c>
      <c r="G37" s="4">
        <v>0.60877922063361811</v>
      </c>
      <c r="H37" s="4">
        <v>0.33961109158457597</v>
      </c>
      <c r="I37" s="4">
        <v>4.5143728872787482E-2</v>
      </c>
      <c r="J37" s="4">
        <v>6.465958909018488E-3</v>
      </c>
      <c r="K37" s="4">
        <v>0.52811827636661457</v>
      </c>
      <c r="L37" s="4">
        <v>9.6946904645853635E-2</v>
      </c>
      <c r="M37" s="4">
        <v>0.2728931491057407</v>
      </c>
      <c r="N37" s="4">
        <v>8.6744373624088197E-2</v>
      </c>
      <c r="O37" s="4">
        <v>24.966162094351837</v>
      </c>
      <c r="P37" s="4">
        <v>2019.3728635658508</v>
      </c>
      <c r="Q37" s="4">
        <f t="shared" si="0"/>
        <v>1</v>
      </c>
    </row>
    <row r="38" spans="1:17">
      <c r="A38" t="s">
        <v>134</v>
      </c>
      <c r="B38" t="s">
        <v>135</v>
      </c>
      <c r="C38" t="s">
        <v>77</v>
      </c>
      <c r="D38" t="s">
        <v>69</v>
      </c>
      <c r="E38">
        <v>0</v>
      </c>
      <c r="F38">
        <v>1134</v>
      </c>
      <c r="G38" s="4">
        <v>0.50865632304622532</v>
      </c>
      <c r="H38" s="4">
        <v>0.30230307908016107</v>
      </c>
      <c r="I38" s="4">
        <v>0.10829986172314333</v>
      </c>
      <c r="J38" s="4">
        <v>8.0740736150470338E-2</v>
      </c>
      <c r="K38" s="4">
        <v>0.15775211730181332</v>
      </c>
      <c r="L38" s="4">
        <v>0.15043160796944127</v>
      </c>
      <c r="M38" s="4">
        <v>5.2967649921032964E-2</v>
      </c>
      <c r="N38" s="4">
        <v>4.737959192056742E-2</v>
      </c>
      <c r="O38" s="4">
        <v>37.367823746008476</v>
      </c>
      <c r="P38" s="4">
        <v>2726.1778959311346</v>
      </c>
      <c r="Q38" s="4">
        <f t="shared" si="0"/>
        <v>1</v>
      </c>
    </row>
    <row r="39" spans="1:17">
      <c r="A39" t="s">
        <v>136</v>
      </c>
      <c r="B39" t="s">
        <v>137</v>
      </c>
      <c r="C39" t="s">
        <v>68</v>
      </c>
      <c r="D39" t="s">
        <v>69</v>
      </c>
      <c r="E39">
        <v>0</v>
      </c>
      <c r="F39">
        <v>655</v>
      </c>
      <c r="G39" s="4">
        <v>0.15344675085049672</v>
      </c>
      <c r="H39" s="4">
        <v>0.63597582238808459</v>
      </c>
      <c r="I39" s="4">
        <v>0.14878541339215653</v>
      </c>
      <c r="J39" s="4">
        <v>6.1792013369262121E-2</v>
      </c>
      <c r="K39" s="4">
        <v>1.6118612963323471E-2</v>
      </c>
      <c r="L39" s="4">
        <v>7.0424570191042479E-2</v>
      </c>
      <c r="M39" s="4">
        <v>6.0728931464808192E-2</v>
      </c>
      <c r="N39" s="4">
        <v>4.7689290789813453E-2</v>
      </c>
      <c r="O39" s="4">
        <v>39.298094717774234</v>
      </c>
      <c r="P39" s="4">
        <v>4019.587185268043</v>
      </c>
      <c r="Q39" s="4">
        <f t="shared" si="0"/>
        <v>1</v>
      </c>
    </row>
    <row r="40" spans="1:17">
      <c r="A40" t="s">
        <v>138</v>
      </c>
      <c r="B40" t="s">
        <v>139</v>
      </c>
      <c r="C40" t="s">
        <v>63</v>
      </c>
      <c r="D40" t="s">
        <v>55</v>
      </c>
      <c r="E40">
        <v>0</v>
      </c>
      <c r="F40">
        <v>772</v>
      </c>
      <c r="G40" s="4">
        <v>0.43872711725724084</v>
      </c>
      <c r="H40" s="4">
        <v>0.46611576305910463</v>
      </c>
      <c r="I40" s="4">
        <v>5.856451882544509E-2</v>
      </c>
      <c r="J40" s="4">
        <v>3.659260085820952E-2</v>
      </c>
      <c r="K40" s="4">
        <v>3.2295719945782661E-2</v>
      </c>
      <c r="L40" s="4">
        <v>0.10587218331832698</v>
      </c>
      <c r="M40" s="4">
        <v>0.12647380924654106</v>
      </c>
      <c r="N40" s="4">
        <v>8.1151503861636609E-2</v>
      </c>
      <c r="O40" s="4">
        <v>42.320597106116573</v>
      </c>
      <c r="P40" s="4">
        <v>1139.5408985775039</v>
      </c>
      <c r="Q40" s="4">
        <f t="shared" si="0"/>
        <v>1.0000000000000002</v>
      </c>
    </row>
    <row r="41" spans="1:17">
      <c r="A41" t="s">
        <v>140</v>
      </c>
      <c r="B41" t="s">
        <v>141</v>
      </c>
      <c r="C41" t="s">
        <v>60</v>
      </c>
      <c r="D41" t="s">
        <v>69</v>
      </c>
      <c r="E41">
        <v>0</v>
      </c>
      <c r="F41">
        <v>1856</v>
      </c>
      <c r="G41" s="4">
        <v>0.62694845464011517</v>
      </c>
      <c r="H41" s="4">
        <v>0.12596067924816784</v>
      </c>
      <c r="I41" s="4">
        <v>0.19397864365651005</v>
      </c>
      <c r="J41" s="4">
        <v>5.3112222455206949E-2</v>
      </c>
      <c r="K41" s="4">
        <v>0.40744560345086533</v>
      </c>
      <c r="L41" s="4">
        <v>0.14510838520642644</v>
      </c>
      <c r="M41" s="4">
        <v>0.23503044457711258</v>
      </c>
      <c r="N41" s="4">
        <v>3.2244697980741456E-2</v>
      </c>
      <c r="O41" s="4">
        <v>46.547545976050763</v>
      </c>
      <c r="P41" s="4">
        <v>1984.2599005316185</v>
      </c>
      <c r="Q41" s="4">
        <f t="shared" si="0"/>
        <v>1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608"/>
  <sheetViews>
    <sheetView tabSelected="1" workbookViewId="0"/>
  </sheetViews>
  <sheetFormatPr defaultRowHeight="14"/>
  <cols>
    <col min="1" max="5" width="14" customWidth="1"/>
    <col min="6" max="8" width="12" customWidth="1"/>
    <col min="9" max="9" width="14" customWidth="1"/>
    <col min="10" max="11" width="12" customWidth="1"/>
    <col min="12" max="12" width="14" customWidth="1"/>
    <col min="13" max="13" width="12" customWidth="1"/>
    <col min="14" max="14" width="14" customWidth="1"/>
    <col min="15" max="36" width="12" customWidth="1"/>
  </cols>
  <sheetData>
    <row r="1" spans="1:36" ht="42">
      <c r="A1" s="1" t="s">
        <v>142</v>
      </c>
      <c r="B1" s="1" t="s">
        <v>143</v>
      </c>
      <c r="C1" s="1" t="s">
        <v>35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49</v>
      </c>
      <c r="Z1" s="1" t="s">
        <v>161</v>
      </c>
      <c r="AA1" s="1" t="s">
        <v>162</v>
      </c>
      <c r="AB1" s="1" t="s">
        <v>163</v>
      </c>
      <c r="AC1" s="1" t="s">
        <v>164</v>
      </c>
      <c r="AD1" s="1" t="s">
        <v>165</v>
      </c>
      <c r="AE1" s="1" t="s">
        <v>166</v>
      </c>
      <c r="AF1" s="1" t="s">
        <v>167</v>
      </c>
      <c r="AG1" s="1" t="s">
        <v>10</v>
      </c>
      <c r="AH1" s="1" t="s">
        <v>168</v>
      </c>
      <c r="AI1" s="1" t="s">
        <v>169</v>
      </c>
      <c r="AJ1" s="1" t="s">
        <v>170</v>
      </c>
    </row>
    <row r="2" spans="1:36">
      <c r="A2" t="s">
        <v>171</v>
      </c>
      <c r="B2" t="s">
        <v>172</v>
      </c>
      <c r="C2" t="s">
        <v>52</v>
      </c>
      <c r="D2" t="s">
        <v>54</v>
      </c>
      <c r="E2" t="s">
        <v>55</v>
      </c>
      <c r="F2">
        <v>0</v>
      </c>
      <c r="G2">
        <v>1145</v>
      </c>
      <c r="H2">
        <v>1</v>
      </c>
      <c r="I2" t="s">
        <v>173</v>
      </c>
      <c r="J2">
        <v>1</v>
      </c>
      <c r="K2" s="6">
        <v>0.62</v>
      </c>
      <c r="L2" t="s">
        <v>174</v>
      </c>
      <c r="M2">
        <v>0</v>
      </c>
      <c r="N2" t="s">
        <v>175</v>
      </c>
      <c r="O2">
        <v>1</v>
      </c>
      <c r="P2">
        <v>0</v>
      </c>
      <c r="Q2" s="6">
        <v>44.5</v>
      </c>
      <c r="R2">
        <v>1</v>
      </c>
      <c r="S2" s="6">
        <v>956</v>
      </c>
      <c r="T2">
        <v>0</v>
      </c>
      <c r="U2" s="6">
        <v>16799</v>
      </c>
      <c r="V2">
        <v>0</v>
      </c>
      <c r="W2">
        <v>0</v>
      </c>
      <c r="X2">
        <v>0</v>
      </c>
      <c r="Y2" s="6">
        <v>39.5</v>
      </c>
      <c r="Z2">
        <v>9.7000000000000003E-2</v>
      </c>
      <c r="AA2">
        <v>5.1999999999999998E-2</v>
      </c>
      <c r="AB2">
        <v>8.6999999999999994E-2</v>
      </c>
      <c r="AC2">
        <v>5</v>
      </c>
      <c r="AD2" s="6">
        <v>51</v>
      </c>
      <c r="AE2" s="6">
        <v>25</v>
      </c>
      <c r="AF2" s="6">
        <v>0</v>
      </c>
      <c r="AG2" s="6">
        <v>57.71</v>
      </c>
      <c r="AH2" s="6">
        <v>76.099999999999994</v>
      </c>
      <c r="AI2" s="6">
        <f t="shared" ref="AI2:AI65" si="0">AH2-AG2</f>
        <v>18.389999999999993</v>
      </c>
      <c r="AJ2" s="5">
        <f t="shared" ref="AJ2:AJ65" si="1">IFERROR(AI2/AH2,0)</f>
        <v>0.24165571616294343</v>
      </c>
    </row>
    <row r="3" spans="1:36">
      <c r="A3" t="s">
        <v>176</v>
      </c>
      <c r="B3" t="s">
        <v>177</v>
      </c>
      <c r="C3" t="s">
        <v>52</v>
      </c>
      <c r="D3" t="s">
        <v>54</v>
      </c>
      <c r="E3" t="s">
        <v>55</v>
      </c>
      <c r="F3">
        <v>0</v>
      </c>
      <c r="G3">
        <v>1145</v>
      </c>
      <c r="H3">
        <v>1</v>
      </c>
      <c r="I3" t="s">
        <v>178</v>
      </c>
      <c r="J3">
        <v>4</v>
      </c>
      <c r="K3" s="6">
        <v>13.61</v>
      </c>
      <c r="L3" t="s">
        <v>174</v>
      </c>
      <c r="M3">
        <v>0</v>
      </c>
      <c r="N3" t="s">
        <v>175</v>
      </c>
      <c r="O3">
        <v>1</v>
      </c>
      <c r="P3">
        <v>0</v>
      </c>
      <c r="Q3" s="6">
        <v>30</v>
      </c>
      <c r="R3">
        <v>0</v>
      </c>
      <c r="S3" s="6">
        <v>0</v>
      </c>
      <c r="T3">
        <v>0</v>
      </c>
      <c r="U3" s="6">
        <v>2811</v>
      </c>
      <c r="V3">
        <v>0</v>
      </c>
      <c r="W3">
        <v>0</v>
      </c>
      <c r="X3">
        <v>0</v>
      </c>
      <c r="Y3" s="6">
        <v>39.5</v>
      </c>
      <c r="Z3">
        <v>9.7000000000000003E-2</v>
      </c>
      <c r="AA3">
        <v>5.1999999999999998E-2</v>
      </c>
      <c r="AB3">
        <v>8.6999999999999994E-2</v>
      </c>
      <c r="AC3">
        <v>5</v>
      </c>
      <c r="AD3" s="6">
        <v>66</v>
      </c>
      <c r="AE3" s="6">
        <v>0</v>
      </c>
      <c r="AF3" s="6">
        <v>0</v>
      </c>
      <c r="AG3" s="6">
        <v>121.84</v>
      </c>
      <c r="AH3" s="6">
        <v>154.31</v>
      </c>
      <c r="AI3" s="6">
        <f t="shared" si="0"/>
        <v>32.47</v>
      </c>
      <c r="AJ3" s="5">
        <f t="shared" si="1"/>
        <v>0.2104205819454345</v>
      </c>
    </row>
    <row r="4" spans="1:36">
      <c r="A4" t="s">
        <v>179</v>
      </c>
      <c r="B4" t="s">
        <v>180</v>
      </c>
      <c r="C4" t="s">
        <v>52</v>
      </c>
      <c r="D4" t="s">
        <v>54</v>
      </c>
      <c r="E4" t="s">
        <v>55</v>
      </c>
      <c r="F4">
        <v>0</v>
      </c>
      <c r="G4">
        <v>1145</v>
      </c>
      <c r="H4">
        <v>1</v>
      </c>
      <c r="I4" t="s">
        <v>181</v>
      </c>
      <c r="J4">
        <v>3</v>
      </c>
      <c r="K4" s="6">
        <v>2.97</v>
      </c>
      <c r="L4" t="s">
        <v>174</v>
      </c>
      <c r="M4">
        <v>0</v>
      </c>
      <c r="N4" t="s">
        <v>182</v>
      </c>
      <c r="O4">
        <v>3</v>
      </c>
      <c r="P4">
        <v>0</v>
      </c>
      <c r="Q4" s="6">
        <v>115.8</v>
      </c>
      <c r="R4">
        <v>1</v>
      </c>
      <c r="S4" s="6">
        <v>2861</v>
      </c>
      <c r="T4">
        <v>0</v>
      </c>
      <c r="U4" s="6">
        <v>6645</v>
      </c>
      <c r="V4">
        <v>0</v>
      </c>
      <c r="W4">
        <v>0</v>
      </c>
      <c r="X4">
        <v>0</v>
      </c>
      <c r="Y4" s="6">
        <v>39.5</v>
      </c>
      <c r="Z4">
        <v>9.7000000000000003E-2</v>
      </c>
      <c r="AA4">
        <v>5.1999999999999998E-2</v>
      </c>
      <c r="AB4">
        <v>8.6999999999999994E-2</v>
      </c>
      <c r="AC4">
        <v>5</v>
      </c>
      <c r="AD4" s="6">
        <v>61</v>
      </c>
      <c r="AE4" s="6">
        <v>40</v>
      </c>
      <c r="AF4" s="6">
        <v>0</v>
      </c>
      <c r="AG4" s="6">
        <v>81.89</v>
      </c>
      <c r="AH4" s="6">
        <v>105.46</v>
      </c>
      <c r="AI4" s="6">
        <f t="shared" si="0"/>
        <v>23.569999999999993</v>
      </c>
      <c r="AJ4" s="5">
        <f t="shared" si="1"/>
        <v>0.22349706049687079</v>
      </c>
    </row>
    <row r="5" spans="1:36">
      <c r="A5" t="s">
        <v>183</v>
      </c>
      <c r="B5" t="s">
        <v>184</v>
      </c>
      <c r="C5" t="s">
        <v>52</v>
      </c>
      <c r="D5" t="s">
        <v>54</v>
      </c>
      <c r="E5" t="s">
        <v>55</v>
      </c>
      <c r="F5">
        <v>0</v>
      </c>
      <c r="G5">
        <v>1145</v>
      </c>
      <c r="H5">
        <v>1</v>
      </c>
      <c r="I5" t="s">
        <v>178</v>
      </c>
      <c r="J5">
        <v>4</v>
      </c>
      <c r="K5" s="6">
        <v>16.64</v>
      </c>
      <c r="L5" t="s">
        <v>174</v>
      </c>
      <c r="M5">
        <v>0</v>
      </c>
      <c r="N5" t="s">
        <v>175</v>
      </c>
      <c r="O5">
        <v>1</v>
      </c>
      <c r="P5">
        <v>0</v>
      </c>
      <c r="Q5" s="6">
        <v>40</v>
      </c>
      <c r="R5">
        <v>1</v>
      </c>
      <c r="S5" s="6">
        <v>834</v>
      </c>
      <c r="T5">
        <v>0</v>
      </c>
      <c r="U5" s="6">
        <v>2487</v>
      </c>
      <c r="V5">
        <v>0</v>
      </c>
      <c r="W5">
        <v>0</v>
      </c>
      <c r="X5">
        <v>0</v>
      </c>
      <c r="Y5" s="6">
        <v>39.5</v>
      </c>
      <c r="Z5">
        <v>9.7000000000000003E-2</v>
      </c>
      <c r="AA5">
        <v>5.1999999999999998E-2</v>
      </c>
      <c r="AB5">
        <v>8.6999999999999994E-2</v>
      </c>
      <c r="AC5">
        <v>5</v>
      </c>
      <c r="AD5" s="6">
        <v>66</v>
      </c>
      <c r="AE5" s="6">
        <v>25</v>
      </c>
      <c r="AF5" s="6">
        <v>0</v>
      </c>
      <c r="AG5" s="6">
        <v>135.69</v>
      </c>
      <c r="AH5" s="6">
        <v>171.34</v>
      </c>
      <c r="AI5" s="6">
        <f t="shared" si="0"/>
        <v>35.650000000000006</v>
      </c>
      <c r="AJ5" s="5">
        <f t="shared" si="1"/>
        <v>0.20806583401424072</v>
      </c>
    </row>
    <row r="6" spans="1:36">
      <c r="A6" t="s">
        <v>185</v>
      </c>
      <c r="B6" t="s">
        <v>186</v>
      </c>
      <c r="C6" t="s">
        <v>52</v>
      </c>
      <c r="D6" t="s">
        <v>54</v>
      </c>
      <c r="E6" t="s">
        <v>55</v>
      </c>
      <c r="F6">
        <v>0</v>
      </c>
      <c r="G6">
        <v>1145</v>
      </c>
      <c r="H6">
        <v>1</v>
      </c>
      <c r="I6" t="s">
        <v>178</v>
      </c>
      <c r="J6">
        <v>4</v>
      </c>
      <c r="K6" s="6">
        <v>12.58</v>
      </c>
      <c r="L6" t="s">
        <v>174</v>
      </c>
      <c r="M6">
        <v>0</v>
      </c>
      <c r="N6" t="s">
        <v>187</v>
      </c>
      <c r="O6">
        <v>2</v>
      </c>
      <c r="P6">
        <v>0</v>
      </c>
      <c r="Q6" s="6">
        <v>49.9</v>
      </c>
      <c r="R6">
        <v>0</v>
      </c>
      <c r="S6" s="6">
        <v>0</v>
      </c>
      <c r="T6">
        <v>0</v>
      </c>
      <c r="U6" s="6">
        <v>1197</v>
      </c>
      <c r="V6">
        <v>0</v>
      </c>
      <c r="W6">
        <v>0</v>
      </c>
      <c r="X6">
        <v>0</v>
      </c>
      <c r="Y6" s="6">
        <v>39.5</v>
      </c>
      <c r="Z6">
        <v>9.7000000000000003E-2</v>
      </c>
      <c r="AA6">
        <v>5.1999999999999998E-2</v>
      </c>
      <c r="AB6">
        <v>8.6999999999999994E-2</v>
      </c>
      <c r="AC6">
        <v>5</v>
      </c>
      <c r="AD6" s="6">
        <v>66</v>
      </c>
      <c r="AE6" s="6">
        <v>0</v>
      </c>
      <c r="AF6" s="6">
        <v>0</v>
      </c>
      <c r="AG6" s="6">
        <v>131.59</v>
      </c>
      <c r="AH6" s="6">
        <v>164.55</v>
      </c>
      <c r="AI6" s="6">
        <f t="shared" si="0"/>
        <v>32.960000000000008</v>
      </c>
      <c r="AJ6" s="5">
        <f t="shared" si="1"/>
        <v>0.20030385900941966</v>
      </c>
    </row>
    <row r="7" spans="1:36">
      <c r="A7" t="s">
        <v>188</v>
      </c>
      <c r="B7" t="s">
        <v>189</v>
      </c>
      <c r="C7" t="s">
        <v>52</v>
      </c>
      <c r="D7" t="s">
        <v>54</v>
      </c>
      <c r="E7" t="s">
        <v>55</v>
      </c>
      <c r="F7">
        <v>0</v>
      </c>
      <c r="G7">
        <v>1145</v>
      </c>
      <c r="H7">
        <v>1</v>
      </c>
      <c r="I7" t="s">
        <v>178</v>
      </c>
      <c r="J7">
        <v>4</v>
      </c>
      <c r="K7" s="6">
        <v>19.79</v>
      </c>
      <c r="L7" t="s">
        <v>174</v>
      </c>
      <c r="M7">
        <v>0</v>
      </c>
      <c r="N7" t="s">
        <v>175</v>
      </c>
      <c r="O7">
        <v>1</v>
      </c>
      <c r="P7">
        <v>0</v>
      </c>
      <c r="Q7" s="6">
        <v>39.200000000000003</v>
      </c>
      <c r="R7">
        <v>0</v>
      </c>
      <c r="S7" s="6">
        <v>0</v>
      </c>
      <c r="T7">
        <v>0</v>
      </c>
      <c r="U7" s="6">
        <v>6780</v>
      </c>
      <c r="V7">
        <v>0</v>
      </c>
      <c r="W7">
        <v>0</v>
      </c>
      <c r="X7">
        <v>0</v>
      </c>
      <c r="Y7" s="6">
        <v>39.5</v>
      </c>
      <c r="Z7">
        <v>9.7000000000000003E-2</v>
      </c>
      <c r="AA7">
        <v>5.1999999999999998E-2</v>
      </c>
      <c r="AB7">
        <v>8.6999999999999994E-2</v>
      </c>
      <c r="AC7">
        <v>5</v>
      </c>
      <c r="AD7" s="6">
        <v>66</v>
      </c>
      <c r="AE7" s="6">
        <v>0</v>
      </c>
      <c r="AF7" s="6">
        <v>0</v>
      </c>
      <c r="AG7" s="6">
        <v>140.08000000000001</v>
      </c>
      <c r="AH7" s="6">
        <v>177.86</v>
      </c>
      <c r="AI7" s="6">
        <f t="shared" si="0"/>
        <v>37.78</v>
      </c>
      <c r="AJ7" s="5">
        <f t="shared" si="1"/>
        <v>0.21241425840548744</v>
      </c>
    </row>
    <row r="8" spans="1:36">
      <c r="A8" t="s">
        <v>190</v>
      </c>
      <c r="B8" t="s">
        <v>191</v>
      </c>
      <c r="C8" t="s">
        <v>52</v>
      </c>
      <c r="D8" t="s">
        <v>54</v>
      </c>
      <c r="E8" t="s">
        <v>55</v>
      </c>
      <c r="F8">
        <v>0</v>
      </c>
      <c r="G8">
        <v>1145</v>
      </c>
      <c r="H8">
        <v>1</v>
      </c>
      <c r="I8" t="s">
        <v>178</v>
      </c>
      <c r="J8">
        <v>4</v>
      </c>
      <c r="K8" s="6">
        <v>17.53</v>
      </c>
      <c r="L8" t="s">
        <v>174</v>
      </c>
      <c r="M8">
        <v>0</v>
      </c>
      <c r="N8" t="s">
        <v>187</v>
      </c>
      <c r="O8">
        <v>2</v>
      </c>
      <c r="P8">
        <v>0</v>
      </c>
      <c r="Q8" s="6">
        <v>39</v>
      </c>
      <c r="R8">
        <v>0</v>
      </c>
      <c r="S8" s="6">
        <v>0</v>
      </c>
      <c r="T8">
        <v>0</v>
      </c>
      <c r="U8" s="6">
        <v>3410</v>
      </c>
      <c r="V8">
        <v>0</v>
      </c>
      <c r="W8">
        <v>0</v>
      </c>
      <c r="X8">
        <v>0</v>
      </c>
      <c r="Y8" s="6">
        <v>39.5</v>
      </c>
      <c r="Z8">
        <v>9.7000000000000003E-2</v>
      </c>
      <c r="AA8">
        <v>5.1999999999999998E-2</v>
      </c>
      <c r="AB8">
        <v>8.6999999999999994E-2</v>
      </c>
      <c r="AC8">
        <v>5</v>
      </c>
      <c r="AD8" s="6">
        <v>66</v>
      </c>
      <c r="AE8" s="6">
        <v>0</v>
      </c>
      <c r="AF8" s="6">
        <v>0</v>
      </c>
      <c r="AG8" s="6">
        <v>143.07</v>
      </c>
      <c r="AH8" s="6">
        <v>181.47</v>
      </c>
      <c r="AI8" s="6">
        <f t="shared" si="0"/>
        <v>38.400000000000006</v>
      </c>
      <c r="AJ8" s="5">
        <f t="shared" si="1"/>
        <v>0.21160522400396764</v>
      </c>
    </row>
    <row r="9" spans="1:36">
      <c r="A9" t="s">
        <v>192</v>
      </c>
      <c r="B9" t="s">
        <v>193</v>
      </c>
      <c r="C9" t="s">
        <v>52</v>
      </c>
      <c r="D9" t="s">
        <v>54</v>
      </c>
      <c r="E9" t="s">
        <v>55</v>
      </c>
      <c r="F9">
        <v>0</v>
      </c>
      <c r="G9">
        <v>1145</v>
      </c>
      <c r="H9">
        <v>1</v>
      </c>
      <c r="I9" t="s">
        <v>178</v>
      </c>
      <c r="J9">
        <v>4</v>
      </c>
      <c r="K9" s="6">
        <v>10.47</v>
      </c>
      <c r="L9" t="s">
        <v>174</v>
      </c>
      <c r="M9">
        <v>0</v>
      </c>
      <c r="N9" t="s">
        <v>182</v>
      </c>
      <c r="O9">
        <v>3</v>
      </c>
      <c r="P9">
        <v>1</v>
      </c>
      <c r="Q9" s="6">
        <v>129.80000000000001</v>
      </c>
      <c r="R9">
        <v>0</v>
      </c>
      <c r="S9" s="6">
        <v>0</v>
      </c>
      <c r="T9">
        <v>0</v>
      </c>
      <c r="U9" s="6">
        <v>2342</v>
      </c>
      <c r="V9">
        <v>0</v>
      </c>
      <c r="W9">
        <v>0</v>
      </c>
      <c r="X9">
        <v>0</v>
      </c>
      <c r="Y9" s="6">
        <v>39.5</v>
      </c>
      <c r="Z9">
        <v>9.7000000000000003E-2</v>
      </c>
      <c r="AA9">
        <v>5.1999999999999998E-2</v>
      </c>
      <c r="AB9">
        <v>8.6999999999999994E-2</v>
      </c>
      <c r="AC9">
        <v>5</v>
      </c>
      <c r="AD9" s="6">
        <v>66</v>
      </c>
      <c r="AE9" s="6">
        <v>0</v>
      </c>
      <c r="AF9" s="6">
        <v>0</v>
      </c>
      <c r="AG9" s="6">
        <v>147.85</v>
      </c>
      <c r="AH9" s="6">
        <v>186.97</v>
      </c>
      <c r="AI9" s="6">
        <f t="shared" si="0"/>
        <v>39.120000000000005</v>
      </c>
      <c r="AJ9" s="5">
        <f t="shared" si="1"/>
        <v>0.20923142750173826</v>
      </c>
    </row>
    <row r="10" spans="1:36">
      <c r="A10" t="s">
        <v>194</v>
      </c>
      <c r="B10" t="s">
        <v>195</v>
      </c>
      <c r="C10" t="s">
        <v>52</v>
      </c>
      <c r="D10" t="s">
        <v>54</v>
      </c>
      <c r="E10" t="s">
        <v>55</v>
      </c>
      <c r="F10">
        <v>0</v>
      </c>
      <c r="G10">
        <v>1145</v>
      </c>
      <c r="H10">
        <v>1</v>
      </c>
      <c r="I10" t="s">
        <v>178</v>
      </c>
      <c r="J10">
        <v>4</v>
      </c>
      <c r="K10" s="6">
        <v>11.56</v>
      </c>
      <c r="L10" t="s">
        <v>174</v>
      </c>
      <c r="M10">
        <v>0</v>
      </c>
      <c r="N10" t="s">
        <v>187</v>
      </c>
      <c r="O10">
        <v>2</v>
      </c>
      <c r="P10">
        <v>0</v>
      </c>
      <c r="Q10" s="6">
        <v>71.400000000000006</v>
      </c>
      <c r="R10">
        <v>0</v>
      </c>
      <c r="S10" s="6">
        <v>0</v>
      </c>
      <c r="T10">
        <v>0</v>
      </c>
      <c r="U10" s="6">
        <v>3407</v>
      </c>
      <c r="V10">
        <v>0</v>
      </c>
      <c r="W10">
        <v>0</v>
      </c>
      <c r="X10">
        <v>0</v>
      </c>
      <c r="Y10" s="6">
        <v>39.5</v>
      </c>
      <c r="Z10">
        <v>9.7000000000000003E-2</v>
      </c>
      <c r="AA10">
        <v>5.1999999999999998E-2</v>
      </c>
      <c r="AB10">
        <v>8.6999999999999994E-2</v>
      </c>
      <c r="AC10">
        <v>5</v>
      </c>
      <c r="AD10" s="6">
        <v>66</v>
      </c>
      <c r="AE10" s="6">
        <v>0</v>
      </c>
      <c r="AF10" s="6">
        <v>0</v>
      </c>
      <c r="AG10" s="6">
        <v>123.66</v>
      </c>
      <c r="AH10" s="6">
        <v>158.84</v>
      </c>
      <c r="AI10" s="6">
        <f t="shared" si="0"/>
        <v>35.180000000000007</v>
      </c>
      <c r="AJ10" s="5">
        <f t="shared" si="1"/>
        <v>0.22148073533115087</v>
      </c>
    </row>
    <row r="11" spans="1:36">
      <c r="A11" t="s">
        <v>196</v>
      </c>
      <c r="B11" t="s">
        <v>197</v>
      </c>
      <c r="C11" t="s">
        <v>52</v>
      </c>
      <c r="D11" t="s">
        <v>54</v>
      </c>
      <c r="E11" t="s">
        <v>55</v>
      </c>
      <c r="F11">
        <v>0</v>
      </c>
      <c r="G11">
        <v>1145</v>
      </c>
      <c r="H11">
        <v>1</v>
      </c>
      <c r="I11" t="s">
        <v>178</v>
      </c>
      <c r="J11">
        <v>4</v>
      </c>
      <c r="K11" s="6">
        <v>1.66</v>
      </c>
      <c r="L11" t="s">
        <v>174</v>
      </c>
      <c r="M11">
        <v>0</v>
      </c>
      <c r="N11" t="s">
        <v>187</v>
      </c>
      <c r="O11">
        <v>2</v>
      </c>
      <c r="P11">
        <v>0</v>
      </c>
      <c r="Q11" s="6">
        <v>67.099999999999994</v>
      </c>
      <c r="R11">
        <v>0</v>
      </c>
      <c r="S11" s="6">
        <v>0</v>
      </c>
      <c r="T11">
        <v>0</v>
      </c>
      <c r="U11" s="6">
        <v>4226</v>
      </c>
      <c r="V11">
        <v>0</v>
      </c>
      <c r="W11">
        <v>0</v>
      </c>
      <c r="X11">
        <v>0</v>
      </c>
      <c r="Y11" s="6">
        <v>39.5</v>
      </c>
      <c r="Z11">
        <v>9.7000000000000003E-2</v>
      </c>
      <c r="AA11">
        <v>5.1999999999999998E-2</v>
      </c>
      <c r="AB11">
        <v>8.6999999999999994E-2</v>
      </c>
      <c r="AC11">
        <v>5</v>
      </c>
      <c r="AD11" s="6">
        <v>66</v>
      </c>
      <c r="AE11" s="6">
        <v>0</v>
      </c>
      <c r="AF11" s="6">
        <v>0</v>
      </c>
      <c r="AG11" s="6">
        <v>94.03</v>
      </c>
      <c r="AH11" s="6">
        <v>121</v>
      </c>
      <c r="AI11" s="6">
        <f t="shared" si="0"/>
        <v>26.97</v>
      </c>
      <c r="AJ11" s="5">
        <f t="shared" si="1"/>
        <v>0.22289256198347107</v>
      </c>
    </row>
    <row r="12" spans="1:36">
      <c r="A12" t="s">
        <v>198</v>
      </c>
      <c r="B12" t="s">
        <v>199</v>
      </c>
      <c r="C12" t="s">
        <v>52</v>
      </c>
      <c r="D12" t="s">
        <v>54</v>
      </c>
      <c r="E12" t="s">
        <v>55</v>
      </c>
      <c r="F12">
        <v>0</v>
      </c>
      <c r="G12">
        <v>1145</v>
      </c>
      <c r="H12">
        <v>1</v>
      </c>
      <c r="I12" t="s">
        <v>173</v>
      </c>
      <c r="J12">
        <v>1</v>
      </c>
      <c r="K12" s="6">
        <v>1.37</v>
      </c>
      <c r="L12" t="s">
        <v>200</v>
      </c>
      <c r="M12">
        <v>1</v>
      </c>
      <c r="N12" t="s">
        <v>175</v>
      </c>
      <c r="O12">
        <v>1</v>
      </c>
      <c r="P12">
        <v>0</v>
      </c>
      <c r="Q12" s="6">
        <v>11.3</v>
      </c>
      <c r="R12">
        <v>1</v>
      </c>
      <c r="S12" s="6">
        <v>2576</v>
      </c>
      <c r="T12">
        <v>0</v>
      </c>
      <c r="U12" s="6">
        <v>4856</v>
      </c>
      <c r="V12">
        <v>0</v>
      </c>
      <c r="W12">
        <v>0</v>
      </c>
      <c r="X12">
        <v>0</v>
      </c>
      <c r="Y12" s="6">
        <v>39.5</v>
      </c>
      <c r="Z12">
        <v>9.7000000000000003E-2</v>
      </c>
      <c r="AA12">
        <v>5.1999999999999998E-2</v>
      </c>
      <c r="AB12">
        <v>8.6999999999999994E-2</v>
      </c>
      <c r="AC12">
        <v>5</v>
      </c>
      <c r="AD12" s="6">
        <v>100</v>
      </c>
      <c r="AE12" s="6">
        <v>40</v>
      </c>
      <c r="AF12" s="6">
        <v>0</v>
      </c>
      <c r="AG12" s="6">
        <v>76.78</v>
      </c>
      <c r="AH12" s="6">
        <v>100.07</v>
      </c>
      <c r="AI12" s="6">
        <f t="shared" si="0"/>
        <v>23.289999999999992</v>
      </c>
      <c r="AJ12" s="5">
        <f t="shared" si="1"/>
        <v>0.23273708404117111</v>
      </c>
    </row>
    <row r="13" spans="1:36">
      <c r="A13" t="s">
        <v>201</v>
      </c>
      <c r="B13" t="s">
        <v>202</v>
      </c>
      <c r="C13" t="s">
        <v>52</v>
      </c>
      <c r="D13" t="s">
        <v>54</v>
      </c>
      <c r="E13" t="s">
        <v>55</v>
      </c>
      <c r="F13">
        <v>0</v>
      </c>
      <c r="G13">
        <v>1145</v>
      </c>
      <c r="H13">
        <v>1</v>
      </c>
      <c r="I13" t="s">
        <v>178</v>
      </c>
      <c r="J13">
        <v>4</v>
      </c>
      <c r="K13" s="6">
        <v>15.4</v>
      </c>
      <c r="L13" t="s">
        <v>174</v>
      </c>
      <c r="M13">
        <v>0</v>
      </c>
      <c r="N13" t="s">
        <v>175</v>
      </c>
      <c r="O13">
        <v>1</v>
      </c>
      <c r="P13">
        <v>0</v>
      </c>
      <c r="Q13" s="6">
        <v>48.4</v>
      </c>
      <c r="R13">
        <v>0</v>
      </c>
      <c r="S13" s="6">
        <v>0</v>
      </c>
      <c r="T13">
        <v>0</v>
      </c>
      <c r="U13" s="6">
        <v>4774</v>
      </c>
      <c r="V13">
        <v>0</v>
      </c>
      <c r="W13">
        <v>0</v>
      </c>
      <c r="X13">
        <v>0</v>
      </c>
      <c r="Y13" s="6">
        <v>39.5</v>
      </c>
      <c r="Z13">
        <v>9.7000000000000003E-2</v>
      </c>
      <c r="AA13">
        <v>5.1999999999999998E-2</v>
      </c>
      <c r="AB13">
        <v>8.6999999999999994E-2</v>
      </c>
      <c r="AC13">
        <v>5</v>
      </c>
      <c r="AD13" s="6">
        <v>66</v>
      </c>
      <c r="AE13" s="6">
        <v>0</v>
      </c>
      <c r="AF13" s="6">
        <v>0</v>
      </c>
      <c r="AG13" s="6">
        <v>125.95</v>
      </c>
      <c r="AH13" s="6">
        <v>158.69</v>
      </c>
      <c r="AI13" s="6">
        <f t="shared" si="0"/>
        <v>32.739999999999995</v>
      </c>
      <c r="AJ13" s="5">
        <f t="shared" si="1"/>
        <v>0.20631419749196545</v>
      </c>
    </row>
    <row r="14" spans="1:36">
      <c r="A14" t="s">
        <v>171</v>
      </c>
      <c r="B14" t="s">
        <v>203</v>
      </c>
      <c r="C14" t="s">
        <v>52</v>
      </c>
      <c r="D14" t="s">
        <v>54</v>
      </c>
      <c r="E14" t="s">
        <v>55</v>
      </c>
      <c r="F14">
        <v>0</v>
      </c>
      <c r="G14">
        <v>1145</v>
      </c>
      <c r="H14">
        <v>1</v>
      </c>
      <c r="I14" t="s">
        <v>178</v>
      </c>
      <c r="J14">
        <v>4</v>
      </c>
      <c r="K14" s="6">
        <v>14</v>
      </c>
      <c r="L14" t="s">
        <v>174</v>
      </c>
      <c r="M14">
        <v>0</v>
      </c>
      <c r="N14" t="s">
        <v>187</v>
      </c>
      <c r="O14">
        <v>2</v>
      </c>
      <c r="P14">
        <v>0</v>
      </c>
      <c r="Q14" s="6">
        <v>75.5</v>
      </c>
      <c r="R14">
        <v>0</v>
      </c>
      <c r="S14" s="6">
        <v>0</v>
      </c>
      <c r="T14">
        <v>0</v>
      </c>
      <c r="U14" s="6">
        <v>1850</v>
      </c>
      <c r="V14">
        <v>1</v>
      </c>
      <c r="W14">
        <v>0</v>
      </c>
      <c r="X14">
        <v>0</v>
      </c>
      <c r="Y14" s="6">
        <v>39.5</v>
      </c>
      <c r="Z14">
        <v>9.7000000000000003E-2</v>
      </c>
      <c r="AA14">
        <v>5.1999999999999998E-2</v>
      </c>
      <c r="AB14">
        <v>8.6999999999999994E-2</v>
      </c>
      <c r="AC14">
        <v>5</v>
      </c>
      <c r="AD14" s="6">
        <v>66</v>
      </c>
      <c r="AE14" s="6">
        <v>0</v>
      </c>
      <c r="AF14" s="6">
        <v>0</v>
      </c>
      <c r="AG14" s="6">
        <v>172.07</v>
      </c>
      <c r="AH14" s="6">
        <v>218.27</v>
      </c>
      <c r="AI14" s="6">
        <f t="shared" si="0"/>
        <v>46.200000000000017</v>
      </c>
      <c r="AJ14" s="5">
        <f t="shared" si="1"/>
        <v>0.21166445228386868</v>
      </c>
    </row>
    <row r="15" spans="1:36">
      <c r="A15" t="s">
        <v>204</v>
      </c>
      <c r="B15" t="s">
        <v>205</v>
      </c>
      <c r="C15" t="s">
        <v>52</v>
      </c>
      <c r="D15" t="s">
        <v>54</v>
      </c>
      <c r="E15" t="s">
        <v>55</v>
      </c>
      <c r="F15">
        <v>0</v>
      </c>
      <c r="G15">
        <v>1145</v>
      </c>
      <c r="H15">
        <v>1</v>
      </c>
      <c r="I15" t="s">
        <v>178</v>
      </c>
      <c r="J15">
        <v>4</v>
      </c>
      <c r="K15" s="6">
        <v>23.1</v>
      </c>
      <c r="L15" t="s">
        <v>174</v>
      </c>
      <c r="M15">
        <v>0</v>
      </c>
      <c r="N15" t="s">
        <v>175</v>
      </c>
      <c r="O15">
        <v>1</v>
      </c>
      <c r="P15">
        <v>0</v>
      </c>
      <c r="Q15" s="6">
        <v>27.5</v>
      </c>
      <c r="R15">
        <v>0</v>
      </c>
      <c r="S15" s="6">
        <v>0</v>
      </c>
      <c r="T15">
        <v>0</v>
      </c>
      <c r="U15" s="6">
        <v>3376</v>
      </c>
      <c r="V15">
        <v>0</v>
      </c>
      <c r="W15">
        <v>0</v>
      </c>
      <c r="X15">
        <v>0</v>
      </c>
      <c r="Y15" s="6">
        <v>39.5</v>
      </c>
      <c r="Z15">
        <v>9.7000000000000003E-2</v>
      </c>
      <c r="AA15">
        <v>5.1999999999999998E-2</v>
      </c>
      <c r="AB15">
        <v>8.6999999999999994E-2</v>
      </c>
      <c r="AC15">
        <v>5</v>
      </c>
      <c r="AD15" s="6">
        <v>66</v>
      </c>
      <c r="AE15" s="6">
        <v>0</v>
      </c>
      <c r="AF15" s="6">
        <v>0</v>
      </c>
      <c r="AG15" s="6">
        <v>141.56</v>
      </c>
      <c r="AH15" s="6">
        <v>178</v>
      </c>
      <c r="AI15" s="6">
        <f t="shared" si="0"/>
        <v>36.44</v>
      </c>
      <c r="AJ15" s="5">
        <f t="shared" si="1"/>
        <v>0.20471910112359548</v>
      </c>
    </row>
    <row r="16" spans="1:36">
      <c r="A16" t="s">
        <v>206</v>
      </c>
      <c r="B16" t="s">
        <v>207</v>
      </c>
      <c r="C16" t="s">
        <v>52</v>
      </c>
      <c r="D16" t="s">
        <v>54</v>
      </c>
      <c r="E16" t="s">
        <v>55</v>
      </c>
      <c r="F16">
        <v>0</v>
      </c>
      <c r="G16">
        <v>1145</v>
      </c>
      <c r="H16">
        <v>1</v>
      </c>
      <c r="I16" t="s">
        <v>173</v>
      </c>
      <c r="J16">
        <v>1</v>
      </c>
      <c r="K16" s="6">
        <v>1.6</v>
      </c>
      <c r="L16" t="s">
        <v>174</v>
      </c>
      <c r="M16">
        <v>0</v>
      </c>
      <c r="N16" t="s">
        <v>175</v>
      </c>
      <c r="O16">
        <v>1</v>
      </c>
      <c r="P16">
        <v>0</v>
      </c>
      <c r="Q16" s="6">
        <v>32</v>
      </c>
      <c r="R16">
        <v>1</v>
      </c>
      <c r="S16" s="6">
        <v>6927</v>
      </c>
      <c r="T16">
        <v>0</v>
      </c>
      <c r="U16" s="6">
        <v>10422</v>
      </c>
      <c r="V16">
        <v>0</v>
      </c>
      <c r="W16">
        <v>0</v>
      </c>
      <c r="X16">
        <v>0</v>
      </c>
      <c r="Y16" s="6">
        <v>39.5</v>
      </c>
      <c r="Z16">
        <v>9.7000000000000003E-2</v>
      </c>
      <c r="AA16">
        <v>5.1999999999999998E-2</v>
      </c>
      <c r="AB16">
        <v>8.6999999999999994E-2</v>
      </c>
      <c r="AC16">
        <v>5</v>
      </c>
      <c r="AD16" s="6">
        <v>51</v>
      </c>
      <c r="AE16" s="6">
        <v>50</v>
      </c>
      <c r="AF16" s="6">
        <v>0</v>
      </c>
      <c r="AG16" s="6">
        <v>55.98</v>
      </c>
      <c r="AH16" s="6">
        <v>70.03</v>
      </c>
      <c r="AI16" s="6">
        <f t="shared" si="0"/>
        <v>14.050000000000004</v>
      </c>
      <c r="AJ16" s="5">
        <f t="shared" si="1"/>
        <v>0.20062830215621882</v>
      </c>
    </row>
    <row r="17" spans="1:36">
      <c r="A17" t="s">
        <v>208</v>
      </c>
      <c r="B17" t="s">
        <v>209</v>
      </c>
      <c r="C17" t="s">
        <v>52</v>
      </c>
      <c r="D17" t="s">
        <v>54</v>
      </c>
      <c r="E17" t="s">
        <v>55</v>
      </c>
      <c r="F17">
        <v>0</v>
      </c>
      <c r="G17">
        <v>1145</v>
      </c>
      <c r="H17">
        <v>1</v>
      </c>
      <c r="I17" t="s">
        <v>178</v>
      </c>
      <c r="J17">
        <v>4</v>
      </c>
      <c r="K17" s="6">
        <v>8.2200000000000006</v>
      </c>
      <c r="L17" t="s">
        <v>174</v>
      </c>
      <c r="M17">
        <v>0</v>
      </c>
      <c r="N17" t="s">
        <v>187</v>
      </c>
      <c r="O17">
        <v>2</v>
      </c>
      <c r="P17">
        <v>0</v>
      </c>
      <c r="Q17" s="6">
        <v>49</v>
      </c>
      <c r="R17">
        <v>1</v>
      </c>
      <c r="S17" s="6">
        <v>1276</v>
      </c>
      <c r="T17">
        <v>0</v>
      </c>
      <c r="U17" s="6">
        <v>3863</v>
      </c>
      <c r="V17">
        <v>0</v>
      </c>
      <c r="W17">
        <v>0</v>
      </c>
      <c r="X17">
        <v>0</v>
      </c>
      <c r="Y17" s="6">
        <v>39.5</v>
      </c>
      <c r="Z17">
        <v>9.7000000000000003E-2</v>
      </c>
      <c r="AA17">
        <v>5.1999999999999998E-2</v>
      </c>
      <c r="AB17">
        <v>8.6999999999999994E-2</v>
      </c>
      <c r="AC17">
        <v>5</v>
      </c>
      <c r="AD17" s="6">
        <v>66</v>
      </c>
      <c r="AE17" s="6">
        <v>25</v>
      </c>
      <c r="AF17" s="6">
        <v>0</v>
      </c>
      <c r="AG17" s="6">
        <v>117.12</v>
      </c>
      <c r="AH17" s="6">
        <v>149.93</v>
      </c>
      <c r="AI17" s="6">
        <f t="shared" si="0"/>
        <v>32.81</v>
      </c>
      <c r="AJ17" s="5">
        <f t="shared" si="1"/>
        <v>0.21883545654638831</v>
      </c>
    </row>
    <row r="18" spans="1:36">
      <c r="A18" t="s">
        <v>210</v>
      </c>
      <c r="B18" t="s">
        <v>211</v>
      </c>
      <c r="C18" t="s">
        <v>52</v>
      </c>
      <c r="D18" t="s">
        <v>54</v>
      </c>
      <c r="E18" t="s">
        <v>55</v>
      </c>
      <c r="F18">
        <v>0</v>
      </c>
      <c r="G18">
        <v>1145</v>
      </c>
      <c r="H18">
        <v>1</v>
      </c>
      <c r="I18" t="s">
        <v>173</v>
      </c>
      <c r="J18">
        <v>1</v>
      </c>
      <c r="K18" s="6">
        <v>1.49</v>
      </c>
      <c r="L18" t="s">
        <v>174</v>
      </c>
      <c r="M18">
        <v>0</v>
      </c>
      <c r="N18" t="s">
        <v>187</v>
      </c>
      <c r="O18">
        <v>2</v>
      </c>
      <c r="P18">
        <v>0</v>
      </c>
      <c r="Q18" s="6">
        <v>61.7</v>
      </c>
      <c r="R18">
        <v>1</v>
      </c>
      <c r="S18" s="6">
        <v>967</v>
      </c>
      <c r="T18">
        <v>0</v>
      </c>
      <c r="U18" s="6">
        <v>2700</v>
      </c>
      <c r="V18">
        <v>0</v>
      </c>
      <c r="W18">
        <v>0</v>
      </c>
      <c r="X18">
        <v>0</v>
      </c>
      <c r="Y18" s="6">
        <v>39.5</v>
      </c>
      <c r="Z18">
        <v>9.7000000000000003E-2</v>
      </c>
      <c r="AA18">
        <v>5.1999999999999998E-2</v>
      </c>
      <c r="AB18">
        <v>8.6999999999999994E-2</v>
      </c>
      <c r="AC18">
        <v>5</v>
      </c>
      <c r="AD18" s="6">
        <v>51</v>
      </c>
      <c r="AE18" s="6">
        <v>25</v>
      </c>
      <c r="AF18" s="6">
        <v>0</v>
      </c>
      <c r="AG18" s="6">
        <v>60.33</v>
      </c>
      <c r="AH18" s="6">
        <v>76.44</v>
      </c>
      <c r="AI18" s="6">
        <f t="shared" si="0"/>
        <v>16.11</v>
      </c>
      <c r="AJ18" s="5">
        <f t="shared" si="1"/>
        <v>0.2107535321821036</v>
      </c>
    </row>
    <row r="19" spans="1:36">
      <c r="A19" t="s">
        <v>212</v>
      </c>
      <c r="B19" t="s">
        <v>213</v>
      </c>
      <c r="C19" t="s">
        <v>52</v>
      </c>
      <c r="D19" t="s">
        <v>54</v>
      </c>
      <c r="E19" t="s">
        <v>55</v>
      </c>
      <c r="F19">
        <v>0</v>
      </c>
      <c r="G19">
        <v>1145</v>
      </c>
      <c r="H19">
        <v>1</v>
      </c>
      <c r="I19" t="s">
        <v>181</v>
      </c>
      <c r="J19">
        <v>3</v>
      </c>
      <c r="K19" s="6">
        <v>9.0500000000000007</v>
      </c>
      <c r="L19" t="s">
        <v>200</v>
      </c>
      <c r="M19">
        <v>1</v>
      </c>
      <c r="N19" t="s">
        <v>187</v>
      </c>
      <c r="O19">
        <v>2</v>
      </c>
      <c r="P19">
        <v>0</v>
      </c>
      <c r="Q19" s="6">
        <v>43.7</v>
      </c>
      <c r="R19">
        <v>0</v>
      </c>
      <c r="S19" s="6">
        <v>0</v>
      </c>
      <c r="T19">
        <v>0</v>
      </c>
      <c r="U19" s="6">
        <v>2369</v>
      </c>
      <c r="V19">
        <v>0</v>
      </c>
      <c r="W19">
        <v>0</v>
      </c>
      <c r="X19">
        <v>0</v>
      </c>
      <c r="Y19" s="6">
        <v>39.5</v>
      </c>
      <c r="Z19">
        <v>9.7000000000000003E-2</v>
      </c>
      <c r="AA19">
        <v>5.1999999999999998E-2</v>
      </c>
      <c r="AB19">
        <v>8.6999999999999994E-2</v>
      </c>
      <c r="AC19">
        <v>5</v>
      </c>
      <c r="AD19" s="6">
        <v>140</v>
      </c>
      <c r="AE19" s="6">
        <v>0</v>
      </c>
      <c r="AF19" s="6">
        <v>0</v>
      </c>
      <c r="AG19" s="6">
        <v>129.33000000000001</v>
      </c>
      <c r="AH19" s="6">
        <v>161.69</v>
      </c>
      <c r="AI19" s="6">
        <f t="shared" si="0"/>
        <v>32.359999999999985</v>
      </c>
      <c r="AJ19" s="5">
        <f t="shared" si="1"/>
        <v>0.20013606283629157</v>
      </c>
    </row>
    <row r="20" spans="1:36">
      <c r="A20" t="s">
        <v>192</v>
      </c>
      <c r="B20" t="s">
        <v>214</v>
      </c>
      <c r="C20" t="s">
        <v>52</v>
      </c>
      <c r="D20" t="s">
        <v>54</v>
      </c>
      <c r="E20" t="s">
        <v>55</v>
      </c>
      <c r="F20">
        <v>0</v>
      </c>
      <c r="G20">
        <v>1145</v>
      </c>
      <c r="H20">
        <v>1</v>
      </c>
      <c r="I20" t="s">
        <v>178</v>
      </c>
      <c r="J20">
        <v>4</v>
      </c>
      <c r="K20" s="6">
        <v>8.6300000000000008</v>
      </c>
      <c r="L20" t="s">
        <v>174</v>
      </c>
      <c r="M20">
        <v>0</v>
      </c>
      <c r="N20" t="s">
        <v>175</v>
      </c>
      <c r="O20">
        <v>1</v>
      </c>
      <c r="P20">
        <v>0</v>
      </c>
      <c r="Q20" s="6">
        <v>37.4</v>
      </c>
      <c r="R20">
        <v>0</v>
      </c>
      <c r="S20" s="6">
        <v>0</v>
      </c>
      <c r="T20">
        <v>0</v>
      </c>
      <c r="U20" s="6">
        <v>4989</v>
      </c>
      <c r="V20">
        <v>0</v>
      </c>
      <c r="W20">
        <v>0</v>
      </c>
      <c r="X20">
        <v>0</v>
      </c>
      <c r="Y20" s="6">
        <v>39.5</v>
      </c>
      <c r="Z20">
        <v>9.7000000000000003E-2</v>
      </c>
      <c r="AA20">
        <v>5.1999999999999998E-2</v>
      </c>
      <c r="AB20">
        <v>8.6999999999999994E-2</v>
      </c>
      <c r="AC20">
        <v>5</v>
      </c>
      <c r="AD20" s="6">
        <v>66</v>
      </c>
      <c r="AE20" s="6">
        <v>0</v>
      </c>
      <c r="AF20" s="6">
        <v>0</v>
      </c>
      <c r="AG20" s="6">
        <v>104.09</v>
      </c>
      <c r="AH20" s="6">
        <v>132.30000000000001</v>
      </c>
      <c r="AI20" s="6">
        <f t="shared" si="0"/>
        <v>28.210000000000008</v>
      </c>
      <c r="AJ20" s="5">
        <f t="shared" si="1"/>
        <v>0.21322751322751327</v>
      </c>
    </row>
    <row r="21" spans="1:36">
      <c r="A21" t="s">
        <v>215</v>
      </c>
      <c r="B21" t="s">
        <v>216</v>
      </c>
      <c r="C21" t="s">
        <v>52</v>
      </c>
      <c r="D21" t="s">
        <v>54</v>
      </c>
      <c r="E21" t="s">
        <v>55</v>
      </c>
      <c r="F21">
        <v>0</v>
      </c>
      <c r="G21">
        <v>1145</v>
      </c>
      <c r="H21">
        <v>1</v>
      </c>
      <c r="I21" t="s">
        <v>178</v>
      </c>
      <c r="J21">
        <v>4</v>
      </c>
      <c r="K21" s="6">
        <v>16.190000000000001</v>
      </c>
      <c r="L21" t="s">
        <v>174</v>
      </c>
      <c r="M21">
        <v>0</v>
      </c>
      <c r="N21" t="s">
        <v>217</v>
      </c>
      <c r="O21">
        <v>4</v>
      </c>
      <c r="P21">
        <v>1</v>
      </c>
      <c r="Q21" s="6">
        <v>133.6</v>
      </c>
      <c r="R21">
        <v>0</v>
      </c>
      <c r="S21" s="6">
        <v>0</v>
      </c>
      <c r="T21">
        <v>0</v>
      </c>
      <c r="U21" s="6">
        <v>11393</v>
      </c>
      <c r="V21">
        <v>0</v>
      </c>
      <c r="W21">
        <v>0</v>
      </c>
      <c r="X21">
        <v>0</v>
      </c>
      <c r="Y21" s="6">
        <v>39.5</v>
      </c>
      <c r="Z21">
        <v>9.7000000000000003E-2</v>
      </c>
      <c r="AA21">
        <v>5.1999999999999998E-2</v>
      </c>
      <c r="AB21">
        <v>8.6999999999999994E-2</v>
      </c>
      <c r="AC21">
        <v>5</v>
      </c>
      <c r="AD21" s="6">
        <v>66</v>
      </c>
      <c r="AE21" s="6">
        <v>0</v>
      </c>
      <c r="AF21" s="6">
        <v>0</v>
      </c>
      <c r="AG21" s="6">
        <v>185.94</v>
      </c>
      <c r="AH21" s="6">
        <v>233.35</v>
      </c>
      <c r="AI21" s="6">
        <f t="shared" si="0"/>
        <v>47.41</v>
      </c>
      <c r="AJ21" s="5">
        <f t="shared" si="1"/>
        <v>0.20317120205699593</v>
      </c>
    </row>
    <row r="22" spans="1:36">
      <c r="A22" t="s">
        <v>218</v>
      </c>
      <c r="B22" t="s">
        <v>219</v>
      </c>
      <c r="C22" t="s">
        <v>52</v>
      </c>
      <c r="D22" t="s">
        <v>54</v>
      </c>
      <c r="E22" t="s">
        <v>55</v>
      </c>
      <c r="F22">
        <v>0</v>
      </c>
      <c r="G22">
        <v>1145</v>
      </c>
      <c r="H22">
        <v>1</v>
      </c>
      <c r="I22" t="s">
        <v>220</v>
      </c>
      <c r="J22">
        <v>2</v>
      </c>
      <c r="K22" s="6">
        <v>4.38</v>
      </c>
      <c r="L22" t="s">
        <v>174</v>
      </c>
      <c r="M22">
        <v>0</v>
      </c>
      <c r="N22" t="s">
        <v>187</v>
      </c>
      <c r="O22">
        <v>2</v>
      </c>
      <c r="P22">
        <v>0</v>
      </c>
      <c r="Q22" s="6">
        <v>57.2</v>
      </c>
      <c r="R22">
        <v>0</v>
      </c>
      <c r="S22" s="6">
        <v>0</v>
      </c>
      <c r="T22">
        <v>0</v>
      </c>
      <c r="U22" s="6">
        <v>4912</v>
      </c>
      <c r="V22">
        <v>0</v>
      </c>
      <c r="W22">
        <v>0</v>
      </c>
      <c r="X22">
        <v>0</v>
      </c>
      <c r="Y22" s="6">
        <v>39.5</v>
      </c>
      <c r="Z22">
        <v>9.7000000000000003E-2</v>
      </c>
      <c r="AA22">
        <v>5.1999999999999998E-2</v>
      </c>
      <c r="AB22">
        <v>8.6999999999999994E-2</v>
      </c>
      <c r="AC22">
        <v>5</v>
      </c>
      <c r="AD22" s="6">
        <v>51</v>
      </c>
      <c r="AE22" s="6">
        <v>0</v>
      </c>
      <c r="AF22" s="6">
        <v>0</v>
      </c>
      <c r="AG22" s="6">
        <v>64.400000000000006</v>
      </c>
      <c r="AH22" s="6">
        <v>81.86</v>
      </c>
      <c r="AI22" s="6">
        <f t="shared" si="0"/>
        <v>17.459999999999994</v>
      </c>
      <c r="AJ22" s="5">
        <f t="shared" si="1"/>
        <v>0.21329098460786702</v>
      </c>
    </row>
    <row r="23" spans="1:36">
      <c r="A23" t="s">
        <v>221</v>
      </c>
      <c r="B23" t="s">
        <v>222</v>
      </c>
      <c r="C23" t="s">
        <v>52</v>
      </c>
      <c r="D23" t="s">
        <v>54</v>
      </c>
      <c r="E23" t="s">
        <v>55</v>
      </c>
      <c r="F23">
        <v>0</v>
      </c>
      <c r="G23">
        <v>1145</v>
      </c>
      <c r="H23">
        <v>1</v>
      </c>
      <c r="I23" t="s">
        <v>178</v>
      </c>
      <c r="J23">
        <v>4</v>
      </c>
      <c r="K23" s="6">
        <v>14.01</v>
      </c>
      <c r="L23" t="s">
        <v>174</v>
      </c>
      <c r="M23">
        <v>0</v>
      </c>
      <c r="N23" t="s">
        <v>175</v>
      </c>
      <c r="O23">
        <v>1</v>
      </c>
      <c r="P23">
        <v>0</v>
      </c>
      <c r="Q23" s="6">
        <v>50</v>
      </c>
      <c r="R23">
        <v>1</v>
      </c>
      <c r="S23" s="6">
        <v>4951</v>
      </c>
      <c r="T23">
        <v>0</v>
      </c>
      <c r="U23" s="6">
        <v>5471</v>
      </c>
      <c r="V23">
        <v>0</v>
      </c>
      <c r="W23">
        <v>0</v>
      </c>
      <c r="X23">
        <v>0</v>
      </c>
      <c r="Y23" s="6">
        <v>39.5</v>
      </c>
      <c r="Z23">
        <v>9.7000000000000003E-2</v>
      </c>
      <c r="AA23">
        <v>5.1999999999999998E-2</v>
      </c>
      <c r="AB23">
        <v>8.6999999999999994E-2</v>
      </c>
      <c r="AC23">
        <v>5</v>
      </c>
      <c r="AD23" s="6">
        <v>66</v>
      </c>
      <c r="AE23" s="6">
        <v>40</v>
      </c>
      <c r="AF23" s="6">
        <v>0</v>
      </c>
      <c r="AG23" s="6">
        <v>132.47999999999999</v>
      </c>
      <c r="AH23" s="6">
        <v>168.55</v>
      </c>
      <c r="AI23" s="6">
        <f t="shared" si="0"/>
        <v>36.070000000000022</v>
      </c>
      <c r="AJ23" s="5">
        <f t="shared" si="1"/>
        <v>0.21400177988727392</v>
      </c>
    </row>
    <row r="24" spans="1:36">
      <c r="A24" t="s">
        <v>223</v>
      </c>
      <c r="B24" t="s">
        <v>224</v>
      </c>
      <c r="C24" t="s">
        <v>52</v>
      </c>
      <c r="D24" t="s">
        <v>54</v>
      </c>
      <c r="E24" t="s">
        <v>55</v>
      </c>
      <c r="F24">
        <v>0</v>
      </c>
      <c r="G24">
        <v>1145</v>
      </c>
      <c r="H24">
        <v>1</v>
      </c>
      <c r="I24" t="s">
        <v>178</v>
      </c>
      <c r="J24">
        <v>4</v>
      </c>
      <c r="K24" s="6">
        <v>9.1999999999999993</v>
      </c>
      <c r="L24" t="s">
        <v>174</v>
      </c>
      <c r="M24">
        <v>0</v>
      </c>
      <c r="N24" t="s">
        <v>175</v>
      </c>
      <c r="O24">
        <v>1</v>
      </c>
      <c r="P24">
        <v>0</v>
      </c>
      <c r="Q24" s="6">
        <v>33.200000000000003</v>
      </c>
      <c r="R24">
        <v>1</v>
      </c>
      <c r="S24" s="6">
        <v>2343</v>
      </c>
      <c r="T24">
        <v>0</v>
      </c>
      <c r="U24" s="6">
        <v>3018</v>
      </c>
      <c r="V24">
        <v>0</v>
      </c>
      <c r="W24">
        <v>0</v>
      </c>
      <c r="X24">
        <v>0</v>
      </c>
      <c r="Y24" s="6">
        <v>39.5</v>
      </c>
      <c r="Z24">
        <v>9.7000000000000003E-2</v>
      </c>
      <c r="AA24">
        <v>5.1999999999999998E-2</v>
      </c>
      <c r="AB24">
        <v>8.6999999999999994E-2</v>
      </c>
      <c r="AC24">
        <v>5</v>
      </c>
      <c r="AD24" s="6">
        <v>66</v>
      </c>
      <c r="AE24" s="6">
        <v>40</v>
      </c>
      <c r="AF24" s="6">
        <v>0</v>
      </c>
      <c r="AG24" s="6">
        <v>125.65</v>
      </c>
      <c r="AH24" s="6">
        <v>158.41</v>
      </c>
      <c r="AI24" s="6">
        <f t="shared" si="0"/>
        <v>32.759999999999991</v>
      </c>
      <c r="AJ24" s="5">
        <f t="shared" si="1"/>
        <v>0.20680512593901895</v>
      </c>
    </row>
    <row r="25" spans="1:36">
      <c r="A25" t="s">
        <v>225</v>
      </c>
      <c r="B25" t="s">
        <v>226</v>
      </c>
      <c r="C25" t="s">
        <v>52</v>
      </c>
      <c r="D25" t="s">
        <v>54</v>
      </c>
      <c r="E25" t="s">
        <v>55</v>
      </c>
      <c r="F25">
        <v>0</v>
      </c>
      <c r="G25">
        <v>1145</v>
      </c>
      <c r="H25">
        <v>1</v>
      </c>
      <c r="I25" t="s">
        <v>181</v>
      </c>
      <c r="J25">
        <v>3</v>
      </c>
      <c r="K25" s="6">
        <v>1.43</v>
      </c>
      <c r="L25" t="s">
        <v>200</v>
      </c>
      <c r="M25">
        <v>1</v>
      </c>
      <c r="N25" t="s">
        <v>187</v>
      </c>
      <c r="O25">
        <v>2</v>
      </c>
      <c r="P25">
        <v>0</v>
      </c>
      <c r="Q25" s="6">
        <v>47</v>
      </c>
      <c r="R25">
        <v>0</v>
      </c>
      <c r="S25" s="6">
        <v>0</v>
      </c>
      <c r="T25">
        <v>0</v>
      </c>
      <c r="U25" s="6">
        <v>3653</v>
      </c>
      <c r="V25">
        <v>0</v>
      </c>
      <c r="W25">
        <v>0</v>
      </c>
      <c r="X25">
        <v>0</v>
      </c>
      <c r="Y25" s="6">
        <v>39.5</v>
      </c>
      <c r="Z25">
        <v>9.7000000000000003E-2</v>
      </c>
      <c r="AA25">
        <v>5.1999999999999998E-2</v>
      </c>
      <c r="AB25">
        <v>8.6999999999999994E-2</v>
      </c>
      <c r="AC25">
        <v>5</v>
      </c>
      <c r="AD25" s="6">
        <v>140</v>
      </c>
      <c r="AE25" s="6">
        <v>0</v>
      </c>
      <c r="AF25" s="6">
        <v>0</v>
      </c>
      <c r="AG25" s="6">
        <v>104.11</v>
      </c>
      <c r="AH25" s="6">
        <v>142.02000000000001</v>
      </c>
      <c r="AI25" s="6">
        <f t="shared" si="0"/>
        <v>37.910000000000011</v>
      </c>
      <c r="AJ25" s="5">
        <f t="shared" si="1"/>
        <v>0.26693423461484306</v>
      </c>
    </row>
    <row r="26" spans="1:36">
      <c r="A26" t="s">
        <v>218</v>
      </c>
      <c r="B26" t="s">
        <v>227</v>
      </c>
      <c r="C26" t="s">
        <v>52</v>
      </c>
      <c r="D26" t="s">
        <v>54</v>
      </c>
      <c r="E26" t="s">
        <v>55</v>
      </c>
      <c r="F26">
        <v>0</v>
      </c>
      <c r="G26">
        <v>1145</v>
      </c>
      <c r="H26">
        <v>1</v>
      </c>
      <c r="I26" t="s">
        <v>178</v>
      </c>
      <c r="J26">
        <v>4</v>
      </c>
      <c r="K26" s="6">
        <v>14.26</v>
      </c>
      <c r="L26" t="s">
        <v>174</v>
      </c>
      <c r="M26">
        <v>0</v>
      </c>
      <c r="N26" t="s">
        <v>187</v>
      </c>
      <c r="O26">
        <v>2</v>
      </c>
      <c r="P26">
        <v>0</v>
      </c>
      <c r="Q26" s="6">
        <v>72.3</v>
      </c>
      <c r="R26">
        <v>1</v>
      </c>
      <c r="S26" s="6">
        <v>1501</v>
      </c>
      <c r="T26">
        <v>0</v>
      </c>
      <c r="U26" s="6">
        <v>2746</v>
      </c>
      <c r="V26">
        <v>0</v>
      </c>
      <c r="W26">
        <v>0</v>
      </c>
      <c r="X26">
        <v>0</v>
      </c>
      <c r="Y26" s="6">
        <v>39.5</v>
      </c>
      <c r="Z26">
        <v>9.7000000000000003E-2</v>
      </c>
      <c r="AA26">
        <v>5.1999999999999998E-2</v>
      </c>
      <c r="AB26">
        <v>8.6999999999999994E-2</v>
      </c>
      <c r="AC26">
        <v>5</v>
      </c>
      <c r="AD26" s="6">
        <v>66</v>
      </c>
      <c r="AE26" s="6">
        <v>25</v>
      </c>
      <c r="AF26" s="6">
        <v>0</v>
      </c>
      <c r="AG26" s="6">
        <v>136.49</v>
      </c>
      <c r="AH26" s="6">
        <v>172.44</v>
      </c>
      <c r="AI26" s="6">
        <f t="shared" si="0"/>
        <v>35.949999999999989</v>
      </c>
      <c r="AJ26" s="5">
        <f t="shared" si="1"/>
        <v>0.20847831129668284</v>
      </c>
    </row>
    <row r="27" spans="1:36">
      <c r="A27" t="s">
        <v>228</v>
      </c>
      <c r="B27" t="s">
        <v>229</v>
      </c>
      <c r="C27" t="s">
        <v>52</v>
      </c>
      <c r="D27" t="s">
        <v>54</v>
      </c>
      <c r="E27" t="s">
        <v>55</v>
      </c>
      <c r="F27">
        <v>0</v>
      </c>
      <c r="G27">
        <v>1145</v>
      </c>
      <c r="H27">
        <v>1</v>
      </c>
      <c r="I27" t="s">
        <v>173</v>
      </c>
      <c r="J27">
        <v>1</v>
      </c>
      <c r="K27" s="6">
        <v>2.12</v>
      </c>
      <c r="L27" t="s">
        <v>174</v>
      </c>
      <c r="M27">
        <v>0</v>
      </c>
      <c r="N27" t="s">
        <v>187</v>
      </c>
      <c r="O27">
        <v>2</v>
      </c>
      <c r="P27">
        <v>0</v>
      </c>
      <c r="Q27" s="6">
        <v>59.2</v>
      </c>
      <c r="R27">
        <v>0</v>
      </c>
      <c r="S27" s="6">
        <v>0</v>
      </c>
      <c r="T27">
        <v>0</v>
      </c>
      <c r="U27" s="6">
        <v>1865</v>
      </c>
      <c r="V27">
        <v>1</v>
      </c>
      <c r="W27">
        <v>0</v>
      </c>
      <c r="X27">
        <v>0</v>
      </c>
      <c r="Y27" s="6">
        <v>39.5</v>
      </c>
      <c r="Z27">
        <v>9.7000000000000003E-2</v>
      </c>
      <c r="AA27">
        <v>5.1999999999999998E-2</v>
      </c>
      <c r="AB27">
        <v>8.6999999999999994E-2</v>
      </c>
      <c r="AC27">
        <v>5</v>
      </c>
      <c r="AD27" s="6">
        <v>51</v>
      </c>
      <c r="AE27" s="6">
        <v>0</v>
      </c>
      <c r="AF27" s="6">
        <v>0</v>
      </c>
      <c r="AG27" s="6">
        <v>95.05</v>
      </c>
      <c r="AH27" s="6">
        <v>122.62</v>
      </c>
      <c r="AI27" s="6">
        <f t="shared" si="0"/>
        <v>27.570000000000007</v>
      </c>
      <c r="AJ27" s="5">
        <f t="shared" si="1"/>
        <v>0.22484097210895454</v>
      </c>
    </row>
    <row r="28" spans="1:36">
      <c r="A28" t="s">
        <v>230</v>
      </c>
      <c r="B28" t="s">
        <v>231</v>
      </c>
      <c r="C28" t="s">
        <v>52</v>
      </c>
      <c r="D28" t="s">
        <v>54</v>
      </c>
      <c r="E28" t="s">
        <v>55</v>
      </c>
      <c r="F28">
        <v>0</v>
      </c>
      <c r="G28">
        <v>1145</v>
      </c>
      <c r="H28">
        <v>1</v>
      </c>
      <c r="I28" t="s">
        <v>178</v>
      </c>
      <c r="J28">
        <v>4</v>
      </c>
      <c r="K28" s="6">
        <v>10.43</v>
      </c>
      <c r="L28" t="s">
        <v>174</v>
      </c>
      <c r="M28">
        <v>0</v>
      </c>
      <c r="N28" t="s">
        <v>175</v>
      </c>
      <c r="O28">
        <v>1</v>
      </c>
      <c r="P28">
        <v>0</v>
      </c>
      <c r="Q28" s="6">
        <v>32.700000000000003</v>
      </c>
      <c r="R28">
        <v>0</v>
      </c>
      <c r="S28" s="6">
        <v>0</v>
      </c>
      <c r="T28">
        <v>0</v>
      </c>
      <c r="U28" s="6">
        <v>2204</v>
      </c>
      <c r="V28">
        <v>0</v>
      </c>
      <c r="W28">
        <v>0</v>
      </c>
      <c r="X28">
        <v>0</v>
      </c>
      <c r="Y28" s="6">
        <v>39.5</v>
      </c>
      <c r="Z28">
        <v>9.7000000000000003E-2</v>
      </c>
      <c r="AA28">
        <v>5.1999999999999998E-2</v>
      </c>
      <c r="AB28">
        <v>8.6999999999999994E-2</v>
      </c>
      <c r="AC28">
        <v>5</v>
      </c>
      <c r="AD28" s="6">
        <v>66</v>
      </c>
      <c r="AE28" s="6">
        <v>0</v>
      </c>
      <c r="AF28" s="6">
        <v>0</v>
      </c>
      <c r="AG28" s="6">
        <v>110.93</v>
      </c>
      <c r="AH28" s="6">
        <v>142.79</v>
      </c>
      <c r="AI28" s="6">
        <f t="shared" si="0"/>
        <v>31.859999999999985</v>
      </c>
      <c r="AJ28" s="5">
        <f t="shared" si="1"/>
        <v>0.22312486868828341</v>
      </c>
    </row>
    <row r="29" spans="1:36">
      <c r="A29" t="s">
        <v>221</v>
      </c>
      <c r="B29" t="s">
        <v>232</v>
      </c>
      <c r="C29" t="s">
        <v>52</v>
      </c>
      <c r="D29" t="s">
        <v>54</v>
      </c>
      <c r="E29" t="s">
        <v>55</v>
      </c>
      <c r="F29">
        <v>0</v>
      </c>
      <c r="G29">
        <v>1145</v>
      </c>
      <c r="H29">
        <v>1</v>
      </c>
      <c r="I29" t="s">
        <v>178</v>
      </c>
      <c r="J29">
        <v>4</v>
      </c>
      <c r="K29" s="6">
        <v>10.96</v>
      </c>
      <c r="L29" t="s">
        <v>174</v>
      </c>
      <c r="M29">
        <v>0</v>
      </c>
      <c r="N29" t="s">
        <v>175</v>
      </c>
      <c r="O29">
        <v>1</v>
      </c>
      <c r="P29">
        <v>0</v>
      </c>
      <c r="Q29" s="6">
        <v>44.4</v>
      </c>
      <c r="R29">
        <v>1</v>
      </c>
      <c r="S29" s="6">
        <v>983</v>
      </c>
      <c r="T29">
        <v>0</v>
      </c>
      <c r="U29" s="6">
        <v>4803</v>
      </c>
      <c r="V29">
        <v>0</v>
      </c>
      <c r="W29">
        <v>0</v>
      </c>
      <c r="X29">
        <v>0</v>
      </c>
      <c r="Y29" s="6">
        <v>39.5</v>
      </c>
      <c r="Z29">
        <v>9.7000000000000003E-2</v>
      </c>
      <c r="AA29">
        <v>5.1999999999999998E-2</v>
      </c>
      <c r="AB29">
        <v>8.6999999999999994E-2</v>
      </c>
      <c r="AC29">
        <v>5</v>
      </c>
      <c r="AD29" s="6">
        <v>66</v>
      </c>
      <c r="AE29" s="6">
        <v>25</v>
      </c>
      <c r="AF29" s="6">
        <v>0</v>
      </c>
      <c r="AG29" s="6">
        <v>113.6</v>
      </c>
      <c r="AH29" s="6">
        <v>146.13</v>
      </c>
      <c r="AI29" s="6">
        <f t="shared" si="0"/>
        <v>32.53</v>
      </c>
      <c r="AJ29" s="5">
        <f t="shared" si="1"/>
        <v>0.22261000479025528</v>
      </c>
    </row>
    <row r="30" spans="1:36">
      <c r="A30" t="s">
        <v>233</v>
      </c>
      <c r="B30" t="s">
        <v>234</v>
      </c>
      <c r="C30" t="s">
        <v>52</v>
      </c>
      <c r="D30" t="s">
        <v>54</v>
      </c>
      <c r="E30" t="s">
        <v>55</v>
      </c>
      <c r="F30">
        <v>0</v>
      </c>
      <c r="G30">
        <v>1145</v>
      </c>
      <c r="H30">
        <v>1</v>
      </c>
      <c r="I30" t="s">
        <v>173</v>
      </c>
      <c r="J30">
        <v>1</v>
      </c>
      <c r="K30" s="6">
        <v>1.28</v>
      </c>
      <c r="L30" t="s">
        <v>174</v>
      </c>
      <c r="M30">
        <v>0</v>
      </c>
      <c r="N30" t="s">
        <v>175</v>
      </c>
      <c r="O30">
        <v>1</v>
      </c>
      <c r="P30">
        <v>0</v>
      </c>
      <c r="Q30" s="6">
        <v>18.5</v>
      </c>
      <c r="R30">
        <v>0</v>
      </c>
      <c r="S30" s="6">
        <v>0</v>
      </c>
      <c r="T30">
        <v>0</v>
      </c>
      <c r="U30" s="6">
        <v>7028</v>
      </c>
      <c r="V30">
        <v>0</v>
      </c>
      <c r="W30">
        <v>0</v>
      </c>
      <c r="X30">
        <v>0</v>
      </c>
      <c r="Y30" s="6">
        <v>39.5</v>
      </c>
      <c r="Z30">
        <v>9.7000000000000003E-2</v>
      </c>
      <c r="AA30">
        <v>5.1999999999999998E-2</v>
      </c>
      <c r="AB30">
        <v>8.6999999999999994E-2</v>
      </c>
      <c r="AC30">
        <v>5</v>
      </c>
      <c r="AD30" s="6">
        <v>51</v>
      </c>
      <c r="AE30" s="6">
        <v>0</v>
      </c>
      <c r="AF30" s="6">
        <v>0</v>
      </c>
      <c r="AG30" s="6">
        <v>46.28</v>
      </c>
      <c r="AH30" s="6">
        <v>60.22</v>
      </c>
      <c r="AI30" s="6">
        <f t="shared" si="0"/>
        <v>13.939999999999998</v>
      </c>
      <c r="AJ30" s="5">
        <f t="shared" si="1"/>
        <v>0.23148455662570572</v>
      </c>
    </row>
    <row r="31" spans="1:36">
      <c r="A31" t="s">
        <v>192</v>
      </c>
      <c r="B31" t="s">
        <v>235</v>
      </c>
      <c r="C31" t="s">
        <v>52</v>
      </c>
      <c r="D31" t="s">
        <v>54</v>
      </c>
      <c r="E31" t="s">
        <v>55</v>
      </c>
      <c r="F31">
        <v>0</v>
      </c>
      <c r="G31">
        <v>1145</v>
      </c>
      <c r="H31">
        <v>1</v>
      </c>
      <c r="I31" t="s">
        <v>178</v>
      </c>
      <c r="J31">
        <v>4</v>
      </c>
      <c r="K31" s="6">
        <v>9.0399999999999991</v>
      </c>
      <c r="L31" t="s">
        <v>174</v>
      </c>
      <c r="M31">
        <v>0</v>
      </c>
      <c r="N31" t="s">
        <v>187</v>
      </c>
      <c r="O31">
        <v>2</v>
      </c>
      <c r="P31">
        <v>0</v>
      </c>
      <c r="Q31" s="6">
        <v>55</v>
      </c>
      <c r="R31">
        <v>1</v>
      </c>
      <c r="S31" s="6">
        <v>3365</v>
      </c>
      <c r="T31">
        <v>0</v>
      </c>
      <c r="U31" s="6">
        <v>2640</v>
      </c>
      <c r="V31">
        <v>1</v>
      </c>
      <c r="W31">
        <v>0</v>
      </c>
      <c r="X31">
        <v>0</v>
      </c>
      <c r="Y31" s="6">
        <v>39.5</v>
      </c>
      <c r="Z31">
        <v>9.7000000000000003E-2</v>
      </c>
      <c r="AA31">
        <v>5.1999999999999998E-2</v>
      </c>
      <c r="AB31">
        <v>8.6999999999999994E-2</v>
      </c>
      <c r="AC31">
        <v>5</v>
      </c>
      <c r="AD31" s="6">
        <v>66</v>
      </c>
      <c r="AE31" s="6">
        <v>40</v>
      </c>
      <c r="AF31" s="6">
        <v>0</v>
      </c>
      <c r="AG31" s="6">
        <v>153.32</v>
      </c>
      <c r="AH31" s="6">
        <v>193.47</v>
      </c>
      <c r="AI31" s="6">
        <f t="shared" si="0"/>
        <v>40.150000000000006</v>
      </c>
      <c r="AJ31" s="5">
        <f t="shared" si="1"/>
        <v>0.20752571458107202</v>
      </c>
    </row>
    <row r="32" spans="1:36">
      <c r="A32" t="s">
        <v>236</v>
      </c>
      <c r="B32" t="s">
        <v>237</v>
      </c>
      <c r="C32" t="s">
        <v>52</v>
      </c>
      <c r="D32" t="s">
        <v>54</v>
      </c>
      <c r="E32" t="s">
        <v>55</v>
      </c>
      <c r="F32">
        <v>0</v>
      </c>
      <c r="G32">
        <v>1145</v>
      </c>
      <c r="H32">
        <v>1</v>
      </c>
      <c r="I32" t="s">
        <v>178</v>
      </c>
      <c r="J32">
        <v>4</v>
      </c>
      <c r="K32" s="6">
        <v>10.46</v>
      </c>
      <c r="L32" t="s">
        <v>174</v>
      </c>
      <c r="M32">
        <v>0</v>
      </c>
      <c r="N32" t="s">
        <v>175</v>
      </c>
      <c r="O32">
        <v>1</v>
      </c>
      <c r="P32">
        <v>0</v>
      </c>
      <c r="Q32" s="6">
        <v>22.6</v>
      </c>
      <c r="R32">
        <v>1</v>
      </c>
      <c r="S32" s="6">
        <v>2244</v>
      </c>
      <c r="T32">
        <v>0</v>
      </c>
      <c r="U32" s="6">
        <v>5346</v>
      </c>
      <c r="V32">
        <v>0</v>
      </c>
      <c r="W32">
        <v>0</v>
      </c>
      <c r="X32">
        <v>0</v>
      </c>
      <c r="Y32" s="6">
        <v>39.5</v>
      </c>
      <c r="Z32">
        <v>9.7000000000000003E-2</v>
      </c>
      <c r="AA32">
        <v>5.1999999999999998E-2</v>
      </c>
      <c r="AB32">
        <v>8.6999999999999994E-2</v>
      </c>
      <c r="AC32">
        <v>5</v>
      </c>
      <c r="AD32" s="6">
        <v>66</v>
      </c>
      <c r="AE32" s="6">
        <v>40</v>
      </c>
      <c r="AF32" s="6">
        <v>0</v>
      </c>
      <c r="AG32" s="6">
        <v>117.41</v>
      </c>
      <c r="AH32" s="6">
        <v>150.21</v>
      </c>
      <c r="AI32" s="6">
        <f t="shared" si="0"/>
        <v>32.800000000000011</v>
      </c>
      <c r="AJ32" s="5">
        <f t="shared" si="1"/>
        <v>0.21836096132081759</v>
      </c>
    </row>
    <row r="33" spans="1:36">
      <c r="A33" t="s">
        <v>238</v>
      </c>
      <c r="B33" t="s">
        <v>239</v>
      </c>
      <c r="C33" t="s">
        <v>52</v>
      </c>
      <c r="D33" t="s">
        <v>54</v>
      </c>
      <c r="E33" t="s">
        <v>55</v>
      </c>
      <c r="F33">
        <v>0</v>
      </c>
      <c r="G33">
        <v>1145</v>
      </c>
      <c r="H33">
        <v>1</v>
      </c>
      <c r="I33" t="s">
        <v>220</v>
      </c>
      <c r="J33">
        <v>2</v>
      </c>
      <c r="K33" s="6">
        <v>5.27</v>
      </c>
      <c r="L33" t="s">
        <v>174</v>
      </c>
      <c r="M33">
        <v>0</v>
      </c>
      <c r="N33" t="s">
        <v>175</v>
      </c>
      <c r="O33">
        <v>1</v>
      </c>
      <c r="P33">
        <v>0</v>
      </c>
      <c r="Q33" s="6">
        <v>29.4</v>
      </c>
      <c r="R33">
        <v>0</v>
      </c>
      <c r="S33" s="6">
        <v>0</v>
      </c>
      <c r="T33">
        <v>0</v>
      </c>
      <c r="U33" s="6">
        <v>5486</v>
      </c>
      <c r="V33">
        <v>0</v>
      </c>
      <c r="W33">
        <v>0</v>
      </c>
      <c r="X33">
        <v>0</v>
      </c>
      <c r="Y33" s="6">
        <v>39.5</v>
      </c>
      <c r="Z33">
        <v>9.7000000000000003E-2</v>
      </c>
      <c r="AA33">
        <v>5.1999999999999998E-2</v>
      </c>
      <c r="AB33">
        <v>8.6999999999999994E-2</v>
      </c>
      <c r="AC33">
        <v>5</v>
      </c>
      <c r="AD33" s="6">
        <v>51</v>
      </c>
      <c r="AE33" s="6">
        <v>0</v>
      </c>
      <c r="AF33" s="6">
        <v>0</v>
      </c>
      <c r="AG33" s="6">
        <v>65.97</v>
      </c>
      <c r="AH33" s="6">
        <v>83.92</v>
      </c>
      <c r="AI33" s="6">
        <f t="shared" si="0"/>
        <v>17.950000000000003</v>
      </c>
      <c r="AJ33" s="5">
        <f t="shared" si="1"/>
        <v>0.21389418493803625</v>
      </c>
    </row>
    <row r="34" spans="1:36">
      <c r="A34" t="s">
        <v>240</v>
      </c>
      <c r="B34" t="s">
        <v>241</v>
      </c>
      <c r="C34" t="s">
        <v>52</v>
      </c>
      <c r="D34" t="s">
        <v>54</v>
      </c>
      <c r="E34" t="s">
        <v>55</v>
      </c>
      <c r="F34">
        <v>0</v>
      </c>
      <c r="G34">
        <v>1145</v>
      </c>
      <c r="H34">
        <v>1</v>
      </c>
      <c r="I34" t="s">
        <v>173</v>
      </c>
      <c r="J34">
        <v>1</v>
      </c>
      <c r="K34" s="6">
        <v>2.72</v>
      </c>
      <c r="L34" t="s">
        <v>174</v>
      </c>
      <c r="M34">
        <v>0</v>
      </c>
      <c r="N34" t="s">
        <v>217</v>
      </c>
      <c r="O34">
        <v>4</v>
      </c>
      <c r="P34">
        <v>1</v>
      </c>
      <c r="Q34" s="6">
        <v>135.6</v>
      </c>
      <c r="R34">
        <v>0</v>
      </c>
      <c r="S34" s="6">
        <v>0</v>
      </c>
      <c r="T34">
        <v>0</v>
      </c>
      <c r="U34" s="6">
        <v>5116</v>
      </c>
      <c r="V34">
        <v>0</v>
      </c>
      <c r="W34">
        <v>0</v>
      </c>
      <c r="X34">
        <v>0</v>
      </c>
      <c r="Y34" s="6">
        <v>39.5</v>
      </c>
      <c r="Z34">
        <v>9.7000000000000003E-2</v>
      </c>
      <c r="AA34">
        <v>5.1999999999999998E-2</v>
      </c>
      <c r="AB34">
        <v>8.6999999999999994E-2</v>
      </c>
      <c r="AC34">
        <v>5</v>
      </c>
      <c r="AD34" s="6">
        <v>51</v>
      </c>
      <c r="AE34" s="6">
        <v>0</v>
      </c>
      <c r="AF34" s="6">
        <v>0</v>
      </c>
      <c r="AG34" s="6">
        <v>97.34</v>
      </c>
      <c r="AH34" s="6">
        <v>124.86</v>
      </c>
      <c r="AI34" s="6">
        <f t="shared" si="0"/>
        <v>27.519999999999996</v>
      </c>
      <c r="AJ34" s="5">
        <f t="shared" si="1"/>
        <v>0.22040685567835974</v>
      </c>
    </row>
    <row r="35" spans="1:36">
      <c r="A35" t="s">
        <v>221</v>
      </c>
      <c r="B35" t="s">
        <v>242</v>
      </c>
      <c r="C35" t="s">
        <v>52</v>
      </c>
      <c r="D35" t="s">
        <v>54</v>
      </c>
      <c r="E35" t="s">
        <v>55</v>
      </c>
      <c r="F35">
        <v>0</v>
      </c>
      <c r="G35">
        <v>1145</v>
      </c>
      <c r="H35">
        <v>1</v>
      </c>
      <c r="I35" t="s">
        <v>173</v>
      </c>
      <c r="J35">
        <v>1</v>
      </c>
      <c r="K35" s="6">
        <v>1.98</v>
      </c>
      <c r="L35" t="s">
        <v>174</v>
      </c>
      <c r="M35">
        <v>0</v>
      </c>
      <c r="N35" t="s">
        <v>187</v>
      </c>
      <c r="O35">
        <v>2</v>
      </c>
      <c r="P35">
        <v>0</v>
      </c>
      <c r="Q35" s="6">
        <v>20.3</v>
      </c>
      <c r="R35">
        <v>1</v>
      </c>
      <c r="S35" s="6">
        <v>2118</v>
      </c>
      <c r="T35">
        <v>0</v>
      </c>
      <c r="U35" s="6">
        <v>5684</v>
      </c>
      <c r="V35">
        <v>0</v>
      </c>
      <c r="W35">
        <v>0</v>
      </c>
      <c r="X35">
        <v>0</v>
      </c>
      <c r="Y35" s="6">
        <v>39.5</v>
      </c>
      <c r="Z35">
        <v>9.7000000000000003E-2</v>
      </c>
      <c r="AA35">
        <v>5.1999999999999998E-2</v>
      </c>
      <c r="AB35">
        <v>8.6999999999999994E-2</v>
      </c>
      <c r="AC35">
        <v>5</v>
      </c>
      <c r="AD35" s="6">
        <v>51</v>
      </c>
      <c r="AE35" s="6">
        <v>40</v>
      </c>
      <c r="AF35" s="6">
        <v>0</v>
      </c>
      <c r="AG35" s="6">
        <v>55.59</v>
      </c>
      <c r="AH35" s="6">
        <v>69.56</v>
      </c>
      <c r="AI35" s="6">
        <f t="shared" si="0"/>
        <v>13.969999999999999</v>
      </c>
      <c r="AJ35" s="5">
        <f t="shared" si="1"/>
        <v>0.20083381253594018</v>
      </c>
    </row>
    <row r="36" spans="1:36">
      <c r="A36" t="s">
        <v>243</v>
      </c>
      <c r="B36" t="s">
        <v>244</v>
      </c>
      <c r="C36" t="s">
        <v>52</v>
      </c>
      <c r="D36" t="s">
        <v>54</v>
      </c>
      <c r="E36" t="s">
        <v>55</v>
      </c>
      <c r="F36">
        <v>0</v>
      </c>
      <c r="G36">
        <v>1145</v>
      </c>
      <c r="H36">
        <v>1</v>
      </c>
      <c r="I36" t="s">
        <v>178</v>
      </c>
      <c r="J36">
        <v>4</v>
      </c>
      <c r="K36" s="6">
        <v>13.14</v>
      </c>
      <c r="L36" t="s">
        <v>174</v>
      </c>
      <c r="M36">
        <v>0</v>
      </c>
      <c r="N36" t="s">
        <v>175</v>
      </c>
      <c r="O36">
        <v>1</v>
      </c>
      <c r="P36">
        <v>0</v>
      </c>
      <c r="Q36" s="6">
        <v>38.200000000000003</v>
      </c>
      <c r="R36">
        <v>0</v>
      </c>
      <c r="S36" s="6">
        <v>0</v>
      </c>
      <c r="T36">
        <v>0</v>
      </c>
      <c r="U36" s="6">
        <v>2403</v>
      </c>
      <c r="V36">
        <v>0</v>
      </c>
      <c r="W36">
        <v>0</v>
      </c>
      <c r="X36">
        <v>0</v>
      </c>
      <c r="Y36" s="6">
        <v>39.5</v>
      </c>
      <c r="Z36">
        <v>9.7000000000000003E-2</v>
      </c>
      <c r="AA36">
        <v>5.1999999999999998E-2</v>
      </c>
      <c r="AB36">
        <v>8.6999999999999994E-2</v>
      </c>
      <c r="AC36">
        <v>5</v>
      </c>
      <c r="AD36" s="6">
        <v>66</v>
      </c>
      <c r="AE36" s="6">
        <v>0</v>
      </c>
      <c r="AF36" s="6">
        <v>0</v>
      </c>
      <c r="AG36" s="6">
        <v>121.75</v>
      </c>
      <c r="AH36" s="6">
        <v>156.06</v>
      </c>
      <c r="AI36" s="6">
        <f t="shared" si="0"/>
        <v>34.31</v>
      </c>
      <c r="AJ36" s="5">
        <f t="shared" si="1"/>
        <v>0.21985133922850186</v>
      </c>
    </row>
    <row r="37" spans="1:36">
      <c r="A37" t="s">
        <v>245</v>
      </c>
      <c r="B37" t="s">
        <v>246</v>
      </c>
      <c r="C37" t="s">
        <v>52</v>
      </c>
      <c r="D37" t="s">
        <v>54</v>
      </c>
      <c r="E37" t="s">
        <v>55</v>
      </c>
      <c r="F37">
        <v>0</v>
      </c>
      <c r="G37">
        <v>1145</v>
      </c>
      <c r="H37">
        <v>1</v>
      </c>
      <c r="I37" t="s">
        <v>178</v>
      </c>
      <c r="J37">
        <v>4</v>
      </c>
      <c r="K37" s="6">
        <v>17.07</v>
      </c>
      <c r="L37" t="s">
        <v>174</v>
      </c>
      <c r="M37">
        <v>0</v>
      </c>
      <c r="N37" t="s">
        <v>175</v>
      </c>
      <c r="O37">
        <v>1</v>
      </c>
      <c r="P37">
        <v>0</v>
      </c>
      <c r="Q37" s="6">
        <v>41.4</v>
      </c>
      <c r="R37">
        <v>0</v>
      </c>
      <c r="S37" s="6">
        <v>0</v>
      </c>
      <c r="T37">
        <v>0</v>
      </c>
      <c r="U37" s="6">
        <v>3119</v>
      </c>
      <c r="V37">
        <v>0</v>
      </c>
      <c r="W37">
        <v>0</v>
      </c>
      <c r="X37">
        <v>0</v>
      </c>
      <c r="Y37" s="6">
        <v>39.5</v>
      </c>
      <c r="Z37">
        <v>9.7000000000000003E-2</v>
      </c>
      <c r="AA37">
        <v>5.1999999999999998E-2</v>
      </c>
      <c r="AB37">
        <v>8.6999999999999994E-2</v>
      </c>
      <c r="AC37">
        <v>5</v>
      </c>
      <c r="AD37" s="6">
        <v>66</v>
      </c>
      <c r="AE37" s="6">
        <v>0</v>
      </c>
      <c r="AF37" s="6">
        <v>0</v>
      </c>
      <c r="AG37" s="6">
        <v>131.07</v>
      </c>
      <c r="AH37" s="6">
        <v>165.82</v>
      </c>
      <c r="AI37" s="6">
        <f t="shared" si="0"/>
        <v>34.75</v>
      </c>
      <c r="AJ37" s="5">
        <f t="shared" si="1"/>
        <v>0.20956458810758655</v>
      </c>
    </row>
    <row r="38" spans="1:36">
      <c r="A38" t="s">
        <v>247</v>
      </c>
      <c r="B38" t="s">
        <v>248</v>
      </c>
      <c r="C38" t="s">
        <v>52</v>
      </c>
      <c r="D38" t="s">
        <v>54</v>
      </c>
      <c r="E38" t="s">
        <v>55</v>
      </c>
      <c r="F38">
        <v>0</v>
      </c>
      <c r="G38">
        <v>1145</v>
      </c>
      <c r="H38">
        <v>1</v>
      </c>
      <c r="I38" t="s">
        <v>173</v>
      </c>
      <c r="J38">
        <v>1</v>
      </c>
      <c r="K38" s="6">
        <v>1.28</v>
      </c>
      <c r="L38" t="s">
        <v>174</v>
      </c>
      <c r="M38">
        <v>0</v>
      </c>
      <c r="N38" t="s">
        <v>187</v>
      </c>
      <c r="O38">
        <v>2</v>
      </c>
      <c r="P38">
        <v>0</v>
      </c>
      <c r="Q38" s="6">
        <v>42.6</v>
      </c>
      <c r="R38">
        <v>0</v>
      </c>
      <c r="S38" s="6">
        <v>0</v>
      </c>
      <c r="T38">
        <v>0</v>
      </c>
      <c r="U38" s="6">
        <v>4663</v>
      </c>
      <c r="V38">
        <v>0</v>
      </c>
      <c r="W38">
        <v>0</v>
      </c>
      <c r="X38">
        <v>0</v>
      </c>
      <c r="Y38" s="6">
        <v>39.5</v>
      </c>
      <c r="Z38">
        <v>9.7000000000000003E-2</v>
      </c>
      <c r="AA38">
        <v>5.1999999999999998E-2</v>
      </c>
      <c r="AB38">
        <v>8.6999999999999994E-2</v>
      </c>
      <c r="AC38">
        <v>5</v>
      </c>
      <c r="AD38" s="6">
        <v>51</v>
      </c>
      <c r="AE38" s="6">
        <v>0</v>
      </c>
      <c r="AF38" s="6">
        <v>0</v>
      </c>
      <c r="AG38" s="6">
        <v>48.32</v>
      </c>
      <c r="AH38" s="6">
        <v>64.59</v>
      </c>
      <c r="AI38" s="6">
        <f t="shared" si="0"/>
        <v>16.270000000000003</v>
      </c>
      <c r="AJ38" s="5">
        <f t="shared" si="1"/>
        <v>0.25189657841771174</v>
      </c>
    </row>
    <row r="39" spans="1:36">
      <c r="A39" t="s">
        <v>249</v>
      </c>
      <c r="B39" t="s">
        <v>250</v>
      </c>
      <c r="C39" t="s">
        <v>52</v>
      </c>
      <c r="D39" t="s">
        <v>54</v>
      </c>
      <c r="E39" t="s">
        <v>55</v>
      </c>
      <c r="F39">
        <v>0</v>
      </c>
      <c r="G39">
        <v>1145</v>
      </c>
      <c r="H39">
        <v>1</v>
      </c>
      <c r="I39" t="s">
        <v>220</v>
      </c>
      <c r="J39">
        <v>2</v>
      </c>
      <c r="K39" s="6">
        <v>5.0999999999999996</v>
      </c>
      <c r="L39" t="s">
        <v>174</v>
      </c>
      <c r="M39">
        <v>0</v>
      </c>
      <c r="N39" t="s">
        <v>175</v>
      </c>
      <c r="O39">
        <v>1</v>
      </c>
      <c r="P39">
        <v>0</v>
      </c>
      <c r="Q39" s="6">
        <v>52.2</v>
      </c>
      <c r="R39">
        <v>1</v>
      </c>
      <c r="S39" s="6">
        <v>1166</v>
      </c>
      <c r="T39">
        <v>0</v>
      </c>
      <c r="U39" s="6">
        <v>2469</v>
      </c>
      <c r="V39">
        <v>0</v>
      </c>
      <c r="W39">
        <v>0</v>
      </c>
      <c r="X39">
        <v>0</v>
      </c>
      <c r="Y39" s="6">
        <v>39.5</v>
      </c>
      <c r="Z39">
        <v>9.7000000000000003E-2</v>
      </c>
      <c r="AA39">
        <v>5.1999999999999998E-2</v>
      </c>
      <c r="AB39">
        <v>8.6999999999999994E-2</v>
      </c>
      <c r="AC39">
        <v>5</v>
      </c>
      <c r="AD39" s="6">
        <v>51</v>
      </c>
      <c r="AE39" s="6">
        <v>25</v>
      </c>
      <c r="AF39" s="6">
        <v>0</v>
      </c>
      <c r="AG39" s="6">
        <v>58.77</v>
      </c>
      <c r="AH39" s="6">
        <v>73.53</v>
      </c>
      <c r="AI39" s="6">
        <f t="shared" si="0"/>
        <v>14.759999999999998</v>
      </c>
      <c r="AJ39" s="5">
        <f t="shared" si="1"/>
        <v>0.20073439412484698</v>
      </c>
    </row>
    <row r="40" spans="1:36">
      <c r="A40" t="s">
        <v>251</v>
      </c>
      <c r="B40" t="s">
        <v>252</v>
      </c>
      <c r="C40" t="s">
        <v>52</v>
      </c>
      <c r="D40" t="s">
        <v>54</v>
      </c>
      <c r="E40" t="s">
        <v>55</v>
      </c>
      <c r="F40">
        <v>0</v>
      </c>
      <c r="G40">
        <v>1145</v>
      </c>
      <c r="H40">
        <v>1</v>
      </c>
      <c r="I40" t="s">
        <v>173</v>
      </c>
      <c r="J40">
        <v>1</v>
      </c>
      <c r="K40" s="6">
        <v>1.51</v>
      </c>
      <c r="L40" t="s">
        <v>200</v>
      </c>
      <c r="M40">
        <v>1</v>
      </c>
      <c r="N40" t="s">
        <v>175</v>
      </c>
      <c r="O40">
        <v>1</v>
      </c>
      <c r="P40">
        <v>0</v>
      </c>
      <c r="Q40" s="6">
        <v>20.2</v>
      </c>
      <c r="R40">
        <v>0</v>
      </c>
      <c r="S40" s="6">
        <v>0</v>
      </c>
      <c r="T40">
        <v>0</v>
      </c>
      <c r="U40" s="6">
        <v>2772</v>
      </c>
      <c r="V40">
        <v>0</v>
      </c>
      <c r="W40">
        <v>0</v>
      </c>
      <c r="X40">
        <v>0</v>
      </c>
      <c r="Y40" s="6">
        <v>39.5</v>
      </c>
      <c r="Z40">
        <v>9.7000000000000003E-2</v>
      </c>
      <c r="AA40">
        <v>5.1999999999999998E-2</v>
      </c>
      <c r="AB40">
        <v>8.6999999999999994E-2</v>
      </c>
      <c r="AC40">
        <v>5</v>
      </c>
      <c r="AD40" s="6">
        <v>100</v>
      </c>
      <c r="AE40" s="6">
        <v>0</v>
      </c>
      <c r="AF40" s="6">
        <v>0</v>
      </c>
      <c r="AG40" s="6">
        <v>69.64</v>
      </c>
      <c r="AH40" s="6">
        <v>101.84</v>
      </c>
      <c r="AI40" s="6">
        <f t="shared" si="0"/>
        <v>32.200000000000003</v>
      </c>
      <c r="AJ40" s="5">
        <f t="shared" si="1"/>
        <v>0.31618224666142969</v>
      </c>
    </row>
    <row r="41" spans="1:36">
      <c r="A41" t="s">
        <v>253</v>
      </c>
      <c r="B41" t="s">
        <v>254</v>
      </c>
      <c r="C41" t="s">
        <v>52</v>
      </c>
      <c r="D41" t="s">
        <v>54</v>
      </c>
      <c r="E41" t="s">
        <v>55</v>
      </c>
      <c r="F41">
        <v>0</v>
      </c>
      <c r="G41">
        <v>1145</v>
      </c>
      <c r="H41">
        <v>1</v>
      </c>
      <c r="I41" t="s">
        <v>220</v>
      </c>
      <c r="J41">
        <v>2</v>
      </c>
      <c r="K41" s="6">
        <v>3.19</v>
      </c>
      <c r="L41" t="s">
        <v>174</v>
      </c>
      <c r="M41">
        <v>0</v>
      </c>
      <c r="N41" t="s">
        <v>217</v>
      </c>
      <c r="O41">
        <v>4</v>
      </c>
      <c r="P41">
        <v>1</v>
      </c>
      <c r="Q41" s="6">
        <v>147.69999999999999</v>
      </c>
      <c r="R41">
        <v>0</v>
      </c>
      <c r="S41" s="6">
        <v>0</v>
      </c>
      <c r="T41">
        <v>0</v>
      </c>
      <c r="U41" s="6">
        <v>4806</v>
      </c>
      <c r="V41">
        <v>1</v>
      </c>
      <c r="W41">
        <v>0</v>
      </c>
      <c r="X41">
        <v>0</v>
      </c>
      <c r="Y41" s="6">
        <v>39.5</v>
      </c>
      <c r="Z41">
        <v>9.7000000000000003E-2</v>
      </c>
      <c r="AA41">
        <v>5.1999999999999998E-2</v>
      </c>
      <c r="AB41">
        <v>8.6999999999999994E-2</v>
      </c>
      <c r="AC41">
        <v>5</v>
      </c>
      <c r="AD41" s="6">
        <v>51</v>
      </c>
      <c r="AE41" s="6">
        <v>0</v>
      </c>
      <c r="AF41" s="6">
        <v>0</v>
      </c>
      <c r="AG41" s="6">
        <v>164.2</v>
      </c>
      <c r="AH41" s="6">
        <v>209.78</v>
      </c>
      <c r="AI41" s="6">
        <f t="shared" si="0"/>
        <v>45.580000000000013</v>
      </c>
      <c r="AJ41" s="5">
        <f t="shared" si="1"/>
        <v>0.21727524072838217</v>
      </c>
    </row>
    <row r="42" spans="1:36">
      <c r="A42" t="s">
        <v>255</v>
      </c>
      <c r="B42" t="s">
        <v>256</v>
      </c>
      <c r="C42" t="s">
        <v>52</v>
      </c>
      <c r="D42" t="s">
        <v>54</v>
      </c>
      <c r="E42" t="s">
        <v>55</v>
      </c>
      <c r="F42">
        <v>0</v>
      </c>
      <c r="G42">
        <v>1145</v>
      </c>
      <c r="H42">
        <v>1</v>
      </c>
      <c r="I42" t="s">
        <v>220</v>
      </c>
      <c r="J42">
        <v>2</v>
      </c>
      <c r="K42" s="6">
        <v>4.25</v>
      </c>
      <c r="L42" t="s">
        <v>174</v>
      </c>
      <c r="M42">
        <v>0</v>
      </c>
      <c r="N42" t="s">
        <v>175</v>
      </c>
      <c r="O42">
        <v>1</v>
      </c>
      <c r="P42">
        <v>0</v>
      </c>
      <c r="Q42" s="6">
        <v>40.700000000000003</v>
      </c>
      <c r="R42">
        <v>1</v>
      </c>
      <c r="S42" s="6">
        <v>1281</v>
      </c>
      <c r="T42">
        <v>0</v>
      </c>
      <c r="U42" s="6">
        <v>1938</v>
      </c>
      <c r="V42">
        <v>0</v>
      </c>
      <c r="W42">
        <v>1</v>
      </c>
      <c r="X42">
        <v>0</v>
      </c>
      <c r="Y42" s="6">
        <v>39.5</v>
      </c>
      <c r="Z42">
        <v>9.7000000000000003E-2</v>
      </c>
      <c r="AA42">
        <v>5.1999999999999998E-2</v>
      </c>
      <c r="AB42">
        <v>8.6999999999999994E-2</v>
      </c>
      <c r="AC42">
        <v>5</v>
      </c>
      <c r="AD42" s="6">
        <v>51</v>
      </c>
      <c r="AE42" s="6">
        <v>25</v>
      </c>
      <c r="AF42" s="6">
        <v>0</v>
      </c>
      <c r="AG42" s="6">
        <v>88.49</v>
      </c>
      <c r="AH42" s="6">
        <v>112.99</v>
      </c>
      <c r="AI42" s="6">
        <f t="shared" si="0"/>
        <v>24.5</v>
      </c>
      <c r="AJ42" s="5">
        <f t="shared" si="1"/>
        <v>0.21683334808390123</v>
      </c>
    </row>
    <row r="43" spans="1:36">
      <c r="A43" t="s">
        <v>238</v>
      </c>
      <c r="B43" t="s">
        <v>257</v>
      </c>
      <c r="C43" t="s">
        <v>52</v>
      </c>
      <c r="D43" t="s">
        <v>54</v>
      </c>
      <c r="E43" t="s">
        <v>55</v>
      </c>
      <c r="F43">
        <v>0</v>
      </c>
      <c r="G43">
        <v>1145</v>
      </c>
      <c r="H43">
        <v>1</v>
      </c>
      <c r="I43" t="s">
        <v>178</v>
      </c>
      <c r="J43">
        <v>4</v>
      </c>
      <c r="K43" s="6">
        <v>16.64</v>
      </c>
      <c r="L43" t="s">
        <v>174</v>
      </c>
      <c r="M43">
        <v>0</v>
      </c>
      <c r="N43" t="s">
        <v>187</v>
      </c>
      <c r="O43">
        <v>2</v>
      </c>
      <c r="P43">
        <v>0</v>
      </c>
      <c r="Q43" s="6">
        <v>53.6</v>
      </c>
      <c r="R43">
        <v>0</v>
      </c>
      <c r="S43" s="6">
        <v>0</v>
      </c>
      <c r="T43">
        <v>0</v>
      </c>
      <c r="U43" s="6">
        <v>4516</v>
      </c>
      <c r="V43">
        <v>0</v>
      </c>
      <c r="W43">
        <v>0</v>
      </c>
      <c r="X43">
        <v>0</v>
      </c>
      <c r="Y43" s="6">
        <v>39.5</v>
      </c>
      <c r="Z43">
        <v>9.7000000000000003E-2</v>
      </c>
      <c r="AA43">
        <v>5.1999999999999998E-2</v>
      </c>
      <c r="AB43">
        <v>8.6999999999999994E-2</v>
      </c>
      <c r="AC43">
        <v>5</v>
      </c>
      <c r="AD43" s="6">
        <v>66</v>
      </c>
      <c r="AE43" s="6">
        <v>0</v>
      </c>
      <c r="AF43" s="6">
        <v>0</v>
      </c>
      <c r="AG43" s="6">
        <v>137.32</v>
      </c>
      <c r="AH43" s="6">
        <v>171.7</v>
      </c>
      <c r="AI43" s="6">
        <f t="shared" si="0"/>
        <v>34.379999999999995</v>
      </c>
      <c r="AJ43" s="5">
        <f t="shared" si="1"/>
        <v>0.20023296447291786</v>
      </c>
    </row>
    <row r="44" spans="1:36">
      <c r="A44" t="s">
        <v>258</v>
      </c>
      <c r="B44" t="s">
        <v>259</v>
      </c>
      <c r="C44" t="s">
        <v>52</v>
      </c>
      <c r="D44" t="s">
        <v>54</v>
      </c>
      <c r="E44" t="s">
        <v>55</v>
      </c>
      <c r="F44">
        <v>0</v>
      </c>
      <c r="G44">
        <v>1145</v>
      </c>
      <c r="H44">
        <v>1</v>
      </c>
      <c r="I44" t="s">
        <v>181</v>
      </c>
      <c r="J44">
        <v>3</v>
      </c>
      <c r="K44" s="6">
        <v>8.1</v>
      </c>
      <c r="L44" t="s">
        <v>200</v>
      </c>
      <c r="M44">
        <v>1</v>
      </c>
      <c r="N44" t="s">
        <v>182</v>
      </c>
      <c r="O44">
        <v>3</v>
      </c>
      <c r="P44">
        <v>0</v>
      </c>
      <c r="Q44" s="6">
        <v>81.5</v>
      </c>
      <c r="R44">
        <v>0</v>
      </c>
      <c r="S44" s="6">
        <v>0</v>
      </c>
      <c r="T44">
        <v>0</v>
      </c>
      <c r="U44" s="6">
        <v>4101</v>
      </c>
      <c r="V44">
        <v>0</v>
      </c>
      <c r="W44">
        <v>0</v>
      </c>
      <c r="X44">
        <v>0</v>
      </c>
      <c r="Y44" s="6">
        <v>39.5</v>
      </c>
      <c r="Z44">
        <v>9.7000000000000003E-2</v>
      </c>
      <c r="AA44">
        <v>5.1999999999999998E-2</v>
      </c>
      <c r="AB44">
        <v>8.6999999999999994E-2</v>
      </c>
      <c r="AC44">
        <v>5</v>
      </c>
      <c r="AD44" s="6">
        <v>140</v>
      </c>
      <c r="AE44" s="6">
        <v>0</v>
      </c>
      <c r="AF44" s="6">
        <v>0</v>
      </c>
      <c r="AG44" s="6">
        <v>128.69</v>
      </c>
      <c r="AH44" s="6">
        <v>161.9</v>
      </c>
      <c r="AI44" s="6">
        <f t="shared" si="0"/>
        <v>33.210000000000008</v>
      </c>
      <c r="AJ44" s="5">
        <f t="shared" si="1"/>
        <v>0.20512662137121684</v>
      </c>
    </row>
    <row r="45" spans="1:36">
      <c r="A45" t="s">
        <v>179</v>
      </c>
      <c r="B45" t="s">
        <v>260</v>
      </c>
      <c r="C45" t="s">
        <v>52</v>
      </c>
      <c r="D45" t="s">
        <v>54</v>
      </c>
      <c r="E45" t="s">
        <v>55</v>
      </c>
      <c r="F45">
        <v>0</v>
      </c>
      <c r="G45">
        <v>1145</v>
      </c>
      <c r="H45">
        <v>1</v>
      </c>
      <c r="I45" t="s">
        <v>181</v>
      </c>
      <c r="J45">
        <v>3</v>
      </c>
      <c r="K45" s="6">
        <v>11.49</v>
      </c>
      <c r="L45" t="s">
        <v>200</v>
      </c>
      <c r="M45">
        <v>1</v>
      </c>
      <c r="N45" t="s">
        <v>175</v>
      </c>
      <c r="O45">
        <v>1</v>
      </c>
      <c r="P45">
        <v>0</v>
      </c>
      <c r="Q45" s="6">
        <v>37.1</v>
      </c>
      <c r="R45">
        <v>1</v>
      </c>
      <c r="S45" s="6">
        <v>1917</v>
      </c>
      <c r="T45">
        <v>0</v>
      </c>
      <c r="U45" s="6">
        <v>1790</v>
      </c>
      <c r="V45">
        <v>0</v>
      </c>
      <c r="W45">
        <v>0</v>
      </c>
      <c r="X45">
        <v>0</v>
      </c>
      <c r="Y45" s="6">
        <v>39.5</v>
      </c>
      <c r="Z45">
        <v>9.7000000000000003E-2</v>
      </c>
      <c r="AA45">
        <v>5.1999999999999998E-2</v>
      </c>
      <c r="AB45">
        <v>8.6999999999999994E-2</v>
      </c>
      <c r="AC45">
        <v>5</v>
      </c>
      <c r="AD45" s="6">
        <v>140</v>
      </c>
      <c r="AE45" s="6">
        <v>25</v>
      </c>
      <c r="AF45" s="6">
        <v>0</v>
      </c>
      <c r="AG45" s="6">
        <v>131.47</v>
      </c>
      <c r="AH45" s="6">
        <v>165.02</v>
      </c>
      <c r="AI45" s="6">
        <f t="shared" si="0"/>
        <v>33.550000000000011</v>
      </c>
      <c r="AJ45" s="5">
        <f t="shared" si="1"/>
        <v>0.2033086898557751</v>
      </c>
    </row>
    <row r="46" spans="1:36">
      <c r="A46" t="s">
        <v>261</v>
      </c>
      <c r="B46" t="s">
        <v>262</v>
      </c>
      <c r="C46" t="s">
        <v>52</v>
      </c>
      <c r="D46" t="s">
        <v>54</v>
      </c>
      <c r="E46" t="s">
        <v>55</v>
      </c>
      <c r="F46">
        <v>0</v>
      </c>
      <c r="G46">
        <v>1145</v>
      </c>
      <c r="H46">
        <v>1</v>
      </c>
      <c r="I46" t="s">
        <v>220</v>
      </c>
      <c r="J46">
        <v>2</v>
      </c>
      <c r="K46" s="6">
        <v>3.44</v>
      </c>
      <c r="L46" t="s">
        <v>200</v>
      </c>
      <c r="M46">
        <v>1</v>
      </c>
      <c r="N46" t="s">
        <v>187</v>
      </c>
      <c r="O46">
        <v>2</v>
      </c>
      <c r="P46">
        <v>0</v>
      </c>
      <c r="Q46" s="6">
        <v>49.1</v>
      </c>
      <c r="R46">
        <v>0</v>
      </c>
      <c r="S46" s="6">
        <v>0</v>
      </c>
      <c r="T46">
        <v>0</v>
      </c>
      <c r="U46" s="6">
        <v>5319</v>
      </c>
      <c r="V46">
        <v>0</v>
      </c>
      <c r="W46">
        <v>0</v>
      </c>
      <c r="X46">
        <v>0</v>
      </c>
      <c r="Y46" s="6">
        <v>39.5</v>
      </c>
      <c r="Z46">
        <v>9.7000000000000003E-2</v>
      </c>
      <c r="AA46">
        <v>5.1999999999999998E-2</v>
      </c>
      <c r="AB46">
        <v>8.6999999999999994E-2</v>
      </c>
      <c r="AC46">
        <v>5</v>
      </c>
      <c r="AD46" s="6">
        <v>120</v>
      </c>
      <c r="AE46" s="6">
        <v>0</v>
      </c>
      <c r="AF46" s="6">
        <v>0</v>
      </c>
      <c r="AG46" s="6">
        <v>96.89</v>
      </c>
      <c r="AH46" s="6">
        <v>122.49</v>
      </c>
      <c r="AI46" s="6">
        <f t="shared" si="0"/>
        <v>25.599999999999994</v>
      </c>
      <c r="AJ46" s="5">
        <f t="shared" si="1"/>
        <v>0.20899665278798266</v>
      </c>
    </row>
    <row r="47" spans="1:36">
      <c r="A47" t="s">
        <v>263</v>
      </c>
      <c r="B47" t="s">
        <v>264</v>
      </c>
      <c r="C47" t="s">
        <v>52</v>
      </c>
      <c r="D47" t="s">
        <v>54</v>
      </c>
      <c r="E47" t="s">
        <v>55</v>
      </c>
      <c r="F47">
        <v>0</v>
      </c>
      <c r="G47">
        <v>1145</v>
      </c>
      <c r="H47">
        <v>1</v>
      </c>
      <c r="I47" t="s">
        <v>178</v>
      </c>
      <c r="J47">
        <v>4</v>
      </c>
      <c r="K47" s="6">
        <v>18.37</v>
      </c>
      <c r="L47" t="s">
        <v>174</v>
      </c>
      <c r="M47">
        <v>0</v>
      </c>
      <c r="N47" t="s">
        <v>217</v>
      </c>
      <c r="O47">
        <v>4</v>
      </c>
      <c r="P47">
        <v>1</v>
      </c>
      <c r="Q47" s="6">
        <v>159.19999999999999</v>
      </c>
      <c r="R47">
        <v>1</v>
      </c>
      <c r="S47" s="6">
        <v>8079</v>
      </c>
      <c r="T47">
        <v>0</v>
      </c>
      <c r="U47" s="6">
        <v>5437</v>
      </c>
      <c r="V47">
        <v>0</v>
      </c>
      <c r="W47">
        <v>0</v>
      </c>
      <c r="X47">
        <v>0</v>
      </c>
      <c r="Y47" s="6">
        <v>39.5</v>
      </c>
      <c r="Z47">
        <v>9.7000000000000003E-2</v>
      </c>
      <c r="AA47">
        <v>5.1999999999999998E-2</v>
      </c>
      <c r="AB47">
        <v>8.6999999999999994E-2</v>
      </c>
      <c r="AC47">
        <v>5</v>
      </c>
      <c r="AD47" s="6">
        <v>66</v>
      </c>
      <c r="AE47" s="6">
        <v>50</v>
      </c>
      <c r="AF47" s="6">
        <v>0</v>
      </c>
      <c r="AG47" s="6">
        <v>188.55</v>
      </c>
      <c r="AH47" s="6">
        <v>239.89</v>
      </c>
      <c r="AI47" s="6">
        <f t="shared" si="0"/>
        <v>51.339999999999975</v>
      </c>
      <c r="AJ47" s="5">
        <f t="shared" si="1"/>
        <v>0.21401475676351653</v>
      </c>
    </row>
    <row r="48" spans="1:36">
      <c r="A48" t="s">
        <v>212</v>
      </c>
      <c r="B48" t="s">
        <v>265</v>
      </c>
      <c r="C48" t="s">
        <v>52</v>
      </c>
      <c r="D48" t="s">
        <v>54</v>
      </c>
      <c r="E48" t="s">
        <v>55</v>
      </c>
      <c r="F48">
        <v>0</v>
      </c>
      <c r="G48">
        <v>1145</v>
      </c>
      <c r="H48">
        <v>1</v>
      </c>
      <c r="I48" t="s">
        <v>220</v>
      </c>
      <c r="J48">
        <v>2</v>
      </c>
      <c r="K48" s="6">
        <v>4.12</v>
      </c>
      <c r="L48" t="s">
        <v>174</v>
      </c>
      <c r="M48">
        <v>0</v>
      </c>
      <c r="N48" t="s">
        <v>175</v>
      </c>
      <c r="O48">
        <v>1</v>
      </c>
      <c r="P48">
        <v>0</v>
      </c>
      <c r="Q48" s="6">
        <v>36.700000000000003</v>
      </c>
      <c r="R48">
        <v>0</v>
      </c>
      <c r="S48" s="6">
        <v>0</v>
      </c>
      <c r="T48">
        <v>0</v>
      </c>
      <c r="U48" s="6">
        <v>3764</v>
      </c>
      <c r="V48">
        <v>0</v>
      </c>
      <c r="W48">
        <v>0</v>
      </c>
      <c r="X48">
        <v>0</v>
      </c>
      <c r="Y48" s="6">
        <v>39.5</v>
      </c>
      <c r="Z48">
        <v>9.7000000000000003E-2</v>
      </c>
      <c r="AA48">
        <v>5.1999999999999998E-2</v>
      </c>
      <c r="AB48">
        <v>8.6999999999999994E-2</v>
      </c>
      <c r="AC48">
        <v>5</v>
      </c>
      <c r="AD48" s="6">
        <v>51</v>
      </c>
      <c r="AE48" s="6">
        <v>0</v>
      </c>
      <c r="AF48" s="6">
        <v>0</v>
      </c>
      <c r="AG48" s="6">
        <v>59.36</v>
      </c>
      <c r="AH48" s="6">
        <v>75.17</v>
      </c>
      <c r="AI48" s="6">
        <f t="shared" si="0"/>
        <v>15.810000000000002</v>
      </c>
      <c r="AJ48" s="5">
        <f t="shared" si="1"/>
        <v>0.21032326726087539</v>
      </c>
    </row>
    <row r="49" spans="1:36">
      <c r="A49" t="s">
        <v>266</v>
      </c>
      <c r="B49" t="s">
        <v>267</v>
      </c>
      <c r="C49" t="s">
        <v>52</v>
      </c>
      <c r="D49" t="s">
        <v>54</v>
      </c>
      <c r="E49" t="s">
        <v>55</v>
      </c>
      <c r="F49">
        <v>0</v>
      </c>
      <c r="G49">
        <v>1145</v>
      </c>
      <c r="H49">
        <v>1</v>
      </c>
      <c r="I49" t="s">
        <v>220</v>
      </c>
      <c r="J49">
        <v>2</v>
      </c>
      <c r="K49" s="6">
        <v>3.27</v>
      </c>
      <c r="L49" t="s">
        <v>174</v>
      </c>
      <c r="M49">
        <v>0</v>
      </c>
      <c r="N49" t="s">
        <v>175</v>
      </c>
      <c r="O49">
        <v>1</v>
      </c>
      <c r="P49">
        <v>0</v>
      </c>
      <c r="Q49" s="6">
        <v>40.299999999999997</v>
      </c>
      <c r="R49">
        <v>0</v>
      </c>
      <c r="S49" s="6">
        <v>0</v>
      </c>
      <c r="T49">
        <v>0</v>
      </c>
      <c r="U49" s="6">
        <v>4045</v>
      </c>
      <c r="V49">
        <v>0</v>
      </c>
      <c r="W49">
        <v>0</v>
      </c>
      <c r="X49">
        <v>0</v>
      </c>
      <c r="Y49" s="6">
        <v>39.5</v>
      </c>
      <c r="Z49">
        <v>9.7000000000000003E-2</v>
      </c>
      <c r="AA49">
        <v>5.1999999999999998E-2</v>
      </c>
      <c r="AB49">
        <v>8.6999999999999994E-2</v>
      </c>
      <c r="AC49">
        <v>5</v>
      </c>
      <c r="AD49" s="6">
        <v>51</v>
      </c>
      <c r="AE49" s="6">
        <v>0</v>
      </c>
      <c r="AF49" s="6">
        <v>0</v>
      </c>
      <c r="AG49" s="6">
        <v>54.18</v>
      </c>
      <c r="AH49" s="6">
        <v>71.63</v>
      </c>
      <c r="AI49" s="6">
        <f t="shared" si="0"/>
        <v>17.449999999999996</v>
      </c>
      <c r="AJ49" s="5">
        <f t="shared" si="1"/>
        <v>0.24361301130811108</v>
      </c>
    </row>
    <row r="50" spans="1:36">
      <c r="A50" t="s">
        <v>266</v>
      </c>
      <c r="B50" t="s">
        <v>268</v>
      </c>
      <c r="C50" t="s">
        <v>52</v>
      </c>
      <c r="D50" t="s">
        <v>54</v>
      </c>
      <c r="E50" t="s">
        <v>55</v>
      </c>
      <c r="F50">
        <v>0</v>
      </c>
      <c r="G50">
        <v>1145</v>
      </c>
      <c r="H50">
        <v>1</v>
      </c>
      <c r="I50" t="s">
        <v>220</v>
      </c>
      <c r="J50">
        <v>2</v>
      </c>
      <c r="K50" s="6">
        <v>4.17</v>
      </c>
      <c r="L50" t="s">
        <v>174</v>
      </c>
      <c r="M50">
        <v>0</v>
      </c>
      <c r="N50" t="s">
        <v>187</v>
      </c>
      <c r="O50">
        <v>2</v>
      </c>
      <c r="P50">
        <v>0</v>
      </c>
      <c r="Q50" s="6">
        <v>20.5</v>
      </c>
      <c r="R50">
        <v>0</v>
      </c>
      <c r="S50" s="6">
        <v>0</v>
      </c>
      <c r="T50">
        <v>0</v>
      </c>
      <c r="U50" s="6">
        <v>13889</v>
      </c>
      <c r="V50">
        <v>0</v>
      </c>
      <c r="W50">
        <v>0</v>
      </c>
      <c r="X50">
        <v>1</v>
      </c>
      <c r="Y50" s="6">
        <v>39.5</v>
      </c>
      <c r="Z50">
        <v>9.7000000000000003E-2</v>
      </c>
      <c r="AA50">
        <v>5.1999999999999998E-2</v>
      </c>
      <c r="AB50">
        <v>8.6999999999999994E-2</v>
      </c>
      <c r="AC50">
        <v>5</v>
      </c>
      <c r="AD50" s="6">
        <v>51</v>
      </c>
      <c r="AE50" s="6">
        <v>0</v>
      </c>
      <c r="AF50" s="6">
        <v>0</v>
      </c>
      <c r="AG50" s="6">
        <v>60.81</v>
      </c>
      <c r="AH50" s="6">
        <v>77.069999999999993</v>
      </c>
      <c r="AI50" s="6">
        <f t="shared" si="0"/>
        <v>16.259999999999991</v>
      </c>
      <c r="AJ50" s="5">
        <f t="shared" si="1"/>
        <v>0.21097703386531713</v>
      </c>
    </row>
    <row r="51" spans="1:36">
      <c r="A51" t="s">
        <v>269</v>
      </c>
      <c r="B51" t="s">
        <v>270</v>
      </c>
      <c r="C51" t="s">
        <v>52</v>
      </c>
      <c r="D51" t="s">
        <v>54</v>
      </c>
      <c r="E51" t="s">
        <v>55</v>
      </c>
      <c r="F51">
        <v>0</v>
      </c>
      <c r="G51">
        <v>1145</v>
      </c>
      <c r="H51">
        <v>1</v>
      </c>
      <c r="I51" t="s">
        <v>181</v>
      </c>
      <c r="J51">
        <v>3</v>
      </c>
      <c r="K51" s="6">
        <v>9.02</v>
      </c>
      <c r="L51" t="s">
        <v>200</v>
      </c>
      <c r="M51">
        <v>1</v>
      </c>
      <c r="N51" t="s">
        <v>175</v>
      </c>
      <c r="O51">
        <v>1</v>
      </c>
      <c r="P51">
        <v>0</v>
      </c>
      <c r="Q51" s="6">
        <v>46.9</v>
      </c>
      <c r="R51">
        <v>0</v>
      </c>
      <c r="S51" s="6">
        <v>0</v>
      </c>
      <c r="T51">
        <v>0</v>
      </c>
      <c r="U51" s="6">
        <v>2367</v>
      </c>
      <c r="V51">
        <v>0</v>
      </c>
      <c r="W51">
        <v>0</v>
      </c>
      <c r="X51">
        <v>0</v>
      </c>
      <c r="Y51" s="6">
        <v>39.5</v>
      </c>
      <c r="Z51">
        <v>9.7000000000000003E-2</v>
      </c>
      <c r="AA51">
        <v>5.1999999999999998E-2</v>
      </c>
      <c r="AB51">
        <v>8.6999999999999994E-2</v>
      </c>
      <c r="AC51">
        <v>5</v>
      </c>
      <c r="AD51" s="6">
        <v>140</v>
      </c>
      <c r="AE51" s="6">
        <v>0</v>
      </c>
      <c r="AF51" s="6">
        <v>0</v>
      </c>
      <c r="AG51" s="6">
        <v>119.93</v>
      </c>
      <c r="AH51" s="6">
        <v>150.54</v>
      </c>
      <c r="AI51" s="6">
        <f t="shared" si="0"/>
        <v>30.609999999999985</v>
      </c>
      <c r="AJ51" s="5">
        <f t="shared" si="1"/>
        <v>0.2033346618838846</v>
      </c>
    </row>
    <row r="52" spans="1:36">
      <c r="A52" t="s">
        <v>266</v>
      </c>
      <c r="B52" t="s">
        <v>271</v>
      </c>
      <c r="C52" t="s">
        <v>52</v>
      </c>
      <c r="D52" t="s">
        <v>54</v>
      </c>
      <c r="E52" t="s">
        <v>55</v>
      </c>
      <c r="F52">
        <v>0</v>
      </c>
      <c r="G52">
        <v>1145</v>
      </c>
      <c r="H52">
        <v>1</v>
      </c>
      <c r="I52" t="s">
        <v>173</v>
      </c>
      <c r="J52">
        <v>1</v>
      </c>
      <c r="K52" s="6">
        <v>2.57</v>
      </c>
      <c r="L52" t="s">
        <v>174</v>
      </c>
      <c r="M52">
        <v>0</v>
      </c>
      <c r="N52" t="s">
        <v>272</v>
      </c>
      <c r="O52">
        <v>5</v>
      </c>
      <c r="P52">
        <v>1</v>
      </c>
      <c r="Q52" s="6">
        <v>305.7</v>
      </c>
      <c r="R52">
        <v>0</v>
      </c>
      <c r="S52" s="6">
        <v>0</v>
      </c>
      <c r="T52">
        <v>0</v>
      </c>
      <c r="U52" s="6">
        <v>9617</v>
      </c>
      <c r="V52">
        <v>0</v>
      </c>
      <c r="W52">
        <v>0</v>
      </c>
      <c r="X52">
        <v>0</v>
      </c>
      <c r="Y52" s="6">
        <v>39.5</v>
      </c>
      <c r="Z52">
        <v>9.7000000000000003E-2</v>
      </c>
      <c r="AA52">
        <v>5.1999999999999998E-2</v>
      </c>
      <c r="AB52">
        <v>8.6999999999999994E-2</v>
      </c>
      <c r="AC52">
        <v>5</v>
      </c>
      <c r="AD52" s="6">
        <v>51</v>
      </c>
      <c r="AE52" s="6">
        <v>0</v>
      </c>
      <c r="AF52" s="6">
        <v>0</v>
      </c>
      <c r="AG52" s="6">
        <v>150.08000000000001</v>
      </c>
      <c r="AH52" s="6">
        <v>192</v>
      </c>
      <c r="AI52" s="6">
        <f t="shared" si="0"/>
        <v>41.919999999999987</v>
      </c>
      <c r="AJ52" s="5">
        <f t="shared" si="1"/>
        <v>0.21833333333333327</v>
      </c>
    </row>
    <row r="53" spans="1:36">
      <c r="A53" t="s">
        <v>188</v>
      </c>
      <c r="B53" t="s">
        <v>273</v>
      </c>
      <c r="C53" t="s">
        <v>52</v>
      </c>
      <c r="D53" t="s">
        <v>54</v>
      </c>
      <c r="E53" t="s">
        <v>55</v>
      </c>
      <c r="F53">
        <v>0</v>
      </c>
      <c r="G53">
        <v>1145</v>
      </c>
      <c r="H53">
        <v>1</v>
      </c>
      <c r="I53" t="s">
        <v>178</v>
      </c>
      <c r="J53">
        <v>4</v>
      </c>
      <c r="K53" s="6">
        <v>16.29</v>
      </c>
      <c r="L53" t="s">
        <v>174</v>
      </c>
      <c r="M53">
        <v>0</v>
      </c>
      <c r="N53" t="s">
        <v>187</v>
      </c>
      <c r="O53">
        <v>2</v>
      </c>
      <c r="P53">
        <v>0</v>
      </c>
      <c r="Q53" s="6">
        <v>61</v>
      </c>
      <c r="R53">
        <v>0</v>
      </c>
      <c r="S53" s="6">
        <v>0</v>
      </c>
      <c r="T53">
        <v>0</v>
      </c>
      <c r="U53" s="6">
        <v>3462</v>
      </c>
      <c r="V53">
        <v>0</v>
      </c>
      <c r="W53">
        <v>0</v>
      </c>
      <c r="X53">
        <v>0</v>
      </c>
      <c r="Y53" s="6">
        <v>39.5</v>
      </c>
      <c r="Z53">
        <v>9.7000000000000003E-2</v>
      </c>
      <c r="AA53">
        <v>5.1999999999999998E-2</v>
      </c>
      <c r="AB53">
        <v>8.6999999999999994E-2</v>
      </c>
      <c r="AC53">
        <v>5</v>
      </c>
      <c r="AD53" s="6">
        <v>66</v>
      </c>
      <c r="AE53" s="6">
        <v>0</v>
      </c>
      <c r="AF53" s="6">
        <v>0</v>
      </c>
      <c r="AG53" s="6">
        <v>140.21</v>
      </c>
      <c r="AH53" s="6">
        <v>177</v>
      </c>
      <c r="AI53" s="6">
        <f t="shared" si="0"/>
        <v>36.789999999999992</v>
      </c>
      <c r="AJ53" s="5">
        <f t="shared" si="1"/>
        <v>0.20785310734463272</v>
      </c>
    </row>
    <row r="54" spans="1:36">
      <c r="A54" t="s">
        <v>274</v>
      </c>
      <c r="B54" t="s">
        <v>275</v>
      </c>
      <c r="C54" t="s">
        <v>52</v>
      </c>
      <c r="D54" t="s">
        <v>54</v>
      </c>
      <c r="E54" t="s">
        <v>55</v>
      </c>
      <c r="F54">
        <v>0</v>
      </c>
      <c r="G54">
        <v>1145</v>
      </c>
      <c r="H54">
        <v>1</v>
      </c>
      <c r="I54" t="s">
        <v>178</v>
      </c>
      <c r="J54">
        <v>4</v>
      </c>
      <c r="K54" s="6">
        <v>12.87</v>
      </c>
      <c r="L54" t="s">
        <v>174</v>
      </c>
      <c r="M54">
        <v>0</v>
      </c>
      <c r="N54" t="s">
        <v>175</v>
      </c>
      <c r="O54">
        <v>1</v>
      </c>
      <c r="P54">
        <v>0</v>
      </c>
      <c r="Q54" s="6">
        <v>39.799999999999997</v>
      </c>
      <c r="R54">
        <v>0</v>
      </c>
      <c r="S54" s="6">
        <v>0</v>
      </c>
      <c r="T54">
        <v>0</v>
      </c>
      <c r="U54" s="6">
        <v>3463</v>
      </c>
      <c r="V54">
        <v>0</v>
      </c>
      <c r="W54">
        <v>0</v>
      </c>
      <c r="X54">
        <v>0</v>
      </c>
      <c r="Y54" s="6">
        <v>39.5</v>
      </c>
      <c r="Z54">
        <v>9.7000000000000003E-2</v>
      </c>
      <c r="AA54">
        <v>5.1999999999999998E-2</v>
      </c>
      <c r="AB54">
        <v>8.6999999999999994E-2</v>
      </c>
      <c r="AC54">
        <v>5</v>
      </c>
      <c r="AD54" s="6">
        <v>66</v>
      </c>
      <c r="AE54" s="6">
        <v>0</v>
      </c>
      <c r="AF54" s="6">
        <v>0</v>
      </c>
      <c r="AG54" s="6">
        <v>120.56</v>
      </c>
      <c r="AH54" s="6">
        <v>152.53</v>
      </c>
      <c r="AI54" s="6">
        <f t="shared" si="0"/>
        <v>31.97</v>
      </c>
      <c r="AJ54" s="5">
        <f t="shared" si="1"/>
        <v>0.20959811184684979</v>
      </c>
    </row>
    <row r="55" spans="1:36">
      <c r="A55" t="s">
        <v>253</v>
      </c>
      <c r="B55" t="s">
        <v>276</v>
      </c>
      <c r="C55" t="s">
        <v>52</v>
      </c>
      <c r="D55" t="s">
        <v>54</v>
      </c>
      <c r="E55" t="s">
        <v>55</v>
      </c>
      <c r="F55">
        <v>0</v>
      </c>
      <c r="G55">
        <v>1145</v>
      </c>
      <c r="H55">
        <v>1</v>
      </c>
      <c r="I55" t="s">
        <v>220</v>
      </c>
      <c r="J55">
        <v>2</v>
      </c>
      <c r="K55" s="6">
        <v>3.28</v>
      </c>
      <c r="L55" t="s">
        <v>174</v>
      </c>
      <c r="M55">
        <v>0</v>
      </c>
      <c r="N55" t="s">
        <v>182</v>
      </c>
      <c r="O55">
        <v>3</v>
      </c>
      <c r="P55">
        <v>0</v>
      </c>
      <c r="Q55" s="6">
        <v>114.1</v>
      </c>
      <c r="R55">
        <v>0</v>
      </c>
      <c r="S55" s="6">
        <v>0</v>
      </c>
      <c r="T55">
        <v>0</v>
      </c>
      <c r="U55" s="6">
        <v>5445</v>
      </c>
      <c r="V55">
        <v>0</v>
      </c>
      <c r="W55">
        <v>0</v>
      </c>
      <c r="X55">
        <v>0</v>
      </c>
      <c r="Y55" s="6">
        <v>39.5</v>
      </c>
      <c r="Z55">
        <v>9.7000000000000003E-2</v>
      </c>
      <c r="AA55">
        <v>5.1999999999999998E-2</v>
      </c>
      <c r="AB55">
        <v>8.6999999999999994E-2</v>
      </c>
      <c r="AC55">
        <v>5</v>
      </c>
      <c r="AD55" s="6">
        <v>51</v>
      </c>
      <c r="AE55" s="6">
        <v>0</v>
      </c>
      <c r="AF55" s="6">
        <v>0</v>
      </c>
      <c r="AG55" s="6">
        <v>67.209999999999994</v>
      </c>
      <c r="AH55" s="6">
        <v>88.08</v>
      </c>
      <c r="AI55" s="6">
        <f t="shared" si="0"/>
        <v>20.870000000000005</v>
      </c>
      <c r="AJ55" s="5">
        <f t="shared" si="1"/>
        <v>0.23694368755676662</v>
      </c>
    </row>
    <row r="56" spans="1:36">
      <c r="A56" t="s">
        <v>277</v>
      </c>
      <c r="B56" t="s">
        <v>278</v>
      </c>
      <c r="C56" t="s">
        <v>52</v>
      </c>
      <c r="D56" t="s">
        <v>54</v>
      </c>
      <c r="E56" t="s">
        <v>55</v>
      </c>
      <c r="F56">
        <v>0</v>
      </c>
      <c r="G56">
        <v>1145</v>
      </c>
      <c r="H56">
        <v>1</v>
      </c>
      <c r="I56" t="s">
        <v>178</v>
      </c>
      <c r="J56">
        <v>4</v>
      </c>
      <c r="K56" s="6">
        <v>15.03</v>
      </c>
      <c r="L56" t="s">
        <v>174</v>
      </c>
      <c r="M56">
        <v>0</v>
      </c>
      <c r="N56" t="s">
        <v>187</v>
      </c>
      <c r="O56">
        <v>2</v>
      </c>
      <c r="P56">
        <v>0</v>
      </c>
      <c r="Q56" s="6">
        <v>49.3</v>
      </c>
      <c r="R56">
        <v>1</v>
      </c>
      <c r="S56" s="6">
        <v>394</v>
      </c>
      <c r="T56">
        <v>0</v>
      </c>
      <c r="U56" s="6">
        <v>3343</v>
      </c>
      <c r="V56">
        <v>0</v>
      </c>
      <c r="W56">
        <v>0</v>
      </c>
      <c r="X56">
        <v>0</v>
      </c>
      <c r="Y56" s="6">
        <v>39.5</v>
      </c>
      <c r="Z56">
        <v>9.7000000000000003E-2</v>
      </c>
      <c r="AA56">
        <v>5.1999999999999998E-2</v>
      </c>
      <c r="AB56">
        <v>8.6999999999999994E-2</v>
      </c>
      <c r="AC56">
        <v>5</v>
      </c>
      <c r="AD56" s="6">
        <v>66</v>
      </c>
      <c r="AE56" s="6">
        <v>25</v>
      </c>
      <c r="AF56" s="6">
        <v>0</v>
      </c>
      <c r="AG56" s="6">
        <v>137.21</v>
      </c>
      <c r="AH56" s="6">
        <v>175.5</v>
      </c>
      <c r="AI56" s="6">
        <f t="shared" si="0"/>
        <v>38.289999999999992</v>
      </c>
      <c r="AJ56" s="5">
        <f t="shared" si="1"/>
        <v>0.21817663817663813</v>
      </c>
    </row>
    <row r="57" spans="1:36">
      <c r="A57" t="s">
        <v>279</v>
      </c>
      <c r="B57" t="s">
        <v>280</v>
      </c>
      <c r="C57" t="s">
        <v>52</v>
      </c>
      <c r="D57" t="s">
        <v>54</v>
      </c>
      <c r="E57" t="s">
        <v>55</v>
      </c>
      <c r="F57">
        <v>0</v>
      </c>
      <c r="G57">
        <v>1145</v>
      </c>
      <c r="H57">
        <v>1</v>
      </c>
      <c r="I57" t="s">
        <v>220</v>
      </c>
      <c r="J57">
        <v>2</v>
      </c>
      <c r="K57" s="6">
        <v>2.11</v>
      </c>
      <c r="L57" t="s">
        <v>200</v>
      </c>
      <c r="M57">
        <v>1</v>
      </c>
      <c r="N57" t="s">
        <v>175</v>
      </c>
      <c r="O57">
        <v>1</v>
      </c>
      <c r="P57">
        <v>0</v>
      </c>
      <c r="Q57" s="6">
        <v>21.6</v>
      </c>
      <c r="R57">
        <v>0</v>
      </c>
      <c r="S57" s="6">
        <v>0</v>
      </c>
      <c r="T57">
        <v>0</v>
      </c>
      <c r="U57" s="6">
        <v>2909</v>
      </c>
      <c r="V57">
        <v>0</v>
      </c>
      <c r="W57">
        <v>0</v>
      </c>
      <c r="X57">
        <v>0</v>
      </c>
      <c r="Y57" s="6">
        <v>39.5</v>
      </c>
      <c r="Z57">
        <v>9.7000000000000003E-2</v>
      </c>
      <c r="AA57">
        <v>5.1999999999999998E-2</v>
      </c>
      <c r="AB57">
        <v>8.6999999999999994E-2</v>
      </c>
      <c r="AC57">
        <v>5</v>
      </c>
      <c r="AD57" s="6">
        <v>120</v>
      </c>
      <c r="AE57" s="6">
        <v>0</v>
      </c>
      <c r="AF57" s="6">
        <v>0</v>
      </c>
      <c r="AG57" s="6">
        <v>81.08</v>
      </c>
      <c r="AH57" s="6">
        <v>124.4</v>
      </c>
      <c r="AI57" s="6">
        <f t="shared" si="0"/>
        <v>43.320000000000007</v>
      </c>
      <c r="AJ57" s="5">
        <f t="shared" si="1"/>
        <v>0.34823151125401935</v>
      </c>
    </row>
    <row r="58" spans="1:36">
      <c r="A58" t="s">
        <v>208</v>
      </c>
      <c r="B58" t="s">
        <v>281</v>
      </c>
      <c r="C58" t="s">
        <v>52</v>
      </c>
      <c r="D58" t="s">
        <v>54</v>
      </c>
      <c r="E58" t="s">
        <v>55</v>
      </c>
      <c r="F58">
        <v>0</v>
      </c>
      <c r="G58">
        <v>1145</v>
      </c>
      <c r="H58">
        <v>1</v>
      </c>
      <c r="I58" t="s">
        <v>220</v>
      </c>
      <c r="J58">
        <v>2</v>
      </c>
      <c r="K58" s="6">
        <v>4.0599999999999996</v>
      </c>
      <c r="L58" t="s">
        <v>174</v>
      </c>
      <c r="M58">
        <v>0</v>
      </c>
      <c r="N58" t="s">
        <v>175</v>
      </c>
      <c r="O58">
        <v>1</v>
      </c>
      <c r="P58">
        <v>0</v>
      </c>
      <c r="Q58" s="6">
        <v>46.6</v>
      </c>
      <c r="R58">
        <v>0</v>
      </c>
      <c r="S58" s="6">
        <v>0</v>
      </c>
      <c r="T58">
        <v>0</v>
      </c>
      <c r="U58" s="6">
        <v>5329</v>
      </c>
      <c r="V58">
        <v>0</v>
      </c>
      <c r="W58">
        <v>0</v>
      </c>
      <c r="X58">
        <v>0</v>
      </c>
      <c r="Y58" s="6">
        <v>39.5</v>
      </c>
      <c r="Z58">
        <v>9.7000000000000003E-2</v>
      </c>
      <c r="AA58">
        <v>5.1999999999999998E-2</v>
      </c>
      <c r="AB58">
        <v>8.6999999999999994E-2</v>
      </c>
      <c r="AC58">
        <v>5</v>
      </c>
      <c r="AD58" s="6">
        <v>51</v>
      </c>
      <c r="AE58" s="6">
        <v>0</v>
      </c>
      <c r="AF58" s="6">
        <v>0</v>
      </c>
      <c r="AG58" s="6">
        <v>59.25</v>
      </c>
      <c r="AH58" s="6">
        <v>77.88</v>
      </c>
      <c r="AI58" s="6">
        <f t="shared" si="0"/>
        <v>18.629999999999995</v>
      </c>
      <c r="AJ58" s="5">
        <f t="shared" si="1"/>
        <v>0.23921417565485359</v>
      </c>
    </row>
    <row r="59" spans="1:36">
      <c r="A59" t="s">
        <v>247</v>
      </c>
      <c r="B59" t="s">
        <v>282</v>
      </c>
      <c r="C59" t="s">
        <v>52</v>
      </c>
      <c r="D59" t="s">
        <v>54</v>
      </c>
      <c r="E59" t="s">
        <v>55</v>
      </c>
      <c r="F59">
        <v>0</v>
      </c>
      <c r="G59">
        <v>1145</v>
      </c>
      <c r="H59">
        <v>1</v>
      </c>
      <c r="I59" t="s">
        <v>173</v>
      </c>
      <c r="J59">
        <v>1</v>
      </c>
      <c r="K59" s="6">
        <v>0.89</v>
      </c>
      <c r="L59" t="s">
        <v>174</v>
      </c>
      <c r="M59">
        <v>0</v>
      </c>
      <c r="N59" t="s">
        <v>187</v>
      </c>
      <c r="O59">
        <v>2</v>
      </c>
      <c r="P59">
        <v>0</v>
      </c>
      <c r="Q59" s="6">
        <v>29</v>
      </c>
      <c r="R59">
        <v>1</v>
      </c>
      <c r="S59" s="6">
        <v>2394</v>
      </c>
      <c r="T59">
        <v>0</v>
      </c>
      <c r="U59" s="6">
        <v>9603</v>
      </c>
      <c r="V59">
        <v>0</v>
      </c>
      <c r="W59">
        <v>0</v>
      </c>
      <c r="X59">
        <v>0</v>
      </c>
      <c r="Y59" s="6">
        <v>39.5</v>
      </c>
      <c r="Z59">
        <v>9.7000000000000003E-2</v>
      </c>
      <c r="AA59">
        <v>5.1999999999999998E-2</v>
      </c>
      <c r="AB59">
        <v>8.6999999999999994E-2</v>
      </c>
      <c r="AC59">
        <v>5</v>
      </c>
      <c r="AD59" s="6">
        <v>51</v>
      </c>
      <c r="AE59" s="6">
        <v>40</v>
      </c>
      <c r="AF59" s="6">
        <v>0</v>
      </c>
      <c r="AG59" s="6">
        <v>60.7</v>
      </c>
      <c r="AH59" s="6">
        <v>79.63</v>
      </c>
      <c r="AI59" s="6">
        <f t="shared" si="0"/>
        <v>18.929999999999993</v>
      </c>
      <c r="AJ59" s="5">
        <f t="shared" si="1"/>
        <v>0.23772447570011293</v>
      </c>
    </row>
    <row r="60" spans="1:36">
      <c r="A60" t="s">
        <v>225</v>
      </c>
      <c r="B60" t="s">
        <v>283</v>
      </c>
      <c r="C60" t="s">
        <v>52</v>
      </c>
      <c r="D60" t="s">
        <v>54</v>
      </c>
      <c r="E60" t="s">
        <v>55</v>
      </c>
      <c r="F60">
        <v>0</v>
      </c>
      <c r="G60">
        <v>1145</v>
      </c>
      <c r="H60">
        <v>1</v>
      </c>
      <c r="I60" t="s">
        <v>181</v>
      </c>
      <c r="J60">
        <v>3</v>
      </c>
      <c r="K60" s="6">
        <v>9.86</v>
      </c>
      <c r="L60" t="s">
        <v>200</v>
      </c>
      <c r="M60">
        <v>1</v>
      </c>
      <c r="N60" t="s">
        <v>182</v>
      </c>
      <c r="O60">
        <v>3</v>
      </c>
      <c r="P60">
        <v>0</v>
      </c>
      <c r="Q60" s="6">
        <v>57.2</v>
      </c>
      <c r="R60">
        <v>1</v>
      </c>
      <c r="S60" s="6">
        <v>2225</v>
      </c>
      <c r="T60">
        <v>0</v>
      </c>
      <c r="U60" s="6">
        <v>2038</v>
      </c>
      <c r="V60">
        <v>0</v>
      </c>
      <c r="W60">
        <v>0</v>
      </c>
      <c r="X60">
        <v>0</v>
      </c>
      <c r="Y60" s="6">
        <v>39.5</v>
      </c>
      <c r="Z60">
        <v>9.7000000000000003E-2</v>
      </c>
      <c r="AA60">
        <v>5.1999999999999998E-2</v>
      </c>
      <c r="AB60">
        <v>8.6999999999999994E-2</v>
      </c>
      <c r="AC60">
        <v>5</v>
      </c>
      <c r="AD60" s="6">
        <v>140</v>
      </c>
      <c r="AE60" s="6">
        <v>40</v>
      </c>
      <c r="AF60" s="6">
        <v>0</v>
      </c>
      <c r="AG60" s="6">
        <v>130.1</v>
      </c>
      <c r="AH60" s="6">
        <v>167.2</v>
      </c>
      <c r="AI60" s="6">
        <f t="shared" si="0"/>
        <v>37.099999999999994</v>
      </c>
      <c r="AJ60" s="5">
        <f t="shared" si="1"/>
        <v>0.22188995215311003</v>
      </c>
    </row>
    <row r="61" spans="1:36">
      <c r="A61" t="s">
        <v>284</v>
      </c>
      <c r="B61" t="s">
        <v>285</v>
      </c>
      <c r="C61" t="s">
        <v>52</v>
      </c>
      <c r="D61" t="s">
        <v>54</v>
      </c>
      <c r="E61" t="s">
        <v>55</v>
      </c>
      <c r="F61">
        <v>0</v>
      </c>
      <c r="G61">
        <v>1145</v>
      </c>
      <c r="H61">
        <v>1</v>
      </c>
      <c r="I61" t="s">
        <v>178</v>
      </c>
      <c r="J61">
        <v>4</v>
      </c>
      <c r="K61" s="6">
        <v>12.54</v>
      </c>
      <c r="L61" t="s">
        <v>174</v>
      </c>
      <c r="M61">
        <v>0</v>
      </c>
      <c r="N61" t="s">
        <v>187</v>
      </c>
      <c r="O61">
        <v>2</v>
      </c>
      <c r="P61">
        <v>0</v>
      </c>
      <c r="Q61" s="6">
        <v>49.9</v>
      </c>
      <c r="R61">
        <v>1</v>
      </c>
      <c r="S61" s="6">
        <v>1936</v>
      </c>
      <c r="T61">
        <v>0</v>
      </c>
      <c r="U61" s="6">
        <v>6438</v>
      </c>
      <c r="V61">
        <v>1</v>
      </c>
      <c r="W61">
        <v>0</v>
      </c>
      <c r="X61">
        <v>0</v>
      </c>
      <c r="Y61" s="6">
        <v>39.5</v>
      </c>
      <c r="Z61">
        <v>9.7000000000000003E-2</v>
      </c>
      <c r="AA61">
        <v>5.1999999999999998E-2</v>
      </c>
      <c r="AB61">
        <v>8.6999999999999994E-2</v>
      </c>
      <c r="AC61">
        <v>5</v>
      </c>
      <c r="AD61" s="6">
        <v>66</v>
      </c>
      <c r="AE61" s="6">
        <v>25</v>
      </c>
      <c r="AF61" s="6">
        <v>0</v>
      </c>
      <c r="AG61" s="6">
        <v>170.6</v>
      </c>
      <c r="AH61" s="6">
        <v>215.57</v>
      </c>
      <c r="AI61" s="6">
        <f t="shared" si="0"/>
        <v>44.97</v>
      </c>
      <c r="AJ61" s="5">
        <f t="shared" si="1"/>
        <v>0.20860973233752378</v>
      </c>
    </row>
    <row r="62" spans="1:36">
      <c r="A62" t="s">
        <v>286</v>
      </c>
      <c r="B62" t="s">
        <v>287</v>
      </c>
      <c r="C62" t="s">
        <v>52</v>
      </c>
      <c r="D62" t="s">
        <v>54</v>
      </c>
      <c r="E62" t="s">
        <v>55</v>
      </c>
      <c r="F62">
        <v>0</v>
      </c>
      <c r="G62">
        <v>1145</v>
      </c>
      <c r="H62">
        <v>1</v>
      </c>
      <c r="I62" t="s">
        <v>178</v>
      </c>
      <c r="J62">
        <v>4</v>
      </c>
      <c r="K62" s="6">
        <v>6.05</v>
      </c>
      <c r="L62" t="s">
        <v>174</v>
      </c>
      <c r="M62">
        <v>0</v>
      </c>
      <c r="N62" t="s">
        <v>217</v>
      </c>
      <c r="O62">
        <v>4</v>
      </c>
      <c r="P62">
        <v>1</v>
      </c>
      <c r="Q62" s="6">
        <v>108.9</v>
      </c>
      <c r="R62">
        <v>0</v>
      </c>
      <c r="S62" s="6">
        <v>0</v>
      </c>
      <c r="T62">
        <v>0</v>
      </c>
      <c r="U62" s="6">
        <v>9417</v>
      </c>
      <c r="V62">
        <v>0</v>
      </c>
      <c r="W62">
        <v>0</v>
      </c>
      <c r="X62">
        <v>0</v>
      </c>
      <c r="Y62" s="6">
        <v>39.5</v>
      </c>
      <c r="Z62">
        <v>9.7000000000000003E-2</v>
      </c>
      <c r="AA62">
        <v>5.1999999999999998E-2</v>
      </c>
      <c r="AB62">
        <v>8.6999999999999994E-2</v>
      </c>
      <c r="AC62">
        <v>5</v>
      </c>
      <c r="AD62" s="6">
        <v>66</v>
      </c>
      <c r="AE62" s="6">
        <v>0</v>
      </c>
      <c r="AF62" s="6">
        <v>0</v>
      </c>
      <c r="AG62" s="6">
        <v>146.56</v>
      </c>
      <c r="AH62" s="6">
        <v>185.78</v>
      </c>
      <c r="AI62" s="6">
        <f t="shared" si="0"/>
        <v>39.22</v>
      </c>
      <c r="AJ62" s="5">
        <f t="shared" si="1"/>
        <v>0.21110991495317041</v>
      </c>
    </row>
    <row r="63" spans="1:36">
      <c r="A63" t="s">
        <v>288</v>
      </c>
      <c r="B63" t="s">
        <v>289</v>
      </c>
      <c r="C63" t="s">
        <v>52</v>
      </c>
      <c r="D63" t="s">
        <v>54</v>
      </c>
      <c r="E63" t="s">
        <v>55</v>
      </c>
      <c r="F63">
        <v>0</v>
      </c>
      <c r="G63">
        <v>1145</v>
      </c>
      <c r="H63">
        <v>1</v>
      </c>
      <c r="I63" t="s">
        <v>173</v>
      </c>
      <c r="J63">
        <v>1</v>
      </c>
      <c r="K63" s="6">
        <v>1.41</v>
      </c>
      <c r="L63" t="s">
        <v>174</v>
      </c>
      <c r="M63">
        <v>0</v>
      </c>
      <c r="N63" t="s">
        <v>187</v>
      </c>
      <c r="O63">
        <v>2</v>
      </c>
      <c r="P63">
        <v>0</v>
      </c>
      <c r="Q63" s="6">
        <v>71.599999999999994</v>
      </c>
      <c r="R63">
        <v>1</v>
      </c>
      <c r="S63" s="6">
        <v>1958</v>
      </c>
      <c r="T63">
        <v>0</v>
      </c>
      <c r="U63" s="6">
        <v>6776</v>
      </c>
      <c r="V63">
        <v>0</v>
      </c>
      <c r="W63">
        <v>0</v>
      </c>
      <c r="X63">
        <v>0</v>
      </c>
      <c r="Y63" s="6">
        <v>39.5</v>
      </c>
      <c r="Z63">
        <v>9.7000000000000003E-2</v>
      </c>
      <c r="AA63">
        <v>5.1999999999999998E-2</v>
      </c>
      <c r="AB63">
        <v>8.6999999999999994E-2</v>
      </c>
      <c r="AC63">
        <v>5</v>
      </c>
      <c r="AD63" s="6">
        <v>51</v>
      </c>
      <c r="AE63" s="6">
        <v>25</v>
      </c>
      <c r="AF63" s="6">
        <v>0</v>
      </c>
      <c r="AG63" s="6">
        <v>58.74</v>
      </c>
      <c r="AH63" s="6">
        <v>75.81</v>
      </c>
      <c r="AI63" s="6">
        <f t="shared" si="0"/>
        <v>17.07</v>
      </c>
      <c r="AJ63" s="5">
        <f t="shared" si="1"/>
        <v>0.22516818361693708</v>
      </c>
    </row>
    <row r="64" spans="1:36">
      <c r="A64" t="s">
        <v>198</v>
      </c>
      <c r="B64" t="s">
        <v>290</v>
      </c>
      <c r="C64" t="s">
        <v>52</v>
      </c>
      <c r="D64" t="s">
        <v>54</v>
      </c>
      <c r="E64" t="s">
        <v>55</v>
      </c>
      <c r="F64">
        <v>0</v>
      </c>
      <c r="G64">
        <v>1145</v>
      </c>
      <c r="H64">
        <v>1</v>
      </c>
      <c r="I64" t="s">
        <v>178</v>
      </c>
      <c r="J64">
        <v>4</v>
      </c>
      <c r="K64" s="6">
        <v>20.04</v>
      </c>
      <c r="L64" t="s">
        <v>174</v>
      </c>
      <c r="M64">
        <v>0</v>
      </c>
      <c r="N64" t="s">
        <v>175</v>
      </c>
      <c r="O64">
        <v>1</v>
      </c>
      <c r="P64">
        <v>0</v>
      </c>
      <c r="Q64" s="6">
        <v>31.1</v>
      </c>
      <c r="R64">
        <v>1</v>
      </c>
      <c r="S64" s="6">
        <v>1582</v>
      </c>
      <c r="T64">
        <v>0</v>
      </c>
      <c r="U64" s="6">
        <v>1531</v>
      </c>
      <c r="V64">
        <v>0</v>
      </c>
      <c r="W64">
        <v>0</v>
      </c>
      <c r="X64">
        <v>0</v>
      </c>
      <c r="Y64" s="6">
        <v>39.5</v>
      </c>
      <c r="Z64">
        <v>9.7000000000000003E-2</v>
      </c>
      <c r="AA64">
        <v>5.1999999999999998E-2</v>
      </c>
      <c r="AB64">
        <v>8.6999999999999994E-2</v>
      </c>
      <c r="AC64">
        <v>5</v>
      </c>
      <c r="AD64" s="6">
        <v>66</v>
      </c>
      <c r="AE64" s="6">
        <v>25</v>
      </c>
      <c r="AF64" s="6">
        <v>0</v>
      </c>
      <c r="AG64" s="6">
        <v>143.82</v>
      </c>
      <c r="AH64" s="6">
        <v>182.09</v>
      </c>
      <c r="AI64" s="6">
        <f t="shared" si="0"/>
        <v>38.27000000000001</v>
      </c>
      <c r="AJ64" s="5">
        <f t="shared" si="1"/>
        <v>0.21017079466198038</v>
      </c>
    </row>
    <row r="65" spans="1:36">
      <c r="A65" t="s">
        <v>291</v>
      </c>
      <c r="B65" t="s">
        <v>292</v>
      </c>
      <c r="C65" t="s">
        <v>52</v>
      </c>
      <c r="D65" t="s">
        <v>54</v>
      </c>
      <c r="E65" t="s">
        <v>55</v>
      </c>
      <c r="F65">
        <v>0</v>
      </c>
      <c r="G65">
        <v>1145</v>
      </c>
      <c r="H65">
        <v>1</v>
      </c>
      <c r="I65" t="s">
        <v>220</v>
      </c>
      <c r="J65">
        <v>2</v>
      </c>
      <c r="K65" s="6">
        <v>3.37</v>
      </c>
      <c r="L65" t="s">
        <v>174</v>
      </c>
      <c r="M65">
        <v>0</v>
      </c>
      <c r="N65" t="s">
        <v>175</v>
      </c>
      <c r="O65">
        <v>1</v>
      </c>
      <c r="P65">
        <v>0</v>
      </c>
      <c r="Q65" s="6">
        <v>33.799999999999997</v>
      </c>
      <c r="R65">
        <v>1</v>
      </c>
      <c r="S65" s="6">
        <v>1429</v>
      </c>
      <c r="T65">
        <v>0</v>
      </c>
      <c r="U65" s="6">
        <v>3313</v>
      </c>
      <c r="V65">
        <v>0</v>
      </c>
      <c r="W65">
        <v>1</v>
      </c>
      <c r="X65">
        <v>0</v>
      </c>
      <c r="Y65" s="6">
        <v>39.5</v>
      </c>
      <c r="Z65">
        <v>9.7000000000000003E-2</v>
      </c>
      <c r="AA65">
        <v>5.1999999999999998E-2</v>
      </c>
      <c r="AB65">
        <v>8.6999999999999994E-2</v>
      </c>
      <c r="AC65">
        <v>5</v>
      </c>
      <c r="AD65" s="6">
        <v>51</v>
      </c>
      <c r="AE65" s="6">
        <v>25</v>
      </c>
      <c r="AF65" s="6">
        <v>0</v>
      </c>
      <c r="AG65" s="6">
        <v>94.13</v>
      </c>
      <c r="AH65" s="6">
        <v>120.84</v>
      </c>
      <c r="AI65" s="6">
        <f t="shared" si="0"/>
        <v>26.710000000000008</v>
      </c>
      <c r="AJ65" s="5">
        <f t="shared" si="1"/>
        <v>0.22103608076795769</v>
      </c>
    </row>
    <row r="66" spans="1:36">
      <c r="A66" t="s">
        <v>293</v>
      </c>
      <c r="B66" t="s">
        <v>294</v>
      </c>
      <c r="C66" t="s">
        <v>52</v>
      </c>
      <c r="D66" t="s">
        <v>54</v>
      </c>
      <c r="E66" t="s">
        <v>55</v>
      </c>
      <c r="F66">
        <v>0</v>
      </c>
      <c r="G66">
        <v>1145</v>
      </c>
      <c r="H66">
        <v>1</v>
      </c>
      <c r="I66" t="s">
        <v>178</v>
      </c>
      <c r="J66">
        <v>4</v>
      </c>
      <c r="K66" s="6">
        <v>10.66</v>
      </c>
      <c r="L66" t="s">
        <v>174</v>
      </c>
      <c r="M66">
        <v>0</v>
      </c>
      <c r="N66" t="s">
        <v>182</v>
      </c>
      <c r="O66">
        <v>3</v>
      </c>
      <c r="P66">
        <v>0</v>
      </c>
      <c r="Q66" s="6">
        <v>71.400000000000006</v>
      </c>
      <c r="R66">
        <v>0</v>
      </c>
      <c r="S66" s="6">
        <v>0</v>
      </c>
      <c r="T66">
        <v>0</v>
      </c>
      <c r="U66" s="6">
        <v>5934</v>
      </c>
      <c r="V66">
        <v>0</v>
      </c>
      <c r="W66">
        <v>0</v>
      </c>
      <c r="X66">
        <v>0</v>
      </c>
      <c r="Y66" s="6">
        <v>39.5</v>
      </c>
      <c r="Z66">
        <v>9.7000000000000003E-2</v>
      </c>
      <c r="AA66">
        <v>5.1999999999999998E-2</v>
      </c>
      <c r="AB66">
        <v>8.6999999999999994E-2</v>
      </c>
      <c r="AC66">
        <v>5</v>
      </c>
      <c r="AD66" s="6">
        <v>66</v>
      </c>
      <c r="AE66" s="6">
        <v>0</v>
      </c>
      <c r="AF66" s="6">
        <v>0</v>
      </c>
      <c r="AG66" s="6">
        <v>125.27</v>
      </c>
      <c r="AH66" s="6">
        <v>158.09</v>
      </c>
      <c r="AI66" s="6">
        <f t="shared" ref="AI66:AI129" si="2">AH66-AG66</f>
        <v>32.820000000000007</v>
      </c>
      <c r="AJ66" s="5">
        <f t="shared" ref="AJ66:AJ129" si="3">IFERROR(AI66/AH66,0)</f>
        <v>0.2076032639635651</v>
      </c>
    </row>
    <row r="67" spans="1:36">
      <c r="A67" t="s">
        <v>261</v>
      </c>
      <c r="B67" t="s">
        <v>295</v>
      </c>
      <c r="C67" t="s">
        <v>52</v>
      </c>
      <c r="D67" t="s">
        <v>54</v>
      </c>
      <c r="E67" t="s">
        <v>55</v>
      </c>
      <c r="F67">
        <v>0</v>
      </c>
      <c r="G67">
        <v>1145</v>
      </c>
      <c r="H67">
        <v>1</v>
      </c>
      <c r="I67" t="s">
        <v>178</v>
      </c>
      <c r="J67">
        <v>4</v>
      </c>
      <c r="K67" s="6">
        <v>21.69</v>
      </c>
      <c r="L67" t="s">
        <v>174</v>
      </c>
      <c r="M67">
        <v>0</v>
      </c>
      <c r="N67" t="s">
        <v>182</v>
      </c>
      <c r="O67">
        <v>3</v>
      </c>
      <c r="P67">
        <v>0</v>
      </c>
      <c r="Q67" s="6">
        <v>85</v>
      </c>
      <c r="R67">
        <v>0</v>
      </c>
      <c r="S67" s="6">
        <v>0</v>
      </c>
      <c r="T67">
        <v>0</v>
      </c>
      <c r="U67" s="6">
        <v>2982</v>
      </c>
      <c r="V67">
        <v>0</v>
      </c>
      <c r="W67">
        <v>0</v>
      </c>
      <c r="X67">
        <v>0</v>
      </c>
      <c r="Y67" s="6">
        <v>39.5</v>
      </c>
      <c r="Z67">
        <v>9.7000000000000003E-2</v>
      </c>
      <c r="AA67">
        <v>5.1999999999999998E-2</v>
      </c>
      <c r="AB67">
        <v>8.6999999999999994E-2</v>
      </c>
      <c r="AC67">
        <v>5</v>
      </c>
      <c r="AD67" s="6">
        <v>66</v>
      </c>
      <c r="AE67" s="6">
        <v>0</v>
      </c>
      <c r="AF67" s="6">
        <v>0</v>
      </c>
      <c r="AG67" s="6">
        <v>157.9</v>
      </c>
      <c r="AH67" s="6">
        <v>199.28</v>
      </c>
      <c r="AI67" s="6">
        <f t="shared" si="2"/>
        <v>41.379999999999995</v>
      </c>
      <c r="AJ67" s="5">
        <f t="shared" si="3"/>
        <v>0.20764753111200318</v>
      </c>
    </row>
    <row r="68" spans="1:36">
      <c r="A68" t="s">
        <v>296</v>
      </c>
      <c r="B68" t="s">
        <v>297</v>
      </c>
      <c r="C68" t="s">
        <v>52</v>
      </c>
      <c r="D68" t="s">
        <v>54</v>
      </c>
      <c r="E68" t="s">
        <v>55</v>
      </c>
      <c r="F68">
        <v>0</v>
      </c>
      <c r="G68">
        <v>1145</v>
      </c>
      <c r="H68">
        <v>1</v>
      </c>
      <c r="I68" t="s">
        <v>173</v>
      </c>
      <c r="J68">
        <v>1</v>
      </c>
      <c r="K68" s="6">
        <v>2.21</v>
      </c>
      <c r="L68" t="s">
        <v>174</v>
      </c>
      <c r="M68">
        <v>0</v>
      </c>
      <c r="N68" t="s">
        <v>182</v>
      </c>
      <c r="O68">
        <v>3</v>
      </c>
      <c r="P68">
        <v>0</v>
      </c>
      <c r="Q68" s="6">
        <v>137.80000000000001</v>
      </c>
      <c r="R68">
        <v>1</v>
      </c>
      <c r="S68" s="6">
        <v>622</v>
      </c>
      <c r="T68">
        <v>0</v>
      </c>
      <c r="U68" s="6">
        <v>4988</v>
      </c>
      <c r="V68">
        <v>0</v>
      </c>
      <c r="W68">
        <v>0</v>
      </c>
      <c r="X68">
        <v>0</v>
      </c>
      <c r="Y68" s="6">
        <v>39.5</v>
      </c>
      <c r="Z68">
        <v>9.7000000000000003E-2</v>
      </c>
      <c r="AA68">
        <v>5.1999999999999998E-2</v>
      </c>
      <c r="AB68">
        <v>8.6999999999999994E-2</v>
      </c>
      <c r="AC68">
        <v>5</v>
      </c>
      <c r="AD68" s="6">
        <v>51</v>
      </c>
      <c r="AE68" s="6">
        <v>25</v>
      </c>
      <c r="AF68" s="6">
        <v>0</v>
      </c>
      <c r="AG68" s="6">
        <v>64.06</v>
      </c>
      <c r="AH68" s="6">
        <v>82.29</v>
      </c>
      <c r="AI68" s="6">
        <f t="shared" si="2"/>
        <v>18.230000000000004</v>
      </c>
      <c r="AJ68" s="5">
        <f t="shared" si="3"/>
        <v>0.22153360068052014</v>
      </c>
    </row>
    <row r="69" spans="1:36">
      <c r="A69" t="s">
        <v>298</v>
      </c>
      <c r="B69" t="s">
        <v>299</v>
      </c>
      <c r="C69" t="s">
        <v>52</v>
      </c>
      <c r="D69" t="s">
        <v>54</v>
      </c>
      <c r="E69" t="s">
        <v>55</v>
      </c>
      <c r="F69">
        <v>0</v>
      </c>
      <c r="G69">
        <v>1145</v>
      </c>
      <c r="H69">
        <v>1</v>
      </c>
      <c r="I69" t="s">
        <v>220</v>
      </c>
      <c r="J69">
        <v>2</v>
      </c>
      <c r="K69" s="6">
        <v>4.63</v>
      </c>
      <c r="L69" t="s">
        <v>174</v>
      </c>
      <c r="M69">
        <v>0</v>
      </c>
      <c r="N69" t="s">
        <v>175</v>
      </c>
      <c r="O69">
        <v>1</v>
      </c>
      <c r="P69">
        <v>0</v>
      </c>
      <c r="Q69" s="6">
        <v>13.1</v>
      </c>
      <c r="R69">
        <v>0</v>
      </c>
      <c r="S69" s="6">
        <v>0</v>
      </c>
      <c r="T69">
        <v>0</v>
      </c>
      <c r="U69" s="6">
        <v>2067</v>
      </c>
      <c r="V69">
        <v>0</v>
      </c>
      <c r="W69">
        <v>0</v>
      </c>
      <c r="X69">
        <v>0</v>
      </c>
      <c r="Y69" s="6">
        <v>39.5</v>
      </c>
      <c r="Z69">
        <v>9.7000000000000003E-2</v>
      </c>
      <c r="AA69">
        <v>5.1999999999999998E-2</v>
      </c>
      <c r="AB69">
        <v>8.6999999999999994E-2</v>
      </c>
      <c r="AC69">
        <v>5</v>
      </c>
      <c r="AD69" s="6">
        <v>51</v>
      </c>
      <c r="AE69" s="6">
        <v>0</v>
      </c>
      <c r="AF69" s="6">
        <v>0</v>
      </c>
      <c r="AG69" s="6">
        <v>55.95</v>
      </c>
      <c r="AH69" s="6">
        <v>71.709999999999994</v>
      </c>
      <c r="AI69" s="6">
        <f t="shared" si="2"/>
        <v>15.759999999999991</v>
      </c>
      <c r="AJ69" s="5">
        <f t="shared" si="3"/>
        <v>0.21977409008506474</v>
      </c>
    </row>
    <row r="70" spans="1:36">
      <c r="A70" t="s">
        <v>300</v>
      </c>
      <c r="B70" t="s">
        <v>301</v>
      </c>
      <c r="C70" t="s">
        <v>52</v>
      </c>
      <c r="D70" t="s">
        <v>54</v>
      </c>
      <c r="E70" t="s">
        <v>55</v>
      </c>
      <c r="F70">
        <v>0</v>
      </c>
      <c r="G70">
        <v>1145</v>
      </c>
      <c r="H70">
        <v>1</v>
      </c>
      <c r="I70" t="s">
        <v>178</v>
      </c>
      <c r="J70">
        <v>4</v>
      </c>
      <c r="K70" s="6">
        <v>17.149999999999999</v>
      </c>
      <c r="L70" t="s">
        <v>174</v>
      </c>
      <c r="M70">
        <v>0</v>
      </c>
      <c r="N70" t="s">
        <v>182</v>
      </c>
      <c r="O70">
        <v>3</v>
      </c>
      <c r="P70">
        <v>0</v>
      </c>
      <c r="Q70" s="6">
        <v>110.5</v>
      </c>
      <c r="R70">
        <v>1</v>
      </c>
      <c r="S70" s="6">
        <v>1685</v>
      </c>
      <c r="T70">
        <v>0</v>
      </c>
      <c r="U70" s="6">
        <v>2076</v>
      </c>
      <c r="V70">
        <v>0</v>
      </c>
      <c r="W70">
        <v>0</v>
      </c>
      <c r="X70">
        <v>0</v>
      </c>
      <c r="Y70" s="6">
        <v>39.5</v>
      </c>
      <c r="Z70">
        <v>9.7000000000000003E-2</v>
      </c>
      <c r="AA70">
        <v>5.1999999999999998E-2</v>
      </c>
      <c r="AB70">
        <v>8.6999999999999994E-2</v>
      </c>
      <c r="AC70">
        <v>5</v>
      </c>
      <c r="AD70" s="6">
        <v>66</v>
      </c>
      <c r="AE70" s="6">
        <v>25</v>
      </c>
      <c r="AF70" s="6">
        <v>0</v>
      </c>
      <c r="AG70" s="6">
        <v>152.96</v>
      </c>
      <c r="AH70" s="6">
        <v>193.83</v>
      </c>
      <c r="AI70" s="6">
        <f t="shared" si="2"/>
        <v>40.870000000000005</v>
      </c>
      <c r="AJ70" s="5">
        <f t="shared" si="3"/>
        <v>0.21085487282670382</v>
      </c>
    </row>
    <row r="71" spans="1:36">
      <c r="A71" t="s">
        <v>194</v>
      </c>
      <c r="B71" t="s">
        <v>302</v>
      </c>
      <c r="C71" t="s">
        <v>52</v>
      </c>
      <c r="D71" t="s">
        <v>54</v>
      </c>
      <c r="E71" t="s">
        <v>55</v>
      </c>
      <c r="F71">
        <v>0</v>
      </c>
      <c r="G71">
        <v>1145</v>
      </c>
      <c r="H71">
        <v>1</v>
      </c>
      <c r="I71" t="s">
        <v>173</v>
      </c>
      <c r="J71">
        <v>1</v>
      </c>
      <c r="K71" s="6">
        <v>1.28</v>
      </c>
      <c r="L71" t="s">
        <v>174</v>
      </c>
      <c r="M71">
        <v>0</v>
      </c>
      <c r="N71" t="s">
        <v>175</v>
      </c>
      <c r="O71">
        <v>1</v>
      </c>
      <c r="P71">
        <v>0</v>
      </c>
      <c r="Q71" s="6">
        <v>44.2</v>
      </c>
      <c r="R71">
        <v>1</v>
      </c>
      <c r="S71" s="6">
        <v>1529</v>
      </c>
      <c r="T71">
        <v>0</v>
      </c>
      <c r="U71" s="6">
        <v>10550</v>
      </c>
      <c r="V71">
        <v>0</v>
      </c>
      <c r="W71">
        <v>0</v>
      </c>
      <c r="X71">
        <v>0</v>
      </c>
      <c r="Y71" s="6">
        <v>39.5</v>
      </c>
      <c r="Z71">
        <v>9.7000000000000003E-2</v>
      </c>
      <c r="AA71">
        <v>5.1999999999999998E-2</v>
      </c>
      <c r="AB71">
        <v>8.6999999999999994E-2</v>
      </c>
      <c r="AC71">
        <v>5</v>
      </c>
      <c r="AD71" s="6">
        <v>51</v>
      </c>
      <c r="AE71" s="6">
        <v>25</v>
      </c>
      <c r="AF71" s="6">
        <v>0</v>
      </c>
      <c r="AG71" s="6">
        <v>53.08</v>
      </c>
      <c r="AH71" s="6">
        <v>69.34</v>
      </c>
      <c r="AI71" s="6">
        <f t="shared" si="2"/>
        <v>16.260000000000005</v>
      </c>
      <c r="AJ71" s="5">
        <f t="shared" si="3"/>
        <v>0.23449668301124899</v>
      </c>
    </row>
    <row r="72" spans="1:36">
      <c r="A72" t="s">
        <v>303</v>
      </c>
      <c r="B72" t="s">
        <v>304</v>
      </c>
      <c r="C72" t="s">
        <v>52</v>
      </c>
      <c r="D72" t="s">
        <v>54</v>
      </c>
      <c r="E72" t="s">
        <v>55</v>
      </c>
      <c r="F72">
        <v>0</v>
      </c>
      <c r="G72">
        <v>1145</v>
      </c>
      <c r="H72">
        <v>1</v>
      </c>
      <c r="I72" t="s">
        <v>181</v>
      </c>
      <c r="J72">
        <v>3</v>
      </c>
      <c r="K72" s="6">
        <v>7.68</v>
      </c>
      <c r="L72" t="s">
        <v>200</v>
      </c>
      <c r="M72">
        <v>1</v>
      </c>
      <c r="N72" t="s">
        <v>175</v>
      </c>
      <c r="O72">
        <v>1</v>
      </c>
      <c r="P72">
        <v>0</v>
      </c>
      <c r="Q72" s="6">
        <v>43</v>
      </c>
      <c r="R72">
        <v>0</v>
      </c>
      <c r="S72" s="6">
        <v>0</v>
      </c>
      <c r="T72">
        <v>0</v>
      </c>
      <c r="U72" s="6">
        <v>2210</v>
      </c>
      <c r="V72">
        <v>0</v>
      </c>
      <c r="W72">
        <v>0</v>
      </c>
      <c r="X72">
        <v>0</v>
      </c>
      <c r="Y72" s="6">
        <v>39.5</v>
      </c>
      <c r="Z72">
        <v>9.7000000000000003E-2</v>
      </c>
      <c r="AA72">
        <v>5.1999999999999998E-2</v>
      </c>
      <c r="AB72">
        <v>8.6999999999999994E-2</v>
      </c>
      <c r="AC72">
        <v>5</v>
      </c>
      <c r="AD72" s="6">
        <v>140</v>
      </c>
      <c r="AE72" s="6">
        <v>0</v>
      </c>
      <c r="AF72" s="6">
        <v>0</v>
      </c>
      <c r="AG72" s="6">
        <v>106.77</v>
      </c>
      <c r="AH72" s="6">
        <v>143.01</v>
      </c>
      <c r="AI72" s="6">
        <f t="shared" si="2"/>
        <v>36.239999999999995</v>
      </c>
      <c r="AJ72" s="5">
        <f t="shared" si="3"/>
        <v>0.25340885252779521</v>
      </c>
    </row>
    <row r="73" spans="1:36">
      <c r="A73" t="s">
        <v>291</v>
      </c>
      <c r="B73" t="s">
        <v>305</v>
      </c>
      <c r="C73" t="s">
        <v>52</v>
      </c>
      <c r="D73" t="s">
        <v>54</v>
      </c>
      <c r="E73" t="s">
        <v>55</v>
      </c>
      <c r="F73">
        <v>0</v>
      </c>
      <c r="G73">
        <v>1145</v>
      </c>
      <c r="H73">
        <v>1</v>
      </c>
      <c r="I73" t="s">
        <v>178</v>
      </c>
      <c r="J73">
        <v>4</v>
      </c>
      <c r="K73" s="6">
        <v>14.26</v>
      </c>
      <c r="L73" t="s">
        <v>174</v>
      </c>
      <c r="M73">
        <v>0</v>
      </c>
      <c r="N73" t="s">
        <v>187</v>
      </c>
      <c r="O73">
        <v>2</v>
      </c>
      <c r="P73">
        <v>0</v>
      </c>
      <c r="Q73" s="6">
        <v>69.099999999999994</v>
      </c>
      <c r="R73">
        <v>1</v>
      </c>
      <c r="S73" s="6">
        <v>2399</v>
      </c>
      <c r="T73">
        <v>0</v>
      </c>
      <c r="U73" s="6">
        <v>4033</v>
      </c>
      <c r="V73">
        <v>0</v>
      </c>
      <c r="W73">
        <v>0</v>
      </c>
      <c r="X73">
        <v>0</v>
      </c>
      <c r="Y73" s="6">
        <v>39.5</v>
      </c>
      <c r="Z73">
        <v>9.7000000000000003E-2</v>
      </c>
      <c r="AA73">
        <v>5.1999999999999998E-2</v>
      </c>
      <c r="AB73">
        <v>8.6999999999999994E-2</v>
      </c>
      <c r="AC73">
        <v>5</v>
      </c>
      <c r="AD73" s="6">
        <v>66</v>
      </c>
      <c r="AE73" s="6">
        <v>40</v>
      </c>
      <c r="AF73" s="6">
        <v>0</v>
      </c>
      <c r="AG73" s="6">
        <v>136.58000000000001</v>
      </c>
      <c r="AH73" s="6">
        <v>175.42</v>
      </c>
      <c r="AI73" s="6">
        <f t="shared" si="2"/>
        <v>38.839999999999975</v>
      </c>
      <c r="AJ73" s="5">
        <f t="shared" si="3"/>
        <v>0.22141146961577915</v>
      </c>
    </row>
    <row r="74" spans="1:36">
      <c r="A74" t="s">
        <v>306</v>
      </c>
      <c r="B74" t="s">
        <v>307</v>
      </c>
      <c r="C74" t="s">
        <v>52</v>
      </c>
      <c r="D74" t="s">
        <v>54</v>
      </c>
      <c r="E74" t="s">
        <v>55</v>
      </c>
      <c r="F74">
        <v>0</v>
      </c>
      <c r="G74">
        <v>1145</v>
      </c>
      <c r="H74">
        <v>1</v>
      </c>
      <c r="I74" t="s">
        <v>178</v>
      </c>
      <c r="J74">
        <v>4</v>
      </c>
      <c r="K74" s="6">
        <v>10.66</v>
      </c>
      <c r="L74" t="s">
        <v>174</v>
      </c>
      <c r="M74">
        <v>0</v>
      </c>
      <c r="N74" t="s">
        <v>175</v>
      </c>
      <c r="O74">
        <v>1</v>
      </c>
      <c r="P74">
        <v>0</v>
      </c>
      <c r="Q74" s="6">
        <v>31.6</v>
      </c>
      <c r="R74">
        <v>1</v>
      </c>
      <c r="S74" s="6">
        <v>865</v>
      </c>
      <c r="T74">
        <v>0</v>
      </c>
      <c r="U74" s="6">
        <v>4343</v>
      </c>
      <c r="V74">
        <v>0</v>
      </c>
      <c r="W74">
        <v>0</v>
      </c>
      <c r="X74">
        <v>0</v>
      </c>
      <c r="Y74" s="6">
        <v>39.5</v>
      </c>
      <c r="Z74">
        <v>9.7000000000000003E-2</v>
      </c>
      <c r="AA74">
        <v>5.1999999999999998E-2</v>
      </c>
      <c r="AB74">
        <v>8.6999999999999994E-2</v>
      </c>
      <c r="AC74">
        <v>5</v>
      </c>
      <c r="AD74" s="6">
        <v>66</v>
      </c>
      <c r="AE74" s="6">
        <v>25</v>
      </c>
      <c r="AF74" s="6">
        <v>0</v>
      </c>
      <c r="AG74" s="6">
        <v>118.7</v>
      </c>
      <c r="AH74" s="6">
        <v>149.51</v>
      </c>
      <c r="AI74" s="6">
        <f t="shared" si="2"/>
        <v>30.809999999999988</v>
      </c>
      <c r="AJ74" s="5">
        <f t="shared" si="3"/>
        <v>0.20607317236305256</v>
      </c>
    </row>
    <row r="75" spans="1:36">
      <c r="A75" t="s">
        <v>196</v>
      </c>
      <c r="B75" t="s">
        <v>308</v>
      </c>
      <c r="C75" t="s">
        <v>52</v>
      </c>
      <c r="D75" t="s">
        <v>54</v>
      </c>
      <c r="E75" t="s">
        <v>55</v>
      </c>
      <c r="F75">
        <v>0</v>
      </c>
      <c r="G75">
        <v>1145</v>
      </c>
      <c r="H75">
        <v>1</v>
      </c>
      <c r="I75" t="s">
        <v>220</v>
      </c>
      <c r="J75">
        <v>2</v>
      </c>
      <c r="K75" s="6">
        <v>4.88</v>
      </c>
      <c r="L75" t="s">
        <v>174</v>
      </c>
      <c r="M75">
        <v>0</v>
      </c>
      <c r="N75" t="s">
        <v>175</v>
      </c>
      <c r="O75">
        <v>1</v>
      </c>
      <c r="P75">
        <v>0</v>
      </c>
      <c r="Q75" s="6">
        <v>31.3</v>
      </c>
      <c r="R75">
        <v>1</v>
      </c>
      <c r="S75" s="6">
        <v>5751</v>
      </c>
      <c r="T75">
        <v>0</v>
      </c>
      <c r="U75" s="6">
        <v>1168</v>
      </c>
      <c r="V75">
        <v>0</v>
      </c>
      <c r="W75">
        <v>0</v>
      </c>
      <c r="X75">
        <v>0</v>
      </c>
      <c r="Y75" s="6">
        <v>39.5</v>
      </c>
      <c r="Z75">
        <v>9.7000000000000003E-2</v>
      </c>
      <c r="AA75">
        <v>5.1999999999999998E-2</v>
      </c>
      <c r="AB75">
        <v>8.6999999999999994E-2</v>
      </c>
      <c r="AC75">
        <v>5</v>
      </c>
      <c r="AD75" s="6">
        <v>51</v>
      </c>
      <c r="AE75" s="6">
        <v>50</v>
      </c>
      <c r="AF75" s="6">
        <v>0</v>
      </c>
      <c r="AG75" s="6">
        <v>61.01</v>
      </c>
      <c r="AH75" s="6">
        <v>77.34</v>
      </c>
      <c r="AI75" s="6">
        <f t="shared" si="2"/>
        <v>16.330000000000005</v>
      </c>
      <c r="AJ75" s="5">
        <f t="shared" si="3"/>
        <v>0.2111455908973365</v>
      </c>
    </row>
    <row r="76" spans="1:36">
      <c r="A76" t="s">
        <v>286</v>
      </c>
      <c r="B76" t="s">
        <v>309</v>
      </c>
      <c r="C76" t="s">
        <v>52</v>
      </c>
      <c r="D76" t="s">
        <v>54</v>
      </c>
      <c r="E76" t="s">
        <v>55</v>
      </c>
      <c r="F76">
        <v>0</v>
      </c>
      <c r="G76">
        <v>1145</v>
      </c>
      <c r="H76">
        <v>1</v>
      </c>
      <c r="I76" t="s">
        <v>178</v>
      </c>
      <c r="J76">
        <v>4</v>
      </c>
      <c r="K76" s="6">
        <v>12.55</v>
      </c>
      <c r="L76" t="s">
        <v>174</v>
      </c>
      <c r="M76">
        <v>0</v>
      </c>
      <c r="N76" t="s">
        <v>217</v>
      </c>
      <c r="O76">
        <v>4</v>
      </c>
      <c r="P76">
        <v>1</v>
      </c>
      <c r="Q76" s="6">
        <v>111.5</v>
      </c>
      <c r="R76">
        <v>1</v>
      </c>
      <c r="S76" s="6">
        <v>2460</v>
      </c>
      <c r="T76">
        <v>0</v>
      </c>
      <c r="U76" s="6">
        <v>5706</v>
      </c>
      <c r="V76">
        <v>0</v>
      </c>
      <c r="W76">
        <v>0</v>
      </c>
      <c r="X76">
        <v>0</v>
      </c>
      <c r="Y76" s="6">
        <v>39.5</v>
      </c>
      <c r="Z76">
        <v>9.7000000000000003E-2</v>
      </c>
      <c r="AA76">
        <v>5.1999999999999998E-2</v>
      </c>
      <c r="AB76">
        <v>8.6999999999999994E-2</v>
      </c>
      <c r="AC76">
        <v>5</v>
      </c>
      <c r="AD76" s="6">
        <v>66</v>
      </c>
      <c r="AE76" s="6">
        <v>40</v>
      </c>
      <c r="AF76" s="6">
        <v>0</v>
      </c>
      <c r="AG76" s="6">
        <v>174.79</v>
      </c>
      <c r="AH76" s="6">
        <v>221.37</v>
      </c>
      <c r="AI76" s="6">
        <f t="shared" si="2"/>
        <v>46.580000000000013</v>
      </c>
      <c r="AJ76" s="5">
        <f t="shared" si="3"/>
        <v>0.2104169489994128</v>
      </c>
    </row>
    <row r="77" spans="1:36">
      <c r="A77" t="s">
        <v>194</v>
      </c>
      <c r="B77" t="s">
        <v>310</v>
      </c>
      <c r="C77" t="s">
        <v>52</v>
      </c>
      <c r="D77" t="s">
        <v>54</v>
      </c>
      <c r="E77" t="s">
        <v>55</v>
      </c>
      <c r="F77">
        <v>0</v>
      </c>
      <c r="G77">
        <v>1145</v>
      </c>
      <c r="H77">
        <v>1</v>
      </c>
      <c r="I77" t="s">
        <v>220</v>
      </c>
      <c r="J77">
        <v>2</v>
      </c>
      <c r="K77" s="6">
        <v>4.41</v>
      </c>
      <c r="L77" t="s">
        <v>174</v>
      </c>
      <c r="M77">
        <v>0</v>
      </c>
      <c r="N77" t="s">
        <v>182</v>
      </c>
      <c r="O77">
        <v>3</v>
      </c>
      <c r="P77">
        <v>0</v>
      </c>
      <c r="Q77" s="6">
        <v>116.7</v>
      </c>
      <c r="R77">
        <v>1</v>
      </c>
      <c r="S77" s="6">
        <v>840</v>
      </c>
      <c r="T77">
        <v>0</v>
      </c>
      <c r="U77" s="6">
        <v>15573</v>
      </c>
      <c r="V77">
        <v>0</v>
      </c>
      <c r="W77">
        <v>0</v>
      </c>
      <c r="X77">
        <v>0</v>
      </c>
      <c r="Y77" s="6">
        <v>39.5</v>
      </c>
      <c r="Z77">
        <v>9.7000000000000003E-2</v>
      </c>
      <c r="AA77">
        <v>5.1999999999999998E-2</v>
      </c>
      <c r="AB77">
        <v>8.6999999999999994E-2</v>
      </c>
      <c r="AC77">
        <v>5</v>
      </c>
      <c r="AD77" s="6">
        <v>51</v>
      </c>
      <c r="AE77" s="6">
        <v>25</v>
      </c>
      <c r="AF77" s="6">
        <v>0</v>
      </c>
      <c r="AG77" s="6">
        <v>72.989999999999995</v>
      </c>
      <c r="AH77" s="6">
        <v>91.56</v>
      </c>
      <c r="AI77" s="6">
        <f t="shared" si="2"/>
        <v>18.570000000000007</v>
      </c>
      <c r="AJ77" s="5">
        <f t="shared" si="3"/>
        <v>0.20281782437745749</v>
      </c>
    </row>
    <row r="78" spans="1:36">
      <c r="A78" t="s">
        <v>311</v>
      </c>
      <c r="B78" t="s">
        <v>312</v>
      </c>
      <c r="C78" t="s">
        <v>52</v>
      </c>
      <c r="D78" t="s">
        <v>54</v>
      </c>
      <c r="E78" t="s">
        <v>55</v>
      </c>
      <c r="F78">
        <v>0</v>
      </c>
      <c r="G78">
        <v>1145</v>
      </c>
      <c r="H78">
        <v>1</v>
      </c>
      <c r="I78" t="s">
        <v>178</v>
      </c>
      <c r="J78">
        <v>4</v>
      </c>
      <c r="K78" s="6">
        <v>15.95</v>
      </c>
      <c r="L78" t="s">
        <v>174</v>
      </c>
      <c r="M78">
        <v>0</v>
      </c>
      <c r="N78" t="s">
        <v>187</v>
      </c>
      <c r="O78">
        <v>2</v>
      </c>
      <c r="P78">
        <v>0</v>
      </c>
      <c r="Q78" s="6">
        <v>40.299999999999997</v>
      </c>
      <c r="R78">
        <v>1</v>
      </c>
      <c r="S78" s="6">
        <v>4114</v>
      </c>
      <c r="T78">
        <v>0</v>
      </c>
      <c r="U78" s="6">
        <v>7459</v>
      </c>
      <c r="V78">
        <v>0</v>
      </c>
      <c r="W78">
        <v>0</v>
      </c>
      <c r="X78">
        <v>0</v>
      </c>
      <c r="Y78" s="6">
        <v>39.5</v>
      </c>
      <c r="Z78">
        <v>9.7000000000000003E-2</v>
      </c>
      <c r="AA78">
        <v>5.1999999999999998E-2</v>
      </c>
      <c r="AB78">
        <v>8.6999999999999994E-2</v>
      </c>
      <c r="AC78">
        <v>5</v>
      </c>
      <c r="AD78" s="6">
        <v>66</v>
      </c>
      <c r="AE78" s="6">
        <v>40</v>
      </c>
      <c r="AF78" s="6">
        <v>0</v>
      </c>
      <c r="AG78" s="6">
        <v>136.19</v>
      </c>
      <c r="AH78" s="6">
        <v>170.96</v>
      </c>
      <c r="AI78" s="6">
        <f t="shared" si="2"/>
        <v>34.77000000000001</v>
      </c>
      <c r="AJ78" s="5">
        <f t="shared" si="3"/>
        <v>0.20338090781469353</v>
      </c>
    </row>
    <row r="79" spans="1:36">
      <c r="A79" t="s">
        <v>313</v>
      </c>
      <c r="B79" t="s">
        <v>314</v>
      </c>
      <c r="C79" t="s">
        <v>52</v>
      </c>
      <c r="D79" t="s">
        <v>54</v>
      </c>
      <c r="E79" t="s">
        <v>55</v>
      </c>
      <c r="F79">
        <v>0</v>
      </c>
      <c r="G79">
        <v>1145</v>
      </c>
      <c r="H79">
        <v>1</v>
      </c>
      <c r="I79" t="s">
        <v>181</v>
      </c>
      <c r="J79">
        <v>3</v>
      </c>
      <c r="K79" s="6">
        <v>8.49</v>
      </c>
      <c r="L79" t="s">
        <v>200</v>
      </c>
      <c r="M79">
        <v>1</v>
      </c>
      <c r="N79" t="s">
        <v>182</v>
      </c>
      <c r="O79">
        <v>3</v>
      </c>
      <c r="P79">
        <v>0</v>
      </c>
      <c r="Q79" s="6">
        <v>58.7</v>
      </c>
      <c r="R79">
        <v>1</v>
      </c>
      <c r="S79" s="6">
        <v>764</v>
      </c>
      <c r="T79">
        <v>0</v>
      </c>
      <c r="U79" s="6">
        <v>4643</v>
      </c>
      <c r="V79">
        <v>0</v>
      </c>
      <c r="W79">
        <v>0</v>
      </c>
      <c r="X79">
        <v>0</v>
      </c>
      <c r="Y79" s="6">
        <v>39.5</v>
      </c>
      <c r="Z79">
        <v>9.7000000000000003E-2</v>
      </c>
      <c r="AA79">
        <v>5.1999999999999998E-2</v>
      </c>
      <c r="AB79">
        <v>8.6999999999999994E-2</v>
      </c>
      <c r="AC79">
        <v>5</v>
      </c>
      <c r="AD79" s="6">
        <v>140</v>
      </c>
      <c r="AE79" s="6">
        <v>25</v>
      </c>
      <c r="AF79" s="6">
        <v>0</v>
      </c>
      <c r="AG79" s="6">
        <v>136.16</v>
      </c>
      <c r="AH79" s="6">
        <v>170.84</v>
      </c>
      <c r="AI79" s="6">
        <f t="shared" si="2"/>
        <v>34.680000000000007</v>
      </c>
      <c r="AJ79" s="5">
        <f t="shared" si="3"/>
        <v>0.20299695621634281</v>
      </c>
    </row>
    <row r="80" spans="1:36">
      <c r="A80" t="s">
        <v>225</v>
      </c>
      <c r="B80" t="s">
        <v>315</v>
      </c>
      <c r="C80" t="s">
        <v>52</v>
      </c>
      <c r="D80" t="s">
        <v>54</v>
      </c>
      <c r="E80" t="s">
        <v>55</v>
      </c>
      <c r="F80">
        <v>0</v>
      </c>
      <c r="G80">
        <v>1145</v>
      </c>
      <c r="H80">
        <v>1</v>
      </c>
      <c r="I80" t="s">
        <v>178</v>
      </c>
      <c r="J80">
        <v>4</v>
      </c>
      <c r="K80" s="6">
        <v>22.86</v>
      </c>
      <c r="L80" t="s">
        <v>174</v>
      </c>
      <c r="M80">
        <v>0</v>
      </c>
      <c r="N80" t="s">
        <v>175</v>
      </c>
      <c r="O80">
        <v>1</v>
      </c>
      <c r="P80">
        <v>0</v>
      </c>
      <c r="Q80" s="6">
        <v>40.9</v>
      </c>
      <c r="R80">
        <v>1</v>
      </c>
      <c r="S80" s="6">
        <v>3493</v>
      </c>
      <c r="T80">
        <v>0</v>
      </c>
      <c r="U80" s="6">
        <v>7118</v>
      </c>
      <c r="V80">
        <v>0</v>
      </c>
      <c r="W80">
        <v>0</v>
      </c>
      <c r="X80">
        <v>0</v>
      </c>
      <c r="Y80" s="6">
        <v>39.5</v>
      </c>
      <c r="Z80">
        <v>9.7000000000000003E-2</v>
      </c>
      <c r="AA80">
        <v>5.1999999999999998E-2</v>
      </c>
      <c r="AB80">
        <v>8.6999999999999994E-2</v>
      </c>
      <c r="AC80">
        <v>5</v>
      </c>
      <c r="AD80" s="6">
        <v>66</v>
      </c>
      <c r="AE80" s="6">
        <v>40</v>
      </c>
      <c r="AF80" s="6">
        <v>0</v>
      </c>
      <c r="AG80" s="6">
        <v>147.13999999999999</v>
      </c>
      <c r="AH80" s="6">
        <v>188.27</v>
      </c>
      <c r="AI80" s="6">
        <f t="shared" si="2"/>
        <v>41.130000000000024</v>
      </c>
      <c r="AJ80" s="5">
        <f t="shared" si="3"/>
        <v>0.21846284591278495</v>
      </c>
    </row>
    <row r="81" spans="1:36">
      <c r="A81" t="s">
        <v>316</v>
      </c>
      <c r="B81" t="s">
        <v>317</v>
      </c>
      <c r="C81" t="s">
        <v>52</v>
      </c>
      <c r="D81" t="s">
        <v>54</v>
      </c>
      <c r="E81" t="s">
        <v>55</v>
      </c>
      <c r="F81">
        <v>0</v>
      </c>
      <c r="G81">
        <v>1145</v>
      </c>
      <c r="H81">
        <v>1</v>
      </c>
      <c r="I81" t="s">
        <v>173</v>
      </c>
      <c r="J81">
        <v>1</v>
      </c>
      <c r="K81" s="6">
        <v>1.2</v>
      </c>
      <c r="L81" t="s">
        <v>174</v>
      </c>
      <c r="M81">
        <v>0</v>
      </c>
      <c r="N81" t="s">
        <v>175</v>
      </c>
      <c r="O81">
        <v>1</v>
      </c>
      <c r="P81">
        <v>0</v>
      </c>
      <c r="Q81" s="6">
        <v>32.4</v>
      </c>
      <c r="R81">
        <v>0</v>
      </c>
      <c r="S81" s="6">
        <v>0</v>
      </c>
      <c r="T81">
        <v>0</v>
      </c>
      <c r="U81" s="6">
        <v>16317</v>
      </c>
      <c r="V81">
        <v>0</v>
      </c>
      <c r="W81">
        <v>0</v>
      </c>
      <c r="X81">
        <v>0</v>
      </c>
      <c r="Y81" s="6">
        <v>39.5</v>
      </c>
      <c r="Z81">
        <v>9.7000000000000003E-2</v>
      </c>
      <c r="AA81">
        <v>5.1999999999999998E-2</v>
      </c>
      <c r="AB81">
        <v>8.6999999999999994E-2</v>
      </c>
      <c r="AC81">
        <v>5</v>
      </c>
      <c r="AD81" s="6">
        <v>51</v>
      </c>
      <c r="AE81" s="6">
        <v>0</v>
      </c>
      <c r="AF81" s="6">
        <v>0</v>
      </c>
      <c r="AG81" s="6">
        <v>45.34</v>
      </c>
      <c r="AH81" s="6">
        <v>58.32</v>
      </c>
      <c r="AI81" s="6">
        <f t="shared" si="2"/>
        <v>12.979999999999997</v>
      </c>
      <c r="AJ81" s="5">
        <f t="shared" si="3"/>
        <v>0.22256515775034288</v>
      </c>
    </row>
    <row r="82" spans="1:36">
      <c r="A82" t="s">
        <v>255</v>
      </c>
      <c r="B82" t="s">
        <v>318</v>
      </c>
      <c r="C82" t="s">
        <v>52</v>
      </c>
      <c r="D82" t="s">
        <v>54</v>
      </c>
      <c r="E82" t="s">
        <v>55</v>
      </c>
      <c r="F82">
        <v>0</v>
      </c>
      <c r="G82">
        <v>1145</v>
      </c>
      <c r="H82">
        <v>1</v>
      </c>
      <c r="I82" t="s">
        <v>181</v>
      </c>
      <c r="J82">
        <v>3</v>
      </c>
      <c r="K82" s="6">
        <v>9.1999999999999993</v>
      </c>
      <c r="L82" t="s">
        <v>200</v>
      </c>
      <c r="M82">
        <v>1</v>
      </c>
      <c r="N82" t="s">
        <v>175</v>
      </c>
      <c r="O82">
        <v>1</v>
      </c>
      <c r="P82">
        <v>0</v>
      </c>
      <c r="Q82" s="6">
        <v>35.700000000000003</v>
      </c>
      <c r="R82">
        <v>0</v>
      </c>
      <c r="S82" s="6">
        <v>0</v>
      </c>
      <c r="T82">
        <v>0</v>
      </c>
      <c r="U82" s="6">
        <v>3802</v>
      </c>
      <c r="V82">
        <v>0</v>
      </c>
      <c r="W82">
        <v>0</v>
      </c>
      <c r="X82">
        <v>0</v>
      </c>
      <c r="Y82" s="6">
        <v>39.5</v>
      </c>
      <c r="Z82">
        <v>9.7000000000000003E-2</v>
      </c>
      <c r="AA82">
        <v>5.1999999999999998E-2</v>
      </c>
      <c r="AB82">
        <v>8.6999999999999994E-2</v>
      </c>
      <c r="AC82">
        <v>5</v>
      </c>
      <c r="AD82" s="6">
        <v>140</v>
      </c>
      <c r="AE82" s="6">
        <v>0</v>
      </c>
      <c r="AF82" s="6">
        <v>0</v>
      </c>
      <c r="AG82" s="6">
        <v>121.01</v>
      </c>
      <c r="AH82" s="6">
        <v>154.58000000000001</v>
      </c>
      <c r="AI82" s="6">
        <f t="shared" si="2"/>
        <v>33.570000000000007</v>
      </c>
      <c r="AJ82" s="5">
        <f t="shared" si="3"/>
        <v>0.21716910337689224</v>
      </c>
    </row>
    <row r="83" spans="1:36">
      <c r="A83" t="s">
        <v>319</v>
      </c>
      <c r="B83" t="s">
        <v>320</v>
      </c>
      <c r="C83" t="s">
        <v>52</v>
      </c>
      <c r="D83" t="s">
        <v>54</v>
      </c>
      <c r="E83" t="s">
        <v>55</v>
      </c>
      <c r="F83">
        <v>0</v>
      </c>
      <c r="G83">
        <v>1145</v>
      </c>
      <c r="H83">
        <v>1</v>
      </c>
      <c r="I83" t="s">
        <v>220</v>
      </c>
      <c r="J83">
        <v>2</v>
      </c>
      <c r="K83" s="6">
        <v>5.26</v>
      </c>
      <c r="L83" t="s">
        <v>174</v>
      </c>
      <c r="M83">
        <v>0</v>
      </c>
      <c r="N83" t="s">
        <v>187</v>
      </c>
      <c r="O83">
        <v>2</v>
      </c>
      <c r="P83">
        <v>0</v>
      </c>
      <c r="Q83" s="6">
        <v>52.3</v>
      </c>
      <c r="R83">
        <v>1</v>
      </c>
      <c r="S83" s="6">
        <v>6437</v>
      </c>
      <c r="T83">
        <v>0</v>
      </c>
      <c r="U83" s="6">
        <v>3143</v>
      </c>
      <c r="V83">
        <v>0</v>
      </c>
      <c r="W83">
        <v>0</v>
      </c>
      <c r="X83">
        <v>0</v>
      </c>
      <c r="Y83" s="6">
        <v>39.5</v>
      </c>
      <c r="Z83">
        <v>9.7000000000000003E-2</v>
      </c>
      <c r="AA83">
        <v>5.1999999999999998E-2</v>
      </c>
      <c r="AB83">
        <v>8.6999999999999994E-2</v>
      </c>
      <c r="AC83">
        <v>5</v>
      </c>
      <c r="AD83" s="6">
        <v>51</v>
      </c>
      <c r="AE83" s="6">
        <v>50</v>
      </c>
      <c r="AF83" s="6">
        <v>0</v>
      </c>
      <c r="AG83" s="6">
        <v>67.959999999999994</v>
      </c>
      <c r="AH83" s="6">
        <v>85.25</v>
      </c>
      <c r="AI83" s="6">
        <f t="shared" si="2"/>
        <v>17.290000000000006</v>
      </c>
      <c r="AJ83" s="5">
        <f t="shared" si="3"/>
        <v>0.20281524926686223</v>
      </c>
    </row>
    <row r="84" spans="1:36">
      <c r="A84" t="s">
        <v>201</v>
      </c>
      <c r="B84" t="s">
        <v>321</v>
      </c>
      <c r="C84" t="s">
        <v>52</v>
      </c>
      <c r="D84" t="s">
        <v>54</v>
      </c>
      <c r="E84" t="s">
        <v>55</v>
      </c>
      <c r="F84">
        <v>0</v>
      </c>
      <c r="G84">
        <v>1145</v>
      </c>
      <c r="H84">
        <v>1</v>
      </c>
      <c r="I84" t="s">
        <v>178</v>
      </c>
      <c r="J84">
        <v>4</v>
      </c>
      <c r="K84" s="6">
        <v>17.690000000000001</v>
      </c>
      <c r="L84" t="s">
        <v>174</v>
      </c>
      <c r="M84">
        <v>0</v>
      </c>
      <c r="N84" t="s">
        <v>187</v>
      </c>
      <c r="O84">
        <v>2</v>
      </c>
      <c r="P84">
        <v>0</v>
      </c>
      <c r="Q84" s="6">
        <v>68.599999999999994</v>
      </c>
      <c r="R84">
        <v>1</v>
      </c>
      <c r="S84" s="6">
        <v>1023</v>
      </c>
      <c r="T84">
        <v>0</v>
      </c>
      <c r="U84" s="6">
        <v>4847</v>
      </c>
      <c r="V84">
        <v>0</v>
      </c>
      <c r="W84">
        <v>0</v>
      </c>
      <c r="X84">
        <v>0</v>
      </c>
      <c r="Y84" s="6">
        <v>39.5</v>
      </c>
      <c r="Z84">
        <v>9.7000000000000003E-2</v>
      </c>
      <c r="AA84">
        <v>5.1999999999999998E-2</v>
      </c>
      <c r="AB84">
        <v>8.6999999999999994E-2</v>
      </c>
      <c r="AC84">
        <v>5</v>
      </c>
      <c r="AD84" s="6">
        <v>66</v>
      </c>
      <c r="AE84" s="6">
        <v>25</v>
      </c>
      <c r="AF84" s="6">
        <v>0</v>
      </c>
      <c r="AG84" s="6">
        <v>140.19999999999999</v>
      </c>
      <c r="AH84" s="6">
        <v>179.93</v>
      </c>
      <c r="AI84" s="6">
        <f t="shared" si="2"/>
        <v>39.730000000000018</v>
      </c>
      <c r="AJ84" s="5">
        <f t="shared" si="3"/>
        <v>0.2208080920357918</v>
      </c>
    </row>
    <row r="85" spans="1:36">
      <c r="A85" t="s">
        <v>201</v>
      </c>
      <c r="B85" t="s">
        <v>322</v>
      </c>
      <c r="C85" t="s">
        <v>52</v>
      </c>
      <c r="D85" t="s">
        <v>54</v>
      </c>
      <c r="E85" t="s">
        <v>55</v>
      </c>
      <c r="F85">
        <v>0</v>
      </c>
      <c r="G85">
        <v>1145</v>
      </c>
      <c r="H85">
        <v>1</v>
      </c>
      <c r="I85" t="s">
        <v>220</v>
      </c>
      <c r="J85">
        <v>2</v>
      </c>
      <c r="K85" s="6">
        <v>5.03</v>
      </c>
      <c r="L85" t="s">
        <v>174</v>
      </c>
      <c r="M85">
        <v>0</v>
      </c>
      <c r="N85" t="s">
        <v>175</v>
      </c>
      <c r="O85">
        <v>1</v>
      </c>
      <c r="P85">
        <v>0</v>
      </c>
      <c r="Q85" s="6">
        <v>36</v>
      </c>
      <c r="R85">
        <v>0</v>
      </c>
      <c r="S85" s="6">
        <v>0</v>
      </c>
      <c r="T85">
        <v>0</v>
      </c>
      <c r="U85" s="6">
        <v>2517</v>
      </c>
      <c r="V85">
        <v>0</v>
      </c>
      <c r="W85">
        <v>0</v>
      </c>
      <c r="X85">
        <v>0</v>
      </c>
      <c r="Y85" s="6">
        <v>39.5</v>
      </c>
      <c r="Z85">
        <v>9.7000000000000003E-2</v>
      </c>
      <c r="AA85">
        <v>5.1999999999999998E-2</v>
      </c>
      <c r="AB85">
        <v>8.6999999999999994E-2</v>
      </c>
      <c r="AC85">
        <v>5</v>
      </c>
      <c r="AD85" s="6">
        <v>51</v>
      </c>
      <c r="AE85" s="6">
        <v>0</v>
      </c>
      <c r="AF85" s="6">
        <v>0</v>
      </c>
      <c r="AG85" s="6">
        <v>62.17</v>
      </c>
      <c r="AH85" s="6">
        <v>79.05</v>
      </c>
      <c r="AI85" s="6">
        <f t="shared" si="2"/>
        <v>16.879999999999995</v>
      </c>
      <c r="AJ85" s="5">
        <f t="shared" si="3"/>
        <v>0.21353573687539526</v>
      </c>
    </row>
    <row r="86" spans="1:36">
      <c r="A86" t="s">
        <v>323</v>
      </c>
      <c r="B86" t="s">
        <v>324</v>
      </c>
      <c r="C86" t="s">
        <v>52</v>
      </c>
      <c r="D86" t="s">
        <v>54</v>
      </c>
      <c r="E86" t="s">
        <v>55</v>
      </c>
      <c r="F86">
        <v>0</v>
      </c>
      <c r="G86">
        <v>1145</v>
      </c>
      <c r="H86">
        <v>1</v>
      </c>
      <c r="I86" t="s">
        <v>220</v>
      </c>
      <c r="J86">
        <v>2</v>
      </c>
      <c r="K86" s="6">
        <v>3.55</v>
      </c>
      <c r="L86" t="s">
        <v>174</v>
      </c>
      <c r="M86">
        <v>0</v>
      </c>
      <c r="N86" t="s">
        <v>217</v>
      </c>
      <c r="O86">
        <v>4</v>
      </c>
      <c r="P86">
        <v>1</v>
      </c>
      <c r="Q86" s="6">
        <v>140.9</v>
      </c>
      <c r="R86">
        <v>1</v>
      </c>
      <c r="S86" s="6">
        <v>5245</v>
      </c>
      <c r="T86">
        <v>0</v>
      </c>
      <c r="U86" s="6">
        <v>4839</v>
      </c>
      <c r="V86">
        <v>0</v>
      </c>
      <c r="W86">
        <v>0</v>
      </c>
      <c r="X86">
        <v>0</v>
      </c>
      <c r="Y86" s="6">
        <v>39.5</v>
      </c>
      <c r="Z86">
        <v>9.7000000000000003E-2</v>
      </c>
      <c r="AA86">
        <v>5.1999999999999998E-2</v>
      </c>
      <c r="AB86">
        <v>8.6999999999999994E-2</v>
      </c>
      <c r="AC86">
        <v>5</v>
      </c>
      <c r="AD86" s="6">
        <v>51</v>
      </c>
      <c r="AE86" s="6">
        <v>50</v>
      </c>
      <c r="AF86" s="6">
        <v>0</v>
      </c>
      <c r="AG86" s="6">
        <v>112.04</v>
      </c>
      <c r="AH86" s="6">
        <v>141.13999999999999</v>
      </c>
      <c r="AI86" s="6">
        <f t="shared" si="2"/>
        <v>29.09999999999998</v>
      </c>
      <c r="AJ86" s="5">
        <f t="shared" si="3"/>
        <v>0.20617826271786865</v>
      </c>
    </row>
    <row r="87" spans="1:36">
      <c r="A87" t="s">
        <v>296</v>
      </c>
      <c r="B87" t="s">
        <v>325</v>
      </c>
      <c r="C87" t="s">
        <v>52</v>
      </c>
      <c r="D87" t="s">
        <v>54</v>
      </c>
      <c r="E87" t="s">
        <v>55</v>
      </c>
      <c r="F87">
        <v>0</v>
      </c>
      <c r="G87">
        <v>1145</v>
      </c>
      <c r="H87">
        <v>1</v>
      </c>
      <c r="I87" t="s">
        <v>178</v>
      </c>
      <c r="J87">
        <v>4</v>
      </c>
      <c r="K87" s="6">
        <v>19.8</v>
      </c>
      <c r="L87" t="s">
        <v>174</v>
      </c>
      <c r="M87">
        <v>0</v>
      </c>
      <c r="N87" t="s">
        <v>182</v>
      </c>
      <c r="O87">
        <v>3</v>
      </c>
      <c r="P87">
        <v>0</v>
      </c>
      <c r="Q87" s="6">
        <v>77.2</v>
      </c>
      <c r="R87">
        <v>1</v>
      </c>
      <c r="S87" s="6">
        <v>2209</v>
      </c>
      <c r="T87">
        <v>0</v>
      </c>
      <c r="U87" s="6">
        <v>9039</v>
      </c>
      <c r="V87">
        <v>1</v>
      </c>
      <c r="W87">
        <v>0</v>
      </c>
      <c r="X87">
        <v>0</v>
      </c>
      <c r="Y87" s="6">
        <v>39.5</v>
      </c>
      <c r="Z87">
        <v>9.7000000000000003E-2</v>
      </c>
      <c r="AA87">
        <v>5.1999999999999998E-2</v>
      </c>
      <c r="AB87">
        <v>8.6999999999999994E-2</v>
      </c>
      <c r="AC87">
        <v>5</v>
      </c>
      <c r="AD87" s="6">
        <v>66</v>
      </c>
      <c r="AE87" s="6">
        <v>40</v>
      </c>
      <c r="AF87" s="6">
        <v>0</v>
      </c>
      <c r="AG87" s="6">
        <v>195.87</v>
      </c>
      <c r="AH87" s="6">
        <v>247.45</v>
      </c>
      <c r="AI87" s="6">
        <f t="shared" si="2"/>
        <v>51.579999999999984</v>
      </c>
      <c r="AJ87" s="5">
        <f t="shared" si="3"/>
        <v>0.20844615073752268</v>
      </c>
    </row>
    <row r="88" spans="1:36">
      <c r="A88" t="s">
        <v>233</v>
      </c>
      <c r="B88" t="s">
        <v>326</v>
      </c>
      <c r="C88" t="s">
        <v>52</v>
      </c>
      <c r="D88" t="s">
        <v>54</v>
      </c>
      <c r="E88" t="s">
        <v>55</v>
      </c>
      <c r="F88">
        <v>0</v>
      </c>
      <c r="G88">
        <v>1145</v>
      </c>
      <c r="H88">
        <v>1</v>
      </c>
      <c r="I88" t="s">
        <v>220</v>
      </c>
      <c r="J88">
        <v>2</v>
      </c>
      <c r="K88" s="6">
        <v>4.96</v>
      </c>
      <c r="L88" t="s">
        <v>174</v>
      </c>
      <c r="M88">
        <v>0</v>
      </c>
      <c r="N88" t="s">
        <v>187</v>
      </c>
      <c r="O88">
        <v>2</v>
      </c>
      <c r="P88">
        <v>0</v>
      </c>
      <c r="Q88" s="6">
        <v>50.7</v>
      </c>
      <c r="R88">
        <v>1</v>
      </c>
      <c r="S88" s="6">
        <v>1154</v>
      </c>
      <c r="T88">
        <v>0</v>
      </c>
      <c r="U88" s="6">
        <v>4260</v>
      </c>
      <c r="V88">
        <v>1</v>
      </c>
      <c r="W88">
        <v>0</v>
      </c>
      <c r="X88">
        <v>0</v>
      </c>
      <c r="Y88" s="6">
        <v>39.5</v>
      </c>
      <c r="Z88">
        <v>9.7000000000000003E-2</v>
      </c>
      <c r="AA88">
        <v>5.1999999999999998E-2</v>
      </c>
      <c r="AB88">
        <v>8.6999999999999994E-2</v>
      </c>
      <c r="AC88">
        <v>5</v>
      </c>
      <c r="AD88" s="6">
        <v>51</v>
      </c>
      <c r="AE88" s="6">
        <v>25</v>
      </c>
      <c r="AF88" s="6">
        <v>0</v>
      </c>
      <c r="AG88" s="6">
        <v>101.5</v>
      </c>
      <c r="AH88" s="6">
        <v>130.13</v>
      </c>
      <c r="AI88" s="6">
        <f t="shared" si="2"/>
        <v>28.629999999999995</v>
      </c>
      <c r="AJ88" s="5">
        <f t="shared" si="3"/>
        <v>0.2200107584722969</v>
      </c>
    </row>
    <row r="89" spans="1:36">
      <c r="A89" t="s">
        <v>296</v>
      </c>
      <c r="B89" t="s">
        <v>327</v>
      </c>
      <c r="C89" t="s">
        <v>52</v>
      </c>
      <c r="D89" t="s">
        <v>54</v>
      </c>
      <c r="E89" t="s">
        <v>55</v>
      </c>
      <c r="F89">
        <v>0</v>
      </c>
      <c r="G89">
        <v>1145</v>
      </c>
      <c r="H89">
        <v>1</v>
      </c>
      <c r="I89" t="s">
        <v>178</v>
      </c>
      <c r="J89">
        <v>4</v>
      </c>
      <c r="K89" s="6">
        <v>20.309999999999999</v>
      </c>
      <c r="L89" t="s">
        <v>174</v>
      </c>
      <c r="M89">
        <v>0</v>
      </c>
      <c r="N89" t="s">
        <v>182</v>
      </c>
      <c r="O89">
        <v>3</v>
      </c>
      <c r="P89">
        <v>0</v>
      </c>
      <c r="Q89" s="6">
        <v>85.9</v>
      </c>
      <c r="R89">
        <v>1</v>
      </c>
      <c r="S89" s="6">
        <v>2529</v>
      </c>
      <c r="T89">
        <v>0</v>
      </c>
      <c r="U89" s="6">
        <v>1396</v>
      </c>
      <c r="V89">
        <v>0</v>
      </c>
      <c r="W89">
        <v>0</v>
      </c>
      <c r="X89">
        <v>0</v>
      </c>
      <c r="Y89" s="6">
        <v>39.5</v>
      </c>
      <c r="Z89">
        <v>9.7000000000000003E-2</v>
      </c>
      <c r="AA89">
        <v>5.1999999999999998E-2</v>
      </c>
      <c r="AB89">
        <v>8.6999999999999994E-2</v>
      </c>
      <c r="AC89">
        <v>5</v>
      </c>
      <c r="AD89" s="6">
        <v>66</v>
      </c>
      <c r="AE89" s="6">
        <v>40</v>
      </c>
      <c r="AF89" s="6">
        <v>0</v>
      </c>
      <c r="AG89" s="6">
        <v>155.12</v>
      </c>
      <c r="AH89" s="6">
        <v>198.82</v>
      </c>
      <c r="AI89" s="6">
        <f t="shared" si="2"/>
        <v>43.699999999999989</v>
      </c>
      <c r="AJ89" s="5">
        <f t="shared" si="3"/>
        <v>0.21979680112664718</v>
      </c>
    </row>
    <row r="90" spans="1:36">
      <c r="A90" t="s">
        <v>328</v>
      </c>
      <c r="B90" t="s">
        <v>329</v>
      </c>
      <c r="C90" t="s">
        <v>52</v>
      </c>
      <c r="D90" t="s">
        <v>54</v>
      </c>
      <c r="E90" t="s">
        <v>55</v>
      </c>
      <c r="F90">
        <v>0</v>
      </c>
      <c r="G90">
        <v>1145</v>
      </c>
      <c r="H90">
        <v>1</v>
      </c>
      <c r="I90" t="s">
        <v>178</v>
      </c>
      <c r="J90">
        <v>4</v>
      </c>
      <c r="K90" s="6">
        <v>9.52</v>
      </c>
      <c r="L90" t="s">
        <v>174</v>
      </c>
      <c r="M90">
        <v>0</v>
      </c>
      <c r="N90" t="s">
        <v>175</v>
      </c>
      <c r="O90">
        <v>1</v>
      </c>
      <c r="P90">
        <v>0</v>
      </c>
      <c r="Q90" s="6">
        <v>44.5</v>
      </c>
      <c r="R90">
        <v>0</v>
      </c>
      <c r="S90" s="6">
        <v>0</v>
      </c>
      <c r="T90">
        <v>0</v>
      </c>
      <c r="U90" s="6">
        <v>2054</v>
      </c>
      <c r="V90">
        <v>0</v>
      </c>
      <c r="W90">
        <v>0</v>
      </c>
      <c r="X90">
        <v>0</v>
      </c>
      <c r="Y90" s="6">
        <v>39.5</v>
      </c>
      <c r="Z90">
        <v>9.7000000000000003E-2</v>
      </c>
      <c r="AA90">
        <v>5.1999999999999998E-2</v>
      </c>
      <c r="AB90">
        <v>8.6999999999999994E-2</v>
      </c>
      <c r="AC90">
        <v>5</v>
      </c>
      <c r="AD90" s="6">
        <v>66</v>
      </c>
      <c r="AE90" s="6">
        <v>0</v>
      </c>
      <c r="AF90" s="6">
        <v>0</v>
      </c>
      <c r="AG90" s="6">
        <v>109.9</v>
      </c>
      <c r="AH90" s="6">
        <v>140.63999999999999</v>
      </c>
      <c r="AI90" s="6">
        <f t="shared" si="2"/>
        <v>30.739999999999981</v>
      </c>
      <c r="AJ90" s="5">
        <f t="shared" si="3"/>
        <v>0.21857224118316257</v>
      </c>
    </row>
    <row r="91" spans="1:36">
      <c r="A91" t="s">
        <v>330</v>
      </c>
      <c r="B91" t="s">
        <v>331</v>
      </c>
      <c r="C91" t="s">
        <v>52</v>
      </c>
      <c r="D91" t="s">
        <v>54</v>
      </c>
      <c r="E91" t="s">
        <v>55</v>
      </c>
      <c r="F91">
        <v>0</v>
      </c>
      <c r="G91">
        <v>1145</v>
      </c>
      <c r="H91">
        <v>1</v>
      </c>
      <c r="I91" t="s">
        <v>178</v>
      </c>
      <c r="J91">
        <v>4</v>
      </c>
      <c r="K91" s="6">
        <v>14.7</v>
      </c>
      <c r="L91" t="s">
        <v>174</v>
      </c>
      <c r="M91">
        <v>0</v>
      </c>
      <c r="N91" t="s">
        <v>182</v>
      </c>
      <c r="O91">
        <v>3</v>
      </c>
      <c r="P91">
        <v>0</v>
      </c>
      <c r="Q91" s="6">
        <v>150.9</v>
      </c>
      <c r="R91">
        <v>0</v>
      </c>
      <c r="S91" s="6">
        <v>0</v>
      </c>
      <c r="T91">
        <v>0</v>
      </c>
      <c r="U91" s="6">
        <v>1691</v>
      </c>
      <c r="V91">
        <v>0</v>
      </c>
      <c r="W91">
        <v>0</v>
      </c>
      <c r="X91">
        <v>0</v>
      </c>
      <c r="Y91" s="6">
        <v>39.5</v>
      </c>
      <c r="Z91">
        <v>9.7000000000000003E-2</v>
      </c>
      <c r="AA91">
        <v>5.1999999999999998E-2</v>
      </c>
      <c r="AB91">
        <v>8.6999999999999994E-2</v>
      </c>
      <c r="AC91">
        <v>5</v>
      </c>
      <c r="AD91" s="6">
        <v>66</v>
      </c>
      <c r="AE91" s="6">
        <v>0</v>
      </c>
      <c r="AF91" s="6">
        <v>0</v>
      </c>
      <c r="AG91" s="6">
        <v>141.6</v>
      </c>
      <c r="AH91" s="6">
        <v>180.53</v>
      </c>
      <c r="AI91" s="6">
        <f t="shared" si="2"/>
        <v>38.930000000000007</v>
      </c>
      <c r="AJ91" s="5">
        <f t="shared" si="3"/>
        <v>0.21564282944662941</v>
      </c>
    </row>
    <row r="92" spans="1:36">
      <c r="A92" t="s">
        <v>253</v>
      </c>
      <c r="B92" t="s">
        <v>332</v>
      </c>
      <c r="C92" t="s">
        <v>52</v>
      </c>
      <c r="D92" t="s">
        <v>54</v>
      </c>
      <c r="E92" t="s">
        <v>55</v>
      </c>
      <c r="F92">
        <v>0</v>
      </c>
      <c r="G92">
        <v>1145</v>
      </c>
      <c r="H92">
        <v>1</v>
      </c>
      <c r="I92" t="s">
        <v>178</v>
      </c>
      <c r="J92">
        <v>4</v>
      </c>
      <c r="K92" s="6">
        <v>13.52</v>
      </c>
      <c r="L92" t="s">
        <v>174</v>
      </c>
      <c r="M92">
        <v>0</v>
      </c>
      <c r="N92" t="s">
        <v>187</v>
      </c>
      <c r="O92">
        <v>2</v>
      </c>
      <c r="P92">
        <v>1</v>
      </c>
      <c r="Q92" s="6">
        <v>72</v>
      </c>
      <c r="R92">
        <v>0</v>
      </c>
      <c r="S92" s="6">
        <v>0</v>
      </c>
      <c r="T92">
        <v>0</v>
      </c>
      <c r="U92" s="6">
        <v>4391</v>
      </c>
      <c r="V92">
        <v>0</v>
      </c>
      <c r="W92">
        <v>0</v>
      </c>
      <c r="X92">
        <v>0</v>
      </c>
      <c r="Y92" s="6">
        <v>39.5</v>
      </c>
      <c r="Z92">
        <v>9.7000000000000003E-2</v>
      </c>
      <c r="AA92">
        <v>5.1999999999999998E-2</v>
      </c>
      <c r="AB92">
        <v>8.6999999999999994E-2</v>
      </c>
      <c r="AC92">
        <v>5</v>
      </c>
      <c r="AD92" s="6">
        <v>66</v>
      </c>
      <c r="AE92" s="6">
        <v>0</v>
      </c>
      <c r="AF92" s="6">
        <v>0</v>
      </c>
      <c r="AG92" s="6">
        <v>154.02000000000001</v>
      </c>
      <c r="AH92" s="6">
        <v>193.69</v>
      </c>
      <c r="AI92" s="6">
        <f t="shared" si="2"/>
        <v>39.669999999999987</v>
      </c>
      <c r="AJ92" s="5">
        <f t="shared" si="3"/>
        <v>0.20481181269038148</v>
      </c>
    </row>
    <row r="93" spans="1:36">
      <c r="A93" t="s">
        <v>266</v>
      </c>
      <c r="B93" t="s">
        <v>333</v>
      </c>
      <c r="C93" t="s">
        <v>52</v>
      </c>
      <c r="D93" t="s">
        <v>54</v>
      </c>
      <c r="E93" t="s">
        <v>55</v>
      </c>
      <c r="F93">
        <v>0</v>
      </c>
      <c r="G93">
        <v>1145</v>
      </c>
      <c r="H93">
        <v>1</v>
      </c>
      <c r="I93" t="s">
        <v>178</v>
      </c>
      <c r="J93">
        <v>4</v>
      </c>
      <c r="K93" s="6">
        <v>12.89</v>
      </c>
      <c r="L93" t="s">
        <v>174</v>
      </c>
      <c r="M93">
        <v>0</v>
      </c>
      <c r="N93" t="s">
        <v>175</v>
      </c>
      <c r="O93">
        <v>1</v>
      </c>
      <c r="P93">
        <v>0</v>
      </c>
      <c r="Q93" s="6">
        <v>38.4</v>
      </c>
      <c r="R93">
        <v>1</v>
      </c>
      <c r="S93" s="6">
        <v>3487</v>
      </c>
      <c r="T93">
        <v>0</v>
      </c>
      <c r="U93" s="6">
        <v>3352</v>
      </c>
      <c r="V93">
        <v>0</v>
      </c>
      <c r="W93">
        <v>0</v>
      </c>
      <c r="X93">
        <v>0</v>
      </c>
      <c r="Y93" s="6">
        <v>39.5</v>
      </c>
      <c r="Z93">
        <v>9.7000000000000003E-2</v>
      </c>
      <c r="AA93">
        <v>5.1999999999999998E-2</v>
      </c>
      <c r="AB93">
        <v>8.6999999999999994E-2</v>
      </c>
      <c r="AC93">
        <v>5</v>
      </c>
      <c r="AD93" s="6">
        <v>66</v>
      </c>
      <c r="AE93" s="6">
        <v>40</v>
      </c>
      <c r="AF93" s="6">
        <v>0</v>
      </c>
      <c r="AG93" s="6">
        <v>124.34</v>
      </c>
      <c r="AH93" s="6">
        <v>158.83000000000001</v>
      </c>
      <c r="AI93" s="6">
        <f t="shared" si="2"/>
        <v>34.490000000000009</v>
      </c>
      <c r="AJ93" s="5">
        <f t="shared" si="3"/>
        <v>0.21715041239060634</v>
      </c>
    </row>
    <row r="94" spans="1:36">
      <c r="A94" t="s">
        <v>240</v>
      </c>
      <c r="B94" t="s">
        <v>334</v>
      </c>
      <c r="C94" t="s">
        <v>52</v>
      </c>
      <c r="D94" t="s">
        <v>54</v>
      </c>
      <c r="E94" t="s">
        <v>55</v>
      </c>
      <c r="F94">
        <v>0</v>
      </c>
      <c r="G94">
        <v>1145</v>
      </c>
      <c r="H94">
        <v>1</v>
      </c>
      <c r="I94" t="s">
        <v>181</v>
      </c>
      <c r="J94">
        <v>3</v>
      </c>
      <c r="K94" s="6">
        <v>9.33</v>
      </c>
      <c r="L94" t="s">
        <v>200</v>
      </c>
      <c r="M94">
        <v>1</v>
      </c>
      <c r="N94" t="s">
        <v>175</v>
      </c>
      <c r="O94">
        <v>1</v>
      </c>
      <c r="P94">
        <v>0</v>
      </c>
      <c r="Q94" s="6">
        <v>37.1</v>
      </c>
      <c r="R94">
        <v>0</v>
      </c>
      <c r="S94" s="6">
        <v>0</v>
      </c>
      <c r="T94">
        <v>0</v>
      </c>
      <c r="U94" s="6">
        <v>8799</v>
      </c>
      <c r="V94">
        <v>0</v>
      </c>
      <c r="W94">
        <v>0</v>
      </c>
      <c r="X94">
        <v>0</v>
      </c>
      <c r="Y94" s="6">
        <v>39.5</v>
      </c>
      <c r="Z94">
        <v>9.7000000000000003E-2</v>
      </c>
      <c r="AA94">
        <v>5.1999999999999998E-2</v>
      </c>
      <c r="AB94">
        <v>8.6999999999999994E-2</v>
      </c>
      <c r="AC94">
        <v>5</v>
      </c>
      <c r="AD94" s="6">
        <v>140</v>
      </c>
      <c r="AE94" s="6">
        <v>0</v>
      </c>
      <c r="AF94" s="6">
        <v>0</v>
      </c>
      <c r="AG94" s="6">
        <v>123.96</v>
      </c>
      <c r="AH94" s="6">
        <v>158.11000000000001</v>
      </c>
      <c r="AI94" s="6">
        <f t="shared" si="2"/>
        <v>34.15000000000002</v>
      </c>
      <c r="AJ94" s="5">
        <f t="shared" si="3"/>
        <v>0.2159888685092658</v>
      </c>
    </row>
    <row r="95" spans="1:36">
      <c r="A95" t="s">
        <v>300</v>
      </c>
      <c r="B95" t="s">
        <v>335</v>
      </c>
      <c r="C95" t="s">
        <v>56</v>
      </c>
      <c r="D95" t="s">
        <v>54</v>
      </c>
      <c r="E95" t="s">
        <v>55</v>
      </c>
      <c r="F95">
        <v>0</v>
      </c>
      <c r="G95">
        <v>6155</v>
      </c>
      <c r="H95">
        <v>1</v>
      </c>
      <c r="I95" t="s">
        <v>220</v>
      </c>
      <c r="J95">
        <v>2</v>
      </c>
      <c r="K95" s="6">
        <v>3.62</v>
      </c>
      <c r="L95" t="s">
        <v>200</v>
      </c>
      <c r="M95">
        <v>1</v>
      </c>
      <c r="N95" t="s">
        <v>187</v>
      </c>
      <c r="O95">
        <v>2</v>
      </c>
      <c r="P95">
        <v>0</v>
      </c>
      <c r="Q95" s="6">
        <v>52.9</v>
      </c>
      <c r="R95">
        <v>0</v>
      </c>
      <c r="S95" s="6">
        <v>0</v>
      </c>
      <c r="T95">
        <v>0</v>
      </c>
      <c r="U95" s="6">
        <v>3337</v>
      </c>
      <c r="V95">
        <v>0</v>
      </c>
      <c r="W95">
        <v>0</v>
      </c>
      <c r="X95">
        <v>0</v>
      </c>
      <c r="Y95" s="6">
        <v>45.7</v>
      </c>
      <c r="Z95">
        <v>6.5000000000000002E-2</v>
      </c>
      <c r="AA95">
        <v>5.8999999999999997E-2</v>
      </c>
      <c r="AB95">
        <v>0.11</v>
      </c>
      <c r="AC95">
        <v>6</v>
      </c>
      <c r="AD95" s="6">
        <v>119</v>
      </c>
      <c r="AE95" s="6">
        <v>0</v>
      </c>
      <c r="AF95" s="6">
        <v>0</v>
      </c>
      <c r="AG95" s="6">
        <v>87.19</v>
      </c>
      <c r="AH95" s="6">
        <v>121.39</v>
      </c>
      <c r="AI95" s="6">
        <f t="shared" si="2"/>
        <v>34.200000000000003</v>
      </c>
      <c r="AJ95" s="5">
        <f t="shared" si="3"/>
        <v>0.28173655161051159</v>
      </c>
    </row>
    <row r="96" spans="1:36">
      <c r="A96" t="s">
        <v>253</v>
      </c>
      <c r="B96" t="s">
        <v>336</v>
      </c>
      <c r="C96" t="s">
        <v>56</v>
      </c>
      <c r="D96" t="s">
        <v>54</v>
      </c>
      <c r="E96" t="s">
        <v>55</v>
      </c>
      <c r="F96">
        <v>0</v>
      </c>
      <c r="G96">
        <v>6155</v>
      </c>
      <c r="H96">
        <v>1</v>
      </c>
      <c r="I96" t="s">
        <v>220</v>
      </c>
      <c r="J96">
        <v>2</v>
      </c>
      <c r="K96" s="6">
        <v>4.3099999999999996</v>
      </c>
      <c r="L96" t="s">
        <v>174</v>
      </c>
      <c r="M96">
        <v>0</v>
      </c>
      <c r="N96" t="s">
        <v>187</v>
      </c>
      <c r="O96">
        <v>2</v>
      </c>
      <c r="P96">
        <v>0</v>
      </c>
      <c r="Q96" s="6">
        <v>35.5</v>
      </c>
      <c r="R96">
        <v>0</v>
      </c>
      <c r="S96" s="6">
        <v>0</v>
      </c>
      <c r="T96">
        <v>0</v>
      </c>
      <c r="U96" s="6">
        <v>1412</v>
      </c>
      <c r="V96">
        <v>0</v>
      </c>
      <c r="W96">
        <v>0</v>
      </c>
      <c r="X96">
        <v>0</v>
      </c>
      <c r="Y96" s="6">
        <v>45.7</v>
      </c>
      <c r="Z96">
        <v>6.5000000000000002E-2</v>
      </c>
      <c r="AA96">
        <v>5.8999999999999997E-2</v>
      </c>
      <c r="AB96">
        <v>0.11</v>
      </c>
      <c r="AC96">
        <v>6</v>
      </c>
      <c r="AD96" s="6">
        <v>50</v>
      </c>
      <c r="AE96" s="6">
        <v>0</v>
      </c>
      <c r="AF96" s="6">
        <v>0</v>
      </c>
      <c r="AG96" s="6">
        <v>61.54</v>
      </c>
      <c r="AH96" s="6">
        <v>77.38</v>
      </c>
      <c r="AI96" s="6">
        <f t="shared" si="2"/>
        <v>15.839999999999996</v>
      </c>
      <c r="AJ96" s="5">
        <f t="shared" si="3"/>
        <v>0.20470405789609714</v>
      </c>
    </row>
    <row r="97" spans="1:36">
      <c r="A97" t="s">
        <v>228</v>
      </c>
      <c r="B97" t="s">
        <v>337</v>
      </c>
      <c r="C97" t="s">
        <v>56</v>
      </c>
      <c r="D97" t="s">
        <v>54</v>
      </c>
      <c r="E97" t="s">
        <v>55</v>
      </c>
      <c r="F97">
        <v>0</v>
      </c>
      <c r="G97">
        <v>6155</v>
      </c>
      <c r="H97">
        <v>1</v>
      </c>
      <c r="I97" t="s">
        <v>173</v>
      </c>
      <c r="J97">
        <v>1</v>
      </c>
      <c r="K97" s="6">
        <v>2.6</v>
      </c>
      <c r="L97" t="s">
        <v>174</v>
      </c>
      <c r="M97">
        <v>0</v>
      </c>
      <c r="N97" t="s">
        <v>182</v>
      </c>
      <c r="O97">
        <v>3</v>
      </c>
      <c r="P97">
        <v>0</v>
      </c>
      <c r="Q97" s="6">
        <v>114.4</v>
      </c>
      <c r="R97">
        <v>0</v>
      </c>
      <c r="S97" s="6">
        <v>0</v>
      </c>
      <c r="T97">
        <v>0</v>
      </c>
      <c r="U97" s="6">
        <v>3126</v>
      </c>
      <c r="V97">
        <v>0</v>
      </c>
      <c r="W97">
        <v>0</v>
      </c>
      <c r="X97">
        <v>0</v>
      </c>
      <c r="Y97" s="6">
        <v>45.7</v>
      </c>
      <c r="Z97">
        <v>6.5000000000000002E-2</v>
      </c>
      <c r="AA97">
        <v>5.8999999999999997E-2</v>
      </c>
      <c r="AB97">
        <v>0.11</v>
      </c>
      <c r="AC97">
        <v>6</v>
      </c>
      <c r="AD97" s="6">
        <v>50</v>
      </c>
      <c r="AE97" s="6">
        <v>0</v>
      </c>
      <c r="AF97" s="6">
        <v>0</v>
      </c>
      <c r="AG97" s="6">
        <v>53.55</v>
      </c>
      <c r="AH97" s="6">
        <v>65.75</v>
      </c>
      <c r="AI97" s="6">
        <f t="shared" si="2"/>
        <v>12.200000000000003</v>
      </c>
      <c r="AJ97" s="5">
        <f t="shared" si="3"/>
        <v>0.18555133079847913</v>
      </c>
    </row>
    <row r="98" spans="1:36">
      <c r="A98" t="s">
        <v>338</v>
      </c>
      <c r="B98" t="s">
        <v>339</v>
      </c>
      <c r="C98" t="s">
        <v>56</v>
      </c>
      <c r="D98" t="s">
        <v>54</v>
      </c>
      <c r="E98" t="s">
        <v>55</v>
      </c>
      <c r="F98">
        <v>0</v>
      </c>
      <c r="G98">
        <v>6155</v>
      </c>
      <c r="H98">
        <v>1</v>
      </c>
      <c r="I98" t="s">
        <v>173</v>
      </c>
      <c r="J98">
        <v>1</v>
      </c>
      <c r="K98" s="6">
        <v>2.67</v>
      </c>
      <c r="L98" t="s">
        <v>174</v>
      </c>
      <c r="M98">
        <v>0</v>
      </c>
      <c r="N98" t="s">
        <v>182</v>
      </c>
      <c r="O98">
        <v>3</v>
      </c>
      <c r="P98">
        <v>1</v>
      </c>
      <c r="Q98" s="6">
        <v>99.9</v>
      </c>
      <c r="R98">
        <v>1</v>
      </c>
      <c r="S98" s="6">
        <v>4138</v>
      </c>
      <c r="T98">
        <v>0</v>
      </c>
      <c r="U98" s="6">
        <v>3709</v>
      </c>
      <c r="V98">
        <v>0</v>
      </c>
      <c r="W98">
        <v>0</v>
      </c>
      <c r="X98">
        <v>0</v>
      </c>
      <c r="Y98" s="6">
        <v>45.7</v>
      </c>
      <c r="Z98">
        <v>6.5000000000000002E-2</v>
      </c>
      <c r="AA98">
        <v>5.8999999999999997E-2</v>
      </c>
      <c r="AB98">
        <v>0.11</v>
      </c>
      <c r="AC98">
        <v>6</v>
      </c>
      <c r="AD98" s="6">
        <v>50</v>
      </c>
      <c r="AE98" s="6">
        <v>40</v>
      </c>
      <c r="AF98" s="6">
        <v>0</v>
      </c>
      <c r="AG98" s="6">
        <v>86.55</v>
      </c>
      <c r="AH98" s="6">
        <v>107.23</v>
      </c>
      <c r="AI98" s="6">
        <f t="shared" si="2"/>
        <v>20.680000000000007</v>
      </c>
      <c r="AJ98" s="5">
        <f t="shared" si="3"/>
        <v>0.19285647673225781</v>
      </c>
    </row>
    <row r="99" spans="1:36">
      <c r="A99" t="s">
        <v>303</v>
      </c>
      <c r="B99" t="s">
        <v>340</v>
      </c>
      <c r="C99" t="s">
        <v>56</v>
      </c>
      <c r="D99" t="s">
        <v>54</v>
      </c>
      <c r="E99" t="s">
        <v>55</v>
      </c>
      <c r="F99">
        <v>0</v>
      </c>
      <c r="G99">
        <v>6155</v>
      </c>
      <c r="H99">
        <v>1</v>
      </c>
      <c r="I99" t="s">
        <v>220</v>
      </c>
      <c r="J99">
        <v>2</v>
      </c>
      <c r="K99" s="6">
        <v>2.89</v>
      </c>
      <c r="L99" t="s">
        <v>174</v>
      </c>
      <c r="M99">
        <v>0</v>
      </c>
      <c r="N99" t="s">
        <v>175</v>
      </c>
      <c r="O99">
        <v>1</v>
      </c>
      <c r="P99">
        <v>0</v>
      </c>
      <c r="Q99" s="6">
        <v>20.5</v>
      </c>
      <c r="R99">
        <v>0</v>
      </c>
      <c r="S99" s="6">
        <v>0</v>
      </c>
      <c r="T99">
        <v>0</v>
      </c>
      <c r="U99" s="6">
        <v>2194</v>
      </c>
      <c r="V99">
        <v>0</v>
      </c>
      <c r="W99">
        <v>0</v>
      </c>
      <c r="X99">
        <v>0</v>
      </c>
      <c r="Y99" s="6">
        <v>45.7</v>
      </c>
      <c r="Z99">
        <v>6.5000000000000002E-2</v>
      </c>
      <c r="AA99">
        <v>5.8999999999999997E-2</v>
      </c>
      <c r="AB99">
        <v>0.11</v>
      </c>
      <c r="AC99">
        <v>6</v>
      </c>
      <c r="AD99" s="6">
        <v>50</v>
      </c>
      <c r="AE99" s="6">
        <v>0</v>
      </c>
      <c r="AF99" s="6">
        <v>0</v>
      </c>
      <c r="AG99" s="6">
        <v>56.84</v>
      </c>
      <c r="AH99" s="6">
        <v>69.319999999999993</v>
      </c>
      <c r="AI99" s="6">
        <f t="shared" si="2"/>
        <v>12.47999999999999</v>
      </c>
      <c r="AJ99" s="5">
        <f t="shared" si="3"/>
        <v>0.18003462204270038</v>
      </c>
    </row>
    <row r="100" spans="1:36">
      <c r="A100" t="s">
        <v>192</v>
      </c>
      <c r="B100" t="s">
        <v>341</v>
      </c>
      <c r="C100" t="s">
        <v>56</v>
      </c>
      <c r="D100" t="s">
        <v>54</v>
      </c>
      <c r="E100" t="s">
        <v>55</v>
      </c>
      <c r="F100">
        <v>0</v>
      </c>
      <c r="G100">
        <v>6155</v>
      </c>
      <c r="H100">
        <v>1</v>
      </c>
      <c r="I100" t="s">
        <v>220</v>
      </c>
      <c r="J100">
        <v>2</v>
      </c>
      <c r="K100" s="6">
        <v>3.6</v>
      </c>
      <c r="L100" t="s">
        <v>174</v>
      </c>
      <c r="M100">
        <v>0</v>
      </c>
      <c r="N100" t="s">
        <v>175</v>
      </c>
      <c r="O100">
        <v>1</v>
      </c>
      <c r="P100">
        <v>0</v>
      </c>
      <c r="Q100" s="6">
        <v>37</v>
      </c>
      <c r="R100">
        <v>0</v>
      </c>
      <c r="S100" s="6">
        <v>0</v>
      </c>
      <c r="T100">
        <v>0</v>
      </c>
      <c r="U100" s="6">
        <v>5070</v>
      </c>
      <c r="V100">
        <v>1</v>
      </c>
      <c r="W100">
        <v>0</v>
      </c>
      <c r="X100">
        <v>0</v>
      </c>
      <c r="Y100" s="6">
        <v>45.7</v>
      </c>
      <c r="Z100">
        <v>6.5000000000000002E-2</v>
      </c>
      <c r="AA100">
        <v>5.8999999999999997E-2</v>
      </c>
      <c r="AB100">
        <v>0.11</v>
      </c>
      <c r="AC100">
        <v>6</v>
      </c>
      <c r="AD100" s="6">
        <v>50</v>
      </c>
      <c r="AE100" s="6">
        <v>0</v>
      </c>
      <c r="AF100" s="6">
        <v>0</v>
      </c>
      <c r="AG100" s="6">
        <v>94.64</v>
      </c>
      <c r="AH100" s="6">
        <v>112.91</v>
      </c>
      <c r="AI100" s="6">
        <f t="shared" si="2"/>
        <v>18.269999999999996</v>
      </c>
      <c r="AJ100" s="5">
        <f t="shared" si="3"/>
        <v>0.16181029138251701</v>
      </c>
    </row>
    <row r="101" spans="1:36">
      <c r="A101" t="s">
        <v>192</v>
      </c>
      <c r="B101" t="s">
        <v>342</v>
      </c>
      <c r="C101" t="s">
        <v>56</v>
      </c>
      <c r="D101" t="s">
        <v>54</v>
      </c>
      <c r="E101" t="s">
        <v>55</v>
      </c>
      <c r="F101">
        <v>0</v>
      </c>
      <c r="G101">
        <v>6155</v>
      </c>
      <c r="H101">
        <v>1</v>
      </c>
      <c r="I101" t="s">
        <v>178</v>
      </c>
      <c r="J101">
        <v>4</v>
      </c>
      <c r="K101" s="6">
        <v>14.19</v>
      </c>
      <c r="L101" t="s">
        <v>174</v>
      </c>
      <c r="M101">
        <v>0</v>
      </c>
      <c r="N101" t="s">
        <v>175</v>
      </c>
      <c r="O101">
        <v>1</v>
      </c>
      <c r="P101">
        <v>0</v>
      </c>
      <c r="Q101" s="6">
        <v>28.8</v>
      </c>
      <c r="R101">
        <v>1</v>
      </c>
      <c r="S101" s="6">
        <v>1027</v>
      </c>
      <c r="T101">
        <v>0</v>
      </c>
      <c r="U101" s="6">
        <v>4610</v>
      </c>
      <c r="V101">
        <v>0</v>
      </c>
      <c r="W101">
        <v>1</v>
      </c>
      <c r="X101">
        <v>0</v>
      </c>
      <c r="Y101" s="6">
        <v>45.7</v>
      </c>
      <c r="Z101">
        <v>6.5000000000000002E-2</v>
      </c>
      <c r="AA101">
        <v>5.8999999999999997E-2</v>
      </c>
      <c r="AB101">
        <v>0.11</v>
      </c>
      <c r="AC101">
        <v>6</v>
      </c>
      <c r="AD101" s="6">
        <v>65</v>
      </c>
      <c r="AE101" s="6">
        <v>25</v>
      </c>
      <c r="AF101" s="6">
        <v>0</v>
      </c>
      <c r="AG101" s="6">
        <v>155.84</v>
      </c>
      <c r="AH101" s="6">
        <v>186.53</v>
      </c>
      <c r="AI101" s="6">
        <f t="shared" si="2"/>
        <v>30.689999999999998</v>
      </c>
      <c r="AJ101" s="5">
        <f t="shared" si="3"/>
        <v>0.16453117460998229</v>
      </c>
    </row>
    <row r="102" spans="1:36">
      <c r="A102" t="s">
        <v>343</v>
      </c>
      <c r="B102" t="s">
        <v>344</v>
      </c>
      <c r="C102" t="s">
        <v>56</v>
      </c>
      <c r="D102" t="s">
        <v>54</v>
      </c>
      <c r="E102" t="s">
        <v>55</v>
      </c>
      <c r="F102">
        <v>0</v>
      </c>
      <c r="G102">
        <v>6155</v>
      </c>
      <c r="H102">
        <v>1</v>
      </c>
      <c r="I102" t="s">
        <v>220</v>
      </c>
      <c r="J102">
        <v>2</v>
      </c>
      <c r="K102" s="6">
        <v>4.37</v>
      </c>
      <c r="L102" t="s">
        <v>200</v>
      </c>
      <c r="M102">
        <v>1</v>
      </c>
      <c r="N102" t="s">
        <v>182</v>
      </c>
      <c r="O102">
        <v>3</v>
      </c>
      <c r="P102">
        <v>0</v>
      </c>
      <c r="Q102" s="6">
        <v>87.4</v>
      </c>
      <c r="R102">
        <v>0</v>
      </c>
      <c r="S102" s="6">
        <v>0</v>
      </c>
      <c r="T102">
        <v>0</v>
      </c>
      <c r="U102" s="6">
        <v>2675</v>
      </c>
      <c r="V102">
        <v>0</v>
      </c>
      <c r="W102">
        <v>0</v>
      </c>
      <c r="X102">
        <v>0</v>
      </c>
      <c r="Y102" s="6">
        <v>45.7</v>
      </c>
      <c r="Z102">
        <v>6.5000000000000002E-2</v>
      </c>
      <c r="AA102">
        <v>5.8999999999999997E-2</v>
      </c>
      <c r="AB102">
        <v>0.11</v>
      </c>
      <c r="AC102">
        <v>6</v>
      </c>
      <c r="AD102" s="6">
        <v>119</v>
      </c>
      <c r="AE102" s="6">
        <v>0</v>
      </c>
      <c r="AF102" s="6">
        <v>0</v>
      </c>
      <c r="AG102" s="6">
        <v>100.98</v>
      </c>
      <c r="AH102" s="6">
        <v>122.57</v>
      </c>
      <c r="AI102" s="6">
        <f t="shared" si="2"/>
        <v>21.589999999999989</v>
      </c>
      <c r="AJ102" s="5">
        <f t="shared" si="3"/>
        <v>0.17614424410540908</v>
      </c>
    </row>
    <row r="103" spans="1:36">
      <c r="A103" t="s">
        <v>345</v>
      </c>
      <c r="B103" t="s">
        <v>346</v>
      </c>
      <c r="C103" t="s">
        <v>56</v>
      </c>
      <c r="D103" t="s">
        <v>54</v>
      </c>
      <c r="E103" t="s">
        <v>55</v>
      </c>
      <c r="F103">
        <v>0</v>
      </c>
      <c r="G103">
        <v>6155</v>
      </c>
      <c r="H103">
        <v>1</v>
      </c>
      <c r="I103" t="s">
        <v>220</v>
      </c>
      <c r="J103">
        <v>2</v>
      </c>
      <c r="K103" s="6">
        <v>3.68</v>
      </c>
      <c r="L103" t="s">
        <v>174</v>
      </c>
      <c r="M103">
        <v>0</v>
      </c>
      <c r="N103" t="s">
        <v>182</v>
      </c>
      <c r="O103">
        <v>3</v>
      </c>
      <c r="P103">
        <v>0</v>
      </c>
      <c r="Q103" s="6">
        <v>77.3</v>
      </c>
      <c r="R103">
        <v>0</v>
      </c>
      <c r="S103" s="6">
        <v>0</v>
      </c>
      <c r="T103">
        <v>0</v>
      </c>
      <c r="U103" s="6">
        <v>5332</v>
      </c>
      <c r="V103">
        <v>0</v>
      </c>
      <c r="W103">
        <v>0</v>
      </c>
      <c r="X103">
        <v>0</v>
      </c>
      <c r="Y103" s="6">
        <v>45.7</v>
      </c>
      <c r="Z103">
        <v>6.5000000000000002E-2</v>
      </c>
      <c r="AA103">
        <v>5.8999999999999997E-2</v>
      </c>
      <c r="AB103">
        <v>0.11</v>
      </c>
      <c r="AC103">
        <v>6</v>
      </c>
      <c r="AD103" s="6">
        <v>50</v>
      </c>
      <c r="AE103" s="6">
        <v>0</v>
      </c>
      <c r="AF103" s="6">
        <v>0</v>
      </c>
      <c r="AG103" s="6">
        <v>68.319999999999993</v>
      </c>
      <c r="AH103" s="6">
        <v>84.28</v>
      </c>
      <c r="AI103" s="6">
        <f t="shared" si="2"/>
        <v>15.960000000000008</v>
      </c>
      <c r="AJ103" s="5">
        <f t="shared" si="3"/>
        <v>0.1893687707641197</v>
      </c>
    </row>
    <row r="104" spans="1:36">
      <c r="A104" t="s">
        <v>253</v>
      </c>
      <c r="B104" t="s">
        <v>347</v>
      </c>
      <c r="C104" t="s">
        <v>56</v>
      </c>
      <c r="D104" t="s">
        <v>54</v>
      </c>
      <c r="E104" t="s">
        <v>55</v>
      </c>
      <c r="F104">
        <v>0</v>
      </c>
      <c r="G104">
        <v>6155</v>
      </c>
      <c r="H104">
        <v>1</v>
      </c>
      <c r="I104" t="s">
        <v>220</v>
      </c>
      <c r="J104">
        <v>2</v>
      </c>
      <c r="K104" s="6">
        <v>3.29</v>
      </c>
      <c r="L104" t="s">
        <v>174</v>
      </c>
      <c r="M104">
        <v>0</v>
      </c>
      <c r="N104" t="s">
        <v>175</v>
      </c>
      <c r="O104">
        <v>1</v>
      </c>
      <c r="P104">
        <v>0</v>
      </c>
      <c r="Q104" s="6">
        <v>39.4</v>
      </c>
      <c r="R104">
        <v>1</v>
      </c>
      <c r="S104" s="6">
        <v>2314</v>
      </c>
      <c r="T104">
        <v>0</v>
      </c>
      <c r="U104" s="6">
        <v>1823</v>
      </c>
      <c r="V104">
        <v>0</v>
      </c>
      <c r="W104">
        <v>0</v>
      </c>
      <c r="X104">
        <v>0</v>
      </c>
      <c r="Y104" s="6">
        <v>45.7</v>
      </c>
      <c r="Z104">
        <v>6.5000000000000002E-2</v>
      </c>
      <c r="AA104">
        <v>5.8999999999999997E-2</v>
      </c>
      <c r="AB104">
        <v>0.11</v>
      </c>
      <c r="AC104">
        <v>6</v>
      </c>
      <c r="AD104" s="6">
        <v>50</v>
      </c>
      <c r="AE104" s="6">
        <v>40</v>
      </c>
      <c r="AF104" s="6">
        <v>0</v>
      </c>
      <c r="AG104" s="6">
        <v>54.13</v>
      </c>
      <c r="AH104" s="6">
        <v>67.400000000000006</v>
      </c>
      <c r="AI104" s="6">
        <f t="shared" si="2"/>
        <v>13.270000000000003</v>
      </c>
      <c r="AJ104" s="5">
        <f t="shared" si="3"/>
        <v>0.19688427299703268</v>
      </c>
    </row>
    <row r="105" spans="1:36">
      <c r="A105" t="s">
        <v>348</v>
      </c>
      <c r="B105" t="s">
        <v>349</v>
      </c>
      <c r="C105" t="s">
        <v>56</v>
      </c>
      <c r="D105" t="s">
        <v>54</v>
      </c>
      <c r="E105" t="s">
        <v>55</v>
      </c>
      <c r="F105">
        <v>0</v>
      </c>
      <c r="G105">
        <v>6155</v>
      </c>
      <c r="H105">
        <v>1</v>
      </c>
      <c r="I105" t="s">
        <v>220</v>
      </c>
      <c r="J105">
        <v>2</v>
      </c>
      <c r="K105" s="6">
        <v>5.03</v>
      </c>
      <c r="L105" t="s">
        <v>174</v>
      </c>
      <c r="M105">
        <v>0</v>
      </c>
      <c r="N105" t="s">
        <v>175</v>
      </c>
      <c r="O105">
        <v>1</v>
      </c>
      <c r="P105">
        <v>0</v>
      </c>
      <c r="Q105" s="6">
        <v>34.6</v>
      </c>
      <c r="R105">
        <v>1</v>
      </c>
      <c r="S105" s="6">
        <v>2105</v>
      </c>
      <c r="T105">
        <v>0</v>
      </c>
      <c r="U105" s="6">
        <v>4289</v>
      </c>
      <c r="V105">
        <v>0</v>
      </c>
      <c r="W105">
        <v>0</v>
      </c>
      <c r="X105">
        <v>1</v>
      </c>
      <c r="Y105" s="6">
        <v>45.7</v>
      </c>
      <c r="Z105">
        <v>6.5000000000000002E-2</v>
      </c>
      <c r="AA105">
        <v>5.8999999999999997E-2</v>
      </c>
      <c r="AB105">
        <v>0.11</v>
      </c>
      <c r="AC105">
        <v>6</v>
      </c>
      <c r="AD105" s="6">
        <v>50</v>
      </c>
      <c r="AE105" s="6">
        <v>40</v>
      </c>
      <c r="AF105" s="6">
        <v>0</v>
      </c>
      <c r="AG105" s="6">
        <v>50.81</v>
      </c>
      <c r="AH105" s="6">
        <v>61.57</v>
      </c>
      <c r="AI105" s="6">
        <f t="shared" si="2"/>
        <v>10.759999999999998</v>
      </c>
      <c r="AJ105" s="5">
        <f t="shared" si="3"/>
        <v>0.17476043527692053</v>
      </c>
    </row>
    <row r="106" spans="1:36">
      <c r="A106" t="s">
        <v>350</v>
      </c>
      <c r="B106" t="s">
        <v>351</v>
      </c>
      <c r="C106" t="s">
        <v>56</v>
      </c>
      <c r="D106" t="s">
        <v>54</v>
      </c>
      <c r="E106" t="s">
        <v>55</v>
      </c>
      <c r="F106">
        <v>0</v>
      </c>
      <c r="G106">
        <v>6155</v>
      </c>
      <c r="H106">
        <v>1</v>
      </c>
      <c r="I106" t="s">
        <v>220</v>
      </c>
      <c r="J106">
        <v>2</v>
      </c>
      <c r="K106" s="6">
        <v>5.41</v>
      </c>
      <c r="L106" t="s">
        <v>174</v>
      </c>
      <c r="M106">
        <v>0</v>
      </c>
      <c r="N106" t="s">
        <v>182</v>
      </c>
      <c r="O106">
        <v>3</v>
      </c>
      <c r="P106">
        <v>0</v>
      </c>
      <c r="Q106" s="6">
        <v>60.4</v>
      </c>
      <c r="R106">
        <v>0</v>
      </c>
      <c r="S106" s="6">
        <v>0</v>
      </c>
      <c r="T106">
        <v>0</v>
      </c>
      <c r="U106" s="6">
        <v>4149</v>
      </c>
      <c r="V106">
        <v>0</v>
      </c>
      <c r="W106">
        <v>0</v>
      </c>
      <c r="X106">
        <v>0</v>
      </c>
      <c r="Y106" s="6">
        <v>45.7</v>
      </c>
      <c r="Z106">
        <v>6.5000000000000002E-2</v>
      </c>
      <c r="AA106">
        <v>5.8999999999999997E-2</v>
      </c>
      <c r="AB106">
        <v>0.11</v>
      </c>
      <c r="AC106">
        <v>6</v>
      </c>
      <c r="AD106" s="6">
        <v>50</v>
      </c>
      <c r="AE106" s="6">
        <v>0</v>
      </c>
      <c r="AF106" s="6">
        <v>0</v>
      </c>
      <c r="AG106" s="6">
        <v>63.98</v>
      </c>
      <c r="AH106" s="6">
        <v>77.5</v>
      </c>
      <c r="AI106" s="6">
        <f t="shared" si="2"/>
        <v>13.520000000000003</v>
      </c>
      <c r="AJ106" s="5">
        <f t="shared" si="3"/>
        <v>0.17445161290322583</v>
      </c>
    </row>
    <row r="107" spans="1:36">
      <c r="A107" t="s">
        <v>238</v>
      </c>
      <c r="B107" t="s">
        <v>352</v>
      </c>
      <c r="C107" t="s">
        <v>56</v>
      </c>
      <c r="D107" t="s">
        <v>54</v>
      </c>
      <c r="E107" t="s">
        <v>55</v>
      </c>
      <c r="F107">
        <v>0</v>
      </c>
      <c r="G107">
        <v>6155</v>
      </c>
      <c r="H107">
        <v>1</v>
      </c>
      <c r="I107" t="s">
        <v>220</v>
      </c>
      <c r="J107">
        <v>2</v>
      </c>
      <c r="K107" s="6">
        <v>6.39</v>
      </c>
      <c r="L107" t="s">
        <v>200</v>
      </c>
      <c r="M107">
        <v>1</v>
      </c>
      <c r="N107" t="s">
        <v>217</v>
      </c>
      <c r="O107">
        <v>4</v>
      </c>
      <c r="P107">
        <v>1</v>
      </c>
      <c r="Q107" s="6">
        <v>98.6</v>
      </c>
      <c r="R107">
        <v>0</v>
      </c>
      <c r="S107" s="6">
        <v>0</v>
      </c>
      <c r="T107">
        <v>0</v>
      </c>
      <c r="U107" s="6">
        <v>4514</v>
      </c>
      <c r="V107">
        <v>1</v>
      </c>
      <c r="W107">
        <v>0</v>
      </c>
      <c r="X107">
        <v>0</v>
      </c>
      <c r="Y107" s="6">
        <v>45.7</v>
      </c>
      <c r="Z107">
        <v>6.5000000000000002E-2</v>
      </c>
      <c r="AA107">
        <v>5.8999999999999997E-2</v>
      </c>
      <c r="AB107">
        <v>0.11</v>
      </c>
      <c r="AC107">
        <v>6</v>
      </c>
      <c r="AD107" s="6">
        <v>119</v>
      </c>
      <c r="AE107" s="6">
        <v>0</v>
      </c>
      <c r="AF107" s="6">
        <v>0</v>
      </c>
      <c r="AG107" s="6">
        <v>205.68</v>
      </c>
      <c r="AH107" s="6">
        <v>247.4</v>
      </c>
      <c r="AI107" s="6">
        <f t="shared" si="2"/>
        <v>41.72</v>
      </c>
      <c r="AJ107" s="5">
        <f t="shared" si="3"/>
        <v>0.16863379143088117</v>
      </c>
    </row>
    <row r="108" spans="1:36">
      <c r="A108" t="s">
        <v>353</v>
      </c>
      <c r="B108" t="s">
        <v>354</v>
      </c>
      <c r="C108" t="s">
        <v>56</v>
      </c>
      <c r="D108" t="s">
        <v>54</v>
      </c>
      <c r="E108" t="s">
        <v>55</v>
      </c>
      <c r="F108">
        <v>0</v>
      </c>
      <c r="G108">
        <v>6155</v>
      </c>
      <c r="H108">
        <v>1</v>
      </c>
      <c r="I108" t="s">
        <v>220</v>
      </c>
      <c r="J108">
        <v>2</v>
      </c>
      <c r="K108" s="6">
        <v>2.5</v>
      </c>
      <c r="L108" t="s">
        <v>174</v>
      </c>
      <c r="M108">
        <v>0</v>
      </c>
      <c r="N108" t="s">
        <v>217</v>
      </c>
      <c r="O108">
        <v>4</v>
      </c>
      <c r="P108">
        <v>1</v>
      </c>
      <c r="Q108" s="6">
        <v>206.5</v>
      </c>
      <c r="R108">
        <v>0</v>
      </c>
      <c r="S108" s="6">
        <v>0</v>
      </c>
      <c r="T108">
        <v>0</v>
      </c>
      <c r="U108" s="6">
        <v>2694</v>
      </c>
      <c r="V108">
        <v>0</v>
      </c>
      <c r="W108">
        <v>0</v>
      </c>
      <c r="X108">
        <v>1</v>
      </c>
      <c r="Y108" s="6">
        <v>45.7</v>
      </c>
      <c r="Z108">
        <v>6.5000000000000002E-2</v>
      </c>
      <c r="AA108">
        <v>5.8999999999999997E-2</v>
      </c>
      <c r="AB108">
        <v>0.11</v>
      </c>
      <c r="AC108">
        <v>6</v>
      </c>
      <c r="AD108" s="6">
        <v>50</v>
      </c>
      <c r="AE108" s="6">
        <v>0</v>
      </c>
      <c r="AF108" s="6">
        <v>0</v>
      </c>
      <c r="AG108" s="6">
        <v>104.8</v>
      </c>
      <c r="AH108" s="6">
        <v>125.5</v>
      </c>
      <c r="AI108" s="6">
        <f t="shared" si="2"/>
        <v>20.700000000000003</v>
      </c>
      <c r="AJ108" s="5">
        <f t="shared" si="3"/>
        <v>0.16494023904382471</v>
      </c>
    </row>
    <row r="109" spans="1:36">
      <c r="A109" t="s">
        <v>355</v>
      </c>
      <c r="B109" t="s">
        <v>356</v>
      </c>
      <c r="C109" t="s">
        <v>56</v>
      </c>
      <c r="D109" t="s">
        <v>54</v>
      </c>
      <c r="E109" t="s">
        <v>55</v>
      </c>
      <c r="F109">
        <v>0</v>
      </c>
      <c r="G109">
        <v>6155</v>
      </c>
      <c r="H109">
        <v>1</v>
      </c>
      <c r="I109" t="s">
        <v>178</v>
      </c>
      <c r="J109">
        <v>4</v>
      </c>
      <c r="K109" s="6">
        <v>19.760000000000002</v>
      </c>
      <c r="L109" t="s">
        <v>174</v>
      </c>
      <c r="M109">
        <v>0</v>
      </c>
      <c r="N109" t="s">
        <v>187</v>
      </c>
      <c r="O109">
        <v>2</v>
      </c>
      <c r="P109">
        <v>0</v>
      </c>
      <c r="Q109" s="6">
        <v>45.9</v>
      </c>
      <c r="R109">
        <v>0</v>
      </c>
      <c r="S109" s="6">
        <v>0</v>
      </c>
      <c r="T109">
        <v>0</v>
      </c>
      <c r="U109" s="6">
        <v>5624</v>
      </c>
      <c r="V109">
        <v>0</v>
      </c>
      <c r="W109">
        <v>0</v>
      </c>
      <c r="X109">
        <v>0</v>
      </c>
      <c r="Y109" s="6">
        <v>45.7</v>
      </c>
      <c r="Z109">
        <v>6.5000000000000002E-2</v>
      </c>
      <c r="AA109">
        <v>5.8999999999999997E-2</v>
      </c>
      <c r="AB109">
        <v>0.11</v>
      </c>
      <c r="AC109">
        <v>6</v>
      </c>
      <c r="AD109" s="6">
        <v>65</v>
      </c>
      <c r="AE109" s="6">
        <v>0</v>
      </c>
      <c r="AF109" s="6">
        <v>0</v>
      </c>
      <c r="AG109" s="6">
        <v>137.61000000000001</v>
      </c>
      <c r="AH109" s="6">
        <v>168.41</v>
      </c>
      <c r="AI109" s="6">
        <f t="shared" si="2"/>
        <v>30.799999999999983</v>
      </c>
      <c r="AJ109" s="5">
        <f t="shared" si="3"/>
        <v>0.1828870019595035</v>
      </c>
    </row>
    <row r="110" spans="1:36">
      <c r="A110" t="s">
        <v>330</v>
      </c>
      <c r="B110" t="s">
        <v>357</v>
      </c>
      <c r="C110" t="s">
        <v>56</v>
      </c>
      <c r="D110" t="s">
        <v>54</v>
      </c>
      <c r="E110" t="s">
        <v>55</v>
      </c>
      <c r="F110">
        <v>0</v>
      </c>
      <c r="G110">
        <v>6155</v>
      </c>
      <c r="H110">
        <v>1</v>
      </c>
      <c r="I110" t="s">
        <v>220</v>
      </c>
      <c r="J110">
        <v>2</v>
      </c>
      <c r="K110" s="6">
        <v>4.41</v>
      </c>
      <c r="L110" t="s">
        <v>174</v>
      </c>
      <c r="M110">
        <v>0</v>
      </c>
      <c r="N110" t="s">
        <v>175</v>
      </c>
      <c r="O110">
        <v>1</v>
      </c>
      <c r="P110">
        <v>0</v>
      </c>
      <c r="Q110" s="6">
        <v>33.700000000000003</v>
      </c>
      <c r="R110">
        <v>0</v>
      </c>
      <c r="S110" s="6">
        <v>0</v>
      </c>
      <c r="T110">
        <v>0</v>
      </c>
      <c r="U110" s="6">
        <v>3483</v>
      </c>
      <c r="V110">
        <v>0</v>
      </c>
      <c r="W110">
        <v>0</v>
      </c>
      <c r="X110">
        <v>0</v>
      </c>
      <c r="Y110" s="6">
        <v>45.7</v>
      </c>
      <c r="Z110">
        <v>6.5000000000000002E-2</v>
      </c>
      <c r="AA110">
        <v>5.8999999999999997E-2</v>
      </c>
      <c r="AB110">
        <v>0.11</v>
      </c>
      <c r="AC110">
        <v>6</v>
      </c>
      <c r="AD110" s="6">
        <v>50</v>
      </c>
      <c r="AE110" s="6">
        <v>0</v>
      </c>
      <c r="AF110" s="6">
        <v>0</v>
      </c>
      <c r="AG110" s="6">
        <v>46.88</v>
      </c>
      <c r="AH110" s="6">
        <v>58.97</v>
      </c>
      <c r="AI110" s="6">
        <f t="shared" si="2"/>
        <v>12.089999999999996</v>
      </c>
      <c r="AJ110" s="5">
        <f t="shared" si="3"/>
        <v>0.20501950144141082</v>
      </c>
    </row>
    <row r="111" spans="1:36">
      <c r="A111" t="s">
        <v>233</v>
      </c>
      <c r="B111" t="s">
        <v>358</v>
      </c>
      <c r="C111" t="s">
        <v>56</v>
      </c>
      <c r="D111" t="s">
        <v>54</v>
      </c>
      <c r="E111" t="s">
        <v>55</v>
      </c>
      <c r="F111">
        <v>0</v>
      </c>
      <c r="G111">
        <v>6155</v>
      </c>
      <c r="H111">
        <v>1</v>
      </c>
      <c r="I111" t="s">
        <v>220</v>
      </c>
      <c r="J111">
        <v>2</v>
      </c>
      <c r="K111" s="6">
        <v>2.38</v>
      </c>
      <c r="L111" t="s">
        <v>174</v>
      </c>
      <c r="M111">
        <v>0</v>
      </c>
      <c r="N111" t="s">
        <v>187</v>
      </c>
      <c r="O111">
        <v>2</v>
      </c>
      <c r="P111">
        <v>0</v>
      </c>
      <c r="Q111" s="6">
        <v>48.9</v>
      </c>
      <c r="R111">
        <v>0</v>
      </c>
      <c r="S111" s="6">
        <v>0</v>
      </c>
      <c r="T111">
        <v>0</v>
      </c>
      <c r="U111" s="6">
        <v>3285</v>
      </c>
      <c r="V111">
        <v>0</v>
      </c>
      <c r="W111">
        <v>0</v>
      </c>
      <c r="X111">
        <v>0</v>
      </c>
      <c r="Y111" s="6">
        <v>45.7</v>
      </c>
      <c r="Z111">
        <v>6.5000000000000002E-2</v>
      </c>
      <c r="AA111">
        <v>5.8999999999999997E-2</v>
      </c>
      <c r="AB111">
        <v>0.11</v>
      </c>
      <c r="AC111">
        <v>6</v>
      </c>
      <c r="AD111" s="6">
        <v>50</v>
      </c>
      <c r="AE111" s="6">
        <v>0</v>
      </c>
      <c r="AF111" s="6">
        <v>0</v>
      </c>
      <c r="AG111" s="6">
        <v>58.8</v>
      </c>
      <c r="AH111" s="6">
        <v>71.790000000000006</v>
      </c>
      <c r="AI111" s="6">
        <f t="shared" si="2"/>
        <v>12.990000000000009</v>
      </c>
      <c r="AJ111" s="5">
        <f t="shared" si="3"/>
        <v>0.18094442122858348</v>
      </c>
    </row>
    <row r="112" spans="1:36">
      <c r="A112" t="s">
        <v>258</v>
      </c>
      <c r="B112" t="s">
        <v>359</v>
      </c>
      <c r="C112" t="s">
        <v>56</v>
      </c>
      <c r="D112" t="s">
        <v>54</v>
      </c>
      <c r="E112" t="s">
        <v>55</v>
      </c>
      <c r="F112">
        <v>0</v>
      </c>
      <c r="G112">
        <v>6155</v>
      </c>
      <c r="H112">
        <v>1</v>
      </c>
      <c r="I112" t="s">
        <v>220</v>
      </c>
      <c r="J112">
        <v>2</v>
      </c>
      <c r="K112" s="6">
        <v>6.45</v>
      </c>
      <c r="L112" t="s">
        <v>174</v>
      </c>
      <c r="M112">
        <v>0</v>
      </c>
      <c r="N112" t="s">
        <v>187</v>
      </c>
      <c r="O112">
        <v>2</v>
      </c>
      <c r="P112">
        <v>1</v>
      </c>
      <c r="Q112" s="6">
        <v>57.1</v>
      </c>
      <c r="R112">
        <v>0</v>
      </c>
      <c r="S112" s="6">
        <v>0</v>
      </c>
      <c r="T112">
        <v>0</v>
      </c>
      <c r="U112" s="6">
        <v>5014</v>
      </c>
      <c r="V112">
        <v>0</v>
      </c>
      <c r="W112">
        <v>0</v>
      </c>
      <c r="X112">
        <v>0</v>
      </c>
      <c r="Y112" s="6">
        <v>45.7</v>
      </c>
      <c r="Z112">
        <v>6.5000000000000002E-2</v>
      </c>
      <c r="AA112">
        <v>5.8999999999999997E-2</v>
      </c>
      <c r="AB112">
        <v>0.11</v>
      </c>
      <c r="AC112">
        <v>6</v>
      </c>
      <c r="AD112" s="6">
        <v>50</v>
      </c>
      <c r="AE112" s="6">
        <v>0</v>
      </c>
      <c r="AF112" s="6">
        <v>0</v>
      </c>
      <c r="AG112" s="6">
        <v>81.02</v>
      </c>
      <c r="AH112" s="6">
        <v>101.09</v>
      </c>
      <c r="AI112" s="6">
        <f t="shared" si="2"/>
        <v>20.070000000000007</v>
      </c>
      <c r="AJ112" s="5">
        <f t="shared" si="3"/>
        <v>0.19853595805717683</v>
      </c>
    </row>
    <row r="113" spans="1:36">
      <c r="A113" t="s">
        <v>360</v>
      </c>
      <c r="B113" t="s">
        <v>361</v>
      </c>
      <c r="C113" t="s">
        <v>56</v>
      </c>
      <c r="D113" t="s">
        <v>54</v>
      </c>
      <c r="E113" t="s">
        <v>55</v>
      </c>
      <c r="F113">
        <v>0</v>
      </c>
      <c r="G113">
        <v>6155</v>
      </c>
      <c r="H113">
        <v>1</v>
      </c>
      <c r="I113" t="s">
        <v>220</v>
      </c>
      <c r="J113">
        <v>2</v>
      </c>
      <c r="K113" s="6">
        <v>1.79</v>
      </c>
      <c r="L113" t="s">
        <v>174</v>
      </c>
      <c r="M113">
        <v>0</v>
      </c>
      <c r="N113" t="s">
        <v>187</v>
      </c>
      <c r="O113">
        <v>2</v>
      </c>
      <c r="P113">
        <v>0</v>
      </c>
      <c r="Q113" s="6">
        <v>71.3</v>
      </c>
      <c r="R113">
        <v>1</v>
      </c>
      <c r="S113" s="6">
        <v>3416</v>
      </c>
      <c r="T113">
        <v>0</v>
      </c>
      <c r="U113" s="6">
        <v>2551</v>
      </c>
      <c r="V113">
        <v>0</v>
      </c>
      <c r="W113">
        <v>0</v>
      </c>
      <c r="X113">
        <v>0</v>
      </c>
      <c r="Y113" s="6">
        <v>45.7</v>
      </c>
      <c r="Z113">
        <v>6.5000000000000002E-2</v>
      </c>
      <c r="AA113">
        <v>5.8999999999999997E-2</v>
      </c>
      <c r="AB113">
        <v>0.11</v>
      </c>
      <c r="AC113">
        <v>6</v>
      </c>
      <c r="AD113" s="6">
        <v>50</v>
      </c>
      <c r="AE113" s="6">
        <v>40</v>
      </c>
      <c r="AF113" s="6">
        <v>0</v>
      </c>
      <c r="AG113" s="6">
        <v>67.97</v>
      </c>
      <c r="AH113" s="6">
        <v>83.62</v>
      </c>
      <c r="AI113" s="6">
        <f t="shared" si="2"/>
        <v>15.650000000000006</v>
      </c>
      <c r="AJ113" s="5">
        <f t="shared" si="3"/>
        <v>0.18715618273140402</v>
      </c>
    </row>
    <row r="114" spans="1:36">
      <c r="A114" t="s">
        <v>362</v>
      </c>
      <c r="B114" t="s">
        <v>363</v>
      </c>
      <c r="C114" t="s">
        <v>56</v>
      </c>
      <c r="D114" t="s">
        <v>54</v>
      </c>
      <c r="E114" t="s">
        <v>55</v>
      </c>
      <c r="F114">
        <v>0</v>
      </c>
      <c r="G114">
        <v>6155</v>
      </c>
      <c r="H114">
        <v>1</v>
      </c>
      <c r="I114" t="s">
        <v>220</v>
      </c>
      <c r="J114">
        <v>2</v>
      </c>
      <c r="K114" s="6">
        <v>4.83</v>
      </c>
      <c r="L114" t="s">
        <v>174</v>
      </c>
      <c r="M114">
        <v>0</v>
      </c>
      <c r="N114" t="s">
        <v>182</v>
      </c>
      <c r="O114">
        <v>3</v>
      </c>
      <c r="P114">
        <v>0</v>
      </c>
      <c r="Q114" s="6">
        <v>139.19999999999999</v>
      </c>
      <c r="R114">
        <v>1</v>
      </c>
      <c r="S114" s="6">
        <v>793</v>
      </c>
      <c r="T114">
        <v>0</v>
      </c>
      <c r="U114" s="6">
        <v>4589</v>
      </c>
      <c r="V114">
        <v>0</v>
      </c>
      <c r="W114">
        <v>0</v>
      </c>
      <c r="X114">
        <v>0</v>
      </c>
      <c r="Y114" s="6">
        <v>45.7</v>
      </c>
      <c r="Z114">
        <v>6.5000000000000002E-2</v>
      </c>
      <c r="AA114">
        <v>5.8999999999999997E-2</v>
      </c>
      <c r="AB114">
        <v>0.11</v>
      </c>
      <c r="AC114">
        <v>6</v>
      </c>
      <c r="AD114" s="6">
        <v>50</v>
      </c>
      <c r="AE114" s="6">
        <v>25</v>
      </c>
      <c r="AF114" s="6">
        <v>0</v>
      </c>
      <c r="AG114" s="6">
        <v>68.87</v>
      </c>
      <c r="AH114" s="6">
        <v>83.9</v>
      </c>
      <c r="AI114" s="6">
        <f t="shared" si="2"/>
        <v>15.030000000000001</v>
      </c>
      <c r="AJ114" s="5">
        <f t="shared" si="3"/>
        <v>0.17914183551847437</v>
      </c>
    </row>
    <row r="115" spans="1:36">
      <c r="A115" t="s">
        <v>338</v>
      </c>
      <c r="B115" t="s">
        <v>364</v>
      </c>
      <c r="C115" t="s">
        <v>56</v>
      </c>
      <c r="D115" t="s">
        <v>54</v>
      </c>
      <c r="E115" t="s">
        <v>55</v>
      </c>
      <c r="F115">
        <v>0</v>
      </c>
      <c r="G115">
        <v>6155</v>
      </c>
      <c r="H115">
        <v>1</v>
      </c>
      <c r="I115" t="s">
        <v>173</v>
      </c>
      <c r="J115">
        <v>1</v>
      </c>
      <c r="K115" s="6">
        <v>1.69</v>
      </c>
      <c r="L115" t="s">
        <v>174</v>
      </c>
      <c r="M115">
        <v>0</v>
      </c>
      <c r="N115" t="s">
        <v>272</v>
      </c>
      <c r="O115">
        <v>5</v>
      </c>
      <c r="P115">
        <v>1</v>
      </c>
      <c r="Q115" s="6">
        <v>268.8</v>
      </c>
      <c r="R115">
        <v>1</v>
      </c>
      <c r="S115" s="6">
        <v>1824</v>
      </c>
      <c r="T115">
        <v>0</v>
      </c>
      <c r="U115" s="6">
        <v>3574</v>
      </c>
      <c r="V115">
        <v>0</v>
      </c>
      <c r="W115">
        <v>0</v>
      </c>
      <c r="X115">
        <v>0</v>
      </c>
      <c r="Y115" s="6">
        <v>45.7</v>
      </c>
      <c r="Z115">
        <v>6.5000000000000002E-2</v>
      </c>
      <c r="AA115">
        <v>5.8999999999999997E-2</v>
      </c>
      <c r="AB115">
        <v>0.11</v>
      </c>
      <c r="AC115">
        <v>6</v>
      </c>
      <c r="AD115" s="6">
        <v>50</v>
      </c>
      <c r="AE115" s="6">
        <v>25</v>
      </c>
      <c r="AF115" s="6">
        <v>0</v>
      </c>
      <c r="AG115" s="6">
        <v>150.61000000000001</v>
      </c>
      <c r="AH115" s="6">
        <v>179.64</v>
      </c>
      <c r="AI115" s="6">
        <f t="shared" si="2"/>
        <v>29.029999999999973</v>
      </c>
      <c r="AJ115" s="5">
        <f t="shared" si="3"/>
        <v>0.16160097973725215</v>
      </c>
    </row>
    <row r="116" spans="1:36">
      <c r="A116" t="s">
        <v>365</v>
      </c>
      <c r="B116" t="s">
        <v>366</v>
      </c>
      <c r="C116" t="s">
        <v>56</v>
      </c>
      <c r="D116" t="s">
        <v>54</v>
      </c>
      <c r="E116" t="s">
        <v>55</v>
      </c>
      <c r="F116">
        <v>0</v>
      </c>
      <c r="G116">
        <v>6155</v>
      </c>
      <c r="H116">
        <v>1</v>
      </c>
      <c r="I116" t="s">
        <v>220</v>
      </c>
      <c r="J116">
        <v>2</v>
      </c>
      <c r="K116" s="6">
        <v>2.98</v>
      </c>
      <c r="L116" t="s">
        <v>174</v>
      </c>
      <c r="M116">
        <v>0</v>
      </c>
      <c r="N116" t="s">
        <v>175</v>
      </c>
      <c r="O116">
        <v>1</v>
      </c>
      <c r="P116">
        <v>0</v>
      </c>
      <c r="Q116" s="6">
        <v>24.5</v>
      </c>
      <c r="R116">
        <v>1</v>
      </c>
      <c r="S116" s="6">
        <v>2567</v>
      </c>
      <c r="T116">
        <v>0</v>
      </c>
      <c r="U116" s="6">
        <v>4949</v>
      </c>
      <c r="V116">
        <v>0</v>
      </c>
      <c r="W116">
        <v>0</v>
      </c>
      <c r="X116">
        <v>0</v>
      </c>
      <c r="Y116" s="6">
        <v>45.7</v>
      </c>
      <c r="Z116">
        <v>6.5000000000000002E-2</v>
      </c>
      <c r="AA116">
        <v>5.8999999999999997E-2</v>
      </c>
      <c r="AB116">
        <v>0.11</v>
      </c>
      <c r="AC116">
        <v>6</v>
      </c>
      <c r="AD116" s="6">
        <v>50</v>
      </c>
      <c r="AE116" s="6">
        <v>40</v>
      </c>
      <c r="AF116" s="6">
        <v>0</v>
      </c>
      <c r="AG116" s="6">
        <v>51.54</v>
      </c>
      <c r="AH116" s="6">
        <v>65.95</v>
      </c>
      <c r="AI116" s="6">
        <f t="shared" si="2"/>
        <v>14.410000000000004</v>
      </c>
      <c r="AJ116" s="5">
        <f t="shared" si="3"/>
        <v>0.21849886277482947</v>
      </c>
    </row>
    <row r="117" spans="1:36">
      <c r="A117" t="s">
        <v>228</v>
      </c>
      <c r="B117" t="s">
        <v>367</v>
      </c>
      <c r="C117" t="s">
        <v>56</v>
      </c>
      <c r="D117" t="s">
        <v>54</v>
      </c>
      <c r="E117" t="s">
        <v>55</v>
      </c>
      <c r="F117">
        <v>0</v>
      </c>
      <c r="G117">
        <v>6155</v>
      </c>
      <c r="H117">
        <v>1</v>
      </c>
      <c r="I117" t="s">
        <v>220</v>
      </c>
      <c r="J117">
        <v>2</v>
      </c>
      <c r="K117" s="6">
        <v>4.34</v>
      </c>
      <c r="L117" t="s">
        <v>174</v>
      </c>
      <c r="M117">
        <v>0</v>
      </c>
      <c r="N117" t="s">
        <v>217</v>
      </c>
      <c r="O117">
        <v>4</v>
      </c>
      <c r="P117">
        <v>1</v>
      </c>
      <c r="Q117" s="6">
        <v>180.1</v>
      </c>
      <c r="R117">
        <v>1</v>
      </c>
      <c r="S117" s="6">
        <v>2918</v>
      </c>
      <c r="T117">
        <v>0</v>
      </c>
      <c r="U117" s="6">
        <v>3130</v>
      </c>
      <c r="V117">
        <v>1</v>
      </c>
      <c r="W117">
        <v>0</v>
      </c>
      <c r="X117">
        <v>0</v>
      </c>
      <c r="Y117" s="6">
        <v>45.7</v>
      </c>
      <c r="Z117">
        <v>6.5000000000000002E-2</v>
      </c>
      <c r="AA117">
        <v>5.8999999999999997E-2</v>
      </c>
      <c r="AB117">
        <v>0.11</v>
      </c>
      <c r="AC117">
        <v>6</v>
      </c>
      <c r="AD117" s="6">
        <v>50</v>
      </c>
      <c r="AE117" s="6">
        <v>40</v>
      </c>
      <c r="AF117" s="6">
        <v>0</v>
      </c>
      <c r="AG117" s="6">
        <v>170.11</v>
      </c>
      <c r="AH117" s="6">
        <v>206.61</v>
      </c>
      <c r="AI117" s="6">
        <f t="shared" si="2"/>
        <v>36.5</v>
      </c>
      <c r="AJ117" s="5">
        <f t="shared" si="3"/>
        <v>0.17666134262620395</v>
      </c>
    </row>
    <row r="118" spans="1:36">
      <c r="A118" t="s">
        <v>225</v>
      </c>
      <c r="B118" t="s">
        <v>368</v>
      </c>
      <c r="C118" t="s">
        <v>56</v>
      </c>
      <c r="D118" t="s">
        <v>54</v>
      </c>
      <c r="E118" t="s">
        <v>55</v>
      </c>
      <c r="F118">
        <v>0</v>
      </c>
      <c r="G118">
        <v>6155</v>
      </c>
      <c r="H118">
        <v>1</v>
      </c>
      <c r="I118" t="s">
        <v>173</v>
      </c>
      <c r="J118">
        <v>1</v>
      </c>
      <c r="K118" s="6">
        <v>1.56</v>
      </c>
      <c r="L118" t="s">
        <v>174</v>
      </c>
      <c r="M118">
        <v>0</v>
      </c>
      <c r="N118" t="s">
        <v>187</v>
      </c>
      <c r="O118">
        <v>2</v>
      </c>
      <c r="P118">
        <v>1</v>
      </c>
      <c r="Q118" s="6">
        <v>79.400000000000006</v>
      </c>
      <c r="R118">
        <v>1</v>
      </c>
      <c r="S118" s="6">
        <v>762</v>
      </c>
      <c r="T118">
        <v>0</v>
      </c>
      <c r="U118" s="6">
        <v>1736</v>
      </c>
      <c r="V118">
        <v>0</v>
      </c>
      <c r="W118">
        <v>0</v>
      </c>
      <c r="X118">
        <v>0</v>
      </c>
      <c r="Y118" s="6">
        <v>45.7</v>
      </c>
      <c r="Z118">
        <v>6.5000000000000002E-2</v>
      </c>
      <c r="AA118">
        <v>5.8999999999999997E-2</v>
      </c>
      <c r="AB118">
        <v>0.11</v>
      </c>
      <c r="AC118">
        <v>6</v>
      </c>
      <c r="AD118" s="6">
        <v>50</v>
      </c>
      <c r="AE118" s="6">
        <v>25</v>
      </c>
      <c r="AF118" s="6">
        <v>0</v>
      </c>
      <c r="AG118" s="6">
        <v>74.459999999999994</v>
      </c>
      <c r="AH118" s="6">
        <v>90.26</v>
      </c>
      <c r="AI118" s="6">
        <f t="shared" si="2"/>
        <v>15.800000000000011</v>
      </c>
      <c r="AJ118" s="5">
        <f t="shared" si="3"/>
        <v>0.17504985597163761</v>
      </c>
    </row>
    <row r="119" spans="1:36">
      <c r="A119" t="s">
        <v>208</v>
      </c>
      <c r="B119" t="s">
        <v>369</v>
      </c>
      <c r="C119" t="s">
        <v>56</v>
      </c>
      <c r="D119" t="s">
        <v>54</v>
      </c>
      <c r="E119" t="s">
        <v>55</v>
      </c>
      <c r="F119">
        <v>0</v>
      </c>
      <c r="G119">
        <v>6155</v>
      </c>
      <c r="H119">
        <v>1</v>
      </c>
      <c r="I119" t="s">
        <v>220</v>
      </c>
      <c r="J119">
        <v>2</v>
      </c>
      <c r="K119" s="6">
        <v>3.04</v>
      </c>
      <c r="L119" t="s">
        <v>200</v>
      </c>
      <c r="M119">
        <v>1</v>
      </c>
      <c r="N119" t="s">
        <v>187</v>
      </c>
      <c r="O119">
        <v>2</v>
      </c>
      <c r="P119">
        <v>0</v>
      </c>
      <c r="Q119" s="6">
        <v>47.9</v>
      </c>
      <c r="R119">
        <v>0</v>
      </c>
      <c r="S119" s="6">
        <v>0</v>
      </c>
      <c r="T119">
        <v>0</v>
      </c>
      <c r="U119" s="6">
        <v>2399</v>
      </c>
      <c r="V119">
        <v>1</v>
      </c>
      <c r="W119">
        <v>0</v>
      </c>
      <c r="X119">
        <v>0</v>
      </c>
      <c r="Y119" s="6">
        <v>45.7</v>
      </c>
      <c r="Z119">
        <v>6.5000000000000002E-2</v>
      </c>
      <c r="AA119">
        <v>5.8999999999999997E-2</v>
      </c>
      <c r="AB119">
        <v>0.11</v>
      </c>
      <c r="AC119">
        <v>6</v>
      </c>
      <c r="AD119" s="6">
        <v>119</v>
      </c>
      <c r="AE119" s="6">
        <v>0</v>
      </c>
      <c r="AF119" s="6">
        <v>0</v>
      </c>
      <c r="AG119" s="6">
        <v>131.16</v>
      </c>
      <c r="AH119" s="6">
        <v>159.44999999999999</v>
      </c>
      <c r="AI119" s="6">
        <f t="shared" si="2"/>
        <v>28.289999999999992</v>
      </c>
      <c r="AJ119" s="5">
        <f t="shared" si="3"/>
        <v>0.17742238946378172</v>
      </c>
    </row>
    <row r="120" spans="1:36">
      <c r="A120" t="s">
        <v>261</v>
      </c>
      <c r="B120" t="s">
        <v>370</v>
      </c>
      <c r="C120" t="s">
        <v>56</v>
      </c>
      <c r="D120" t="s">
        <v>54</v>
      </c>
      <c r="E120" t="s">
        <v>55</v>
      </c>
      <c r="F120">
        <v>0</v>
      </c>
      <c r="G120">
        <v>6155</v>
      </c>
      <c r="H120">
        <v>1</v>
      </c>
      <c r="I120" t="s">
        <v>220</v>
      </c>
      <c r="J120">
        <v>2</v>
      </c>
      <c r="K120" s="6">
        <v>4.32</v>
      </c>
      <c r="L120" t="s">
        <v>174</v>
      </c>
      <c r="M120">
        <v>0</v>
      </c>
      <c r="N120" t="s">
        <v>187</v>
      </c>
      <c r="O120">
        <v>2</v>
      </c>
      <c r="P120">
        <v>0</v>
      </c>
      <c r="Q120" s="6">
        <v>45.6</v>
      </c>
      <c r="R120">
        <v>1</v>
      </c>
      <c r="S120" s="6">
        <v>2469</v>
      </c>
      <c r="T120">
        <v>0</v>
      </c>
      <c r="U120" s="6">
        <v>2498</v>
      </c>
      <c r="V120">
        <v>0</v>
      </c>
      <c r="W120">
        <v>0</v>
      </c>
      <c r="X120">
        <v>0</v>
      </c>
      <c r="Y120" s="6">
        <v>45.7</v>
      </c>
      <c r="Z120">
        <v>6.5000000000000002E-2</v>
      </c>
      <c r="AA120">
        <v>5.8999999999999997E-2</v>
      </c>
      <c r="AB120">
        <v>0.11</v>
      </c>
      <c r="AC120">
        <v>6</v>
      </c>
      <c r="AD120" s="6">
        <v>50</v>
      </c>
      <c r="AE120" s="6">
        <v>40</v>
      </c>
      <c r="AF120" s="6">
        <v>0</v>
      </c>
      <c r="AG120" s="6">
        <v>62.79</v>
      </c>
      <c r="AH120" s="6">
        <v>75.010000000000005</v>
      </c>
      <c r="AI120" s="6">
        <f t="shared" si="2"/>
        <v>12.220000000000006</v>
      </c>
      <c r="AJ120" s="5">
        <f t="shared" si="3"/>
        <v>0.16291161178509539</v>
      </c>
    </row>
    <row r="121" spans="1:36">
      <c r="A121" t="s">
        <v>236</v>
      </c>
      <c r="B121" t="s">
        <v>371</v>
      </c>
      <c r="C121" t="s">
        <v>56</v>
      </c>
      <c r="D121" t="s">
        <v>54</v>
      </c>
      <c r="E121" t="s">
        <v>55</v>
      </c>
      <c r="F121">
        <v>0</v>
      </c>
      <c r="G121">
        <v>6155</v>
      </c>
      <c r="H121">
        <v>1</v>
      </c>
      <c r="I121" t="s">
        <v>220</v>
      </c>
      <c r="J121">
        <v>2</v>
      </c>
      <c r="K121" s="6">
        <v>4.51</v>
      </c>
      <c r="L121" t="s">
        <v>174</v>
      </c>
      <c r="M121">
        <v>0</v>
      </c>
      <c r="N121" t="s">
        <v>187</v>
      </c>
      <c r="O121">
        <v>2</v>
      </c>
      <c r="P121">
        <v>0</v>
      </c>
      <c r="Q121" s="6">
        <v>48.8</v>
      </c>
      <c r="R121">
        <v>0</v>
      </c>
      <c r="S121" s="6">
        <v>0</v>
      </c>
      <c r="T121">
        <v>0</v>
      </c>
      <c r="U121" s="6">
        <v>1749</v>
      </c>
      <c r="V121">
        <v>0</v>
      </c>
      <c r="W121">
        <v>0</v>
      </c>
      <c r="X121">
        <v>0</v>
      </c>
      <c r="Y121" s="6">
        <v>45.7</v>
      </c>
      <c r="Z121">
        <v>6.5000000000000002E-2</v>
      </c>
      <c r="AA121">
        <v>5.8999999999999997E-2</v>
      </c>
      <c r="AB121">
        <v>0.11</v>
      </c>
      <c r="AC121">
        <v>6</v>
      </c>
      <c r="AD121" s="6">
        <v>50</v>
      </c>
      <c r="AE121" s="6">
        <v>0</v>
      </c>
      <c r="AF121" s="6">
        <v>0</v>
      </c>
      <c r="AG121" s="6">
        <v>55.5</v>
      </c>
      <c r="AH121" s="6">
        <v>67.349999999999994</v>
      </c>
      <c r="AI121" s="6">
        <f t="shared" si="2"/>
        <v>11.849999999999994</v>
      </c>
      <c r="AJ121" s="5">
        <f t="shared" si="3"/>
        <v>0.17594654788418701</v>
      </c>
    </row>
    <row r="122" spans="1:36">
      <c r="A122" t="s">
        <v>372</v>
      </c>
      <c r="B122" t="s">
        <v>373</v>
      </c>
      <c r="C122" t="s">
        <v>56</v>
      </c>
      <c r="D122" t="s">
        <v>54</v>
      </c>
      <c r="E122" t="s">
        <v>55</v>
      </c>
      <c r="F122">
        <v>0</v>
      </c>
      <c r="G122">
        <v>6155</v>
      </c>
      <c r="H122">
        <v>1</v>
      </c>
      <c r="I122" t="s">
        <v>178</v>
      </c>
      <c r="J122">
        <v>4</v>
      </c>
      <c r="K122" s="6">
        <v>11.07</v>
      </c>
      <c r="L122" t="s">
        <v>174</v>
      </c>
      <c r="M122">
        <v>0</v>
      </c>
      <c r="N122" t="s">
        <v>175</v>
      </c>
      <c r="O122">
        <v>1</v>
      </c>
      <c r="P122">
        <v>0</v>
      </c>
      <c r="Q122" s="6">
        <v>28.3</v>
      </c>
      <c r="R122">
        <v>0</v>
      </c>
      <c r="S122" s="6">
        <v>0</v>
      </c>
      <c r="T122">
        <v>0</v>
      </c>
      <c r="U122" s="6">
        <v>1740</v>
      </c>
      <c r="V122">
        <v>0</v>
      </c>
      <c r="W122">
        <v>0</v>
      </c>
      <c r="X122">
        <v>0</v>
      </c>
      <c r="Y122" s="6">
        <v>45.7</v>
      </c>
      <c r="Z122">
        <v>6.5000000000000002E-2</v>
      </c>
      <c r="AA122">
        <v>5.8999999999999997E-2</v>
      </c>
      <c r="AB122">
        <v>0.11</v>
      </c>
      <c r="AC122">
        <v>6</v>
      </c>
      <c r="AD122" s="6">
        <v>65</v>
      </c>
      <c r="AE122" s="6">
        <v>0</v>
      </c>
      <c r="AF122" s="6">
        <v>0</v>
      </c>
      <c r="AG122" s="6">
        <v>114.27</v>
      </c>
      <c r="AH122" s="6">
        <v>139.41</v>
      </c>
      <c r="AI122" s="6">
        <f t="shared" si="2"/>
        <v>25.14</v>
      </c>
      <c r="AJ122" s="5">
        <f t="shared" si="3"/>
        <v>0.18033139659995698</v>
      </c>
    </row>
    <row r="123" spans="1:36">
      <c r="A123" t="s">
        <v>348</v>
      </c>
      <c r="B123" t="s">
        <v>374</v>
      </c>
      <c r="C123" t="s">
        <v>56</v>
      </c>
      <c r="D123" t="s">
        <v>54</v>
      </c>
      <c r="E123" t="s">
        <v>55</v>
      </c>
      <c r="F123">
        <v>0</v>
      </c>
      <c r="G123">
        <v>6155</v>
      </c>
      <c r="H123">
        <v>1</v>
      </c>
      <c r="I123" t="s">
        <v>220</v>
      </c>
      <c r="J123">
        <v>2</v>
      </c>
      <c r="K123" s="6">
        <v>4.96</v>
      </c>
      <c r="L123" t="s">
        <v>174</v>
      </c>
      <c r="M123">
        <v>0</v>
      </c>
      <c r="N123" t="s">
        <v>175</v>
      </c>
      <c r="O123">
        <v>1</v>
      </c>
      <c r="P123">
        <v>0</v>
      </c>
      <c r="Q123" s="6">
        <v>20.5</v>
      </c>
      <c r="R123">
        <v>1</v>
      </c>
      <c r="S123" s="6">
        <v>7281</v>
      </c>
      <c r="T123">
        <v>0</v>
      </c>
      <c r="U123" s="6">
        <v>3704</v>
      </c>
      <c r="V123">
        <v>1</v>
      </c>
      <c r="W123">
        <v>0</v>
      </c>
      <c r="X123">
        <v>0</v>
      </c>
      <c r="Y123" s="6">
        <v>45.7</v>
      </c>
      <c r="Z123">
        <v>6.5000000000000002E-2</v>
      </c>
      <c r="AA123">
        <v>5.8999999999999997E-2</v>
      </c>
      <c r="AB123">
        <v>0.11</v>
      </c>
      <c r="AC123">
        <v>6</v>
      </c>
      <c r="AD123" s="6">
        <v>50</v>
      </c>
      <c r="AE123" s="6">
        <v>50</v>
      </c>
      <c r="AF123" s="6">
        <v>0</v>
      </c>
      <c r="AG123" s="6">
        <v>97.74</v>
      </c>
      <c r="AH123" s="6">
        <v>118.27</v>
      </c>
      <c r="AI123" s="6">
        <f t="shared" si="2"/>
        <v>20.53</v>
      </c>
      <c r="AJ123" s="5">
        <f t="shared" si="3"/>
        <v>0.17358586285617655</v>
      </c>
    </row>
    <row r="124" spans="1:36">
      <c r="A124" t="s">
        <v>375</v>
      </c>
      <c r="B124" t="s">
        <v>376</v>
      </c>
      <c r="C124" t="s">
        <v>56</v>
      </c>
      <c r="D124" t="s">
        <v>54</v>
      </c>
      <c r="E124" t="s">
        <v>55</v>
      </c>
      <c r="F124">
        <v>0</v>
      </c>
      <c r="G124">
        <v>6155</v>
      </c>
      <c r="H124">
        <v>1</v>
      </c>
      <c r="I124" t="s">
        <v>220</v>
      </c>
      <c r="J124">
        <v>2</v>
      </c>
      <c r="K124" s="6">
        <v>3.39</v>
      </c>
      <c r="L124" t="s">
        <v>174</v>
      </c>
      <c r="M124">
        <v>0</v>
      </c>
      <c r="N124" t="s">
        <v>175</v>
      </c>
      <c r="O124">
        <v>1</v>
      </c>
      <c r="P124">
        <v>0</v>
      </c>
      <c r="Q124" s="6">
        <v>35.700000000000003</v>
      </c>
      <c r="R124">
        <v>1</v>
      </c>
      <c r="S124" s="6">
        <v>1792</v>
      </c>
      <c r="T124">
        <v>0</v>
      </c>
      <c r="U124" s="6">
        <v>1886</v>
      </c>
      <c r="V124">
        <v>0</v>
      </c>
      <c r="W124">
        <v>0</v>
      </c>
      <c r="X124">
        <v>0</v>
      </c>
      <c r="Y124" s="6">
        <v>45.7</v>
      </c>
      <c r="Z124">
        <v>6.5000000000000002E-2</v>
      </c>
      <c r="AA124">
        <v>5.8999999999999997E-2</v>
      </c>
      <c r="AB124">
        <v>0.11</v>
      </c>
      <c r="AC124">
        <v>6</v>
      </c>
      <c r="AD124" s="6">
        <v>50</v>
      </c>
      <c r="AE124" s="6">
        <v>25</v>
      </c>
      <c r="AF124" s="6">
        <v>0</v>
      </c>
      <c r="AG124" s="6">
        <v>55.54</v>
      </c>
      <c r="AH124" s="6">
        <v>69.2</v>
      </c>
      <c r="AI124" s="6">
        <f t="shared" si="2"/>
        <v>13.660000000000004</v>
      </c>
      <c r="AJ124" s="5">
        <f t="shared" si="3"/>
        <v>0.19739884393063589</v>
      </c>
    </row>
    <row r="125" spans="1:36">
      <c r="A125" t="s">
        <v>338</v>
      </c>
      <c r="B125" t="s">
        <v>377</v>
      </c>
      <c r="C125" t="s">
        <v>56</v>
      </c>
      <c r="D125" t="s">
        <v>54</v>
      </c>
      <c r="E125" t="s">
        <v>55</v>
      </c>
      <c r="F125">
        <v>0</v>
      </c>
      <c r="G125">
        <v>6155</v>
      </c>
      <c r="H125">
        <v>1</v>
      </c>
      <c r="I125" t="s">
        <v>220</v>
      </c>
      <c r="J125">
        <v>2</v>
      </c>
      <c r="K125" s="6">
        <v>3.92</v>
      </c>
      <c r="L125" t="s">
        <v>174</v>
      </c>
      <c r="M125">
        <v>0</v>
      </c>
      <c r="N125" t="s">
        <v>182</v>
      </c>
      <c r="O125">
        <v>3</v>
      </c>
      <c r="P125">
        <v>0</v>
      </c>
      <c r="Q125" s="6">
        <v>114</v>
      </c>
      <c r="R125">
        <v>1</v>
      </c>
      <c r="S125" s="6">
        <v>2121</v>
      </c>
      <c r="T125">
        <v>0</v>
      </c>
      <c r="U125" s="6">
        <v>4340</v>
      </c>
      <c r="V125">
        <v>0</v>
      </c>
      <c r="W125">
        <v>0</v>
      </c>
      <c r="X125">
        <v>0</v>
      </c>
      <c r="Y125" s="6">
        <v>45.7</v>
      </c>
      <c r="Z125">
        <v>6.5000000000000002E-2</v>
      </c>
      <c r="AA125">
        <v>5.8999999999999997E-2</v>
      </c>
      <c r="AB125">
        <v>0.11</v>
      </c>
      <c r="AC125">
        <v>6</v>
      </c>
      <c r="AD125" s="6">
        <v>50</v>
      </c>
      <c r="AE125" s="6">
        <v>40</v>
      </c>
      <c r="AF125" s="6">
        <v>0</v>
      </c>
      <c r="AG125" s="6">
        <v>72.260000000000005</v>
      </c>
      <c r="AH125" s="6">
        <v>87.08</v>
      </c>
      <c r="AI125" s="6">
        <f t="shared" si="2"/>
        <v>14.819999999999993</v>
      </c>
      <c r="AJ125" s="5">
        <f t="shared" si="3"/>
        <v>0.1701883325677537</v>
      </c>
    </row>
    <row r="126" spans="1:36">
      <c r="A126" t="s">
        <v>284</v>
      </c>
      <c r="B126" t="s">
        <v>378</v>
      </c>
      <c r="C126" t="s">
        <v>56</v>
      </c>
      <c r="D126" t="s">
        <v>54</v>
      </c>
      <c r="E126" t="s">
        <v>55</v>
      </c>
      <c r="F126">
        <v>0</v>
      </c>
      <c r="G126">
        <v>6155</v>
      </c>
      <c r="H126">
        <v>1</v>
      </c>
      <c r="I126" t="s">
        <v>220</v>
      </c>
      <c r="J126">
        <v>2</v>
      </c>
      <c r="K126" s="6">
        <v>4.78</v>
      </c>
      <c r="L126" t="s">
        <v>174</v>
      </c>
      <c r="M126">
        <v>0</v>
      </c>
      <c r="N126" t="s">
        <v>187</v>
      </c>
      <c r="O126">
        <v>2</v>
      </c>
      <c r="P126">
        <v>0</v>
      </c>
      <c r="Q126" s="6">
        <v>52.7</v>
      </c>
      <c r="R126">
        <v>0</v>
      </c>
      <c r="S126" s="6">
        <v>0</v>
      </c>
      <c r="T126">
        <v>0</v>
      </c>
      <c r="U126" s="6">
        <v>1893</v>
      </c>
      <c r="V126">
        <v>0</v>
      </c>
      <c r="W126">
        <v>0</v>
      </c>
      <c r="X126">
        <v>1</v>
      </c>
      <c r="Y126" s="6">
        <v>45.7</v>
      </c>
      <c r="Z126">
        <v>6.5000000000000002E-2</v>
      </c>
      <c r="AA126">
        <v>5.8999999999999997E-2</v>
      </c>
      <c r="AB126">
        <v>0.11</v>
      </c>
      <c r="AC126">
        <v>6</v>
      </c>
      <c r="AD126" s="6">
        <v>50</v>
      </c>
      <c r="AE126" s="6">
        <v>0</v>
      </c>
      <c r="AF126" s="6">
        <v>0</v>
      </c>
      <c r="AG126" s="6">
        <v>56.56</v>
      </c>
      <c r="AH126" s="6">
        <v>70.989999999999995</v>
      </c>
      <c r="AI126" s="6">
        <f t="shared" si="2"/>
        <v>14.429999999999993</v>
      </c>
      <c r="AJ126" s="5">
        <f t="shared" si="3"/>
        <v>0.20326806592477806</v>
      </c>
    </row>
    <row r="127" spans="1:36">
      <c r="A127" t="s">
        <v>306</v>
      </c>
      <c r="B127" t="s">
        <v>379</v>
      </c>
      <c r="C127" t="s">
        <v>56</v>
      </c>
      <c r="D127" t="s">
        <v>54</v>
      </c>
      <c r="E127" t="s">
        <v>55</v>
      </c>
      <c r="F127">
        <v>0</v>
      </c>
      <c r="G127">
        <v>6155</v>
      </c>
      <c r="H127">
        <v>1</v>
      </c>
      <c r="I127" t="s">
        <v>173</v>
      </c>
      <c r="J127">
        <v>1</v>
      </c>
      <c r="K127" s="6">
        <v>2.08</v>
      </c>
      <c r="L127" t="s">
        <v>174</v>
      </c>
      <c r="M127">
        <v>0</v>
      </c>
      <c r="N127" t="s">
        <v>175</v>
      </c>
      <c r="O127">
        <v>1</v>
      </c>
      <c r="P127">
        <v>0</v>
      </c>
      <c r="Q127" s="6">
        <v>39.799999999999997</v>
      </c>
      <c r="R127">
        <v>1</v>
      </c>
      <c r="S127" s="6">
        <v>3852</v>
      </c>
      <c r="T127">
        <v>0</v>
      </c>
      <c r="U127" s="6">
        <v>1996</v>
      </c>
      <c r="V127">
        <v>0</v>
      </c>
      <c r="W127">
        <v>1</v>
      </c>
      <c r="X127">
        <v>0</v>
      </c>
      <c r="Y127" s="6">
        <v>45.7</v>
      </c>
      <c r="Z127">
        <v>6.5000000000000002E-2</v>
      </c>
      <c r="AA127">
        <v>5.8999999999999997E-2</v>
      </c>
      <c r="AB127">
        <v>0.11</v>
      </c>
      <c r="AC127">
        <v>6</v>
      </c>
      <c r="AD127" s="6">
        <v>50</v>
      </c>
      <c r="AE127" s="6">
        <v>40</v>
      </c>
      <c r="AF127" s="6">
        <v>0</v>
      </c>
      <c r="AG127" s="6">
        <v>73.66</v>
      </c>
      <c r="AH127" s="6">
        <v>88.55</v>
      </c>
      <c r="AI127" s="6">
        <f t="shared" si="2"/>
        <v>14.89</v>
      </c>
      <c r="AJ127" s="5">
        <f t="shared" si="3"/>
        <v>0.16815358554488991</v>
      </c>
    </row>
    <row r="128" spans="1:36">
      <c r="A128" t="s">
        <v>188</v>
      </c>
      <c r="B128" t="s">
        <v>380</v>
      </c>
      <c r="C128" t="s">
        <v>56</v>
      </c>
      <c r="D128" t="s">
        <v>54</v>
      </c>
      <c r="E128" t="s">
        <v>55</v>
      </c>
      <c r="F128">
        <v>0</v>
      </c>
      <c r="G128">
        <v>6155</v>
      </c>
      <c r="H128">
        <v>1</v>
      </c>
      <c r="I128" t="s">
        <v>173</v>
      </c>
      <c r="J128">
        <v>1</v>
      </c>
      <c r="K128" s="6">
        <v>1.8</v>
      </c>
      <c r="L128" t="s">
        <v>174</v>
      </c>
      <c r="M128">
        <v>0</v>
      </c>
      <c r="N128" t="s">
        <v>182</v>
      </c>
      <c r="O128">
        <v>3</v>
      </c>
      <c r="P128">
        <v>0</v>
      </c>
      <c r="Q128" s="6">
        <v>92.6</v>
      </c>
      <c r="R128">
        <v>1</v>
      </c>
      <c r="S128" s="6">
        <v>959</v>
      </c>
      <c r="T128">
        <v>0</v>
      </c>
      <c r="U128" s="6">
        <v>2827</v>
      </c>
      <c r="V128">
        <v>0</v>
      </c>
      <c r="W128">
        <v>0</v>
      </c>
      <c r="X128">
        <v>0</v>
      </c>
      <c r="Y128" s="6">
        <v>45.7</v>
      </c>
      <c r="Z128">
        <v>6.5000000000000002E-2</v>
      </c>
      <c r="AA128">
        <v>5.8999999999999997E-2</v>
      </c>
      <c r="AB128">
        <v>0.11</v>
      </c>
      <c r="AC128">
        <v>6</v>
      </c>
      <c r="AD128" s="6">
        <v>50</v>
      </c>
      <c r="AE128" s="6">
        <v>25</v>
      </c>
      <c r="AF128" s="6">
        <v>0</v>
      </c>
      <c r="AG128" s="6">
        <v>55.65</v>
      </c>
      <c r="AH128" s="6">
        <v>69.510000000000005</v>
      </c>
      <c r="AI128" s="6">
        <f t="shared" si="2"/>
        <v>13.860000000000007</v>
      </c>
      <c r="AJ128" s="5">
        <f t="shared" si="3"/>
        <v>0.19939577039274933</v>
      </c>
    </row>
    <row r="129" spans="1:36">
      <c r="A129" t="s">
        <v>381</v>
      </c>
      <c r="B129" t="s">
        <v>382</v>
      </c>
      <c r="C129" t="s">
        <v>56</v>
      </c>
      <c r="D129" t="s">
        <v>54</v>
      </c>
      <c r="E129" t="s">
        <v>55</v>
      </c>
      <c r="F129">
        <v>0</v>
      </c>
      <c r="G129">
        <v>6155</v>
      </c>
      <c r="H129">
        <v>1</v>
      </c>
      <c r="I129" t="s">
        <v>220</v>
      </c>
      <c r="J129">
        <v>2</v>
      </c>
      <c r="K129" s="6">
        <v>2.3199999999999998</v>
      </c>
      <c r="L129" t="s">
        <v>174</v>
      </c>
      <c r="M129">
        <v>0</v>
      </c>
      <c r="N129" t="s">
        <v>175</v>
      </c>
      <c r="O129">
        <v>1</v>
      </c>
      <c r="P129">
        <v>0</v>
      </c>
      <c r="Q129" s="6">
        <v>32.1</v>
      </c>
      <c r="R129">
        <v>1</v>
      </c>
      <c r="S129" s="6">
        <v>211</v>
      </c>
      <c r="T129">
        <v>0</v>
      </c>
      <c r="U129" s="6">
        <v>3163</v>
      </c>
      <c r="V129">
        <v>0</v>
      </c>
      <c r="W129">
        <v>0</v>
      </c>
      <c r="X129">
        <v>0</v>
      </c>
      <c r="Y129" s="6">
        <v>45.7</v>
      </c>
      <c r="Z129">
        <v>6.5000000000000002E-2</v>
      </c>
      <c r="AA129">
        <v>5.8999999999999997E-2</v>
      </c>
      <c r="AB129">
        <v>0.11</v>
      </c>
      <c r="AC129">
        <v>6</v>
      </c>
      <c r="AD129" s="6">
        <v>50</v>
      </c>
      <c r="AE129" s="6">
        <v>25</v>
      </c>
      <c r="AF129" s="6">
        <v>0</v>
      </c>
      <c r="AG129" s="6">
        <v>54.68</v>
      </c>
      <c r="AH129" s="6">
        <v>66.42</v>
      </c>
      <c r="AI129" s="6">
        <f t="shared" si="2"/>
        <v>11.740000000000002</v>
      </c>
      <c r="AJ129" s="5">
        <f t="shared" si="3"/>
        <v>0.17675398976211987</v>
      </c>
    </row>
    <row r="130" spans="1:36">
      <c r="A130" t="s">
        <v>192</v>
      </c>
      <c r="B130" t="s">
        <v>383</v>
      </c>
      <c r="C130" t="s">
        <v>56</v>
      </c>
      <c r="D130" t="s">
        <v>54</v>
      </c>
      <c r="E130" t="s">
        <v>55</v>
      </c>
      <c r="F130">
        <v>0</v>
      </c>
      <c r="G130">
        <v>6155</v>
      </c>
      <c r="H130">
        <v>1</v>
      </c>
      <c r="I130" t="s">
        <v>173</v>
      </c>
      <c r="J130">
        <v>1</v>
      </c>
      <c r="K130" s="6">
        <v>2.16</v>
      </c>
      <c r="L130" t="s">
        <v>174</v>
      </c>
      <c r="M130">
        <v>0</v>
      </c>
      <c r="N130" t="s">
        <v>187</v>
      </c>
      <c r="O130">
        <v>2</v>
      </c>
      <c r="P130">
        <v>0</v>
      </c>
      <c r="Q130" s="6">
        <v>48.4</v>
      </c>
      <c r="R130">
        <v>0</v>
      </c>
      <c r="S130" s="6">
        <v>0</v>
      </c>
      <c r="T130">
        <v>0</v>
      </c>
      <c r="U130" s="6">
        <v>1297</v>
      </c>
      <c r="V130">
        <v>0</v>
      </c>
      <c r="W130">
        <v>0</v>
      </c>
      <c r="X130">
        <v>0</v>
      </c>
      <c r="Y130" s="6">
        <v>45.7</v>
      </c>
      <c r="Z130">
        <v>6.5000000000000002E-2</v>
      </c>
      <c r="AA130">
        <v>5.8999999999999997E-2</v>
      </c>
      <c r="AB130">
        <v>0.11</v>
      </c>
      <c r="AC130">
        <v>6</v>
      </c>
      <c r="AD130" s="6">
        <v>50</v>
      </c>
      <c r="AE130" s="6">
        <v>0</v>
      </c>
      <c r="AF130" s="6">
        <v>0</v>
      </c>
      <c r="AG130" s="6">
        <v>45.64</v>
      </c>
      <c r="AH130" s="6">
        <v>56.4</v>
      </c>
      <c r="AI130" s="6">
        <f t="shared" ref="AI130:AI193" si="4">AH130-AG130</f>
        <v>10.759999999999998</v>
      </c>
      <c r="AJ130" s="5">
        <f t="shared" ref="AJ130:AJ193" si="5">IFERROR(AI130/AH130,0)</f>
        <v>0.1907801418439716</v>
      </c>
    </row>
    <row r="131" spans="1:36">
      <c r="A131" t="s">
        <v>384</v>
      </c>
      <c r="B131" t="s">
        <v>385</v>
      </c>
      <c r="C131" t="s">
        <v>56</v>
      </c>
      <c r="D131" t="s">
        <v>54</v>
      </c>
      <c r="E131" t="s">
        <v>55</v>
      </c>
      <c r="F131">
        <v>0</v>
      </c>
      <c r="G131">
        <v>6155</v>
      </c>
      <c r="H131">
        <v>1</v>
      </c>
      <c r="I131" t="s">
        <v>181</v>
      </c>
      <c r="J131">
        <v>3</v>
      </c>
      <c r="K131" s="6">
        <v>5.98</v>
      </c>
      <c r="L131" t="s">
        <v>174</v>
      </c>
      <c r="M131">
        <v>0</v>
      </c>
      <c r="N131" t="s">
        <v>175</v>
      </c>
      <c r="O131">
        <v>1</v>
      </c>
      <c r="P131">
        <v>0</v>
      </c>
      <c r="Q131" s="6">
        <v>38.700000000000003</v>
      </c>
      <c r="R131">
        <v>0</v>
      </c>
      <c r="S131" s="6">
        <v>0</v>
      </c>
      <c r="T131">
        <v>0</v>
      </c>
      <c r="U131" s="6">
        <v>6070</v>
      </c>
      <c r="V131">
        <v>0</v>
      </c>
      <c r="W131">
        <v>0</v>
      </c>
      <c r="X131">
        <v>0</v>
      </c>
      <c r="Y131" s="6">
        <v>45.7</v>
      </c>
      <c r="Z131">
        <v>6.5000000000000002E-2</v>
      </c>
      <c r="AA131">
        <v>5.8999999999999997E-2</v>
      </c>
      <c r="AB131">
        <v>0.11</v>
      </c>
      <c r="AC131">
        <v>6</v>
      </c>
      <c r="AD131" s="6">
        <v>60</v>
      </c>
      <c r="AE131" s="6">
        <v>0</v>
      </c>
      <c r="AF131" s="6">
        <v>0</v>
      </c>
      <c r="AG131" s="6">
        <v>75.45</v>
      </c>
      <c r="AH131" s="6">
        <v>94.1</v>
      </c>
      <c r="AI131" s="6">
        <f t="shared" si="4"/>
        <v>18.649999999999991</v>
      </c>
      <c r="AJ131" s="5">
        <f t="shared" si="5"/>
        <v>0.19819341126461204</v>
      </c>
    </row>
    <row r="132" spans="1:36">
      <c r="A132" t="s">
        <v>266</v>
      </c>
      <c r="B132" t="s">
        <v>386</v>
      </c>
      <c r="C132" t="s">
        <v>56</v>
      </c>
      <c r="D132" t="s">
        <v>54</v>
      </c>
      <c r="E132" t="s">
        <v>55</v>
      </c>
      <c r="F132">
        <v>0</v>
      </c>
      <c r="G132">
        <v>6155</v>
      </c>
      <c r="H132">
        <v>1</v>
      </c>
      <c r="I132" t="s">
        <v>220</v>
      </c>
      <c r="J132">
        <v>2</v>
      </c>
      <c r="K132" s="6">
        <v>2.91</v>
      </c>
      <c r="L132" t="s">
        <v>174</v>
      </c>
      <c r="M132">
        <v>0</v>
      </c>
      <c r="N132" t="s">
        <v>175</v>
      </c>
      <c r="O132">
        <v>1</v>
      </c>
      <c r="P132">
        <v>0</v>
      </c>
      <c r="Q132" s="6">
        <v>38.700000000000003</v>
      </c>
      <c r="R132">
        <v>1</v>
      </c>
      <c r="S132" s="6">
        <v>2998</v>
      </c>
      <c r="T132">
        <v>0</v>
      </c>
      <c r="U132" s="6">
        <v>2962</v>
      </c>
      <c r="V132">
        <v>0</v>
      </c>
      <c r="W132">
        <v>0</v>
      </c>
      <c r="X132">
        <v>1</v>
      </c>
      <c r="Y132" s="6">
        <v>45.7</v>
      </c>
      <c r="Z132">
        <v>6.5000000000000002E-2</v>
      </c>
      <c r="AA132">
        <v>5.8999999999999997E-2</v>
      </c>
      <c r="AB132">
        <v>0.11</v>
      </c>
      <c r="AC132">
        <v>6</v>
      </c>
      <c r="AD132" s="6">
        <v>50</v>
      </c>
      <c r="AE132" s="6">
        <v>40</v>
      </c>
      <c r="AF132" s="6">
        <v>0</v>
      </c>
      <c r="AG132" s="6">
        <v>51.34</v>
      </c>
      <c r="AH132" s="6">
        <v>65.33</v>
      </c>
      <c r="AI132" s="6">
        <f t="shared" si="4"/>
        <v>13.989999999999995</v>
      </c>
      <c r="AJ132" s="5">
        <f t="shared" si="5"/>
        <v>0.21414357875401799</v>
      </c>
    </row>
    <row r="133" spans="1:36">
      <c r="A133" t="s">
        <v>171</v>
      </c>
      <c r="B133" t="s">
        <v>387</v>
      </c>
      <c r="C133" t="s">
        <v>56</v>
      </c>
      <c r="D133" t="s">
        <v>54</v>
      </c>
      <c r="E133" t="s">
        <v>55</v>
      </c>
      <c r="F133">
        <v>0</v>
      </c>
      <c r="G133">
        <v>6155</v>
      </c>
      <c r="H133">
        <v>1</v>
      </c>
      <c r="I133" t="s">
        <v>181</v>
      </c>
      <c r="J133">
        <v>3</v>
      </c>
      <c r="K133" s="6">
        <v>6.45</v>
      </c>
      <c r="L133" t="s">
        <v>174</v>
      </c>
      <c r="M133">
        <v>0</v>
      </c>
      <c r="N133" t="s">
        <v>175</v>
      </c>
      <c r="O133">
        <v>1</v>
      </c>
      <c r="P133">
        <v>0</v>
      </c>
      <c r="Q133" s="6">
        <v>41.6</v>
      </c>
      <c r="R133">
        <v>0</v>
      </c>
      <c r="S133" s="6">
        <v>0</v>
      </c>
      <c r="T133">
        <v>0</v>
      </c>
      <c r="U133" s="6">
        <v>2470</v>
      </c>
      <c r="V133">
        <v>1</v>
      </c>
      <c r="W133">
        <v>0</v>
      </c>
      <c r="X133">
        <v>0</v>
      </c>
      <c r="Y133" s="6">
        <v>45.7</v>
      </c>
      <c r="Z133">
        <v>6.5000000000000002E-2</v>
      </c>
      <c r="AA133">
        <v>5.8999999999999997E-2</v>
      </c>
      <c r="AB133">
        <v>0.11</v>
      </c>
      <c r="AC133">
        <v>6</v>
      </c>
      <c r="AD133" s="6">
        <v>60</v>
      </c>
      <c r="AE133" s="6">
        <v>0</v>
      </c>
      <c r="AF133" s="6">
        <v>0</v>
      </c>
      <c r="AG133" s="6">
        <v>114.95</v>
      </c>
      <c r="AH133" s="6">
        <v>136.9</v>
      </c>
      <c r="AI133" s="6">
        <f t="shared" si="4"/>
        <v>21.950000000000003</v>
      </c>
      <c r="AJ133" s="5">
        <f t="shared" si="5"/>
        <v>0.16033601168736306</v>
      </c>
    </row>
    <row r="134" spans="1:36">
      <c r="A134" t="s">
        <v>255</v>
      </c>
      <c r="B134" t="s">
        <v>388</v>
      </c>
      <c r="C134" t="s">
        <v>56</v>
      </c>
      <c r="D134" t="s">
        <v>54</v>
      </c>
      <c r="E134" t="s">
        <v>55</v>
      </c>
      <c r="F134">
        <v>0</v>
      </c>
      <c r="G134">
        <v>6155</v>
      </c>
      <c r="H134">
        <v>1</v>
      </c>
      <c r="I134" t="s">
        <v>181</v>
      </c>
      <c r="J134">
        <v>3</v>
      </c>
      <c r="K134" s="6">
        <v>8.82</v>
      </c>
      <c r="L134" t="s">
        <v>200</v>
      </c>
      <c r="M134">
        <v>1</v>
      </c>
      <c r="N134" t="s">
        <v>175</v>
      </c>
      <c r="O134">
        <v>1</v>
      </c>
      <c r="P134">
        <v>0</v>
      </c>
      <c r="Q134" s="6">
        <v>31.2</v>
      </c>
      <c r="R134">
        <v>0</v>
      </c>
      <c r="S134" s="6">
        <v>0</v>
      </c>
      <c r="T134">
        <v>0</v>
      </c>
      <c r="U134" s="6">
        <v>7393</v>
      </c>
      <c r="V134">
        <v>0</v>
      </c>
      <c r="W134">
        <v>0</v>
      </c>
      <c r="X134">
        <v>0</v>
      </c>
      <c r="Y134" s="6">
        <v>45.7</v>
      </c>
      <c r="Z134">
        <v>6.5000000000000002E-2</v>
      </c>
      <c r="AA134">
        <v>5.8999999999999997E-2</v>
      </c>
      <c r="AB134">
        <v>0.11</v>
      </c>
      <c r="AC134">
        <v>6</v>
      </c>
      <c r="AD134" s="6">
        <v>139</v>
      </c>
      <c r="AE134" s="6">
        <v>0</v>
      </c>
      <c r="AF134" s="6">
        <v>0</v>
      </c>
      <c r="AG134" s="6">
        <v>116.04</v>
      </c>
      <c r="AH134" s="6">
        <v>143.75</v>
      </c>
      <c r="AI134" s="6">
        <f t="shared" si="4"/>
        <v>27.709999999999994</v>
      </c>
      <c r="AJ134" s="5">
        <f t="shared" si="5"/>
        <v>0.19276521739130431</v>
      </c>
    </row>
    <row r="135" spans="1:36">
      <c r="A135" t="s">
        <v>266</v>
      </c>
      <c r="B135" t="s">
        <v>389</v>
      </c>
      <c r="C135" t="s">
        <v>56</v>
      </c>
      <c r="D135" t="s">
        <v>54</v>
      </c>
      <c r="E135" t="s">
        <v>55</v>
      </c>
      <c r="F135">
        <v>0</v>
      </c>
      <c r="G135">
        <v>6155</v>
      </c>
      <c r="H135">
        <v>1</v>
      </c>
      <c r="I135" t="s">
        <v>220</v>
      </c>
      <c r="J135">
        <v>2</v>
      </c>
      <c r="K135" s="6">
        <v>4.21</v>
      </c>
      <c r="L135" t="s">
        <v>174</v>
      </c>
      <c r="M135">
        <v>0</v>
      </c>
      <c r="N135" t="s">
        <v>272</v>
      </c>
      <c r="O135">
        <v>5</v>
      </c>
      <c r="P135">
        <v>1</v>
      </c>
      <c r="Q135" s="6">
        <v>201.5</v>
      </c>
      <c r="R135">
        <v>0</v>
      </c>
      <c r="S135" s="6">
        <v>0</v>
      </c>
      <c r="T135">
        <v>0</v>
      </c>
      <c r="U135" s="6">
        <v>3957</v>
      </c>
      <c r="V135">
        <v>0</v>
      </c>
      <c r="W135">
        <v>0</v>
      </c>
      <c r="X135">
        <v>0</v>
      </c>
      <c r="Y135" s="6">
        <v>45.7</v>
      </c>
      <c r="Z135">
        <v>6.5000000000000002E-2</v>
      </c>
      <c r="AA135">
        <v>5.8999999999999997E-2</v>
      </c>
      <c r="AB135">
        <v>0.11</v>
      </c>
      <c r="AC135">
        <v>6</v>
      </c>
      <c r="AD135" s="6">
        <v>50</v>
      </c>
      <c r="AE135" s="6">
        <v>0</v>
      </c>
      <c r="AF135" s="6">
        <v>0</v>
      </c>
      <c r="AG135" s="6">
        <v>149.37</v>
      </c>
      <c r="AH135" s="6">
        <v>178.14</v>
      </c>
      <c r="AI135" s="6">
        <f t="shared" si="4"/>
        <v>28.769999999999982</v>
      </c>
      <c r="AJ135" s="5">
        <f t="shared" si="5"/>
        <v>0.16150218928932292</v>
      </c>
    </row>
    <row r="136" spans="1:36">
      <c r="A136" t="s">
        <v>284</v>
      </c>
      <c r="B136" t="s">
        <v>390</v>
      </c>
      <c r="C136" t="s">
        <v>56</v>
      </c>
      <c r="D136" t="s">
        <v>54</v>
      </c>
      <c r="E136" t="s">
        <v>55</v>
      </c>
      <c r="F136">
        <v>0</v>
      </c>
      <c r="G136">
        <v>6155</v>
      </c>
      <c r="H136">
        <v>1</v>
      </c>
      <c r="I136" t="s">
        <v>220</v>
      </c>
      <c r="J136">
        <v>2</v>
      </c>
      <c r="K136" s="6">
        <v>3.82</v>
      </c>
      <c r="L136" t="s">
        <v>174</v>
      </c>
      <c r="M136">
        <v>0</v>
      </c>
      <c r="N136" t="s">
        <v>182</v>
      </c>
      <c r="O136">
        <v>3</v>
      </c>
      <c r="P136">
        <v>1</v>
      </c>
      <c r="Q136" s="6">
        <v>99.4</v>
      </c>
      <c r="R136">
        <v>0</v>
      </c>
      <c r="S136" s="6">
        <v>0</v>
      </c>
      <c r="T136">
        <v>0</v>
      </c>
      <c r="U136" s="6">
        <v>3688</v>
      </c>
      <c r="V136">
        <v>0</v>
      </c>
      <c r="W136">
        <v>0</v>
      </c>
      <c r="X136">
        <v>0</v>
      </c>
      <c r="Y136" s="6">
        <v>45.7</v>
      </c>
      <c r="Z136">
        <v>6.5000000000000002E-2</v>
      </c>
      <c r="AA136">
        <v>5.8999999999999997E-2</v>
      </c>
      <c r="AB136">
        <v>0.11</v>
      </c>
      <c r="AC136">
        <v>6</v>
      </c>
      <c r="AD136" s="6">
        <v>50</v>
      </c>
      <c r="AE136" s="6">
        <v>0</v>
      </c>
      <c r="AF136" s="6">
        <v>0</v>
      </c>
      <c r="AG136" s="6">
        <v>88.5</v>
      </c>
      <c r="AH136" s="6">
        <v>107.96</v>
      </c>
      <c r="AI136" s="6">
        <f t="shared" si="4"/>
        <v>19.459999999999994</v>
      </c>
      <c r="AJ136" s="5">
        <f t="shared" si="5"/>
        <v>0.18025194516487583</v>
      </c>
    </row>
    <row r="137" spans="1:36">
      <c r="A137" t="s">
        <v>391</v>
      </c>
      <c r="B137" t="s">
        <v>392</v>
      </c>
      <c r="C137" t="s">
        <v>56</v>
      </c>
      <c r="D137" t="s">
        <v>54</v>
      </c>
      <c r="E137" t="s">
        <v>55</v>
      </c>
      <c r="F137">
        <v>0</v>
      </c>
      <c r="G137">
        <v>6155</v>
      </c>
      <c r="H137">
        <v>1</v>
      </c>
      <c r="I137" t="s">
        <v>220</v>
      </c>
      <c r="J137">
        <v>2</v>
      </c>
      <c r="K137" s="6">
        <v>4.37</v>
      </c>
      <c r="L137" t="s">
        <v>174</v>
      </c>
      <c r="M137">
        <v>0</v>
      </c>
      <c r="N137" t="s">
        <v>187</v>
      </c>
      <c r="O137">
        <v>2</v>
      </c>
      <c r="P137">
        <v>0</v>
      </c>
      <c r="Q137" s="6">
        <v>63.5</v>
      </c>
      <c r="R137">
        <v>0</v>
      </c>
      <c r="S137" s="6">
        <v>0</v>
      </c>
      <c r="T137">
        <v>0</v>
      </c>
      <c r="U137" s="6">
        <v>5472</v>
      </c>
      <c r="V137">
        <v>0</v>
      </c>
      <c r="W137">
        <v>0</v>
      </c>
      <c r="X137">
        <v>0</v>
      </c>
      <c r="Y137" s="6">
        <v>45.7</v>
      </c>
      <c r="Z137">
        <v>6.5000000000000002E-2</v>
      </c>
      <c r="AA137">
        <v>5.8999999999999997E-2</v>
      </c>
      <c r="AB137">
        <v>0.11</v>
      </c>
      <c r="AC137">
        <v>6</v>
      </c>
      <c r="AD137" s="6">
        <v>50</v>
      </c>
      <c r="AE137" s="6">
        <v>0</v>
      </c>
      <c r="AF137" s="6">
        <v>0</v>
      </c>
      <c r="AG137" s="6">
        <v>61.1</v>
      </c>
      <c r="AH137" s="6">
        <v>75.94</v>
      </c>
      <c r="AI137" s="6">
        <f t="shared" si="4"/>
        <v>14.839999999999996</v>
      </c>
      <c r="AJ137" s="5">
        <f t="shared" si="5"/>
        <v>0.19541743481696072</v>
      </c>
    </row>
    <row r="138" spans="1:36">
      <c r="A138" t="s">
        <v>393</v>
      </c>
      <c r="B138" t="s">
        <v>394</v>
      </c>
      <c r="C138" t="s">
        <v>56</v>
      </c>
      <c r="D138" t="s">
        <v>54</v>
      </c>
      <c r="E138" t="s">
        <v>55</v>
      </c>
      <c r="F138">
        <v>0</v>
      </c>
      <c r="G138">
        <v>6155</v>
      </c>
      <c r="H138">
        <v>1</v>
      </c>
      <c r="I138" t="s">
        <v>220</v>
      </c>
      <c r="J138">
        <v>2</v>
      </c>
      <c r="K138" s="6">
        <v>4.6900000000000004</v>
      </c>
      <c r="L138" t="s">
        <v>174</v>
      </c>
      <c r="M138">
        <v>0</v>
      </c>
      <c r="N138" t="s">
        <v>175</v>
      </c>
      <c r="O138">
        <v>1</v>
      </c>
      <c r="P138">
        <v>0</v>
      </c>
      <c r="Q138" s="6">
        <v>24.4</v>
      </c>
      <c r="R138">
        <v>1</v>
      </c>
      <c r="S138" s="6">
        <v>3493</v>
      </c>
      <c r="T138">
        <v>0</v>
      </c>
      <c r="U138" s="6">
        <v>11930</v>
      </c>
      <c r="V138">
        <v>0</v>
      </c>
      <c r="W138">
        <v>0</v>
      </c>
      <c r="X138">
        <v>0</v>
      </c>
      <c r="Y138" s="6">
        <v>45.7</v>
      </c>
      <c r="Z138">
        <v>6.5000000000000002E-2</v>
      </c>
      <c r="AA138">
        <v>5.8999999999999997E-2</v>
      </c>
      <c r="AB138">
        <v>0.11</v>
      </c>
      <c r="AC138">
        <v>6</v>
      </c>
      <c r="AD138" s="6">
        <v>50</v>
      </c>
      <c r="AE138" s="6">
        <v>40</v>
      </c>
      <c r="AF138" s="6">
        <v>0</v>
      </c>
      <c r="AG138" s="6">
        <v>58.59</v>
      </c>
      <c r="AH138" s="6">
        <v>72.03</v>
      </c>
      <c r="AI138" s="6">
        <f t="shared" si="4"/>
        <v>13.439999999999998</v>
      </c>
      <c r="AJ138" s="5">
        <f t="shared" si="5"/>
        <v>0.1865889212827988</v>
      </c>
    </row>
    <row r="139" spans="1:36">
      <c r="A139" t="s">
        <v>233</v>
      </c>
      <c r="B139" t="s">
        <v>395</v>
      </c>
      <c r="C139" t="s">
        <v>56</v>
      </c>
      <c r="D139" t="s">
        <v>54</v>
      </c>
      <c r="E139" t="s">
        <v>55</v>
      </c>
      <c r="F139">
        <v>0</v>
      </c>
      <c r="G139">
        <v>6155</v>
      </c>
      <c r="H139">
        <v>1</v>
      </c>
      <c r="I139" t="s">
        <v>220</v>
      </c>
      <c r="J139">
        <v>2</v>
      </c>
      <c r="K139" s="6">
        <v>2.23</v>
      </c>
      <c r="L139" t="s">
        <v>174</v>
      </c>
      <c r="M139">
        <v>0</v>
      </c>
      <c r="N139" t="s">
        <v>272</v>
      </c>
      <c r="O139">
        <v>5</v>
      </c>
      <c r="P139">
        <v>1</v>
      </c>
      <c r="Q139" s="6">
        <v>280.60000000000002</v>
      </c>
      <c r="R139">
        <v>1</v>
      </c>
      <c r="S139" s="6">
        <v>3966</v>
      </c>
      <c r="T139">
        <v>0</v>
      </c>
      <c r="U139" s="6">
        <v>4572</v>
      </c>
      <c r="V139">
        <v>0</v>
      </c>
      <c r="W139">
        <v>0</v>
      </c>
      <c r="X139">
        <v>0</v>
      </c>
      <c r="Y139" s="6">
        <v>45.7</v>
      </c>
      <c r="Z139">
        <v>6.5000000000000002E-2</v>
      </c>
      <c r="AA139">
        <v>5.8999999999999997E-2</v>
      </c>
      <c r="AB139">
        <v>0.11</v>
      </c>
      <c r="AC139">
        <v>6</v>
      </c>
      <c r="AD139" s="6">
        <v>50</v>
      </c>
      <c r="AE139" s="6">
        <v>40</v>
      </c>
      <c r="AF139" s="6">
        <v>0</v>
      </c>
      <c r="AG139" s="6">
        <v>153.87</v>
      </c>
      <c r="AH139" s="6">
        <v>185.47</v>
      </c>
      <c r="AI139" s="6">
        <f t="shared" si="4"/>
        <v>31.599999999999994</v>
      </c>
      <c r="AJ139" s="5">
        <f t="shared" si="5"/>
        <v>0.1703779586995201</v>
      </c>
    </row>
    <row r="140" spans="1:36">
      <c r="A140" t="s">
        <v>286</v>
      </c>
      <c r="B140" t="s">
        <v>396</v>
      </c>
      <c r="C140" t="s">
        <v>56</v>
      </c>
      <c r="D140" t="s">
        <v>54</v>
      </c>
      <c r="E140" t="s">
        <v>55</v>
      </c>
      <c r="F140">
        <v>0</v>
      </c>
      <c r="G140">
        <v>6155</v>
      </c>
      <c r="H140">
        <v>1</v>
      </c>
      <c r="I140" t="s">
        <v>220</v>
      </c>
      <c r="J140">
        <v>2</v>
      </c>
      <c r="K140" s="6">
        <v>3.55</v>
      </c>
      <c r="L140" t="s">
        <v>174</v>
      </c>
      <c r="M140">
        <v>0</v>
      </c>
      <c r="N140" t="s">
        <v>217</v>
      </c>
      <c r="O140">
        <v>4</v>
      </c>
      <c r="P140">
        <v>1</v>
      </c>
      <c r="Q140" s="6">
        <v>216.7</v>
      </c>
      <c r="R140">
        <v>1</v>
      </c>
      <c r="S140" s="6">
        <v>431</v>
      </c>
      <c r="T140">
        <v>0</v>
      </c>
      <c r="U140" s="6">
        <v>4700</v>
      </c>
      <c r="V140">
        <v>0</v>
      </c>
      <c r="W140">
        <v>0</v>
      </c>
      <c r="X140">
        <v>0</v>
      </c>
      <c r="Y140" s="6">
        <v>45.7</v>
      </c>
      <c r="Z140">
        <v>6.5000000000000002E-2</v>
      </c>
      <c r="AA140">
        <v>5.8999999999999997E-2</v>
      </c>
      <c r="AB140">
        <v>0.11</v>
      </c>
      <c r="AC140">
        <v>6</v>
      </c>
      <c r="AD140" s="6">
        <v>50</v>
      </c>
      <c r="AE140" s="6">
        <v>25</v>
      </c>
      <c r="AF140" s="6">
        <v>0</v>
      </c>
      <c r="AG140" s="6">
        <v>105.77</v>
      </c>
      <c r="AH140" s="6">
        <v>128.63999999999999</v>
      </c>
      <c r="AI140" s="6">
        <f t="shared" si="4"/>
        <v>22.86999999999999</v>
      </c>
      <c r="AJ140" s="5">
        <f t="shared" si="5"/>
        <v>0.17778296019900491</v>
      </c>
    </row>
    <row r="141" spans="1:36">
      <c r="A141" t="s">
        <v>397</v>
      </c>
      <c r="B141" t="s">
        <v>398</v>
      </c>
      <c r="C141" t="s">
        <v>56</v>
      </c>
      <c r="D141" t="s">
        <v>54</v>
      </c>
      <c r="E141" t="s">
        <v>55</v>
      </c>
      <c r="F141">
        <v>0</v>
      </c>
      <c r="G141">
        <v>6155</v>
      </c>
      <c r="H141">
        <v>1</v>
      </c>
      <c r="I141" t="s">
        <v>220</v>
      </c>
      <c r="J141">
        <v>2</v>
      </c>
      <c r="K141" s="6">
        <v>4.5599999999999996</v>
      </c>
      <c r="L141" t="s">
        <v>174</v>
      </c>
      <c r="M141">
        <v>0</v>
      </c>
      <c r="N141" t="s">
        <v>182</v>
      </c>
      <c r="O141">
        <v>3</v>
      </c>
      <c r="P141">
        <v>0</v>
      </c>
      <c r="Q141" s="6">
        <v>133.80000000000001</v>
      </c>
      <c r="R141">
        <v>1</v>
      </c>
      <c r="S141" s="6">
        <v>1576</v>
      </c>
      <c r="T141">
        <v>0</v>
      </c>
      <c r="U141" s="6">
        <v>1760</v>
      </c>
      <c r="V141">
        <v>0</v>
      </c>
      <c r="W141">
        <v>0</v>
      </c>
      <c r="X141">
        <v>0</v>
      </c>
      <c r="Y141" s="6">
        <v>45.7</v>
      </c>
      <c r="Z141">
        <v>6.5000000000000002E-2</v>
      </c>
      <c r="AA141">
        <v>5.8999999999999997E-2</v>
      </c>
      <c r="AB141">
        <v>0.11</v>
      </c>
      <c r="AC141">
        <v>6</v>
      </c>
      <c r="AD141" s="6">
        <v>50</v>
      </c>
      <c r="AE141" s="6">
        <v>25</v>
      </c>
      <c r="AF141" s="6">
        <v>0</v>
      </c>
      <c r="AG141" s="6">
        <v>66.790000000000006</v>
      </c>
      <c r="AH141" s="6">
        <v>80.099999999999994</v>
      </c>
      <c r="AI141" s="6">
        <f t="shared" si="4"/>
        <v>13.309999999999988</v>
      </c>
      <c r="AJ141" s="5">
        <f t="shared" si="5"/>
        <v>0.16616729088639187</v>
      </c>
    </row>
    <row r="142" spans="1:36">
      <c r="A142" t="s">
        <v>316</v>
      </c>
      <c r="B142" t="s">
        <v>399</v>
      </c>
      <c r="C142" t="s">
        <v>56</v>
      </c>
      <c r="D142" t="s">
        <v>54</v>
      </c>
      <c r="E142" t="s">
        <v>55</v>
      </c>
      <c r="F142">
        <v>0</v>
      </c>
      <c r="G142">
        <v>6155</v>
      </c>
      <c r="H142">
        <v>1</v>
      </c>
      <c r="I142" t="s">
        <v>220</v>
      </c>
      <c r="J142">
        <v>2</v>
      </c>
      <c r="K142" s="6">
        <v>3.77</v>
      </c>
      <c r="L142" t="s">
        <v>174</v>
      </c>
      <c r="M142">
        <v>0</v>
      </c>
      <c r="N142" t="s">
        <v>187</v>
      </c>
      <c r="O142">
        <v>2</v>
      </c>
      <c r="P142">
        <v>0</v>
      </c>
      <c r="Q142" s="6">
        <v>57.2</v>
      </c>
      <c r="R142">
        <v>1</v>
      </c>
      <c r="S142" s="6">
        <v>387</v>
      </c>
      <c r="T142">
        <v>0</v>
      </c>
      <c r="U142" s="6">
        <v>3443</v>
      </c>
      <c r="V142">
        <v>0</v>
      </c>
      <c r="W142">
        <v>0</v>
      </c>
      <c r="X142">
        <v>0</v>
      </c>
      <c r="Y142" s="6">
        <v>45.7</v>
      </c>
      <c r="Z142">
        <v>6.5000000000000002E-2</v>
      </c>
      <c r="AA142">
        <v>5.8999999999999997E-2</v>
      </c>
      <c r="AB142">
        <v>0.11</v>
      </c>
      <c r="AC142">
        <v>6</v>
      </c>
      <c r="AD142" s="6">
        <v>50</v>
      </c>
      <c r="AE142" s="6">
        <v>25</v>
      </c>
      <c r="AF142" s="6">
        <v>0</v>
      </c>
      <c r="AG142" s="6">
        <v>64.52</v>
      </c>
      <c r="AH142" s="6">
        <v>79.98</v>
      </c>
      <c r="AI142" s="6">
        <f t="shared" si="4"/>
        <v>15.460000000000008</v>
      </c>
      <c r="AJ142" s="5">
        <f t="shared" si="5"/>
        <v>0.19329832458114538</v>
      </c>
    </row>
    <row r="143" spans="1:36">
      <c r="A143" t="s">
        <v>204</v>
      </c>
      <c r="B143" t="s">
        <v>400</v>
      </c>
      <c r="C143" t="s">
        <v>56</v>
      </c>
      <c r="D143" t="s">
        <v>54</v>
      </c>
      <c r="E143" t="s">
        <v>55</v>
      </c>
      <c r="F143">
        <v>0</v>
      </c>
      <c r="G143">
        <v>6155</v>
      </c>
      <c r="H143">
        <v>1</v>
      </c>
      <c r="I143" t="s">
        <v>173</v>
      </c>
      <c r="J143">
        <v>1</v>
      </c>
      <c r="K143" s="6">
        <v>2.5299999999999998</v>
      </c>
      <c r="L143" t="s">
        <v>174</v>
      </c>
      <c r="M143">
        <v>0</v>
      </c>
      <c r="N143" t="s">
        <v>175</v>
      </c>
      <c r="O143">
        <v>1</v>
      </c>
      <c r="P143">
        <v>0</v>
      </c>
      <c r="Q143" s="6">
        <v>44.4</v>
      </c>
      <c r="R143">
        <v>1</v>
      </c>
      <c r="S143" s="6">
        <v>456</v>
      </c>
      <c r="T143">
        <v>0</v>
      </c>
      <c r="U143" s="6">
        <v>2253</v>
      </c>
      <c r="V143">
        <v>0</v>
      </c>
      <c r="W143">
        <v>0</v>
      </c>
      <c r="X143">
        <v>0</v>
      </c>
      <c r="Y143" s="6">
        <v>45.7</v>
      </c>
      <c r="Z143">
        <v>6.5000000000000002E-2</v>
      </c>
      <c r="AA143">
        <v>5.8999999999999997E-2</v>
      </c>
      <c r="AB143">
        <v>0.11</v>
      </c>
      <c r="AC143">
        <v>6</v>
      </c>
      <c r="AD143" s="6">
        <v>50</v>
      </c>
      <c r="AE143" s="6">
        <v>25</v>
      </c>
      <c r="AF143" s="6">
        <v>0</v>
      </c>
      <c r="AG143" s="6">
        <v>50.23</v>
      </c>
      <c r="AH143" s="6">
        <v>64.06</v>
      </c>
      <c r="AI143" s="6">
        <f t="shared" si="4"/>
        <v>13.830000000000005</v>
      </c>
      <c r="AJ143" s="5">
        <f t="shared" si="5"/>
        <v>0.21589135185763356</v>
      </c>
    </row>
    <row r="144" spans="1:36">
      <c r="A144" t="s">
        <v>401</v>
      </c>
      <c r="B144" t="s">
        <v>402</v>
      </c>
      <c r="C144" t="s">
        <v>56</v>
      </c>
      <c r="D144" t="s">
        <v>54</v>
      </c>
      <c r="E144" t="s">
        <v>55</v>
      </c>
      <c r="F144">
        <v>0</v>
      </c>
      <c r="G144">
        <v>6155</v>
      </c>
      <c r="H144">
        <v>1</v>
      </c>
      <c r="I144" t="s">
        <v>220</v>
      </c>
      <c r="J144">
        <v>2</v>
      </c>
      <c r="K144" s="6">
        <v>1.43</v>
      </c>
      <c r="L144" t="s">
        <v>174</v>
      </c>
      <c r="M144">
        <v>0</v>
      </c>
      <c r="N144" t="s">
        <v>175</v>
      </c>
      <c r="O144">
        <v>1</v>
      </c>
      <c r="P144">
        <v>0</v>
      </c>
      <c r="Q144" s="6">
        <v>24.7</v>
      </c>
      <c r="R144">
        <v>1</v>
      </c>
      <c r="S144" s="6">
        <v>1258</v>
      </c>
      <c r="T144">
        <v>0</v>
      </c>
      <c r="U144" s="6">
        <v>1468</v>
      </c>
      <c r="V144">
        <v>0</v>
      </c>
      <c r="W144">
        <v>0</v>
      </c>
      <c r="X144">
        <v>0</v>
      </c>
      <c r="Y144" s="6">
        <v>45.7</v>
      </c>
      <c r="Z144">
        <v>6.5000000000000002E-2</v>
      </c>
      <c r="AA144">
        <v>5.8999999999999997E-2</v>
      </c>
      <c r="AB144">
        <v>0.11</v>
      </c>
      <c r="AC144">
        <v>6</v>
      </c>
      <c r="AD144" s="6">
        <v>50</v>
      </c>
      <c r="AE144" s="6">
        <v>25</v>
      </c>
      <c r="AF144" s="6">
        <v>0</v>
      </c>
      <c r="AG144" s="6">
        <v>59.14</v>
      </c>
      <c r="AH144" s="6">
        <v>72.599999999999994</v>
      </c>
      <c r="AI144" s="6">
        <f t="shared" si="4"/>
        <v>13.459999999999994</v>
      </c>
      <c r="AJ144" s="5">
        <f t="shared" si="5"/>
        <v>0.1853994490358126</v>
      </c>
    </row>
    <row r="145" spans="1:36">
      <c r="A145" t="s">
        <v>403</v>
      </c>
      <c r="B145" t="s">
        <v>404</v>
      </c>
      <c r="C145" t="s">
        <v>56</v>
      </c>
      <c r="D145" t="s">
        <v>54</v>
      </c>
      <c r="E145" t="s">
        <v>55</v>
      </c>
      <c r="F145">
        <v>0</v>
      </c>
      <c r="G145">
        <v>6155</v>
      </c>
      <c r="H145">
        <v>1</v>
      </c>
      <c r="I145" t="s">
        <v>220</v>
      </c>
      <c r="J145">
        <v>2</v>
      </c>
      <c r="K145" s="6">
        <v>4.8899999999999997</v>
      </c>
      <c r="L145" t="s">
        <v>174</v>
      </c>
      <c r="M145">
        <v>0</v>
      </c>
      <c r="N145" t="s">
        <v>182</v>
      </c>
      <c r="O145">
        <v>3</v>
      </c>
      <c r="P145">
        <v>0</v>
      </c>
      <c r="Q145" s="6">
        <v>102.9</v>
      </c>
      <c r="R145">
        <v>1</v>
      </c>
      <c r="S145" s="6">
        <v>716</v>
      </c>
      <c r="T145">
        <v>0</v>
      </c>
      <c r="U145" s="6">
        <v>4571</v>
      </c>
      <c r="V145">
        <v>0</v>
      </c>
      <c r="W145">
        <v>0</v>
      </c>
      <c r="X145">
        <v>0</v>
      </c>
      <c r="Y145" s="6">
        <v>45.7</v>
      </c>
      <c r="Z145">
        <v>6.5000000000000002E-2</v>
      </c>
      <c r="AA145">
        <v>5.8999999999999997E-2</v>
      </c>
      <c r="AB145">
        <v>0.11</v>
      </c>
      <c r="AC145">
        <v>6</v>
      </c>
      <c r="AD145" s="6">
        <v>50</v>
      </c>
      <c r="AE145" s="6">
        <v>25</v>
      </c>
      <c r="AF145" s="6">
        <v>0</v>
      </c>
      <c r="AG145" s="6">
        <v>73.36</v>
      </c>
      <c r="AH145" s="6">
        <v>90.76</v>
      </c>
      <c r="AI145" s="6">
        <f t="shared" si="4"/>
        <v>17.400000000000006</v>
      </c>
      <c r="AJ145" s="5">
        <f t="shared" si="5"/>
        <v>0.19171441163508157</v>
      </c>
    </row>
    <row r="146" spans="1:36">
      <c r="A146" t="s">
        <v>345</v>
      </c>
      <c r="B146" t="s">
        <v>405</v>
      </c>
      <c r="C146" t="s">
        <v>56</v>
      </c>
      <c r="D146" t="s">
        <v>54</v>
      </c>
      <c r="E146" t="s">
        <v>55</v>
      </c>
      <c r="F146">
        <v>0</v>
      </c>
      <c r="G146">
        <v>6155</v>
      </c>
      <c r="H146">
        <v>1</v>
      </c>
      <c r="I146" t="s">
        <v>220</v>
      </c>
      <c r="J146">
        <v>2</v>
      </c>
      <c r="K146" s="6">
        <v>6.14</v>
      </c>
      <c r="L146" t="s">
        <v>200</v>
      </c>
      <c r="M146">
        <v>1</v>
      </c>
      <c r="N146" t="s">
        <v>217</v>
      </c>
      <c r="O146">
        <v>4</v>
      </c>
      <c r="P146">
        <v>1</v>
      </c>
      <c r="Q146" s="6">
        <v>99.8</v>
      </c>
      <c r="R146">
        <v>1</v>
      </c>
      <c r="S146" s="6">
        <v>409</v>
      </c>
      <c r="T146">
        <v>0</v>
      </c>
      <c r="U146" s="6">
        <v>1532</v>
      </c>
      <c r="V146">
        <v>0</v>
      </c>
      <c r="W146">
        <v>0</v>
      </c>
      <c r="X146">
        <v>0</v>
      </c>
      <c r="Y146" s="6">
        <v>45.7</v>
      </c>
      <c r="Z146">
        <v>6.5000000000000002E-2</v>
      </c>
      <c r="AA146">
        <v>5.8999999999999997E-2</v>
      </c>
      <c r="AB146">
        <v>0.11</v>
      </c>
      <c r="AC146">
        <v>6</v>
      </c>
      <c r="AD146" s="6">
        <v>119</v>
      </c>
      <c r="AE146" s="6">
        <v>25</v>
      </c>
      <c r="AF146" s="6">
        <v>0</v>
      </c>
      <c r="AG146" s="6">
        <v>155.76</v>
      </c>
      <c r="AH146" s="6">
        <v>189.97</v>
      </c>
      <c r="AI146" s="6">
        <f t="shared" si="4"/>
        <v>34.210000000000008</v>
      </c>
      <c r="AJ146" s="5">
        <f t="shared" si="5"/>
        <v>0.18008106543138394</v>
      </c>
    </row>
    <row r="147" spans="1:36">
      <c r="A147" t="s">
        <v>406</v>
      </c>
      <c r="B147" t="s">
        <v>407</v>
      </c>
      <c r="C147" t="s">
        <v>56</v>
      </c>
      <c r="D147" t="s">
        <v>54</v>
      </c>
      <c r="E147" t="s">
        <v>55</v>
      </c>
      <c r="F147">
        <v>0</v>
      </c>
      <c r="G147">
        <v>6155</v>
      </c>
      <c r="H147">
        <v>1</v>
      </c>
      <c r="I147" t="s">
        <v>220</v>
      </c>
      <c r="J147">
        <v>2</v>
      </c>
      <c r="K147" s="6">
        <v>3.74</v>
      </c>
      <c r="L147" t="s">
        <v>174</v>
      </c>
      <c r="M147">
        <v>0</v>
      </c>
      <c r="N147" t="s">
        <v>182</v>
      </c>
      <c r="O147">
        <v>3</v>
      </c>
      <c r="P147">
        <v>0</v>
      </c>
      <c r="Q147" s="6">
        <v>65.400000000000006</v>
      </c>
      <c r="R147">
        <v>0</v>
      </c>
      <c r="S147" s="6">
        <v>0</v>
      </c>
      <c r="T147">
        <v>0</v>
      </c>
      <c r="U147" s="6">
        <v>2391</v>
      </c>
      <c r="V147">
        <v>0</v>
      </c>
      <c r="W147">
        <v>0</v>
      </c>
      <c r="X147">
        <v>0</v>
      </c>
      <c r="Y147" s="6">
        <v>45.7</v>
      </c>
      <c r="Z147">
        <v>6.5000000000000002E-2</v>
      </c>
      <c r="AA147">
        <v>5.8999999999999997E-2</v>
      </c>
      <c r="AB147">
        <v>0.11</v>
      </c>
      <c r="AC147">
        <v>6</v>
      </c>
      <c r="AD147" s="6">
        <v>50</v>
      </c>
      <c r="AE147" s="6">
        <v>0</v>
      </c>
      <c r="AF147" s="6">
        <v>0</v>
      </c>
      <c r="AG147" s="6">
        <v>63.73</v>
      </c>
      <c r="AH147" s="6">
        <v>75.89</v>
      </c>
      <c r="AI147" s="6">
        <f t="shared" si="4"/>
        <v>12.160000000000004</v>
      </c>
      <c r="AJ147" s="5">
        <f t="shared" si="5"/>
        <v>0.16023191461325609</v>
      </c>
    </row>
    <row r="148" spans="1:36">
      <c r="A148" t="s">
        <v>185</v>
      </c>
      <c r="B148" t="s">
        <v>408</v>
      </c>
      <c r="C148" t="s">
        <v>56</v>
      </c>
      <c r="D148" t="s">
        <v>54</v>
      </c>
      <c r="E148" t="s">
        <v>55</v>
      </c>
      <c r="F148">
        <v>0</v>
      </c>
      <c r="G148">
        <v>6155</v>
      </c>
      <c r="H148">
        <v>1</v>
      </c>
      <c r="I148" t="s">
        <v>181</v>
      </c>
      <c r="J148">
        <v>3</v>
      </c>
      <c r="K148" s="6">
        <v>9.1</v>
      </c>
      <c r="L148" t="s">
        <v>174</v>
      </c>
      <c r="M148">
        <v>0</v>
      </c>
      <c r="N148" t="s">
        <v>175</v>
      </c>
      <c r="O148">
        <v>1</v>
      </c>
      <c r="P148">
        <v>0</v>
      </c>
      <c r="Q148" s="6">
        <v>32.200000000000003</v>
      </c>
      <c r="R148">
        <v>1</v>
      </c>
      <c r="S148" s="6">
        <v>2650</v>
      </c>
      <c r="T148">
        <v>0</v>
      </c>
      <c r="U148" s="6">
        <v>2584</v>
      </c>
      <c r="V148">
        <v>0</v>
      </c>
      <c r="W148">
        <v>0</v>
      </c>
      <c r="X148">
        <v>0</v>
      </c>
      <c r="Y148" s="6">
        <v>45.7</v>
      </c>
      <c r="Z148">
        <v>6.5000000000000002E-2</v>
      </c>
      <c r="AA148">
        <v>5.8999999999999997E-2</v>
      </c>
      <c r="AB148">
        <v>0.11</v>
      </c>
      <c r="AC148">
        <v>6</v>
      </c>
      <c r="AD148" s="6">
        <v>60</v>
      </c>
      <c r="AE148" s="6">
        <v>40</v>
      </c>
      <c r="AF148" s="6">
        <v>0</v>
      </c>
      <c r="AG148" s="6">
        <v>92.54</v>
      </c>
      <c r="AH148" s="6">
        <v>114.2</v>
      </c>
      <c r="AI148" s="6">
        <f t="shared" si="4"/>
        <v>21.659999999999997</v>
      </c>
      <c r="AJ148" s="5">
        <f t="shared" si="5"/>
        <v>0.18966725043782834</v>
      </c>
    </row>
    <row r="149" spans="1:36">
      <c r="A149" t="s">
        <v>188</v>
      </c>
      <c r="B149" t="s">
        <v>409</v>
      </c>
      <c r="C149" t="s">
        <v>56</v>
      </c>
      <c r="D149" t="s">
        <v>54</v>
      </c>
      <c r="E149" t="s">
        <v>55</v>
      </c>
      <c r="F149">
        <v>0</v>
      </c>
      <c r="G149">
        <v>6155</v>
      </c>
      <c r="H149">
        <v>1</v>
      </c>
      <c r="I149" t="s">
        <v>220</v>
      </c>
      <c r="J149">
        <v>2</v>
      </c>
      <c r="K149" s="6">
        <v>4.5</v>
      </c>
      <c r="L149" t="s">
        <v>174</v>
      </c>
      <c r="M149">
        <v>0</v>
      </c>
      <c r="N149" t="s">
        <v>175</v>
      </c>
      <c r="O149">
        <v>1</v>
      </c>
      <c r="P149">
        <v>0</v>
      </c>
      <c r="Q149" s="6">
        <v>45</v>
      </c>
      <c r="R149">
        <v>0</v>
      </c>
      <c r="S149" s="6">
        <v>0</v>
      </c>
      <c r="T149">
        <v>0</v>
      </c>
      <c r="U149" s="6">
        <v>4263</v>
      </c>
      <c r="V149">
        <v>0</v>
      </c>
      <c r="W149">
        <v>0</v>
      </c>
      <c r="X149">
        <v>0</v>
      </c>
      <c r="Y149" s="6">
        <v>45.7</v>
      </c>
      <c r="Z149">
        <v>6.5000000000000002E-2</v>
      </c>
      <c r="AA149">
        <v>5.8999999999999997E-2</v>
      </c>
      <c r="AB149">
        <v>0.11</v>
      </c>
      <c r="AC149">
        <v>6</v>
      </c>
      <c r="AD149" s="6">
        <v>50</v>
      </c>
      <c r="AE149" s="6">
        <v>0</v>
      </c>
      <c r="AF149" s="6">
        <v>0</v>
      </c>
      <c r="AG149" s="6">
        <v>61.35</v>
      </c>
      <c r="AH149" s="6">
        <v>77.89</v>
      </c>
      <c r="AI149" s="6">
        <f t="shared" si="4"/>
        <v>16.54</v>
      </c>
      <c r="AJ149" s="5">
        <f t="shared" si="5"/>
        <v>0.21235075105918602</v>
      </c>
    </row>
    <row r="150" spans="1:36">
      <c r="A150" t="s">
        <v>255</v>
      </c>
      <c r="B150" t="s">
        <v>410</v>
      </c>
      <c r="C150" t="s">
        <v>56</v>
      </c>
      <c r="D150" t="s">
        <v>54</v>
      </c>
      <c r="E150" t="s">
        <v>55</v>
      </c>
      <c r="F150">
        <v>0</v>
      </c>
      <c r="G150">
        <v>6155</v>
      </c>
      <c r="H150">
        <v>1</v>
      </c>
      <c r="I150" t="s">
        <v>178</v>
      </c>
      <c r="J150">
        <v>4</v>
      </c>
      <c r="K150" s="6">
        <v>13.25</v>
      </c>
      <c r="L150" t="s">
        <v>174</v>
      </c>
      <c r="M150">
        <v>0</v>
      </c>
      <c r="N150" t="s">
        <v>182</v>
      </c>
      <c r="O150">
        <v>3</v>
      </c>
      <c r="P150">
        <v>1</v>
      </c>
      <c r="Q150" s="6">
        <v>93.6</v>
      </c>
      <c r="R150">
        <v>0</v>
      </c>
      <c r="S150" s="6">
        <v>0</v>
      </c>
      <c r="T150">
        <v>0</v>
      </c>
      <c r="U150" s="6">
        <v>2039</v>
      </c>
      <c r="V150">
        <v>0</v>
      </c>
      <c r="W150">
        <v>0</v>
      </c>
      <c r="X150">
        <v>0</v>
      </c>
      <c r="Y150" s="6">
        <v>45.7</v>
      </c>
      <c r="Z150">
        <v>6.5000000000000002E-2</v>
      </c>
      <c r="AA150">
        <v>5.8999999999999997E-2</v>
      </c>
      <c r="AB150">
        <v>0.11</v>
      </c>
      <c r="AC150">
        <v>6</v>
      </c>
      <c r="AD150" s="6">
        <v>65</v>
      </c>
      <c r="AE150" s="6">
        <v>0</v>
      </c>
      <c r="AF150" s="6">
        <v>0</v>
      </c>
      <c r="AG150" s="6">
        <v>149.19</v>
      </c>
      <c r="AH150" s="6">
        <v>180.46</v>
      </c>
      <c r="AI150" s="6">
        <f t="shared" si="4"/>
        <v>31.27000000000001</v>
      </c>
      <c r="AJ150" s="5">
        <f t="shared" si="5"/>
        <v>0.17327939709630949</v>
      </c>
    </row>
    <row r="151" spans="1:36">
      <c r="A151" t="s">
        <v>411</v>
      </c>
      <c r="B151" t="s">
        <v>412</v>
      </c>
      <c r="C151" t="s">
        <v>56</v>
      </c>
      <c r="D151" t="s">
        <v>54</v>
      </c>
      <c r="E151" t="s">
        <v>55</v>
      </c>
      <c r="F151">
        <v>0</v>
      </c>
      <c r="G151">
        <v>6155</v>
      </c>
      <c r="H151">
        <v>1</v>
      </c>
      <c r="I151" t="s">
        <v>181</v>
      </c>
      <c r="J151">
        <v>3</v>
      </c>
      <c r="K151" s="6">
        <v>11.31</v>
      </c>
      <c r="L151" t="s">
        <v>174</v>
      </c>
      <c r="M151">
        <v>0</v>
      </c>
      <c r="N151" t="s">
        <v>217</v>
      </c>
      <c r="O151">
        <v>4</v>
      </c>
      <c r="P151">
        <v>1</v>
      </c>
      <c r="Q151" s="6">
        <v>77.2</v>
      </c>
      <c r="R151">
        <v>1</v>
      </c>
      <c r="S151" s="6">
        <v>1679</v>
      </c>
      <c r="T151">
        <v>0</v>
      </c>
      <c r="U151" s="6">
        <v>3400</v>
      </c>
      <c r="V151">
        <v>0</v>
      </c>
      <c r="W151">
        <v>0</v>
      </c>
      <c r="X151">
        <v>0</v>
      </c>
      <c r="Y151" s="6">
        <v>45.7</v>
      </c>
      <c r="Z151">
        <v>6.5000000000000002E-2</v>
      </c>
      <c r="AA151">
        <v>5.8999999999999997E-2</v>
      </c>
      <c r="AB151">
        <v>0.11</v>
      </c>
      <c r="AC151">
        <v>6</v>
      </c>
      <c r="AD151" s="6">
        <v>60</v>
      </c>
      <c r="AE151" s="6">
        <v>25</v>
      </c>
      <c r="AF151" s="6">
        <v>0</v>
      </c>
      <c r="AG151" s="6">
        <v>148.74</v>
      </c>
      <c r="AH151" s="6">
        <v>178.82</v>
      </c>
      <c r="AI151" s="6">
        <f t="shared" si="4"/>
        <v>30.079999999999984</v>
      </c>
      <c r="AJ151" s="5">
        <f t="shared" si="5"/>
        <v>0.16821384632591424</v>
      </c>
    </row>
    <row r="152" spans="1:36">
      <c r="A152" t="s">
        <v>311</v>
      </c>
      <c r="B152" t="s">
        <v>413</v>
      </c>
      <c r="C152" t="s">
        <v>56</v>
      </c>
      <c r="D152" t="s">
        <v>54</v>
      </c>
      <c r="E152" t="s">
        <v>55</v>
      </c>
      <c r="F152">
        <v>0</v>
      </c>
      <c r="G152">
        <v>6155</v>
      </c>
      <c r="H152">
        <v>1</v>
      </c>
      <c r="I152" t="s">
        <v>220</v>
      </c>
      <c r="J152">
        <v>2</v>
      </c>
      <c r="K152" s="6">
        <v>3.76</v>
      </c>
      <c r="L152" t="s">
        <v>174</v>
      </c>
      <c r="M152">
        <v>0</v>
      </c>
      <c r="N152" t="s">
        <v>175</v>
      </c>
      <c r="O152">
        <v>1</v>
      </c>
      <c r="P152">
        <v>0</v>
      </c>
      <c r="Q152" s="6">
        <v>27.7</v>
      </c>
      <c r="R152">
        <v>0</v>
      </c>
      <c r="S152" s="6">
        <v>0</v>
      </c>
      <c r="T152">
        <v>0</v>
      </c>
      <c r="U152" s="6">
        <v>3342</v>
      </c>
      <c r="V152">
        <v>0</v>
      </c>
      <c r="W152">
        <v>0</v>
      </c>
      <c r="X152">
        <v>0</v>
      </c>
      <c r="Y152" s="6">
        <v>45.7</v>
      </c>
      <c r="Z152">
        <v>6.5000000000000002E-2</v>
      </c>
      <c r="AA152">
        <v>5.8999999999999997E-2</v>
      </c>
      <c r="AB152">
        <v>0.11</v>
      </c>
      <c r="AC152">
        <v>6</v>
      </c>
      <c r="AD152" s="6">
        <v>50</v>
      </c>
      <c r="AE152" s="6">
        <v>0</v>
      </c>
      <c r="AF152" s="6">
        <v>0</v>
      </c>
      <c r="AG152" s="6">
        <v>56.28</v>
      </c>
      <c r="AH152" s="6">
        <v>68.709999999999994</v>
      </c>
      <c r="AI152" s="6">
        <f t="shared" si="4"/>
        <v>12.429999999999993</v>
      </c>
      <c r="AJ152" s="5">
        <f t="shared" si="5"/>
        <v>0.18090525396594373</v>
      </c>
    </row>
    <row r="153" spans="1:36">
      <c r="A153" t="s">
        <v>319</v>
      </c>
      <c r="B153" t="s">
        <v>414</v>
      </c>
      <c r="C153" t="s">
        <v>56</v>
      </c>
      <c r="D153" t="s">
        <v>54</v>
      </c>
      <c r="E153" t="s">
        <v>55</v>
      </c>
      <c r="F153">
        <v>0</v>
      </c>
      <c r="G153">
        <v>6155</v>
      </c>
      <c r="H153">
        <v>1</v>
      </c>
      <c r="I153" t="s">
        <v>173</v>
      </c>
      <c r="J153">
        <v>1</v>
      </c>
      <c r="K153" s="6">
        <v>2.0499999999999998</v>
      </c>
      <c r="L153" t="s">
        <v>174</v>
      </c>
      <c r="M153">
        <v>0</v>
      </c>
      <c r="N153" t="s">
        <v>175</v>
      </c>
      <c r="O153">
        <v>1</v>
      </c>
      <c r="P153">
        <v>0</v>
      </c>
      <c r="Q153" s="6">
        <v>28.6</v>
      </c>
      <c r="R153">
        <v>1</v>
      </c>
      <c r="S153" s="6">
        <v>1393</v>
      </c>
      <c r="T153">
        <v>0</v>
      </c>
      <c r="U153" s="6">
        <v>902</v>
      </c>
      <c r="V153">
        <v>1</v>
      </c>
      <c r="W153">
        <v>0</v>
      </c>
      <c r="X153">
        <v>0</v>
      </c>
      <c r="Y153" s="6">
        <v>45.7</v>
      </c>
      <c r="Z153">
        <v>6.5000000000000002E-2</v>
      </c>
      <c r="AA153">
        <v>5.8999999999999997E-2</v>
      </c>
      <c r="AB153">
        <v>0.11</v>
      </c>
      <c r="AC153">
        <v>6</v>
      </c>
      <c r="AD153" s="6">
        <v>50</v>
      </c>
      <c r="AE153" s="6">
        <v>25</v>
      </c>
      <c r="AF153" s="6">
        <v>0</v>
      </c>
      <c r="AG153" s="6">
        <v>87.74</v>
      </c>
      <c r="AH153" s="6">
        <v>106.22</v>
      </c>
      <c r="AI153" s="6">
        <f t="shared" si="4"/>
        <v>18.480000000000004</v>
      </c>
      <c r="AJ153" s="5">
        <f t="shared" si="5"/>
        <v>0.17397853511579744</v>
      </c>
    </row>
    <row r="154" spans="1:36">
      <c r="A154" t="s">
        <v>316</v>
      </c>
      <c r="B154" t="s">
        <v>415</v>
      </c>
      <c r="C154" t="s">
        <v>56</v>
      </c>
      <c r="D154" t="s">
        <v>54</v>
      </c>
      <c r="E154" t="s">
        <v>55</v>
      </c>
      <c r="F154">
        <v>0</v>
      </c>
      <c r="G154">
        <v>6155</v>
      </c>
      <c r="H154">
        <v>1</v>
      </c>
      <c r="I154" t="s">
        <v>220</v>
      </c>
      <c r="J154">
        <v>2</v>
      </c>
      <c r="K154" s="6">
        <v>3.6</v>
      </c>
      <c r="L154" t="s">
        <v>174</v>
      </c>
      <c r="M154">
        <v>0</v>
      </c>
      <c r="N154" t="s">
        <v>187</v>
      </c>
      <c r="O154">
        <v>2</v>
      </c>
      <c r="P154">
        <v>0</v>
      </c>
      <c r="Q154" s="6">
        <v>54.4</v>
      </c>
      <c r="R154">
        <v>1</v>
      </c>
      <c r="S154" s="6">
        <v>499</v>
      </c>
      <c r="T154">
        <v>0</v>
      </c>
      <c r="U154" s="6">
        <v>2590</v>
      </c>
      <c r="V154">
        <v>0</v>
      </c>
      <c r="W154">
        <v>0</v>
      </c>
      <c r="X154">
        <v>0</v>
      </c>
      <c r="Y154" s="6">
        <v>45.7</v>
      </c>
      <c r="Z154">
        <v>6.5000000000000002E-2</v>
      </c>
      <c r="AA154">
        <v>5.8999999999999997E-2</v>
      </c>
      <c r="AB154">
        <v>0.11</v>
      </c>
      <c r="AC154">
        <v>6</v>
      </c>
      <c r="AD154" s="6">
        <v>50</v>
      </c>
      <c r="AE154" s="6">
        <v>25</v>
      </c>
      <c r="AF154" s="6">
        <v>0</v>
      </c>
      <c r="AG154" s="6">
        <v>59.69</v>
      </c>
      <c r="AH154" s="6">
        <v>76.05</v>
      </c>
      <c r="AI154" s="6">
        <f t="shared" si="4"/>
        <v>16.36</v>
      </c>
      <c r="AJ154" s="5">
        <f t="shared" si="5"/>
        <v>0.21512163050624589</v>
      </c>
    </row>
    <row r="155" spans="1:36">
      <c r="A155" t="s">
        <v>221</v>
      </c>
      <c r="B155" t="s">
        <v>416</v>
      </c>
      <c r="C155" t="s">
        <v>56</v>
      </c>
      <c r="D155" t="s">
        <v>54</v>
      </c>
      <c r="E155" t="s">
        <v>55</v>
      </c>
      <c r="F155">
        <v>0</v>
      </c>
      <c r="G155">
        <v>6155</v>
      </c>
      <c r="H155">
        <v>1</v>
      </c>
      <c r="I155" t="s">
        <v>220</v>
      </c>
      <c r="J155">
        <v>2</v>
      </c>
      <c r="K155" s="6">
        <v>3.9</v>
      </c>
      <c r="L155" t="s">
        <v>174</v>
      </c>
      <c r="M155">
        <v>0</v>
      </c>
      <c r="N155" t="s">
        <v>272</v>
      </c>
      <c r="O155">
        <v>5</v>
      </c>
      <c r="P155">
        <v>1</v>
      </c>
      <c r="Q155" s="6">
        <v>305.8</v>
      </c>
      <c r="R155">
        <v>1</v>
      </c>
      <c r="S155" s="6">
        <v>1053</v>
      </c>
      <c r="T155">
        <v>0</v>
      </c>
      <c r="U155" s="6">
        <v>5089</v>
      </c>
      <c r="V155">
        <v>0</v>
      </c>
      <c r="W155">
        <v>0</v>
      </c>
      <c r="X155">
        <v>0</v>
      </c>
      <c r="Y155" s="6">
        <v>45.7</v>
      </c>
      <c r="Z155">
        <v>6.5000000000000002E-2</v>
      </c>
      <c r="AA155">
        <v>5.8999999999999997E-2</v>
      </c>
      <c r="AB155">
        <v>0.11</v>
      </c>
      <c r="AC155">
        <v>6</v>
      </c>
      <c r="AD155" s="6">
        <v>50</v>
      </c>
      <c r="AE155" s="6">
        <v>25</v>
      </c>
      <c r="AF155" s="6">
        <v>0</v>
      </c>
      <c r="AG155" s="6">
        <v>157.56</v>
      </c>
      <c r="AH155" s="6">
        <v>190.52</v>
      </c>
      <c r="AI155" s="6">
        <f t="shared" si="4"/>
        <v>32.960000000000008</v>
      </c>
      <c r="AJ155" s="5">
        <f t="shared" si="5"/>
        <v>0.17300020995171114</v>
      </c>
    </row>
    <row r="156" spans="1:36">
      <c r="A156" t="s">
        <v>201</v>
      </c>
      <c r="B156" t="s">
        <v>417</v>
      </c>
      <c r="C156" t="s">
        <v>56</v>
      </c>
      <c r="D156" t="s">
        <v>54</v>
      </c>
      <c r="E156" t="s">
        <v>55</v>
      </c>
      <c r="F156">
        <v>0</v>
      </c>
      <c r="G156">
        <v>6155</v>
      </c>
      <c r="H156">
        <v>1</v>
      </c>
      <c r="I156" t="s">
        <v>173</v>
      </c>
      <c r="J156">
        <v>1</v>
      </c>
      <c r="K156" s="6">
        <v>1.48</v>
      </c>
      <c r="L156" t="s">
        <v>174</v>
      </c>
      <c r="M156">
        <v>0</v>
      </c>
      <c r="N156" t="s">
        <v>182</v>
      </c>
      <c r="O156">
        <v>3</v>
      </c>
      <c r="P156">
        <v>0</v>
      </c>
      <c r="Q156" s="6">
        <v>66.3</v>
      </c>
      <c r="R156">
        <v>0</v>
      </c>
      <c r="S156" s="6">
        <v>0</v>
      </c>
      <c r="T156">
        <v>0</v>
      </c>
      <c r="U156" s="6">
        <v>4962</v>
      </c>
      <c r="V156">
        <v>0</v>
      </c>
      <c r="W156">
        <v>0</v>
      </c>
      <c r="X156">
        <v>0</v>
      </c>
      <c r="Y156" s="6">
        <v>45.7</v>
      </c>
      <c r="Z156">
        <v>6.5000000000000002E-2</v>
      </c>
      <c r="AA156">
        <v>5.8999999999999997E-2</v>
      </c>
      <c r="AB156">
        <v>0.11</v>
      </c>
      <c r="AC156">
        <v>6</v>
      </c>
      <c r="AD156" s="6">
        <v>50</v>
      </c>
      <c r="AE156" s="6">
        <v>0</v>
      </c>
      <c r="AF156" s="6">
        <v>0</v>
      </c>
      <c r="AG156" s="6">
        <v>54.79</v>
      </c>
      <c r="AH156" s="6">
        <v>67.489999999999995</v>
      </c>
      <c r="AI156" s="6">
        <f t="shared" si="4"/>
        <v>12.699999999999996</v>
      </c>
      <c r="AJ156" s="5">
        <f t="shared" si="5"/>
        <v>0.18817602607793743</v>
      </c>
    </row>
    <row r="157" spans="1:36">
      <c r="A157" t="s">
        <v>269</v>
      </c>
      <c r="B157" t="s">
        <v>418</v>
      </c>
      <c r="C157" t="s">
        <v>56</v>
      </c>
      <c r="D157" t="s">
        <v>54</v>
      </c>
      <c r="E157" t="s">
        <v>55</v>
      </c>
      <c r="F157">
        <v>0</v>
      </c>
      <c r="G157">
        <v>6155</v>
      </c>
      <c r="H157">
        <v>1</v>
      </c>
      <c r="I157" t="s">
        <v>220</v>
      </c>
      <c r="J157">
        <v>2</v>
      </c>
      <c r="K157" s="6">
        <v>4.29</v>
      </c>
      <c r="L157" t="s">
        <v>174</v>
      </c>
      <c r="M157">
        <v>0</v>
      </c>
      <c r="N157" t="s">
        <v>182</v>
      </c>
      <c r="O157">
        <v>3</v>
      </c>
      <c r="P157">
        <v>0</v>
      </c>
      <c r="Q157" s="6">
        <v>117</v>
      </c>
      <c r="R157">
        <v>0</v>
      </c>
      <c r="S157" s="6">
        <v>0</v>
      </c>
      <c r="T157">
        <v>0</v>
      </c>
      <c r="U157" s="6">
        <v>5805</v>
      </c>
      <c r="V157">
        <v>0</v>
      </c>
      <c r="W157">
        <v>0</v>
      </c>
      <c r="X157">
        <v>0</v>
      </c>
      <c r="Y157" s="6">
        <v>45.7</v>
      </c>
      <c r="Z157">
        <v>6.5000000000000002E-2</v>
      </c>
      <c r="AA157">
        <v>5.8999999999999997E-2</v>
      </c>
      <c r="AB157">
        <v>0.11</v>
      </c>
      <c r="AC157">
        <v>6</v>
      </c>
      <c r="AD157" s="6">
        <v>50</v>
      </c>
      <c r="AE157" s="6">
        <v>0</v>
      </c>
      <c r="AF157" s="6">
        <v>0</v>
      </c>
      <c r="AG157" s="6">
        <v>69.2</v>
      </c>
      <c r="AH157" s="6">
        <v>83.43</v>
      </c>
      <c r="AI157" s="6">
        <f t="shared" si="4"/>
        <v>14.230000000000004</v>
      </c>
      <c r="AJ157" s="5">
        <f t="shared" si="5"/>
        <v>0.17056214790842625</v>
      </c>
    </row>
    <row r="158" spans="1:36">
      <c r="A158" t="s">
        <v>316</v>
      </c>
      <c r="B158" t="s">
        <v>419</v>
      </c>
      <c r="C158" t="s">
        <v>56</v>
      </c>
      <c r="D158" t="s">
        <v>54</v>
      </c>
      <c r="E158" t="s">
        <v>55</v>
      </c>
      <c r="F158">
        <v>0</v>
      </c>
      <c r="G158">
        <v>6155</v>
      </c>
      <c r="H158">
        <v>1</v>
      </c>
      <c r="I158" t="s">
        <v>220</v>
      </c>
      <c r="J158">
        <v>2</v>
      </c>
      <c r="K158" s="6">
        <v>3.84</v>
      </c>
      <c r="L158" t="s">
        <v>174</v>
      </c>
      <c r="M158">
        <v>0</v>
      </c>
      <c r="N158" t="s">
        <v>217</v>
      </c>
      <c r="O158">
        <v>4</v>
      </c>
      <c r="P158">
        <v>1</v>
      </c>
      <c r="Q158" s="6">
        <v>139.1</v>
      </c>
      <c r="R158">
        <v>1</v>
      </c>
      <c r="S158" s="6">
        <v>1530</v>
      </c>
      <c r="T158">
        <v>0</v>
      </c>
      <c r="U158" s="6">
        <v>6156</v>
      </c>
      <c r="V158">
        <v>0</v>
      </c>
      <c r="W158">
        <v>0</v>
      </c>
      <c r="X158">
        <v>0</v>
      </c>
      <c r="Y158" s="6">
        <v>45.7</v>
      </c>
      <c r="Z158">
        <v>6.5000000000000002E-2</v>
      </c>
      <c r="AA158">
        <v>5.8999999999999997E-2</v>
      </c>
      <c r="AB158">
        <v>0.11</v>
      </c>
      <c r="AC158">
        <v>6</v>
      </c>
      <c r="AD158" s="6">
        <v>50</v>
      </c>
      <c r="AE158" s="6">
        <v>25</v>
      </c>
      <c r="AF158" s="6">
        <v>0</v>
      </c>
      <c r="AG158" s="6">
        <v>114.04</v>
      </c>
      <c r="AH158" s="6">
        <v>136.76</v>
      </c>
      <c r="AI158" s="6">
        <f t="shared" si="4"/>
        <v>22.719999999999985</v>
      </c>
      <c r="AJ158" s="5">
        <f t="shared" si="5"/>
        <v>0.1661304474992687</v>
      </c>
    </row>
    <row r="159" spans="1:36">
      <c r="A159" t="s">
        <v>286</v>
      </c>
      <c r="B159" t="s">
        <v>420</v>
      </c>
      <c r="C159" t="s">
        <v>56</v>
      </c>
      <c r="D159" t="s">
        <v>54</v>
      </c>
      <c r="E159" t="s">
        <v>55</v>
      </c>
      <c r="F159">
        <v>0</v>
      </c>
      <c r="G159">
        <v>6155</v>
      </c>
      <c r="H159">
        <v>1</v>
      </c>
      <c r="I159" t="s">
        <v>220</v>
      </c>
      <c r="J159">
        <v>2</v>
      </c>
      <c r="K159" s="6">
        <v>3.54</v>
      </c>
      <c r="L159" t="s">
        <v>174</v>
      </c>
      <c r="M159">
        <v>0</v>
      </c>
      <c r="N159" t="s">
        <v>182</v>
      </c>
      <c r="O159">
        <v>3</v>
      </c>
      <c r="P159">
        <v>0</v>
      </c>
      <c r="Q159" s="6">
        <v>109.3</v>
      </c>
      <c r="R159">
        <v>1</v>
      </c>
      <c r="S159" s="6">
        <v>3456</v>
      </c>
      <c r="T159">
        <v>0</v>
      </c>
      <c r="U159" s="6">
        <v>2323</v>
      </c>
      <c r="V159">
        <v>0</v>
      </c>
      <c r="W159">
        <v>0</v>
      </c>
      <c r="X159">
        <v>0</v>
      </c>
      <c r="Y159" s="6">
        <v>45.7</v>
      </c>
      <c r="Z159">
        <v>6.5000000000000002E-2</v>
      </c>
      <c r="AA159">
        <v>5.8999999999999997E-2</v>
      </c>
      <c r="AB159">
        <v>0.11</v>
      </c>
      <c r="AC159">
        <v>6</v>
      </c>
      <c r="AD159" s="6">
        <v>50</v>
      </c>
      <c r="AE159" s="6">
        <v>40</v>
      </c>
      <c r="AF159" s="6">
        <v>0</v>
      </c>
      <c r="AG159" s="6">
        <v>63.58</v>
      </c>
      <c r="AH159" s="6">
        <v>80.31</v>
      </c>
      <c r="AI159" s="6">
        <f t="shared" si="4"/>
        <v>16.730000000000004</v>
      </c>
      <c r="AJ159" s="5">
        <f t="shared" si="5"/>
        <v>0.20831776864649487</v>
      </c>
    </row>
    <row r="160" spans="1:36">
      <c r="A160" t="s">
        <v>411</v>
      </c>
      <c r="B160" t="s">
        <v>421</v>
      </c>
      <c r="C160" t="s">
        <v>56</v>
      </c>
      <c r="D160" t="s">
        <v>54</v>
      </c>
      <c r="E160" t="s">
        <v>55</v>
      </c>
      <c r="F160">
        <v>0</v>
      </c>
      <c r="G160">
        <v>6155</v>
      </c>
      <c r="H160">
        <v>1</v>
      </c>
      <c r="I160" t="s">
        <v>220</v>
      </c>
      <c r="J160">
        <v>2</v>
      </c>
      <c r="K160" s="6">
        <v>2.86</v>
      </c>
      <c r="L160" t="s">
        <v>174</v>
      </c>
      <c r="M160">
        <v>0</v>
      </c>
      <c r="N160" t="s">
        <v>187</v>
      </c>
      <c r="O160">
        <v>2</v>
      </c>
      <c r="P160">
        <v>0</v>
      </c>
      <c r="Q160" s="6">
        <v>46.7</v>
      </c>
      <c r="R160">
        <v>0</v>
      </c>
      <c r="S160" s="6">
        <v>0</v>
      </c>
      <c r="T160">
        <v>0</v>
      </c>
      <c r="U160" s="6">
        <v>3726</v>
      </c>
      <c r="V160">
        <v>0</v>
      </c>
      <c r="W160">
        <v>0</v>
      </c>
      <c r="X160">
        <v>0</v>
      </c>
      <c r="Y160" s="6">
        <v>45.7</v>
      </c>
      <c r="Z160">
        <v>6.5000000000000002E-2</v>
      </c>
      <c r="AA160">
        <v>5.8999999999999997E-2</v>
      </c>
      <c r="AB160">
        <v>0.11</v>
      </c>
      <c r="AC160">
        <v>6</v>
      </c>
      <c r="AD160" s="6">
        <v>50</v>
      </c>
      <c r="AE160" s="6">
        <v>0</v>
      </c>
      <c r="AF160" s="6">
        <v>0</v>
      </c>
      <c r="AG160" s="6">
        <v>60.91</v>
      </c>
      <c r="AH160" s="6">
        <v>75.739999999999995</v>
      </c>
      <c r="AI160" s="6">
        <f t="shared" si="4"/>
        <v>14.829999999999998</v>
      </c>
      <c r="AJ160" s="5">
        <f t="shared" si="5"/>
        <v>0.19580142593081595</v>
      </c>
    </row>
    <row r="161" spans="1:36">
      <c r="A161" t="s">
        <v>269</v>
      </c>
      <c r="B161" t="s">
        <v>422</v>
      </c>
      <c r="C161" t="s">
        <v>56</v>
      </c>
      <c r="D161" t="s">
        <v>54</v>
      </c>
      <c r="E161" t="s">
        <v>55</v>
      </c>
      <c r="F161">
        <v>0</v>
      </c>
      <c r="G161">
        <v>6155</v>
      </c>
      <c r="H161">
        <v>1</v>
      </c>
      <c r="I161" t="s">
        <v>173</v>
      </c>
      <c r="J161">
        <v>1</v>
      </c>
      <c r="K161" s="6">
        <v>1.93</v>
      </c>
      <c r="L161" t="s">
        <v>174</v>
      </c>
      <c r="M161">
        <v>0</v>
      </c>
      <c r="N161" t="s">
        <v>187</v>
      </c>
      <c r="O161">
        <v>2</v>
      </c>
      <c r="P161">
        <v>0</v>
      </c>
      <c r="Q161" s="6">
        <v>64.099999999999994</v>
      </c>
      <c r="R161">
        <v>1</v>
      </c>
      <c r="S161" s="6">
        <v>2227</v>
      </c>
      <c r="T161">
        <v>0</v>
      </c>
      <c r="U161" s="6">
        <v>2711</v>
      </c>
      <c r="V161">
        <v>0</v>
      </c>
      <c r="W161">
        <v>0</v>
      </c>
      <c r="X161">
        <v>0</v>
      </c>
      <c r="Y161" s="6">
        <v>45.7</v>
      </c>
      <c r="Z161">
        <v>6.5000000000000002E-2</v>
      </c>
      <c r="AA161">
        <v>5.8999999999999997E-2</v>
      </c>
      <c r="AB161">
        <v>0.11</v>
      </c>
      <c r="AC161">
        <v>6</v>
      </c>
      <c r="AD161" s="6">
        <v>50</v>
      </c>
      <c r="AE161" s="6">
        <v>40</v>
      </c>
      <c r="AF161" s="6">
        <v>0</v>
      </c>
      <c r="AG161" s="6">
        <v>56.63</v>
      </c>
      <c r="AH161" s="6">
        <v>68.22</v>
      </c>
      <c r="AI161" s="6">
        <f t="shared" si="4"/>
        <v>11.589999999999996</v>
      </c>
      <c r="AJ161" s="5">
        <f t="shared" si="5"/>
        <v>0.16989152741131627</v>
      </c>
    </row>
    <row r="162" spans="1:36">
      <c r="A162" t="s">
        <v>423</v>
      </c>
      <c r="B162" t="s">
        <v>424</v>
      </c>
      <c r="C162" t="s">
        <v>56</v>
      </c>
      <c r="D162" t="s">
        <v>54</v>
      </c>
      <c r="E162" t="s">
        <v>55</v>
      </c>
      <c r="F162">
        <v>0</v>
      </c>
      <c r="G162">
        <v>6155</v>
      </c>
      <c r="H162">
        <v>1</v>
      </c>
      <c r="I162" t="s">
        <v>173</v>
      </c>
      <c r="J162">
        <v>1</v>
      </c>
      <c r="K162" s="6">
        <v>1.46</v>
      </c>
      <c r="L162" t="s">
        <v>174</v>
      </c>
      <c r="M162">
        <v>0</v>
      </c>
      <c r="N162" t="s">
        <v>272</v>
      </c>
      <c r="O162">
        <v>5</v>
      </c>
      <c r="P162">
        <v>1</v>
      </c>
      <c r="Q162" s="6">
        <v>189.5</v>
      </c>
      <c r="R162">
        <v>1</v>
      </c>
      <c r="S162" s="6">
        <v>1058</v>
      </c>
      <c r="T162">
        <v>0</v>
      </c>
      <c r="U162" s="6">
        <v>5101</v>
      </c>
      <c r="V162">
        <v>0</v>
      </c>
      <c r="W162">
        <v>0</v>
      </c>
      <c r="X162">
        <v>0</v>
      </c>
      <c r="Y162" s="6">
        <v>45.7</v>
      </c>
      <c r="Z162">
        <v>6.5000000000000002E-2</v>
      </c>
      <c r="AA162">
        <v>5.8999999999999997E-2</v>
      </c>
      <c r="AB162">
        <v>0.11</v>
      </c>
      <c r="AC162">
        <v>6</v>
      </c>
      <c r="AD162" s="6">
        <v>50</v>
      </c>
      <c r="AE162" s="6">
        <v>25</v>
      </c>
      <c r="AF162" s="6">
        <v>0</v>
      </c>
      <c r="AG162" s="6">
        <v>143.27000000000001</v>
      </c>
      <c r="AH162" s="6">
        <v>174.76</v>
      </c>
      <c r="AI162" s="6">
        <f t="shared" si="4"/>
        <v>31.489999999999981</v>
      </c>
      <c r="AJ162" s="5">
        <f t="shared" si="5"/>
        <v>0.18018997482261376</v>
      </c>
    </row>
    <row r="163" spans="1:36">
      <c r="A163" t="s">
        <v>311</v>
      </c>
      <c r="B163" t="s">
        <v>425</v>
      </c>
      <c r="C163" t="s">
        <v>56</v>
      </c>
      <c r="D163" t="s">
        <v>54</v>
      </c>
      <c r="E163" t="s">
        <v>55</v>
      </c>
      <c r="F163">
        <v>0</v>
      </c>
      <c r="G163">
        <v>6155</v>
      </c>
      <c r="H163">
        <v>1</v>
      </c>
      <c r="I163" t="s">
        <v>220</v>
      </c>
      <c r="J163">
        <v>2</v>
      </c>
      <c r="K163" s="6">
        <v>3.85</v>
      </c>
      <c r="L163" t="s">
        <v>174</v>
      </c>
      <c r="M163">
        <v>0</v>
      </c>
      <c r="N163" t="s">
        <v>182</v>
      </c>
      <c r="O163">
        <v>3</v>
      </c>
      <c r="P163">
        <v>0</v>
      </c>
      <c r="Q163" s="6">
        <v>88</v>
      </c>
      <c r="R163">
        <v>1</v>
      </c>
      <c r="S163" s="6">
        <v>904</v>
      </c>
      <c r="T163">
        <v>0</v>
      </c>
      <c r="U163" s="6">
        <v>1966</v>
      </c>
      <c r="V163">
        <v>0</v>
      </c>
      <c r="W163">
        <v>0</v>
      </c>
      <c r="X163">
        <v>0</v>
      </c>
      <c r="Y163" s="6">
        <v>45.7</v>
      </c>
      <c r="Z163">
        <v>6.5000000000000002E-2</v>
      </c>
      <c r="AA163">
        <v>5.8999999999999997E-2</v>
      </c>
      <c r="AB163">
        <v>0.11</v>
      </c>
      <c r="AC163">
        <v>6</v>
      </c>
      <c r="AD163" s="6">
        <v>50</v>
      </c>
      <c r="AE163" s="6">
        <v>25</v>
      </c>
      <c r="AF163" s="6">
        <v>0</v>
      </c>
      <c r="AG163" s="6">
        <v>69.22</v>
      </c>
      <c r="AH163" s="6">
        <v>85.84</v>
      </c>
      <c r="AI163" s="6">
        <f t="shared" si="4"/>
        <v>16.620000000000005</v>
      </c>
      <c r="AJ163" s="5">
        <f t="shared" si="5"/>
        <v>0.19361602982292642</v>
      </c>
    </row>
    <row r="164" spans="1:36">
      <c r="A164" t="s">
        <v>286</v>
      </c>
      <c r="B164" t="s">
        <v>426</v>
      </c>
      <c r="C164" t="s">
        <v>56</v>
      </c>
      <c r="D164" t="s">
        <v>54</v>
      </c>
      <c r="E164" t="s">
        <v>55</v>
      </c>
      <c r="F164">
        <v>0</v>
      </c>
      <c r="G164">
        <v>6155</v>
      </c>
      <c r="H164">
        <v>1</v>
      </c>
      <c r="I164" t="s">
        <v>178</v>
      </c>
      <c r="J164">
        <v>4</v>
      </c>
      <c r="K164" s="6">
        <v>14.33</v>
      </c>
      <c r="L164" t="s">
        <v>174</v>
      </c>
      <c r="M164">
        <v>0</v>
      </c>
      <c r="N164" t="s">
        <v>175</v>
      </c>
      <c r="O164">
        <v>1</v>
      </c>
      <c r="P164">
        <v>0</v>
      </c>
      <c r="Q164" s="6">
        <v>33.200000000000003</v>
      </c>
      <c r="R164">
        <v>0</v>
      </c>
      <c r="S164" s="6">
        <v>0</v>
      </c>
      <c r="T164">
        <v>0</v>
      </c>
      <c r="U164" s="6">
        <v>3825</v>
      </c>
      <c r="V164">
        <v>0</v>
      </c>
      <c r="W164">
        <v>0</v>
      </c>
      <c r="X164">
        <v>0</v>
      </c>
      <c r="Y164" s="6">
        <v>45.7</v>
      </c>
      <c r="Z164">
        <v>6.5000000000000002E-2</v>
      </c>
      <c r="AA164">
        <v>5.8999999999999997E-2</v>
      </c>
      <c r="AB164">
        <v>0.11</v>
      </c>
      <c r="AC164">
        <v>6</v>
      </c>
      <c r="AD164" s="6">
        <v>65</v>
      </c>
      <c r="AE164" s="6">
        <v>0</v>
      </c>
      <c r="AF164" s="6">
        <v>0</v>
      </c>
      <c r="AG164" s="6">
        <v>119.55</v>
      </c>
      <c r="AH164" s="6">
        <v>144.09</v>
      </c>
      <c r="AI164" s="6">
        <f t="shared" si="4"/>
        <v>24.540000000000006</v>
      </c>
      <c r="AJ164" s="5">
        <f t="shared" si="5"/>
        <v>0.17031022277743083</v>
      </c>
    </row>
    <row r="165" spans="1:36">
      <c r="A165" t="s">
        <v>183</v>
      </c>
      <c r="B165" t="s">
        <v>427</v>
      </c>
      <c r="C165" t="s">
        <v>56</v>
      </c>
      <c r="D165" t="s">
        <v>54</v>
      </c>
      <c r="E165" t="s">
        <v>55</v>
      </c>
      <c r="F165">
        <v>0</v>
      </c>
      <c r="G165">
        <v>6155</v>
      </c>
      <c r="H165">
        <v>1</v>
      </c>
      <c r="I165" t="s">
        <v>181</v>
      </c>
      <c r="J165">
        <v>3</v>
      </c>
      <c r="K165" s="6">
        <v>8.0399999999999991</v>
      </c>
      <c r="L165" t="s">
        <v>174</v>
      </c>
      <c r="M165">
        <v>0</v>
      </c>
      <c r="N165" t="s">
        <v>175</v>
      </c>
      <c r="O165">
        <v>1</v>
      </c>
      <c r="P165">
        <v>0</v>
      </c>
      <c r="Q165" s="6">
        <v>46.8</v>
      </c>
      <c r="R165">
        <v>0</v>
      </c>
      <c r="S165" s="6">
        <v>0</v>
      </c>
      <c r="T165">
        <v>0</v>
      </c>
      <c r="U165" s="6">
        <v>4426</v>
      </c>
      <c r="V165">
        <v>1</v>
      </c>
      <c r="W165">
        <v>1</v>
      </c>
      <c r="X165">
        <v>0</v>
      </c>
      <c r="Y165" s="6">
        <v>45.7</v>
      </c>
      <c r="Z165">
        <v>6.5000000000000002E-2</v>
      </c>
      <c r="AA165">
        <v>5.8999999999999997E-2</v>
      </c>
      <c r="AB165">
        <v>0.11</v>
      </c>
      <c r="AC165">
        <v>6</v>
      </c>
      <c r="AD165" s="6">
        <v>60</v>
      </c>
      <c r="AE165" s="6">
        <v>0</v>
      </c>
      <c r="AF165" s="6">
        <v>0</v>
      </c>
      <c r="AG165" s="6">
        <v>153.22</v>
      </c>
      <c r="AH165" s="6">
        <v>186.43</v>
      </c>
      <c r="AI165" s="6">
        <f t="shared" si="4"/>
        <v>33.210000000000008</v>
      </c>
      <c r="AJ165" s="5">
        <f t="shared" si="5"/>
        <v>0.17813656600332567</v>
      </c>
    </row>
    <row r="166" spans="1:36">
      <c r="A166" t="s">
        <v>215</v>
      </c>
      <c r="B166" t="s">
        <v>428</v>
      </c>
      <c r="C166" t="s">
        <v>56</v>
      </c>
      <c r="D166" t="s">
        <v>54</v>
      </c>
      <c r="E166" t="s">
        <v>55</v>
      </c>
      <c r="F166">
        <v>0</v>
      </c>
      <c r="G166">
        <v>6155</v>
      </c>
      <c r="H166">
        <v>1</v>
      </c>
      <c r="I166" t="s">
        <v>178</v>
      </c>
      <c r="J166">
        <v>4</v>
      </c>
      <c r="K166" s="6">
        <v>13.22</v>
      </c>
      <c r="L166" t="s">
        <v>174</v>
      </c>
      <c r="M166">
        <v>0</v>
      </c>
      <c r="N166" t="s">
        <v>182</v>
      </c>
      <c r="O166">
        <v>3</v>
      </c>
      <c r="P166">
        <v>0</v>
      </c>
      <c r="Q166" s="6">
        <v>96.2</v>
      </c>
      <c r="R166">
        <v>0</v>
      </c>
      <c r="S166" s="6">
        <v>0</v>
      </c>
      <c r="T166">
        <v>0</v>
      </c>
      <c r="U166" s="6">
        <v>1801</v>
      </c>
      <c r="V166">
        <v>0</v>
      </c>
      <c r="W166">
        <v>0</v>
      </c>
      <c r="X166">
        <v>0</v>
      </c>
      <c r="Y166" s="6">
        <v>45.7</v>
      </c>
      <c r="Z166">
        <v>6.5000000000000002E-2</v>
      </c>
      <c r="AA166">
        <v>5.8999999999999997E-2</v>
      </c>
      <c r="AB166">
        <v>0.11</v>
      </c>
      <c r="AC166">
        <v>6</v>
      </c>
      <c r="AD166" s="6">
        <v>65</v>
      </c>
      <c r="AE166" s="6">
        <v>0</v>
      </c>
      <c r="AF166" s="6">
        <v>0</v>
      </c>
      <c r="AG166" s="6">
        <v>124.76</v>
      </c>
      <c r="AH166" s="6">
        <v>153.51</v>
      </c>
      <c r="AI166" s="6">
        <f t="shared" si="4"/>
        <v>28.749999999999986</v>
      </c>
      <c r="AJ166" s="5">
        <f t="shared" si="5"/>
        <v>0.18728421601198611</v>
      </c>
    </row>
    <row r="167" spans="1:36">
      <c r="A167" t="s">
        <v>291</v>
      </c>
      <c r="B167" t="s">
        <v>429</v>
      </c>
      <c r="C167" t="s">
        <v>56</v>
      </c>
      <c r="D167" t="s">
        <v>54</v>
      </c>
      <c r="E167" t="s">
        <v>55</v>
      </c>
      <c r="F167">
        <v>0</v>
      </c>
      <c r="G167">
        <v>6155</v>
      </c>
      <c r="H167">
        <v>1</v>
      </c>
      <c r="I167" t="s">
        <v>220</v>
      </c>
      <c r="J167">
        <v>2</v>
      </c>
      <c r="K167" s="6">
        <v>5.13</v>
      </c>
      <c r="L167" t="s">
        <v>174</v>
      </c>
      <c r="M167">
        <v>0</v>
      </c>
      <c r="N167" t="s">
        <v>182</v>
      </c>
      <c r="O167">
        <v>3</v>
      </c>
      <c r="P167">
        <v>0</v>
      </c>
      <c r="Q167" s="6">
        <v>96.6</v>
      </c>
      <c r="R167">
        <v>0</v>
      </c>
      <c r="S167" s="6">
        <v>0</v>
      </c>
      <c r="T167">
        <v>0</v>
      </c>
      <c r="U167" s="6">
        <v>7864</v>
      </c>
      <c r="V167">
        <v>1</v>
      </c>
      <c r="W167">
        <v>0</v>
      </c>
      <c r="X167">
        <v>0</v>
      </c>
      <c r="Y167" s="6">
        <v>45.7</v>
      </c>
      <c r="Z167">
        <v>6.5000000000000002E-2</v>
      </c>
      <c r="AA167">
        <v>5.8999999999999997E-2</v>
      </c>
      <c r="AB167">
        <v>0.11</v>
      </c>
      <c r="AC167">
        <v>6</v>
      </c>
      <c r="AD167" s="6">
        <v>50</v>
      </c>
      <c r="AE167" s="6">
        <v>0</v>
      </c>
      <c r="AF167" s="6">
        <v>0</v>
      </c>
      <c r="AG167" s="6">
        <v>104.38</v>
      </c>
      <c r="AH167" s="6">
        <v>124.36</v>
      </c>
      <c r="AI167" s="6">
        <f t="shared" si="4"/>
        <v>19.980000000000004</v>
      </c>
      <c r="AJ167" s="5">
        <f t="shared" si="5"/>
        <v>0.16066259247346418</v>
      </c>
    </row>
    <row r="168" spans="1:36">
      <c r="A168" t="s">
        <v>185</v>
      </c>
      <c r="B168" t="s">
        <v>430</v>
      </c>
      <c r="C168" t="s">
        <v>56</v>
      </c>
      <c r="D168" t="s">
        <v>54</v>
      </c>
      <c r="E168" t="s">
        <v>55</v>
      </c>
      <c r="F168">
        <v>0</v>
      </c>
      <c r="G168">
        <v>6155</v>
      </c>
      <c r="H168">
        <v>1</v>
      </c>
      <c r="I168" t="s">
        <v>173</v>
      </c>
      <c r="J168">
        <v>1</v>
      </c>
      <c r="K168" s="6">
        <v>2</v>
      </c>
      <c r="L168" t="s">
        <v>174</v>
      </c>
      <c r="M168">
        <v>0</v>
      </c>
      <c r="N168" t="s">
        <v>175</v>
      </c>
      <c r="O168">
        <v>1</v>
      </c>
      <c r="P168">
        <v>0</v>
      </c>
      <c r="Q168" s="6">
        <v>34.200000000000003</v>
      </c>
      <c r="R168">
        <v>0</v>
      </c>
      <c r="S168" s="6">
        <v>0</v>
      </c>
      <c r="T168">
        <v>0</v>
      </c>
      <c r="U168" s="6">
        <v>4703</v>
      </c>
      <c r="V168">
        <v>0</v>
      </c>
      <c r="W168">
        <v>0</v>
      </c>
      <c r="X168">
        <v>0</v>
      </c>
      <c r="Y168" s="6">
        <v>45.7</v>
      </c>
      <c r="Z168">
        <v>6.5000000000000002E-2</v>
      </c>
      <c r="AA168">
        <v>5.8999999999999997E-2</v>
      </c>
      <c r="AB168">
        <v>0.11</v>
      </c>
      <c r="AC168">
        <v>6</v>
      </c>
      <c r="AD168" s="6">
        <v>50</v>
      </c>
      <c r="AE168" s="6">
        <v>0</v>
      </c>
      <c r="AF168" s="6">
        <v>0</v>
      </c>
      <c r="AG168" s="6">
        <v>43.83</v>
      </c>
      <c r="AH168" s="6">
        <v>52.91</v>
      </c>
      <c r="AI168" s="6">
        <f t="shared" si="4"/>
        <v>9.0799999999999983</v>
      </c>
      <c r="AJ168" s="5">
        <f t="shared" si="5"/>
        <v>0.1716121716121716</v>
      </c>
    </row>
    <row r="169" spans="1:36">
      <c r="A169" t="s">
        <v>431</v>
      </c>
      <c r="B169" t="s">
        <v>432</v>
      </c>
      <c r="C169" t="s">
        <v>56</v>
      </c>
      <c r="D169" t="s">
        <v>54</v>
      </c>
      <c r="E169" t="s">
        <v>55</v>
      </c>
      <c r="F169">
        <v>0</v>
      </c>
      <c r="G169">
        <v>6155</v>
      </c>
      <c r="H169">
        <v>1</v>
      </c>
      <c r="I169" t="s">
        <v>173</v>
      </c>
      <c r="J169">
        <v>1</v>
      </c>
      <c r="K169" s="6">
        <v>2.6</v>
      </c>
      <c r="L169" t="s">
        <v>174</v>
      </c>
      <c r="M169">
        <v>0</v>
      </c>
      <c r="N169" t="s">
        <v>187</v>
      </c>
      <c r="O169">
        <v>2</v>
      </c>
      <c r="P169">
        <v>0</v>
      </c>
      <c r="Q169" s="6">
        <v>66.3</v>
      </c>
      <c r="R169">
        <v>0</v>
      </c>
      <c r="S169" s="6">
        <v>0</v>
      </c>
      <c r="T169">
        <v>0</v>
      </c>
      <c r="U169" s="6">
        <v>5150</v>
      </c>
      <c r="V169">
        <v>0</v>
      </c>
      <c r="W169">
        <v>0</v>
      </c>
      <c r="X169">
        <v>1</v>
      </c>
      <c r="Y169" s="6">
        <v>45.7</v>
      </c>
      <c r="Z169">
        <v>6.5000000000000002E-2</v>
      </c>
      <c r="AA169">
        <v>5.8999999999999997E-2</v>
      </c>
      <c r="AB169">
        <v>0.11</v>
      </c>
      <c r="AC169">
        <v>6</v>
      </c>
      <c r="AD169" s="6">
        <v>50</v>
      </c>
      <c r="AE169" s="6">
        <v>0</v>
      </c>
      <c r="AF169" s="6">
        <v>0</v>
      </c>
      <c r="AG169" s="6">
        <v>47.11</v>
      </c>
      <c r="AH169" s="6">
        <v>59.36</v>
      </c>
      <c r="AI169" s="6">
        <f t="shared" si="4"/>
        <v>12.25</v>
      </c>
      <c r="AJ169" s="5">
        <f t="shared" si="5"/>
        <v>0.20636792452830188</v>
      </c>
    </row>
    <row r="170" spans="1:36">
      <c r="A170" t="s">
        <v>277</v>
      </c>
      <c r="B170" t="s">
        <v>433</v>
      </c>
      <c r="C170" t="s">
        <v>56</v>
      </c>
      <c r="D170" t="s">
        <v>54</v>
      </c>
      <c r="E170" t="s">
        <v>55</v>
      </c>
      <c r="F170">
        <v>0</v>
      </c>
      <c r="G170">
        <v>6155</v>
      </c>
      <c r="H170">
        <v>1</v>
      </c>
      <c r="I170" t="s">
        <v>220</v>
      </c>
      <c r="J170">
        <v>2</v>
      </c>
      <c r="K170" s="6">
        <v>3.29</v>
      </c>
      <c r="L170" t="s">
        <v>174</v>
      </c>
      <c r="M170">
        <v>0</v>
      </c>
      <c r="N170" t="s">
        <v>175</v>
      </c>
      <c r="O170">
        <v>1</v>
      </c>
      <c r="P170">
        <v>0</v>
      </c>
      <c r="Q170" s="6">
        <v>49.2</v>
      </c>
      <c r="R170">
        <v>0</v>
      </c>
      <c r="S170" s="6">
        <v>0</v>
      </c>
      <c r="T170">
        <v>0</v>
      </c>
      <c r="U170" s="6">
        <v>8067</v>
      </c>
      <c r="V170">
        <v>0</v>
      </c>
      <c r="W170">
        <v>0</v>
      </c>
      <c r="X170">
        <v>0</v>
      </c>
      <c r="Y170" s="6">
        <v>45.7</v>
      </c>
      <c r="Z170">
        <v>6.5000000000000002E-2</v>
      </c>
      <c r="AA170">
        <v>5.8999999999999997E-2</v>
      </c>
      <c r="AB170">
        <v>0.11</v>
      </c>
      <c r="AC170">
        <v>6</v>
      </c>
      <c r="AD170" s="6">
        <v>50</v>
      </c>
      <c r="AE170" s="6">
        <v>0</v>
      </c>
      <c r="AF170" s="6">
        <v>0</v>
      </c>
      <c r="AG170" s="6">
        <v>50.3</v>
      </c>
      <c r="AH170" s="6">
        <v>62.19</v>
      </c>
      <c r="AI170" s="6">
        <f t="shared" si="4"/>
        <v>11.89</v>
      </c>
      <c r="AJ170" s="5">
        <f t="shared" si="5"/>
        <v>0.19118829393793216</v>
      </c>
    </row>
    <row r="171" spans="1:36">
      <c r="A171" t="s">
        <v>434</v>
      </c>
      <c r="B171" t="s">
        <v>435</v>
      </c>
      <c r="C171" t="s">
        <v>56</v>
      </c>
      <c r="D171" t="s">
        <v>54</v>
      </c>
      <c r="E171" t="s">
        <v>55</v>
      </c>
      <c r="F171">
        <v>0</v>
      </c>
      <c r="G171">
        <v>6155</v>
      </c>
      <c r="H171">
        <v>1</v>
      </c>
      <c r="I171" t="s">
        <v>220</v>
      </c>
      <c r="J171">
        <v>2</v>
      </c>
      <c r="K171" s="6">
        <v>4.2699999999999996</v>
      </c>
      <c r="L171" t="s">
        <v>174</v>
      </c>
      <c r="M171">
        <v>0</v>
      </c>
      <c r="N171" t="s">
        <v>217</v>
      </c>
      <c r="O171">
        <v>4</v>
      </c>
      <c r="P171">
        <v>1</v>
      </c>
      <c r="Q171" s="6">
        <v>134.69999999999999</v>
      </c>
      <c r="R171">
        <v>1</v>
      </c>
      <c r="S171" s="6">
        <v>276</v>
      </c>
      <c r="T171">
        <v>0</v>
      </c>
      <c r="U171" s="6">
        <v>3344</v>
      </c>
      <c r="V171">
        <v>0</v>
      </c>
      <c r="W171">
        <v>0</v>
      </c>
      <c r="X171">
        <v>0</v>
      </c>
      <c r="Y171" s="6">
        <v>45.7</v>
      </c>
      <c r="Z171">
        <v>6.5000000000000002E-2</v>
      </c>
      <c r="AA171">
        <v>5.8999999999999997E-2</v>
      </c>
      <c r="AB171">
        <v>0.11</v>
      </c>
      <c r="AC171">
        <v>6</v>
      </c>
      <c r="AD171" s="6">
        <v>50</v>
      </c>
      <c r="AE171" s="6">
        <v>25</v>
      </c>
      <c r="AF171" s="6">
        <v>0</v>
      </c>
      <c r="AG171" s="6">
        <v>122.25</v>
      </c>
      <c r="AH171" s="6">
        <v>146.59</v>
      </c>
      <c r="AI171" s="6">
        <f t="shared" si="4"/>
        <v>24.340000000000003</v>
      </c>
      <c r="AJ171" s="5">
        <f t="shared" si="5"/>
        <v>0.16604133979125454</v>
      </c>
    </row>
    <row r="172" spans="1:36">
      <c r="A172" t="s">
        <v>436</v>
      </c>
      <c r="B172" t="s">
        <v>437</v>
      </c>
      <c r="C172" t="s">
        <v>56</v>
      </c>
      <c r="D172" t="s">
        <v>54</v>
      </c>
      <c r="E172" t="s">
        <v>55</v>
      </c>
      <c r="F172">
        <v>0</v>
      </c>
      <c r="G172">
        <v>6155</v>
      </c>
      <c r="H172">
        <v>1</v>
      </c>
      <c r="I172" t="s">
        <v>220</v>
      </c>
      <c r="J172">
        <v>2</v>
      </c>
      <c r="K172" s="6">
        <v>4.3899999999999997</v>
      </c>
      <c r="L172" t="s">
        <v>174</v>
      </c>
      <c r="M172">
        <v>0</v>
      </c>
      <c r="N172" t="s">
        <v>187</v>
      </c>
      <c r="O172">
        <v>2</v>
      </c>
      <c r="P172">
        <v>0</v>
      </c>
      <c r="Q172" s="6">
        <v>39.799999999999997</v>
      </c>
      <c r="R172">
        <v>0</v>
      </c>
      <c r="S172" s="6">
        <v>0</v>
      </c>
      <c r="T172">
        <v>0</v>
      </c>
      <c r="U172" s="6">
        <v>5266</v>
      </c>
      <c r="V172">
        <v>0</v>
      </c>
      <c r="W172">
        <v>0</v>
      </c>
      <c r="X172">
        <v>0</v>
      </c>
      <c r="Y172" s="6">
        <v>45.7</v>
      </c>
      <c r="Z172">
        <v>6.5000000000000002E-2</v>
      </c>
      <c r="AA172">
        <v>5.8999999999999997E-2</v>
      </c>
      <c r="AB172">
        <v>0.11</v>
      </c>
      <c r="AC172">
        <v>6</v>
      </c>
      <c r="AD172" s="6">
        <v>50</v>
      </c>
      <c r="AE172" s="6">
        <v>0</v>
      </c>
      <c r="AF172" s="6">
        <v>0</v>
      </c>
      <c r="AG172" s="6">
        <v>56.46</v>
      </c>
      <c r="AH172" s="6">
        <v>70.010000000000005</v>
      </c>
      <c r="AI172" s="6">
        <f t="shared" si="4"/>
        <v>13.550000000000004</v>
      </c>
      <c r="AJ172" s="5">
        <f t="shared" si="5"/>
        <v>0.19354377946007717</v>
      </c>
    </row>
    <row r="173" spans="1:36">
      <c r="A173" t="s">
        <v>303</v>
      </c>
      <c r="B173" t="s">
        <v>438</v>
      </c>
      <c r="C173" t="s">
        <v>56</v>
      </c>
      <c r="D173" t="s">
        <v>54</v>
      </c>
      <c r="E173" t="s">
        <v>55</v>
      </c>
      <c r="F173">
        <v>0</v>
      </c>
      <c r="G173">
        <v>6155</v>
      </c>
      <c r="H173">
        <v>1</v>
      </c>
      <c r="I173" t="s">
        <v>220</v>
      </c>
      <c r="J173">
        <v>2</v>
      </c>
      <c r="K173" s="6">
        <v>1.04</v>
      </c>
      <c r="L173" t="s">
        <v>174</v>
      </c>
      <c r="M173">
        <v>0</v>
      </c>
      <c r="N173" t="s">
        <v>187</v>
      </c>
      <c r="O173">
        <v>2</v>
      </c>
      <c r="P173">
        <v>0</v>
      </c>
      <c r="Q173" s="6">
        <v>67.099999999999994</v>
      </c>
      <c r="R173">
        <v>1</v>
      </c>
      <c r="S173" s="6">
        <v>2756</v>
      </c>
      <c r="T173">
        <v>0</v>
      </c>
      <c r="U173" s="6">
        <v>2168</v>
      </c>
      <c r="V173">
        <v>0</v>
      </c>
      <c r="W173">
        <v>0</v>
      </c>
      <c r="X173">
        <v>0</v>
      </c>
      <c r="Y173" s="6">
        <v>45.7</v>
      </c>
      <c r="Z173">
        <v>6.5000000000000002E-2</v>
      </c>
      <c r="AA173">
        <v>5.8999999999999997E-2</v>
      </c>
      <c r="AB173">
        <v>0.11</v>
      </c>
      <c r="AC173">
        <v>6</v>
      </c>
      <c r="AD173" s="6">
        <v>50</v>
      </c>
      <c r="AE173" s="6">
        <v>40</v>
      </c>
      <c r="AF173" s="6">
        <v>0</v>
      </c>
      <c r="AG173" s="6">
        <v>64.59</v>
      </c>
      <c r="AH173" s="6">
        <v>77.739999999999995</v>
      </c>
      <c r="AI173" s="6">
        <f t="shared" si="4"/>
        <v>13.149999999999991</v>
      </c>
      <c r="AJ173" s="5">
        <f t="shared" si="5"/>
        <v>0.16915358888603027</v>
      </c>
    </row>
    <row r="174" spans="1:36">
      <c r="A174" t="s">
        <v>423</v>
      </c>
      <c r="B174" t="s">
        <v>439</v>
      </c>
      <c r="C174" t="s">
        <v>56</v>
      </c>
      <c r="D174" t="s">
        <v>54</v>
      </c>
      <c r="E174" t="s">
        <v>55</v>
      </c>
      <c r="F174">
        <v>0</v>
      </c>
      <c r="G174">
        <v>6155</v>
      </c>
      <c r="H174">
        <v>1</v>
      </c>
      <c r="I174" t="s">
        <v>173</v>
      </c>
      <c r="J174">
        <v>1</v>
      </c>
      <c r="K174" s="6">
        <v>1.51</v>
      </c>
      <c r="L174" t="s">
        <v>174</v>
      </c>
      <c r="M174">
        <v>0</v>
      </c>
      <c r="N174" t="s">
        <v>175</v>
      </c>
      <c r="O174">
        <v>1</v>
      </c>
      <c r="P174">
        <v>0</v>
      </c>
      <c r="Q174" s="6">
        <v>26.1</v>
      </c>
      <c r="R174">
        <v>0</v>
      </c>
      <c r="S174" s="6">
        <v>0</v>
      </c>
      <c r="T174">
        <v>0</v>
      </c>
      <c r="U174" s="6">
        <v>1801</v>
      </c>
      <c r="V174">
        <v>0</v>
      </c>
      <c r="W174">
        <v>0</v>
      </c>
      <c r="X174">
        <v>0</v>
      </c>
      <c r="Y174" s="6">
        <v>45.7</v>
      </c>
      <c r="Z174">
        <v>6.5000000000000002E-2</v>
      </c>
      <c r="AA174">
        <v>5.8999999999999997E-2</v>
      </c>
      <c r="AB174">
        <v>0.11</v>
      </c>
      <c r="AC174">
        <v>6</v>
      </c>
      <c r="AD174" s="6">
        <v>50</v>
      </c>
      <c r="AE174" s="6">
        <v>0</v>
      </c>
      <c r="AF174" s="6">
        <v>0</v>
      </c>
      <c r="AG174" s="6">
        <v>44.63</v>
      </c>
      <c r="AH174" s="6">
        <v>56.7</v>
      </c>
      <c r="AI174" s="6">
        <f t="shared" si="4"/>
        <v>12.07</v>
      </c>
      <c r="AJ174" s="5">
        <f t="shared" si="5"/>
        <v>0.21287477954144621</v>
      </c>
    </row>
    <row r="175" spans="1:36">
      <c r="A175" t="s">
        <v>298</v>
      </c>
      <c r="B175" t="s">
        <v>440</v>
      </c>
      <c r="C175" t="s">
        <v>56</v>
      </c>
      <c r="D175" t="s">
        <v>54</v>
      </c>
      <c r="E175" t="s">
        <v>55</v>
      </c>
      <c r="F175">
        <v>0</v>
      </c>
      <c r="G175">
        <v>6155</v>
      </c>
      <c r="H175">
        <v>1</v>
      </c>
      <c r="I175" t="s">
        <v>173</v>
      </c>
      <c r="J175">
        <v>1</v>
      </c>
      <c r="K175" s="6">
        <v>1.52</v>
      </c>
      <c r="L175" t="s">
        <v>174</v>
      </c>
      <c r="M175">
        <v>0</v>
      </c>
      <c r="N175" t="s">
        <v>182</v>
      </c>
      <c r="O175">
        <v>3</v>
      </c>
      <c r="P175">
        <v>0</v>
      </c>
      <c r="Q175" s="6">
        <v>94.6</v>
      </c>
      <c r="R175">
        <v>1</v>
      </c>
      <c r="S175" s="6">
        <v>853</v>
      </c>
      <c r="T175">
        <v>0</v>
      </c>
      <c r="U175" s="6">
        <v>2524</v>
      </c>
      <c r="V175">
        <v>0</v>
      </c>
      <c r="W175">
        <v>0</v>
      </c>
      <c r="X175">
        <v>0</v>
      </c>
      <c r="Y175" s="6">
        <v>45.7</v>
      </c>
      <c r="Z175">
        <v>6.5000000000000002E-2</v>
      </c>
      <c r="AA175">
        <v>5.8999999999999997E-2</v>
      </c>
      <c r="AB175">
        <v>0.11</v>
      </c>
      <c r="AC175">
        <v>6</v>
      </c>
      <c r="AD175" s="6">
        <v>50</v>
      </c>
      <c r="AE175" s="6">
        <v>25</v>
      </c>
      <c r="AF175" s="6">
        <v>0</v>
      </c>
      <c r="AG175" s="6">
        <v>61.63</v>
      </c>
      <c r="AH175" s="6">
        <v>75.34</v>
      </c>
      <c r="AI175" s="6">
        <f t="shared" si="4"/>
        <v>13.71</v>
      </c>
      <c r="AJ175" s="5">
        <f t="shared" si="5"/>
        <v>0.18197504645606583</v>
      </c>
    </row>
    <row r="176" spans="1:36">
      <c r="A176" t="s">
        <v>436</v>
      </c>
      <c r="B176" t="s">
        <v>441</v>
      </c>
      <c r="C176" t="s">
        <v>56</v>
      </c>
      <c r="D176" t="s">
        <v>54</v>
      </c>
      <c r="E176" t="s">
        <v>55</v>
      </c>
      <c r="F176">
        <v>0</v>
      </c>
      <c r="G176">
        <v>6155</v>
      </c>
      <c r="H176">
        <v>1</v>
      </c>
      <c r="I176" t="s">
        <v>178</v>
      </c>
      <c r="J176">
        <v>4</v>
      </c>
      <c r="K176" s="6">
        <v>14.91</v>
      </c>
      <c r="L176" t="s">
        <v>174</v>
      </c>
      <c r="M176">
        <v>0</v>
      </c>
      <c r="N176" t="s">
        <v>182</v>
      </c>
      <c r="O176">
        <v>3</v>
      </c>
      <c r="P176">
        <v>0</v>
      </c>
      <c r="Q176" s="6">
        <v>116.4</v>
      </c>
      <c r="R176">
        <v>0</v>
      </c>
      <c r="S176" s="6">
        <v>0</v>
      </c>
      <c r="T176">
        <v>0</v>
      </c>
      <c r="U176" s="6">
        <v>5344</v>
      </c>
      <c r="V176">
        <v>0</v>
      </c>
      <c r="W176">
        <v>0</v>
      </c>
      <c r="X176">
        <v>0</v>
      </c>
      <c r="Y176" s="6">
        <v>45.7</v>
      </c>
      <c r="Z176">
        <v>6.5000000000000002E-2</v>
      </c>
      <c r="AA176">
        <v>5.8999999999999997E-2</v>
      </c>
      <c r="AB176">
        <v>0.11</v>
      </c>
      <c r="AC176">
        <v>6</v>
      </c>
      <c r="AD176" s="6">
        <v>65</v>
      </c>
      <c r="AE176" s="6">
        <v>0</v>
      </c>
      <c r="AF176" s="6">
        <v>0</v>
      </c>
      <c r="AG176" s="6">
        <v>138.81</v>
      </c>
      <c r="AH176" s="6">
        <v>167.75</v>
      </c>
      <c r="AI176" s="6">
        <f t="shared" si="4"/>
        <v>28.939999999999998</v>
      </c>
      <c r="AJ176" s="5">
        <f t="shared" si="5"/>
        <v>0.17251862891207151</v>
      </c>
    </row>
    <row r="177" spans="1:36">
      <c r="A177" t="s">
        <v>300</v>
      </c>
      <c r="B177" t="s">
        <v>442</v>
      </c>
      <c r="C177" t="s">
        <v>56</v>
      </c>
      <c r="D177" t="s">
        <v>54</v>
      </c>
      <c r="E177" t="s">
        <v>55</v>
      </c>
      <c r="F177">
        <v>0</v>
      </c>
      <c r="G177">
        <v>6155</v>
      </c>
      <c r="H177">
        <v>1</v>
      </c>
      <c r="I177" t="s">
        <v>178</v>
      </c>
      <c r="J177">
        <v>4</v>
      </c>
      <c r="K177" s="6">
        <v>15.35</v>
      </c>
      <c r="L177" t="s">
        <v>174</v>
      </c>
      <c r="M177">
        <v>0</v>
      </c>
      <c r="N177" t="s">
        <v>182</v>
      </c>
      <c r="O177">
        <v>3</v>
      </c>
      <c r="P177">
        <v>0</v>
      </c>
      <c r="Q177" s="6">
        <v>92.8</v>
      </c>
      <c r="R177">
        <v>0</v>
      </c>
      <c r="S177" s="6">
        <v>0</v>
      </c>
      <c r="T177">
        <v>0</v>
      </c>
      <c r="U177" s="6">
        <v>8970</v>
      </c>
      <c r="V177">
        <v>0</v>
      </c>
      <c r="W177">
        <v>0</v>
      </c>
      <c r="X177">
        <v>0</v>
      </c>
      <c r="Y177" s="6">
        <v>45.7</v>
      </c>
      <c r="Z177">
        <v>6.5000000000000002E-2</v>
      </c>
      <c r="AA177">
        <v>5.8999999999999997E-2</v>
      </c>
      <c r="AB177">
        <v>0.11</v>
      </c>
      <c r="AC177">
        <v>6</v>
      </c>
      <c r="AD177" s="6">
        <v>65</v>
      </c>
      <c r="AE177" s="6">
        <v>0</v>
      </c>
      <c r="AF177" s="6">
        <v>0</v>
      </c>
      <c r="AG177" s="6">
        <v>132.04</v>
      </c>
      <c r="AH177" s="6">
        <v>160.62</v>
      </c>
      <c r="AI177" s="6">
        <f t="shared" si="4"/>
        <v>28.580000000000013</v>
      </c>
      <c r="AJ177" s="5">
        <f t="shared" si="5"/>
        <v>0.17793549993774133</v>
      </c>
    </row>
    <row r="178" spans="1:36">
      <c r="A178" t="s">
        <v>274</v>
      </c>
      <c r="B178" t="s">
        <v>443</v>
      </c>
      <c r="C178" t="s">
        <v>56</v>
      </c>
      <c r="D178" t="s">
        <v>54</v>
      </c>
      <c r="E178" t="s">
        <v>55</v>
      </c>
      <c r="F178">
        <v>0</v>
      </c>
      <c r="G178">
        <v>6155</v>
      </c>
      <c r="H178">
        <v>1</v>
      </c>
      <c r="I178" t="s">
        <v>220</v>
      </c>
      <c r="J178">
        <v>2</v>
      </c>
      <c r="K178" s="6">
        <v>3.53</v>
      </c>
      <c r="L178" t="s">
        <v>174</v>
      </c>
      <c r="M178">
        <v>0</v>
      </c>
      <c r="N178" t="s">
        <v>175</v>
      </c>
      <c r="O178">
        <v>1</v>
      </c>
      <c r="P178">
        <v>0</v>
      </c>
      <c r="Q178" s="6">
        <v>42.5</v>
      </c>
      <c r="R178">
        <v>0</v>
      </c>
      <c r="S178" s="6">
        <v>0</v>
      </c>
      <c r="T178">
        <v>0</v>
      </c>
      <c r="U178" s="6">
        <v>2866</v>
      </c>
      <c r="V178">
        <v>0</v>
      </c>
      <c r="W178">
        <v>0</v>
      </c>
      <c r="X178">
        <v>1</v>
      </c>
      <c r="Y178" s="6">
        <v>45.7</v>
      </c>
      <c r="Z178">
        <v>6.5000000000000002E-2</v>
      </c>
      <c r="AA178">
        <v>5.8999999999999997E-2</v>
      </c>
      <c r="AB178">
        <v>0.11</v>
      </c>
      <c r="AC178">
        <v>6</v>
      </c>
      <c r="AD178" s="6">
        <v>50</v>
      </c>
      <c r="AE178" s="6">
        <v>0</v>
      </c>
      <c r="AF178" s="6">
        <v>0</v>
      </c>
      <c r="AG178" s="6">
        <v>56.16</v>
      </c>
      <c r="AH178" s="6">
        <v>67.77</v>
      </c>
      <c r="AI178" s="6">
        <f t="shared" si="4"/>
        <v>11.61</v>
      </c>
      <c r="AJ178" s="5">
        <f t="shared" si="5"/>
        <v>0.17131474103585659</v>
      </c>
    </row>
    <row r="179" spans="1:36">
      <c r="A179" t="s">
        <v>296</v>
      </c>
      <c r="B179" t="s">
        <v>444</v>
      </c>
      <c r="C179" t="s">
        <v>56</v>
      </c>
      <c r="D179" t="s">
        <v>54</v>
      </c>
      <c r="E179" t="s">
        <v>55</v>
      </c>
      <c r="F179">
        <v>0</v>
      </c>
      <c r="G179">
        <v>6155</v>
      </c>
      <c r="H179">
        <v>1</v>
      </c>
      <c r="I179" t="s">
        <v>220</v>
      </c>
      <c r="J179">
        <v>2</v>
      </c>
      <c r="K179" s="6">
        <v>1.63</v>
      </c>
      <c r="L179" t="s">
        <v>174</v>
      </c>
      <c r="M179">
        <v>0</v>
      </c>
      <c r="N179" t="s">
        <v>182</v>
      </c>
      <c r="O179">
        <v>3</v>
      </c>
      <c r="P179">
        <v>0</v>
      </c>
      <c r="Q179" s="6">
        <v>73</v>
      </c>
      <c r="R179">
        <v>0</v>
      </c>
      <c r="S179" s="6">
        <v>0</v>
      </c>
      <c r="T179">
        <v>0</v>
      </c>
      <c r="U179" s="6">
        <v>4258</v>
      </c>
      <c r="V179">
        <v>0</v>
      </c>
      <c r="W179">
        <v>0</v>
      </c>
      <c r="X179">
        <v>0</v>
      </c>
      <c r="Y179" s="6">
        <v>45.7</v>
      </c>
      <c r="Z179">
        <v>6.5000000000000002E-2</v>
      </c>
      <c r="AA179">
        <v>5.8999999999999997E-2</v>
      </c>
      <c r="AB179">
        <v>0.11</v>
      </c>
      <c r="AC179">
        <v>6</v>
      </c>
      <c r="AD179" s="6">
        <v>50</v>
      </c>
      <c r="AE179" s="6">
        <v>0</v>
      </c>
      <c r="AF179" s="6">
        <v>0</v>
      </c>
      <c r="AG179" s="6">
        <v>63.58</v>
      </c>
      <c r="AH179" s="6">
        <v>77.7</v>
      </c>
      <c r="AI179" s="6">
        <f t="shared" si="4"/>
        <v>14.120000000000005</v>
      </c>
      <c r="AJ179" s="5">
        <f t="shared" si="5"/>
        <v>0.18172458172458178</v>
      </c>
    </row>
    <row r="180" spans="1:36">
      <c r="A180" t="s">
        <v>206</v>
      </c>
      <c r="B180" t="s">
        <v>445</v>
      </c>
      <c r="C180" t="s">
        <v>56</v>
      </c>
      <c r="D180" t="s">
        <v>54</v>
      </c>
      <c r="E180" t="s">
        <v>55</v>
      </c>
      <c r="F180">
        <v>0</v>
      </c>
      <c r="G180">
        <v>6155</v>
      </c>
      <c r="H180">
        <v>1</v>
      </c>
      <c r="I180" t="s">
        <v>173</v>
      </c>
      <c r="J180">
        <v>1</v>
      </c>
      <c r="K180" s="6">
        <v>0.93</v>
      </c>
      <c r="L180" t="s">
        <v>174</v>
      </c>
      <c r="M180">
        <v>0</v>
      </c>
      <c r="N180" t="s">
        <v>182</v>
      </c>
      <c r="O180">
        <v>3</v>
      </c>
      <c r="P180">
        <v>0</v>
      </c>
      <c r="Q180" s="6">
        <v>111.2</v>
      </c>
      <c r="R180">
        <v>1</v>
      </c>
      <c r="S180" s="6">
        <v>4191</v>
      </c>
      <c r="T180">
        <v>0</v>
      </c>
      <c r="U180" s="6">
        <v>7253</v>
      </c>
      <c r="V180">
        <v>0</v>
      </c>
      <c r="W180">
        <v>0</v>
      </c>
      <c r="X180">
        <v>0</v>
      </c>
      <c r="Y180" s="6">
        <v>45.7</v>
      </c>
      <c r="Z180">
        <v>6.5000000000000002E-2</v>
      </c>
      <c r="AA180">
        <v>5.8999999999999997E-2</v>
      </c>
      <c r="AB180">
        <v>0.11</v>
      </c>
      <c r="AC180">
        <v>6</v>
      </c>
      <c r="AD180" s="6">
        <v>50</v>
      </c>
      <c r="AE180" s="6">
        <v>40</v>
      </c>
      <c r="AF180" s="6">
        <v>0</v>
      </c>
      <c r="AG180" s="6">
        <v>59.03</v>
      </c>
      <c r="AH180" s="6">
        <v>71.95</v>
      </c>
      <c r="AI180" s="6">
        <f t="shared" si="4"/>
        <v>12.920000000000002</v>
      </c>
      <c r="AJ180" s="5">
        <f t="shared" si="5"/>
        <v>0.17956914523974984</v>
      </c>
    </row>
    <row r="181" spans="1:36">
      <c r="A181" t="s">
        <v>397</v>
      </c>
      <c r="B181" t="s">
        <v>446</v>
      </c>
      <c r="C181" t="s">
        <v>56</v>
      </c>
      <c r="D181" t="s">
        <v>54</v>
      </c>
      <c r="E181" t="s">
        <v>55</v>
      </c>
      <c r="F181">
        <v>0</v>
      </c>
      <c r="G181">
        <v>6155</v>
      </c>
      <c r="H181">
        <v>1</v>
      </c>
      <c r="I181" t="s">
        <v>181</v>
      </c>
      <c r="J181">
        <v>3</v>
      </c>
      <c r="K181" s="6">
        <v>8.1300000000000008</v>
      </c>
      <c r="L181" t="s">
        <v>174</v>
      </c>
      <c r="M181">
        <v>0</v>
      </c>
      <c r="N181" t="s">
        <v>175</v>
      </c>
      <c r="O181">
        <v>1</v>
      </c>
      <c r="P181">
        <v>0</v>
      </c>
      <c r="Q181" s="6">
        <v>36.200000000000003</v>
      </c>
      <c r="R181">
        <v>1</v>
      </c>
      <c r="S181" s="6">
        <v>2168</v>
      </c>
      <c r="T181">
        <v>0</v>
      </c>
      <c r="U181" s="6">
        <v>2007</v>
      </c>
      <c r="V181">
        <v>0</v>
      </c>
      <c r="W181">
        <v>0</v>
      </c>
      <c r="X181">
        <v>0</v>
      </c>
      <c r="Y181" s="6">
        <v>45.7</v>
      </c>
      <c r="Z181">
        <v>6.5000000000000002E-2</v>
      </c>
      <c r="AA181">
        <v>5.8999999999999997E-2</v>
      </c>
      <c r="AB181">
        <v>0.11</v>
      </c>
      <c r="AC181">
        <v>6</v>
      </c>
      <c r="AD181" s="6">
        <v>60</v>
      </c>
      <c r="AE181" s="6">
        <v>40</v>
      </c>
      <c r="AF181" s="6">
        <v>0</v>
      </c>
      <c r="AG181" s="6">
        <v>91.37</v>
      </c>
      <c r="AH181" s="6">
        <v>108.84</v>
      </c>
      <c r="AI181" s="6">
        <f t="shared" si="4"/>
        <v>17.47</v>
      </c>
      <c r="AJ181" s="5">
        <f t="shared" si="5"/>
        <v>0.16051084160235207</v>
      </c>
    </row>
    <row r="182" spans="1:36">
      <c r="A182" t="s">
        <v>230</v>
      </c>
      <c r="B182" t="s">
        <v>447</v>
      </c>
      <c r="C182" t="s">
        <v>56</v>
      </c>
      <c r="D182" t="s">
        <v>54</v>
      </c>
      <c r="E182" t="s">
        <v>55</v>
      </c>
      <c r="F182">
        <v>0</v>
      </c>
      <c r="G182">
        <v>6155</v>
      </c>
      <c r="H182">
        <v>1</v>
      </c>
      <c r="I182" t="s">
        <v>220</v>
      </c>
      <c r="J182">
        <v>2</v>
      </c>
      <c r="K182" s="6">
        <v>5</v>
      </c>
      <c r="L182" t="s">
        <v>174</v>
      </c>
      <c r="M182">
        <v>0</v>
      </c>
      <c r="N182" t="s">
        <v>182</v>
      </c>
      <c r="O182">
        <v>3</v>
      </c>
      <c r="P182">
        <v>0</v>
      </c>
      <c r="Q182" s="6">
        <v>51.9</v>
      </c>
      <c r="R182">
        <v>1</v>
      </c>
      <c r="S182" s="6">
        <v>861</v>
      </c>
      <c r="T182">
        <v>0</v>
      </c>
      <c r="U182" s="6">
        <v>10694</v>
      </c>
      <c r="V182">
        <v>0</v>
      </c>
      <c r="W182">
        <v>0</v>
      </c>
      <c r="X182">
        <v>0</v>
      </c>
      <c r="Y182" s="6">
        <v>45.7</v>
      </c>
      <c r="Z182">
        <v>6.5000000000000002E-2</v>
      </c>
      <c r="AA182">
        <v>5.8999999999999997E-2</v>
      </c>
      <c r="AB182">
        <v>0.11</v>
      </c>
      <c r="AC182">
        <v>6</v>
      </c>
      <c r="AD182" s="6">
        <v>50</v>
      </c>
      <c r="AE182" s="6">
        <v>25</v>
      </c>
      <c r="AF182" s="6">
        <v>0</v>
      </c>
      <c r="AG182" s="6">
        <v>68.540000000000006</v>
      </c>
      <c r="AH182" s="6">
        <v>82.12</v>
      </c>
      <c r="AI182" s="6">
        <f t="shared" si="4"/>
        <v>13.579999999999998</v>
      </c>
      <c r="AJ182" s="5">
        <f t="shared" si="5"/>
        <v>0.16536775450560154</v>
      </c>
    </row>
    <row r="183" spans="1:36">
      <c r="A183" t="s">
        <v>238</v>
      </c>
      <c r="B183" t="s">
        <v>448</v>
      </c>
      <c r="C183" t="s">
        <v>56</v>
      </c>
      <c r="D183" t="s">
        <v>54</v>
      </c>
      <c r="E183" t="s">
        <v>55</v>
      </c>
      <c r="F183">
        <v>0</v>
      </c>
      <c r="G183">
        <v>6155</v>
      </c>
      <c r="H183">
        <v>1</v>
      </c>
      <c r="I183" t="s">
        <v>178</v>
      </c>
      <c r="J183">
        <v>4</v>
      </c>
      <c r="K183" s="6">
        <v>7.99</v>
      </c>
      <c r="L183" t="s">
        <v>174</v>
      </c>
      <c r="M183">
        <v>0</v>
      </c>
      <c r="N183" t="s">
        <v>187</v>
      </c>
      <c r="O183">
        <v>2</v>
      </c>
      <c r="P183">
        <v>0</v>
      </c>
      <c r="Q183" s="6">
        <v>57.8</v>
      </c>
      <c r="R183">
        <v>1</v>
      </c>
      <c r="S183" s="6">
        <v>2720</v>
      </c>
      <c r="T183">
        <v>0</v>
      </c>
      <c r="U183" s="6">
        <v>7411</v>
      </c>
      <c r="V183">
        <v>0</v>
      </c>
      <c r="W183">
        <v>0</v>
      </c>
      <c r="X183">
        <v>0</v>
      </c>
      <c r="Y183" s="6">
        <v>45.7</v>
      </c>
      <c r="Z183">
        <v>6.5000000000000002E-2</v>
      </c>
      <c r="AA183">
        <v>5.8999999999999997E-2</v>
      </c>
      <c r="AB183">
        <v>0.11</v>
      </c>
      <c r="AC183">
        <v>6</v>
      </c>
      <c r="AD183" s="6">
        <v>65</v>
      </c>
      <c r="AE183" s="6">
        <v>40</v>
      </c>
      <c r="AF183" s="6">
        <v>0</v>
      </c>
      <c r="AG183" s="6">
        <v>89.96</v>
      </c>
      <c r="AH183" s="6">
        <v>108.39</v>
      </c>
      <c r="AI183" s="6">
        <f t="shared" si="4"/>
        <v>18.430000000000007</v>
      </c>
      <c r="AJ183" s="5">
        <f t="shared" si="5"/>
        <v>0.17003413599040509</v>
      </c>
    </row>
    <row r="184" spans="1:36">
      <c r="A184" t="s">
        <v>319</v>
      </c>
      <c r="B184" t="s">
        <v>449</v>
      </c>
      <c r="C184" t="s">
        <v>56</v>
      </c>
      <c r="D184" t="s">
        <v>54</v>
      </c>
      <c r="E184" t="s">
        <v>55</v>
      </c>
      <c r="F184">
        <v>0</v>
      </c>
      <c r="G184">
        <v>6155</v>
      </c>
      <c r="H184">
        <v>1</v>
      </c>
      <c r="I184" t="s">
        <v>220</v>
      </c>
      <c r="J184">
        <v>2</v>
      </c>
      <c r="K184" s="6">
        <v>7.02</v>
      </c>
      <c r="L184" t="s">
        <v>174</v>
      </c>
      <c r="M184">
        <v>0</v>
      </c>
      <c r="N184" t="s">
        <v>187</v>
      </c>
      <c r="O184">
        <v>2</v>
      </c>
      <c r="P184">
        <v>0</v>
      </c>
      <c r="Q184" s="6">
        <v>32.9</v>
      </c>
      <c r="R184">
        <v>1</v>
      </c>
      <c r="S184" s="6">
        <v>2275</v>
      </c>
      <c r="T184">
        <v>0</v>
      </c>
      <c r="U184" s="6">
        <v>9218</v>
      </c>
      <c r="V184">
        <v>1</v>
      </c>
      <c r="W184">
        <v>0</v>
      </c>
      <c r="X184">
        <v>0</v>
      </c>
      <c r="Y184" s="6">
        <v>45.7</v>
      </c>
      <c r="Z184">
        <v>6.5000000000000002E-2</v>
      </c>
      <c r="AA184">
        <v>5.8999999999999997E-2</v>
      </c>
      <c r="AB184">
        <v>0.11</v>
      </c>
      <c r="AC184">
        <v>6</v>
      </c>
      <c r="AD184" s="6">
        <v>50</v>
      </c>
      <c r="AE184" s="6">
        <v>40</v>
      </c>
      <c r="AF184" s="6">
        <v>0</v>
      </c>
      <c r="AG184" s="6">
        <v>103.56</v>
      </c>
      <c r="AH184" s="6">
        <v>123.69</v>
      </c>
      <c r="AI184" s="6">
        <f t="shared" si="4"/>
        <v>20.129999999999995</v>
      </c>
      <c r="AJ184" s="5">
        <f t="shared" si="5"/>
        <v>0.16274557361144795</v>
      </c>
    </row>
    <row r="185" spans="1:36">
      <c r="A185" t="s">
        <v>393</v>
      </c>
      <c r="B185" t="s">
        <v>450</v>
      </c>
      <c r="C185" t="s">
        <v>56</v>
      </c>
      <c r="D185" t="s">
        <v>54</v>
      </c>
      <c r="E185" t="s">
        <v>55</v>
      </c>
      <c r="F185">
        <v>0</v>
      </c>
      <c r="G185">
        <v>6155</v>
      </c>
      <c r="H185">
        <v>1</v>
      </c>
      <c r="I185" t="s">
        <v>220</v>
      </c>
      <c r="J185">
        <v>2</v>
      </c>
      <c r="K185" s="6">
        <v>3.29</v>
      </c>
      <c r="L185" t="s">
        <v>174</v>
      </c>
      <c r="M185">
        <v>0</v>
      </c>
      <c r="N185" t="s">
        <v>182</v>
      </c>
      <c r="O185">
        <v>3</v>
      </c>
      <c r="P185">
        <v>0</v>
      </c>
      <c r="Q185" s="6">
        <v>108.3</v>
      </c>
      <c r="R185">
        <v>1</v>
      </c>
      <c r="S185" s="6">
        <v>2252</v>
      </c>
      <c r="T185">
        <v>0</v>
      </c>
      <c r="U185" s="6">
        <v>3507</v>
      </c>
      <c r="V185">
        <v>0</v>
      </c>
      <c r="W185">
        <v>0</v>
      </c>
      <c r="X185">
        <v>0</v>
      </c>
      <c r="Y185" s="6">
        <v>45.7</v>
      </c>
      <c r="Z185">
        <v>6.5000000000000002E-2</v>
      </c>
      <c r="AA185">
        <v>5.8999999999999997E-2</v>
      </c>
      <c r="AB185">
        <v>0.11</v>
      </c>
      <c r="AC185">
        <v>6</v>
      </c>
      <c r="AD185" s="6">
        <v>50</v>
      </c>
      <c r="AE185" s="6">
        <v>40</v>
      </c>
      <c r="AF185" s="6">
        <v>0</v>
      </c>
      <c r="AG185" s="6">
        <v>75.39</v>
      </c>
      <c r="AH185" s="6">
        <v>90.68</v>
      </c>
      <c r="AI185" s="6">
        <f t="shared" si="4"/>
        <v>15.290000000000006</v>
      </c>
      <c r="AJ185" s="5">
        <f t="shared" si="5"/>
        <v>0.1686149095721218</v>
      </c>
    </row>
    <row r="186" spans="1:36">
      <c r="A186" t="s">
        <v>269</v>
      </c>
      <c r="B186" t="s">
        <v>451</v>
      </c>
      <c r="C186" t="s">
        <v>56</v>
      </c>
      <c r="D186" t="s">
        <v>54</v>
      </c>
      <c r="E186" t="s">
        <v>55</v>
      </c>
      <c r="F186">
        <v>0</v>
      </c>
      <c r="G186">
        <v>6155</v>
      </c>
      <c r="H186">
        <v>1</v>
      </c>
      <c r="I186" t="s">
        <v>178</v>
      </c>
      <c r="J186">
        <v>4</v>
      </c>
      <c r="K186" s="6">
        <v>5.9</v>
      </c>
      <c r="L186" t="s">
        <v>174</v>
      </c>
      <c r="M186">
        <v>0</v>
      </c>
      <c r="N186" t="s">
        <v>187</v>
      </c>
      <c r="O186">
        <v>2</v>
      </c>
      <c r="P186">
        <v>0</v>
      </c>
      <c r="Q186" s="6">
        <v>79</v>
      </c>
      <c r="R186">
        <v>0</v>
      </c>
      <c r="S186" s="6">
        <v>0</v>
      </c>
      <c r="T186">
        <v>0</v>
      </c>
      <c r="U186" s="6">
        <v>3865</v>
      </c>
      <c r="V186">
        <v>0</v>
      </c>
      <c r="W186">
        <v>0</v>
      </c>
      <c r="X186">
        <v>0</v>
      </c>
      <c r="Y186" s="6">
        <v>45.7</v>
      </c>
      <c r="Z186">
        <v>6.5000000000000002E-2</v>
      </c>
      <c r="AA186">
        <v>5.8999999999999997E-2</v>
      </c>
      <c r="AB186">
        <v>0.11</v>
      </c>
      <c r="AC186">
        <v>6</v>
      </c>
      <c r="AD186" s="6">
        <v>65</v>
      </c>
      <c r="AE186" s="6">
        <v>0</v>
      </c>
      <c r="AF186" s="6">
        <v>0</v>
      </c>
      <c r="AG186" s="6">
        <v>98.38</v>
      </c>
      <c r="AH186" s="6">
        <v>121.8</v>
      </c>
      <c r="AI186" s="6">
        <f t="shared" si="4"/>
        <v>23.42</v>
      </c>
      <c r="AJ186" s="5">
        <f t="shared" si="5"/>
        <v>0.19228243021346472</v>
      </c>
    </row>
    <row r="187" spans="1:36">
      <c r="A187" t="s">
        <v>365</v>
      </c>
      <c r="B187" t="s">
        <v>452</v>
      </c>
      <c r="C187" t="s">
        <v>56</v>
      </c>
      <c r="D187" t="s">
        <v>54</v>
      </c>
      <c r="E187" t="s">
        <v>55</v>
      </c>
      <c r="F187">
        <v>0</v>
      </c>
      <c r="G187">
        <v>6155</v>
      </c>
      <c r="H187">
        <v>1</v>
      </c>
      <c r="I187" t="s">
        <v>173</v>
      </c>
      <c r="J187">
        <v>1</v>
      </c>
      <c r="K187" s="6">
        <v>2.65</v>
      </c>
      <c r="L187" t="s">
        <v>174</v>
      </c>
      <c r="M187">
        <v>0</v>
      </c>
      <c r="N187" t="s">
        <v>175</v>
      </c>
      <c r="O187">
        <v>1</v>
      </c>
      <c r="P187">
        <v>0</v>
      </c>
      <c r="Q187" s="6">
        <v>33.1</v>
      </c>
      <c r="R187">
        <v>0</v>
      </c>
      <c r="S187" s="6">
        <v>0</v>
      </c>
      <c r="T187">
        <v>0</v>
      </c>
      <c r="U187" s="6">
        <v>1810</v>
      </c>
      <c r="V187">
        <v>0</v>
      </c>
      <c r="W187">
        <v>1</v>
      </c>
      <c r="X187">
        <v>0</v>
      </c>
      <c r="Y187" s="6">
        <v>45.7</v>
      </c>
      <c r="Z187">
        <v>6.5000000000000002E-2</v>
      </c>
      <c r="AA187">
        <v>5.8999999999999997E-2</v>
      </c>
      <c r="AB187">
        <v>0.11</v>
      </c>
      <c r="AC187">
        <v>6</v>
      </c>
      <c r="AD187" s="6">
        <v>50</v>
      </c>
      <c r="AE187" s="6">
        <v>0</v>
      </c>
      <c r="AF187" s="6">
        <v>0</v>
      </c>
      <c r="AG187" s="6">
        <v>77.72</v>
      </c>
      <c r="AH187" s="6">
        <v>95.51</v>
      </c>
      <c r="AI187" s="6">
        <f t="shared" si="4"/>
        <v>17.790000000000006</v>
      </c>
      <c r="AJ187" s="5">
        <f t="shared" si="5"/>
        <v>0.18626321851115071</v>
      </c>
    </row>
    <row r="188" spans="1:36">
      <c r="A188" t="s">
        <v>208</v>
      </c>
      <c r="B188" t="s">
        <v>453</v>
      </c>
      <c r="C188" t="s">
        <v>56</v>
      </c>
      <c r="D188" t="s">
        <v>54</v>
      </c>
      <c r="E188" t="s">
        <v>55</v>
      </c>
      <c r="F188">
        <v>0</v>
      </c>
      <c r="G188">
        <v>6155</v>
      </c>
      <c r="H188">
        <v>1</v>
      </c>
      <c r="I188" t="s">
        <v>220</v>
      </c>
      <c r="J188">
        <v>2</v>
      </c>
      <c r="K188" s="6">
        <v>3.25</v>
      </c>
      <c r="L188" t="s">
        <v>174</v>
      </c>
      <c r="M188">
        <v>0</v>
      </c>
      <c r="N188" t="s">
        <v>182</v>
      </c>
      <c r="O188">
        <v>3</v>
      </c>
      <c r="P188">
        <v>0</v>
      </c>
      <c r="Q188" s="6">
        <v>83.3</v>
      </c>
      <c r="R188">
        <v>0</v>
      </c>
      <c r="S188" s="6">
        <v>0</v>
      </c>
      <c r="T188">
        <v>0</v>
      </c>
      <c r="U188" s="6">
        <v>6181</v>
      </c>
      <c r="V188">
        <v>0</v>
      </c>
      <c r="W188">
        <v>0</v>
      </c>
      <c r="X188">
        <v>0</v>
      </c>
      <c r="Y188" s="6">
        <v>45.7</v>
      </c>
      <c r="Z188">
        <v>6.5000000000000002E-2</v>
      </c>
      <c r="AA188">
        <v>5.8999999999999997E-2</v>
      </c>
      <c r="AB188">
        <v>0.11</v>
      </c>
      <c r="AC188">
        <v>6</v>
      </c>
      <c r="AD188" s="6">
        <v>50</v>
      </c>
      <c r="AE188" s="6">
        <v>0</v>
      </c>
      <c r="AF188" s="6">
        <v>0</v>
      </c>
      <c r="AG188" s="6">
        <v>63.36</v>
      </c>
      <c r="AH188" s="6">
        <v>78.53</v>
      </c>
      <c r="AI188" s="6">
        <f t="shared" si="4"/>
        <v>15.170000000000002</v>
      </c>
      <c r="AJ188" s="5">
        <f t="shared" si="5"/>
        <v>0.19317458296192538</v>
      </c>
    </row>
    <row r="189" spans="1:36">
      <c r="A189" t="s">
        <v>236</v>
      </c>
      <c r="B189" t="s">
        <v>454</v>
      </c>
      <c r="C189" t="s">
        <v>56</v>
      </c>
      <c r="D189" t="s">
        <v>54</v>
      </c>
      <c r="E189" t="s">
        <v>55</v>
      </c>
      <c r="F189">
        <v>0</v>
      </c>
      <c r="G189">
        <v>6155</v>
      </c>
      <c r="H189">
        <v>1</v>
      </c>
      <c r="I189" t="s">
        <v>220</v>
      </c>
      <c r="J189">
        <v>2</v>
      </c>
      <c r="K189" s="6">
        <v>3.36</v>
      </c>
      <c r="L189" t="s">
        <v>174</v>
      </c>
      <c r="M189">
        <v>0</v>
      </c>
      <c r="N189" t="s">
        <v>175</v>
      </c>
      <c r="O189">
        <v>1</v>
      </c>
      <c r="P189">
        <v>0</v>
      </c>
      <c r="Q189" s="6">
        <v>34.200000000000003</v>
      </c>
      <c r="R189">
        <v>0</v>
      </c>
      <c r="S189" s="6">
        <v>0</v>
      </c>
      <c r="T189">
        <v>0</v>
      </c>
      <c r="U189" s="6">
        <v>3591</v>
      </c>
      <c r="V189">
        <v>0</v>
      </c>
      <c r="W189">
        <v>0</v>
      </c>
      <c r="X189">
        <v>0</v>
      </c>
      <c r="Y189" s="6">
        <v>45.7</v>
      </c>
      <c r="Z189">
        <v>6.5000000000000002E-2</v>
      </c>
      <c r="AA189">
        <v>5.8999999999999997E-2</v>
      </c>
      <c r="AB189">
        <v>0.11</v>
      </c>
      <c r="AC189">
        <v>6</v>
      </c>
      <c r="AD189" s="6">
        <v>50</v>
      </c>
      <c r="AE189" s="6">
        <v>0</v>
      </c>
      <c r="AF189" s="6">
        <v>0</v>
      </c>
      <c r="AG189" s="6">
        <v>50.87</v>
      </c>
      <c r="AH189" s="6">
        <v>64.459999999999994</v>
      </c>
      <c r="AI189" s="6">
        <f t="shared" si="4"/>
        <v>13.589999999999996</v>
      </c>
      <c r="AJ189" s="5">
        <f t="shared" si="5"/>
        <v>0.21082842072603161</v>
      </c>
    </row>
    <row r="190" spans="1:36">
      <c r="A190" t="s">
        <v>288</v>
      </c>
      <c r="B190" t="s">
        <v>455</v>
      </c>
      <c r="C190" t="s">
        <v>56</v>
      </c>
      <c r="D190" t="s">
        <v>54</v>
      </c>
      <c r="E190" t="s">
        <v>55</v>
      </c>
      <c r="F190">
        <v>0</v>
      </c>
      <c r="G190">
        <v>6155</v>
      </c>
      <c r="H190">
        <v>1</v>
      </c>
      <c r="I190" t="s">
        <v>220</v>
      </c>
      <c r="J190">
        <v>2</v>
      </c>
      <c r="K190" s="6">
        <v>1.17</v>
      </c>
      <c r="L190" t="s">
        <v>174</v>
      </c>
      <c r="M190">
        <v>0</v>
      </c>
      <c r="N190" t="s">
        <v>175</v>
      </c>
      <c r="O190">
        <v>1</v>
      </c>
      <c r="P190">
        <v>0</v>
      </c>
      <c r="Q190" s="6">
        <v>27.5</v>
      </c>
      <c r="R190">
        <v>0</v>
      </c>
      <c r="S190" s="6">
        <v>0</v>
      </c>
      <c r="T190">
        <v>0</v>
      </c>
      <c r="U190" s="6">
        <v>5807</v>
      </c>
      <c r="V190">
        <v>0</v>
      </c>
      <c r="W190">
        <v>0</v>
      </c>
      <c r="X190">
        <v>0</v>
      </c>
      <c r="Y190" s="6">
        <v>45.7</v>
      </c>
      <c r="Z190">
        <v>6.5000000000000002E-2</v>
      </c>
      <c r="AA190">
        <v>5.8999999999999997E-2</v>
      </c>
      <c r="AB190">
        <v>0.11</v>
      </c>
      <c r="AC190">
        <v>6</v>
      </c>
      <c r="AD190" s="6">
        <v>50</v>
      </c>
      <c r="AE190" s="6">
        <v>0</v>
      </c>
      <c r="AF190" s="6">
        <v>0</v>
      </c>
      <c r="AG190" s="6">
        <v>44.75</v>
      </c>
      <c r="AH190" s="6">
        <v>54.63</v>
      </c>
      <c r="AI190" s="6">
        <f t="shared" si="4"/>
        <v>9.8800000000000026</v>
      </c>
      <c r="AJ190" s="5">
        <f t="shared" si="5"/>
        <v>0.18085301116602603</v>
      </c>
    </row>
    <row r="191" spans="1:36">
      <c r="A191" t="s">
        <v>230</v>
      </c>
      <c r="B191" t="s">
        <v>456</v>
      </c>
      <c r="C191" t="s">
        <v>56</v>
      </c>
      <c r="D191" t="s">
        <v>54</v>
      </c>
      <c r="E191" t="s">
        <v>55</v>
      </c>
      <c r="F191">
        <v>0</v>
      </c>
      <c r="G191">
        <v>6155</v>
      </c>
      <c r="H191">
        <v>1</v>
      </c>
      <c r="I191" t="s">
        <v>173</v>
      </c>
      <c r="J191">
        <v>1</v>
      </c>
      <c r="K191" s="6">
        <v>2.13</v>
      </c>
      <c r="L191" t="s">
        <v>174</v>
      </c>
      <c r="M191">
        <v>0</v>
      </c>
      <c r="N191" t="s">
        <v>187</v>
      </c>
      <c r="O191">
        <v>2</v>
      </c>
      <c r="P191">
        <v>0</v>
      </c>
      <c r="Q191" s="6">
        <v>63.1</v>
      </c>
      <c r="R191">
        <v>1</v>
      </c>
      <c r="S191" s="6">
        <v>744</v>
      </c>
      <c r="T191">
        <v>0</v>
      </c>
      <c r="U191" s="6">
        <v>5817</v>
      </c>
      <c r="V191">
        <v>0</v>
      </c>
      <c r="W191">
        <v>0</v>
      </c>
      <c r="X191">
        <v>0</v>
      </c>
      <c r="Y191" s="6">
        <v>45.7</v>
      </c>
      <c r="Z191">
        <v>6.5000000000000002E-2</v>
      </c>
      <c r="AA191">
        <v>5.8999999999999997E-2</v>
      </c>
      <c r="AB191">
        <v>0.11</v>
      </c>
      <c r="AC191">
        <v>6</v>
      </c>
      <c r="AD191" s="6">
        <v>50</v>
      </c>
      <c r="AE191" s="6">
        <v>25</v>
      </c>
      <c r="AF191" s="6">
        <v>0</v>
      </c>
      <c r="AG191" s="6">
        <v>55.23</v>
      </c>
      <c r="AH191" s="6">
        <v>66.98</v>
      </c>
      <c r="AI191" s="6">
        <f t="shared" si="4"/>
        <v>11.750000000000007</v>
      </c>
      <c r="AJ191" s="5">
        <f t="shared" si="5"/>
        <v>0.17542550014929839</v>
      </c>
    </row>
    <row r="192" spans="1:36">
      <c r="A192" t="s">
        <v>457</v>
      </c>
      <c r="B192" t="s">
        <v>458</v>
      </c>
      <c r="C192" t="s">
        <v>56</v>
      </c>
      <c r="D192" t="s">
        <v>54</v>
      </c>
      <c r="E192" t="s">
        <v>55</v>
      </c>
      <c r="F192">
        <v>0</v>
      </c>
      <c r="G192">
        <v>6155</v>
      </c>
      <c r="H192">
        <v>1</v>
      </c>
      <c r="I192" t="s">
        <v>220</v>
      </c>
      <c r="J192">
        <v>2</v>
      </c>
      <c r="K192" s="6">
        <v>3.7</v>
      </c>
      <c r="L192" t="s">
        <v>174</v>
      </c>
      <c r="M192">
        <v>0</v>
      </c>
      <c r="N192" t="s">
        <v>217</v>
      </c>
      <c r="O192">
        <v>4</v>
      </c>
      <c r="P192">
        <v>1</v>
      </c>
      <c r="Q192" s="6">
        <v>187.7</v>
      </c>
      <c r="R192">
        <v>0</v>
      </c>
      <c r="S192" s="6">
        <v>0</v>
      </c>
      <c r="T192">
        <v>0</v>
      </c>
      <c r="U192" s="6">
        <v>2128</v>
      </c>
      <c r="V192">
        <v>0</v>
      </c>
      <c r="W192">
        <v>0</v>
      </c>
      <c r="X192">
        <v>1</v>
      </c>
      <c r="Y192" s="6">
        <v>45.7</v>
      </c>
      <c r="Z192">
        <v>6.5000000000000002E-2</v>
      </c>
      <c r="AA192">
        <v>5.8999999999999997E-2</v>
      </c>
      <c r="AB192">
        <v>0.11</v>
      </c>
      <c r="AC192">
        <v>6</v>
      </c>
      <c r="AD192" s="6">
        <v>50</v>
      </c>
      <c r="AE192" s="6">
        <v>0</v>
      </c>
      <c r="AF192" s="6">
        <v>0</v>
      </c>
      <c r="AG192" s="6">
        <v>96.3</v>
      </c>
      <c r="AH192" s="6">
        <v>119.39</v>
      </c>
      <c r="AI192" s="6">
        <f t="shared" si="4"/>
        <v>23.090000000000003</v>
      </c>
      <c r="AJ192" s="5">
        <f t="shared" si="5"/>
        <v>0.19339978222631715</v>
      </c>
    </row>
    <row r="193" spans="1:36">
      <c r="A193" t="s">
        <v>459</v>
      </c>
      <c r="B193" t="s">
        <v>460</v>
      </c>
      <c r="C193" t="s">
        <v>56</v>
      </c>
      <c r="D193" t="s">
        <v>54</v>
      </c>
      <c r="E193" t="s">
        <v>55</v>
      </c>
      <c r="F193">
        <v>0</v>
      </c>
      <c r="G193">
        <v>6155</v>
      </c>
      <c r="H193">
        <v>1</v>
      </c>
      <c r="I193" t="s">
        <v>220</v>
      </c>
      <c r="J193">
        <v>2</v>
      </c>
      <c r="K193" s="6">
        <v>6.1</v>
      </c>
      <c r="L193" t="s">
        <v>174</v>
      </c>
      <c r="M193">
        <v>0</v>
      </c>
      <c r="N193" t="s">
        <v>175</v>
      </c>
      <c r="O193">
        <v>1</v>
      </c>
      <c r="P193">
        <v>0</v>
      </c>
      <c r="Q193" s="6">
        <v>39.6</v>
      </c>
      <c r="R193">
        <v>0</v>
      </c>
      <c r="S193" s="6">
        <v>0</v>
      </c>
      <c r="T193">
        <v>0</v>
      </c>
      <c r="U193" s="6">
        <v>4607</v>
      </c>
      <c r="V193">
        <v>0</v>
      </c>
      <c r="W193">
        <v>0</v>
      </c>
      <c r="X193">
        <v>0</v>
      </c>
      <c r="Y193" s="6">
        <v>45.7</v>
      </c>
      <c r="Z193">
        <v>6.5000000000000002E-2</v>
      </c>
      <c r="AA193">
        <v>5.8999999999999997E-2</v>
      </c>
      <c r="AB193">
        <v>0.11</v>
      </c>
      <c r="AC193">
        <v>6</v>
      </c>
      <c r="AD193" s="6">
        <v>50</v>
      </c>
      <c r="AE193" s="6">
        <v>0</v>
      </c>
      <c r="AF193" s="6">
        <v>0</v>
      </c>
      <c r="AG193" s="6">
        <v>62.05</v>
      </c>
      <c r="AH193" s="6">
        <v>76.34</v>
      </c>
      <c r="AI193" s="6">
        <f t="shared" si="4"/>
        <v>14.290000000000006</v>
      </c>
      <c r="AJ193" s="5">
        <f t="shared" si="5"/>
        <v>0.18718889179984288</v>
      </c>
    </row>
    <row r="194" spans="1:36">
      <c r="A194" t="s">
        <v>286</v>
      </c>
      <c r="B194" t="s">
        <v>461</v>
      </c>
      <c r="C194" t="s">
        <v>56</v>
      </c>
      <c r="D194" t="s">
        <v>54</v>
      </c>
      <c r="E194" t="s">
        <v>55</v>
      </c>
      <c r="F194">
        <v>0</v>
      </c>
      <c r="G194">
        <v>6155</v>
      </c>
      <c r="H194">
        <v>1</v>
      </c>
      <c r="I194" t="s">
        <v>220</v>
      </c>
      <c r="J194">
        <v>2</v>
      </c>
      <c r="K194" s="6">
        <v>4.59</v>
      </c>
      <c r="L194" t="s">
        <v>174</v>
      </c>
      <c r="M194">
        <v>0</v>
      </c>
      <c r="N194" t="s">
        <v>175</v>
      </c>
      <c r="O194">
        <v>1</v>
      </c>
      <c r="P194">
        <v>0</v>
      </c>
      <c r="Q194" s="6">
        <v>30.5</v>
      </c>
      <c r="R194">
        <v>0</v>
      </c>
      <c r="S194" s="6">
        <v>0</v>
      </c>
      <c r="T194">
        <v>0</v>
      </c>
      <c r="U194" s="6">
        <v>2822</v>
      </c>
      <c r="V194">
        <v>0</v>
      </c>
      <c r="W194">
        <v>0</v>
      </c>
      <c r="X194">
        <v>0</v>
      </c>
      <c r="Y194" s="6">
        <v>45.7</v>
      </c>
      <c r="Z194">
        <v>6.5000000000000002E-2</v>
      </c>
      <c r="AA194">
        <v>5.8999999999999997E-2</v>
      </c>
      <c r="AB194">
        <v>0.11</v>
      </c>
      <c r="AC194">
        <v>6</v>
      </c>
      <c r="AD194" s="6">
        <v>50</v>
      </c>
      <c r="AE194" s="6">
        <v>0</v>
      </c>
      <c r="AF194" s="6">
        <v>0</v>
      </c>
      <c r="AG194" s="6">
        <v>57.1</v>
      </c>
      <c r="AH194" s="6">
        <v>72.06</v>
      </c>
      <c r="AI194" s="6">
        <f t="shared" ref="AI194:AI257" si="6">AH194-AG194</f>
        <v>14.96</v>
      </c>
      <c r="AJ194" s="5">
        <f t="shared" ref="AJ194:AJ257" si="7">IFERROR(AI194/AH194,0)</f>
        <v>0.20760477379961145</v>
      </c>
    </row>
    <row r="195" spans="1:36">
      <c r="A195" t="s">
        <v>277</v>
      </c>
      <c r="B195" t="s">
        <v>462</v>
      </c>
      <c r="C195" t="s">
        <v>56</v>
      </c>
      <c r="D195" t="s">
        <v>54</v>
      </c>
      <c r="E195" t="s">
        <v>55</v>
      </c>
      <c r="F195">
        <v>0</v>
      </c>
      <c r="G195">
        <v>6155</v>
      </c>
      <c r="H195">
        <v>1</v>
      </c>
      <c r="I195" t="s">
        <v>181</v>
      </c>
      <c r="J195">
        <v>3</v>
      </c>
      <c r="K195" s="6">
        <v>7.33</v>
      </c>
      <c r="L195" t="s">
        <v>174</v>
      </c>
      <c r="M195">
        <v>0</v>
      </c>
      <c r="N195" t="s">
        <v>182</v>
      </c>
      <c r="O195">
        <v>3</v>
      </c>
      <c r="P195">
        <v>0</v>
      </c>
      <c r="Q195" s="6">
        <v>97.2</v>
      </c>
      <c r="R195">
        <v>0</v>
      </c>
      <c r="S195" s="6">
        <v>0</v>
      </c>
      <c r="T195">
        <v>0</v>
      </c>
      <c r="U195" s="6">
        <v>1428</v>
      </c>
      <c r="V195">
        <v>1</v>
      </c>
      <c r="W195">
        <v>0</v>
      </c>
      <c r="X195">
        <v>0</v>
      </c>
      <c r="Y195" s="6">
        <v>45.7</v>
      </c>
      <c r="Z195">
        <v>6.5000000000000002E-2</v>
      </c>
      <c r="AA195">
        <v>5.8999999999999997E-2</v>
      </c>
      <c r="AB195">
        <v>0.11</v>
      </c>
      <c r="AC195">
        <v>6</v>
      </c>
      <c r="AD195" s="6">
        <v>60</v>
      </c>
      <c r="AE195" s="6">
        <v>0</v>
      </c>
      <c r="AF195" s="6">
        <v>0</v>
      </c>
      <c r="AG195" s="6">
        <v>119.12</v>
      </c>
      <c r="AH195" s="6">
        <v>145.19</v>
      </c>
      <c r="AI195" s="6">
        <f t="shared" si="6"/>
        <v>26.069999999999993</v>
      </c>
      <c r="AJ195" s="5">
        <f t="shared" si="7"/>
        <v>0.17955782078655549</v>
      </c>
    </row>
    <row r="196" spans="1:36">
      <c r="A196" t="s">
        <v>403</v>
      </c>
      <c r="B196" t="s">
        <v>463</v>
      </c>
      <c r="C196" t="s">
        <v>56</v>
      </c>
      <c r="D196" t="s">
        <v>54</v>
      </c>
      <c r="E196" t="s">
        <v>55</v>
      </c>
      <c r="F196">
        <v>0</v>
      </c>
      <c r="G196">
        <v>6155</v>
      </c>
      <c r="H196">
        <v>1</v>
      </c>
      <c r="I196" t="s">
        <v>220</v>
      </c>
      <c r="J196">
        <v>2</v>
      </c>
      <c r="K196" s="6">
        <v>2.54</v>
      </c>
      <c r="L196" t="s">
        <v>174</v>
      </c>
      <c r="M196">
        <v>0</v>
      </c>
      <c r="N196" t="s">
        <v>175</v>
      </c>
      <c r="O196">
        <v>1</v>
      </c>
      <c r="P196">
        <v>0</v>
      </c>
      <c r="Q196" s="6">
        <v>32.1</v>
      </c>
      <c r="R196">
        <v>1</v>
      </c>
      <c r="S196" s="6">
        <v>1233</v>
      </c>
      <c r="T196">
        <v>0</v>
      </c>
      <c r="U196" s="6">
        <v>1416</v>
      </c>
      <c r="V196">
        <v>0</v>
      </c>
      <c r="W196">
        <v>0</v>
      </c>
      <c r="X196">
        <v>0</v>
      </c>
      <c r="Y196" s="6">
        <v>45.7</v>
      </c>
      <c r="Z196">
        <v>6.5000000000000002E-2</v>
      </c>
      <c r="AA196">
        <v>5.8999999999999997E-2</v>
      </c>
      <c r="AB196">
        <v>0.11</v>
      </c>
      <c r="AC196">
        <v>6</v>
      </c>
      <c r="AD196" s="6">
        <v>50</v>
      </c>
      <c r="AE196" s="6">
        <v>25</v>
      </c>
      <c r="AF196" s="6">
        <v>0</v>
      </c>
      <c r="AG196" s="6">
        <v>54.85</v>
      </c>
      <c r="AH196" s="6">
        <v>66.709999999999994</v>
      </c>
      <c r="AI196" s="6">
        <f t="shared" si="6"/>
        <v>11.859999999999992</v>
      </c>
      <c r="AJ196" s="5">
        <f t="shared" si="7"/>
        <v>0.17778444011392586</v>
      </c>
    </row>
    <row r="197" spans="1:36">
      <c r="A197" t="s">
        <v>215</v>
      </c>
      <c r="B197" t="s">
        <v>464</v>
      </c>
      <c r="C197" t="s">
        <v>56</v>
      </c>
      <c r="D197" t="s">
        <v>54</v>
      </c>
      <c r="E197" t="s">
        <v>55</v>
      </c>
      <c r="F197">
        <v>0</v>
      </c>
      <c r="G197">
        <v>6155</v>
      </c>
      <c r="H197">
        <v>1</v>
      </c>
      <c r="I197" t="s">
        <v>178</v>
      </c>
      <c r="J197">
        <v>4</v>
      </c>
      <c r="K197" s="6">
        <v>11.02</v>
      </c>
      <c r="L197" t="s">
        <v>174</v>
      </c>
      <c r="M197">
        <v>0</v>
      </c>
      <c r="N197" t="s">
        <v>182</v>
      </c>
      <c r="O197">
        <v>3</v>
      </c>
      <c r="P197">
        <v>0</v>
      </c>
      <c r="Q197" s="6">
        <v>97.7</v>
      </c>
      <c r="R197">
        <v>0</v>
      </c>
      <c r="S197" s="6">
        <v>0</v>
      </c>
      <c r="T197">
        <v>0</v>
      </c>
      <c r="U197" s="6">
        <v>2729</v>
      </c>
      <c r="V197">
        <v>0</v>
      </c>
      <c r="W197">
        <v>0</v>
      </c>
      <c r="X197">
        <v>0</v>
      </c>
      <c r="Y197" s="6">
        <v>45.7</v>
      </c>
      <c r="Z197">
        <v>6.5000000000000002E-2</v>
      </c>
      <c r="AA197">
        <v>5.8999999999999997E-2</v>
      </c>
      <c r="AB197">
        <v>0.11</v>
      </c>
      <c r="AC197">
        <v>6</v>
      </c>
      <c r="AD197" s="6">
        <v>65</v>
      </c>
      <c r="AE197" s="6">
        <v>0</v>
      </c>
      <c r="AF197" s="6">
        <v>0</v>
      </c>
      <c r="AG197" s="6">
        <v>122.83</v>
      </c>
      <c r="AH197" s="6">
        <v>150.68</v>
      </c>
      <c r="AI197" s="6">
        <f t="shared" si="6"/>
        <v>27.850000000000009</v>
      </c>
      <c r="AJ197" s="5">
        <f t="shared" si="7"/>
        <v>0.18482877621449434</v>
      </c>
    </row>
    <row r="198" spans="1:36">
      <c r="A198" t="s">
        <v>236</v>
      </c>
      <c r="B198" t="s">
        <v>465</v>
      </c>
      <c r="C198" t="s">
        <v>56</v>
      </c>
      <c r="D198" t="s">
        <v>54</v>
      </c>
      <c r="E198" t="s">
        <v>55</v>
      </c>
      <c r="F198">
        <v>0</v>
      </c>
      <c r="G198">
        <v>6155</v>
      </c>
      <c r="H198">
        <v>1</v>
      </c>
      <c r="I198" t="s">
        <v>220</v>
      </c>
      <c r="J198">
        <v>2</v>
      </c>
      <c r="K198" s="6">
        <v>4.2</v>
      </c>
      <c r="L198" t="s">
        <v>174</v>
      </c>
      <c r="M198">
        <v>0</v>
      </c>
      <c r="N198" t="s">
        <v>175</v>
      </c>
      <c r="O198">
        <v>1</v>
      </c>
      <c r="P198">
        <v>0</v>
      </c>
      <c r="Q198" s="6">
        <v>29.1</v>
      </c>
      <c r="R198">
        <v>0</v>
      </c>
      <c r="S198" s="6">
        <v>0</v>
      </c>
      <c r="T198">
        <v>0</v>
      </c>
      <c r="U198" s="6">
        <v>4713</v>
      </c>
      <c r="V198">
        <v>0</v>
      </c>
      <c r="W198">
        <v>0</v>
      </c>
      <c r="X198">
        <v>0</v>
      </c>
      <c r="Y198" s="6">
        <v>45.7</v>
      </c>
      <c r="Z198">
        <v>6.5000000000000002E-2</v>
      </c>
      <c r="AA198">
        <v>5.8999999999999997E-2</v>
      </c>
      <c r="AB198">
        <v>0.11</v>
      </c>
      <c r="AC198">
        <v>6</v>
      </c>
      <c r="AD198" s="6">
        <v>50</v>
      </c>
      <c r="AE198" s="6">
        <v>0</v>
      </c>
      <c r="AF198" s="6">
        <v>0</v>
      </c>
      <c r="AG198" s="6">
        <v>47.95</v>
      </c>
      <c r="AH198" s="6">
        <v>58.57</v>
      </c>
      <c r="AI198" s="6">
        <f t="shared" si="6"/>
        <v>10.619999999999997</v>
      </c>
      <c r="AJ198" s="5">
        <f t="shared" si="7"/>
        <v>0.18132149564623523</v>
      </c>
    </row>
    <row r="199" spans="1:36">
      <c r="A199" t="s">
        <v>185</v>
      </c>
      <c r="B199" t="s">
        <v>466</v>
      </c>
      <c r="C199" t="s">
        <v>56</v>
      </c>
      <c r="D199" t="s">
        <v>54</v>
      </c>
      <c r="E199" t="s">
        <v>55</v>
      </c>
      <c r="F199">
        <v>0</v>
      </c>
      <c r="G199">
        <v>6155</v>
      </c>
      <c r="H199">
        <v>1</v>
      </c>
      <c r="I199" t="s">
        <v>178</v>
      </c>
      <c r="J199">
        <v>4</v>
      </c>
      <c r="K199" s="6">
        <v>11.52</v>
      </c>
      <c r="L199" t="s">
        <v>174</v>
      </c>
      <c r="M199">
        <v>0</v>
      </c>
      <c r="N199" t="s">
        <v>217</v>
      </c>
      <c r="O199">
        <v>4</v>
      </c>
      <c r="P199">
        <v>1</v>
      </c>
      <c r="Q199" s="6">
        <v>181.4</v>
      </c>
      <c r="R199">
        <v>1</v>
      </c>
      <c r="S199" s="6">
        <v>2175</v>
      </c>
      <c r="T199">
        <v>0</v>
      </c>
      <c r="U199" s="6">
        <v>3645</v>
      </c>
      <c r="V199">
        <v>0</v>
      </c>
      <c r="W199">
        <v>0</v>
      </c>
      <c r="X199">
        <v>0</v>
      </c>
      <c r="Y199" s="6">
        <v>45.7</v>
      </c>
      <c r="Z199">
        <v>6.5000000000000002E-2</v>
      </c>
      <c r="AA199">
        <v>5.8999999999999997E-2</v>
      </c>
      <c r="AB199">
        <v>0.11</v>
      </c>
      <c r="AC199">
        <v>6</v>
      </c>
      <c r="AD199" s="6">
        <v>65</v>
      </c>
      <c r="AE199" s="6">
        <v>40</v>
      </c>
      <c r="AF199" s="6">
        <v>0</v>
      </c>
      <c r="AG199" s="6">
        <v>162.61000000000001</v>
      </c>
      <c r="AH199" s="6">
        <v>196.07</v>
      </c>
      <c r="AI199" s="6">
        <f t="shared" si="6"/>
        <v>33.45999999999998</v>
      </c>
      <c r="AJ199" s="5">
        <f t="shared" si="7"/>
        <v>0.17065333809353792</v>
      </c>
    </row>
    <row r="200" spans="1:36">
      <c r="A200" t="s">
        <v>343</v>
      </c>
      <c r="B200" t="s">
        <v>467</v>
      </c>
      <c r="C200" t="s">
        <v>58</v>
      </c>
      <c r="D200" t="s">
        <v>60</v>
      </c>
      <c r="E200" t="s">
        <v>55</v>
      </c>
      <c r="F200">
        <v>0</v>
      </c>
      <c r="G200">
        <v>1234</v>
      </c>
      <c r="H200">
        <v>1</v>
      </c>
      <c r="I200" t="s">
        <v>220</v>
      </c>
      <c r="J200">
        <v>2</v>
      </c>
      <c r="K200" s="6">
        <v>2.37</v>
      </c>
      <c r="L200" t="s">
        <v>200</v>
      </c>
      <c r="M200">
        <v>1</v>
      </c>
      <c r="N200" t="s">
        <v>182</v>
      </c>
      <c r="O200">
        <v>3</v>
      </c>
      <c r="P200">
        <v>0</v>
      </c>
      <c r="Q200" s="6">
        <v>114.6</v>
      </c>
      <c r="R200">
        <v>0</v>
      </c>
      <c r="S200" s="6">
        <v>0</v>
      </c>
      <c r="T200">
        <v>0</v>
      </c>
      <c r="U200" s="6">
        <v>698</v>
      </c>
      <c r="V200">
        <v>1</v>
      </c>
      <c r="W200">
        <v>0</v>
      </c>
      <c r="X200">
        <v>0</v>
      </c>
      <c r="Y200" s="6">
        <v>36.4</v>
      </c>
      <c r="Z200">
        <v>0.754</v>
      </c>
      <c r="AA200">
        <v>0.155</v>
      </c>
      <c r="AB200">
        <v>4.1000000000000002E-2</v>
      </c>
      <c r="AC200">
        <v>6</v>
      </c>
      <c r="AD200" s="6">
        <v>119</v>
      </c>
      <c r="AE200" s="6">
        <v>0</v>
      </c>
      <c r="AF200" s="6">
        <v>0</v>
      </c>
      <c r="AG200" s="6">
        <v>138.63</v>
      </c>
      <c r="AH200" s="6">
        <v>175.77</v>
      </c>
      <c r="AI200" s="6">
        <f t="shared" si="6"/>
        <v>37.140000000000015</v>
      </c>
      <c r="AJ200" s="5">
        <f t="shared" si="7"/>
        <v>0.21129885646014684</v>
      </c>
    </row>
    <row r="201" spans="1:36">
      <c r="A201" t="s">
        <v>355</v>
      </c>
      <c r="B201" t="s">
        <v>468</v>
      </c>
      <c r="C201" t="s">
        <v>58</v>
      </c>
      <c r="D201" t="s">
        <v>60</v>
      </c>
      <c r="E201" t="s">
        <v>55</v>
      </c>
      <c r="F201">
        <v>0</v>
      </c>
      <c r="G201">
        <v>1234</v>
      </c>
      <c r="H201">
        <v>1.22</v>
      </c>
      <c r="I201" t="s">
        <v>173</v>
      </c>
      <c r="J201">
        <v>1</v>
      </c>
      <c r="K201" s="6">
        <v>2.29</v>
      </c>
      <c r="L201" t="s">
        <v>200</v>
      </c>
      <c r="M201">
        <v>1</v>
      </c>
      <c r="N201" t="s">
        <v>187</v>
      </c>
      <c r="O201">
        <v>2</v>
      </c>
      <c r="P201">
        <v>1</v>
      </c>
      <c r="Q201" s="6">
        <v>66.7</v>
      </c>
      <c r="R201">
        <v>1</v>
      </c>
      <c r="S201" s="6">
        <v>3573</v>
      </c>
      <c r="T201">
        <v>0</v>
      </c>
      <c r="U201" s="6">
        <v>1539</v>
      </c>
      <c r="V201">
        <v>0</v>
      </c>
      <c r="W201">
        <v>0</v>
      </c>
      <c r="X201">
        <v>0</v>
      </c>
      <c r="Y201" s="6">
        <v>36.4</v>
      </c>
      <c r="Z201">
        <v>0.754</v>
      </c>
      <c r="AA201">
        <v>0.155</v>
      </c>
      <c r="AB201">
        <v>4.1000000000000002E-2</v>
      </c>
      <c r="AC201">
        <v>6</v>
      </c>
      <c r="AD201" s="6">
        <v>99</v>
      </c>
      <c r="AE201" s="6">
        <v>40</v>
      </c>
      <c r="AF201" s="6">
        <v>0</v>
      </c>
      <c r="AG201" s="6">
        <v>132.22</v>
      </c>
      <c r="AH201" s="6">
        <v>170.05</v>
      </c>
      <c r="AI201" s="6">
        <f t="shared" si="6"/>
        <v>37.830000000000013</v>
      </c>
      <c r="AJ201" s="5">
        <f t="shared" si="7"/>
        <v>0.22246398118200536</v>
      </c>
    </row>
    <row r="202" spans="1:36">
      <c r="A202" t="s">
        <v>469</v>
      </c>
      <c r="B202" t="s">
        <v>470</v>
      </c>
      <c r="C202" t="s">
        <v>58</v>
      </c>
      <c r="D202" t="s">
        <v>60</v>
      </c>
      <c r="E202" t="s">
        <v>55</v>
      </c>
      <c r="F202">
        <v>0</v>
      </c>
      <c r="G202">
        <v>1234</v>
      </c>
      <c r="H202">
        <v>1</v>
      </c>
      <c r="I202" t="s">
        <v>173</v>
      </c>
      <c r="J202">
        <v>1</v>
      </c>
      <c r="K202" s="6">
        <v>1.21</v>
      </c>
      <c r="L202" t="s">
        <v>200</v>
      </c>
      <c r="M202">
        <v>1</v>
      </c>
      <c r="N202" t="s">
        <v>175</v>
      </c>
      <c r="O202">
        <v>1</v>
      </c>
      <c r="P202">
        <v>0</v>
      </c>
      <c r="Q202" s="6">
        <v>47.9</v>
      </c>
      <c r="R202">
        <v>1</v>
      </c>
      <c r="S202" s="6">
        <v>1992</v>
      </c>
      <c r="T202">
        <v>0</v>
      </c>
      <c r="U202" s="6">
        <v>2412</v>
      </c>
      <c r="V202">
        <v>0</v>
      </c>
      <c r="W202">
        <v>0</v>
      </c>
      <c r="X202">
        <v>0</v>
      </c>
      <c r="Y202" s="6">
        <v>36.4</v>
      </c>
      <c r="Z202">
        <v>0.754</v>
      </c>
      <c r="AA202">
        <v>0.155</v>
      </c>
      <c r="AB202">
        <v>4.1000000000000002E-2</v>
      </c>
      <c r="AC202">
        <v>6</v>
      </c>
      <c r="AD202" s="6">
        <v>99</v>
      </c>
      <c r="AE202" s="6">
        <v>25</v>
      </c>
      <c r="AF202" s="6">
        <v>0</v>
      </c>
      <c r="AG202" s="6">
        <v>81.48</v>
      </c>
      <c r="AH202" s="6">
        <v>105.44</v>
      </c>
      <c r="AI202" s="6">
        <f t="shared" si="6"/>
        <v>23.959999999999994</v>
      </c>
      <c r="AJ202" s="5">
        <f t="shared" si="7"/>
        <v>0.22723823975720783</v>
      </c>
    </row>
    <row r="203" spans="1:36">
      <c r="A203" t="s">
        <v>286</v>
      </c>
      <c r="B203" t="s">
        <v>471</v>
      </c>
      <c r="C203" t="s">
        <v>58</v>
      </c>
      <c r="D203" t="s">
        <v>60</v>
      </c>
      <c r="E203" t="s">
        <v>55</v>
      </c>
      <c r="F203">
        <v>0</v>
      </c>
      <c r="G203">
        <v>1234</v>
      </c>
      <c r="H203">
        <v>1.22</v>
      </c>
      <c r="I203" t="s">
        <v>173</v>
      </c>
      <c r="J203">
        <v>1</v>
      </c>
      <c r="K203" s="6">
        <v>1.46</v>
      </c>
      <c r="L203" t="s">
        <v>200</v>
      </c>
      <c r="M203">
        <v>1</v>
      </c>
      <c r="N203" t="s">
        <v>182</v>
      </c>
      <c r="O203">
        <v>3</v>
      </c>
      <c r="P203">
        <v>1</v>
      </c>
      <c r="Q203" s="6">
        <v>83.8</v>
      </c>
      <c r="R203">
        <v>1</v>
      </c>
      <c r="S203" s="6">
        <v>1435</v>
      </c>
      <c r="T203">
        <v>0</v>
      </c>
      <c r="U203" s="6">
        <v>1719</v>
      </c>
      <c r="V203">
        <v>0</v>
      </c>
      <c r="W203">
        <v>0</v>
      </c>
      <c r="X203">
        <v>0</v>
      </c>
      <c r="Y203" s="6">
        <v>36.4</v>
      </c>
      <c r="Z203">
        <v>0.754</v>
      </c>
      <c r="AA203">
        <v>0.155</v>
      </c>
      <c r="AB203">
        <v>4.1000000000000002E-2</v>
      </c>
      <c r="AC203">
        <v>6</v>
      </c>
      <c r="AD203" s="6">
        <v>99</v>
      </c>
      <c r="AE203" s="6">
        <v>25</v>
      </c>
      <c r="AF203" s="6">
        <v>0</v>
      </c>
      <c r="AG203" s="6">
        <v>145.34</v>
      </c>
      <c r="AH203" s="6">
        <v>183.35</v>
      </c>
      <c r="AI203" s="6">
        <f t="shared" si="6"/>
        <v>38.009999999999991</v>
      </c>
      <c r="AJ203" s="5">
        <f t="shared" si="7"/>
        <v>0.20730842650668116</v>
      </c>
    </row>
    <row r="204" spans="1:36">
      <c r="A204" t="s">
        <v>255</v>
      </c>
      <c r="B204" t="s">
        <v>472</v>
      </c>
      <c r="C204" t="s">
        <v>58</v>
      </c>
      <c r="D204" t="s">
        <v>60</v>
      </c>
      <c r="E204" t="s">
        <v>55</v>
      </c>
      <c r="F204">
        <v>0</v>
      </c>
      <c r="G204">
        <v>1234</v>
      </c>
      <c r="H204">
        <v>1.22</v>
      </c>
      <c r="I204" t="s">
        <v>220</v>
      </c>
      <c r="J204">
        <v>2</v>
      </c>
      <c r="K204" s="6">
        <v>3.5</v>
      </c>
      <c r="L204" t="s">
        <v>200</v>
      </c>
      <c r="M204">
        <v>1</v>
      </c>
      <c r="N204" t="s">
        <v>175</v>
      </c>
      <c r="O204">
        <v>1</v>
      </c>
      <c r="P204">
        <v>1</v>
      </c>
      <c r="Q204" s="6">
        <v>18.600000000000001</v>
      </c>
      <c r="R204">
        <v>1</v>
      </c>
      <c r="S204" s="6">
        <v>542</v>
      </c>
      <c r="T204">
        <v>0</v>
      </c>
      <c r="U204" s="6">
        <v>1441</v>
      </c>
      <c r="V204">
        <v>0</v>
      </c>
      <c r="W204">
        <v>0</v>
      </c>
      <c r="X204">
        <v>0</v>
      </c>
      <c r="Y204" s="6">
        <v>36.4</v>
      </c>
      <c r="Z204">
        <v>0.754</v>
      </c>
      <c r="AA204">
        <v>0.155</v>
      </c>
      <c r="AB204">
        <v>4.1000000000000002E-2</v>
      </c>
      <c r="AC204">
        <v>6</v>
      </c>
      <c r="AD204" s="6">
        <v>119</v>
      </c>
      <c r="AE204" s="6">
        <v>25</v>
      </c>
      <c r="AF204" s="6">
        <v>0</v>
      </c>
      <c r="AG204" s="6">
        <v>136.87</v>
      </c>
      <c r="AH204" s="6">
        <v>174.3</v>
      </c>
      <c r="AI204" s="6">
        <f t="shared" si="6"/>
        <v>37.430000000000007</v>
      </c>
      <c r="AJ204" s="5">
        <f t="shared" si="7"/>
        <v>0.21474469305794611</v>
      </c>
    </row>
    <row r="205" spans="1:36">
      <c r="A205" t="s">
        <v>293</v>
      </c>
      <c r="B205" t="s">
        <v>473</v>
      </c>
      <c r="C205" t="s">
        <v>58</v>
      </c>
      <c r="D205" t="s">
        <v>60</v>
      </c>
      <c r="E205" t="s">
        <v>55</v>
      </c>
      <c r="F205">
        <v>0</v>
      </c>
      <c r="G205">
        <v>1234</v>
      </c>
      <c r="H205">
        <v>1.22</v>
      </c>
      <c r="I205" t="s">
        <v>173</v>
      </c>
      <c r="J205">
        <v>1</v>
      </c>
      <c r="K205" s="6">
        <v>1.28</v>
      </c>
      <c r="L205" t="s">
        <v>200</v>
      </c>
      <c r="M205">
        <v>1</v>
      </c>
      <c r="N205" t="s">
        <v>175</v>
      </c>
      <c r="O205">
        <v>1</v>
      </c>
      <c r="P205">
        <v>0</v>
      </c>
      <c r="Q205" s="6">
        <v>31.1</v>
      </c>
      <c r="R205">
        <v>0</v>
      </c>
      <c r="S205" s="6">
        <v>0</v>
      </c>
      <c r="T205">
        <v>0</v>
      </c>
      <c r="U205" s="6">
        <v>3203</v>
      </c>
      <c r="V205">
        <v>0</v>
      </c>
      <c r="W205">
        <v>0</v>
      </c>
      <c r="X205">
        <v>0</v>
      </c>
      <c r="Y205" s="6">
        <v>36.4</v>
      </c>
      <c r="Z205">
        <v>0.754</v>
      </c>
      <c r="AA205">
        <v>0.155</v>
      </c>
      <c r="AB205">
        <v>4.1000000000000002E-2</v>
      </c>
      <c r="AC205">
        <v>6</v>
      </c>
      <c r="AD205" s="6">
        <v>99</v>
      </c>
      <c r="AE205" s="6">
        <v>0</v>
      </c>
      <c r="AF205" s="6">
        <v>0</v>
      </c>
      <c r="AG205" s="6">
        <v>91.05</v>
      </c>
      <c r="AH205" s="6">
        <v>116.74</v>
      </c>
      <c r="AI205" s="6">
        <f t="shared" si="6"/>
        <v>25.689999999999998</v>
      </c>
      <c r="AJ205" s="5">
        <f t="shared" si="7"/>
        <v>0.22006167551824565</v>
      </c>
    </row>
    <row r="206" spans="1:36">
      <c r="A206" t="s">
        <v>194</v>
      </c>
      <c r="B206" t="s">
        <v>474</v>
      </c>
      <c r="C206" t="s">
        <v>58</v>
      </c>
      <c r="D206" t="s">
        <v>60</v>
      </c>
      <c r="E206" t="s">
        <v>55</v>
      </c>
      <c r="F206">
        <v>0</v>
      </c>
      <c r="G206">
        <v>1234</v>
      </c>
      <c r="H206">
        <v>1.22</v>
      </c>
      <c r="I206" t="s">
        <v>181</v>
      </c>
      <c r="J206">
        <v>3</v>
      </c>
      <c r="K206" s="6">
        <v>9.5</v>
      </c>
      <c r="L206" t="s">
        <v>174</v>
      </c>
      <c r="M206">
        <v>0</v>
      </c>
      <c r="N206" t="s">
        <v>182</v>
      </c>
      <c r="O206">
        <v>3</v>
      </c>
      <c r="P206">
        <v>0</v>
      </c>
      <c r="Q206" s="6">
        <v>84.4</v>
      </c>
      <c r="R206">
        <v>1</v>
      </c>
      <c r="S206" s="6">
        <v>4570</v>
      </c>
      <c r="T206">
        <v>0</v>
      </c>
      <c r="U206" s="6">
        <v>3004</v>
      </c>
      <c r="V206">
        <v>1</v>
      </c>
      <c r="W206">
        <v>0</v>
      </c>
      <c r="X206">
        <v>0</v>
      </c>
      <c r="Y206" s="6">
        <v>36.4</v>
      </c>
      <c r="Z206">
        <v>0.754</v>
      </c>
      <c r="AA206">
        <v>0.155</v>
      </c>
      <c r="AB206">
        <v>4.1000000000000002E-2</v>
      </c>
      <c r="AC206">
        <v>6</v>
      </c>
      <c r="AD206" s="6">
        <v>60</v>
      </c>
      <c r="AE206" s="6">
        <v>40</v>
      </c>
      <c r="AF206" s="6">
        <v>0</v>
      </c>
      <c r="AG206" s="6">
        <v>154.03</v>
      </c>
      <c r="AH206" s="6">
        <v>195.56</v>
      </c>
      <c r="AI206" s="6">
        <f t="shared" si="6"/>
        <v>41.53</v>
      </c>
      <c r="AJ206" s="5">
        <f t="shared" si="7"/>
        <v>0.21236449171609736</v>
      </c>
    </row>
    <row r="207" spans="1:36">
      <c r="A207" t="s">
        <v>360</v>
      </c>
      <c r="B207" t="s">
        <v>475</v>
      </c>
      <c r="C207" t="s">
        <v>58</v>
      </c>
      <c r="D207" t="s">
        <v>60</v>
      </c>
      <c r="E207" t="s">
        <v>55</v>
      </c>
      <c r="F207">
        <v>0</v>
      </c>
      <c r="G207">
        <v>1234</v>
      </c>
      <c r="H207">
        <v>1.22</v>
      </c>
      <c r="I207" t="s">
        <v>220</v>
      </c>
      <c r="J207">
        <v>2</v>
      </c>
      <c r="K207" s="6">
        <v>5.6</v>
      </c>
      <c r="L207" t="s">
        <v>200</v>
      </c>
      <c r="M207">
        <v>1</v>
      </c>
      <c r="N207" t="s">
        <v>175</v>
      </c>
      <c r="O207">
        <v>1</v>
      </c>
      <c r="P207">
        <v>0</v>
      </c>
      <c r="Q207" s="6">
        <v>26.9</v>
      </c>
      <c r="R207">
        <v>0</v>
      </c>
      <c r="S207" s="6">
        <v>0</v>
      </c>
      <c r="T207">
        <v>0</v>
      </c>
      <c r="U207" s="6">
        <v>2181</v>
      </c>
      <c r="V207">
        <v>0</v>
      </c>
      <c r="W207">
        <v>0</v>
      </c>
      <c r="X207">
        <v>0</v>
      </c>
      <c r="Y207" s="6">
        <v>36.4</v>
      </c>
      <c r="Z207">
        <v>0.754</v>
      </c>
      <c r="AA207">
        <v>0.155</v>
      </c>
      <c r="AB207">
        <v>4.1000000000000002E-2</v>
      </c>
      <c r="AC207">
        <v>6</v>
      </c>
      <c r="AD207" s="6">
        <v>119</v>
      </c>
      <c r="AE207" s="6">
        <v>0</v>
      </c>
      <c r="AF207" s="6">
        <v>0</v>
      </c>
      <c r="AG207" s="6">
        <v>96.27</v>
      </c>
      <c r="AH207" s="6">
        <v>120.97</v>
      </c>
      <c r="AI207" s="6">
        <f t="shared" si="6"/>
        <v>24.700000000000003</v>
      </c>
      <c r="AJ207" s="5">
        <f t="shared" si="7"/>
        <v>0.20418285525336863</v>
      </c>
    </row>
    <row r="208" spans="1:36">
      <c r="A208" t="s">
        <v>296</v>
      </c>
      <c r="B208" t="s">
        <v>476</v>
      </c>
      <c r="C208" t="s">
        <v>58</v>
      </c>
      <c r="D208" t="s">
        <v>60</v>
      </c>
      <c r="E208" t="s">
        <v>55</v>
      </c>
      <c r="F208">
        <v>0</v>
      </c>
      <c r="G208">
        <v>1234</v>
      </c>
      <c r="H208">
        <v>1</v>
      </c>
      <c r="I208" t="s">
        <v>220</v>
      </c>
      <c r="J208">
        <v>2</v>
      </c>
      <c r="K208" s="6">
        <v>5.58</v>
      </c>
      <c r="L208" t="s">
        <v>200</v>
      </c>
      <c r="M208">
        <v>1</v>
      </c>
      <c r="N208" t="s">
        <v>175</v>
      </c>
      <c r="O208">
        <v>1</v>
      </c>
      <c r="P208">
        <v>0</v>
      </c>
      <c r="Q208" s="6">
        <v>27.5</v>
      </c>
      <c r="R208">
        <v>0</v>
      </c>
      <c r="S208" s="6">
        <v>0</v>
      </c>
      <c r="T208">
        <v>0</v>
      </c>
      <c r="U208" s="6">
        <v>2739</v>
      </c>
      <c r="V208">
        <v>0</v>
      </c>
      <c r="W208">
        <v>0</v>
      </c>
      <c r="X208">
        <v>0</v>
      </c>
      <c r="Y208" s="6">
        <v>36.4</v>
      </c>
      <c r="Z208">
        <v>0.754</v>
      </c>
      <c r="AA208">
        <v>0.155</v>
      </c>
      <c r="AB208">
        <v>4.1000000000000002E-2</v>
      </c>
      <c r="AC208">
        <v>6</v>
      </c>
      <c r="AD208" s="6">
        <v>119</v>
      </c>
      <c r="AE208" s="6">
        <v>0</v>
      </c>
      <c r="AF208" s="6">
        <v>0</v>
      </c>
      <c r="AG208" s="6">
        <v>91.93</v>
      </c>
      <c r="AH208" s="6">
        <v>123.54</v>
      </c>
      <c r="AI208" s="6">
        <f t="shared" si="6"/>
        <v>31.61</v>
      </c>
      <c r="AJ208" s="5">
        <f t="shared" si="7"/>
        <v>0.25586854460093894</v>
      </c>
    </row>
    <row r="209" spans="1:36">
      <c r="A209" t="s">
        <v>286</v>
      </c>
      <c r="B209" t="s">
        <v>477</v>
      </c>
      <c r="C209" t="s">
        <v>58</v>
      </c>
      <c r="D209" t="s">
        <v>60</v>
      </c>
      <c r="E209" t="s">
        <v>55</v>
      </c>
      <c r="F209">
        <v>0</v>
      </c>
      <c r="G209">
        <v>1234</v>
      </c>
      <c r="H209">
        <v>1.22</v>
      </c>
      <c r="I209" t="s">
        <v>173</v>
      </c>
      <c r="J209">
        <v>1</v>
      </c>
      <c r="K209" s="6">
        <v>2.1800000000000002</v>
      </c>
      <c r="L209" t="s">
        <v>174</v>
      </c>
      <c r="M209">
        <v>0</v>
      </c>
      <c r="N209" t="s">
        <v>187</v>
      </c>
      <c r="O209">
        <v>2</v>
      </c>
      <c r="P209">
        <v>0</v>
      </c>
      <c r="Q209" s="6">
        <v>33.700000000000003</v>
      </c>
      <c r="R209">
        <v>1</v>
      </c>
      <c r="S209" s="6">
        <v>1244</v>
      </c>
      <c r="T209">
        <v>0</v>
      </c>
      <c r="U209" s="6">
        <v>1001</v>
      </c>
      <c r="V209">
        <v>0</v>
      </c>
      <c r="W209">
        <v>0</v>
      </c>
      <c r="X209">
        <v>0</v>
      </c>
      <c r="Y209" s="6">
        <v>36.4</v>
      </c>
      <c r="Z209">
        <v>0.754</v>
      </c>
      <c r="AA209">
        <v>0.155</v>
      </c>
      <c r="AB209">
        <v>4.1000000000000002E-2</v>
      </c>
      <c r="AC209">
        <v>6</v>
      </c>
      <c r="AD209" s="6">
        <v>50</v>
      </c>
      <c r="AE209" s="6">
        <v>25</v>
      </c>
      <c r="AF209" s="6">
        <v>0</v>
      </c>
      <c r="AG209" s="6">
        <v>60.36</v>
      </c>
      <c r="AH209" s="6">
        <v>79.290000000000006</v>
      </c>
      <c r="AI209" s="6">
        <f t="shared" si="6"/>
        <v>18.930000000000007</v>
      </c>
      <c r="AJ209" s="5">
        <f t="shared" si="7"/>
        <v>0.23874385168369283</v>
      </c>
    </row>
    <row r="210" spans="1:36">
      <c r="A210" t="s">
        <v>478</v>
      </c>
      <c r="B210" t="s">
        <v>479</v>
      </c>
      <c r="C210" t="s">
        <v>58</v>
      </c>
      <c r="D210" t="s">
        <v>60</v>
      </c>
      <c r="E210" t="s">
        <v>55</v>
      </c>
      <c r="F210">
        <v>0</v>
      </c>
      <c r="G210">
        <v>1234</v>
      </c>
      <c r="H210">
        <v>1.22</v>
      </c>
      <c r="I210" t="s">
        <v>220</v>
      </c>
      <c r="J210">
        <v>2</v>
      </c>
      <c r="K210" s="6">
        <v>3.49</v>
      </c>
      <c r="L210" t="s">
        <v>200</v>
      </c>
      <c r="M210">
        <v>1</v>
      </c>
      <c r="N210" t="s">
        <v>175</v>
      </c>
      <c r="O210">
        <v>1</v>
      </c>
      <c r="P210">
        <v>0</v>
      </c>
      <c r="Q210" s="6">
        <v>48.2</v>
      </c>
      <c r="R210">
        <v>1</v>
      </c>
      <c r="S210" s="6">
        <v>963</v>
      </c>
      <c r="T210">
        <v>0</v>
      </c>
      <c r="U210" s="6">
        <v>1045</v>
      </c>
      <c r="V210">
        <v>0</v>
      </c>
      <c r="W210">
        <v>0</v>
      </c>
      <c r="X210">
        <v>0</v>
      </c>
      <c r="Y210" s="6">
        <v>36.4</v>
      </c>
      <c r="Z210">
        <v>0.754</v>
      </c>
      <c r="AA210">
        <v>0.155</v>
      </c>
      <c r="AB210">
        <v>4.1000000000000002E-2</v>
      </c>
      <c r="AC210">
        <v>6</v>
      </c>
      <c r="AD210" s="6">
        <v>119</v>
      </c>
      <c r="AE210" s="6">
        <v>25</v>
      </c>
      <c r="AF210" s="6">
        <v>0</v>
      </c>
      <c r="AG210" s="6">
        <v>103.5</v>
      </c>
      <c r="AH210" s="6">
        <v>131.34</v>
      </c>
      <c r="AI210" s="6">
        <f t="shared" si="6"/>
        <v>27.840000000000003</v>
      </c>
      <c r="AJ210" s="5">
        <f t="shared" si="7"/>
        <v>0.21196893558702606</v>
      </c>
    </row>
    <row r="211" spans="1:36">
      <c r="A211" t="s">
        <v>279</v>
      </c>
      <c r="B211" t="s">
        <v>480</v>
      </c>
      <c r="C211" t="s">
        <v>58</v>
      </c>
      <c r="D211" t="s">
        <v>60</v>
      </c>
      <c r="E211" t="s">
        <v>55</v>
      </c>
      <c r="F211">
        <v>0</v>
      </c>
      <c r="G211">
        <v>1234</v>
      </c>
      <c r="H211">
        <v>1.22</v>
      </c>
      <c r="I211" t="s">
        <v>220</v>
      </c>
      <c r="J211">
        <v>2</v>
      </c>
      <c r="K211" s="6">
        <v>5.08</v>
      </c>
      <c r="L211" t="s">
        <v>200</v>
      </c>
      <c r="M211">
        <v>1</v>
      </c>
      <c r="N211" t="s">
        <v>182</v>
      </c>
      <c r="O211">
        <v>3</v>
      </c>
      <c r="P211">
        <v>0</v>
      </c>
      <c r="Q211" s="6">
        <v>93.1</v>
      </c>
      <c r="R211">
        <v>0</v>
      </c>
      <c r="S211" s="6">
        <v>0</v>
      </c>
      <c r="T211">
        <v>0</v>
      </c>
      <c r="U211" s="6">
        <v>1668</v>
      </c>
      <c r="V211">
        <v>0</v>
      </c>
      <c r="W211">
        <v>0</v>
      </c>
      <c r="X211">
        <v>0</v>
      </c>
      <c r="Y211" s="6">
        <v>36.4</v>
      </c>
      <c r="Z211">
        <v>0.754</v>
      </c>
      <c r="AA211">
        <v>0.155</v>
      </c>
      <c r="AB211">
        <v>4.1000000000000002E-2</v>
      </c>
      <c r="AC211">
        <v>6</v>
      </c>
      <c r="AD211" s="6">
        <v>119</v>
      </c>
      <c r="AE211" s="6">
        <v>0</v>
      </c>
      <c r="AF211" s="6">
        <v>0</v>
      </c>
      <c r="AG211" s="6">
        <v>102.39</v>
      </c>
      <c r="AH211" s="6">
        <v>131.16</v>
      </c>
      <c r="AI211" s="6">
        <f t="shared" si="6"/>
        <v>28.769999999999996</v>
      </c>
      <c r="AJ211" s="5">
        <f t="shared" si="7"/>
        <v>0.21935041171088743</v>
      </c>
    </row>
    <row r="212" spans="1:36">
      <c r="A212" t="s">
        <v>481</v>
      </c>
      <c r="B212" t="s">
        <v>482</v>
      </c>
      <c r="C212" t="s">
        <v>58</v>
      </c>
      <c r="D212" t="s">
        <v>60</v>
      </c>
      <c r="E212" t="s">
        <v>55</v>
      </c>
      <c r="F212">
        <v>0</v>
      </c>
      <c r="G212">
        <v>1234</v>
      </c>
      <c r="H212">
        <v>1.22</v>
      </c>
      <c r="I212" t="s">
        <v>173</v>
      </c>
      <c r="J212">
        <v>1</v>
      </c>
      <c r="K212" s="6">
        <v>2.27</v>
      </c>
      <c r="L212" t="s">
        <v>174</v>
      </c>
      <c r="M212">
        <v>0</v>
      </c>
      <c r="N212" t="s">
        <v>175</v>
      </c>
      <c r="O212">
        <v>1</v>
      </c>
      <c r="P212">
        <v>0</v>
      </c>
      <c r="Q212" s="6">
        <v>38</v>
      </c>
      <c r="R212">
        <v>0</v>
      </c>
      <c r="S212" s="6">
        <v>0</v>
      </c>
      <c r="T212">
        <v>0</v>
      </c>
      <c r="U212" s="6">
        <v>1927</v>
      </c>
      <c r="V212">
        <v>0</v>
      </c>
      <c r="W212">
        <v>0</v>
      </c>
      <c r="X212">
        <v>0</v>
      </c>
      <c r="Y212" s="6">
        <v>36.4</v>
      </c>
      <c r="Z212">
        <v>0.754</v>
      </c>
      <c r="AA212">
        <v>0.155</v>
      </c>
      <c r="AB212">
        <v>4.1000000000000002E-2</v>
      </c>
      <c r="AC212">
        <v>6</v>
      </c>
      <c r="AD212" s="6">
        <v>50</v>
      </c>
      <c r="AE212" s="6">
        <v>0</v>
      </c>
      <c r="AF212" s="6">
        <v>0</v>
      </c>
      <c r="AG212" s="6">
        <v>62.11</v>
      </c>
      <c r="AH212" s="6">
        <v>80.89</v>
      </c>
      <c r="AI212" s="6">
        <f t="shared" si="6"/>
        <v>18.78</v>
      </c>
      <c r="AJ212" s="5">
        <f t="shared" si="7"/>
        <v>0.23216714056125604</v>
      </c>
    </row>
    <row r="213" spans="1:36">
      <c r="A213" t="s">
        <v>206</v>
      </c>
      <c r="B213" t="s">
        <v>483</v>
      </c>
      <c r="C213" t="s">
        <v>58</v>
      </c>
      <c r="D213" t="s">
        <v>60</v>
      </c>
      <c r="E213" t="s">
        <v>55</v>
      </c>
      <c r="F213">
        <v>0</v>
      </c>
      <c r="G213">
        <v>1234</v>
      </c>
      <c r="H213">
        <v>1.22</v>
      </c>
      <c r="I213" t="s">
        <v>173</v>
      </c>
      <c r="J213">
        <v>1</v>
      </c>
      <c r="K213" s="6">
        <v>2.25</v>
      </c>
      <c r="L213" t="s">
        <v>200</v>
      </c>
      <c r="M213">
        <v>1</v>
      </c>
      <c r="N213" t="s">
        <v>175</v>
      </c>
      <c r="O213">
        <v>1</v>
      </c>
      <c r="P213">
        <v>0</v>
      </c>
      <c r="Q213" s="6">
        <v>41</v>
      </c>
      <c r="R213">
        <v>1</v>
      </c>
      <c r="S213" s="6">
        <v>703</v>
      </c>
      <c r="T213">
        <v>0</v>
      </c>
      <c r="U213" s="6">
        <v>2793</v>
      </c>
      <c r="V213">
        <v>0</v>
      </c>
      <c r="W213">
        <v>0</v>
      </c>
      <c r="X213">
        <v>0</v>
      </c>
      <c r="Y213" s="6">
        <v>36.4</v>
      </c>
      <c r="Z213">
        <v>0.754</v>
      </c>
      <c r="AA213">
        <v>0.155</v>
      </c>
      <c r="AB213">
        <v>4.1000000000000002E-2</v>
      </c>
      <c r="AC213">
        <v>6</v>
      </c>
      <c r="AD213" s="6">
        <v>99</v>
      </c>
      <c r="AE213" s="6">
        <v>25</v>
      </c>
      <c r="AF213" s="6">
        <v>0</v>
      </c>
      <c r="AG213" s="6">
        <v>94.34</v>
      </c>
      <c r="AH213" s="6">
        <v>121.35</v>
      </c>
      <c r="AI213" s="6">
        <f t="shared" si="6"/>
        <v>27.009999999999991</v>
      </c>
      <c r="AJ213" s="5">
        <f t="shared" si="7"/>
        <v>0.22257931602801806</v>
      </c>
    </row>
    <row r="214" spans="1:36">
      <c r="A214" t="s">
        <v>319</v>
      </c>
      <c r="B214" t="s">
        <v>484</v>
      </c>
      <c r="C214" t="s">
        <v>58</v>
      </c>
      <c r="D214" t="s">
        <v>60</v>
      </c>
      <c r="E214" t="s">
        <v>55</v>
      </c>
      <c r="F214">
        <v>0</v>
      </c>
      <c r="G214">
        <v>1234</v>
      </c>
      <c r="H214">
        <v>1.22</v>
      </c>
      <c r="I214" t="s">
        <v>220</v>
      </c>
      <c r="J214">
        <v>2</v>
      </c>
      <c r="K214" s="6">
        <v>6.17</v>
      </c>
      <c r="L214" t="s">
        <v>200</v>
      </c>
      <c r="M214">
        <v>1</v>
      </c>
      <c r="N214" t="s">
        <v>175</v>
      </c>
      <c r="O214">
        <v>1</v>
      </c>
      <c r="P214">
        <v>0</v>
      </c>
      <c r="Q214" s="6">
        <v>34.9</v>
      </c>
      <c r="R214">
        <v>1</v>
      </c>
      <c r="S214" s="6">
        <v>3039</v>
      </c>
      <c r="T214">
        <v>0</v>
      </c>
      <c r="U214" s="6">
        <v>3056</v>
      </c>
      <c r="V214">
        <v>0</v>
      </c>
      <c r="W214">
        <v>0</v>
      </c>
      <c r="X214">
        <v>0</v>
      </c>
      <c r="Y214" s="6">
        <v>36.4</v>
      </c>
      <c r="Z214">
        <v>0.754</v>
      </c>
      <c r="AA214">
        <v>0.155</v>
      </c>
      <c r="AB214">
        <v>4.1000000000000002E-2</v>
      </c>
      <c r="AC214">
        <v>6</v>
      </c>
      <c r="AD214" s="6">
        <v>119</v>
      </c>
      <c r="AE214" s="6">
        <v>40</v>
      </c>
      <c r="AF214" s="6">
        <v>0</v>
      </c>
      <c r="AG214" s="6">
        <v>100.03</v>
      </c>
      <c r="AH214" s="6">
        <v>126.3</v>
      </c>
      <c r="AI214" s="6">
        <f t="shared" si="6"/>
        <v>26.269999999999996</v>
      </c>
      <c r="AJ214" s="5">
        <f t="shared" si="7"/>
        <v>0.2079968329374505</v>
      </c>
    </row>
    <row r="215" spans="1:36">
      <c r="A215" t="s">
        <v>298</v>
      </c>
      <c r="B215" t="s">
        <v>485</v>
      </c>
      <c r="C215" t="s">
        <v>58</v>
      </c>
      <c r="D215" t="s">
        <v>60</v>
      </c>
      <c r="E215" t="s">
        <v>55</v>
      </c>
      <c r="F215">
        <v>0</v>
      </c>
      <c r="G215">
        <v>1234</v>
      </c>
      <c r="H215">
        <v>1.22</v>
      </c>
      <c r="I215" t="s">
        <v>220</v>
      </c>
      <c r="J215">
        <v>2</v>
      </c>
      <c r="K215" s="6">
        <v>4.0199999999999996</v>
      </c>
      <c r="L215" t="s">
        <v>200</v>
      </c>
      <c r="M215">
        <v>1</v>
      </c>
      <c r="N215" t="s">
        <v>175</v>
      </c>
      <c r="O215">
        <v>1</v>
      </c>
      <c r="P215">
        <v>0</v>
      </c>
      <c r="Q215" s="6">
        <v>36.4</v>
      </c>
      <c r="R215">
        <v>1</v>
      </c>
      <c r="S215" s="6">
        <v>719</v>
      </c>
      <c r="T215">
        <v>0</v>
      </c>
      <c r="U215" s="6">
        <v>2323</v>
      </c>
      <c r="V215">
        <v>1</v>
      </c>
      <c r="W215">
        <v>0</v>
      </c>
      <c r="X215">
        <v>0</v>
      </c>
      <c r="Y215" s="6">
        <v>36.4</v>
      </c>
      <c r="Z215">
        <v>0.754</v>
      </c>
      <c r="AA215">
        <v>0.155</v>
      </c>
      <c r="AB215">
        <v>4.1000000000000002E-2</v>
      </c>
      <c r="AC215">
        <v>6</v>
      </c>
      <c r="AD215" s="6">
        <v>119</v>
      </c>
      <c r="AE215" s="6">
        <v>25</v>
      </c>
      <c r="AF215" s="6">
        <v>0</v>
      </c>
      <c r="AG215" s="6">
        <v>141.66</v>
      </c>
      <c r="AH215" s="6">
        <v>178.27</v>
      </c>
      <c r="AI215" s="6">
        <f t="shared" si="6"/>
        <v>36.610000000000014</v>
      </c>
      <c r="AJ215" s="5">
        <f t="shared" si="7"/>
        <v>0.20536265215684082</v>
      </c>
    </row>
    <row r="216" spans="1:36">
      <c r="A216" t="s">
        <v>208</v>
      </c>
      <c r="B216" t="s">
        <v>486</v>
      </c>
      <c r="C216" t="s">
        <v>58</v>
      </c>
      <c r="D216" t="s">
        <v>60</v>
      </c>
      <c r="E216" t="s">
        <v>55</v>
      </c>
      <c r="F216">
        <v>0</v>
      </c>
      <c r="G216">
        <v>1234</v>
      </c>
      <c r="H216">
        <v>1.22</v>
      </c>
      <c r="I216" t="s">
        <v>220</v>
      </c>
      <c r="J216">
        <v>2</v>
      </c>
      <c r="K216" s="6">
        <v>3.95</v>
      </c>
      <c r="L216" t="s">
        <v>174</v>
      </c>
      <c r="M216">
        <v>0</v>
      </c>
      <c r="N216" t="s">
        <v>175</v>
      </c>
      <c r="O216">
        <v>1</v>
      </c>
      <c r="P216">
        <v>0</v>
      </c>
      <c r="Q216" s="6">
        <v>34.299999999999997</v>
      </c>
      <c r="R216">
        <v>1</v>
      </c>
      <c r="S216" s="6">
        <v>1025</v>
      </c>
      <c r="T216">
        <v>0</v>
      </c>
      <c r="U216" s="6">
        <v>1493</v>
      </c>
      <c r="V216">
        <v>0</v>
      </c>
      <c r="W216">
        <v>0</v>
      </c>
      <c r="X216">
        <v>0</v>
      </c>
      <c r="Y216" s="6">
        <v>36.4</v>
      </c>
      <c r="Z216">
        <v>0.754</v>
      </c>
      <c r="AA216">
        <v>0.155</v>
      </c>
      <c r="AB216">
        <v>4.1000000000000002E-2</v>
      </c>
      <c r="AC216">
        <v>6</v>
      </c>
      <c r="AD216" s="6">
        <v>50</v>
      </c>
      <c r="AE216" s="6">
        <v>25</v>
      </c>
      <c r="AF216" s="6">
        <v>0</v>
      </c>
      <c r="AG216" s="6">
        <v>65.34</v>
      </c>
      <c r="AH216" s="6">
        <v>83.32</v>
      </c>
      <c r="AI216" s="6">
        <f t="shared" si="6"/>
        <v>17.97999999999999</v>
      </c>
      <c r="AJ216" s="5">
        <f t="shared" si="7"/>
        <v>0.2157945271243398</v>
      </c>
    </row>
    <row r="217" spans="1:36">
      <c r="A217" t="s">
        <v>225</v>
      </c>
      <c r="B217" t="s">
        <v>487</v>
      </c>
      <c r="C217" t="s">
        <v>58</v>
      </c>
      <c r="D217" t="s">
        <v>60</v>
      </c>
      <c r="E217" t="s">
        <v>55</v>
      </c>
      <c r="F217">
        <v>0</v>
      </c>
      <c r="G217">
        <v>1234</v>
      </c>
      <c r="H217">
        <v>1.22</v>
      </c>
      <c r="I217" t="s">
        <v>220</v>
      </c>
      <c r="J217">
        <v>2</v>
      </c>
      <c r="K217" s="6">
        <v>2.84</v>
      </c>
      <c r="L217" t="s">
        <v>200</v>
      </c>
      <c r="M217">
        <v>1</v>
      </c>
      <c r="N217" t="s">
        <v>175</v>
      </c>
      <c r="O217">
        <v>1</v>
      </c>
      <c r="P217">
        <v>0</v>
      </c>
      <c r="Q217" s="6">
        <v>28.5</v>
      </c>
      <c r="R217">
        <v>1</v>
      </c>
      <c r="S217" s="6">
        <v>1790</v>
      </c>
      <c r="T217">
        <v>0</v>
      </c>
      <c r="U217" s="6">
        <v>1576</v>
      </c>
      <c r="V217">
        <v>0</v>
      </c>
      <c r="W217">
        <v>0</v>
      </c>
      <c r="X217">
        <v>0</v>
      </c>
      <c r="Y217" s="6">
        <v>36.4</v>
      </c>
      <c r="Z217">
        <v>0.754</v>
      </c>
      <c r="AA217">
        <v>0.155</v>
      </c>
      <c r="AB217">
        <v>4.1000000000000002E-2</v>
      </c>
      <c r="AC217">
        <v>6</v>
      </c>
      <c r="AD217" s="6">
        <v>119</v>
      </c>
      <c r="AE217" s="6">
        <v>25</v>
      </c>
      <c r="AF217" s="6">
        <v>0</v>
      </c>
      <c r="AG217" s="6">
        <v>102.16</v>
      </c>
      <c r="AH217" s="6">
        <v>128.15</v>
      </c>
      <c r="AI217" s="6">
        <f t="shared" si="6"/>
        <v>25.990000000000009</v>
      </c>
      <c r="AJ217" s="5">
        <f t="shared" si="7"/>
        <v>0.20280920795942262</v>
      </c>
    </row>
    <row r="218" spans="1:36">
      <c r="A218" t="s">
        <v>488</v>
      </c>
      <c r="B218" t="s">
        <v>489</v>
      </c>
      <c r="C218" t="s">
        <v>58</v>
      </c>
      <c r="D218" t="s">
        <v>60</v>
      </c>
      <c r="E218" t="s">
        <v>55</v>
      </c>
      <c r="F218">
        <v>0</v>
      </c>
      <c r="G218">
        <v>1234</v>
      </c>
      <c r="H218">
        <v>1.22</v>
      </c>
      <c r="I218" t="s">
        <v>173</v>
      </c>
      <c r="J218">
        <v>1</v>
      </c>
      <c r="K218" s="6">
        <v>1.1299999999999999</v>
      </c>
      <c r="L218" t="s">
        <v>200</v>
      </c>
      <c r="M218">
        <v>1</v>
      </c>
      <c r="N218" t="s">
        <v>175</v>
      </c>
      <c r="O218">
        <v>1</v>
      </c>
      <c r="P218">
        <v>0</v>
      </c>
      <c r="Q218" s="6">
        <v>34.200000000000003</v>
      </c>
      <c r="R218">
        <v>1</v>
      </c>
      <c r="S218" s="6">
        <v>1284</v>
      </c>
      <c r="T218">
        <v>0</v>
      </c>
      <c r="U218" s="6">
        <v>1766</v>
      </c>
      <c r="V218">
        <v>0</v>
      </c>
      <c r="W218">
        <v>0</v>
      </c>
      <c r="X218">
        <v>0</v>
      </c>
      <c r="Y218" s="6">
        <v>36.4</v>
      </c>
      <c r="Z218">
        <v>0.754</v>
      </c>
      <c r="AA218">
        <v>0.155</v>
      </c>
      <c r="AB218">
        <v>4.1000000000000002E-2</v>
      </c>
      <c r="AC218">
        <v>6</v>
      </c>
      <c r="AD218" s="6">
        <v>99</v>
      </c>
      <c r="AE218" s="6">
        <v>25</v>
      </c>
      <c r="AF218" s="6">
        <v>0</v>
      </c>
      <c r="AG218" s="6">
        <v>90.34</v>
      </c>
      <c r="AH218" s="6">
        <v>117</v>
      </c>
      <c r="AI218" s="6">
        <f t="shared" si="6"/>
        <v>26.659999999999997</v>
      </c>
      <c r="AJ218" s="5">
        <f t="shared" si="7"/>
        <v>0.22786324786324783</v>
      </c>
    </row>
    <row r="219" spans="1:36">
      <c r="A219" t="s">
        <v>208</v>
      </c>
      <c r="B219" t="s">
        <v>490</v>
      </c>
      <c r="C219" t="s">
        <v>58</v>
      </c>
      <c r="D219" t="s">
        <v>60</v>
      </c>
      <c r="E219" t="s">
        <v>55</v>
      </c>
      <c r="F219">
        <v>0</v>
      </c>
      <c r="G219">
        <v>1234</v>
      </c>
      <c r="H219">
        <v>1.22</v>
      </c>
      <c r="I219" t="s">
        <v>173</v>
      </c>
      <c r="J219">
        <v>1</v>
      </c>
      <c r="K219" s="6">
        <v>0.92</v>
      </c>
      <c r="L219" t="s">
        <v>174</v>
      </c>
      <c r="M219">
        <v>0</v>
      </c>
      <c r="N219" t="s">
        <v>175</v>
      </c>
      <c r="O219">
        <v>1</v>
      </c>
      <c r="P219">
        <v>0</v>
      </c>
      <c r="Q219" s="6">
        <v>56.6</v>
      </c>
      <c r="R219">
        <v>1</v>
      </c>
      <c r="S219" s="6">
        <v>2515</v>
      </c>
      <c r="T219">
        <v>0</v>
      </c>
      <c r="U219" s="6">
        <v>1880</v>
      </c>
      <c r="V219">
        <v>0</v>
      </c>
      <c r="W219">
        <v>0</v>
      </c>
      <c r="X219">
        <v>1</v>
      </c>
      <c r="Y219" s="6">
        <v>36.4</v>
      </c>
      <c r="Z219">
        <v>0.754</v>
      </c>
      <c r="AA219">
        <v>0.155</v>
      </c>
      <c r="AB219">
        <v>4.1000000000000002E-2</v>
      </c>
      <c r="AC219">
        <v>6</v>
      </c>
      <c r="AD219" s="6">
        <v>50</v>
      </c>
      <c r="AE219" s="6">
        <v>40</v>
      </c>
      <c r="AF219" s="6">
        <v>0</v>
      </c>
      <c r="AG219" s="6">
        <v>61.86</v>
      </c>
      <c r="AH219" s="6">
        <v>80.7</v>
      </c>
      <c r="AI219" s="6">
        <f t="shared" si="6"/>
        <v>18.840000000000003</v>
      </c>
      <c r="AJ219" s="5">
        <f t="shared" si="7"/>
        <v>0.23345724907063201</v>
      </c>
    </row>
    <row r="220" spans="1:36">
      <c r="A220" t="s">
        <v>323</v>
      </c>
      <c r="B220" t="s">
        <v>491</v>
      </c>
      <c r="C220" t="s">
        <v>58</v>
      </c>
      <c r="D220" t="s">
        <v>60</v>
      </c>
      <c r="E220" t="s">
        <v>55</v>
      </c>
      <c r="F220">
        <v>0</v>
      </c>
      <c r="G220">
        <v>1234</v>
      </c>
      <c r="H220">
        <v>1.22</v>
      </c>
      <c r="I220" t="s">
        <v>173</v>
      </c>
      <c r="J220">
        <v>1</v>
      </c>
      <c r="K220" s="6">
        <v>2.2400000000000002</v>
      </c>
      <c r="L220" t="s">
        <v>200</v>
      </c>
      <c r="M220">
        <v>1</v>
      </c>
      <c r="N220" t="s">
        <v>187</v>
      </c>
      <c r="O220">
        <v>2</v>
      </c>
      <c r="P220">
        <v>0</v>
      </c>
      <c r="Q220" s="6">
        <v>85.1</v>
      </c>
      <c r="R220">
        <v>0</v>
      </c>
      <c r="S220" s="6">
        <v>0</v>
      </c>
      <c r="T220">
        <v>0</v>
      </c>
      <c r="U220" s="6">
        <v>1309</v>
      </c>
      <c r="V220">
        <v>0</v>
      </c>
      <c r="W220">
        <v>0</v>
      </c>
      <c r="X220">
        <v>0</v>
      </c>
      <c r="Y220" s="6">
        <v>36.4</v>
      </c>
      <c r="Z220">
        <v>0.754</v>
      </c>
      <c r="AA220">
        <v>0.155</v>
      </c>
      <c r="AB220">
        <v>4.1000000000000002E-2</v>
      </c>
      <c r="AC220">
        <v>6</v>
      </c>
      <c r="AD220" s="6">
        <v>99</v>
      </c>
      <c r="AE220" s="6">
        <v>0</v>
      </c>
      <c r="AF220" s="6">
        <v>0</v>
      </c>
      <c r="AG220" s="6">
        <v>92.66</v>
      </c>
      <c r="AH220" s="6">
        <v>119.64</v>
      </c>
      <c r="AI220" s="6">
        <f t="shared" si="6"/>
        <v>26.980000000000004</v>
      </c>
      <c r="AJ220" s="5">
        <f t="shared" si="7"/>
        <v>0.22550986292209965</v>
      </c>
    </row>
    <row r="221" spans="1:36">
      <c r="A221" t="s">
        <v>478</v>
      </c>
      <c r="B221" t="s">
        <v>492</v>
      </c>
      <c r="C221" t="s">
        <v>58</v>
      </c>
      <c r="D221" t="s">
        <v>60</v>
      </c>
      <c r="E221" t="s">
        <v>55</v>
      </c>
      <c r="F221">
        <v>0</v>
      </c>
      <c r="G221">
        <v>1234</v>
      </c>
      <c r="H221">
        <v>1.22</v>
      </c>
      <c r="I221" t="s">
        <v>173</v>
      </c>
      <c r="J221">
        <v>1</v>
      </c>
      <c r="K221" s="6">
        <v>1.69</v>
      </c>
      <c r="L221" t="s">
        <v>200</v>
      </c>
      <c r="M221">
        <v>1</v>
      </c>
      <c r="N221" t="s">
        <v>175</v>
      </c>
      <c r="O221">
        <v>1</v>
      </c>
      <c r="P221">
        <v>0</v>
      </c>
      <c r="Q221" s="6">
        <v>46.1</v>
      </c>
      <c r="R221">
        <v>1</v>
      </c>
      <c r="S221" s="6">
        <v>540</v>
      </c>
      <c r="T221">
        <v>0</v>
      </c>
      <c r="U221" s="6">
        <v>1599</v>
      </c>
      <c r="V221">
        <v>0</v>
      </c>
      <c r="W221">
        <v>0</v>
      </c>
      <c r="X221">
        <v>0</v>
      </c>
      <c r="Y221" s="6">
        <v>36.4</v>
      </c>
      <c r="Z221">
        <v>0.754</v>
      </c>
      <c r="AA221">
        <v>0.155</v>
      </c>
      <c r="AB221">
        <v>4.1000000000000002E-2</v>
      </c>
      <c r="AC221">
        <v>6</v>
      </c>
      <c r="AD221" s="6">
        <v>99</v>
      </c>
      <c r="AE221" s="6">
        <v>25</v>
      </c>
      <c r="AF221" s="6">
        <v>0</v>
      </c>
      <c r="AG221" s="6">
        <v>86.37</v>
      </c>
      <c r="AH221" s="6">
        <v>108.82</v>
      </c>
      <c r="AI221" s="6">
        <f t="shared" si="6"/>
        <v>22.449999999999989</v>
      </c>
      <c r="AJ221" s="5">
        <f t="shared" si="7"/>
        <v>0.20630398823745627</v>
      </c>
    </row>
    <row r="222" spans="1:36">
      <c r="A222" t="s">
        <v>298</v>
      </c>
      <c r="B222" t="s">
        <v>493</v>
      </c>
      <c r="C222" t="s">
        <v>58</v>
      </c>
      <c r="D222" t="s">
        <v>60</v>
      </c>
      <c r="E222" t="s">
        <v>55</v>
      </c>
      <c r="F222">
        <v>0</v>
      </c>
      <c r="G222">
        <v>1234</v>
      </c>
      <c r="H222">
        <v>1.22</v>
      </c>
      <c r="I222" t="s">
        <v>173</v>
      </c>
      <c r="J222">
        <v>1</v>
      </c>
      <c r="K222" s="6">
        <v>1.9</v>
      </c>
      <c r="L222" t="s">
        <v>174</v>
      </c>
      <c r="M222">
        <v>0</v>
      </c>
      <c r="N222" t="s">
        <v>187</v>
      </c>
      <c r="O222">
        <v>2</v>
      </c>
      <c r="P222">
        <v>0</v>
      </c>
      <c r="Q222" s="6">
        <v>13.4</v>
      </c>
      <c r="R222">
        <v>0</v>
      </c>
      <c r="S222" s="6">
        <v>0</v>
      </c>
      <c r="T222">
        <v>0</v>
      </c>
      <c r="U222" s="6">
        <v>1420</v>
      </c>
      <c r="V222">
        <v>0</v>
      </c>
      <c r="W222">
        <v>0</v>
      </c>
      <c r="X222">
        <v>0</v>
      </c>
      <c r="Y222" s="6">
        <v>36.4</v>
      </c>
      <c r="Z222">
        <v>0.754</v>
      </c>
      <c r="AA222">
        <v>0.155</v>
      </c>
      <c r="AB222">
        <v>4.1000000000000002E-2</v>
      </c>
      <c r="AC222">
        <v>6</v>
      </c>
      <c r="AD222" s="6">
        <v>50</v>
      </c>
      <c r="AE222" s="6">
        <v>0</v>
      </c>
      <c r="AF222" s="6">
        <v>0</v>
      </c>
      <c r="AG222" s="6">
        <v>57.71</v>
      </c>
      <c r="AH222" s="6">
        <v>73.33</v>
      </c>
      <c r="AI222" s="6">
        <f t="shared" si="6"/>
        <v>15.619999999999997</v>
      </c>
      <c r="AJ222" s="5">
        <f t="shared" si="7"/>
        <v>0.21300968225828443</v>
      </c>
    </row>
    <row r="223" spans="1:36">
      <c r="A223" t="s">
        <v>494</v>
      </c>
      <c r="B223" t="s">
        <v>495</v>
      </c>
      <c r="C223" t="s">
        <v>58</v>
      </c>
      <c r="D223" t="s">
        <v>60</v>
      </c>
      <c r="E223" t="s">
        <v>55</v>
      </c>
      <c r="F223">
        <v>0</v>
      </c>
      <c r="G223">
        <v>1234</v>
      </c>
      <c r="H223">
        <v>1</v>
      </c>
      <c r="I223" t="s">
        <v>173</v>
      </c>
      <c r="J223">
        <v>1</v>
      </c>
      <c r="K223" s="6">
        <v>1.51</v>
      </c>
      <c r="L223" t="s">
        <v>200</v>
      </c>
      <c r="M223">
        <v>1</v>
      </c>
      <c r="N223" t="s">
        <v>175</v>
      </c>
      <c r="O223">
        <v>1</v>
      </c>
      <c r="P223">
        <v>0</v>
      </c>
      <c r="Q223" s="6">
        <v>41.9</v>
      </c>
      <c r="R223">
        <v>0</v>
      </c>
      <c r="S223" s="6">
        <v>0</v>
      </c>
      <c r="T223">
        <v>0</v>
      </c>
      <c r="U223" s="6">
        <v>2565</v>
      </c>
      <c r="V223">
        <v>0</v>
      </c>
      <c r="W223">
        <v>0</v>
      </c>
      <c r="X223">
        <v>0</v>
      </c>
      <c r="Y223" s="6">
        <v>36.4</v>
      </c>
      <c r="Z223">
        <v>0.754</v>
      </c>
      <c r="AA223">
        <v>0.155</v>
      </c>
      <c r="AB223">
        <v>4.1000000000000002E-2</v>
      </c>
      <c r="AC223">
        <v>6</v>
      </c>
      <c r="AD223" s="6">
        <v>99</v>
      </c>
      <c r="AE223" s="6">
        <v>0</v>
      </c>
      <c r="AF223" s="6">
        <v>0</v>
      </c>
      <c r="AG223" s="6">
        <v>81.72</v>
      </c>
      <c r="AH223" s="6">
        <v>103.8</v>
      </c>
      <c r="AI223" s="6">
        <f t="shared" si="6"/>
        <v>22.08</v>
      </c>
      <c r="AJ223" s="5">
        <f t="shared" si="7"/>
        <v>0.21271676300578032</v>
      </c>
    </row>
    <row r="224" spans="1:36">
      <c r="A224" t="s">
        <v>279</v>
      </c>
      <c r="B224" t="s">
        <v>496</v>
      </c>
      <c r="C224" t="s">
        <v>58</v>
      </c>
      <c r="D224" t="s">
        <v>60</v>
      </c>
      <c r="E224" t="s">
        <v>55</v>
      </c>
      <c r="F224">
        <v>0</v>
      </c>
      <c r="G224">
        <v>1234</v>
      </c>
      <c r="H224">
        <v>1.22</v>
      </c>
      <c r="I224" t="s">
        <v>173</v>
      </c>
      <c r="J224">
        <v>1</v>
      </c>
      <c r="K224" s="6">
        <v>1.74</v>
      </c>
      <c r="L224" t="s">
        <v>174</v>
      </c>
      <c r="M224">
        <v>0</v>
      </c>
      <c r="N224" t="s">
        <v>187</v>
      </c>
      <c r="O224">
        <v>2</v>
      </c>
      <c r="P224">
        <v>1</v>
      </c>
      <c r="Q224" s="6">
        <v>57.6</v>
      </c>
      <c r="R224">
        <v>1</v>
      </c>
      <c r="S224" s="6">
        <v>785</v>
      </c>
      <c r="T224">
        <v>0</v>
      </c>
      <c r="U224" s="6">
        <v>1696</v>
      </c>
      <c r="V224">
        <v>0</v>
      </c>
      <c r="W224">
        <v>0</v>
      </c>
      <c r="X224">
        <v>0</v>
      </c>
      <c r="Y224" s="6">
        <v>36.4</v>
      </c>
      <c r="Z224">
        <v>0.754</v>
      </c>
      <c r="AA224">
        <v>0.155</v>
      </c>
      <c r="AB224">
        <v>4.1000000000000002E-2</v>
      </c>
      <c r="AC224">
        <v>6</v>
      </c>
      <c r="AD224" s="6">
        <v>50</v>
      </c>
      <c r="AE224" s="6">
        <v>25</v>
      </c>
      <c r="AF224" s="6">
        <v>0</v>
      </c>
      <c r="AG224" s="6">
        <v>90.51</v>
      </c>
      <c r="AH224" s="6">
        <v>113.41</v>
      </c>
      <c r="AI224" s="6">
        <f t="shared" si="6"/>
        <v>22.899999999999991</v>
      </c>
      <c r="AJ224" s="5">
        <f t="shared" si="7"/>
        <v>0.20192222908032795</v>
      </c>
    </row>
    <row r="225" spans="1:36">
      <c r="A225" t="s">
        <v>436</v>
      </c>
      <c r="B225" t="s">
        <v>497</v>
      </c>
      <c r="C225" t="s">
        <v>58</v>
      </c>
      <c r="D225" t="s">
        <v>60</v>
      </c>
      <c r="E225" t="s">
        <v>55</v>
      </c>
      <c r="F225">
        <v>0</v>
      </c>
      <c r="G225">
        <v>1234</v>
      </c>
      <c r="H225">
        <v>1.22</v>
      </c>
      <c r="I225" t="s">
        <v>220</v>
      </c>
      <c r="J225">
        <v>2</v>
      </c>
      <c r="K225" s="6">
        <v>2.75</v>
      </c>
      <c r="L225" t="s">
        <v>200</v>
      </c>
      <c r="M225">
        <v>1</v>
      </c>
      <c r="N225" t="s">
        <v>182</v>
      </c>
      <c r="O225">
        <v>3</v>
      </c>
      <c r="P225">
        <v>0</v>
      </c>
      <c r="Q225" s="6">
        <v>114.6</v>
      </c>
      <c r="R225">
        <v>0</v>
      </c>
      <c r="S225" s="6">
        <v>0</v>
      </c>
      <c r="T225">
        <v>0</v>
      </c>
      <c r="U225" s="6">
        <v>2864</v>
      </c>
      <c r="V225">
        <v>0</v>
      </c>
      <c r="W225">
        <v>0</v>
      </c>
      <c r="X225">
        <v>0</v>
      </c>
      <c r="Y225" s="6">
        <v>36.4</v>
      </c>
      <c r="Z225">
        <v>0.754</v>
      </c>
      <c r="AA225">
        <v>0.155</v>
      </c>
      <c r="AB225">
        <v>4.1000000000000002E-2</v>
      </c>
      <c r="AC225">
        <v>6</v>
      </c>
      <c r="AD225" s="6">
        <v>119</v>
      </c>
      <c r="AE225" s="6">
        <v>0</v>
      </c>
      <c r="AF225" s="6">
        <v>0</v>
      </c>
      <c r="AG225" s="6">
        <v>108.25</v>
      </c>
      <c r="AH225" s="6">
        <v>140.05000000000001</v>
      </c>
      <c r="AI225" s="6">
        <f t="shared" si="6"/>
        <v>31.800000000000011</v>
      </c>
      <c r="AJ225" s="5">
        <f t="shared" si="7"/>
        <v>0.22706176365583727</v>
      </c>
    </row>
    <row r="226" spans="1:36">
      <c r="A226" t="s">
        <v>188</v>
      </c>
      <c r="B226" t="s">
        <v>498</v>
      </c>
      <c r="C226" t="s">
        <v>58</v>
      </c>
      <c r="D226" t="s">
        <v>60</v>
      </c>
      <c r="E226" t="s">
        <v>55</v>
      </c>
      <c r="F226">
        <v>0</v>
      </c>
      <c r="G226">
        <v>1234</v>
      </c>
      <c r="H226">
        <v>1.22</v>
      </c>
      <c r="I226" t="s">
        <v>173</v>
      </c>
      <c r="J226">
        <v>1</v>
      </c>
      <c r="K226" s="6">
        <v>2.17</v>
      </c>
      <c r="L226" t="s">
        <v>200</v>
      </c>
      <c r="M226">
        <v>1</v>
      </c>
      <c r="N226" t="s">
        <v>175</v>
      </c>
      <c r="O226">
        <v>1</v>
      </c>
      <c r="P226">
        <v>0</v>
      </c>
      <c r="Q226" s="6">
        <v>25.5</v>
      </c>
      <c r="R226">
        <v>1</v>
      </c>
      <c r="S226" s="6">
        <v>825</v>
      </c>
      <c r="T226">
        <v>0</v>
      </c>
      <c r="U226" s="6">
        <v>781</v>
      </c>
      <c r="V226">
        <v>0</v>
      </c>
      <c r="W226">
        <v>0</v>
      </c>
      <c r="X226">
        <v>0</v>
      </c>
      <c r="Y226" s="6">
        <v>36.4</v>
      </c>
      <c r="Z226">
        <v>0.754</v>
      </c>
      <c r="AA226">
        <v>0.155</v>
      </c>
      <c r="AB226">
        <v>4.1000000000000002E-2</v>
      </c>
      <c r="AC226">
        <v>6</v>
      </c>
      <c r="AD226" s="6">
        <v>99</v>
      </c>
      <c r="AE226" s="6">
        <v>25</v>
      </c>
      <c r="AF226" s="6">
        <v>0</v>
      </c>
      <c r="AG226" s="6">
        <v>82.95</v>
      </c>
      <c r="AH226" s="6">
        <v>105.58</v>
      </c>
      <c r="AI226" s="6">
        <f t="shared" si="6"/>
        <v>22.629999999999995</v>
      </c>
      <c r="AJ226" s="5">
        <f t="shared" si="7"/>
        <v>0.21433983709035798</v>
      </c>
    </row>
    <row r="227" spans="1:36">
      <c r="A227" t="s">
        <v>236</v>
      </c>
      <c r="B227" t="s">
        <v>499</v>
      </c>
      <c r="C227" t="s">
        <v>58</v>
      </c>
      <c r="D227" t="s">
        <v>60</v>
      </c>
      <c r="E227" t="s">
        <v>55</v>
      </c>
      <c r="F227">
        <v>0</v>
      </c>
      <c r="G227">
        <v>1234</v>
      </c>
      <c r="H227">
        <v>1</v>
      </c>
      <c r="I227" t="s">
        <v>220</v>
      </c>
      <c r="J227">
        <v>2</v>
      </c>
      <c r="K227" s="6">
        <v>3.72</v>
      </c>
      <c r="L227" t="s">
        <v>174</v>
      </c>
      <c r="M227">
        <v>0</v>
      </c>
      <c r="N227" t="s">
        <v>175</v>
      </c>
      <c r="O227">
        <v>1</v>
      </c>
      <c r="P227">
        <v>0</v>
      </c>
      <c r="Q227" s="6">
        <v>32.4</v>
      </c>
      <c r="R227">
        <v>1</v>
      </c>
      <c r="S227" s="6">
        <v>319</v>
      </c>
      <c r="T227">
        <v>0</v>
      </c>
      <c r="U227" s="6">
        <v>2238</v>
      </c>
      <c r="V227">
        <v>0</v>
      </c>
      <c r="W227">
        <v>0</v>
      </c>
      <c r="X227">
        <v>0</v>
      </c>
      <c r="Y227" s="6">
        <v>36.4</v>
      </c>
      <c r="Z227">
        <v>0.754</v>
      </c>
      <c r="AA227">
        <v>0.155</v>
      </c>
      <c r="AB227">
        <v>4.1000000000000002E-2</v>
      </c>
      <c r="AC227">
        <v>6</v>
      </c>
      <c r="AD227" s="6">
        <v>50</v>
      </c>
      <c r="AE227" s="6">
        <v>25</v>
      </c>
      <c r="AF227" s="6">
        <v>0</v>
      </c>
      <c r="AG227" s="6">
        <v>54.8</v>
      </c>
      <c r="AH227" s="6">
        <v>72.73</v>
      </c>
      <c r="AI227" s="6">
        <f t="shared" si="6"/>
        <v>17.930000000000007</v>
      </c>
      <c r="AJ227" s="5">
        <f t="shared" si="7"/>
        <v>0.24652825519043045</v>
      </c>
    </row>
    <row r="228" spans="1:36">
      <c r="A228" t="s">
        <v>403</v>
      </c>
      <c r="B228" t="s">
        <v>500</v>
      </c>
      <c r="C228" t="s">
        <v>58</v>
      </c>
      <c r="D228" t="s">
        <v>60</v>
      </c>
      <c r="E228" t="s">
        <v>55</v>
      </c>
      <c r="F228">
        <v>0</v>
      </c>
      <c r="G228">
        <v>1234</v>
      </c>
      <c r="H228">
        <v>1.22</v>
      </c>
      <c r="I228" t="s">
        <v>173</v>
      </c>
      <c r="J228">
        <v>1</v>
      </c>
      <c r="K228" s="6">
        <v>2.2200000000000002</v>
      </c>
      <c r="L228" t="s">
        <v>174</v>
      </c>
      <c r="M228">
        <v>0</v>
      </c>
      <c r="N228" t="s">
        <v>217</v>
      </c>
      <c r="O228">
        <v>4</v>
      </c>
      <c r="P228">
        <v>1</v>
      </c>
      <c r="Q228" s="6">
        <v>165.7</v>
      </c>
      <c r="R228">
        <v>0</v>
      </c>
      <c r="S228" s="6">
        <v>0</v>
      </c>
      <c r="T228">
        <v>0</v>
      </c>
      <c r="U228" s="6">
        <v>1888</v>
      </c>
      <c r="V228">
        <v>1</v>
      </c>
      <c r="W228">
        <v>0</v>
      </c>
      <c r="X228">
        <v>0</v>
      </c>
      <c r="Y228" s="6">
        <v>36.4</v>
      </c>
      <c r="Z228">
        <v>0.754</v>
      </c>
      <c r="AA228">
        <v>0.155</v>
      </c>
      <c r="AB228">
        <v>4.1000000000000002E-2</v>
      </c>
      <c r="AC228">
        <v>6</v>
      </c>
      <c r="AD228" s="6">
        <v>50</v>
      </c>
      <c r="AE228" s="6">
        <v>0</v>
      </c>
      <c r="AF228" s="6">
        <v>0</v>
      </c>
      <c r="AG228" s="6">
        <v>169.96</v>
      </c>
      <c r="AH228" s="6">
        <v>212.56</v>
      </c>
      <c r="AI228" s="6">
        <f t="shared" si="6"/>
        <v>42.599999999999994</v>
      </c>
      <c r="AJ228" s="5">
        <f t="shared" si="7"/>
        <v>0.20041400075272861</v>
      </c>
    </row>
    <row r="229" spans="1:36">
      <c r="A229" t="s">
        <v>501</v>
      </c>
      <c r="B229" t="s">
        <v>502</v>
      </c>
      <c r="C229" t="s">
        <v>58</v>
      </c>
      <c r="D229" t="s">
        <v>60</v>
      </c>
      <c r="E229" t="s">
        <v>55</v>
      </c>
      <c r="F229">
        <v>0</v>
      </c>
      <c r="G229">
        <v>1234</v>
      </c>
      <c r="H229">
        <v>1</v>
      </c>
      <c r="I229" t="s">
        <v>220</v>
      </c>
      <c r="J229">
        <v>2</v>
      </c>
      <c r="K229" s="6">
        <v>4.18</v>
      </c>
      <c r="L229" t="s">
        <v>174</v>
      </c>
      <c r="M229">
        <v>0</v>
      </c>
      <c r="N229" t="s">
        <v>187</v>
      </c>
      <c r="O229">
        <v>2</v>
      </c>
      <c r="P229">
        <v>0</v>
      </c>
      <c r="Q229" s="6">
        <v>43.2</v>
      </c>
      <c r="R229">
        <v>1</v>
      </c>
      <c r="S229" s="6">
        <v>1730</v>
      </c>
      <c r="T229">
        <v>0</v>
      </c>
      <c r="U229" s="6">
        <v>2398</v>
      </c>
      <c r="V229">
        <v>1</v>
      </c>
      <c r="W229">
        <v>0</v>
      </c>
      <c r="X229">
        <v>0</v>
      </c>
      <c r="Y229" s="6">
        <v>36.4</v>
      </c>
      <c r="Z229">
        <v>0.754</v>
      </c>
      <c r="AA229">
        <v>0.155</v>
      </c>
      <c r="AB229">
        <v>4.1000000000000002E-2</v>
      </c>
      <c r="AC229">
        <v>6</v>
      </c>
      <c r="AD229" s="6">
        <v>50</v>
      </c>
      <c r="AE229" s="6">
        <v>25</v>
      </c>
      <c r="AF229" s="6">
        <v>0</v>
      </c>
      <c r="AG229" s="6">
        <v>112.75</v>
      </c>
      <c r="AH229" s="6">
        <v>144.93</v>
      </c>
      <c r="AI229" s="6">
        <f t="shared" si="6"/>
        <v>32.180000000000007</v>
      </c>
      <c r="AJ229" s="5">
        <f t="shared" si="7"/>
        <v>0.22203822535016909</v>
      </c>
    </row>
    <row r="230" spans="1:36">
      <c r="A230" t="s">
        <v>360</v>
      </c>
      <c r="B230" t="s">
        <v>503</v>
      </c>
      <c r="C230" t="s">
        <v>58</v>
      </c>
      <c r="D230" t="s">
        <v>60</v>
      </c>
      <c r="E230" t="s">
        <v>55</v>
      </c>
      <c r="F230">
        <v>0</v>
      </c>
      <c r="G230">
        <v>1234</v>
      </c>
      <c r="H230">
        <v>1.22</v>
      </c>
      <c r="I230" t="s">
        <v>173</v>
      </c>
      <c r="J230">
        <v>1</v>
      </c>
      <c r="K230" s="6">
        <v>2.0099999999999998</v>
      </c>
      <c r="L230" t="s">
        <v>174</v>
      </c>
      <c r="M230">
        <v>0</v>
      </c>
      <c r="N230" t="s">
        <v>175</v>
      </c>
      <c r="O230">
        <v>1</v>
      </c>
      <c r="P230">
        <v>1</v>
      </c>
      <c r="Q230" s="6">
        <v>40.299999999999997</v>
      </c>
      <c r="R230">
        <v>1</v>
      </c>
      <c r="S230" s="6">
        <v>836</v>
      </c>
      <c r="T230">
        <v>0</v>
      </c>
      <c r="U230" s="6">
        <v>2217</v>
      </c>
      <c r="V230">
        <v>0</v>
      </c>
      <c r="W230">
        <v>0</v>
      </c>
      <c r="X230">
        <v>0</v>
      </c>
      <c r="Y230" s="6">
        <v>36.4</v>
      </c>
      <c r="Z230">
        <v>0.754</v>
      </c>
      <c r="AA230">
        <v>0.155</v>
      </c>
      <c r="AB230">
        <v>4.1000000000000002E-2</v>
      </c>
      <c r="AC230">
        <v>6</v>
      </c>
      <c r="AD230" s="6">
        <v>50</v>
      </c>
      <c r="AE230" s="6">
        <v>25</v>
      </c>
      <c r="AF230" s="6">
        <v>0</v>
      </c>
      <c r="AG230" s="6">
        <v>79.08</v>
      </c>
      <c r="AH230" s="6">
        <v>101.14</v>
      </c>
      <c r="AI230" s="6">
        <f t="shared" si="6"/>
        <v>22.060000000000002</v>
      </c>
      <c r="AJ230" s="5">
        <f t="shared" si="7"/>
        <v>0.21811350603124385</v>
      </c>
    </row>
    <row r="231" spans="1:36">
      <c r="A231" t="s">
        <v>431</v>
      </c>
      <c r="B231" t="s">
        <v>504</v>
      </c>
      <c r="C231" t="s">
        <v>58</v>
      </c>
      <c r="D231" t="s">
        <v>60</v>
      </c>
      <c r="E231" t="s">
        <v>55</v>
      </c>
      <c r="F231">
        <v>0</v>
      </c>
      <c r="G231">
        <v>1234</v>
      </c>
      <c r="H231">
        <v>1</v>
      </c>
      <c r="I231" t="s">
        <v>173</v>
      </c>
      <c r="J231">
        <v>1</v>
      </c>
      <c r="K231" s="6">
        <v>2.2999999999999998</v>
      </c>
      <c r="L231" t="s">
        <v>200</v>
      </c>
      <c r="M231">
        <v>1</v>
      </c>
      <c r="N231" t="s">
        <v>187</v>
      </c>
      <c r="O231">
        <v>2</v>
      </c>
      <c r="P231">
        <v>0</v>
      </c>
      <c r="Q231" s="6">
        <v>39.4</v>
      </c>
      <c r="R231">
        <v>1</v>
      </c>
      <c r="S231" s="6">
        <v>3035</v>
      </c>
      <c r="T231">
        <v>0</v>
      </c>
      <c r="U231" s="6">
        <v>1122</v>
      </c>
      <c r="V231">
        <v>0</v>
      </c>
      <c r="W231">
        <v>0</v>
      </c>
      <c r="X231">
        <v>0</v>
      </c>
      <c r="Y231" s="6">
        <v>36.4</v>
      </c>
      <c r="Z231">
        <v>0.754</v>
      </c>
      <c r="AA231">
        <v>0.155</v>
      </c>
      <c r="AB231">
        <v>4.1000000000000002E-2</v>
      </c>
      <c r="AC231">
        <v>6</v>
      </c>
      <c r="AD231" s="6">
        <v>99</v>
      </c>
      <c r="AE231" s="6">
        <v>40</v>
      </c>
      <c r="AF231" s="6">
        <v>0</v>
      </c>
      <c r="AG231" s="6">
        <v>95.18</v>
      </c>
      <c r="AH231" s="6">
        <v>120.32</v>
      </c>
      <c r="AI231" s="6">
        <f t="shared" si="6"/>
        <v>25.139999999999986</v>
      </c>
      <c r="AJ231" s="5">
        <f t="shared" si="7"/>
        <v>0.20894281914893606</v>
      </c>
    </row>
    <row r="232" spans="1:36">
      <c r="A232" t="s">
        <v>179</v>
      </c>
      <c r="B232" t="s">
        <v>505</v>
      </c>
      <c r="C232" t="s">
        <v>58</v>
      </c>
      <c r="D232" t="s">
        <v>60</v>
      </c>
      <c r="E232" t="s">
        <v>55</v>
      </c>
      <c r="F232">
        <v>0</v>
      </c>
      <c r="G232">
        <v>1234</v>
      </c>
      <c r="H232">
        <v>1</v>
      </c>
      <c r="I232" t="s">
        <v>220</v>
      </c>
      <c r="J232">
        <v>2</v>
      </c>
      <c r="K232" s="6">
        <v>2.56</v>
      </c>
      <c r="L232" t="s">
        <v>200</v>
      </c>
      <c r="M232">
        <v>1</v>
      </c>
      <c r="N232" t="s">
        <v>187</v>
      </c>
      <c r="O232">
        <v>2</v>
      </c>
      <c r="P232">
        <v>0</v>
      </c>
      <c r="Q232" s="6">
        <v>34.299999999999997</v>
      </c>
      <c r="R232">
        <v>0</v>
      </c>
      <c r="S232" s="6">
        <v>0</v>
      </c>
      <c r="T232">
        <v>0</v>
      </c>
      <c r="U232" s="6">
        <v>1471</v>
      </c>
      <c r="V232">
        <v>0</v>
      </c>
      <c r="W232">
        <v>0</v>
      </c>
      <c r="X232">
        <v>0</v>
      </c>
      <c r="Y232" s="6">
        <v>36.4</v>
      </c>
      <c r="Z232">
        <v>0.754</v>
      </c>
      <c r="AA232">
        <v>0.155</v>
      </c>
      <c r="AB232">
        <v>4.1000000000000002E-2</v>
      </c>
      <c r="AC232">
        <v>6</v>
      </c>
      <c r="AD232" s="6">
        <v>119</v>
      </c>
      <c r="AE232" s="6">
        <v>0</v>
      </c>
      <c r="AF232" s="6">
        <v>0</v>
      </c>
      <c r="AG232" s="6">
        <v>90.23</v>
      </c>
      <c r="AH232" s="6">
        <v>121.33</v>
      </c>
      <c r="AI232" s="6">
        <f t="shared" si="6"/>
        <v>31.099999999999994</v>
      </c>
      <c r="AJ232" s="5">
        <f t="shared" si="7"/>
        <v>0.25632572323415476</v>
      </c>
    </row>
    <row r="233" spans="1:36">
      <c r="A233" t="s">
        <v>403</v>
      </c>
      <c r="B233" t="s">
        <v>506</v>
      </c>
      <c r="C233" t="s">
        <v>58</v>
      </c>
      <c r="D233" t="s">
        <v>60</v>
      </c>
      <c r="E233" t="s">
        <v>55</v>
      </c>
      <c r="F233">
        <v>0</v>
      </c>
      <c r="G233">
        <v>1234</v>
      </c>
      <c r="H233">
        <v>1.22</v>
      </c>
      <c r="I233" t="s">
        <v>173</v>
      </c>
      <c r="J233">
        <v>1</v>
      </c>
      <c r="K233" s="6">
        <v>1.45</v>
      </c>
      <c r="L233" t="s">
        <v>200</v>
      </c>
      <c r="M233">
        <v>1</v>
      </c>
      <c r="N233" t="s">
        <v>187</v>
      </c>
      <c r="O233">
        <v>2</v>
      </c>
      <c r="P233">
        <v>0</v>
      </c>
      <c r="Q233" s="6">
        <v>56.9</v>
      </c>
      <c r="R233">
        <v>1</v>
      </c>
      <c r="S233" s="6">
        <v>795</v>
      </c>
      <c r="T233">
        <v>0</v>
      </c>
      <c r="U233" s="6">
        <v>1493</v>
      </c>
      <c r="V233">
        <v>0</v>
      </c>
      <c r="W233">
        <v>0</v>
      </c>
      <c r="X233">
        <v>0</v>
      </c>
      <c r="Y233" s="6">
        <v>36.4</v>
      </c>
      <c r="Z233">
        <v>0.754</v>
      </c>
      <c r="AA233">
        <v>0.155</v>
      </c>
      <c r="AB233">
        <v>4.1000000000000002E-2</v>
      </c>
      <c r="AC233">
        <v>6</v>
      </c>
      <c r="AD233" s="6">
        <v>99</v>
      </c>
      <c r="AE233" s="6">
        <v>25</v>
      </c>
      <c r="AF233" s="6">
        <v>0</v>
      </c>
      <c r="AG233" s="6">
        <v>100.19</v>
      </c>
      <c r="AH233" s="6">
        <v>126.57</v>
      </c>
      <c r="AI233" s="6">
        <f t="shared" si="6"/>
        <v>26.379999999999995</v>
      </c>
      <c r="AJ233" s="5">
        <f t="shared" si="7"/>
        <v>0.20842221695504462</v>
      </c>
    </row>
    <row r="234" spans="1:36">
      <c r="A234" t="s">
        <v>384</v>
      </c>
      <c r="B234" t="s">
        <v>507</v>
      </c>
      <c r="C234" t="s">
        <v>58</v>
      </c>
      <c r="D234" t="s">
        <v>60</v>
      </c>
      <c r="E234" t="s">
        <v>55</v>
      </c>
      <c r="F234">
        <v>0</v>
      </c>
      <c r="G234">
        <v>1234</v>
      </c>
      <c r="H234">
        <v>1.22</v>
      </c>
      <c r="I234" t="s">
        <v>220</v>
      </c>
      <c r="J234">
        <v>2</v>
      </c>
      <c r="K234" s="6">
        <v>2.4500000000000002</v>
      </c>
      <c r="L234" t="s">
        <v>200</v>
      </c>
      <c r="M234">
        <v>1</v>
      </c>
      <c r="N234" t="s">
        <v>175</v>
      </c>
      <c r="O234">
        <v>1</v>
      </c>
      <c r="P234">
        <v>0</v>
      </c>
      <c r="Q234" s="6">
        <v>21.4</v>
      </c>
      <c r="R234">
        <v>1</v>
      </c>
      <c r="S234" s="6">
        <v>950</v>
      </c>
      <c r="T234">
        <v>0</v>
      </c>
      <c r="U234" s="6">
        <v>726</v>
      </c>
      <c r="V234">
        <v>0</v>
      </c>
      <c r="W234">
        <v>0</v>
      </c>
      <c r="X234">
        <v>0</v>
      </c>
      <c r="Y234" s="6">
        <v>36.4</v>
      </c>
      <c r="Z234">
        <v>0.754</v>
      </c>
      <c r="AA234">
        <v>0.155</v>
      </c>
      <c r="AB234">
        <v>4.1000000000000002E-2</v>
      </c>
      <c r="AC234">
        <v>6</v>
      </c>
      <c r="AD234" s="6">
        <v>119</v>
      </c>
      <c r="AE234" s="6">
        <v>25</v>
      </c>
      <c r="AF234" s="6">
        <v>0</v>
      </c>
      <c r="AG234" s="6">
        <v>86.39</v>
      </c>
      <c r="AH234" s="6">
        <v>122.41</v>
      </c>
      <c r="AI234" s="6">
        <f t="shared" si="6"/>
        <v>36.019999999999996</v>
      </c>
      <c r="AJ234" s="5">
        <f t="shared" si="7"/>
        <v>0.29425700514663833</v>
      </c>
    </row>
    <row r="235" spans="1:36">
      <c r="A235" t="s">
        <v>360</v>
      </c>
      <c r="B235" t="s">
        <v>508</v>
      </c>
      <c r="C235" t="s">
        <v>58</v>
      </c>
      <c r="D235" t="s">
        <v>60</v>
      </c>
      <c r="E235" t="s">
        <v>55</v>
      </c>
      <c r="F235">
        <v>0</v>
      </c>
      <c r="G235">
        <v>1234</v>
      </c>
      <c r="H235">
        <v>1.22</v>
      </c>
      <c r="I235" t="s">
        <v>181</v>
      </c>
      <c r="J235">
        <v>3</v>
      </c>
      <c r="K235" s="6">
        <v>7.03</v>
      </c>
      <c r="L235" t="s">
        <v>200</v>
      </c>
      <c r="M235">
        <v>1</v>
      </c>
      <c r="N235" t="s">
        <v>217</v>
      </c>
      <c r="O235">
        <v>4</v>
      </c>
      <c r="P235">
        <v>1</v>
      </c>
      <c r="Q235" s="6">
        <v>126.7</v>
      </c>
      <c r="R235">
        <v>1</v>
      </c>
      <c r="S235" s="6">
        <v>337</v>
      </c>
      <c r="T235">
        <v>0</v>
      </c>
      <c r="U235" s="6">
        <v>1462</v>
      </c>
      <c r="V235">
        <v>0</v>
      </c>
      <c r="W235">
        <v>0</v>
      </c>
      <c r="X235">
        <v>0</v>
      </c>
      <c r="Y235" s="6">
        <v>36.4</v>
      </c>
      <c r="Z235">
        <v>0.754</v>
      </c>
      <c r="AA235">
        <v>0.155</v>
      </c>
      <c r="AB235">
        <v>4.1000000000000002E-2</v>
      </c>
      <c r="AC235">
        <v>6</v>
      </c>
      <c r="AD235" s="6">
        <v>139</v>
      </c>
      <c r="AE235" s="6">
        <v>25</v>
      </c>
      <c r="AF235" s="6">
        <v>0</v>
      </c>
      <c r="AG235" s="6">
        <v>185.14</v>
      </c>
      <c r="AH235" s="6">
        <v>233.95</v>
      </c>
      <c r="AI235" s="6">
        <f t="shared" si="6"/>
        <v>48.81</v>
      </c>
      <c r="AJ235" s="5">
        <f t="shared" si="7"/>
        <v>0.20863432357341313</v>
      </c>
    </row>
    <row r="236" spans="1:36">
      <c r="A236" t="s">
        <v>233</v>
      </c>
      <c r="B236" t="s">
        <v>509</v>
      </c>
      <c r="C236" t="s">
        <v>58</v>
      </c>
      <c r="D236" t="s">
        <v>60</v>
      </c>
      <c r="E236" t="s">
        <v>55</v>
      </c>
      <c r="F236">
        <v>0</v>
      </c>
      <c r="G236">
        <v>1234</v>
      </c>
      <c r="H236">
        <v>1.22</v>
      </c>
      <c r="I236" t="s">
        <v>173</v>
      </c>
      <c r="J236">
        <v>1</v>
      </c>
      <c r="K236" s="6">
        <v>1.06</v>
      </c>
      <c r="L236" t="s">
        <v>200</v>
      </c>
      <c r="M236">
        <v>1</v>
      </c>
      <c r="N236" t="s">
        <v>175</v>
      </c>
      <c r="O236">
        <v>1</v>
      </c>
      <c r="P236">
        <v>0</v>
      </c>
      <c r="Q236" s="6">
        <v>30.6</v>
      </c>
      <c r="R236">
        <v>0</v>
      </c>
      <c r="S236" s="6">
        <v>0</v>
      </c>
      <c r="T236">
        <v>0</v>
      </c>
      <c r="U236" s="6">
        <v>893</v>
      </c>
      <c r="V236">
        <v>0</v>
      </c>
      <c r="W236">
        <v>0</v>
      </c>
      <c r="X236">
        <v>0</v>
      </c>
      <c r="Y236" s="6">
        <v>36.4</v>
      </c>
      <c r="Z236">
        <v>0.754</v>
      </c>
      <c r="AA236">
        <v>0.155</v>
      </c>
      <c r="AB236">
        <v>4.1000000000000002E-2</v>
      </c>
      <c r="AC236">
        <v>6</v>
      </c>
      <c r="AD236" s="6">
        <v>99</v>
      </c>
      <c r="AE236" s="6">
        <v>0</v>
      </c>
      <c r="AF236" s="6">
        <v>0</v>
      </c>
      <c r="AG236" s="6">
        <v>83.04</v>
      </c>
      <c r="AH236" s="6">
        <v>106.42</v>
      </c>
      <c r="AI236" s="6">
        <f t="shared" si="6"/>
        <v>23.379999999999995</v>
      </c>
      <c r="AJ236" s="5">
        <f t="shared" si="7"/>
        <v>0.21969554595000934</v>
      </c>
    </row>
    <row r="237" spans="1:36">
      <c r="A237" t="s">
        <v>343</v>
      </c>
      <c r="B237" t="s">
        <v>510</v>
      </c>
      <c r="C237" t="s">
        <v>58</v>
      </c>
      <c r="D237" t="s">
        <v>60</v>
      </c>
      <c r="E237" t="s">
        <v>55</v>
      </c>
      <c r="F237">
        <v>0</v>
      </c>
      <c r="G237">
        <v>1234</v>
      </c>
      <c r="H237">
        <v>1</v>
      </c>
      <c r="I237" t="s">
        <v>181</v>
      </c>
      <c r="J237">
        <v>3</v>
      </c>
      <c r="K237" s="6">
        <v>9.32</v>
      </c>
      <c r="L237" t="s">
        <v>200</v>
      </c>
      <c r="M237">
        <v>1</v>
      </c>
      <c r="N237" t="s">
        <v>175</v>
      </c>
      <c r="O237">
        <v>1</v>
      </c>
      <c r="P237">
        <v>1</v>
      </c>
      <c r="Q237" s="6">
        <v>33.200000000000003</v>
      </c>
      <c r="R237">
        <v>0</v>
      </c>
      <c r="S237" s="6">
        <v>0</v>
      </c>
      <c r="T237">
        <v>0</v>
      </c>
      <c r="U237" s="6">
        <v>1279</v>
      </c>
      <c r="V237">
        <v>0</v>
      </c>
      <c r="W237">
        <v>0</v>
      </c>
      <c r="X237">
        <v>0</v>
      </c>
      <c r="Y237" s="6">
        <v>36.4</v>
      </c>
      <c r="Z237">
        <v>0.754</v>
      </c>
      <c r="AA237">
        <v>0.155</v>
      </c>
      <c r="AB237">
        <v>4.1000000000000002E-2</v>
      </c>
      <c r="AC237">
        <v>6</v>
      </c>
      <c r="AD237" s="6">
        <v>139</v>
      </c>
      <c r="AE237" s="6">
        <v>0</v>
      </c>
      <c r="AF237" s="6">
        <v>0</v>
      </c>
      <c r="AG237" s="6">
        <v>166.37</v>
      </c>
      <c r="AH237" s="6">
        <v>211.2</v>
      </c>
      <c r="AI237" s="6">
        <f t="shared" si="6"/>
        <v>44.829999999999984</v>
      </c>
      <c r="AJ237" s="5">
        <f t="shared" si="7"/>
        <v>0.21226325757575751</v>
      </c>
    </row>
    <row r="238" spans="1:36">
      <c r="A238" t="s">
        <v>233</v>
      </c>
      <c r="B238" t="s">
        <v>511</v>
      </c>
      <c r="C238" t="s">
        <v>58</v>
      </c>
      <c r="D238" t="s">
        <v>60</v>
      </c>
      <c r="E238" t="s">
        <v>55</v>
      </c>
      <c r="F238">
        <v>0</v>
      </c>
      <c r="G238">
        <v>1234</v>
      </c>
      <c r="H238">
        <v>1.22</v>
      </c>
      <c r="I238" t="s">
        <v>173</v>
      </c>
      <c r="J238">
        <v>1</v>
      </c>
      <c r="K238" s="6">
        <v>1.44</v>
      </c>
      <c r="L238" t="s">
        <v>200</v>
      </c>
      <c r="M238">
        <v>1</v>
      </c>
      <c r="N238" t="s">
        <v>187</v>
      </c>
      <c r="O238">
        <v>2</v>
      </c>
      <c r="P238">
        <v>1</v>
      </c>
      <c r="Q238" s="6">
        <v>54.2</v>
      </c>
      <c r="R238">
        <v>0</v>
      </c>
      <c r="S238" s="6">
        <v>0</v>
      </c>
      <c r="T238">
        <v>0</v>
      </c>
      <c r="U238" s="6">
        <v>1042</v>
      </c>
      <c r="V238">
        <v>0</v>
      </c>
      <c r="W238">
        <v>0</v>
      </c>
      <c r="X238">
        <v>0</v>
      </c>
      <c r="Y238" s="6">
        <v>36.4</v>
      </c>
      <c r="Z238">
        <v>0.754</v>
      </c>
      <c r="AA238">
        <v>0.155</v>
      </c>
      <c r="AB238">
        <v>4.1000000000000002E-2</v>
      </c>
      <c r="AC238">
        <v>6</v>
      </c>
      <c r="AD238" s="6">
        <v>99</v>
      </c>
      <c r="AE238" s="6">
        <v>0</v>
      </c>
      <c r="AF238" s="6">
        <v>0</v>
      </c>
      <c r="AG238" s="6">
        <v>127.33</v>
      </c>
      <c r="AH238" s="6">
        <v>159.88999999999999</v>
      </c>
      <c r="AI238" s="6">
        <f t="shared" si="6"/>
        <v>32.559999999999988</v>
      </c>
      <c r="AJ238" s="5">
        <f t="shared" si="7"/>
        <v>0.20364000250171987</v>
      </c>
    </row>
    <row r="239" spans="1:36">
      <c r="A239" t="s">
        <v>512</v>
      </c>
      <c r="B239" t="s">
        <v>513</v>
      </c>
      <c r="C239" t="s">
        <v>58</v>
      </c>
      <c r="D239" t="s">
        <v>60</v>
      </c>
      <c r="E239" t="s">
        <v>55</v>
      </c>
      <c r="F239">
        <v>0</v>
      </c>
      <c r="G239">
        <v>1234</v>
      </c>
      <c r="H239">
        <v>1.22</v>
      </c>
      <c r="I239" t="s">
        <v>173</v>
      </c>
      <c r="J239">
        <v>1</v>
      </c>
      <c r="K239" s="6">
        <v>1.59</v>
      </c>
      <c r="L239" t="s">
        <v>200</v>
      </c>
      <c r="M239">
        <v>1</v>
      </c>
      <c r="N239" t="s">
        <v>272</v>
      </c>
      <c r="O239">
        <v>5</v>
      </c>
      <c r="P239">
        <v>1</v>
      </c>
      <c r="Q239" s="6">
        <v>222</v>
      </c>
      <c r="R239">
        <v>1</v>
      </c>
      <c r="S239" s="6">
        <v>737</v>
      </c>
      <c r="T239">
        <v>0</v>
      </c>
      <c r="U239" s="6">
        <v>1016</v>
      </c>
      <c r="V239">
        <v>0</v>
      </c>
      <c r="W239">
        <v>0</v>
      </c>
      <c r="X239">
        <v>0</v>
      </c>
      <c r="Y239" s="6">
        <v>36.4</v>
      </c>
      <c r="Z239">
        <v>0.754</v>
      </c>
      <c r="AA239">
        <v>0.155</v>
      </c>
      <c r="AB239">
        <v>4.1000000000000002E-2</v>
      </c>
      <c r="AC239">
        <v>6</v>
      </c>
      <c r="AD239" s="6">
        <v>99</v>
      </c>
      <c r="AE239" s="6">
        <v>25</v>
      </c>
      <c r="AF239" s="6">
        <v>0</v>
      </c>
      <c r="AG239" s="6">
        <v>200.96</v>
      </c>
      <c r="AH239" s="6">
        <v>252.7</v>
      </c>
      <c r="AI239" s="6">
        <f t="shared" si="6"/>
        <v>51.739999999999981</v>
      </c>
      <c r="AJ239" s="5">
        <f t="shared" si="7"/>
        <v>0.20474871388998805</v>
      </c>
    </row>
    <row r="240" spans="1:36">
      <c r="A240" t="s">
        <v>298</v>
      </c>
      <c r="B240" t="s">
        <v>514</v>
      </c>
      <c r="C240" t="s">
        <v>58</v>
      </c>
      <c r="D240" t="s">
        <v>60</v>
      </c>
      <c r="E240" t="s">
        <v>55</v>
      </c>
      <c r="F240">
        <v>0</v>
      </c>
      <c r="G240">
        <v>1234</v>
      </c>
      <c r="H240">
        <v>1.22</v>
      </c>
      <c r="I240" t="s">
        <v>181</v>
      </c>
      <c r="J240">
        <v>3</v>
      </c>
      <c r="K240" s="6">
        <v>7.14</v>
      </c>
      <c r="L240" t="s">
        <v>200</v>
      </c>
      <c r="M240">
        <v>1</v>
      </c>
      <c r="N240" t="s">
        <v>175</v>
      </c>
      <c r="O240">
        <v>1</v>
      </c>
      <c r="P240">
        <v>0</v>
      </c>
      <c r="Q240" s="6">
        <v>38.1</v>
      </c>
      <c r="R240">
        <v>1</v>
      </c>
      <c r="S240" s="6">
        <v>583</v>
      </c>
      <c r="T240">
        <v>0</v>
      </c>
      <c r="U240" s="6">
        <v>1043</v>
      </c>
      <c r="V240">
        <v>0</v>
      </c>
      <c r="W240">
        <v>0</v>
      </c>
      <c r="X240">
        <v>0</v>
      </c>
      <c r="Y240" s="6">
        <v>36.4</v>
      </c>
      <c r="Z240">
        <v>0.754</v>
      </c>
      <c r="AA240">
        <v>0.155</v>
      </c>
      <c r="AB240">
        <v>4.1000000000000002E-2</v>
      </c>
      <c r="AC240">
        <v>6</v>
      </c>
      <c r="AD240" s="6">
        <v>139</v>
      </c>
      <c r="AE240" s="6">
        <v>25</v>
      </c>
      <c r="AF240" s="6">
        <v>0</v>
      </c>
      <c r="AG240" s="6">
        <v>117.97</v>
      </c>
      <c r="AH240" s="6">
        <v>151.35</v>
      </c>
      <c r="AI240" s="6">
        <f t="shared" si="6"/>
        <v>33.379999999999995</v>
      </c>
      <c r="AJ240" s="5">
        <f t="shared" si="7"/>
        <v>0.22054839775355134</v>
      </c>
    </row>
    <row r="241" spans="1:36">
      <c r="A241" t="s">
        <v>488</v>
      </c>
      <c r="B241" t="s">
        <v>515</v>
      </c>
      <c r="C241" t="s">
        <v>58</v>
      </c>
      <c r="D241" t="s">
        <v>60</v>
      </c>
      <c r="E241" t="s">
        <v>55</v>
      </c>
      <c r="F241">
        <v>0</v>
      </c>
      <c r="G241">
        <v>1234</v>
      </c>
      <c r="H241">
        <v>1.22</v>
      </c>
      <c r="I241" t="s">
        <v>173</v>
      </c>
      <c r="J241">
        <v>1</v>
      </c>
      <c r="K241" s="6">
        <v>2.39</v>
      </c>
      <c r="L241" t="s">
        <v>200</v>
      </c>
      <c r="M241">
        <v>1</v>
      </c>
      <c r="N241" t="s">
        <v>175</v>
      </c>
      <c r="O241">
        <v>1</v>
      </c>
      <c r="P241">
        <v>0</v>
      </c>
      <c r="Q241" s="6">
        <v>29.1</v>
      </c>
      <c r="R241">
        <v>1</v>
      </c>
      <c r="S241" s="6">
        <v>1700</v>
      </c>
      <c r="T241">
        <v>0</v>
      </c>
      <c r="U241" s="6">
        <v>2766</v>
      </c>
      <c r="V241">
        <v>0</v>
      </c>
      <c r="W241">
        <v>1</v>
      </c>
      <c r="X241">
        <v>0</v>
      </c>
      <c r="Y241" s="6">
        <v>36.4</v>
      </c>
      <c r="Z241">
        <v>0.754</v>
      </c>
      <c r="AA241">
        <v>0.155</v>
      </c>
      <c r="AB241">
        <v>4.1000000000000002E-2</v>
      </c>
      <c r="AC241">
        <v>6</v>
      </c>
      <c r="AD241" s="6">
        <v>99</v>
      </c>
      <c r="AE241" s="6">
        <v>25</v>
      </c>
      <c r="AF241" s="6">
        <v>0</v>
      </c>
      <c r="AG241" s="6">
        <v>105.31</v>
      </c>
      <c r="AH241" s="6">
        <v>131.91999999999999</v>
      </c>
      <c r="AI241" s="6">
        <f t="shared" si="6"/>
        <v>26.609999999999985</v>
      </c>
      <c r="AJ241" s="5">
        <f t="shared" si="7"/>
        <v>0.20171315949060026</v>
      </c>
    </row>
    <row r="242" spans="1:36">
      <c r="A242" t="s">
        <v>269</v>
      </c>
      <c r="B242" t="s">
        <v>516</v>
      </c>
      <c r="C242" t="s">
        <v>58</v>
      </c>
      <c r="D242" t="s">
        <v>60</v>
      </c>
      <c r="E242" t="s">
        <v>55</v>
      </c>
      <c r="F242">
        <v>0</v>
      </c>
      <c r="G242">
        <v>1234</v>
      </c>
      <c r="H242">
        <v>1.22</v>
      </c>
      <c r="I242" t="s">
        <v>220</v>
      </c>
      <c r="J242">
        <v>2</v>
      </c>
      <c r="K242" s="6">
        <v>4</v>
      </c>
      <c r="L242" t="s">
        <v>174</v>
      </c>
      <c r="M242">
        <v>0</v>
      </c>
      <c r="N242" t="s">
        <v>217</v>
      </c>
      <c r="O242">
        <v>4</v>
      </c>
      <c r="P242">
        <v>1</v>
      </c>
      <c r="Q242" s="6">
        <v>98.6</v>
      </c>
      <c r="R242">
        <v>0</v>
      </c>
      <c r="S242" s="6">
        <v>0</v>
      </c>
      <c r="T242">
        <v>0</v>
      </c>
      <c r="U242" s="6">
        <v>819</v>
      </c>
      <c r="V242">
        <v>0</v>
      </c>
      <c r="W242">
        <v>0</v>
      </c>
      <c r="X242">
        <v>0</v>
      </c>
      <c r="Y242" s="6">
        <v>36.4</v>
      </c>
      <c r="Z242">
        <v>0.754</v>
      </c>
      <c r="AA242">
        <v>0.155</v>
      </c>
      <c r="AB242">
        <v>4.1000000000000002E-2</v>
      </c>
      <c r="AC242">
        <v>6</v>
      </c>
      <c r="AD242" s="6">
        <v>50</v>
      </c>
      <c r="AE242" s="6">
        <v>0</v>
      </c>
      <c r="AF242" s="6">
        <v>0</v>
      </c>
      <c r="AG242" s="6">
        <v>120.44</v>
      </c>
      <c r="AH242" s="6">
        <v>154.30000000000001</v>
      </c>
      <c r="AI242" s="6">
        <f t="shared" si="6"/>
        <v>33.860000000000014</v>
      </c>
      <c r="AJ242" s="5">
        <f t="shared" si="7"/>
        <v>0.21944264419961121</v>
      </c>
    </row>
    <row r="243" spans="1:36">
      <c r="A243" t="s">
        <v>517</v>
      </c>
      <c r="B243" t="s">
        <v>518</v>
      </c>
      <c r="C243" t="s">
        <v>58</v>
      </c>
      <c r="D243" t="s">
        <v>60</v>
      </c>
      <c r="E243" t="s">
        <v>55</v>
      </c>
      <c r="F243">
        <v>0</v>
      </c>
      <c r="G243">
        <v>1234</v>
      </c>
      <c r="H243">
        <v>1</v>
      </c>
      <c r="I243" t="s">
        <v>173</v>
      </c>
      <c r="J243">
        <v>1</v>
      </c>
      <c r="K243" s="6">
        <v>1.54</v>
      </c>
      <c r="L243" t="s">
        <v>200</v>
      </c>
      <c r="M243">
        <v>1</v>
      </c>
      <c r="N243" t="s">
        <v>187</v>
      </c>
      <c r="O243">
        <v>2</v>
      </c>
      <c r="P243">
        <v>0</v>
      </c>
      <c r="Q243" s="6">
        <v>69.900000000000006</v>
      </c>
      <c r="R243">
        <v>1</v>
      </c>
      <c r="S243" s="6">
        <v>1582</v>
      </c>
      <c r="T243">
        <v>0</v>
      </c>
      <c r="U243" s="6">
        <v>445</v>
      </c>
      <c r="V243">
        <v>0</v>
      </c>
      <c r="W243">
        <v>0</v>
      </c>
      <c r="X243">
        <v>0</v>
      </c>
      <c r="Y243" s="6">
        <v>36.4</v>
      </c>
      <c r="Z243">
        <v>0.754</v>
      </c>
      <c r="AA243">
        <v>0.155</v>
      </c>
      <c r="AB243">
        <v>4.1000000000000002E-2</v>
      </c>
      <c r="AC243">
        <v>6</v>
      </c>
      <c r="AD243" s="6">
        <v>99</v>
      </c>
      <c r="AE243" s="6">
        <v>25</v>
      </c>
      <c r="AF243" s="6">
        <v>0</v>
      </c>
      <c r="AG243" s="6">
        <v>83.02</v>
      </c>
      <c r="AH243" s="6">
        <v>106.26</v>
      </c>
      <c r="AI243" s="6">
        <f t="shared" si="6"/>
        <v>23.240000000000009</v>
      </c>
      <c r="AJ243" s="5">
        <f t="shared" si="7"/>
        <v>0.21870882740447967</v>
      </c>
    </row>
    <row r="244" spans="1:36">
      <c r="A244" t="s">
        <v>243</v>
      </c>
      <c r="B244" t="s">
        <v>519</v>
      </c>
      <c r="C244" t="s">
        <v>58</v>
      </c>
      <c r="D244" t="s">
        <v>60</v>
      </c>
      <c r="E244" t="s">
        <v>55</v>
      </c>
      <c r="F244">
        <v>0</v>
      </c>
      <c r="G244">
        <v>1234</v>
      </c>
      <c r="H244">
        <v>1.22</v>
      </c>
      <c r="I244" t="s">
        <v>173</v>
      </c>
      <c r="J244">
        <v>1</v>
      </c>
      <c r="K244" s="6">
        <v>1.5</v>
      </c>
      <c r="L244" t="s">
        <v>200</v>
      </c>
      <c r="M244">
        <v>1</v>
      </c>
      <c r="N244" t="s">
        <v>175</v>
      </c>
      <c r="O244">
        <v>1</v>
      </c>
      <c r="P244">
        <v>0</v>
      </c>
      <c r="Q244" s="6">
        <v>36</v>
      </c>
      <c r="R244">
        <v>1</v>
      </c>
      <c r="S244" s="6">
        <v>1011</v>
      </c>
      <c r="T244">
        <v>0</v>
      </c>
      <c r="U244" s="6">
        <v>2277</v>
      </c>
      <c r="V244">
        <v>0</v>
      </c>
      <c r="W244">
        <v>0</v>
      </c>
      <c r="X244">
        <v>0</v>
      </c>
      <c r="Y244" s="6">
        <v>36.4</v>
      </c>
      <c r="Z244">
        <v>0.754</v>
      </c>
      <c r="AA244">
        <v>0.155</v>
      </c>
      <c r="AB244">
        <v>4.1000000000000002E-2</v>
      </c>
      <c r="AC244">
        <v>6</v>
      </c>
      <c r="AD244" s="6">
        <v>99</v>
      </c>
      <c r="AE244" s="6">
        <v>25</v>
      </c>
      <c r="AF244" s="6">
        <v>0</v>
      </c>
      <c r="AG244" s="6">
        <v>90.13</v>
      </c>
      <c r="AH244" s="6">
        <v>115.18</v>
      </c>
      <c r="AI244" s="6">
        <f t="shared" si="6"/>
        <v>25.050000000000011</v>
      </c>
      <c r="AJ244" s="5">
        <f t="shared" si="7"/>
        <v>0.21748567459628415</v>
      </c>
    </row>
    <row r="245" spans="1:36">
      <c r="A245" t="s">
        <v>381</v>
      </c>
      <c r="B245" t="s">
        <v>520</v>
      </c>
      <c r="C245" t="s">
        <v>58</v>
      </c>
      <c r="D245" t="s">
        <v>60</v>
      </c>
      <c r="E245" t="s">
        <v>55</v>
      </c>
      <c r="F245">
        <v>0</v>
      </c>
      <c r="G245">
        <v>1234</v>
      </c>
      <c r="H245">
        <v>1</v>
      </c>
      <c r="I245" t="s">
        <v>173</v>
      </c>
      <c r="J245">
        <v>1</v>
      </c>
      <c r="K245" s="6">
        <v>1.7</v>
      </c>
      <c r="L245" t="s">
        <v>200</v>
      </c>
      <c r="M245">
        <v>1</v>
      </c>
      <c r="N245" t="s">
        <v>187</v>
      </c>
      <c r="O245">
        <v>2</v>
      </c>
      <c r="P245">
        <v>0</v>
      </c>
      <c r="Q245" s="6">
        <v>42.5</v>
      </c>
      <c r="R245">
        <v>1</v>
      </c>
      <c r="S245" s="6">
        <v>1793</v>
      </c>
      <c r="T245">
        <v>0</v>
      </c>
      <c r="U245" s="6">
        <v>3131</v>
      </c>
      <c r="V245">
        <v>0</v>
      </c>
      <c r="W245">
        <v>0</v>
      </c>
      <c r="X245">
        <v>0</v>
      </c>
      <c r="Y245" s="6">
        <v>36.4</v>
      </c>
      <c r="Z245">
        <v>0.754</v>
      </c>
      <c r="AA245">
        <v>0.155</v>
      </c>
      <c r="AB245">
        <v>4.1000000000000002E-2</v>
      </c>
      <c r="AC245">
        <v>6</v>
      </c>
      <c r="AD245" s="6">
        <v>99</v>
      </c>
      <c r="AE245" s="6">
        <v>25</v>
      </c>
      <c r="AF245" s="6">
        <v>0</v>
      </c>
      <c r="AG245" s="6">
        <v>87.07</v>
      </c>
      <c r="AH245" s="6">
        <v>110.6</v>
      </c>
      <c r="AI245" s="6">
        <f t="shared" si="6"/>
        <v>23.53</v>
      </c>
      <c r="AJ245" s="5">
        <f t="shared" si="7"/>
        <v>0.21274864376130201</v>
      </c>
    </row>
    <row r="246" spans="1:36">
      <c r="A246" t="s">
        <v>521</v>
      </c>
      <c r="B246" t="s">
        <v>522</v>
      </c>
      <c r="C246" t="s">
        <v>58</v>
      </c>
      <c r="D246" t="s">
        <v>60</v>
      </c>
      <c r="E246" t="s">
        <v>55</v>
      </c>
      <c r="F246">
        <v>0</v>
      </c>
      <c r="G246">
        <v>1234</v>
      </c>
      <c r="H246">
        <v>1</v>
      </c>
      <c r="I246" t="s">
        <v>173</v>
      </c>
      <c r="J246">
        <v>1</v>
      </c>
      <c r="K246" s="6">
        <v>1.74</v>
      </c>
      <c r="L246" t="s">
        <v>200</v>
      </c>
      <c r="M246">
        <v>1</v>
      </c>
      <c r="N246" t="s">
        <v>187</v>
      </c>
      <c r="O246">
        <v>2</v>
      </c>
      <c r="P246">
        <v>0</v>
      </c>
      <c r="Q246" s="6">
        <v>58.9</v>
      </c>
      <c r="R246">
        <v>0</v>
      </c>
      <c r="S246" s="6">
        <v>0</v>
      </c>
      <c r="T246">
        <v>0</v>
      </c>
      <c r="U246" s="6">
        <v>3552</v>
      </c>
      <c r="V246">
        <v>0</v>
      </c>
      <c r="W246">
        <v>0</v>
      </c>
      <c r="X246">
        <v>0</v>
      </c>
      <c r="Y246" s="6">
        <v>36.4</v>
      </c>
      <c r="Z246">
        <v>0.754</v>
      </c>
      <c r="AA246">
        <v>0.155</v>
      </c>
      <c r="AB246">
        <v>4.1000000000000002E-2</v>
      </c>
      <c r="AC246">
        <v>6</v>
      </c>
      <c r="AD246" s="6">
        <v>99</v>
      </c>
      <c r="AE246" s="6">
        <v>0</v>
      </c>
      <c r="AF246" s="6">
        <v>0</v>
      </c>
      <c r="AG246" s="6">
        <v>83.2</v>
      </c>
      <c r="AH246" s="6">
        <v>107.14</v>
      </c>
      <c r="AI246" s="6">
        <f t="shared" si="6"/>
        <v>23.939999999999998</v>
      </c>
      <c r="AJ246" s="5">
        <f t="shared" si="7"/>
        <v>0.22344595855889487</v>
      </c>
    </row>
    <row r="247" spans="1:36">
      <c r="A247" t="s">
        <v>488</v>
      </c>
      <c r="B247" t="s">
        <v>523</v>
      </c>
      <c r="C247" t="s">
        <v>58</v>
      </c>
      <c r="D247" t="s">
        <v>60</v>
      </c>
      <c r="E247" t="s">
        <v>55</v>
      </c>
      <c r="F247">
        <v>0</v>
      </c>
      <c r="G247">
        <v>1234</v>
      </c>
      <c r="H247">
        <v>1.22</v>
      </c>
      <c r="I247" t="s">
        <v>173</v>
      </c>
      <c r="J247">
        <v>1</v>
      </c>
      <c r="K247" s="6">
        <v>1.88</v>
      </c>
      <c r="L247" t="s">
        <v>200</v>
      </c>
      <c r="M247">
        <v>1</v>
      </c>
      <c r="N247" t="s">
        <v>175</v>
      </c>
      <c r="O247">
        <v>1</v>
      </c>
      <c r="P247">
        <v>1</v>
      </c>
      <c r="Q247" s="6">
        <v>35.4</v>
      </c>
      <c r="R247">
        <v>1</v>
      </c>
      <c r="S247" s="6">
        <v>2297</v>
      </c>
      <c r="T247">
        <v>0</v>
      </c>
      <c r="U247" s="6">
        <v>3193</v>
      </c>
      <c r="V247">
        <v>0</v>
      </c>
      <c r="W247">
        <v>0</v>
      </c>
      <c r="X247">
        <v>0</v>
      </c>
      <c r="Y247" s="6">
        <v>36.4</v>
      </c>
      <c r="Z247">
        <v>0.754</v>
      </c>
      <c r="AA247">
        <v>0.155</v>
      </c>
      <c r="AB247">
        <v>4.1000000000000002E-2</v>
      </c>
      <c r="AC247">
        <v>6</v>
      </c>
      <c r="AD247" s="6">
        <v>99</v>
      </c>
      <c r="AE247" s="6">
        <v>40</v>
      </c>
      <c r="AF247" s="6">
        <v>0</v>
      </c>
      <c r="AG247" s="6">
        <v>129.69</v>
      </c>
      <c r="AH247" s="6">
        <v>166.71</v>
      </c>
      <c r="AI247" s="6">
        <f t="shared" si="6"/>
        <v>37.02000000000001</v>
      </c>
      <c r="AJ247" s="5">
        <f t="shared" si="7"/>
        <v>0.22206226381140909</v>
      </c>
    </row>
    <row r="248" spans="1:36">
      <c r="A248" t="s">
        <v>253</v>
      </c>
      <c r="B248" t="s">
        <v>524</v>
      </c>
      <c r="C248" t="s">
        <v>58</v>
      </c>
      <c r="D248" t="s">
        <v>60</v>
      </c>
      <c r="E248" t="s">
        <v>55</v>
      </c>
      <c r="F248">
        <v>0</v>
      </c>
      <c r="G248">
        <v>1234</v>
      </c>
      <c r="H248">
        <v>1</v>
      </c>
      <c r="I248" t="s">
        <v>220</v>
      </c>
      <c r="J248">
        <v>2</v>
      </c>
      <c r="K248" s="6">
        <v>4.5999999999999996</v>
      </c>
      <c r="L248" t="s">
        <v>174</v>
      </c>
      <c r="M248">
        <v>0</v>
      </c>
      <c r="N248" t="s">
        <v>182</v>
      </c>
      <c r="O248">
        <v>3</v>
      </c>
      <c r="P248">
        <v>0</v>
      </c>
      <c r="Q248" s="6">
        <v>97.4</v>
      </c>
      <c r="R248">
        <v>1</v>
      </c>
      <c r="S248" s="6">
        <v>2972</v>
      </c>
      <c r="T248">
        <v>0</v>
      </c>
      <c r="U248" s="6">
        <v>873</v>
      </c>
      <c r="V248">
        <v>0</v>
      </c>
      <c r="W248">
        <v>0</v>
      </c>
      <c r="X248">
        <v>0</v>
      </c>
      <c r="Y248" s="6">
        <v>36.4</v>
      </c>
      <c r="Z248">
        <v>0.754</v>
      </c>
      <c r="AA248">
        <v>0.155</v>
      </c>
      <c r="AB248">
        <v>4.1000000000000002E-2</v>
      </c>
      <c r="AC248">
        <v>6</v>
      </c>
      <c r="AD248" s="6">
        <v>50</v>
      </c>
      <c r="AE248" s="6">
        <v>40</v>
      </c>
      <c r="AF248" s="6">
        <v>0</v>
      </c>
      <c r="AG248" s="6">
        <v>73.53</v>
      </c>
      <c r="AH248" s="6">
        <v>96.44</v>
      </c>
      <c r="AI248" s="6">
        <f t="shared" si="6"/>
        <v>22.909999999999997</v>
      </c>
      <c r="AJ248" s="5">
        <f t="shared" si="7"/>
        <v>0.23755703027789296</v>
      </c>
    </row>
    <row r="249" spans="1:36">
      <c r="A249" t="s">
        <v>233</v>
      </c>
      <c r="B249" t="s">
        <v>525</v>
      </c>
      <c r="C249" t="s">
        <v>58</v>
      </c>
      <c r="D249" t="s">
        <v>60</v>
      </c>
      <c r="E249" t="s">
        <v>55</v>
      </c>
      <c r="F249">
        <v>0</v>
      </c>
      <c r="G249">
        <v>1234</v>
      </c>
      <c r="H249">
        <v>1.22</v>
      </c>
      <c r="I249" t="s">
        <v>173</v>
      </c>
      <c r="J249">
        <v>1</v>
      </c>
      <c r="K249" s="6">
        <v>1.6</v>
      </c>
      <c r="L249" t="s">
        <v>200</v>
      </c>
      <c r="M249">
        <v>1</v>
      </c>
      <c r="N249" t="s">
        <v>217</v>
      </c>
      <c r="O249">
        <v>4</v>
      </c>
      <c r="P249">
        <v>1</v>
      </c>
      <c r="Q249" s="6">
        <v>156.19999999999999</v>
      </c>
      <c r="R249">
        <v>1</v>
      </c>
      <c r="S249" s="6">
        <v>574</v>
      </c>
      <c r="T249">
        <v>0</v>
      </c>
      <c r="U249" s="6">
        <v>859</v>
      </c>
      <c r="V249">
        <v>0</v>
      </c>
      <c r="W249">
        <v>0</v>
      </c>
      <c r="X249">
        <v>0</v>
      </c>
      <c r="Y249" s="6">
        <v>36.4</v>
      </c>
      <c r="Z249">
        <v>0.754</v>
      </c>
      <c r="AA249">
        <v>0.155</v>
      </c>
      <c r="AB249">
        <v>4.1000000000000002E-2</v>
      </c>
      <c r="AC249">
        <v>6</v>
      </c>
      <c r="AD249" s="6">
        <v>99</v>
      </c>
      <c r="AE249" s="6">
        <v>25</v>
      </c>
      <c r="AF249" s="6">
        <v>0</v>
      </c>
      <c r="AG249" s="6">
        <v>160.81</v>
      </c>
      <c r="AH249" s="6">
        <v>205.64</v>
      </c>
      <c r="AI249" s="6">
        <f t="shared" si="6"/>
        <v>44.829999999999984</v>
      </c>
      <c r="AJ249" s="5">
        <f t="shared" si="7"/>
        <v>0.21800233417623024</v>
      </c>
    </row>
    <row r="250" spans="1:36">
      <c r="A250" t="s">
        <v>362</v>
      </c>
      <c r="B250" t="s">
        <v>526</v>
      </c>
      <c r="C250" t="s">
        <v>58</v>
      </c>
      <c r="D250" t="s">
        <v>60</v>
      </c>
      <c r="E250" t="s">
        <v>55</v>
      </c>
      <c r="F250">
        <v>0</v>
      </c>
      <c r="G250">
        <v>1234</v>
      </c>
      <c r="H250">
        <v>1</v>
      </c>
      <c r="I250" t="s">
        <v>173</v>
      </c>
      <c r="J250">
        <v>1</v>
      </c>
      <c r="K250" s="6">
        <v>2.4</v>
      </c>
      <c r="L250" t="s">
        <v>200</v>
      </c>
      <c r="M250">
        <v>1</v>
      </c>
      <c r="N250" t="s">
        <v>187</v>
      </c>
      <c r="O250">
        <v>2</v>
      </c>
      <c r="P250">
        <v>0</v>
      </c>
      <c r="Q250" s="6">
        <v>84.2</v>
      </c>
      <c r="R250">
        <v>0</v>
      </c>
      <c r="S250" s="6">
        <v>0</v>
      </c>
      <c r="T250">
        <v>0</v>
      </c>
      <c r="U250" s="6">
        <v>739</v>
      </c>
      <c r="V250">
        <v>0</v>
      </c>
      <c r="W250">
        <v>0</v>
      </c>
      <c r="X250">
        <v>0</v>
      </c>
      <c r="Y250" s="6">
        <v>36.4</v>
      </c>
      <c r="Z250">
        <v>0.754</v>
      </c>
      <c r="AA250">
        <v>0.155</v>
      </c>
      <c r="AB250">
        <v>4.1000000000000002E-2</v>
      </c>
      <c r="AC250">
        <v>6</v>
      </c>
      <c r="AD250" s="6">
        <v>99</v>
      </c>
      <c r="AE250" s="6">
        <v>0</v>
      </c>
      <c r="AF250" s="6">
        <v>0</v>
      </c>
      <c r="AG250" s="6">
        <v>89.2</v>
      </c>
      <c r="AH250" s="6">
        <v>112.75</v>
      </c>
      <c r="AI250" s="6">
        <f t="shared" si="6"/>
        <v>23.549999999999997</v>
      </c>
      <c r="AJ250" s="5">
        <f t="shared" si="7"/>
        <v>0.20886917960088688</v>
      </c>
    </row>
    <row r="251" spans="1:36">
      <c r="A251" t="s">
        <v>478</v>
      </c>
      <c r="B251" t="s">
        <v>527</v>
      </c>
      <c r="C251" t="s">
        <v>58</v>
      </c>
      <c r="D251" t="s">
        <v>60</v>
      </c>
      <c r="E251" t="s">
        <v>55</v>
      </c>
      <c r="F251">
        <v>0</v>
      </c>
      <c r="G251">
        <v>1234</v>
      </c>
      <c r="H251">
        <v>1.22</v>
      </c>
      <c r="I251" t="s">
        <v>173</v>
      </c>
      <c r="J251">
        <v>1</v>
      </c>
      <c r="K251" s="6">
        <v>1.32</v>
      </c>
      <c r="L251" t="s">
        <v>200</v>
      </c>
      <c r="M251">
        <v>1</v>
      </c>
      <c r="N251" t="s">
        <v>187</v>
      </c>
      <c r="O251">
        <v>2</v>
      </c>
      <c r="P251">
        <v>0</v>
      </c>
      <c r="Q251" s="6">
        <v>61.2</v>
      </c>
      <c r="R251">
        <v>1</v>
      </c>
      <c r="S251" s="6">
        <v>3083</v>
      </c>
      <c r="T251">
        <v>0</v>
      </c>
      <c r="U251" s="6">
        <v>1663</v>
      </c>
      <c r="V251">
        <v>0</v>
      </c>
      <c r="W251">
        <v>0</v>
      </c>
      <c r="X251">
        <v>0</v>
      </c>
      <c r="Y251" s="6">
        <v>36.4</v>
      </c>
      <c r="Z251">
        <v>0.754</v>
      </c>
      <c r="AA251">
        <v>0.155</v>
      </c>
      <c r="AB251">
        <v>4.1000000000000002E-2</v>
      </c>
      <c r="AC251">
        <v>6</v>
      </c>
      <c r="AD251" s="6">
        <v>99</v>
      </c>
      <c r="AE251" s="6">
        <v>40</v>
      </c>
      <c r="AF251" s="6">
        <v>0</v>
      </c>
      <c r="AG251" s="6">
        <v>85.84</v>
      </c>
      <c r="AH251" s="6">
        <v>109.73</v>
      </c>
      <c r="AI251" s="6">
        <f t="shared" si="6"/>
        <v>23.89</v>
      </c>
      <c r="AJ251" s="5">
        <f t="shared" si="7"/>
        <v>0.21771621252164403</v>
      </c>
    </row>
    <row r="252" spans="1:36">
      <c r="A252" t="s">
        <v>528</v>
      </c>
      <c r="B252" t="s">
        <v>529</v>
      </c>
      <c r="C252" t="s">
        <v>58</v>
      </c>
      <c r="D252" t="s">
        <v>60</v>
      </c>
      <c r="E252" t="s">
        <v>55</v>
      </c>
      <c r="F252">
        <v>0</v>
      </c>
      <c r="G252">
        <v>1234</v>
      </c>
      <c r="H252">
        <v>1.22</v>
      </c>
      <c r="I252" t="s">
        <v>220</v>
      </c>
      <c r="J252">
        <v>2</v>
      </c>
      <c r="K252" s="6">
        <v>5.4</v>
      </c>
      <c r="L252" t="s">
        <v>200</v>
      </c>
      <c r="M252">
        <v>1</v>
      </c>
      <c r="N252" t="s">
        <v>175</v>
      </c>
      <c r="O252">
        <v>1</v>
      </c>
      <c r="P252">
        <v>0</v>
      </c>
      <c r="Q252" s="6">
        <v>26.6</v>
      </c>
      <c r="R252">
        <v>1</v>
      </c>
      <c r="S252" s="6">
        <v>467</v>
      </c>
      <c r="T252">
        <v>0</v>
      </c>
      <c r="U252" s="6">
        <v>1722</v>
      </c>
      <c r="V252">
        <v>0</v>
      </c>
      <c r="W252">
        <v>0</v>
      </c>
      <c r="X252">
        <v>0</v>
      </c>
      <c r="Y252" s="6">
        <v>36.4</v>
      </c>
      <c r="Z252">
        <v>0.754</v>
      </c>
      <c r="AA252">
        <v>0.155</v>
      </c>
      <c r="AB252">
        <v>4.1000000000000002E-2</v>
      </c>
      <c r="AC252">
        <v>6</v>
      </c>
      <c r="AD252" s="6">
        <v>119</v>
      </c>
      <c r="AE252" s="6">
        <v>25</v>
      </c>
      <c r="AF252" s="6">
        <v>0</v>
      </c>
      <c r="AG252" s="6">
        <v>95.59</v>
      </c>
      <c r="AH252" s="6">
        <v>121.26</v>
      </c>
      <c r="AI252" s="6">
        <f t="shared" si="6"/>
        <v>25.67</v>
      </c>
      <c r="AJ252" s="5">
        <f t="shared" si="7"/>
        <v>0.21169388091703778</v>
      </c>
    </row>
    <row r="253" spans="1:36">
      <c r="A253" t="s">
        <v>279</v>
      </c>
      <c r="B253" t="s">
        <v>530</v>
      </c>
      <c r="C253" t="s">
        <v>58</v>
      </c>
      <c r="D253" t="s">
        <v>60</v>
      </c>
      <c r="E253" t="s">
        <v>55</v>
      </c>
      <c r="F253">
        <v>0</v>
      </c>
      <c r="G253">
        <v>1234</v>
      </c>
      <c r="H253">
        <v>1.22</v>
      </c>
      <c r="I253" t="s">
        <v>220</v>
      </c>
      <c r="J253">
        <v>2</v>
      </c>
      <c r="K253" s="6">
        <v>3.77</v>
      </c>
      <c r="L253" t="s">
        <v>200</v>
      </c>
      <c r="M253">
        <v>1</v>
      </c>
      <c r="N253" t="s">
        <v>182</v>
      </c>
      <c r="O253">
        <v>3</v>
      </c>
      <c r="P253">
        <v>0</v>
      </c>
      <c r="Q253" s="6">
        <v>107.2</v>
      </c>
      <c r="R253">
        <v>0</v>
      </c>
      <c r="S253" s="6">
        <v>0</v>
      </c>
      <c r="T253">
        <v>0</v>
      </c>
      <c r="U253" s="6">
        <v>1906</v>
      </c>
      <c r="V253">
        <v>0</v>
      </c>
      <c r="W253">
        <v>0</v>
      </c>
      <c r="X253">
        <v>0</v>
      </c>
      <c r="Y253" s="6">
        <v>36.4</v>
      </c>
      <c r="Z253">
        <v>0.754</v>
      </c>
      <c r="AA253">
        <v>0.155</v>
      </c>
      <c r="AB253">
        <v>4.1000000000000002E-2</v>
      </c>
      <c r="AC253">
        <v>6</v>
      </c>
      <c r="AD253" s="6">
        <v>119</v>
      </c>
      <c r="AE253" s="6">
        <v>0</v>
      </c>
      <c r="AF253" s="6">
        <v>0</v>
      </c>
      <c r="AG253" s="6">
        <v>103.07</v>
      </c>
      <c r="AH253" s="6">
        <v>131.52000000000001</v>
      </c>
      <c r="AI253" s="6">
        <f t="shared" si="6"/>
        <v>28.450000000000017</v>
      </c>
      <c r="AJ253" s="5">
        <f t="shared" si="7"/>
        <v>0.21631690997566921</v>
      </c>
    </row>
    <row r="254" spans="1:36">
      <c r="A254" t="s">
        <v>457</v>
      </c>
      <c r="B254" t="s">
        <v>531</v>
      </c>
      <c r="C254" t="s">
        <v>58</v>
      </c>
      <c r="D254" t="s">
        <v>60</v>
      </c>
      <c r="E254" t="s">
        <v>55</v>
      </c>
      <c r="F254">
        <v>0</v>
      </c>
      <c r="G254">
        <v>1234</v>
      </c>
      <c r="H254">
        <v>1</v>
      </c>
      <c r="I254" t="s">
        <v>220</v>
      </c>
      <c r="J254">
        <v>2</v>
      </c>
      <c r="K254" s="6">
        <v>3.55</v>
      </c>
      <c r="L254" t="s">
        <v>200</v>
      </c>
      <c r="M254">
        <v>1</v>
      </c>
      <c r="N254" t="s">
        <v>187</v>
      </c>
      <c r="O254">
        <v>2</v>
      </c>
      <c r="P254">
        <v>0</v>
      </c>
      <c r="Q254" s="6">
        <v>52</v>
      </c>
      <c r="R254">
        <v>1</v>
      </c>
      <c r="S254" s="6">
        <v>1773</v>
      </c>
      <c r="T254">
        <v>0</v>
      </c>
      <c r="U254" s="6">
        <v>2227</v>
      </c>
      <c r="V254">
        <v>0</v>
      </c>
      <c r="W254">
        <v>0</v>
      </c>
      <c r="X254">
        <v>0</v>
      </c>
      <c r="Y254" s="6">
        <v>36.4</v>
      </c>
      <c r="Z254">
        <v>0.754</v>
      </c>
      <c r="AA254">
        <v>0.155</v>
      </c>
      <c r="AB254">
        <v>4.1000000000000002E-2</v>
      </c>
      <c r="AC254">
        <v>6</v>
      </c>
      <c r="AD254" s="6">
        <v>119</v>
      </c>
      <c r="AE254" s="6">
        <v>25</v>
      </c>
      <c r="AF254" s="6">
        <v>0</v>
      </c>
      <c r="AG254" s="6">
        <v>100.3</v>
      </c>
      <c r="AH254" s="6">
        <v>126.27</v>
      </c>
      <c r="AI254" s="6">
        <f t="shared" si="6"/>
        <v>25.97</v>
      </c>
      <c r="AJ254" s="5">
        <f t="shared" si="7"/>
        <v>0.2056703888492912</v>
      </c>
    </row>
    <row r="255" spans="1:36">
      <c r="A255" t="s">
        <v>521</v>
      </c>
      <c r="B255" t="s">
        <v>532</v>
      </c>
      <c r="C255" t="s">
        <v>58</v>
      </c>
      <c r="D255" t="s">
        <v>60</v>
      </c>
      <c r="E255" t="s">
        <v>55</v>
      </c>
      <c r="F255">
        <v>0</v>
      </c>
      <c r="G255">
        <v>1234</v>
      </c>
      <c r="H255">
        <v>1</v>
      </c>
      <c r="I255" t="s">
        <v>173</v>
      </c>
      <c r="J255">
        <v>1</v>
      </c>
      <c r="K255" s="6">
        <v>1.47</v>
      </c>
      <c r="L255" t="s">
        <v>174</v>
      </c>
      <c r="M255">
        <v>0</v>
      </c>
      <c r="N255" t="s">
        <v>175</v>
      </c>
      <c r="O255">
        <v>1</v>
      </c>
      <c r="P255">
        <v>0</v>
      </c>
      <c r="Q255" s="6">
        <v>38.9</v>
      </c>
      <c r="R255">
        <v>1</v>
      </c>
      <c r="S255" s="6">
        <v>3198</v>
      </c>
      <c r="T255">
        <v>0</v>
      </c>
      <c r="U255" s="6">
        <v>528</v>
      </c>
      <c r="V255">
        <v>0</v>
      </c>
      <c r="W255">
        <v>0</v>
      </c>
      <c r="X255">
        <v>0</v>
      </c>
      <c r="Y255" s="6">
        <v>36.4</v>
      </c>
      <c r="Z255">
        <v>0.754</v>
      </c>
      <c r="AA255">
        <v>0.155</v>
      </c>
      <c r="AB255">
        <v>4.1000000000000002E-2</v>
      </c>
      <c r="AC255">
        <v>6</v>
      </c>
      <c r="AD255" s="6">
        <v>50</v>
      </c>
      <c r="AE255" s="6">
        <v>40</v>
      </c>
      <c r="AF255" s="6">
        <v>0</v>
      </c>
      <c r="AG255" s="6">
        <v>55.8</v>
      </c>
      <c r="AH255" s="6">
        <v>69.81</v>
      </c>
      <c r="AI255" s="6">
        <f t="shared" si="6"/>
        <v>14.010000000000005</v>
      </c>
      <c r="AJ255" s="5">
        <f t="shared" si="7"/>
        <v>0.20068758057584879</v>
      </c>
    </row>
    <row r="256" spans="1:36">
      <c r="A256" t="s">
        <v>291</v>
      </c>
      <c r="B256" t="s">
        <v>533</v>
      </c>
      <c r="C256" t="s">
        <v>58</v>
      </c>
      <c r="D256" t="s">
        <v>60</v>
      </c>
      <c r="E256" t="s">
        <v>55</v>
      </c>
      <c r="F256">
        <v>0</v>
      </c>
      <c r="G256">
        <v>1234</v>
      </c>
      <c r="H256">
        <v>1.22</v>
      </c>
      <c r="I256" t="s">
        <v>173</v>
      </c>
      <c r="J256">
        <v>1</v>
      </c>
      <c r="K256" s="6">
        <v>1.51</v>
      </c>
      <c r="L256" t="s">
        <v>174</v>
      </c>
      <c r="M256">
        <v>0</v>
      </c>
      <c r="N256" t="s">
        <v>182</v>
      </c>
      <c r="O256">
        <v>3</v>
      </c>
      <c r="P256">
        <v>1</v>
      </c>
      <c r="Q256" s="6">
        <v>76.400000000000006</v>
      </c>
      <c r="R256">
        <v>1</v>
      </c>
      <c r="S256" s="6">
        <v>1031</v>
      </c>
      <c r="T256">
        <v>0</v>
      </c>
      <c r="U256" s="6">
        <v>764</v>
      </c>
      <c r="V256">
        <v>0</v>
      </c>
      <c r="W256">
        <v>0</v>
      </c>
      <c r="X256">
        <v>0</v>
      </c>
      <c r="Y256" s="6">
        <v>36.4</v>
      </c>
      <c r="Z256">
        <v>0.754</v>
      </c>
      <c r="AA256">
        <v>0.155</v>
      </c>
      <c r="AB256">
        <v>4.1000000000000002E-2</v>
      </c>
      <c r="AC256">
        <v>6</v>
      </c>
      <c r="AD256" s="6">
        <v>50</v>
      </c>
      <c r="AE256" s="6">
        <v>25</v>
      </c>
      <c r="AF256" s="6">
        <v>0</v>
      </c>
      <c r="AG256" s="6">
        <v>96.32</v>
      </c>
      <c r="AH256" s="6">
        <v>120.65</v>
      </c>
      <c r="AI256" s="6">
        <f t="shared" si="6"/>
        <v>24.330000000000013</v>
      </c>
      <c r="AJ256" s="5">
        <f t="shared" si="7"/>
        <v>0.20165768752590146</v>
      </c>
    </row>
    <row r="257" spans="1:36">
      <c r="A257" t="s">
        <v>253</v>
      </c>
      <c r="B257" t="s">
        <v>534</v>
      </c>
      <c r="C257" t="s">
        <v>58</v>
      </c>
      <c r="D257" t="s">
        <v>60</v>
      </c>
      <c r="E257" t="s">
        <v>55</v>
      </c>
      <c r="F257">
        <v>0</v>
      </c>
      <c r="G257">
        <v>1234</v>
      </c>
      <c r="H257">
        <v>1</v>
      </c>
      <c r="I257" t="s">
        <v>220</v>
      </c>
      <c r="J257">
        <v>2</v>
      </c>
      <c r="K257" s="6">
        <v>3.07</v>
      </c>
      <c r="L257" t="s">
        <v>200</v>
      </c>
      <c r="M257">
        <v>1</v>
      </c>
      <c r="N257" t="s">
        <v>187</v>
      </c>
      <c r="O257">
        <v>2</v>
      </c>
      <c r="P257">
        <v>0</v>
      </c>
      <c r="Q257" s="6">
        <v>50.5</v>
      </c>
      <c r="R257">
        <v>1</v>
      </c>
      <c r="S257" s="6">
        <v>2146</v>
      </c>
      <c r="T257">
        <v>0</v>
      </c>
      <c r="U257" s="6">
        <v>1723</v>
      </c>
      <c r="V257">
        <v>0</v>
      </c>
      <c r="W257">
        <v>0</v>
      </c>
      <c r="X257">
        <v>0</v>
      </c>
      <c r="Y257" s="6">
        <v>36.4</v>
      </c>
      <c r="Z257">
        <v>0.754</v>
      </c>
      <c r="AA257">
        <v>0.155</v>
      </c>
      <c r="AB257">
        <v>4.1000000000000002E-2</v>
      </c>
      <c r="AC257">
        <v>6</v>
      </c>
      <c r="AD257" s="6">
        <v>119</v>
      </c>
      <c r="AE257" s="6">
        <v>40</v>
      </c>
      <c r="AF257" s="6">
        <v>0</v>
      </c>
      <c r="AG257" s="6">
        <v>95.3</v>
      </c>
      <c r="AH257" s="6">
        <v>119.9</v>
      </c>
      <c r="AI257" s="6">
        <f t="shared" si="6"/>
        <v>24.600000000000009</v>
      </c>
      <c r="AJ257" s="5">
        <f t="shared" si="7"/>
        <v>0.2051709758131777</v>
      </c>
    </row>
    <row r="258" spans="1:36">
      <c r="A258" t="s">
        <v>238</v>
      </c>
      <c r="B258" t="s">
        <v>535</v>
      </c>
      <c r="C258" t="s">
        <v>58</v>
      </c>
      <c r="D258" t="s">
        <v>60</v>
      </c>
      <c r="E258" t="s">
        <v>55</v>
      </c>
      <c r="F258">
        <v>0</v>
      </c>
      <c r="G258">
        <v>1234</v>
      </c>
      <c r="H258">
        <v>1</v>
      </c>
      <c r="I258" t="s">
        <v>173</v>
      </c>
      <c r="J258">
        <v>1</v>
      </c>
      <c r="K258" s="6">
        <v>2.2200000000000002</v>
      </c>
      <c r="L258" t="s">
        <v>174</v>
      </c>
      <c r="M258">
        <v>0</v>
      </c>
      <c r="N258" t="s">
        <v>175</v>
      </c>
      <c r="O258">
        <v>1</v>
      </c>
      <c r="P258">
        <v>0</v>
      </c>
      <c r="Q258" s="6">
        <v>28.7</v>
      </c>
      <c r="R258">
        <v>0</v>
      </c>
      <c r="S258" s="6">
        <v>0</v>
      </c>
      <c r="T258">
        <v>0</v>
      </c>
      <c r="U258" s="6">
        <v>3286</v>
      </c>
      <c r="V258">
        <v>0</v>
      </c>
      <c r="W258">
        <v>0</v>
      </c>
      <c r="X258">
        <v>0</v>
      </c>
      <c r="Y258" s="6">
        <v>36.4</v>
      </c>
      <c r="Z258">
        <v>0.754</v>
      </c>
      <c r="AA258">
        <v>0.155</v>
      </c>
      <c r="AB258">
        <v>4.1000000000000002E-2</v>
      </c>
      <c r="AC258">
        <v>6</v>
      </c>
      <c r="AD258" s="6">
        <v>50</v>
      </c>
      <c r="AE258" s="6">
        <v>0</v>
      </c>
      <c r="AF258" s="6">
        <v>0</v>
      </c>
      <c r="AG258" s="6">
        <v>44.04</v>
      </c>
      <c r="AH258" s="6">
        <v>56.05</v>
      </c>
      <c r="AI258" s="6">
        <f t="shared" ref="AI258:AI321" si="8">AH258-AG258</f>
        <v>12.009999999999998</v>
      </c>
      <c r="AJ258" s="5">
        <f t="shared" ref="AJ258:AJ321" si="9">IFERROR(AI258/AH258,0)</f>
        <v>0.21427297056199821</v>
      </c>
    </row>
    <row r="259" spans="1:36">
      <c r="A259" t="s">
        <v>233</v>
      </c>
      <c r="B259" t="s">
        <v>536</v>
      </c>
      <c r="C259" t="s">
        <v>58</v>
      </c>
      <c r="D259" t="s">
        <v>60</v>
      </c>
      <c r="E259" t="s">
        <v>55</v>
      </c>
      <c r="F259">
        <v>0</v>
      </c>
      <c r="G259">
        <v>1234</v>
      </c>
      <c r="H259">
        <v>1.22</v>
      </c>
      <c r="I259" t="s">
        <v>173</v>
      </c>
      <c r="J259">
        <v>1</v>
      </c>
      <c r="K259" s="6">
        <v>1.76</v>
      </c>
      <c r="L259" t="s">
        <v>200</v>
      </c>
      <c r="M259">
        <v>1</v>
      </c>
      <c r="N259" t="s">
        <v>175</v>
      </c>
      <c r="O259">
        <v>1</v>
      </c>
      <c r="P259">
        <v>1</v>
      </c>
      <c r="Q259" s="6">
        <v>30.2</v>
      </c>
      <c r="R259">
        <v>0</v>
      </c>
      <c r="S259" s="6">
        <v>0</v>
      </c>
      <c r="T259">
        <v>0</v>
      </c>
      <c r="U259" s="6">
        <v>627</v>
      </c>
      <c r="V259">
        <v>0</v>
      </c>
      <c r="W259">
        <v>0</v>
      </c>
      <c r="X259">
        <v>0</v>
      </c>
      <c r="Y259" s="6">
        <v>36.4</v>
      </c>
      <c r="Z259">
        <v>0.754</v>
      </c>
      <c r="AA259">
        <v>0.155</v>
      </c>
      <c r="AB259">
        <v>4.1000000000000002E-2</v>
      </c>
      <c r="AC259">
        <v>6</v>
      </c>
      <c r="AD259" s="6">
        <v>99</v>
      </c>
      <c r="AE259" s="6">
        <v>0</v>
      </c>
      <c r="AF259" s="6">
        <v>0</v>
      </c>
      <c r="AG259" s="6">
        <v>124.16</v>
      </c>
      <c r="AH259" s="6">
        <v>159.75</v>
      </c>
      <c r="AI259" s="6">
        <f t="shared" si="8"/>
        <v>35.590000000000003</v>
      </c>
      <c r="AJ259" s="5">
        <f t="shared" si="9"/>
        <v>0.22278560250391238</v>
      </c>
    </row>
    <row r="260" spans="1:36">
      <c r="A260" t="s">
        <v>537</v>
      </c>
      <c r="B260" t="s">
        <v>538</v>
      </c>
      <c r="C260" t="s">
        <v>58</v>
      </c>
      <c r="D260" t="s">
        <v>60</v>
      </c>
      <c r="E260" t="s">
        <v>55</v>
      </c>
      <c r="F260">
        <v>0</v>
      </c>
      <c r="G260">
        <v>1234</v>
      </c>
      <c r="H260">
        <v>1.22</v>
      </c>
      <c r="I260" t="s">
        <v>173</v>
      </c>
      <c r="J260">
        <v>1</v>
      </c>
      <c r="K260" s="6">
        <v>1.33</v>
      </c>
      <c r="L260" t="s">
        <v>200</v>
      </c>
      <c r="M260">
        <v>1</v>
      </c>
      <c r="N260" t="s">
        <v>175</v>
      </c>
      <c r="O260">
        <v>1</v>
      </c>
      <c r="P260">
        <v>0</v>
      </c>
      <c r="Q260" s="6">
        <v>46.8</v>
      </c>
      <c r="R260">
        <v>0</v>
      </c>
      <c r="S260" s="6">
        <v>0</v>
      </c>
      <c r="T260">
        <v>0</v>
      </c>
      <c r="U260" s="6">
        <v>1619</v>
      </c>
      <c r="V260">
        <v>0</v>
      </c>
      <c r="W260">
        <v>0</v>
      </c>
      <c r="X260">
        <v>0</v>
      </c>
      <c r="Y260" s="6">
        <v>36.4</v>
      </c>
      <c r="Z260">
        <v>0.754</v>
      </c>
      <c r="AA260">
        <v>0.155</v>
      </c>
      <c r="AB260">
        <v>4.1000000000000002E-2</v>
      </c>
      <c r="AC260">
        <v>6</v>
      </c>
      <c r="AD260" s="6">
        <v>99</v>
      </c>
      <c r="AE260" s="6">
        <v>0</v>
      </c>
      <c r="AF260" s="6">
        <v>0</v>
      </c>
      <c r="AG260" s="6">
        <v>82.09</v>
      </c>
      <c r="AH260" s="6">
        <v>102.95</v>
      </c>
      <c r="AI260" s="6">
        <f t="shared" si="8"/>
        <v>20.86</v>
      </c>
      <c r="AJ260" s="5">
        <f t="shared" si="9"/>
        <v>0.20262263234579891</v>
      </c>
    </row>
    <row r="261" spans="1:36">
      <c r="A261" t="s">
        <v>255</v>
      </c>
      <c r="B261" t="s">
        <v>539</v>
      </c>
      <c r="C261" t="s">
        <v>58</v>
      </c>
      <c r="D261" t="s">
        <v>60</v>
      </c>
      <c r="E261" t="s">
        <v>55</v>
      </c>
      <c r="F261">
        <v>0</v>
      </c>
      <c r="G261">
        <v>1234</v>
      </c>
      <c r="H261">
        <v>1.22</v>
      </c>
      <c r="I261" t="s">
        <v>173</v>
      </c>
      <c r="J261">
        <v>1</v>
      </c>
      <c r="K261" s="6">
        <v>1.69</v>
      </c>
      <c r="L261" t="s">
        <v>200</v>
      </c>
      <c r="M261">
        <v>1</v>
      </c>
      <c r="N261" t="s">
        <v>175</v>
      </c>
      <c r="O261">
        <v>1</v>
      </c>
      <c r="P261">
        <v>0</v>
      </c>
      <c r="Q261" s="6">
        <v>32.9</v>
      </c>
      <c r="R261">
        <v>0</v>
      </c>
      <c r="S261" s="6">
        <v>0</v>
      </c>
      <c r="T261">
        <v>0</v>
      </c>
      <c r="U261" s="6">
        <v>1297</v>
      </c>
      <c r="V261">
        <v>0</v>
      </c>
      <c r="W261">
        <v>0</v>
      </c>
      <c r="X261">
        <v>0</v>
      </c>
      <c r="Y261" s="6">
        <v>36.4</v>
      </c>
      <c r="Z261">
        <v>0.754</v>
      </c>
      <c r="AA261">
        <v>0.155</v>
      </c>
      <c r="AB261">
        <v>4.1000000000000002E-2</v>
      </c>
      <c r="AC261">
        <v>6</v>
      </c>
      <c r="AD261" s="6">
        <v>99</v>
      </c>
      <c r="AE261" s="6">
        <v>0</v>
      </c>
      <c r="AF261" s="6">
        <v>0</v>
      </c>
      <c r="AG261" s="6">
        <v>86.18</v>
      </c>
      <c r="AH261" s="6">
        <v>109.03</v>
      </c>
      <c r="AI261" s="6">
        <f t="shared" si="8"/>
        <v>22.849999999999994</v>
      </c>
      <c r="AJ261" s="5">
        <f t="shared" si="9"/>
        <v>0.20957534623498114</v>
      </c>
    </row>
    <row r="262" spans="1:36">
      <c r="A262" t="s">
        <v>303</v>
      </c>
      <c r="B262" t="s">
        <v>540</v>
      </c>
      <c r="C262" t="s">
        <v>58</v>
      </c>
      <c r="D262" t="s">
        <v>60</v>
      </c>
      <c r="E262" t="s">
        <v>55</v>
      </c>
      <c r="F262">
        <v>0</v>
      </c>
      <c r="G262">
        <v>1234</v>
      </c>
      <c r="H262">
        <v>1</v>
      </c>
      <c r="I262" t="s">
        <v>220</v>
      </c>
      <c r="J262">
        <v>2</v>
      </c>
      <c r="K262" s="6">
        <v>4.09</v>
      </c>
      <c r="L262" t="s">
        <v>200</v>
      </c>
      <c r="M262">
        <v>1</v>
      </c>
      <c r="N262" t="s">
        <v>175</v>
      </c>
      <c r="O262">
        <v>1</v>
      </c>
      <c r="P262">
        <v>0</v>
      </c>
      <c r="Q262" s="6">
        <v>24.8</v>
      </c>
      <c r="R262">
        <v>1</v>
      </c>
      <c r="S262" s="6">
        <v>6909</v>
      </c>
      <c r="T262">
        <v>0</v>
      </c>
      <c r="U262" s="6">
        <v>2523</v>
      </c>
      <c r="V262">
        <v>0</v>
      </c>
      <c r="W262">
        <v>1</v>
      </c>
      <c r="X262">
        <v>0</v>
      </c>
      <c r="Y262" s="6">
        <v>36.4</v>
      </c>
      <c r="Z262">
        <v>0.754</v>
      </c>
      <c r="AA262">
        <v>0.155</v>
      </c>
      <c r="AB262">
        <v>4.1000000000000002E-2</v>
      </c>
      <c r="AC262">
        <v>6</v>
      </c>
      <c r="AD262" s="6">
        <v>119</v>
      </c>
      <c r="AE262" s="6">
        <v>50</v>
      </c>
      <c r="AF262" s="6">
        <v>0</v>
      </c>
      <c r="AG262" s="6">
        <v>113.88</v>
      </c>
      <c r="AH262" s="6">
        <v>143.63</v>
      </c>
      <c r="AI262" s="6">
        <f t="shared" si="8"/>
        <v>29.75</v>
      </c>
      <c r="AJ262" s="5">
        <f t="shared" si="9"/>
        <v>0.2071294297848639</v>
      </c>
    </row>
    <row r="263" spans="1:36">
      <c r="A263" t="s">
        <v>204</v>
      </c>
      <c r="B263" t="s">
        <v>541</v>
      </c>
      <c r="C263" t="s">
        <v>58</v>
      </c>
      <c r="D263" t="s">
        <v>60</v>
      </c>
      <c r="E263" t="s">
        <v>55</v>
      </c>
      <c r="F263">
        <v>0</v>
      </c>
      <c r="G263">
        <v>1234</v>
      </c>
      <c r="H263">
        <v>1.22</v>
      </c>
      <c r="I263" t="s">
        <v>173</v>
      </c>
      <c r="J263">
        <v>1</v>
      </c>
      <c r="K263" s="6">
        <v>2.38</v>
      </c>
      <c r="L263" t="s">
        <v>174</v>
      </c>
      <c r="M263">
        <v>0</v>
      </c>
      <c r="N263" t="s">
        <v>182</v>
      </c>
      <c r="O263">
        <v>3</v>
      </c>
      <c r="P263">
        <v>0</v>
      </c>
      <c r="Q263" s="6">
        <v>78.2</v>
      </c>
      <c r="R263">
        <v>1</v>
      </c>
      <c r="S263" s="6">
        <v>1491</v>
      </c>
      <c r="T263">
        <v>0</v>
      </c>
      <c r="U263" s="6">
        <v>1182</v>
      </c>
      <c r="V263">
        <v>0</v>
      </c>
      <c r="W263">
        <v>0</v>
      </c>
      <c r="X263">
        <v>1</v>
      </c>
      <c r="Y263" s="6">
        <v>36.4</v>
      </c>
      <c r="Z263">
        <v>0.754</v>
      </c>
      <c r="AA263">
        <v>0.155</v>
      </c>
      <c r="AB263">
        <v>4.1000000000000002E-2</v>
      </c>
      <c r="AC263">
        <v>6</v>
      </c>
      <c r="AD263" s="6">
        <v>50</v>
      </c>
      <c r="AE263" s="6">
        <v>25</v>
      </c>
      <c r="AF263" s="6">
        <v>0</v>
      </c>
      <c r="AG263" s="6">
        <v>65.08</v>
      </c>
      <c r="AH263" s="6">
        <v>84.17</v>
      </c>
      <c r="AI263" s="6">
        <f t="shared" si="8"/>
        <v>19.090000000000003</v>
      </c>
      <c r="AJ263" s="5">
        <f t="shared" si="9"/>
        <v>0.22680289889509331</v>
      </c>
    </row>
    <row r="264" spans="1:36">
      <c r="A264" t="s">
        <v>323</v>
      </c>
      <c r="B264" t="s">
        <v>542</v>
      </c>
      <c r="C264" t="s">
        <v>58</v>
      </c>
      <c r="D264" t="s">
        <v>60</v>
      </c>
      <c r="E264" t="s">
        <v>55</v>
      </c>
      <c r="F264">
        <v>0</v>
      </c>
      <c r="G264">
        <v>1234</v>
      </c>
      <c r="H264">
        <v>1.22</v>
      </c>
      <c r="I264" t="s">
        <v>220</v>
      </c>
      <c r="J264">
        <v>2</v>
      </c>
      <c r="K264" s="6">
        <v>5.88</v>
      </c>
      <c r="L264" t="s">
        <v>200</v>
      </c>
      <c r="M264">
        <v>1</v>
      </c>
      <c r="N264" t="s">
        <v>175</v>
      </c>
      <c r="O264">
        <v>1</v>
      </c>
      <c r="P264">
        <v>1</v>
      </c>
      <c r="Q264" s="6">
        <v>33.9</v>
      </c>
      <c r="R264">
        <v>0</v>
      </c>
      <c r="S264" s="6">
        <v>0</v>
      </c>
      <c r="T264">
        <v>0</v>
      </c>
      <c r="U264" s="6">
        <v>3432</v>
      </c>
      <c r="V264">
        <v>0</v>
      </c>
      <c r="W264">
        <v>0</v>
      </c>
      <c r="X264">
        <v>0</v>
      </c>
      <c r="Y264" s="6">
        <v>36.4</v>
      </c>
      <c r="Z264">
        <v>0.754</v>
      </c>
      <c r="AA264">
        <v>0.155</v>
      </c>
      <c r="AB264">
        <v>4.1000000000000002E-2</v>
      </c>
      <c r="AC264">
        <v>6</v>
      </c>
      <c r="AD264" s="6">
        <v>119</v>
      </c>
      <c r="AE264" s="6">
        <v>0</v>
      </c>
      <c r="AF264" s="6">
        <v>0</v>
      </c>
      <c r="AG264" s="6">
        <v>139.76</v>
      </c>
      <c r="AH264" s="6">
        <v>176.93</v>
      </c>
      <c r="AI264" s="6">
        <f t="shared" si="8"/>
        <v>37.170000000000016</v>
      </c>
      <c r="AJ264" s="5">
        <f t="shared" si="9"/>
        <v>0.21008308370542031</v>
      </c>
    </row>
    <row r="265" spans="1:36">
      <c r="A265" t="s">
        <v>362</v>
      </c>
      <c r="B265" t="s">
        <v>543</v>
      </c>
      <c r="C265" t="s">
        <v>58</v>
      </c>
      <c r="D265" t="s">
        <v>60</v>
      </c>
      <c r="E265" t="s">
        <v>55</v>
      </c>
      <c r="F265">
        <v>0</v>
      </c>
      <c r="G265">
        <v>1234</v>
      </c>
      <c r="H265">
        <v>1</v>
      </c>
      <c r="I265" t="s">
        <v>173</v>
      </c>
      <c r="J265">
        <v>1</v>
      </c>
      <c r="K265" s="6">
        <v>1.54</v>
      </c>
      <c r="L265" t="s">
        <v>174</v>
      </c>
      <c r="M265">
        <v>0</v>
      </c>
      <c r="N265" t="s">
        <v>187</v>
      </c>
      <c r="O265">
        <v>2</v>
      </c>
      <c r="P265">
        <v>0</v>
      </c>
      <c r="Q265" s="6">
        <v>54.7</v>
      </c>
      <c r="R265">
        <v>1</v>
      </c>
      <c r="S265" s="6">
        <v>1428</v>
      </c>
      <c r="T265">
        <v>0</v>
      </c>
      <c r="U265" s="6">
        <v>897</v>
      </c>
      <c r="V265">
        <v>0</v>
      </c>
      <c r="W265">
        <v>0</v>
      </c>
      <c r="X265">
        <v>0</v>
      </c>
      <c r="Y265" s="6">
        <v>36.4</v>
      </c>
      <c r="Z265">
        <v>0.754</v>
      </c>
      <c r="AA265">
        <v>0.155</v>
      </c>
      <c r="AB265">
        <v>4.1000000000000002E-2</v>
      </c>
      <c r="AC265">
        <v>6</v>
      </c>
      <c r="AD265" s="6">
        <v>50</v>
      </c>
      <c r="AE265" s="6">
        <v>25</v>
      </c>
      <c r="AF265" s="6">
        <v>0</v>
      </c>
      <c r="AG265" s="6">
        <v>59.01</v>
      </c>
      <c r="AH265" s="6">
        <v>76.14</v>
      </c>
      <c r="AI265" s="6">
        <f t="shared" si="8"/>
        <v>17.130000000000003</v>
      </c>
      <c r="AJ265" s="5">
        <f t="shared" si="9"/>
        <v>0.22498029944838457</v>
      </c>
    </row>
    <row r="266" spans="1:36">
      <c r="A266" t="s">
        <v>286</v>
      </c>
      <c r="B266" t="s">
        <v>544</v>
      </c>
      <c r="C266" t="s">
        <v>58</v>
      </c>
      <c r="D266" t="s">
        <v>60</v>
      </c>
      <c r="E266" t="s">
        <v>55</v>
      </c>
      <c r="F266">
        <v>0</v>
      </c>
      <c r="G266">
        <v>1234</v>
      </c>
      <c r="H266">
        <v>1.22</v>
      </c>
      <c r="I266" t="s">
        <v>173</v>
      </c>
      <c r="J266">
        <v>1</v>
      </c>
      <c r="K266" s="6">
        <v>1.56</v>
      </c>
      <c r="L266" t="s">
        <v>174</v>
      </c>
      <c r="M266">
        <v>0</v>
      </c>
      <c r="N266" t="s">
        <v>175</v>
      </c>
      <c r="O266">
        <v>1</v>
      </c>
      <c r="P266">
        <v>0</v>
      </c>
      <c r="Q266" s="6">
        <v>31.8</v>
      </c>
      <c r="R266">
        <v>0</v>
      </c>
      <c r="S266" s="6">
        <v>0</v>
      </c>
      <c r="T266">
        <v>0</v>
      </c>
      <c r="U266" s="6">
        <v>1161</v>
      </c>
      <c r="V266">
        <v>0</v>
      </c>
      <c r="W266">
        <v>0</v>
      </c>
      <c r="X266">
        <v>0</v>
      </c>
      <c r="Y266" s="6">
        <v>36.4</v>
      </c>
      <c r="Z266">
        <v>0.754</v>
      </c>
      <c r="AA266">
        <v>0.155</v>
      </c>
      <c r="AB266">
        <v>4.1000000000000002E-2</v>
      </c>
      <c r="AC266">
        <v>6</v>
      </c>
      <c r="AD266" s="6">
        <v>50</v>
      </c>
      <c r="AE266" s="6">
        <v>0</v>
      </c>
      <c r="AF266" s="6">
        <v>0</v>
      </c>
      <c r="AG266" s="6">
        <v>56.94</v>
      </c>
      <c r="AH266" s="6">
        <v>71.540000000000006</v>
      </c>
      <c r="AI266" s="6">
        <f t="shared" si="8"/>
        <v>14.600000000000009</v>
      </c>
      <c r="AJ266" s="5">
        <f t="shared" si="9"/>
        <v>0.20408163265306131</v>
      </c>
    </row>
    <row r="267" spans="1:36">
      <c r="A267" t="s">
        <v>298</v>
      </c>
      <c r="B267" t="s">
        <v>545</v>
      </c>
      <c r="C267" t="s">
        <v>58</v>
      </c>
      <c r="D267" t="s">
        <v>60</v>
      </c>
      <c r="E267" t="s">
        <v>55</v>
      </c>
      <c r="F267">
        <v>0</v>
      </c>
      <c r="G267">
        <v>1234</v>
      </c>
      <c r="H267">
        <v>1.22</v>
      </c>
      <c r="I267" t="s">
        <v>173</v>
      </c>
      <c r="J267">
        <v>1</v>
      </c>
      <c r="K267" s="6">
        <v>2.29</v>
      </c>
      <c r="L267" t="s">
        <v>200</v>
      </c>
      <c r="M267">
        <v>1</v>
      </c>
      <c r="N267" t="s">
        <v>187</v>
      </c>
      <c r="O267">
        <v>2</v>
      </c>
      <c r="P267">
        <v>0</v>
      </c>
      <c r="Q267" s="6">
        <v>42.9</v>
      </c>
      <c r="R267">
        <v>0</v>
      </c>
      <c r="S267" s="6">
        <v>0</v>
      </c>
      <c r="T267">
        <v>0</v>
      </c>
      <c r="U267" s="6">
        <v>2003</v>
      </c>
      <c r="V267">
        <v>0</v>
      </c>
      <c r="W267">
        <v>0</v>
      </c>
      <c r="X267">
        <v>0</v>
      </c>
      <c r="Y267" s="6">
        <v>36.4</v>
      </c>
      <c r="Z267">
        <v>0.754</v>
      </c>
      <c r="AA267">
        <v>0.155</v>
      </c>
      <c r="AB267">
        <v>4.1000000000000002E-2</v>
      </c>
      <c r="AC267">
        <v>6</v>
      </c>
      <c r="AD267" s="6">
        <v>99</v>
      </c>
      <c r="AE267" s="6">
        <v>0</v>
      </c>
      <c r="AF267" s="6">
        <v>0</v>
      </c>
      <c r="AG267" s="6">
        <v>84.63</v>
      </c>
      <c r="AH267" s="6">
        <v>107.05</v>
      </c>
      <c r="AI267" s="6">
        <f t="shared" si="8"/>
        <v>22.42</v>
      </c>
      <c r="AJ267" s="5">
        <f t="shared" si="9"/>
        <v>0.20943484353106026</v>
      </c>
    </row>
    <row r="268" spans="1:36">
      <c r="A268" t="s">
        <v>277</v>
      </c>
      <c r="B268" t="s">
        <v>546</v>
      </c>
      <c r="C268" t="s">
        <v>58</v>
      </c>
      <c r="D268" t="s">
        <v>60</v>
      </c>
      <c r="E268" t="s">
        <v>55</v>
      </c>
      <c r="F268">
        <v>0</v>
      </c>
      <c r="G268">
        <v>1234</v>
      </c>
      <c r="H268">
        <v>1.22</v>
      </c>
      <c r="I268" t="s">
        <v>220</v>
      </c>
      <c r="J268">
        <v>2</v>
      </c>
      <c r="K268" s="6">
        <v>3.26</v>
      </c>
      <c r="L268" t="s">
        <v>200</v>
      </c>
      <c r="M268">
        <v>1</v>
      </c>
      <c r="N268" t="s">
        <v>175</v>
      </c>
      <c r="O268">
        <v>1</v>
      </c>
      <c r="P268">
        <v>1</v>
      </c>
      <c r="Q268" s="6">
        <v>30.6</v>
      </c>
      <c r="R268">
        <v>0</v>
      </c>
      <c r="S268" s="6">
        <v>0</v>
      </c>
      <c r="T268">
        <v>0</v>
      </c>
      <c r="U268" s="6">
        <v>1985</v>
      </c>
      <c r="V268">
        <v>0</v>
      </c>
      <c r="W268">
        <v>0</v>
      </c>
      <c r="X268">
        <v>0</v>
      </c>
      <c r="Y268" s="6">
        <v>36.4</v>
      </c>
      <c r="Z268">
        <v>0.754</v>
      </c>
      <c r="AA268">
        <v>0.155</v>
      </c>
      <c r="AB268">
        <v>4.1000000000000002E-2</v>
      </c>
      <c r="AC268">
        <v>6</v>
      </c>
      <c r="AD268" s="6">
        <v>119</v>
      </c>
      <c r="AE268" s="6">
        <v>0</v>
      </c>
      <c r="AF268" s="6">
        <v>0</v>
      </c>
      <c r="AG268" s="6">
        <v>135.19999999999999</v>
      </c>
      <c r="AH268" s="6">
        <v>171.97</v>
      </c>
      <c r="AI268" s="6">
        <f t="shared" si="8"/>
        <v>36.77000000000001</v>
      </c>
      <c r="AJ268" s="5">
        <f t="shared" si="9"/>
        <v>0.21381636331918363</v>
      </c>
    </row>
    <row r="269" spans="1:36">
      <c r="A269" t="s">
        <v>206</v>
      </c>
      <c r="B269" t="s">
        <v>547</v>
      </c>
      <c r="C269" t="s">
        <v>58</v>
      </c>
      <c r="D269" t="s">
        <v>60</v>
      </c>
      <c r="E269" t="s">
        <v>55</v>
      </c>
      <c r="F269">
        <v>0</v>
      </c>
      <c r="G269">
        <v>1234</v>
      </c>
      <c r="H269">
        <v>1.22</v>
      </c>
      <c r="I269" t="s">
        <v>220</v>
      </c>
      <c r="J269">
        <v>2</v>
      </c>
      <c r="K269" s="6">
        <v>5.65</v>
      </c>
      <c r="L269" t="s">
        <v>200</v>
      </c>
      <c r="M269">
        <v>1</v>
      </c>
      <c r="N269" t="s">
        <v>182</v>
      </c>
      <c r="O269">
        <v>3</v>
      </c>
      <c r="P269">
        <v>0</v>
      </c>
      <c r="Q269" s="6">
        <v>98.3</v>
      </c>
      <c r="R269">
        <v>1</v>
      </c>
      <c r="S269" s="6">
        <v>1144</v>
      </c>
      <c r="T269">
        <v>0</v>
      </c>
      <c r="U269" s="6">
        <v>2374</v>
      </c>
      <c r="V269">
        <v>0</v>
      </c>
      <c r="W269">
        <v>0</v>
      </c>
      <c r="X269">
        <v>0</v>
      </c>
      <c r="Y269" s="6">
        <v>36.4</v>
      </c>
      <c r="Z269">
        <v>0.754</v>
      </c>
      <c r="AA269">
        <v>0.155</v>
      </c>
      <c r="AB269">
        <v>4.1000000000000002E-2</v>
      </c>
      <c r="AC269">
        <v>6</v>
      </c>
      <c r="AD269" s="6">
        <v>119</v>
      </c>
      <c r="AE269" s="6">
        <v>25</v>
      </c>
      <c r="AF269" s="6">
        <v>0</v>
      </c>
      <c r="AG269" s="6">
        <v>114.26</v>
      </c>
      <c r="AH269" s="6">
        <v>142.88</v>
      </c>
      <c r="AI269" s="6">
        <f t="shared" si="8"/>
        <v>28.61999999999999</v>
      </c>
      <c r="AJ269" s="5">
        <f t="shared" si="9"/>
        <v>0.20030795072788349</v>
      </c>
    </row>
    <row r="270" spans="1:36">
      <c r="A270" t="s">
        <v>253</v>
      </c>
      <c r="B270" t="s">
        <v>548</v>
      </c>
      <c r="C270" t="s">
        <v>58</v>
      </c>
      <c r="D270" t="s">
        <v>60</v>
      </c>
      <c r="E270" t="s">
        <v>55</v>
      </c>
      <c r="F270">
        <v>0</v>
      </c>
      <c r="G270">
        <v>1234</v>
      </c>
      <c r="H270">
        <v>1</v>
      </c>
      <c r="I270" t="s">
        <v>173</v>
      </c>
      <c r="J270">
        <v>1</v>
      </c>
      <c r="K270" s="6">
        <v>3.08</v>
      </c>
      <c r="L270" t="s">
        <v>200</v>
      </c>
      <c r="M270">
        <v>1</v>
      </c>
      <c r="N270" t="s">
        <v>175</v>
      </c>
      <c r="O270">
        <v>1</v>
      </c>
      <c r="P270">
        <v>0</v>
      </c>
      <c r="Q270" s="6">
        <v>53</v>
      </c>
      <c r="R270">
        <v>0</v>
      </c>
      <c r="S270" s="6">
        <v>0</v>
      </c>
      <c r="T270">
        <v>0</v>
      </c>
      <c r="U270" s="6">
        <v>2021</v>
      </c>
      <c r="V270">
        <v>0</v>
      </c>
      <c r="W270">
        <v>0</v>
      </c>
      <c r="X270">
        <v>0</v>
      </c>
      <c r="Y270" s="6">
        <v>36.4</v>
      </c>
      <c r="Z270">
        <v>0.754</v>
      </c>
      <c r="AA270">
        <v>0.155</v>
      </c>
      <c r="AB270">
        <v>4.1000000000000002E-2</v>
      </c>
      <c r="AC270">
        <v>6</v>
      </c>
      <c r="AD270" s="6">
        <v>99</v>
      </c>
      <c r="AE270" s="6">
        <v>0</v>
      </c>
      <c r="AF270" s="6">
        <v>0</v>
      </c>
      <c r="AG270" s="6">
        <v>88.19</v>
      </c>
      <c r="AH270" s="6">
        <v>113.69</v>
      </c>
      <c r="AI270" s="6">
        <f t="shared" si="8"/>
        <v>25.5</v>
      </c>
      <c r="AJ270" s="5">
        <f t="shared" si="9"/>
        <v>0.22429413316914418</v>
      </c>
    </row>
    <row r="271" spans="1:36">
      <c r="A271" t="s">
        <v>319</v>
      </c>
      <c r="B271" t="s">
        <v>549</v>
      </c>
      <c r="C271" t="s">
        <v>58</v>
      </c>
      <c r="D271" t="s">
        <v>60</v>
      </c>
      <c r="E271" t="s">
        <v>55</v>
      </c>
      <c r="F271">
        <v>0</v>
      </c>
      <c r="G271">
        <v>1234</v>
      </c>
      <c r="H271">
        <v>1.22</v>
      </c>
      <c r="I271" t="s">
        <v>173</v>
      </c>
      <c r="J271">
        <v>1</v>
      </c>
      <c r="K271" s="6">
        <v>1.96</v>
      </c>
      <c r="L271" t="s">
        <v>200</v>
      </c>
      <c r="M271">
        <v>1</v>
      </c>
      <c r="N271" t="s">
        <v>187</v>
      </c>
      <c r="O271">
        <v>2</v>
      </c>
      <c r="P271">
        <v>0</v>
      </c>
      <c r="Q271" s="6">
        <v>56.4</v>
      </c>
      <c r="R271">
        <v>1</v>
      </c>
      <c r="S271" s="6">
        <v>1243</v>
      </c>
      <c r="T271">
        <v>0</v>
      </c>
      <c r="U271" s="6">
        <v>985</v>
      </c>
      <c r="V271">
        <v>0</v>
      </c>
      <c r="W271">
        <v>0</v>
      </c>
      <c r="X271">
        <v>0</v>
      </c>
      <c r="Y271" s="6">
        <v>36.4</v>
      </c>
      <c r="Z271">
        <v>0.754</v>
      </c>
      <c r="AA271">
        <v>0.155</v>
      </c>
      <c r="AB271">
        <v>4.1000000000000002E-2</v>
      </c>
      <c r="AC271">
        <v>6</v>
      </c>
      <c r="AD271" s="6">
        <v>99</v>
      </c>
      <c r="AE271" s="6">
        <v>25</v>
      </c>
      <c r="AF271" s="6">
        <v>0</v>
      </c>
      <c r="AG271" s="6">
        <v>89.82</v>
      </c>
      <c r="AH271" s="6">
        <v>114.22</v>
      </c>
      <c r="AI271" s="6">
        <f t="shared" si="8"/>
        <v>24.400000000000006</v>
      </c>
      <c r="AJ271" s="5">
        <f t="shared" si="9"/>
        <v>0.21362283312904926</v>
      </c>
    </row>
    <row r="272" spans="1:36">
      <c r="A272" t="s">
        <v>296</v>
      </c>
      <c r="B272" t="s">
        <v>550</v>
      </c>
      <c r="C272" t="s">
        <v>58</v>
      </c>
      <c r="D272" t="s">
        <v>60</v>
      </c>
      <c r="E272" t="s">
        <v>55</v>
      </c>
      <c r="F272">
        <v>0</v>
      </c>
      <c r="G272">
        <v>1234</v>
      </c>
      <c r="H272">
        <v>1</v>
      </c>
      <c r="I272" t="s">
        <v>173</v>
      </c>
      <c r="J272">
        <v>1</v>
      </c>
      <c r="K272" s="6">
        <v>2.5099999999999998</v>
      </c>
      <c r="L272" t="s">
        <v>200</v>
      </c>
      <c r="M272">
        <v>1</v>
      </c>
      <c r="N272" t="s">
        <v>175</v>
      </c>
      <c r="O272">
        <v>1</v>
      </c>
      <c r="P272">
        <v>0</v>
      </c>
      <c r="Q272" s="6">
        <v>39.299999999999997</v>
      </c>
      <c r="R272">
        <v>1</v>
      </c>
      <c r="S272" s="6">
        <v>611</v>
      </c>
      <c r="T272">
        <v>0</v>
      </c>
      <c r="U272" s="6">
        <v>2854</v>
      </c>
      <c r="V272">
        <v>0</v>
      </c>
      <c r="W272">
        <v>1</v>
      </c>
      <c r="X272">
        <v>0</v>
      </c>
      <c r="Y272" s="6">
        <v>36.4</v>
      </c>
      <c r="Z272">
        <v>0.754</v>
      </c>
      <c r="AA272">
        <v>0.155</v>
      </c>
      <c r="AB272">
        <v>4.1000000000000002E-2</v>
      </c>
      <c r="AC272">
        <v>6</v>
      </c>
      <c r="AD272" s="6">
        <v>99</v>
      </c>
      <c r="AE272" s="6">
        <v>25</v>
      </c>
      <c r="AF272" s="6">
        <v>0</v>
      </c>
      <c r="AG272" s="6">
        <v>118.58</v>
      </c>
      <c r="AH272" s="6">
        <v>152.63999999999999</v>
      </c>
      <c r="AI272" s="6">
        <f t="shared" si="8"/>
        <v>34.059999999999988</v>
      </c>
      <c r="AJ272" s="5">
        <f t="shared" si="9"/>
        <v>0.22313941299790352</v>
      </c>
    </row>
    <row r="273" spans="1:36">
      <c r="A273" t="s">
        <v>192</v>
      </c>
      <c r="B273" t="s">
        <v>551</v>
      </c>
      <c r="C273" t="s">
        <v>58</v>
      </c>
      <c r="D273" t="s">
        <v>60</v>
      </c>
      <c r="E273" t="s">
        <v>55</v>
      </c>
      <c r="F273">
        <v>0</v>
      </c>
      <c r="G273">
        <v>1234</v>
      </c>
      <c r="H273">
        <v>1</v>
      </c>
      <c r="I273" t="s">
        <v>181</v>
      </c>
      <c r="J273">
        <v>3</v>
      </c>
      <c r="K273" s="6">
        <v>9.3800000000000008</v>
      </c>
      <c r="L273" t="s">
        <v>200</v>
      </c>
      <c r="M273">
        <v>1</v>
      </c>
      <c r="N273" t="s">
        <v>182</v>
      </c>
      <c r="O273">
        <v>3</v>
      </c>
      <c r="P273">
        <v>0</v>
      </c>
      <c r="Q273" s="6">
        <v>109.6</v>
      </c>
      <c r="R273">
        <v>0</v>
      </c>
      <c r="S273" s="6">
        <v>0</v>
      </c>
      <c r="T273">
        <v>0</v>
      </c>
      <c r="U273" s="6">
        <v>1257</v>
      </c>
      <c r="V273">
        <v>0</v>
      </c>
      <c r="W273">
        <v>0</v>
      </c>
      <c r="X273">
        <v>0</v>
      </c>
      <c r="Y273" s="6">
        <v>36.4</v>
      </c>
      <c r="Z273">
        <v>0.754</v>
      </c>
      <c r="AA273">
        <v>0.155</v>
      </c>
      <c r="AB273">
        <v>4.1000000000000002E-2</v>
      </c>
      <c r="AC273">
        <v>6</v>
      </c>
      <c r="AD273" s="6">
        <v>139</v>
      </c>
      <c r="AE273" s="6">
        <v>0</v>
      </c>
      <c r="AF273" s="6">
        <v>0</v>
      </c>
      <c r="AG273" s="6">
        <v>131.66999999999999</v>
      </c>
      <c r="AH273" s="6">
        <v>167.45</v>
      </c>
      <c r="AI273" s="6">
        <f t="shared" si="8"/>
        <v>35.78</v>
      </c>
      <c r="AJ273" s="5">
        <f t="shared" si="9"/>
        <v>0.21367572409674532</v>
      </c>
    </row>
    <row r="274" spans="1:36">
      <c r="A274" t="s">
        <v>478</v>
      </c>
      <c r="B274" t="s">
        <v>552</v>
      </c>
      <c r="C274" t="s">
        <v>58</v>
      </c>
      <c r="D274" t="s">
        <v>60</v>
      </c>
      <c r="E274" t="s">
        <v>55</v>
      </c>
      <c r="F274">
        <v>0</v>
      </c>
      <c r="G274">
        <v>1234</v>
      </c>
      <c r="H274">
        <v>1.22</v>
      </c>
      <c r="I274" t="s">
        <v>173</v>
      </c>
      <c r="J274">
        <v>1</v>
      </c>
      <c r="K274" s="6">
        <v>2.36</v>
      </c>
      <c r="L274" t="s">
        <v>200</v>
      </c>
      <c r="M274">
        <v>1</v>
      </c>
      <c r="N274" t="s">
        <v>175</v>
      </c>
      <c r="O274">
        <v>1</v>
      </c>
      <c r="P274">
        <v>1</v>
      </c>
      <c r="Q274" s="6">
        <v>30.5</v>
      </c>
      <c r="R274">
        <v>1</v>
      </c>
      <c r="S274" s="6">
        <v>1906</v>
      </c>
      <c r="T274">
        <v>0</v>
      </c>
      <c r="U274" s="6">
        <v>2927</v>
      </c>
      <c r="V274">
        <v>0</v>
      </c>
      <c r="W274">
        <v>0</v>
      </c>
      <c r="X274">
        <v>0</v>
      </c>
      <c r="Y274" s="6">
        <v>36.4</v>
      </c>
      <c r="Z274">
        <v>0.754</v>
      </c>
      <c r="AA274">
        <v>0.155</v>
      </c>
      <c r="AB274">
        <v>4.1000000000000002E-2</v>
      </c>
      <c r="AC274">
        <v>6</v>
      </c>
      <c r="AD274" s="6">
        <v>99</v>
      </c>
      <c r="AE274" s="6">
        <v>25</v>
      </c>
      <c r="AF274" s="6">
        <v>0</v>
      </c>
      <c r="AG274" s="6">
        <v>126.72</v>
      </c>
      <c r="AH274" s="6">
        <v>160.74</v>
      </c>
      <c r="AI274" s="6">
        <f t="shared" si="8"/>
        <v>34.02000000000001</v>
      </c>
      <c r="AJ274" s="5">
        <f t="shared" si="9"/>
        <v>0.21164613661814116</v>
      </c>
    </row>
    <row r="275" spans="1:36">
      <c r="A275" t="s">
        <v>233</v>
      </c>
      <c r="B275" t="s">
        <v>553</v>
      </c>
      <c r="C275" t="s">
        <v>58</v>
      </c>
      <c r="D275" t="s">
        <v>60</v>
      </c>
      <c r="E275" t="s">
        <v>55</v>
      </c>
      <c r="F275">
        <v>0</v>
      </c>
      <c r="G275">
        <v>1234</v>
      </c>
      <c r="H275">
        <v>1.22</v>
      </c>
      <c r="I275" t="s">
        <v>173</v>
      </c>
      <c r="J275">
        <v>1</v>
      </c>
      <c r="K275" s="6">
        <v>2.4</v>
      </c>
      <c r="L275" t="s">
        <v>200</v>
      </c>
      <c r="M275">
        <v>1</v>
      </c>
      <c r="N275" t="s">
        <v>175</v>
      </c>
      <c r="O275">
        <v>1</v>
      </c>
      <c r="P275">
        <v>0</v>
      </c>
      <c r="Q275" s="6">
        <v>35.299999999999997</v>
      </c>
      <c r="R275">
        <v>1</v>
      </c>
      <c r="S275" s="6">
        <v>5541</v>
      </c>
      <c r="T275">
        <v>0</v>
      </c>
      <c r="U275" s="6">
        <v>1678</v>
      </c>
      <c r="V275">
        <v>0</v>
      </c>
      <c r="W275">
        <v>0</v>
      </c>
      <c r="X275">
        <v>0</v>
      </c>
      <c r="Y275" s="6">
        <v>36.4</v>
      </c>
      <c r="Z275">
        <v>0.754</v>
      </c>
      <c r="AA275">
        <v>0.155</v>
      </c>
      <c r="AB275">
        <v>4.1000000000000002E-2</v>
      </c>
      <c r="AC275">
        <v>6</v>
      </c>
      <c r="AD275" s="6">
        <v>99</v>
      </c>
      <c r="AE275" s="6">
        <v>50</v>
      </c>
      <c r="AF275" s="6">
        <v>0</v>
      </c>
      <c r="AG275" s="6">
        <v>84.32</v>
      </c>
      <c r="AH275" s="6">
        <v>109.79</v>
      </c>
      <c r="AI275" s="6">
        <f t="shared" si="8"/>
        <v>25.470000000000013</v>
      </c>
      <c r="AJ275" s="5">
        <f t="shared" si="9"/>
        <v>0.23198834137899638</v>
      </c>
    </row>
    <row r="276" spans="1:36">
      <c r="A276" t="s">
        <v>457</v>
      </c>
      <c r="B276" t="s">
        <v>554</v>
      </c>
      <c r="C276" t="s">
        <v>58</v>
      </c>
      <c r="D276" t="s">
        <v>60</v>
      </c>
      <c r="E276" t="s">
        <v>55</v>
      </c>
      <c r="F276">
        <v>0</v>
      </c>
      <c r="G276">
        <v>1234</v>
      </c>
      <c r="H276">
        <v>1</v>
      </c>
      <c r="I276" t="s">
        <v>220</v>
      </c>
      <c r="J276">
        <v>2</v>
      </c>
      <c r="K276" s="6">
        <v>4.62</v>
      </c>
      <c r="L276" t="s">
        <v>174</v>
      </c>
      <c r="M276">
        <v>0</v>
      </c>
      <c r="N276" t="s">
        <v>175</v>
      </c>
      <c r="O276">
        <v>1</v>
      </c>
      <c r="P276">
        <v>0</v>
      </c>
      <c r="Q276" s="6">
        <v>36.9</v>
      </c>
      <c r="R276">
        <v>0</v>
      </c>
      <c r="S276" s="6">
        <v>0</v>
      </c>
      <c r="T276">
        <v>0</v>
      </c>
      <c r="U276" s="6">
        <v>1040</v>
      </c>
      <c r="V276">
        <v>0</v>
      </c>
      <c r="W276">
        <v>0</v>
      </c>
      <c r="X276">
        <v>0</v>
      </c>
      <c r="Y276" s="6">
        <v>36.4</v>
      </c>
      <c r="Z276">
        <v>0.754</v>
      </c>
      <c r="AA276">
        <v>0.155</v>
      </c>
      <c r="AB276">
        <v>4.1000000000000002E-2</v>
      </c>
      <c r="AC276">
        <v>6</v>
      </c>
      <c r="AD276" s="6">
        <v>50</v>
      </c>
      <c r="AE276" s="6">
        <v>0</v>
      </c>
      <c r="AF276" s="6">
        <v>0</v>
      </c>
      <c r="AG276" s="6">
        <v>54.39</v>
      </c>
      <c r="AH276" s="6">
        <v>68.08</v>
      </c>
      <c r="AI276" s="6">
        <f t="shared" si="8"/>
        <v>13.689999999999998</v>
      </c>
      <c r="AJ276" s="5">
        <f t="shared" si="9"/>
        <v>0.20108695652173911</v>
      </c>
    </row>
    <row r="277" spans="1:36">
      <c r="A277" t="s">
        <v>397</v>
      </c>
      <c r="B277" t="s">
        <v>555</v>
      </c>
      <c r="C277" t="s">
        <v>58</v>
      </c>
      <c r="D277" t="s">
        <v>60</v>
      </c>
      <c r="E277" t="s">
        <v>55</v>
      </c>
      <c r="F277">
        <v>0</v>
      </c>
      <c r="G277">
        <v>1234</v>
      </c>
      <c r="H277">
        <v>1.22</v>
      </c>
      <c r="I277" t="s">
        <v>173</v>
      </c>
      <c r="J277">
        <v>1</v>
      </c>
      <c r="K277" s="6">
        <v>2.13</v>
      </c>
      <c r="L277" t="s">
        <v>200</v>
      </c>
      <c r="M277">
        <v>1</v>
      </c>
      <c r="N277" t="s">
        <v>272</v>
      </c>
      <c r="O277">
        <v>5</v>
      </c>
      <c r="P277">
        <v>1</v>
      </c>
      <c r="Q277" s="6">
        <v>155.6</v>
      </c>
      <c r="R277">
        <v>0</v>
      </c>
      <c r="S277" s="6">
        <v>0</v>
      </c>
      <c r="T277">
        <v>0</v>
      </c>
      <c r="U277" s="6">
        <v>1868</v>
      </c>
      <c r="V277">
        <v>0</v>
      </c>
      <c r="W277">
        <v>0</v>
      </c>
      <c r="X277">
        <v>0</v>
      </c>
      <c r="Y277" s="6">
        <v>36.4</v>
      </c>
      <c r="Z277">
        <v>0.754</v>
      </c>
      <c r="AA277">
        <v>0.155</v>
      </c>
      <c r="AB277">
        <v>4.1000000000000002E-2</v>
      </c>
      <c r="AC277">
        <v>6</v>
      </c>
      <c r="AD277" s="6">
        <v>99</v>
      </c>
      <c r="AE277" s="6">
        <v>0</v>
      </c>
      <c r="AF277" s="6">
        <v>0</v>
      </c>
      <c r="AG277" s="6">
        <v>204.08</v>
      </c>
      <c r="AH277" s="6">
        <v>258.39</v>
      </c>
      <c r="AI277" s="6">
        <f t="shared" si="8"/>
        <v>54.309999999999974</v>
      </c>
      <c r="AJ277" s="5">
        <f t="shared" si="9"/>
        <v>0.21018615271488825</v>
      </c>
    </row>
    <row r="278" spans="1:36">
      <c r="A278" t="s">
        <v>375</v>
      </c>
      <c r="B278" t="s">
        <v>556</v>
      </c>
      <c r="C278" t="s">
        <v>58</v>
      </c>
      <c r="D278" t="s">
        <v>60</v>
      </c>
      <c r="E278" t="s">
        <v>55</v>
      </c>
      <c r="F278">
        <v>0</v>
      </c>
      <c r="G278">
        <v>1234</v>
      </c>
      <c r="H278">
        <v>1</v>
      </c>
      <c r="I278" t="s">
        <v>220</v>
      </c>
      <c r="J278">
        <v>2</v>
      </c>
      <c r="K278" s="6">
        <v>2.46</v>
      </c>
      <c r="L278" t="s">
        <v>200</v>
      </c>
      <c r="M278">
        <v>1</v>
      </c>
      <c r="N278" t="s">
        <v>175</v>
      </c>
      <c r="O278">
        <v>1</v>
      </c>
      <c r="P278">
        <v>0</v>
      </c>
      <c r="Q278" s="6">
        <v>39.1</v>
      </c>
      <c r="R278">
        <v>0</v>
      </c>
      <c r="S278" s="6">
        <v>0</v>
      </c>
      <c r="T278">
        <v>0</v>
      </c>
      <c r="U278" s="6">
        <v>2544</v>
      </c>
      <c r="V278">
        <v>0</v>
      </c>
      <c r="W278">
        <v>0</v>
      </c>
      <c r="X278">
        <v>0</v>
      </c>
      <c r="Y278" s="6">
        <v>36.4</v>
      </c>
      <c r="Z278">
        <v>0.754</v>
      </c>
      <c r="AA278">
        <v>0.155</v>
      </c>
      <c r="AB278">
        <v>4.1000000000000002E-2</v>
      </c>
      <c r="AC278">
        <v>6</v>
      </c>
      <c r="AD278" s="6">
        <v>119</v>
      </c>
      <c r="AE278" s="6">
        <v>0</v>
      </c>
      <c r="AF278" s="6">
        <v>0</v>
      </c>
      <c r="AG278" s="6">
        <v>82.97</v>
      </c>
      <c r="AH278" s="6">
        <v>119.97</v>
      </c>
      <c r="AI278" s="6">
        <f t="shared" si="8"/>
        <v>37</v>
      </c>
      <c r="AJ278" s="5">
        <f t="shared" si="9"/>
        <v>0.30841043594231893</v>
      </c>
    </row>
    <row r="279" spans="1:36">
      <c r="A279" t="s">
        <v>306</v>
      </c>
      <c r="B279" t="s">
        <v>557</v>
      </c>
      <c r="C279" t="s">
        <v>58</v>
      </c>
      <c r="D279" t="s">
        <v>60</v>
      </c>
      <c r="E279" t="s">
        <v>55</v>
      </c>
      <c r="F279">
        <v>0</v>
      </c>
      <c r="G279">
        <v>1234</v>
      </c>
      <c r="H279">
        <v>1.22</v>
      </c>
      <c r="I279" t="s">
        <v>220</v>
      </c>
      <c r="J279">
        <v>2</v>
      </c>
      <c r="K279" s="6">
        <v>5.1100000000000003</v>
      </c>
      <c r="L279" t="s">
        <v>200</v>
      </c>
      <c r="M279">
        <v>1</v>
      </c>
      <c r="N279" t="s">
        <v>187</v>
      </c>
      <c r="O279">
        <v>2</v>
      </c>
      <c r="P279">
        <v>0</v>
      </c>
      <c r="Q279" s="6">
        <v>49</v>
      </c>
      <c r="R279">
        <v>1</v>
      </c>
      <c r="S279" s="6">
        <v>914</v>
      </c>
      <c r="T279">
        <v>0</v>
      </c>
      <c r="U279" s="6">
        <v>1482</v>
      </c>
      <c r="V279">
        <v>0</v>
      </c>
      <c r="W279">
        <v>0</v>
      </c>
      <c r="X279">
        <v>0</v>
      </c>
      <c r="Y279" s="6">
        <v>36.4</v>
      </c>
      <c r="Z279">
        <v>0.754</v>
      </c>
      <c r="AA279">
        <v>0.155</v>
      </c>
      <c r="AB279">
        <v>4.1000000000000002E-2</v>
      </c>
      <c r="AC279">
        <v>6</v>
      </c>
      <c r="AD279" s="6">
        <v>119</v>
      </c>
      <c r="AE279" s="6">
        <v>25</v>
      </c>
      <c r="AF279" s="6">
        <v>0</v>
      </c>
      <c r="AG279" s="6">
        <v>98.36</v>
      </c>
      <c r="AH279" s="6">
        <v>123.31</v>
      </c>
      <c r="AI279" s="6">
        <f t="shared" si="8"/>
        <v>24.950000000000003</v>
      </c>
      <c r="AJ279" s="5">
        <f t="shared" si="9"/>
        <v>0.20233557700105428</v>
      </c>
    </row>
    <row r="280" spans="1:36">
      <c r="A280" t="s">
        <v>190</v>
      </c>
      <c r="B280" t="s">
        <v>558</v>
      </c>
      <c r="C280" t="s">
        <v>58</v>
      </c>
      <c r="D280" t="s">
        <v>60</v>
      </c>
      <c r="E280" t="s">
        <v>55</v>
      </c>
      <c r="F280">
        <v>0</v>
      </c>
      <c r="G280">
        <v>1234</v>
      </c>
      <c r="H280">
        <v>1.22</v>
      </c>
      <c r="I280" t="s">
        <v>173</v>
      </c>
      <c r="J280">
        <v>1</v>
      </c>
      <c r="K280" s="6">
        <v>1.92</v>
      </c>
      <c r="L280" t="s">
        <v>174</v>
      </c>
      <c r="M280">
        <v>0</v>
      </c>
      <c r="N280" t="s">
        <v>175</v>
      </c>
      <c r="O280">
        <v>1</v>
      </c>
      <c r="P280">
        <v>0</v>
      </c>
      <c r="Q280" s="6">
        <v>33.4</v>
      </c>
      <c r="R280">
        <v>1</v>
      </c>
      <c r="S280" s="6">
        <v>1337</v>
      </c>
      <c r="T280">
        <v>0</v>
      </c>
      <c r="U280" s="6">
        <v>2172</v>
      </c>
      <c r="V280">
        <v>0</v>
      </c>
      <c r="W280">
        <v>0</v>
      </c>
      <c r="X280">
        <v>0</v>
      </c>
      <c r="Y280" s="6">
        <v>36.4</v>
      </c>
      <c r="Z280">
        <v>0.754</v>
      </c>
      <c r="AA280">
        <v>0.155</v>
      </c>
      <c r="AB280">
        <v>4.1000000000000002E-2</v>
      </c>
      <c r="AC280">
        <v>6</v>
      </c>
      <c r="AD280" s="6">
        <v>50</v>
      </c>
      <c r="AE280" s="6">
        <v>25</v>
      </c>
      <c r="AF280" s="6">
        <v>0</v>
      </c>
      <c r="AG280" s="6">
        <v>66.12</v>
      </c>
      <c r="AH280" s="6">
        <v>85.84</v>
      </c>
      <c r="AI280" s="6">
        <f t="shared" si="8"/>
        <v>19.72</v>
      </c>
      <c r="AJ280" s="5">
        <f t="shared" si="9"/>
        <v>0.22972972972972971</v>
      </c>
    </row>
    <row r="281" spans="1:36">
      <c r="A281" t="s">
        <v>481</v>
      </c>
      <c r="B281" t="s">
        <v>559</v>
      </c>
      <c r="C281" t="s">
        <v>58</v>
      </c>
      <c r="D281" t="s">
        <v>60</v>
      </c>
      <c r="E281" t="s">
        <v>55</v>
      </c>
      <c r="F281">
        <v>0</v>
      </c>
      <c r="G281">
        <v>1234</v>
      </c>
      <c r="H281">
        <v>1.22</v>
      </c>
      <c r="I281" t="s">
        <v>173</v>
      </c>
      <c r="J281">
        <v>1</v>
      </c>
      <c r="K281" s="6">
        <v>1.02</v>
      </c>
      <c r="L281" t="s">
        <v>200</v>
      </c>
      <c r="M281">
        <v>1</v>
      </c>
      <c r="N281" t="s">
        <v>272</v>
      </c>
      <c r="O281">
        <v>5</v>
      </c>
      <c r="P281">
        <v>1</v>
      </c>
      <c r="Q281" s="6">
        <v>168.8</v>
      </c>
      <c r="R281">
        <v>1</v>
      </c>
      <c r="S281" s="6">
        <v>1759</v>
      </c>
      <c r="T281">
        <v>0</v>
      </c>
      <c r="U281" s="6">
        <v>2259</v>
      </c>
      <c r="V281">
        <v>0</v>
      </c>
      <c r="W281">
        <v>0</v>
      </c>
      <c r="X281">
        <v>0</v>
      </c>
      <c r="Y281" s="6">
        <v>36.4</v>
      </c>
      <c r="Z281">
        <v>0.754</v>
      </c>
      <c r="AA281">
        <v>0.155</v>
      </c>
      <c r="AB281">
        <v>4.1000000000000002E-2</v>
      </c>
      <c r="AC281">
        <v>6</v>
      </c>
      <c r="AD281" s="6">
        <v>99</v>
      </c>
      <c r="AE281" s="6">
        <v>25</v>
      </c>
      <c r="AF281" s="6">
        <v>0</v>
      </c>
      <c r="AG281" s="6">
        <v>197.55</v>
      </c>
      <c r="AH281" s="6">
        <v>249.64</v>
      </c>
      <c r="AI281" s="6">
        <f t="shared" si="8"/>
        <v>52.089999999999975</v>
      </c>
      <c r="AJ281" s="5">
        <f t="shared" si="9"/>
        <v>0.20866047107835273</v>
      </c>
    </row>
    <row r="282" spans="1:36">
      <c r="A282" t="s">
        <v>258</v>
      </c>
      <c r="B282" t="s">
        <v>560</v>
      </c>
      <c r="C282" t="s">
        <v>58</v>
      </c>
      <c r="D282" t="s">
        <v>60</v>
      </c>
      <c r="E282" t="s">
        <v>55</v>
      </c>
      <c r="F282">
        <v>0</v>
      </c>
      <c r="G282">
        <v>1234</v>
      </c>
      <c r="H282">
        <v>1</v>
      </c>
      <c r="I282" t="s">
        <v>173</v>
      </c>
      <c r="J282">
        <v>1</v>
      </c>
      <c r="K282" s="6">
        <v>0.73</v>
      </c>
      <c r="L282" t="s">
        <v>200</v>
      </c>
      <c r="M282">
        <v>1</v>
      </c>
      <c r="N282" t="s">
        <v>187</v>
      </c>
      <c r="O282">
        <v>2</v>
      </c>
      <c r="P282">
        <v>0</v>
      </c>
      <c r="Q282" s="6">
        <v>44.3</v>
      </c>
      <c r="R282">
        <v>0</v>
      </c>
      <c r="S282" s="6">
        <v>0</v>
      </c>
      <c r="T282">
        <v>0</v>
      </c>
      <c r="U282" s="6">
        <v>3032</v>
      </c>
      <c r="V282">
        <v>0</v>
      </c>
      <c r="W282">
        <v>0</v>
      </c>
      <c r="X282">
        <v>0</v>
      </c>
      <c r="Y282" s="6">
        <v>36.4</v>
      </c>
      <c r="Z282">
        <v>0.754</v>
      </c>
      <c r="AA282">
        <v>0.155</v>
      </c>
      <c r="AB282">
        <v>4.1000000000000002E-2</v>
      </c>
      <c r="AC282">
        <v>6</v>
      </c>
      <c r="AD282" s="6">
        <v>99</v>
      </c>
      <c r="AE282" s="6">
        <v>0</v>
      </c>
      <c r="AF282" s="6">
        <v>0</v>
      </c>
      <c r="AG282" s="6">
        <v>84.13</v>
      </c>
      <c r="AH282" s="6">
        <v>106.49</v>
      </c>
      <c r="AI282" s="6">
        <f t="shared" si="8"/>
        <v>22.36</v>
      </c>
      <c r="AJ282" s="5">
        <f t="shared" si="9"/>
        <v>0.20997276739599963</v>
      </c>
    </row>
    <row r="283" spans="1:36">
      <c r="A283" t="s">
        <v>247</v>
      </c>
      <c r="B283" t="s">
        <v>561</v>
      </c>
      <c r="C283" t="s">
        <v>58</v>
      </c>
      <c r="D283" t="s">
        <v>60</v>
      </c>
      <c r="E283" t="s">
        <v>55</v>
      </c>
      <c r="F283">
        <v>0</v>
      </c>
      <c r="G283">
        <v>1234</v>
      </c>
      <c r="H283">
        <v>1</v>
      </c>
      <c r="I283" t="s">
        <v>173</v>
      </c>
      <c r="J283">
        <v>1</v>
      </c>
      <c r="K283" s="6">
        <v>1.73</v>
      </c>
      <c r="L283" t="s">
        <v>200</v>
      </c>
      <c r="M283">
        <v>1</v>
      </c>
      <c r="N283" t="s">
        <v>175</v>
      </c>
      <c r="O283">
        <v>1</v>
      </c>
      <c r="P283">
        <v>0</v>
      </c>
      <c r="Q283" s="6">
        <v>39</v>
      </c>
      <c r="R283">
        <v>0</v>
      </c>
      <c r="S283" s="6">
        <v>0</v>
      </c>
      <c r="T283">
        <v>0</v>
      </c>
      <c r="U283" s="6">
        <v>1035</v>
      </c>
      <c r="V283">
        <v>0</v>
      </c>
      <c r="W283">
        <v>0</v>
      </c>
      <c r="X283">
        <v>0</v>
      </c>
      <c r="Y283" s="6">
        <v>36.4</v>
      </c>
      <c r="Z283">
        <v>0.754</v>
      </c>
      <c r="AA283">
        <v>0.155</v>
      </c>
      <c r="AB283">
        <v>4.1000000000000002E-2</v>
      </c>
      <c r="AC283">
        <v>6</v>
      </c>
      <c r="AD283" s="6">
        <v>99</v>
      </c>
      <c r="AE283" s="6">
        <v>0</v>
      </c>
      <c r="AF283" s="6">
        <v>0</v>
      </c>
      <c r="AG283" s="6">
        <v>76.72</v>
      </c>
      <c r="AH283" s="6">
        <v>102.39</v>
      </c>
      <c r="AI283" s="6">
        <f t="shared" si="8"/>
        <v>25.67</v>
      </c>
      <c r="AJ283" s="5">
        <f t="shared" si="9"/>
        <v>0.25070807696064068</v>
      </c>
    </row>
    <row r="284" spans="1:36">
      <c r="A284" t="s">
        <v>562</v>
      </c>
      <c r="B284" t="s">
        <v>563</v>
      </c>
      <c r="C284" t="s">
        <v>58</v>
      </c>
      <c r="D284" t="s">
        <v>60</v>
      </c>
      <c r="E284" t="s">
        <v>55</v>
      </c>
      <c r="F284">
        <v>0</v>
      </c>
      <c r="G284">
        <v>1234</v>
      </c>
      <c r="H284">
        <v>1.22</v>
      </c>
      <c r="I284" t="s">
        <v>220</v>
      </c>
      <c r="J284">
        <v>2</v>
      </c>
      <c r="K284" s="6">
        <v>4.0199999999999996</v>
      </c>
      <c r="L284" t="s">
        <v>200</v>
      </c>
      <c r="M284">
        <v>1</v>
      </c>
      <c r="N284" t="s">
        <v>182</v>
      </c>
      <c r="O284">
        <v>3</v>
      </c>
      <c r="P284">
        <v>0</v>
      </c>
      <c r="Q284" s="6">
        <v>93.6</v>
      </c>
      <c r="R284">
        <v>0</v>
      </c>
      <c r="S284" s="6">
        <v>0</v>
      </c>
      <c r="T284">
        <v>0</v>
      </c>
      <c r="U284" s="6">
        <v>1784</v>
      </c>
      <c r="V284">
        <v>0</v>
      </c>
      <c r="W284">
        <v>0</v>
      </c>
      <c r="X284">
        <v>0</v>
      </c>
      <c r="Y284" s="6">
        <v>36.4</v>
      </c>
      <c r="Z284">
        <v>0.754</v>
      </c>
      <c r="AA284">
        <v>0.155</v>
      </c>
      <c r="AB284">
        <v>4.1000000000000002E-2</v>
      </c>
      <c r="AC284">
        <v>6</v>
      </c>
      <c r="AD284" s="6">
        <v>119</v>
      </c>
      <c r="AE284" s="6">
        <v>0</v>
      </c>
      <c r="AF284" s="6">
        <v>0</v>
      </c>
      <c r="AG284" s="6">
        <v>113.04</v>
      </c>
      <c r="AH284" s="6">
        <v>141.51</v>
      </c>
      <c r="AI284" s="6">
        <f t="shared" si="8"/>
        <v>28.469999999999985</v>
      </c>
      <c r="AJ284" s="5">
        <f t="shared" si="9"/>
        <v>0.20118719525121889</v>
      </c>
    </row>
    <row r="285" spans="1:36">
      <c r="A285" t="s">
        <v>208</v>
      </c>
      <c r="B285" t="s">
        <v>564</v>
      </c>
      <c r="C285" t="s">
        <v>58</v>
      </c>
      <c r="D285" t="s">
        <v>60</v>
      </c>
      <c r="E285" t="s">
        <v>55</v>
      </c>
      <c r="F285">
        <v>0</v>
      </c>
      <c r="G285">
        <v>1234</v>
      </c>
      <c r="H285">
        <v>1.22</v>
      </c>
      <c r="I285" t="s">
        <v>220</v>
      </c>
      <c r="J285">
        <v>2</v>
      </c>
      <c r="K285" s="6">
        <v>3.77</v>
      </c>
      <c r="L285" t="s">
        <v>174</v>
      </c>
      <c r="M285">
        <v>0</v>
      </c>
      <c r="N285" t="s">
        <v>187</v>
      </c>
      <c r="O285">
        <v>2</v>
      </c>
      <c r="P285">
        <v>0</v>
      </c>
      <c r="Q285" s="6">
        <v>43.5</v>
      </c>
      <c r="R285">
        <v>1</v>
      </c>
      <c r="S285" s="6">
        <v>6368</v>
      </c>
      <c r="T285">
        <v>0</v>
      </c>
      <c r="U285" s="6">
        <v>1192</v>
      </c>
      <c r="V285">
        <v>0</v>
      </c>
      <c r="W285">
        <v>0</v>
      </c>
      <c r="X285">
        <v>0</v>
      </c>
      <c r="Y285" s="6">
        <v>36.4</v>
      </c>
      <c r="Z285">
        <v>0.754</v>
      </c>
      <c r="AA285">
        <v>0.155</v>
      </c>
      <c r="AB285">
        <v>4.1000000000000002E-2</v>
      </c>
      <c r="AC285">
        <v>6</v>
      </c>
      <c r="AD285" s="6">
        <v>50</v>
      </c>
      <c r="AE285" s="6">
        <v>50</v>
      </c>
      <c r="AF285" s="6">
        <v>0</v>
      </c>
      <c r="AG285" s="6">
        <v>67.27</v>
      </c>
      <c r="AH285" s="6">
        <v>86.93</v>
      </c>
      <c r="AI285" s="6">
        <f t="shared" si="8"/>
        <v>19.660000000000011</v>
      </c>
      <c r="AJ285" s="5">
        <f t="shared" si="9"/>
        <v>0.22615897848843908</v>
      </c>
    </row>
    <row r="286" spans="1:36">
      <c r="A286" t="s">
        <v>457</v>
      </c>
      <c r="B286" t="s">
        <v>565</v>
      </c>
      <c r="C286" t="s">
        <v>58</v>
      </c>
      <c r="D286" t="s">
        <v>60</v>
      </c>
      <c r="E286" t="s">
        <v>55</v>
      </c>
      <c r="F286">
        <v>0</v>
      </c>
      <c r="G286">
        <v>1234</v>
      </c>
      <c r="H286">
        <v>1</v>
      </c>
      <c r="I286" t="s">
        <v>173</v>
      </c>
      <c r="J286">
        <v>1</v>
      </c>
      <c r="K286" s="6">
        <v>1.96</v>
      </c>
      <c r="L286" t="s">
        <v>200</v>
      </c>
      <c r="M286">
        <v>1</v>
      </c>
      <c r="N286" t="s">
        <v>187</v>
      </c>
      <c r="O286">
        <v>2</v>
      </c>
      <c r="P286">
        <v>0</v>
      </c>
      <c r="Q286" s="6">
        <v>49.1</v>
      </c>
      <c r="R286">
        <v>1</v>
      </c>
      <c r="S286" s="6">
        <v>1040</v>
      </c>
      <c r="T286">
        <v>0</v>
      </c>
      <c r="U286" s="6">
        <v>1110</v>
      </c>
      <c r="V286">
        <v>0</v>
      </c>
      <c r="W286">
        <v>0</v>
      </c>
      <c r="X286">
        <v>0</v>
      </c>
      <c r="Y286" s="6">
        <v>36.4</v>
      </c>
      <c r="Z286">
        <v>0.754</v>
      </c>
      <c r="AA286">
        <v>0.155</v>
      </c>
      <c r="AB286">
        <v>4.1000000000000002E-2</v>
      </c>
      <c r="AC286">
        <v>6</v>
      </c>
      <c r="AD286" s="6">
        <v>99</v>
      </c>
      <c r="AE286" s="6">
        <v>25</v>
      </c>
      <c r="AF286" s="6">
        <v>0</v>
      </c>
      <c r="AG286" s="6">
        <v>91.04</v>
      </c>
      <c r="AH286" s="6">
        <v>115.57</v>
      </c>
      <c r="AI286" s="6">
        <f t="shared" si="8"/>
        <v>24.529999999999987</v>
      </c>
      <c r="AJ286" s="5">
        <f t="shared" si="9"/>
        <v>0.21225231461451924</v>
      </c>
    </row>
    <row r="287" spans="1:36">
      <c r="A287" t="s">
        <v>206</v>
      </c>
      <c r="B287" t="s">
        <v>566</v>
      </c>
      <c r="C287" t="s">
        <v>58</v>
      </c>
      <c r="D287" t="s">
        <v>60</v>
      </c>
      <c r="E287" t="s">
        <v>55</v>
      </c>
      <c r="F287">
        <v>0</v>
      </c>
      <c r="G287">
        <v>1234</v>
      </c>
      <c r="H287">
        <v>1.22</v>
      </c>
      <c r="I287" t="s">
        <v>173</v>
      </c>
      <c r="J287">
        <v>1</v>
      </c>
      <c r="K287" s="6">
        <v>2.54</v>
      </c>
      <c r="L287" t="s">
        <v>174</v>
      </c>
      <c r="M287">
        <v>0</v>
      </c>
      <c r="N287" t="s">
        <v>175</v>
      </c>
      <c r="O287">
        <v>1</v>
      </c>
      <c r="P287">
        <v>0</v>
      </c>
      <c r="Q287" s="6">
        <v>27.4</v>
      </c>
      <c r="R287">
        <v>0</v>
      </c>
      <c r="S287" s="6">
        <v>0</v>
      </c>
      <c r="T287">
        <v>0</v>
      </c>
      <c r="U287" s="6">
        <v>768</v>
      </c>
      <c r="V287">
        <v>0</v>
      </c>
      <c r="W287">
        <v>0</v>
      </c>
      <c r="X287">
        <v>0</v>
      </c>
      <c r="Y287" s="6">
        <v>36.4</v>
      </c>
      <c r="Z287">
        <v>0.754</v>
      </c>
      <c r="AA287">
        <v>0.155</v>
      </c>
      <c r="AB287">
        <v>4.1000000000000002E-2</v>
      </c>
      <c r="AC287">
        <v>6</v>
      </c>
      <c r="AD287" s="6">
        <v>50</v>
      </c>
      <c r="AE287" s="6">
        <v>0</v>
      </c>
      <c r="AF287" s="6">
        <v>0</v>
      </c>
      <c r="AG287" s="6">
        <v>47.94</v>
      </c>
      <c r="AH287" s="6">
        <v>60.11</v>
      </c>
      <c r="AI287" s="6">
        <f t="shared" si="8"/>
        <v>12.170000000000002</v>
      </c>
      <c r="AJ287" s="5">
        <f t="shared" si="9"/>
        <v>0.20246215272001333</v>
      </c>
    </row>
    <row r="288" spans="1:36">
      <c r="A288" t="s">
        <v>488</v>
      </c>
      <c r="B288" t="s">
        <v>567</v>
      </c>
      <c r="C288" t="s">
        <v>61</v>
      </c>
      <c r="D288" t="s">
        <v>63</v>
      </c>
      <c r="E288" t="s">
        <v>55</v>
      </c>
      <c r="F288">
        <v>0</v>
      </c>
      <c r="G288">
        <v>2375</v>
      </c>
      <c r="H288">
        <v>1</v>
      </c>
      <c r="I288" t="s">
        <v>173</v>
      </c>
      <c r="J288">
        <v>1</v>
      </c>
      <c r="K288" s="6">
        <v>2.17</v>
      </c>
      <c r="L288" t="s">
        <v>174</v>
      </c>
      <c r="M288">
        <v>0</v>
      </c>
      <c r="N288" t="s">
        <v>187</v>
      </c>
      <c r="O288">
        <v>2</v>
      </c>
      <c r="P288">
        <v>0</v>
      </c>
      <c r="Q288" s="6">
        <v>79.599999999999994</v>
      </c>
      <c r="R288">
        <v>0</v>
      </c>
      <c r="S288" s="6">
        <v>0</v>
      </c>
      <c r="T288">
        <v>0</v>
      </c>
      <c r="U288" s="6">
        <v>1501</v>
      </c>
      <c r="V288">
        <v>0</v>
      </c>
      <c r="W288">
        <v>0</v>
      </c>
      <c r="X288">
        <v>0</v>
      </c>
      <c r="Y288" s="6">
        <v>41.4</v>
      </c>
      <c r="Z288">
        <v>0</v>
      </c>
      <c r="AA288">
        <v>0.112</v>
      </c>
      <c r="AB288">
        <v>3.9E-2</v>
      </c>
      <c r="AC288">
        <v>6</v>
      </c>
      <c r="AD288" s="6">
        <v>50</v>
      </c>
      <c r="AE288" s="6">
        <v>0</v>
      </c>
      <c r="AF288" s="6">
        <v>0</v>
      </c>
      <c r="AG288" s="6">
        <v>56.85</v>
      </c>
      <c r="AH288" s="6">
        <v>73.19</v>
      </c>
      <c r="AI288" s="6">
        <f t="shared" si="8"/>
        <v>16.339999999999996</v>
      </c>
      <c r="AJ288" s="5">
        <f t="shared" si="9"/>
        <v>0.22325454297035111</v>
      </c>
    </row>
    <row r="289" spans="1:36">
      <c r="A289" t="s">
        <v>391</v>
      </c>
      <c r="B289" t="s">
        <v>568</v>
      </c>
      <c r="C289" t="s">
        <v>61</v>
      </c>
      <c r="D289" t="s">
        <v>63</v>
      </c>
      <c r="E289" t="s">
        <v>55</v>
      </c>
      <c r="F289">
        <v>0</v>
      </c>
      <c r="G289">
        <v>2375</v>
      </c>
      <c r="H289">
        <v>1</v>
      </c>
      <c r="I289" t="s">
        <v>173</v>
      </c>
      <c r="J289">
        <v>1</v>
      </c>
      <c r="K289" s="6">
        <v>1.93</v>
      </c>
      <c r="L289" t="s">
        <v>174</v>
      </c>
      <c r="M289">
        <v>0</v>
      </c>
      <c r="N289" t="s">
        <v>217</v>
      </c>
      <c r="O289">
        <v>4</v>
      </c>
      <c r="P289">
        <v>1</v>
      </c>
      <c r="Q289" s="6">
        <v>123.1</v>
      </c>
      <c r="R289">
        <v>0</v>
      </c>
      <c r="S289" s="6">
        <v>0</v>
      </c>
      <c r="T289">
        <v>0</v>
      </c>
      <c r="U289" s="6">
        <v>1193</v>
      </c>
      <c r="V289">
        <v>0</v>
      </c>
      <c r="W289">
        <v>0</v>
      </c>
      <c r="X289">
        <v>0</v>
      </c>
      <c r="Y289" s="6">
        <v>41.4</v>
      </c>
      <c r="Z289">
        <v>0</v>
      </c>
      <c r="AA289">
        <v>0.112</v>
      </c>
      <c r="AB289">
        <v>3.9E-2</v>
      </c>
      <c r="AC289">
        <v>6</v>
      </c>
      <c r="AD289" s="6">
        <v>50</v>
      </c>
      <c r="AE289" s="6">
        <v>0</v>
      </c>
      <c r="AF289" s="6">
        <v>0</v>
      </c>
      <c r="AG289" s="6">
        <v>100.73</v>
      </c>
      <c r="AH289" s="6">
        <v>126.6</v>
      </c>
      <c r="AI289" s="6">
        <f t="shared" si="8"/>
        <v>25.86999999999999</v>
      </c>
      <c r="AJ289" s="5">
        <f t="shared" si="9"/>
        <v>0.20434439178515001</v>
      </c>
    </row>
    <row r="290" spans="1:36">
      <c r="A290" t="s">
        <v>247</v>
      </c>
      <c r="B290" t="s">
        <v>569</v>
      </c>
      <c r="C290" t="s">
        <v>61</v>
      </c>
      <c r="D290" t="s">
        <v>63</v>
      </c>
      <c r="E290" t="s">
        <v>55</v>
      </c>
      <c r="F290">
        <v>0</v>
      </c>
      <c r="G290">
        <v>2375</v>
      </c>
      <c r="H290">
        <v>1</v>
      </c>
      <c r="I290" t="s">
        <v>173</v>
      </c>
      <c r="J290">
        <v>1</v>
      </c>
      <c r="K290" s="6">
        <v>1.19</v>
      </c>
      <c r="L290" t="s">
        <v>174</v>
      </c>
      <c r="M290">
        <v>0</v>
      </c>
      <c r="N290" t="s">
        <v>175</v>
      </c>
      <c r="O290">
        <v>1</v>
      </c>
      <c r="P290">
        <v>0</v>
      </c>
      <c r="Q290" s="6">
        <v>45.1</v>
      </c>
      <c r="R290">
        <v>0</v>
      </c>
      <c r="S290" s="6">
        <v>0</v>
      </c>
      <c r="T290">
        <v>0</v>
      </c>
      <c r="U290" s="6">
        <v>1131</v>
      </c>
      <c r="V290">
        <v>0</v>
      </c>
      <c r="W290">
        <v>1</v>
      </c>
      <c r="X290">
        <v>1</v>
      </c>
      <c r="Y290" s="6">
        <v>41.4</v>
      </c>
      <c r="Z290">
        <v>0</v>
      </c>
      <c r="AA290">
        <v>0.112</v>
      </c>
      <c r="AB290">
        <v>3.9E-2</v>
      </c>
      <c r="AC290">
        <v>6</v>
      </c>
      <c r="AD290" s="6">
        <v>50</v>
      </c>
      <c r="AE290" s="6">
        <v>0</v>
      </c>
      <c r="AF290" s="6">
        <v>0</v>
      </c>
      <c r="AG290" s="6">
        <v>72.59</v>
      </c>
      <c r="AH290" s="6">
        <v>94.8</v>
      </c>
      <c r="AI290" s="6">
        <f t="shared" si="8"/>
        <v>22.209999999999994</v>
      </c>
      <c r="AJ290" s="5">
        <f t="shared" si="9"/>
        <v>0.23428270042194088</v>
      </c>
    </row>
    <row r="291" spans="1:36">
      <c r="A291" t="s">
        <v>457</v>
      </c>
      <c r="B291" t="s">
        <v>570</v>
      </c>
      <c r="C291" t="s">
        <v>61</v>
      </c>
      <c r="D291" t="s">
        <v>63</v>
      </c>
      <c r="E291" t="s">
        <v>55</v>
      </c>
      <c r="F291">
        <v>0</v>
      </c>
      <c r="G291">
        <v>2375</v>
      </c>
      <c r="H291">
        <v>1</v>
      </c>
      <c r="I291" t="s">
        <v>173</v>
      </c>
      <c r="J291">
        <v>1</v>
      </c>
      <c r="K291" s="6">
        <v>1.08</v>
      </c>
      <c r="L291" t="s">
        <v>174</v>
      </c>
      <c r="M291">
        <v>0</v>
      </c>
      <c r="N291" t="s">
        <v>182</v>
      </c>
      <c r="O291">
        <v>3</v>
      </c>
      <c r="P291">
        <v>0</v>
      </c>
      <c r="Q291" s="6">
        <v>123</v>
      </c>
      <c r="R291">
        <v>0</v>
      </c>
      <c r="S291" s="6">
        <v>0</v>
      </c>
      <c r="T291">
        <v>0</v>
      </c>
      <c r="U291" s="6">
        <v>1245</v>
      </c>
      <c r="V291">
        <v>0</v>
      </c>
      <c r="W291">
        <v>0</v>
      </c>
      <c r="X291">
        <v>0</v>
      </c>
      <c r="Y291" s="6">
        <v>41.4</v>
      </c>
      <c r="Z291">
        <v>0</v>
      </c>
      <c r="AA291">
        <v>0.112</v>
      </c>
      <c r="AB291">
        <v>3.9E-2</v>
      </c>
      <c r="AC291">
        <v>6</v>
      </c>
      <c r="AD291" s="6">
        <v>50</v>
      </c>
      <c r="AE291" s="6">
        <v>0</v>
      </c>
      <c r="AF291" s="6">
        <v>0</v>
      </c>
      <c r="AG291" s="6">
        <v>59.76</v>
      </c>
      <c r="AH291" s="6">
        <v>78.510000000000005</v>
      </c>
      <c r="AI291" s="6">
        <f t="shared" si="8"/>
        <v>18.750000000000007</v>
      </c>
      <c r="AJ291" s="5">
        <f t="shared" si="9"/>
        <v>0.23882307986243798</v>
      </c>
    </row>
    <row r="292" spans="1:36">
      <c r="A292" t="s">
        <v>298</v>
      </c>
      <c r="B292" t="s">
        <v>571</v>
      </c>
      <c r="C292" t="s">
        <v>61</v>
      </c>
      <c r="D292" t="s">
        <v>63</v>
      </c>
      <c r="E292" t="s">
        <v>55</v>
      </c>
      <c r="F292">
        <v>0</v>
      </c>
      <c r="G292">
        <v>2375</v>
      </c>
      <c r="H292">
        <v>1</v>
      </c>
      <c r="I292" t="s">
        <v>173</v>
      </c>
      <c r="J292">
        <v>1</v>
      </c>
      <c r="K292" s="6">
        <v>1.6</v>
      </c>
      <c r="L292" t="s">
        <v>174</v>
      </c>
      <c r="M292">
        <v>0</v>
      </c>
      <c r="N292" t="s">
        <v>217</v>
      </c>
      <c r="O292">
        <v>4</v>
      </c>
      <c r="P292">
        <v>1</v>
      </c>
      <c r="Q292" s="6">
        <v>165.4</v>
      </c>
      <c r="R292">
        <v>0</v>
      </c>
      <c r="S292" s="6">
        <v>0</v>
      </c>
      <c r="T292">
        <v>0</v>
      </c>
      <c r="U292" s="6">
        <v>357</v>
      </c>
      <c r="V292">
        <v>0</v>
      </c>
      <c r="W292">
        <v>0</v>
      </c>
      <c r="X292">
        <v>0</v>
      </c>
      <c r="Y292" s="6">
        <v>41.4</v>
      </c>
      <c r="Z292">
        <v>0</v>
      </c>
      <c r="AA292">
        <v>0.112</v>
      </c>
      <c r="AB292">
        <v>3.9E-2</v>
      </c>
      <c r="AC292">
        <v>6</v>
      </c>
      <c r="AD292" s="6">
        <v>50</v>
      </c>
      <c r="AE292" s="6">
        <v>0</v>
      </c>
      <c r="AF292" s="6">
        <v>0</v>
      </c>
      <c r="AG292" s="6">
        <v>105.62</v>
      </c>
      <c r="AH292" s="6">
        <v>132.31</v>
      </c>
      <c r="AI292" s="6">
        <f t="shared" si="8"/>
        <v>26.689999999999998</v>
      </c>
      <c r="AJ292" s="5">
        <f t="shared" si="9"/>
        <v>0.20172322575769025</v>
      </c>
    </row>
    <row r="293" spans="1:36">
      <c r="A293" t="s">
        <v>221</v>
      </c>
      <c r="B293" t="s">
        <v>572</v>
      </c>
      <c r="C293" t="s">
        <v>61</v>
      </c>
      <c r="D293" t="s">
        <v>63</v>
      </c>
      <c r="E293" t="s">
        <v>55</v>
      </c>
      <c r="F293">
        <v>0</v>
      </c>
      <c r="G293">
        <v>2375</v>
      </c>
      <c r="H293">
        <v>1</v>
      </c>
      <c r="I293" t="s">
        <v>173</v>
      </c>
      <c r="J293">
        <v>1</v>
      </c>
      <c r="K293" s="6">
        <v>1.54</v>
      </c>
      <c r="L293" t="s">
        <v>174</v>
      </c>
      <c r="M293">
        <v>0</v>
      </c>
      <c r="N293" t="s">
        <v>182</v>
      </c>
      <c r="O293">
        <v>3</v>
      </c>
      <c r="P293">
        <v>1</v>
      </c>
      <c r="Q293" s="6">
        <v>106.4</v>
      </c>
      <c r="R293">
        <v>0</v>
      </c>
      <c r="S293" s="6">
        <v>0</v>
      </c>
      <c r="T293">
        <v>0</v>
      </c>
      <c r="U293" s="6">
        <v>2148</v>
      </c>
      <c r="V293">
        <v>0</v>
      </c>
      <c r="W293">
        <v>0</v>
      </c>
      <c r="X293">
        <v>0</v>
      </c>
      <c r="Y293" s="6">
        <v>41.4</v>
      </c>
      <c r="Z293">
        <v>0</v>
      </c>
      <c r="AA293">
        <v>0.112</v>
      </c>
      <c r="AB293">
        <v>3.9E-2</v>
      </c>
      <c r="AC293">
        <v>6</v>
      </c>
      <c r="AD293" s="6">
        <v>50</v>
      </c>
      <c r="AE293" s="6">
        <v>0</v>
      </c>
      <c r="AF293" s="6">
        <v>0</v>
      </c>
      <c r="AG293" s="6">
        <v>86.03</v>
      </c>
      <c r="AH293" s="6">
        <v>109.92</v>
      </c>
      <c r="AI293" s="6">
        <f t="shared" si="8"/>
        <v>23.89</v>
      </c>
      <c r="AJ293" s="5">
        <f t="shared" si="9"/>
        <v>0.21733988355167394</v>
      </c>
    </row>
    <row r="294" spans="1:36">
      <c r="A294" t="s">
        <v>212</v>
      </c>
      <c r="B294" t="s">
        <v>573</v>
      </c>
      <c r="C294" t="s">
        <v>61</v>
      </c>
      <c r="D294" t="s">
        <v>63</v>
      </c>
      <c r="E294" t="s">
        <v>55</v>
      </c>
      <c r="F294">
        <v>0</v>
      </c>
      <c r="G294">
        <v>2375</v>
      </c>
      <c r="H294">
        <v>1</v>
      </c>
      <c r="I294" t="s">
        <v>173</v>
      </c>
      <c r="J294">
        <v>1</v>
      </c>
      <c r="K294" s="6">
        <v>2.06</v>
      </c>
      <c r="L294" t="s">
        <v>174</v>
      </c>
      <c r="M294">
        <v>0</v>
      </c>
      <c r="N294" t="s">
        <v>187</v>
      </c>
      <c r="O294">
        <v>2</v>
      </c>
      <c r="P294">
        <v>0</v>
      </c>
      <c r="Q294" s="6">
        <v>43.2</v>
      </c>
      <c r="R294">
        <v>0</v>
      </c>
      <c r="S294" s="6">
        <v>0</v>
      </c>
      <c r="T294">
        <v>0</v>
      </c>
      <c r="U294" s="6">
        <v>642</v>
      </c>
      <c r="V294">
        <v>0</v>
      </c>
      <c r="W294">
        <v>0</v>
      </c>
      <c r="X294">
        <v>0</v>
      </c>
      <c r="Y294" s="6">
        <v>41.4</v>
      </c>
      <c r="Z294">
        <v>0</v>
      </c>
      <c r="AA294">
        <v>0.112</v>
      </c>
      <c r="AB294">
        <v>3.9E-2</v>
      </c>
      <c r="AC294">
        <v>6</v>
      </c>
      <c r="AD294" s="6">
        <v>50</v>
      </c>
      <c r="AE294" s="6">
        <v>0</v>
      </c>
      <c r="AF294" s="6">
        <v>0</v>
      </c>
      <c r="AG294" s="6">
        <v>51.65</v>
      </c>
      <c r="AH294" s="6">
        <v>69.23</v>
      </c>
      <c r="AI294" s="6">
        <f t="shared" si="8"/>
        <v>17.580000000000005</v>
      </c>
      <c r="AJ294" s="5">
        <f t="shared" si="9"/>
        <v>0.253936154846165</v>
      </c>
    </row>
    <row r="295" spans="1:36">
      <c r="A295" t="s">
        <v>192</v>
      </c>
      <c r="B295" t="s">
        <v>574</v>
      </c>
      <c r="C295" t="s">
        <v>61</v>
      </c>
      <c r="D295" t="s">
        <v>63</v>
      </c>
      <c r="E295" t="s">
        <v>55</v>
      </c>
      <c r="F295">
        <v>0</v>
      </c>
      <c r="G295">
        <v>2375</v>
      </c>
      <c r="H295">
        <v>1</v>
      </c>
      <c r="I295" t="s">
        <v>173</v>
      </c>
      <c r="J295">
        <v>1</v>
      </c>
      <c r="K295" s="6">
        <v>0.94</v>
      </c>
      <c r="L295" t="s">
        <v>174</v>
      </c>
      <c r="M295">
        <v>0</v>
      </c>
      <c r="N295" t="s">
        <v>187</v>
      </c>
      <c r="O295">
        <v>2</v>
      </c>
      <c r="P295">
        <v>0</v>
      </c>
      <c r="Q295" s="6">
        <v>64.900000000000006</v>
      </c>
      <c r="R295">
        <v>0</v>
      </c>
      <c r="S295" s="6">
        <v>0</v>
      </c>
      <c r="T295">
        <v>0</v>
      </c>
      <c r="U295" s="6">
        <v>978</v>
      </c>
      <c r="V295">
        <v>0</v>
      </c>
      <c r="W295">
        <v>0</v>
      </c>
      <c r="X295">
        <v>0</v>
      </c>
      <c r="Y295" s="6">
        <v>41.4</v>
      </c>
      <c r="Z295">
        <v>0</v>
      </c>
      <c r="AA295">
        <v>0.112</v>
      </c>
      <c r="AB295">
        <v>3.9E-2</v>
      </c>
      <c r="AC295">
        <v>6</v>
      </c>
      <c r="AD295" s="6">
        <v>50</v>
      </c>
      <c r="AE295" s="6">
        <v>0</v>
      </c>
      <c r="AF295" s="6">
        <v>0</v>
      </c>
      <c r="AG295" s="6">
        <v>56.72</v>
      </c>
      <c r="AH295" s="6">
        <v>74.03</v>
      </c>
      <c r="AI295" s="6">
        <f t="shared" si="8"/>
        <v>17.310000000000002</v>
      </c>
      <c r="AJ295" s="5">
        <f t="shared" si="9"/>
        <v>0.23382412535458599</v>
      </c>
    </row>
    <row r="296" spans="1:36">
      <c r="A296" t="s">
        <v>253</v>
      </c>
      <c r="B296" t="s">
        <v>575</v>
      </c>
      <c r="C296" t="s">
        <v>61</v>
      </c>
      <c r="D296" t="s">
        <v>63</v>
      </c>
      <c r="E296" t="s">
        <v>55</v>
      </c>
      <c r="F296">
        <v>0</v>
      </c>
      <c r="G296">
        <v>2375</v>
      </c>
      <c r="H296">
        <v>1</v>
      </c>
      <c r="I296" t="s">
        <v>173</v>
      </c>
      <c r="J296">
        <v>1</v>
      </c>
      <c r="K296" s="6">
        <v>1.06</v>
      </c>
      <c r="L296" t="s">
        <v>174</v>
      </c>
      <c r="M296">
        <v>0</v>
      </c>
      <c r="N296" t="s">
        <v>175</v>
      </c>
      <c r="O296">
        <v>1</v>
      </c>
      <c r="P296">
        <v>0</v>
      </c>
      <c r="Q296" s="6">
        <v>40.700000000000003</v>
      </c>
      <c r="R296">
        <v>0</v>
      </c>
      <c r="S296" s="6">
        <v>0</v>
      </c>
      <c r="T296">
        <v>0</v>
      </c>
      <c r="U296" s="6">
        <v>570</v>
      </c>
      <c r="V296">
        <v>0</v>
      </c>
      <c r="W296">
        <v>0</v>
      </c>
      <c r="X296">
        <v>0</v>
      </c>
      <c r="Y296" s="6">
        <v>41.4</v>
      </c>
      <c r="Z296">
        <v>0</v>
      </c>
      <c r="AA296">
        <v>0.112</v>
      </c>
      <c r="AB296">
        <v>3.9E-2</v>
      </c>
      <c r="AC296">
        <v>6</v>
      </c>
      <c r="AD296" s="6">
        <v>50</v>
      </c>
      <c r="AE296" s="6">
        <v>0</v>
      </c>
      <c r="AF296" s="6">
        <v>0</v>
      </c>
      <c r="AG296" s="6">
        <v>51.38</v>
      </c>
      <c r="AH296" s="6">
        <v>66.08</v>
      </c>
      <c r="AI296" s="6">
        <f t="shared" si="8"/>
        <v>14.699999999999996</v>
      </c>
      <c r="AJ296" s="5">
        <f t="shared" si="9"/>
        <v>0.222457627118644</v>
      </c>
    </row>
    <row r="297" spans="1:36">
      <c r="A297" t="s">
        <v>423</v>
      </c>
      <c r="B297" t="s">
        <v>576</v>
      </c>
      <c r="C297" t="s">
        <v>61</v>
      </c>
      <c r="D297" t="s">
        <v>63</v>
      </c>
      <c r="E297" t="s">
        <v>55</v>
      </c>
      <c r="F297">
        <v>0</v>
      </c>
      <c r="G297">
        <v>2375</v>
      </c>
      <c r="H297">
        <v>1</v>
      </c>
      <c r="I297" t="s">
        <v>173</v>
      </c>
      <c r="J297">
        <v>1</v>
      </c>
      <c r="K297" s="6">
        <v>2.21</v>
      </c>
      <c r="L297" t="s">
        <v>174</v>
      </c>
      <c r="M297">
        <v>0</v>
      </c>
      <c r="N297" t="s">
        <v>175</v>
      </c>
      <c r="O297">
        <v>1</v>
      </c>
      <c r="P297">
        <v>0</v>
      </c>
      <c r="Q297" s="6">
        <v>30.2</v>
      </c>
      <c r="R297">
        <v>0</v>
      </c>
      <c r="S297" s="6">
        <v>0</v>
      </c>
      <c r="T297">
        <v>0</v>
      </c>
      <c r="U297" s="6">
        <v>693</v>
      </c>
      <c r="V297">
        <v>0</v>
      </c>
      <c r="W297">
        <v>0</v>
      </c>
      <c r="X297">
        <v>0</v>
      </c>
      <c r="Y297" s="6">
        <v>41.4</v>
      </c>
      <c r="Z297">
        <v>0</v>
      </c>
      <c r="AA297">
        <v>0.112</v>
      </c>
      <c r="AB297">
        <v>3.9E-2</v>
      </c>
      <c r="AC297">
        <v>6</v>
      </c>
      <c r="AD297" s="6">
        <v>50</v>
      </c>
      <c r="AE297" s="6">
        <v>0</v>
      </c>
      <c r="AF297" s="6">
        <v>0</v>
      </c>
      <c r="AG297" s="6">
        <v>52.39</v>
      </c>
      <c r="AH297" s="6">
        <v>67.650000000000006</v>
      </c>
      <c r="AI297" s="6">
        <f t="shared" si="8"/>
        <v>15.260000000000005</v>
      </c>
      <c r="AJ297" s="5">
        <f t="shared" si="9"/>
        <v>0.22557280118255735</v>
      </c>
    </row>
    <row r="298" spans="1:36">
      <c r="A298" t="s">
        <v>353</v>
      </c>
      <c r="B298" t="s">
        <v>577</v>
      </c>
      <c r="C298" t="s">
        <v>61</v>
      </c>
      <c r="D298" t="s">
        <v>63</v>
      </c>
      <c r="E298" t="s">
        <v>55</v>
      </c>
      <c r="F298">
        <v>0</v>
      </c>
      <c r="G298">
        <v>2375</v>
      </c>
      <c r="H298">
        <v>1</v>
      </c>
      <c r="I298" t="s">
        <v>173</v>
      </c>
      <c r="J298">
        <v>1</v>
      </c>
      <c r="K298" s="6">
        <v>1.4</v>
      </c>
      <c r="L298" t="s">
        <v>174</v>
      </c>
      <c r="M298">
        <v>0</v>
      </c>
      <c r="N298" t="s">
        <v>175</v>
      </c>
      <c r="O298">
        <v>1</v>
      </c>
      <c r="P298">
        <v>0</v>
      </c>
      <c r="Q298" s="6">
        <v>34.9</v>
      </c>
      <c r="R298">
        <v>1</v>
      </c>
      <c r="S298" s="6">
        <v>2126</v>
      </c>
      <c r="T298">
        <v>0</v>
      </c>
      <c r="U298" s="6">
        <v>1433</v>
      </c>
      <c r="V298">
        <v>0</v>
      </c>
      <c r="W298">
        <v>0</v>
      </c>
      <c r="X298">
        <v>0</v>
      </c>
      <c r="Y298" s="6">
        <v>41.4</v>
      </c>
      <c r="Z298">
        <v>0</v>
      </c>
      <c r="AA298">
        <v>0.112</v>
      </c>
      <c r="AB298">
        <v>3.9E-2</v>
      </c>
      <c r="AC298">
        <v>6</v>
      </c>
      <c r="AD298" s="6">
        <v>50</v>
      </c>
      <c r="AE298" s="6">
        <v>40</v>
      </c>
      <c r="AF298" s="6">
        <v>0</v>
      </c>
      <c r="AG298" s="6">
        <v>49.8</v>
      </c>
      <c r="AH298" s="6">
        <v>65.89</v>
      </c>
      <c r="AI298" s="6">
        <f t="shared" si="8"/>
        <v>16.090000000000003</v>
      </c>
      <c r="AJ298" s="5">
        <f t="shared" si="9"/>
        <v>0.24419487023827596</v>
      </c>
    </row>
    <row r="299" spans="1:36">
      <c r="A299" t="s">
        <v>353</v>
      </c>
      <c r="B299" t="s">
        <v>578</v>
      </c>
      <c r="C299" t="s">
        <v>61</v>
      </c>
      <c r="D299" t="s">
        <v>63</v>
      </c>
      <c r="E299" t="s">
        <v>55</v>
      </c>
      <c r="F299">
        <v>0</v>
      </c>
      <c r="G299">
        <v>2375</v>
      </c>
      <c r="H299">
        <v>1</v>
      </c>
      <c r="I299" t="s">
        <v>173</v>
      </c>
      <c r="J299">
        <v>1</v>
      </c>
      <c r="K299" s="6">
        <v>2.2999999999999998</v>
      </c>
      <c r="L299" t="s">
        <v>174</v>
      </c>
      <c r="M299">
        <v>0</v>
      </c>
      <c r="N299" t="s">
        <v>175</v>
      </c>
      <c r="O299">
        <v>1</v>
      </c>
      <c r="P299">
        <v>0</v>
      </c>
      <c r="Q299" s="6">
        <v>28.6</v>
      </c>
      <c r="R299">
        <v>0</v>
      </c>
      <c r="S299" s="6">
        <v>0</v>
      </c>
      <c r="T299">
        <v>0</v>
      </c>
      <c r="U299" s="6">
        <v>384</v>
      </c>
      <c r="V299">
        <v>0</v>
      </c>
      <c r="W299">
        <v>0</v>
      </c>
      <c r="X299">
        <v>0</v>
      </c>
      <c r="Y299" s="6">
        <v>41.4</v>
      </c>
      <c r="Z299">
        <v>0</v>
      </c>
      <c r="AA299">
        <v>0.112</v>
      </c>
      <c r="AB299">
        <v>3.9E-2</v>
      </c>
      <c r="AC299">
        <v>6</v>
      </c>
      <c r="AD299" s="6">
        <v>50</v>
      </c>
      <c r="AE299" s="6">
        <v>0</v>
      </c>
      <c r="AF299" s="6">
        <v>0</v>
      </c>
      <c r="AG299" s="6">
        <v>46.82</v>
      </c>
      <c r="AH299" s="6">
        <v>61.91</v>
      </c>
      <c r="AI299" s="6">
        <f t="shared" si="8"/>
        <v>15.089999999999996</v>
      </c>
      <c r="AJ299" s="5">
        <f t="shared" si="9"/>
        <v>0.24374091423033431</v>
      </c>
    </row>
    <row r="300" spans="1:36">
      <c r="A300" t="s">
        <v>579</v>
      </c>
      <c r="B300" t="s">
        <v>580</v>
      </c>
      <c r="C300" t="s">
        <v>61</v>
      </c>
      <c r="D300" t="s">
        <v>63</v>
      </c>
      <c r="E300" t="s">
        <v>55</v>
      </c>
      <c r="F300">
        <v>0</v>
      </c>
      <c r="G300">
        <v>2375</v>
      </c>
      <c r="H300">
        <v>1</v>
      </c>
      <c r="I300" t="s">
        <v>173</v>
      </c>
      <c r="J300">
        <v>1</v>
      </c>
      <c r="K300" s="6">
        <v>1.78</v>
      </c>
      <c r="L300" t="s">
        <v>174</v>
      </c>
      <c r="M300">
        <v>0</v>
      </c>
      <c r="N300" t="s">
        <v>175</v>
      </c>
      <c r="O300">
        <v>1</v>
      </c>
      <c r="P300">
        <v>1</v>
      </c>
      <c r="Q300" s="6">
        <v>20.7</v>
      </c>
      <c r="R300">
        <v>0</v>
      </c>
      <c r="S300" s="6">
        <v>0</v>
      </c>
      <c r="T300">
        <v>0</v>
      </c>
      <c r="U300" s="6">
        <v>953</v>
      </c>
      <c r="V300">
        <v>0</v>
      </c>
      <c r="W300">
        <v>0</v>
      </c>
      <c r="X300">
        <v>0</v>
      </c>
      <c r="Y300" s="6">
        <v>41.4</v>
      </c>
      <c r="Z300">
        <v>0</v>
      </c>
      <c r="AA300">
        <v>0.112</v>
      </c>
      <c r="AB300">
        <v>3.9E-2</v>
      </c>
      <c r="AC300">
        <v>6</v>
      </c>
      <c r="AD300" s="6">
        <v>50</v>
      </c>
      <c r="AE300" s="6">
        <v>0</v>
      </c>
      <c r="AF300" s="6">
        <v>0</v>
      </c>
      <c r="AG300" s="6">
        <v>71.84</v>
      </c>
      <c r="AH300" s="6">
        <v>92.02</v>
      </c>
      <c r="AI300" s="6">
        <f t="shared" si="8"/>
        <v>20.179999999999993</v>
      </c>
      <c r="AJ300" s="5">
        <f t="shared" si="9"/>
        <v>0.21930015214083887</v>
      </c>
    </row>
    <row r="301" spans="1:36">
      <c r="A301" t="s">
        <v>345</v>
      </c>
      <c r="B301" t="s">
        <v>581</v>
      </c>
      <c r="C301" t="s">
        <v>61</v>
      </c>
      <c r="D301" t="s">
        <v>63</v>
      </c>
      <c r="E301" t="s">
        <v>55</v>
      </c>
      <c r="F301">
        <v>0</v>
      </c>
      <c r="G301">
        <v>2375</v>
      </c>
      <c r="H301">
        <v>1</v>
      </c>
      <c r="I301" t="s">
        <v>173</v>
      </c>
      <c r="J301">
        <v>1</v>
      </c>
      <c r="K301" s="6">
        <v>2.1</v>
      </c>
      <c r="L301" t="s">
        <v>174</v>
      </c>
      <c r="M301">
        <v>0</v>
      </c>
      <c r="N301" t="s">
        <v>187</v>
      </c>
      <c r="O301">
        <v>2</v>
      </c>
      <c r="P301">
        <v>1</v>
      </c>
      <c r="Q301" s="6">
        <v>54.8</v>
      </c>
      <c r="R301">
        <v>0</v>
      </c>
      <c r="S301" s="6">
        <v>0</v>
      </c>
      <c r="T301">
        <v>0</v>
      </c>
      <c r="U301" s="6">
        <v>2590</v>
      </c>
      <c r="V301">
        <v>0</v>
      </c>
      <c r="W301">
        <v>0</v>
      </c>
      <c r="X301">
        <v>0</v>
      </c>
      <c r="Y301" s="6">
        <v>41.4</v>
      </c>
      <c r="Z301">
        <v>0</v>
      </c>
      <c r="AA301">
        <v>0.112</v>
      </c>
      <c r="AB301">
        <v>3.9E-2</v>
      </c>
      <c r="AC301">
        <v>6</v>
      </c>
      <c r="AD301" s="6">
        <v>50</v>
      </c>
      <c r="AE301" s="6">
        <v>0</v>
      </c>
      <c r="AF301" s="6">
        <v>0</v>
      </c>
      <c r="AG301" s="6">
        <v>74.53</v>
      </c>
      <c r="AH301" s="6">
        <v>97.8</v>
      </c>
      <c r="AI301" s="6">
        <f t="shared" si="8"/>
        <v>23.269999999999996</v>
      </c>
      <c r="AJ301" s="5">
        <f t="shared" si="9"/>
        <v>0.23793456032719834</v>
      </c>
    </row>
    <row r="302" spans="1:36">
      <c r="A302" t="s">
        <v>350</v>
      </c>
      <c r="B302" t="s">
        <v>582</v>
      </c>
      <c r="C302" t="s">
        <v>61</v>
      </c>
      <c r="D302" t="s">
        <v>63</v>
      </c>
      <c r="E302" t="s">
        <v>55</v>
      </c>
      <c r="F302">
        <v>0</v>
      </c>
      <c r="G302">
        <v>2375</v>
      </c>
      <c r="H302">
        <v>1</v>
      </c>
      <c r="I302" t="s">
        <v>173</v>
      </c>
      <c r="J302">
        <v>1</v>
      </c>
      <c r="K302" s="6">
        <v>1.75</v>
      </c>
      <c r="L302" t="s">
        <v>174</v>
      </c>
      <c r="M302">
        <v>0</v>
      </c>
      <c r="N302" t="s">
        <v>175</v>
      </c>
      <c r="O302">
        <v>1</v>
      </c>
      <c r="P302">
        <v>0</v>
      </c>
      <c r="Q302" s="6">
        <v>21</v>
      </c>
      <c r="R302">
        <v>1</v>
      </c>
      <c r="S302" s="6">
        <v>596</v>
      </c>
      <c r="T302">
        <v>0</v>
      </c>
      <c r="U302" s="6">
        <v>594</v>
      </c>
      <c r="V302">
        <v>1</v>
      </c>
      <c r="W302">
        <v>0</v>
      </c>
      <c r="X302">
        <v>0</v>
      </c>
      <c r="Y302" s="6">
        <v>41.4</v>
      </c>
      <c r="Z302">
        <v>0</v>
      </c>
      <c r="AA302">
        <v>0.112</v>
      </c>
      <c r="AB302">
        <v>3.9E-2</v>
      </c>
      <c r="AC302">
        <v>6</v>
      </c>
      <c r="AD302" s="6">
        <v>50</v>
      </c>
      <c r="AE302" s="6">
        <v>25</v>
      </c>
      <c r="AF302" s="6">
        <v>0</v>
      </c>
      <c r="AG302" s="6">
        <v>94.64</v>
      </c>
      <c r="AH302" s="6">
        <v>119.01</v>
      </c>
      <c r="AI302" s="6">
        <f t="shared" si="8"/>
        <v>24.370000000000005</v>
      </c>
      <c r="AJ302" s="5">
        <f t="shared" si="9"/>
        <v>0.20477270817578358</v>
      </c>
    </row>
    <row r="303" spans="1:36">
      <c r="A303" t="s">
        <v>291</v>
      </c>
      <c r="B303" t="s">
        <v>583</v>
      </c>
      <c r="C303" t="s">
        <v>61</v>
      </c>
      <c r="D303" t="s">
        <v>63</v>
      </c>
      <c r="E303" t="s">
        <v>55</v>
      </c>
      <c r="F303">
        <v>0</v>
      </c>
      <c r="G303">
        <v>2375</v>
      </c>
      <c r="H303">
        <v>1</v>
      </c>
      <c r="I303" t="s">
        <v>220</v>
      </c>
      <c r="J303">
        <v>2</v>
      </c>
      <c r="K303" s="6">
        <v>3.95</v>
      </c>
      <c r="L303" t="s">
        <v>174</v>
      </c>
      <c r="M303">
        <v>0</v>
      </c>
      <c r="N303" t="s">
        <v>182</v>
      </c>
      <c r="O303">
        <v>3</v>
      </c>
      <c r="P303">
        <v>0</v>
      </c>
      <c r="Q303" s="6">
        <v>86.6</v>
      </c>
      <c r="R303">
        <v>0</v>
      </c>
      <c r="S303" s="6">
        <v>0</v>
      </c>
      <c r="T303">
        <v>0</v>
      </c>
      <c r="U303" s="6">
        <v>691</v>
      </c>
      <c r="V303">
        <v>0</v>
      </c>
      <c r="W303">
        <v>0</v>
      </c>
      <c r="X303">
        <v>0</v>
      </c>
      <c r="Y303" s="6">
        <v>41.4</v>
      </c>
      <c r="Z303">
        <v>0</v>
      </c>
      <c r="AA303">
        <v>0.112</v>
      </c>
      <c r="AB303">
        <v>3.9E-2</v>
      </c>
      <c r="AC303">
        <v>6</v>
      </c>
      <c r="AD303" s="6">
        <v>50</v>
      </c>
      <c r="AE303" s="6">
        <v>0</v>
      </c>
      <c r="AF303" s="6">
        <v>0</v>
      </c>
      <c r="AG303" s="6">
        <v>70.989999999999995</v>
      </c>
      <c r="AH303" s="6">
        <v>89.82</v>
      </c>
      <c r="AI303" s="6">
        <f t="shared" si="8"/>
        <v>18.829999999999998</v>
      </c>
      <c r="AJ303" s="5">
        <f t="shared" si="9"/>
        <v>0.2096415052326876</v>
      </c>
    </row>
    <row r="304" spans="1:36">
      <c r="A304" t="s">
        <v>481</v>
      </c>
      <c r="B304" t="s">
        <v>584</v>
      </c>
      <c r="C304" t="s">
        <v>61</v>
      </c>
      <c r="D304" t="s">
        <v>63</v>
      </c>
      <c r="E304" t="s">
        <v>55</v>
      </c>
      <c r="F304">
        <v>0</v>
      </c>
      <c r="G304">
        <v>2375</v>
      </c>
      <c r="H304">
        <v>1</v>
      </c>
      <c r="I304" t="s">
        <v>173</v>
      </c>
      <c r="J304">
        <v>1</v>
      </c>
      <c r="K304" s="6">
        <v>2.11</v>
      </c>
      <c r="L304" t="s">
        <v>174</v>
      </c>
      <c r="M304">
        <v>0</v>
      </c>
      <c r="N304" t="s">
        <v>182</v>
      </c>
      <c r="O304">
        <v>3</v>
      </c>
      <c r="P304">
        <v>0</v>
      </c>
      <c r="Q304" s="6">
        <v>80.3</v>
      </c>
      <c r="R304">
        <v>0</v>
      </c>
      <c r="S304" s="6">
        <v>0</v>
      </c>
      <c r="T304">
        <v>0</v>
      </c>
      <c r="U304" s="6">
        <v>1454</v>
      </c>
      <c r="V304">
        <v>0</v>
      </c>
      <c r="W304">
        <v>0</v>
      </c>
      <c r="X304">
        <v>0</v>
      </c>
      <c r="Y304" s="6">
        <v>41.4</v>
      </c>
      <c r="Z304">
        <v>0</v>
      </c>
      <c r="AA304">
        <v>0.112</v>
      </c>
      <c r="AB304">
        <v>3.9E-2</v>
      </c>
      <c r="AC304">
        <v>6</v>
      </c>
      <c r="AD304" s="6">
        <v>50</v>
      </c>
      <c r="AE304" s="6">
        <v>0</v>
      </c>
      <c r="AF304" s="6">
        <v>0</v>
      </c>
      <c r="AG304" s="6">
        <v>64.14</v>
      </c>
      <c r="AH304" s="6">
        <v>81.67</v>
      </c>
      <c r="AI304" s="6">
        <f t="shared" si="8"/>
        <v>17.53</v>
      </c>
      <c r="AJ304" s="5">
        <f t="shared" si="9"/>
        <v>0.21464430023264358</v>
      </c>
    </row>
    <row r="305" spans="1:36">
      <c r="A305" t="s">
        <v>204</v>
      </c>
      <c r="B305" t="s">
        <v>585</v>
      </c>
      <c r="C305" t="s">
        <v>61</v>
      </c>
      <c r="D305" t="s">
        <v>63</v>
      </c>
      <c r="E305" t="s">
        <v>55</v>
      </c>
      <c r="F305">
        <v>0</v>
      </c>
      <c r="G305">
        <v>2375</v>
      </c>
      <c r="H305">
        <v>1</v>
      </c>
      <c r="I305" t="s">
        <v>173</v>
      </c>
      <c r="J305">
        <v>1</v>
      </c>
      <c r="K305" s="6">
        <v>1.72</v>
      </c>
      <c r="L305" t="s">
        <v>174</v>
      </c>
      <c r="M305">
        <v>0</v>
      </c>
      <c r="N305" t="s">
        <v>187</v>
      </c>
      <c r="O305">
        <v>2</v>
      </c>
      <c r="P305">
        <v>0</v>
      </c>
      <c r="Q305" s="6">
        <v>48.4</v>
      </c>
      <c r="R305">
        <v>0</v>
      </c>
      <c r="S305" s="6">
        <v>0</v>
      </c>
      <c r="T305">
        <v>0</v>
      </c>
      <c r="U305" s="6">
        <v>473</v>
      </c>
      <c r="V305">
        <v>0</v>
      </c>
      <c r="W305">
        <v>0</v>
      </c>
      <c r="X305">
        <v>0</v>
      </c>
      <c r="Y305" s="6">
        <v>41.4</v>
      </c>
      <c r="Z305">
        <v>0</v>
      </c>
      <c r="AA305">
        <v>0.112</v>
      </c>
      <c r="AB305">
        <v>3.9E-2</v>
      </c>
      <c r="AC305">
        <v>6</v>
      </c>
      <c r="AD305" s="6">
        <v>50</v>
      </c>
      <c r="AE305" s="6">
        <v>0</v>
      </c>
      <c r="AF305" s="6">
        <v>0</v>
      </c>
      <c r="AG305" s="6">
        <v>57.53</v>
      </c>
      <c r="AH305" s="6">
        <v>72.39</v>
      </c>
      <c r="AI305" s="6">
        <f t="shared" si="8"/>
        <v>14.86</v>
      </c>
      <c r="AJ305" s="5">
        <f t="shared" si="9"/>
        <v>0.20527697195745268</v>
      </c>
    </row>
    <row r="306" spans="1:36">
      <c r="A306" t="s">
        <v>397</v>
      </c>
      <c r="B306" t="s">
        <v>586</v>
      </c>
      <c r="C306" t="s">
        <v>61</v>
      </c>
      <c r="D306" t="s">
        <v>63</v>
      </c>
      <c r="E306" t="s">
        <v>55</v>
      </c>
      <c r="F306">
        <v>0</v>
      </c>
      <c r="G306">
        <v>2375</v>
      </c>
      <c r="H306">
        <v>1</v>
      </c>
      <c r="I306" t="s">
        <v>173</v>
      </c>
      <c r="J306">
        <v>1</v>
      </c>
      <c r="K306" s="6">
        <v>1.76</v>
      </c>
      <c r="L306" t="s">
        <v>174</v>
      </c>
      <c r="M306">
        <v>0</v>
      </c>
      <c r="N306" t="s">
        <v>175</v>
      </c>
      <c r="O306">
        <v>1</v>
      </c>
      <c r="P306">
        <v>0</v>
      </c>
      <c r="Q306" s="6">
        <v>29.4</v>
      </c>
      <c r="R306">
        <v>0</v>
      </c>
      <c r="S306" s="6">
        <v>0</v>
      </c>
      <c r="T306">
        <v>0</v>
      </c>
      <c r="U306" s="6">
        <v>525</v>
      </c>
      <c r="V306">
        <v>0</v>
      </c>
      <c r="W306">
        <v>0</v>
      </c>
      <c r="X306">
        <v>0</v>
      </c>
      <c r="Y306" s="6">
        <v>41.4</v>
      </c>
      <c r="Z306">
        <v>0</v>
      </c>
      <c r="AA306">
        <v>0.112</v>
      </c>
      <c r="AB306">
        <v>3.9E-2</v>
      </c>
      <c r="AC306">
        <v>6</v>
      </c>
      <c r="AD306" s="6">
        <v>50</v>
      </c>
      <c r="AE306" s="6">
        <v>0</v>
      </c>
      <c r="AF306" s="6">
        <v>0</v>
      </c>
      <c r="AG306" s="6">
        <v>51.87</v>
      </c>
      <c r="AH306" s="6">
        <v>64.87</v>
      </c>
      <c r="AI306" s="6">
        <f t="shared" si="8"/>
        <v>13.000000000000007</v>
      </c>
      <c r="AJ306" s="5">
        <f t="shared" si="9"/>
        <v>0.2004008016032065</v>
      </c>
    </row>
    <row r="307" spans="1:36">
      <c r="A307" t="s">
        <v>223</v>
      </c>
      <c r="B307" t="s">
        <v>587</v>
      </c>
      <c r="C307" t="s">
        <v>61</v>
      </c>
      <c r="D307" t="s">
        <v>63</v>
      </c>
      <c r="E307" t="s">
        <v>55</v>
      </c>
      <c r="F307">
        <v>0</v>
      </c>
      <c r="G307">
        <v>2375</v>
      </c>
      <c r="H307">
        <v>1</v>
      </c>
      <c r="I307" t="s">
        <v>173</v>
      </c>
      <c r="J307">
        <v>1</v>
      </c>
      <c r="K307" s="6">
        <v>0.96</v>
      </c>
      <c r="L307" t="s">
        <v>174</v>
      </c>
      <c r="M307">
        <v>0</v>
      </c>
      <c r="N307" t="s">
        <v>182</v>
      </c>
      <c r="O307">
        <v>3</v>
      </c>
      <c r="P307">
        <v>0</v>
      </c>
      <c r="Q307" s="6">
        <v>91.3</v>
      </c>
      <c r="R307">
        <v>1</v>
      </c>
      <c r="S307" s="6">
        <v>744</v>
      </c>
      <c r="T307">
        <v>0</v>
      </c>
      <c r="U307" s="6">
        <v>950</v>
      </c>
      <c r="V307">
        <v>0</v>
      </c>
      <c r="W307">
        <v>0</v>
      </c>
      <c r="X307">
        <v>0</v>
      </c>
      <c r="Y307" s="6">
        <v>41.4</v>
      </c>
      <c r="Z307">
        <v>0</v>
      </c>
      <c r="AA307">
        <v>0.112</v>
      </c>
      <c r="AB307">
        <v>3.9E-2</v>
      </c>
      <c r="AC307">
        <v>6</v>
      </c>
      <c r="AD307" s="6">
        <v>50</v>
      </c>
      <c r="AE307" s="6">
        <v>25</v>
      </c>
      <c r="AF307" s="6">
        <v>0</v>
      </c>
      <c r="AG307" s="6">
        <v>58.36</v>
      </c>
      <c r="AH307" s="6">
        <v>73.75</v>
      </c>
      <c r="AI307" s="6">
        <f t="shared" si="8"/>
        <v>15.39</v>
      </c>
      <c r="AJ307" s="5">
        <f t="shared" si="9"/>
        <v>0.20867796610169492</v>
      </c>
    </row>
    <row r="308" spans="1:36">
      <c r="A308" t="s">
        <v>230</v>
      </c>
      <c r="B308" t="s">
        <v>588</v>
      </c>
      <c r="C308" t="s">
        <v>61</v>
      </c>
      <c r="D308" t="s">
        <v>63</v>
      </c>
      <c r="E308" t="s">
        <v>55</v>
      </c>
      <c r="F308">
        <v>0</v>
      </c>
      <c r="G308">
        <v>2375</v>
      </c>
      <c r="H308">
        <v>1</v>
      </c>
      <c r="I308" t="s">
        <v>173</v>
      </c>
      <c r="J308">
        <v>1</v>
      </c>
      <c r="K308" s="6">
        <v>1.53</v>
      </c>
      <c r="L308" t="s">
        <v>174</v>
      </c>
      <c r="M308">
        <v>0</v>
      </c>
      <c r="N308" t="s">
        <v>187</v>
      </c>
      <c r="O308">
        <v>2</v>
      </c>
      <c r="P308">
        <v>0</v>
      </c>
      <c r="Q308" s="6">
        <v>58.2</v>
      </c>
      <c r="R308">
        <v>1</v>
      </c>
      <c r="S308" s="6">
        <v>4271</v>
      </c>
      <c r="T308">
        <v>0</v>
      </c>
      <c r="U308" s="6">
        <v>701</v>
      </c>
      <c r="V308">
        <v>0</v>
      </c>
      <c r="W308">
        <v>0</v>
      </c>
      <c r="X308">
        <v>0</v>
      </c>
      <c r="Y308" s="6">
        <v>41.4</v>
      </c>
      <c r="Z308">
        <v>0</v>
      </c>
      <c r="AA308">
        <v>0.112</v>
      </c>
      <c r="AB308">
        <v>3.9E-2</v>
      </c>
      <c r="AC308">
        <v>6</v>
      </c>
      <c r="AD308" s="6">
        <v>50</v>
      </c>
      <c r="AE308" s="6">
        <v>40</v>
      </c>
      <c r="AF308" s="6">
        <v>0</v>
      </c>
      <c r="AG308" s="6">
        <v>55.85</v>
      </c>
      <c r="AH308" s="6">
        <v>72.28</v>
      </c>
      <c r="AI308" s="6">
        <f t="shared" si="8"/>
        <v>16.43</v>
      </c>
      <c r="AJ308" s="5">
        <f t="shared" si="9"/>
        <v>0.22731045932484781</v>
      </c>
    </row>
    <row r="309" spans="1:36">
      <c r="A309" t="s">
        <v>298</v>
      </c>
      <c r="B309" t="s">
        <v>589</v>
      </c>
      <c r="C309" t="s">
        <v>61</v>
      </c>
      <c r="D309" t="s">
        <v>63</v>
      </c>
      <c r="E309" t="s">
        <v>55</v>
      </c>
      <c r="F309">
        <v>0</v>
      </c>
      <c r="G309">
        <v>2375</v>
      </c>
      <c r="H309">
        <v>1</v>
      </c>
      <c r="I309" t="s">
        <v>181</v>
      </c>
      <c r="J309">
        <v>3</v>
      </c>
      <c r="K309" s="6">
        <v>10.01</v>
      </c>
      <c r="L309" t="s">
        <v>174</v>
      </c>
      <c r="M309">
        <v>0</v>
      </c>
      <c r="N309" t="s">
        <v>175</v>
      </c>
      <c r="O309">
        <v>1</v>
      </c>
      <c r="P309">
        <v>0</v>
      </c>
      <c r="Q309" s="6">
        <v>43.2</v>
      </c>
      <c r="R309">
        <v>0</v>
      </c>
      <c r="S309" s="6">
        <v>0</v>
      </c>
      <c r="T309">
        <v>0</v>
      </c>
      <c r="U309" s="6">
        <v>1485</v>
      </c>
      <c r="V309">
        <v>0</v>
      </c>
      <c r="W309">
        <v>0</v>
      </c>
      <c r="X309">
        <v>0</v>
      </c>
      <c r="Y309" s="6">
        <v>41.4</v>
      </c>
      <c r="Z309">
        <v>0</v>
      </c>
      <c r="AA309">
        <v>0.112</v>
      </c>
      <c r="AB309">
        <v>3.9E-2</v>
      </c>
      <c r="AC309">
        <v>6</v>
      </c>
      <c r="AD309" s="6">
        <v>60</v>
      </c>
      <c r="AE309" s="6">
        <v>0</v>
      </c>
      <c r="AF309" s="6">
        <v>0</v>
      </c>
      <c r="AG309" s="6">
        <v>98.65</v>
      </c>
      <c r="AH309" s="6">
        <v>123.93</v>
      </c>
      <c r="AI309" s="6">
        <f t="shared" si="8"/>
        <v>25.28</v>
      </c>
      <c r="AJ309" s="5">
        <f t="shared" si="9"/>
        <v>0.20398612119745016</v>
      </c>
    </row>
    <row r="310" spans="1:36">
      <c r="A310" t="s">
        <v>579</v>
      </c>
      <c r="B310" t="s">
        <v>590</v>
      </c>
      <c r="C310" t="s">
        <v>61</v>
      </c>
      <c r="D310" t="s">
        <v>63</v>
      </c>
      <c r="E310" t="s">
        <v>55</v>
      </c>
      <c r="F310">
        <v>0</v>
      </c>
      <c r="G310">
        <v>2375</v>
      </c>
      <c r="H310">
        <v>1</v>
      </c>
      <c r="I310" t="s">
        <v>173</v>
      </c>
      <c r="J310">
        <v>1</v>
      </c>
      <c r="K310" s="6">
        <v>0.98</v>
      </c>
      <c r="L310" t="s">
        <v>174</v>
      </c>
      <c r="M310">
        <v>0</v>
      </c>
      <c r="N310" t="s">
        <v>217</v>
      </c>
      <c r="O310">
        <v>4</v>
      </c>
      <c r="P310">
        <v>1</v>
      </c>
      <c r="Q310" s="6">
        <v>170.2</v>
      </c>
      <c r="R310">
        <v>0</v>
      </c>
      <c r="S310" s="6">
        <v>0</v>
      </c>
      <c r="T310">
        <v>0</v>
      </c>
      <c r="U310" s="6">
        <v>1283</v>
      </c>
      <c r="V310">
        <v>0</v>
      </c>
      <c r="W310">
        <v>0</v>
      </c>
      <c r="X310">
        <v>0</v>
      </c>
      <c r="Y310" s="6">
        <v>41.4</v>
      </c>
      <c r="Z310">
        <v>0</v>
      </c>
      <c r="AA310">
        <v>0.112</v>
      </c>
      <c r="AB310">
        <v>3.9E-2</v>
      </c>
      <c r="AC310">
        <v>6</v>
      </c>
      <c r="AD310" s="6">
        <v>50</v>
      </c>
      <c r="AE310" s="6">
        <v>0</v>
      </c>
      <c r="AF310" s="6">
        <v>0</v>
      </c>
      <c r="AG310" s="6">
        <v>98.12</v>
      </c>
      <c r="AH310" s="6">
        <v>124.61</v>
      </c>
      <c r="AI310" s="6">
        <f t="shared" si="8"/>
        <v>26.489999999999995</v>
      </c>
      <c r="AJ310" s="5">
        <f t="shared" si="9"/>
        <v>0.21258325977048387</v>
      </c>
    </row>
    <row r="311" spans="1:36">
      <c r="A311" t="s">
        <v>240</v>
      </c>
      <c r="B311" t="s">
        <v>591</v>
      </c>
      <c r="C311" t="s">
        <v>61</v>
      </c>
      <c r="D311" t="s">
        <v>63</v>
      </c>
      <c r="E311" t="s">
        <v>55</v>
      </c>
      <c r="F311">
        <v>0</v>
      </c>
      <c r="G311">
        <v>2375</v>
      </c>
      <c r="H311">
        <v>1</v>
      </c>
      <c r="I311" t="s">
        <v>173</v>
      </c>
      <c r="J311">
        <v>1</v>
      </c>
      <c r="K311" s="6">
        <v>2.33</v>
      </c>
      <c r="L311" t="s">
        <v>174</v>
      </c>
      <c r="M311">
        <v>0</v>
      </c>
      <c r="N311" t="s">
        <v>182</v>
      </c>
      <c r="O311">
        <v>3</v>
      </c>
      <c r="P311">
        <v>0</v>
      </c>
      <c r="Q311" s="6">
        <v>85.3</v>
      </c>
      <c r="R311">
        <v>0</v>
      </c>
      <c r="S311" s="6">
        <v>0</v>
      </c>
      <c r="T311">
        <v>0</v>
      </c>
      <c r="U311" s="6">
        <v>1701</v>
      </c>
      <c r="V311">
        <v>0</v>
      </c>
      <c r="W311">
        <v>0</v>
      </c>
      <c r="X311">
        <v>0</v>
      </c>
      <c r="Y311" s="6">
        <v>41.4</v>
      </c>
      <c r="Z311">
        <v>0</v>
      </c>
      <c r="AA311">
        <v>0.112</v>
      </c>
      <c r="AB311">
        <v>3.9E-2</v>
      </c>
      <c r="AC311">
        <v>6</v>
      </c>
      <c r="AD311" s="6">
        <v>50</v>
      </c>
      <c r="AE311" s="6">
        <v>0</v>
      </c>
      <c r="AF311" s="6">
        <v>0</v>
      </c>
      <c r="AG311" s="6">
        <v>66.150000000000006</v>
      </c>
      <c r="AH311" s="6">
        <v>82.92</v>
      </c>
      <c r="AI311" s="6">
        <f t="shared" si="8"/>
        <v>16.769999999999996</v>
      </c>
      <c r="AJ311" s="5">
        <f t="shared" si="9"/>
        <v>0.2022431259044862</v>
      </c>
    </row>
    <row r="312" spans="1:36">
      <c r="A312" t="s">
        <v>330</v>
      </c>
      <c r="B312" t="s">
        <v>592</v>
      </c>
      <c r="C312" t="s">
        <v>61</v>
      </c>
      <c r="D312" t="s">
        <v>63</v>
      </c>
      <c r="E312" t="s">
        <v>55</v>
      </c>
      <c r="F312">
        <v>0</v>
      </c>
      <c r="G312">
        <v>2375</v>
      </c>
      <c r="H312">
        <v>1</v>
      </c>
      <c r="I312" t="s">
        <v>173</v>
      </c>
      <c r="J312">
        <v>1</v>
      </c>
      <c r="K312" s="6">
        <v>1.19</v>
      </c>
      <c r="L312" t="s">
        <v>174</v>
      </c>
      <c r="M312">
        <v>0</v>
      </c>
      <c r="N312" t="s">
        <v>175</v>
      </c>
      <c r="O312">
        <v>1</v>
      </c>
      <c r="P312">
        <v>0</v>
      </c>
      <c r="Q312" s="6">
        <v>20.3</v>
      </c>
      <c r="R312">
        <v>1</v>
      </c>
      <c r="S312" s="6">
        <v>1739</v>
      </c>
      <c r="T312">
        <v>0</v>
      </c>
      <c r="U312" s="6">
        <v>982</v>
      </c>
      <c r="V312">
        <v>0</v>
      </c>
      <c r="W312">
        <v>0</v>
      </c>
      <c r="X312">
        <v>0</v>
      </c>
      <c r="Y312" s="6">
        <v>41.4</v>
      </c>
      <c r="Z312">
        <v>0</v>
      </c>
      <c r="AA312">
        <v>0.112</v>
      </c>
      <c r="AB312">
        <v>3.9E-2</v>
      </c>
      <c r="AC312">
        <v>6</v>
      </c>
      <c r="AD312" s="6">
        <v>50</v>
      </c>
      <c r="AE312" s="6">
        <v>25</v>
      </c>
      <c r="AF312" s="6">
        <v>0</v>
      </c>
      <c r="AG312" s="6">
        <v>50.52</v>
      </c>
      <c r="AH312" s="6">
        <v>65.92</v>
      </c>
      <c r="AI312" s="6">
        <f t="shared" si="8"/>
        <v>15.399999999999999</v>
      </c>
      <c r="AJ312" s="5">
        <f t="shared" si="9"/>
        <v>0.23361650485436891</v>
      </c>
    </row>
    <row r="313" spans="1:36">
      <c r="A313" t="s">
        <v>190</v>
      </c>
      <c r="B313" t="s">
        <v>593</v>
      </c>
      <c r="C313" t="s">
        <v>61</v>
      </c>
      <c r="D313" t="s">
        <v>63</v>
      </c>
      <c r="E313" t="s">
        <v>55</v>
      </c>
      <c r="F313">
        <v>0</v>
      </c>
      <c r="G313">
        <v>2375</v>
      </c>
      <c r="H313">
        <v>1</v>
      </c>
      <c r="I313" t="s">
        <v>173</v>
      </c>
      <c r="J313">
        <v>1</v>
      </c>
      <c r="K313" s="6">
        <v>1.33</v>
      </c>
      <c r="L313" t="s">
        <v>174</v>
      </c>
      <c r="M313">
        <v>0</v>
      </c>
      <c r="N313" t="s">
        <v>182</v>
      </c>
      <c r="O313">
        <v>3</v>
      </c>
      <c r="P313">
        <v>0</v>
      </c>
      <c r="Q313" s="6">
        <v>45.1</v>
      </c>
      <c r="R313">
        <v>0</v>
      </c>
      <c r="S313" s="6">
        <v>0</v>
      </c>
      <c r="T313">
        <v>0</v>
      </c>
      <c r="U313" s="6">
        <v>2223</v>
      </c>
      <c r="V313">
        <v>0</v>
      </c>
      <c r="W313">
        <v>0</v>
      </c>
      <c r="X313">
        <v>0</v>
      </c>
      <c r="Y313" s="6">
        <v>41.4</v>
      </c>
      <c r="Z313">
        <v>0</v>
      </c>
      <c r="AA313">
        <v>0.112</v>
      </c>
      <c r="AB313">
        <v>3.9E-2</v>
      </c>
      <c r="AC313">
        <v>6</v>
      </c>
      <c r="AD313" s="6">
        <v>50</v>
      </c>
      <c r="AE313" s="6">
        <v>0</v>
      </c>
      <c r="AF313" s="6">
        <v>0</v>
      </c>
      <c r="AG313" s="6">
        <v>65.39</v>
      </c>
      <c r="AH313" s="6">
        <v>83.12</v>
      </c>
      <c r="AI313" s="6">
        <f t="shared" si="8"/>
        <v>17.730000000000004</v>
      </c>
      <c r="AJ313" s="5">
        <f t="shared" si="9"/>
        <v>0.21330606352261794</v>
      </c>
    </row>
    <row r="314" spans="1:36">
      <c r="A314" t="s">
        <v>411</v>
      </c>
      <c r="B314" t="s">
        <v>594</v>
      </c>
      <c r="C314" t="s">
        <v>61</v>
      </c>
      <c r="D314" t="s">
        <v>63</v>
      </c>
      <c r="E314" t="s">
        <v>55</v>
      </c>
      <c r="F314">
        <v>0</v>
      </c>
      <c r="G314">
        <v>2375</v>
      </c>
      <c r="H314">
        <v>1</v>
      </c>
      <c r="I314" t="s">
        <v>173</v>
      </c>
      <c r="J314">
        <v>1</v>
      </c>
      <c r="K314" s="6">
        <v>0.99</v>
      </c>
      <c r="L314" t="s">
        <v>174</v>
      </c>
      <c r="M314">
        <v>0</v>
      </c>
      <c r="N314" t="s">
        <v>187</v>
      </c>
      <c r="O314">
        <v>2</v>
      </c>
      <c r="P314">
        <v>0</v>
      </c>
      <c r="Q314" s="6">
        <v>43.2</v>
      </c>
      <c r="R314">
        <v>0</v>
      </c>
      <c r="S314" s="6">
        <v>0</v>
      </c>
      <c r="T314">
        <v>0</v>
      </c>
      <c r="U314" s="6">
        <v>877</v>
      </c>
      <c r="V314">
        <v>0</v>
      </c>
      <c r="W314">
        <v>0</v>
      </c>
      <c r="X314">
        <v>0</v>
      </c>
      <c r="Y314" s="6">
        <v>41.4</v>
      </c>
      <c r="Z314">
        <v>0</v>
      </c>
      <c r="AA314">
        <v>0.112</v>
      </c>
      <c r="AB314">
        <v>3.9E-2</v>
      </c>
      <c r="AC314">
        <v>6</v>
      </c>
      <c r="AD314" s="6">
        <v>50</v>
      </c>
      <c r="AE314" s="6">
        <v>0</v>
      </c>
      <c r="AF314" s="6">
        <v>0</v>
      </c>
      <c r="AG314" s="6">
        <v>49.44</v>
      </c>
      <c r="AH314" s="6">
        <v>62.72</v>
      </c>
      <c r="AI314" s="6">
        <f t="shared" si="8"/>
        <v>13.280000000000001</v>
      </c>
      <c r="AJ314" s="5">
        <f t="shared" si="9"/>
        <v>0.21173469387755103</v>
      </c>
    </row>
    <row r="315" spans="1:36">
      <c r="A315" t="s">
        <v>328</v>
      </c>
      <c r="B315" t="s">
        <v>595</v>
      </c>
      <c r="C315" t="s">
        <v>61</v>
      </c>
      <c r="D315" t="s">
        <v>63</v>
      </c>
      <c r="E315" t="s">
        <v>55</v>
      </c>
      <c r="F315">
        <v>0</v>
      </c>
      <c r="G315">
        <v>2375</v>
      </c>
      <c r="H315">
        <v>1</v>
      </c>
      <c r="I315" t="s">
        <v>173</v>
      </c>
      <c r="J315">
        <v>1</v>
      </c>
      <c r="K315" s="6">
        <v>1.19</v>
      </c>
      <c r="L315" t="s">
        <v>174</v>
      </c>
      <c r="M315">
        <v>0</v>
      </c>
      <c r="N315" t="s">
        <v>182</v>
      </c>
      <c r="O315">
        <v>3</v>
      </c>
      <c r="P315">
        <v>0</v>
      </c>
      <c r="Q315" s="6">
        <v>86.9</v>
      </c>
      <c r="R315">
        <v>0</v>
      </c>
      <c r="S315" s="6">
        <v>0</v>
      </c>
      <c r="T315">
        <v>0</v>
      </c>
      <c r="U315" s="6">
        <v>1015</v>
      </c>
      <c r="V315">
        <v>0</v>
      </c>
      <c r="W315">
        <v>0</v>
      </c>
      <c r="X315">
        <v>0</v>
      </c>
      <c r="Y315" s="6">
        <v>41.4</v>
      </c>
      <c r="Z315">
        <v>0</v>
      </c>
      <c r="AA315">
        <v>0.112</v>
      </c>
      <c r="AB315">
        <v>3.9E-2</v>
      </c>
      <c r="AC315">
        <v>6</v>
      </c>
      <c r="AD315" s="6">
        <v>50</v>
      </c>
      <c r="AE315" s="6">
        <v>0</v>
      </c>
      <c r="AF315" s="6">
        <v>0</v>
      </c>
      <c r="AG315" s="6">
        <v>59.51</v>
      </c>
      <c r="AH315" s="6">
        <v>76.42</v>
      </c>
      <c r="AI315" s="6">
        <f t="shared" si="8"/>
        <v>16.910000000000004</v>
      </c>
      <c r="AJ315" s="5">
        <f t="shared" si="9"/>
        <v>0.22127715257785924</v>
      </c>
    </row>
    <row r="316" spans="1:36">
      <c r="A316" t="s">
        <v>338</v>
      </c>
      <c r="B316" t="s">
        <v>596</v>
      </c>
      <c r="C316" t="s">
        <v>61</v>
      </c>
      <c r="D316" t="s">
        <v>63</v>
      </c>
      <c r="E316" t="s">
        <v>55</v>
      </c>
      <c r="F316">
        <v>0</v>
      </c>
      <c r="G316">
        <v>2375</v>
      </c>
      <c r="H316">
        <v>1</v>
      </c>
      <c r="I316" t="s">
        <v>173</v>
      </c>
      <c r="J316">
        <v>1</v>
      </c>
      <c r="K316" s="6">
        <v>2.15</v>
      </c>
      <c r="L316" t="s">
        <v>174</v>
      </c>
      <c r="M316">
        <v>0</v>
      </c>
      <c r="N316" t="s">
        <v>182</v>
      </c>
      <c r="O316">
        <v>3</v>
      </c>
      <c r="P316">
        <v>0</v>
      </c>
      <c r="Q316" s="6">
        <v>128.5</v>
      </c>
      <c r="R316">
        <v>0</v>
      </c>
      <c r="S316" s="6">
        <v>0</v>
      </c>
      <c r="T316">
        <v>0</v>
      </c>
      <c r="U316" s="6">
        <v>700</v>
      </c>
      <c r="V316">
        <v>0</v>
      </c>
      <c r="W316">
        <v>0</v>
      </c>
      <c r="X316">
        <v>0</v>
      </c>
      <c r="Y316" s="6">
        <v>41.4</v>
      </c>
      <c r="Z316">
        <v>0</v>
      </c>
      <c r="AA316">
        <v>0.112</v>
      </c>
      <c r="AB316">
        <v>3.9E-2</v>
      </c>
      <c r="AC316">
        <v>6</v>
      </c>
      <c r="AD316" s="6">
        <v>50</v>
      </c>
      <c r="AE316" s="6">
        <v>0</v>
      </c>
      <c r="AF316" s="6">
        <v>0</v>
      </c>
      <c r="AG316" s="6">
        <v>62.74</v>
      </c>
      <c r="AH316" s="6">
        <v>80.260000000000005</v>
      </c>
      <c r="AI316" s="6">
        <f t="shared" si="8"/>
        <v>17.520000000000003</v>
      </c>
      <c r="AJ316" s="5">
        <f t="shared" si="9"/>
        <v>0.21829055569399455</v>
      </c>
    </row>
    <row r="317" spans="1:36">
      <c r="A317" t="s">
        <v>206</v>
      </c>
      <c r="B317" t="s">
        <v>597</v>
      </c>
      <c r="C317" t="s">
        <v>61</v>
      </c>
      <c r="D317" t="s">
        <v>63</v>
      </c>
      <c r="E317" t="s">
        <v>55</v>
      </c>
      <c r="F317">
        <v>0</v>
      </c>
      <c r="G317">
        <v>2375</v>
      </c>
      <c r="H317">
        <v>1</v>
      </c>
      <c r="I317" t="s">
        <v>173</v>
      </c>
      <c r="J317">
        <v>1</v>
      </c>
      <c r="K317" s="6">
        <v>1.46</v>
      </c>
      <c r="L317" t="s">
        <v>174</v>
      </c>
      <c r="M317">
        <v>0</v>
      </c>
      <c r="N317" t="s">
        <v>182</v>
      </c>
      <c r="O317">
        <v>3</v>
      </c>
      <c r="P317">
        <v>0</v>
      </c>
      <c r="Q317" s="6">
        <v>87.8</v>
      </c>
      <c r="R317">
        <v>0</v>
      </c>
      <c r="S317" s="6">
        <v>0</v>
      </c>
      <c r="T317">
        <v>0</v>
      </c>
      <c r="U317" s="6">
        <v>1643</v>
      </c>
      <c r="V317">
        <v>0</v>
      </c>
      <c r="W317">
        <v>0</v>
      </c>
      <c r="X317">
        <v>0</v>
      </c>
      <c r="Y317" s="6">
        <v>41.4</v>
      </c>
      <c r="Z317">
        <v>0</v>
      </c>
      <c r="AA317">
        <v>0.112</v>
      </c>
      <c r="AB317">
        <v>3.9E-2</v>
      </c>
      <c r="AC317">
        <v>6</v>
      </c>
      <c r="AD317" s="6">
        <v>50</v>
      </c>
      <c r="AE317" s="6">
        <v>0</v>
      </c>
      <c r="AF317" s="6">
        <v>0</v>
      </c>
      <c r="AG317" s="6">
        <v>58.22</v>
      </c>
      <c r="AH317" s="6">
        <v>75.72</v>
      </c>
      <c r="AI317" s="6">
        <f t="shared" si="8"/>
        <v>17.5</v>
      </c>
      <c r="AJ317" s="5">
        <f t="shared" si="9"/>
        <v>0.23111463285789752</v>
      </c>
    </row>
    <row r="318" spans="1:36">
      <c r="A318" t="s">
        <v>215</v>
      </c>
      <c r="B318" t="s">
        <v>598</v>
      </c>
      <c r="C318" t="s">
        <v>61</v>
      </c>
      <c r="D318" t="s">
        <v>63</v>
      </c>
      <c r="E318" t="s">
        <v>55</v>
      </c>
      <c r="F318">
        <v>0</v>
      </c>
      <c r="G318">
        <v>2375</v>
      </c>
      <c r="H318">
        <v>1</v>
      </c>
      <c r="I318" t="s">
        <v>173</v>
      </c>
      <c r="J318">
        <v>1</v>
      </c>
      <c r="K318" s="6">
        <v>1.21</v>
      </c>
      <c r="L318" t="s">
        <v>174</v>
      </c>
      <c r="M318">
        <v>0</v>
      </c>
      <c r="N318" t="s">
        <v>187</v>
      </c>
      <c r="O318">
        <v>2</v>
      </c>
      <c r="P318">
        <v>0</v>
      </c>
      <c r="Q318" s="6">
        <v>57</v>
      </c>
      <c r="R318">
        <v>0</v>
      </c>
      <c r="S318" s="6">
        <v>0</v>
      </c>
      <c r="T318">
        <v>0</v>
      </c>
      <c r="U318" s="6">
        <v>450</v>
      </c>
      <c r="V318">
        <v>0</v>
      </c>
      <c r="W318">
        <v>0</v>
      </c>
      <c r="X318">
        <v>0</v>
      </c>
      <c r="Y318" s="6">
        <v>41.4</v>
      </c>
      <c r="Z318">
        <v>0</v>
      </c>
      <c r="AA318">
        <v>0.112</v>
      </c>
      <c r="AB318">
        <v>3.9E-2</v>
      </c>
      <c r="AC318">
        <v>6</v>
      </c>
      <c r="AD318" s="6">
        <v>50</v>
      </c>
      <c r="AE318" s="6">
        <v>0</v>
      </c>
      <c r="AF318" s="6">
        <v>0</v>
      </c>
      <c r="AG318" s="6">
        <v>56.55</v>
      </c>
      <c r="AH318" s="6">
        <v>71.19</v>
      </c>
      <c r="AI318" s="6">
        <f t="shared" si="8"/>
        <v>14.64</v>
      </c>
      <c r="AJ318" s="5">
        <f t="shared" si="9"/>
        <v>0.20564686051411715</v>
      </c>
    </row>
    <row r="319" spans="1:36">
      <c r="A319" t="s">
        <v>291</v>
      </c>
      <c r="B319" t="s">
        <v>599</v>
      </c>
      <c r="C319" t="s">
        <v>61</v>
      </c>
      <c r="D319" t="s">
        <v>63</v>
      </c>
      <c r="E319" t="s">
        <v>55</v>
      </c>
      <c r="F319">
        <v>0</v>
      </c>
      <c r="G319">
        <v>2375</v>
      </c>
      <c r="H319">
        <v>1</v>
      </c>
      <c r="I319" t="s">
        <v>173</v>
      </c>
      <c r="J319">
        <v>1</v>
      </c>
      <c r="K319" s="6">
        <v>2.31</v>
      </c>
      <c r="L319" t="s">
        <v>174</v>
      </c>
      <c r="M319">
        <v>0</v>
      </c>
      <c r="N319" t="s">
        <v>187</v>
      </c>
      <c r="O319">
        <v>2</v>
      </c>
      <c r="P319">
        <v>0</v>
      </c>
      <c r="Q319" s="6">
        <v>47.6</v>
      </c>
      <c r="R319">
        <v>0</v>
      </c>
      <c r="S319" s="6">
        <v>0</v>
      </c>
      <c r="T319">
        <v>0</v>
      </c>
      <c r="U319" s="6">
        <v>642</v>
      </c>
      <c r="V319">
        <v>0</v>
      </c>
      <c r="W319">
        <v>0</v>
      </c>
      <c r="X319">
        <v>0</v>
      </c>
      <c r="Y319" s="6">
        <v>41.4</v>
      </c>
      <c r="Z319">
        <v>0</v>
      </c>
      <c r="AA319">
        <v>0.112</v>
      </c>
      <c r="AB319">
        <v>3.9E-2</v>
      </c>
      <c r="AC319">
        <v>6</v>
      </c>
      <c r="AD319" s="6">
        <v>50</v>
      </c>
      <c r="AE319" s="6">
        <v>0</v>
      </c>
      <c r="AF319" s="6">
        <v>0</v>
      </c>
      <c r="AG319" s="6">
        <v>50.73</v>
      </c>
      <c r="AH319" s="6">
        <v>64.599999999999994</v>
      </c>
      <c r="AI319" s="6">
        <f t="shared" si="8"/>
        <v>13.869999999999997</v>
      </c>
      <c r="AJ319" s="5">
        <f t="shared" si="9"/>
        <v>0.21470588235294116</v>
      </c>
    </row>
    <row r="320" spans="1:36">
      <c r="A320" t="s">
        <v>206</v>
      </c>
      <c r="B320" t="s">
        <v>600</v>
      </c>
      <c r="C320" t="s">
        <v>61</v>
      </c>
      <c r="D320" t="s">
        <v>63</v>
      </c>
      <c r="E320" t="s">
        <v>55</v>
      </c>
      <c r="F320">
        <v>0</v>
      </c>
      <c r="G320">
        <v>2375</v>
      </c>
      <c r="H320">
        <v>1</v>
      </c>
      <c r="I320" t="s">
        <v>173</v>
      </c>
      <c r="J320">
        <v>1</v>
      </c>
      <c r="K320" s="6">
        <v>1.5</v>
      </c>
      <c r="L320" t="s">
        <v>174</v>
      </c>
      <c r="M320">
        <v>0</v>
      </c>
      <c r="N320" t="s">
        <v>175</v>
      </c>
      <c r="O320">
        <v>1</v>
      </c>
      <c r="P320">
        <v>0</v>
      </c>
      <c r="Q320" s="6">
        <v>29.2</v>
      </c>
      <c r="R320">
        <v>1</v>
      </c>
      <c r="S320" s="6">
        <v>1109</v>
      </c>
      <c r="T320">
        <v>0</v>
      </c>
      <c r="U320" s="6">
        <v>2038</v>
      </c>
      <c r="V320">
        <v>0</v>
      </c>
      <c r="W320">
        <v>0</v>
      </c>
      <c r="X320">
        <v>0</v>
      </c>
      <c r="Y320" s="6">
        <v>41.4</v>
      </c>
      <c r="Z320">
        <v>0</v>
      </c>
      <c r="AA320">
        <v>0.112</v>
      </c>
      <c r="AB320">
        <v>3.9E-2</v>
      </c>
      <c r="AC320">
        <v>6</v>
      </c>
      <c r="AD320" s="6">
        <v>50</v>
      </c>
      <c r="AE320" s="6">
        <v>25</v>
      </c>
      <c r="AF320" s="6">
        <v>0</v>
      </c>
      <c r="AG320" s="6">
        <v>52.92</v>
      </c>
      <c r="AH320" s="6">
        <v>70.27</v>
      </c>
      <c r="AI320" s="6">
        <f t="shared" si="8"/>
        <v>17.349999999999994</v>
      </c>
      <c r="AJ320" s="5">
        <f t="shared" si="9"/>
        <v>0.24690479578767605</v>
      </c>
    </row>
    <row r="321" spans="1:36">
      <c r="A321" t="s">
        <v>478</v>
      </c>
      <c r="B321" t="s">
        <v>601</v>
      </c>
      <c r="C321" t="s">
        <v>61</v>
      </c>
      <c r="D321" t="s">
        <v>63</v>
      </c>
      <c r="E321" t="s">
        <v>55</v>
      </c>
      <c r="F321">
        <v>0</v>
      </c>
      <c r="G321">
        <v>2375</v>
      </c>
      <c r="H321">
        <v>1</v>
      </c>
      <c r="I321" t="s">
        <v>173</v>
      </c>
      <c r="J321">
        <v>1</v>
      </c>
      <c r="K321" s="6">
        <v>2.2400000000000002</v>
      </c>
      <c r="L321" t="s">
        <v>174</v>
      </c>
      <c r="M321">
        <v>0</v>
      </c>
      <c r="N321" t="s">
        <v>187</v>
      </c>
      <c r="O321">
        <v>2</v>
      </c>
      <c r="P321">
        <v>0</v>
      </c>
      <c r="Q321" s="6">
        <v>52.7</v>
      </c>
      <c r="R321">
        <v>0</v>
      </c>
      <c r="S321" s="6">
        <v>0</v>
      </c>
      <c r="T321">
        <v>0</v>
      </c>
      <c r="U321" s="6">
        <v>3357</v>
      </c>
      <c r="V321">
        <v>0</v>
      </c>
      <c r="W321">
        <v>0</v>
      </c>
      <c r="X321">
        <v>0</v>
      </c>
      <c r="Y321" s="6">
        <v>41.4</v>
      </c>
      <c r="Z321">
        <v>0</v>
      </c>
      <c r="AA321">
        <v>0.112</v>
      </c>
      <c r="AB321">
        <v>3.9E-2</v>
      </c>
      <c r="AC321">
        <v>6</v>
      </c>
      <c r="AD321" s="6">
        <v>50</v>
      </c>
      <c r="AE321" s="6">
        <v>0</v>
      </c>
      <c r="AF321" s="6">
        <v>0</v>
      </c>
      <c r="AG321" s="6">
        <v>53.62</v>
      </c>
      <c r="AH321" s="6">
        <v>69.41</v>
      </c>
      <c r="AI321" s="6">
        <f t="shared" si="8"/>
        <v>15.79</v>
      </c>
      <c r="AJ321" s="5">
        <f t="shared" si="9"/>
        <v>0.22748883446189311</v>
      </c>
    </row>
    <row r="322" spans="1:36">
      <c r="A322" t="s">
        <v>602</v>
      </c>
      <c r="B322" t="s">
        <v>603</v>
      </c>
      <c r="C322" t="s">
        <v>61</v>
      </c>
      <c r="D322" t="s">
        <v>63</v>
      </c>
      <c r="E322" t="s">
        <v>55</v>
      </c>
      <c r="F322">
        <v>0</v>
      </c>
      <c r="G322">
        <v>2375</v>
      </c>
      <c r="H322">
        <v>1</v>
      </c>
      <c r="I322" t="s">
        <v>173</v>
      </c>
      <c r="J322">
        <v>1</v>
      </c>
      <c r="K322" s="6">
        <v>2.27</v>
      </c>
      <c r="L322" t="s">
        <v>174</v>
      </c>
      <c r="M322">
        <v>0</v>
      </c>
      <c r="N322" t="s">
        <v>187</v>
      </c>
      <c r="O322">
        <v>2</v>
      </c>
      <c r="P322">
        <v>0</v>
      </c>
      <c r="Q322" s="6">
        <v>58.2</v>
      </c>
      <c r="R322">
        <v>0</v>
      </c>
      <c r="S322" s="6">
        <v>0</v>
      </c>
      <c r="T322">
        <v>0</v>
      </c>
      <c r="U322" s="6">
        <v>849</v>
      </c>
      <c r="V322">
        <v>0</v>
      </c>
      <c r="W322">
        <v>0</v>
      </c>
      <c r="X322">
        <v>0</v>
      </c>
      <c r="Y322" s="6">
        <v>41.4</v>
      </c>
      <c r="Z322">
        <v>0</v>
      </c>
      <c r="AA322">
        <v>0.112</v>
      </c>
      <c r="AB322">
        <v>3.9E-2</v>
      </c>
      <c r="AC322">
        <v>6</v>
      </c>
      <c r="AD322" s="6">
        <v>50</v>
      </c>
      <c r="AE322" s="6">
        <v>0</v>
      </c>
      <c r="AF322" s="6">
        <v>0</v>
      </c>
      <c r="AG322" s="6">
        <v>60.73</v>
      </c>
      <c r="AH322" s="6">
        <v>80.83</v>
      </c>
      <c r="AI322" s="6">
        <f t="shared" ref="AI322:AI385" si="10">AH322-AG322</f>
        <v>20.100000000000001</v>
      </c>
      <c r="AJ322" s="5">
        <f t="shared" ref="AJ322:AJ385" si="11">IFERROR(AI322/AH322,0)</f>
        <v>0.24867004824941236</v>
      </c>
    </row>
    <row r="323" spans="1:36">
      <c r="A323" t="s">
        <v>372</v>
      </c>
      <c r="B323" t="s">
        <v>604</v>
      </c>
      <c r="C323" t="s">
        <v>61</v>
      </c>
      <c r="D323" t="s">
        <v>63</v>
      </c>
      <c r="E323" t="s">
        <v>55</v>
      </c>
      <c r="F323">
        <v>0</v>
      </c>
      <c r="G323">
        <v>2375</v>
      </c>
      <c r="H323">
        <v>1</v>
      </c>
      <c r="I323" t="s">
        <v>173</v>
      </c>
      <c r="J323">
        <v>1</v>
      </c>
      <c r="K323" s="6">
        <v>1.98</v>
      </c>
      <c r="L323" t="s">
        <v>174</v>
      </c>
      <c r="M323">
        <v>0</v>
      </c>
      <c r="N323" t="s">
        <v>182</v>
      </c>
      <c r="O323">
        <v>3</v>
      </c>
      <c r="P323">
        <v>0</v>
      </c>
      <c r="Q323" s="6">
        <v>111.2</v>
      </c>
      <c r="R323">
        <v>0</v>
      </c>
      <c r="S323" s="6">
        <v>0</v>
      </c>
      <c r="T323">
        <v>0</v>
      </c>
      <c r="U323" s="6">
        <v>745</v>
      </c>
      <c r="V323">
        <v>0</v>
      </c>
      <c r="W323">
        <v>0</v>
      </c>
      <c r="X323">
        <v>0</v>
      </c>
      <c r="Y323" s="6">
        <v>41.4</v>
      </c>
      <c r="Z323">
        <v>0</v>
      </c>
      <c r="AA323">
        <v>0.112</v>
      </c>
      <c r="AB323">
        <v>3.9E-2</v>
      </c>
      <c r="AC323">
        <v>6</v>
      </c>
      <c r="AD323" s="6">
        <v>50</v>
      </c>
      <c r="AE323" s="6">
        <v>0</v>
      </c>
      <c r="AF323" s="6">
        <v>0</v>
      </c>
      <c r="AG323" s="6">
        <v>65.31</v>
      </c>
      <c r="AH323" s="6">
        <v>85.49</v>
      </c>
      <c r="AI323" s="6">
        <f t="shared" si="10"/>
        <v>20.179999999999993</v>
      </c>
      <c r="AJ323" s="5">
        <f t="shared" si="11"/>
        <v>0.23605100011697266</v>
      </c>
    </row>
    <row r="324" spans="1:36">
      <c r="A324" t="s">
        <v>188</v>
      </c>
      <c r="B324" t="s">
        <v>605</v>
      </c>
      <c r="C324" t="s">
        <v>61</v>
      </c>
      <c r="D324" t="s">
        <v>63</v>
      </c>
      <c r="E324" t="s">
        <v>55</v>
      </c>
      <c r="F324">
        <v>0</v>
      </c>
      <c r="G324">
        <v>2375</v>
      </c>
      <c r="H324">
        <v>1</v>
      </c>
      <c r="I324" t="s">
        <v>173</v>
      </c>
      <c r="J324">
        <v>1</v>
      </c>
      <c r="K324" s="6">
        <v>1.92</v>
      </c>
      <c r="L324" t="s">
        <v>174</v>
      </c>
      <c r="M324">
        <v>0</v>
      </c>
      <c r="N324" t="s">
        <v>217</v>
      </c>
      <c r="O324">
        <v>4</v>
      </c>
      <c r="P324">
        <v>1</v>
      </c>
      <c r="Q324" s="6">
        <v>150.69999999999999</v>
      </c>
      <c r="R324">
        <v>0</v>
      </c>
      <c r="S324" s="6">
        <v>0</v>
      </c>
      <c r="T324">
        <v>0</v>
      </c>
      <c r="U324" s="6">
        <v>561</v>
      </c>
      <c r="V324">
        <v>0</v>
      </c>
      <c r="W324">
        <v>0</v>
      </c>
      <c r="X324">
        <v>0</v>
      </c>
      <c r="Y324" s="6">
        <v>41.4</v>
      </c>
      <c r="Z324">
        <v>0</v>
      </c>
      <c r="AA324">
        <v>0.112</v>
      </c>
      <c r="AB324">
        <v>3.9E-2</v>
      </c>
      <c r="AC324">
        <v>6</v>
      </c>
      <c r="AD324" s="6">
        <v>50</v>
      </c>
      <c r="AE324" s="6">
        <v>0</v>
      </c>
      <c r="AF324" s="6">
        <v>0</v>
      </c>
      <c r="AG324" s="6">
        <v>91.74</v>
      </c>
      <c r="AH324" s="6">
        <v>117.16</v>
      </c>
      <c r="AI324" s="6">
        <f t="shared" si="10"/>
        <v>25.42</v>
      </c>
      <c r="AJ324" s="5">
        <f t="shared" si="11"/>
        <v>0.21696824854899285</v>
      </c>
    </row>
    <row r="325" spans="1:36">
      <c r="A325" t="s">
        <v>562</v>
      </c>
      <c r="B325" t="s">
        <v>606</v>
      </c>
      <c r="C325" t="s">
        <v>61</v>
      </c>
      <c r="D325" t="s">
        <v>63</v>
      </c>
      <c r="E325" t="s">
        <v>55</v>
      </c>
      <c r="F325">
        <v>0</v>
      </c>
      <c r="G325">
        <v>2375</v>
      </c>
      <c r="H325">
        <v>1</v>
      </c>
      <c r="I325" t="s">
        <v>220</v>
      </c>
      <c r="J325">
        <v>2</v>
      </c>
      <c r="K325" s="6">
        <v>5.41</v>
      </c>
      <c r="L325" t="s">
        <v>174</v>
      </c>
      <c r="M325">
        <v>0</v>
      </c>
      <c r="N325" t="s">
        <v>187</v>
      </c>
      <c r="O325">
        <v>2</v>
      </c>
      <c r="P325">
        <v>0</v>
      </c>
      <c r="Q325" s="6">
        <v>32.5</v>
      </c>
      <c r="R325">
        <v>1</v>
      </c>
      <c r="S325" s="6">
        <v>2057</v>
      </c>
      <c r="T325">
        <v>0</v>
      </c>
      <c r="U325" s="6">
        <v>1185</v>
      </c>
      <c r="V325">
        <v>0</v>
      </c>
      <c r="W325">
        <v>0</v>
      </c>
      <c r="X325">
        <v>0</v>
      </c>
      <c r="Y325" s="6">
        <v>41.4</v>
      </c>
      <c r="Z325">
        <v>0</v>
      </c>
      <c r="AA325">
        <v>0.112</v>
      </c>
      <c r="AB325">
        <v>3.9E-2</v>
      </c>
      <c r="AC325">
        <v>6</v>
      </c>
      <c r="AD325" s="6">
        <v>50</v>
      </c>
      <c r="AE325" s="6">
        <v>40</v>
      </c>
      <c r="AF325" s="6">
        <v>0</v>
      </c>
      <c r="AG325" s="6">
        <v>66.319999999999993</v>
      </c>
      <c r="AH325" s="6">
        <v>87.44</v>
      </c>
      <c r="AI325" s="6">
        <f t="shared" si="10"/>
        <v>21.120000000000005</v>
      </c>
      <c r="AJ325" s="5">
        <f t="shared" si="11"/>
        <v>0.24153705397987196</v>
      </c>
    </row>
    <row r="326" spans="1:36">
      <c r="A326" t="s">
        <v>212</v>
      </c>
      <c r="B326" t="s">
        <v>607</v>
      </c>
      <c r="C326" t="s">
        <v>61</v>
      </c>
      <c r="D326" t="s">
        <v>63</v>
      </c>
      <c r="E326" t="s">
        <v>55</v>
      </c>
      <c r="F326">
        <v>0</v>
      </c>
      <c r="G326">
        <v>2375</v>
      </c>
      <c r="H326">
        <v>1</v>
      </c>
      <c r="I326" t="s">
        <v>173</v>
      </c>
      <c r="J326">
        <v>1</v>
      </c>
      <c r="K326" s="6">
        <v>1.84</v>
      </c>
      <c r="L326" t="s">
        <v>174</v>
      </c>
      <c r="M326">
        <v>0</v>
      </c>
      <c r="N326" t="s">
        <v>182</v>
      </c>
      <c r="O326">
        <v>3</v>
      </c>
      <c r="P326">
        <v>0</v>
      </c>
      <c r="Q326" s="6">
        <v>131.9</v>
      </c>
      <c r="R326">
        <v>0</v>
      </c>
      <c r="S326" s="6">
        <v>0</v>
      </c>
      <c r="T326">
        <v>0</v>
      </c>
      <c r="U326" s="6">
        <v>1120</v>
      </c>
      <c r="V326">
        <v>0</v>
      </c>
      <c r="W326">
        <v>0</v>
      </c>
      <c r="X326">
        <v>0</v>
      </c>
      <c r="Y326" s="6">
        <v>41.4</v>
      </c>
      <c r="Z326">
        <v>0</v>
      </c>
      <c r="AA326">
        <v>0.112</v>
      </c>
      <c r="AB326">
        <v>3.9E-2</v>
      </c>
      <c r="AC326">
        <v>6</v>
      </c>
      <c r="AD326" s="6">
        <v>50</v>
      </c>
      <c r="AE326" s="6">
        <v>0</v>
      </c>
      <c r="AF326" s="6">
        <v>0</v>
      </c>
      <c r="AG326" s="6">
        <v>69.94</v>
      </c>
      <c r="AH326" s="6">
        <v>91.69</v>
      </c>
      <c r="AI326" s="6">
        <f t="shared" si="10"/>
        <v>21.75</v>
      </c>
      <c r="AJ326" s="5">
        <f t="shared" si="11"/>
        <v>0.23721234594830407</v>
      </c>
    </row>
    <row r="327" spans="1:36">
      <c r="A327" t="s">
        <v>194</v>
      </c>
      <c r="B327" t="s">
        <v>608</v>
      </c>
      <c r="C327" t="s">
        <v>61</v>
      </c>
      <c r="D327" t="s">
        <v>63</v>
      </c>
      <c r="E327" t="s">
        <v>55</v>
      </c>
      <c r="F327">
        <v>0</v>
      </c>
      <c r="G327">
        <v>2375</v>
      </c>
      <c r="H327">
        <v>1</v>
      </c>
      <c r="I327" t="s">
        <v>220</v>
      </c>
      <c r="J327">
        <v>2</v>
      </c>
      <c r="K327" s="6">
        <v>5.73</v>
      </c>
      <c r="L327" t="s">
        <v>174</v>
      </c>
      <c r="M327">
        <v>0</v>
      </c>
      <c r="N327" t="s">
        <v>175</v>
      </c>
      <c r="O327">
        <v>1</v>
      </c>
      <c r="P327">
        <v>0</v>
      </c>
      <c r="Q327" s="6">
        <v>31.1</v>
      </c>
      <c r="R327">
        <v>0</v>
      </c>
      <c r="S327" s="6">
        <v>0</v>
      </c>
      <c r="T327">
        <v>0</v>
      </c>
      <c r="U327" s="6">
        <v>1635</v>
      </c>
      <c r="V327">
        <v>0</v>
      </c>
      <c r="W327">
        <v>0</v>
      </c>
      <c r="X327">
        <v>0</v>
      </c>
      <c r="Y327" s="6">
        <v>41.4</v>
      </c>
      <c r="Z327">
        <v>0</v>
      </c>
      <c r="AA327">
        <v>0.112</v>
      </c>
      <c r="AB327">
        <v>3.9E-2</v>
      </c>
      <c r="AC327">
        <v>6</v>
      </c>
      <c r="AD327" s="6">
        <v>50</v>
      </c>
      <c r="AE327" s="6">
        <v>0</v>
      </c>
      <c r="AF327" s="6">
        <v>0</v>
      </c>
      <c r="AG327" s="6">
        <v>55.89</v>
      </c>
      <c r="AH327" s="6">
        <v>71.56</v>
      </c>
      <c r="AI327" s="6">
        <f t="shared" si="10"/>
        <v>15.670000000000002</v>
      </c>
      <c r="AJ327" s="5">
        <f t="shared" si="11"/>
        <v>0.2189770821688094</v>
      </c>
    </row>
    <row r="328" spans="1:36">
      <c r="A328" t="s">
        <v>206</v>
      </c>
      <c r="B328" t="s">
        <v>609</v>
      </c>
      <c r="C328" t="s">
        <v>61</v>
      </c>
      <c r="D328" t="s">
        <v>63</v>
      </c>
      <c r="E328" t="s">
        <v>55</v>
      </c>
      <c r="F328">
        <v>0</v>
      </c>
      <c r="G328">
        <v>2375</v>
      </c>
      <c r="H328">
        <v>1</v>
      </c>
      <c r="I328" t="s">
        <v>181</v>
      </c>
      <c r="J328">
        <v>3</v>
      </c>
      <c r="K328" s="6">
        <v>7.56</v>
      </c>
      <c r="L328" t="s">
        <v>174</v>
      </c>
      <c r="M328">
        <v>0</v>
      </c>
      <c r="N328" t="s">
        <v>175</v>
      </c>
      <c r="O328">
        <v>1</v>
      </c>
      <c r="P328">
        <v>0</v>
      </c>
      <c r="Q328" s="6">
        <v>42.9</v>
      </c>
      <c r="R328">
        <v>0</v>
      </c>
      <c r="S328" s="6">
        <v>0</v>
      </c>
      <c r="T328">
        <v>0</v>
      </c>
      <c r="U328" s="6">
        <v>1386</v>
      </c>
      <c r="V328">
        <v>0</v>
      </c>
      <c r="W328">
        <v>0</v>
      </c>
      <c r="X328">
        <v>0</v>
      </c>
      <c r="Y328" s="6">
        <v>41.4</v>
      </c>
      <c r="Z328">
        <v>0</v>
      </c>
      <c r="AA328">
        <v>0.112</v>
      </c>
      <c r="AB328">
        <v>3.9E-2</v>
      </c>
      <c r="AC328">
        <v>6</v>
      </c>
      <c r="AD328" s="6">
        <v>60</v>
      </c>
      <c r="AE328" s="6">
        <v>0</v>
      </c>
      <c r="AF328" s="6">
        <v>0</v>
      </c>
      <c r="AG328" s="6">
        <v>75.680000000000007</v>
      </c>
      <c r="AH328" s="6">
        <v>97.21</v>
      </c>
      <c r="AI328" s="6">
        <f t="shared" si="10"/>
        <v>21.529999999999987</v>
      </c>
      <c r="AJ328" s="5">
        <f t="shared" si="11"/>
        <v>0.22147927167986819</v>
      </c>
    </row>
    <row r="329" spans="1:36">
      <c r="A329" t="s">
        <v>403</v>
      </c>
      <c r="B329" t="s">
        <v>610</v>
      </c>
      <c r="C329" t="s">
        <v>61</v>
      </c>
      <c r="D329" t="s">
        <v>63</v>
      </c>
      <c r="E329" t="s">
        <v>55</v>
      </c>
      <c r="F329">
        <v>0</v>
      </c>
      <c r="G329">
        <v>2375</v>
      </c>
      <c r="H329">
        <v>1</v>
      </c>
      <c r="I329" t="s">
        <v>173</v>
      </c>
      <c r="J329">
        <v>1</v>
      </c>
      <c r="K329" s="6">
        <v>1.88</v>
      </c>
      <c r="L329" t="s">
        <v>174</v>
      </c>
      <c r="M329">
        <v>0</v>
      </c>
      <c r="N329" t="s">
        <v>187</v>
      </c>
      <c r="O329">
        <v>2</v>
      </c>
      <c r="P329">
        <v>0</v>
      </c>
      <c r="Q329" s="6">
        <v>43.5</v>
      </c>
      <c r="R329">
        <v>0</v>
      </c>
      <c r="S329" s="6">
        <v>0</v>
      </c>
      <c r="T329">
        <v>0</v>
      </c>
      <c r="U329" s="6">
        <v>1098</v>
      </c>
      <c r="V329">
        <v>0</v>
      </c>
      <c r="W329">
        <v>0</v>
      </c>
      <c r="X329">
        <v>0</v>
      </c>
      <c r="Y329" s="6">
        <v>41.4</v>
      </c>
      <c r="Z329">
        <v>0</v>
      </c>
      <c r="AA329">
        <v>0.112</v>
      </c>
      <c r="AB329">
        <v>3.9E-2</v>
      </c>
      <c r="AC329">
        <v>6</v>
      </c>
      <c r="AD329" s="6">
        <v>50</v>
      </c>
      <c r="AE329" s="6">
        <v>0</v>
      </c>
      <c r="AF329" s="6">
        <v>0</v>
      </c>
      <c r="AG329" s="6">
        <v>49.2</v>
      </c>
      <c r="AH329" s="6">
        <v>62.26</v>
      </c>
      <c r="AI329" s="6">
        <f t="shared" si="10"/>
        <v>13.059999999999995</v>
      </c>
      <c r="AJ329" s="5">
        <f t="shared" si="11"/>
        <v>0.20976549951814963</v>
      </c>
    </row>
    <row r="330" spans="1:36">
      <c r="A330" t="s">
        <v>303</v>
      </c>
      <c r="B330" t="s">
        <v>611</v>
      </c>
      <c r="C330" t="s">
        <v>61</v>
      </c>
      <c r="D330" t="s">
        <v>63</v>
      </c>
      <c r="E330" t="s">
        <v>55</v>
      </c>
      <c r="F330">
        <v>0</v>
      </c>
      <c r="G330">
        <v>2375</v>
      </c>
      <c r="H330">
        <v>1</v>
      </c>
      <c r="I330" t="s">
        <v>173</v>
      </c>
      <c r="J330">
        <v>1</v>
      </c>
      <c r="K330" s="6">
        <v>1.52</v>
      </c>
      <c r="L330" t="s">
        <v>174</v>
      </c>
      <c r="M330">
        <v>0</v>
      </c>
      <c r="N330" t="s">
        <v>217</v>
      </c>
      <c r="O330">
        <v>4</v>
      </c>
      <c r="P330">
        <v>1</v>
      </c>
      <c r="Q330" s="6">
        <v>144.80000000000001</v>
      </c>
      <c r="R330">
        <v>0</v>
      </c>
      <c r="S330" s="6">
        <v>0</v>
      </c>
      <c r="T330">
        <v>0</v>
      </c>
      <c r="U330" s="6">
        <v>764</v>
      </c>
      <c r="V330">
        <v>0</v>
      </c>
      <c r="W330">
        <v>0</v>
      </c>
      <c r="X330">
        <v>0</v>
      </c>
      <c r="Y330" s="6">
        <v>41.4</v>
      </c>
      <c r="Z330">
        <v>0</v>
      </c>
      <c r="AA330">
        <v>0.112</v>
      </c>
      <c r="AB330">
        <v>3.9E-2</v>
      </c>
      <c r="AC330">
        <v>6</v>
      </c>
      <c r="AD330" s="6">
        <v>50</v>
      </c>
      <c r="AE330" s="6">
        <v>0</v>
      </c>
      <c r="AF330" s="6">
        <v>0</v>
      </c>
      <c r="AG330" s="6">
        <v>89.22</v>
      </c>
      <c r="AH330" s="6">
        <v>116.07</v>
      </c>
      <c r="AI330" s="6">
        <f t="shared" si="10"/>
        <v>26.849999999999994</v>
      </c>
      <c r="AJ330" s="5">
        <f t="shared" si="11"/>
        <v>0.23132592401137242</v>
      </c>
    </row>
    <row r="331" spans="1:36">
      <c r="A331" t="s">
        <v>393</v>
      </c>
      <c r="B331" t="s">
        <v>612</v>
      </c>
      <c r="C331" t="s">
        <v>61</v>
      </c>
      <c r="D331" t="s">
        <v>63</v>
      </c>
      <c r="E331" t="s">
        <v>55</v>
      </c>
      <c r="F331">
        <v>0</v>
      </c>
      <c r="G331">
        <v>2375</v>
      </c>
      <c r="H331">
        <v>1</v>
      </c>
      <c r="I331" t="s">
        <v>173</v>
      </c>
      <c r="J331">
        <v>1</v>
      </c>
      <c r="K331" s="6">
        <v>1.55</v>
      </c>
      <c r="L331" t="s">
        <v>174</v>
      </c>
      <c r="M331">
        <v>0</v>
      </c>
      <c r="N331" t="s">
        <v>182</v>
      </c>
      <c r="O331">
        <v>3</v>
      </c>
      <c r="P331">
        <v>0</v>
      </c>
      <c r="Q331" s="6">
        <v>53.9</v>
      </c>
      <c r="R331">
        <v>0</v>
      </c>
      <c r="S331" s="6">
        <v>0</v>
      </c>
      <c r="T331">
        <v>0</v>
      </c>
      <c r="U331" s="6">
        <v>2108</v>
      </c>
      <c r="V331">
        <v>0</v>
      </c>
      <c r="W331">
        <v>0</v>
      </c>
      <c r="X331">
        <v>0</v>
      </c>
      <c r="Y331" s="6">
        <v>41.4</v>
      </c>
      <c r="Z331">
        <v>0</v>
      </c>
      <c r="AA331">
        <v>0.112</v>
      </c>
      <c r="AB331">
        <v>3.9E-2</v>
      </c>
      <c r="AC331">
        <v>6</v>
      </c>
      <c r="AD331" s="6">
        <v>50</v>
      </c>
      <c r="AE331" s="6">
        <v>0</v>
      </c>
      <c r="AF331" s="6">
        <v>0</v>
      </c>
      <c r="AG331" s="6">
        <v>58.97</v>
      </c>
      <c r="AH331" s="6">
        <v>78.31</v>
      </c>
      <c r="AI331" s="6">
        <f t="shared" si="10"/>
        <v>19.340000000000003</v>
      </c>
      <c r="AJ331" s="5">
        <f t="shared" si="11"/>
        <v>0.24696718171370199</v>
      </c>
    </row>
    <row r="332" spans="1:36">
      <c r="A332" t="s">
        <v>269</v>
      </c>
      <c r="B332" t="s">
        <v>613</v>
      </c>
      <c r="C332" t="s">
        <v>61</v>
      </c>
      <c r="D332" t="s">
        <v>63</v>
      </c>
      <c r="E332" t="s">
        <v>55</v>
      </c>
      <c r="F332">
        <v>0</v>
      </c>
      <c r="G332">
        <v>2375</v>
      </c>
      <c r="H332">
        <v>1</v>
      </c>
      <c r="I332" t="s">
        <v>173</v>
      </c>
      <c r="J332">
        <v>1</v>
      </c>
      <c r="K332" s="6">
        <v>2.4500000000000002</v>
      </c>
      <c r="L332" t="s">
        <v>174</v>
      </c>
      <c r="M332">
        <v>0</v>
      </c>
      <c r="N332" t="s">
        <v>175</v>
      </c>
      <c r="O332">
        <v>1</v>
      </c>
      <c r="P332">
        <v>0</v>
      </c>
      <c r="Q332" s="6">
        <v>20.2</v>
      </c>
      <c r="R332">
        <v>0</v>
      </c>
      <c r="S332" s="6">
        <v>0</v>
      </c>
      <c r="T332">
        <v>0</v>
      </c>
      <c r="U332" s="6">
        <v>1360</v>
      </c>
      <c r="V332">
        <v>1</v>
      </c>
      <c r="W332">
        <v>0</v>
      </c>
      <c r="X332">
        <v>0</v>
      </c>
      <c r="Y332" s="6">
        <v>41.4</v>
      </c>
      <c r="Z332">
        <v>0</v>
      </c>
      <c r="AA332">
        <v>0.112</v>
      </c>
      <c r="AB332">
        <v>3.9E-2</v>
      </c>
      <c r="AC332">
        <v>6</v>
      </c>
      <c r="AD332" s="6">
        <v>50</v>
      </c>
      <c r="AE332" s="6">
        <v>0</v>
      </c>
      <c r="AF332" s="6">
        <v>0</v>
      </c>
      <c r="AG332" s="6">
        <v>98.61</v>
      </c>
      <c r="AH332" s="6">
        <v>124.63</v>
      </c>
      <c r="AI332" s="6">
        <f t="shared" si="10"/>
        <v>26.019999999999996</v>
      </c>
      <c r="AJ332" s="5">
        <f t="shared" si="11"/>
        <v>0.20877798282917434</v>
      </c>
    </row>
    <row r="333" spans="1:36">
      <c r="A333" t="s">
        <v>293</v>
      </c>
      <c r="B333" t="s">
        <v>614</v>
      </c>
      <c r="C333" t="s">
        <v>61</v>
      </c>
      <c r="D333" t="s">
        <v>63</v>
      </c>
      <c r="E333" t="s">
        <v>55</v>
      </c>
      <c r="F333">
        <v>0</v>
      </c>
      <c r="G333">
        <v>2375</v>
      </c>
      <c r="H333">
        <v>1</v>
      </c>
      <c r="I333" t="s">
        <v>173</v>
      </c>
      <c r="J333">
        <v>1</v>
      </c>
      <c r="K333" s="6">
        <v>2.85</v>
      </c>
      <c r="L333" t="s">
        <v>174</v>
      </c>
      <c r="M333">
        <v>0</v>
      </c>
      <c r="N333" t="s">
        <v>175</v>
      </c>
      <c r="O333">
        <v>1</v>
      </c>
      <c r="P333">
        <v>0</v>
      </c>
      <c r="Q333" s="6">
        <v>32.1</v>
      </c>
      <c r="R333">
        <v>0</v>
      </c>
      <c r="S333" s="6">
        <v>0</v>
      </c>
      <c r="T333">
        <v>0</v>
      </c>
      <c r="U333" s="6">
        <v>691</v>
      </c>
      <c r="V333">
        <v>0</v>
      </c>
      <c r="W333">
        <v>0</v>
      </c>
      <c r="X333">
        <v>0</v>
      </c>
      <c r="Y333" s="6">
        <v>41.4</v>
      </c>
      <c r="Z333">
        <v>0</v>
      </c>
      <c r="AA333">
        <v>0.112</v>
      </c>
      <c r="AB333">
        <v>3.9E-2</v>
      </c>
      <c r="AC333">
        <v>6</v>
      </c>
      <c r="AD333" s="6">
        <v>50</v>
      </c>
      <c r="AE333" s="6">
        <v>0</v>
      </c>
      <c r="AF333" s="6">
        <v>0</v>
      </c>
      <c r="AG333" s="6">
        <v>47.71</v>
      </c>
      <c r="AH333" s="6">
        <v>60.7</v>
      </c>
      <c r="AI333" s="6">
        <f t="shared" si="10"/>
        <v>12.990000000000002</v>
      </c>
      <c r="AJ333" s="5">
        <f t="shared" si="11"/>
        <v>0.214003294892916</v>
      </c>
    </row>
    <row r="334" spans="1:36">
      <c r="A334" t="s">
        <v>355</v>
      </c>
      <c r="B334" t="s">
        <v>615</v>
      </c>
      <c r="C334" t="s">
        <v>61</v>
      </c>
      <c r="D334" t="s">
        <v>63</v>
      </c>
      <c r="E334" t="s">
        <v>55</v>
      </c>
      <c r="F334">
        <v>0</v>
      </c>
      <c r="G334">
        <v>2375</v>
      </c>
      <c r="H334">
        <v>1</v>
      </c>
      <c r="I334" t="s">
        <v>173</v>
      </c>
      <c r="J334">
        <v>1</v>
      </c>
      <c r="K334" s="6">
        <v>1.1399999999999999</v>
      </c>
      <c r="L334" t="s">
        <v>174</v>
      </c>
      <c r="M334">
        <v>0</v>
      </c>
      <c r="N334" t="s">
        <v>175</v>
      </c>
      <c r="O334">
        <v>1</v>
      </c>
      <c r="P334">
        <v>1</v>
      </c>
      <c r="Q334" s="6">
        <v>28.2</v>
      </c>
      <c r="R334">
        <v>0</v>
      </c>
      <c r="S334" s="6">
        <v>0</v>
      </c>
      <c r="T334">
        <v>0</v>
      </c>
      <c r="U334" s="6">
        <v>2008</v>
      </c>
      <c r="V334">
        <v>0</v>
      </c>
      <c r="W334">
        <v>0</v>
      </c>
      <c r="X334">
        <v>1</v>
      </c>
      <c r="Y334" s="6">
        <v>41.4</v>
      </c>
      <c r="Z334">
        <v>0</v>
      </c>
      <c r="AA334">
        <v>0.112</v>
      </c>
      <c r="AB334">
        <v>3.9E-2</v>
      </c>
      <c r="AC334">
        <v>6</v>
      </c>
      <c r="AD334" s="6">
        <v>50</v>
      </c>
      <c r="AE334" s="6">
        <v>0</v>
      </c>
      <c r="AF334" s="6">
        <v>0</v>
      </c>
      <c r="AG334" s="6">
        <v>72.28</v>
      </c>
      <c r="AH334" s="6">
        <v>90.69</v>
      </c>
      <c r="AI334" s="6">
        <f t="shared" si="10"/>
        <v>18.409999999999997</v>
      </c>
      <c r="AJ334" s="5">
        <f t="shared" si="11"/>
        <v>0.20299922813981694</v>
      </c>
    </row>
    <row r="335" spans="1:36">
      <c r="A335" t="s">
        <v>434</v>
      </c>
      <c r="B335" t="s">
        <v>616</v>
      </c>
      <c r="C335" t="s">
        <v>61</v>
      </c>
      <c r="D335" t="s">
        <v>63</v>
      </c>
      <c r="E335" t="s">
        <v>55</v>
      </c>
      <c r="F335">
        <v>0</v>
      </c>
      <c r="G335">
        <v>2375</v>
      </c>
      <c r="H335">
        <v>1</v>
      </c>
      <c r="I335" t="s">
        <v>181</v>
      </c>
      <c r="J335">
        <v>3</v>
      </c>
      <c r="K335" s="6">
        <v>4.83</v>
      </c>
      <c r="L335" t="s">
        <v>174</v>
      </c>
      <c r="M335">
        <v>0</v>
      </c>
      <c r="N335" t="s">
        <v>187</v>
      </c>
      <c r="O335">
        <v>2</v>
      </c>
      <c r="P335">
        <v>0</v>
      </c>
      <c r="Q335" s="6">
        <v>57.4</v>
      </c>
      <c r="R335">
        <v>0</v>
      </c>
      <c r="S335" s="6">
        <v>0</v>
      </c>
      <c r="T335">
        <v>0</v>
      </c>
      <c r="U335" s="6">
        <v>464</v>
      </c>
      <c r="V335">
        <v>0</v>
      </c>
      <c r="W335">
        <v>0</v>
      </c>
      <c r="X335">
        <v>0</v>
      </c>
      <c r="Y335" s="6">
        <v>41.4</v>
      </c>
      <c r="Z335">
        <v>0</v>
      </c>
      <c r="AA335">
        <v>0.112</v>
      </c>
      <c r="AB335">
        <v>3.9E-2</v>
      </c>
      <c r="AC335">
        <v>6</v>
      </c>
      <c r="AD335" s="6">
        <v>60</v>
      </c>
      <c r="AE335" s="6">
        <v>0</v>
      </c>
      <c r="AF335" s="6">
        <v>0</v>
      </c>
      <c r="AG335" s="6">
        <v>86.36</v>
      </c>
      <c r="AH335" s="6">
        <v>110.83</v>
      </c>
      <c r="AI335" s="6">
        <f t="shared" si="10"/>
        <v>24.47</v>
      </c>
      <c r="AJ335" s="5">
        <f t="shared" si="11"/>
        <v>0.22078859514571866</v>
      </c>
    </row>
    <row r="336" spans="1:36">
      <c r="A336" t="s">
        <v>528</v>
      </c>
      <c r="B336" t="s">
        <v>617</v>
      </c>
      <c r="C336" t="s">
        <v>61</v>
      </c>
      <c r="D336" t="s">
        <v>63</v>
      </c>
      <c r="E336" t="s">
        <v>55</v>
      </c>
      <c r="F336">
        <v>0</v>
      </c>
      <c r="G336">
        <v>2375</v>
      </c>
      <c r="H336">
        <v>1</v>
      </c>
      <c r="I336" t="s">
        <v>173</v>
      </c>
      <c r="J336">
        <v>1</v>
      </c>
      <c r="K336" s="6">
        <v>1.19</v>
      </c>
      <c r="L336" t="s">
        <v>174</v>
      </c>
      <c r="M336">
        <v>0</v>
      </c>
      <c r="N336" t="s">
        <v>175</v>
      </c>
      <c r="O336">
        <v>1</v>
      </c>
      <c r="P336">
        <v>1</v>
      </c>
      <c r="Q336" s="6">
        <v>39.5</v>
      </c>
      <c r="R336">
        <v>0</v>
      </c>
      <c r="S336" s="6">
        <v>0</v>
      </c>
      <c r="T336">
        <v>0</v>
      </c>
      <c r="U336" s="6">
        <v>1363</v>
      </c>
      <c r="V336">
        <v>0</v>
      </c>
      <c r="W336">
        <v>0</v>
      </c>
      <c r="X336">
        <v>0</v>
      </c>
      <c r="Y336" s="6">
        <v>41.4</v>
      </c>
      <c r="Z336">
        <v>0</v>
      </c>
      <c r="AA336">
        <v>0.112</v>
      </c>
      <c r="AB336">
        <v>3.9E-2</v>
      </c>
      <c r="AC336">
        <v>6</v>
      </c>
      <c r="AD336" s="6">
        <v>50</v>
      </c>
      <c r="AE336" s="6">
        <v>0</v>
      </c>
      <c r="AF336" s="6">
        <v>0</v>
      </c>
      <c r="AG336" s="6">
        <v>68.37</v>
      </c>
      <c r="AH336" s="6">
        <v>89.07</v>
      </c>
      <c r="AI336" s="6">
        <f t="shared" si="10"/>
        <v>20.699999999999989</v>
      </c>
      <c r="AJ336" s="5">
        <f t="shared" si="11"/>
        <v>0.2324014819804647</v>
      </c>
    </row>
    <row r="337" spans="1:36">
      <c r="A337" t="s">
        <v>348</v>
      </c>
      <c r="B337" t="s">
        <v>618</v>
      </c>
      <c r="C337" t="s">
        <v>61</v>
      </c>
      <c r="D337" t="s">
        <v>63</v>
      </c>
      <c r="E337" t="s">
        <v>55</v>
      </c>
      <c r="F337">
        <v>0</v>
      </c>
      <c r="G337">
        <v>2375</v>
      </c>
      <c r="H337">
        <v>1</v>
      </c>
      <c r="I337" t="s">
        <v>173</v>
      </c>
      <c r="J337">
        <v>1</v>
      </c>
      <c r="K337" s="6">
        <v>1.03</v>
      </c>
      <c r="L337" t="s">
        <v>174</v>
      </c>
      <c r="M337">
        <v>0</v>
      </c>
      <c r="N337" t="s">
        <v>175</v>
      </c>
      <c r="O337">
        <v>1</v>
      </c>
      <c r="P337">
        <v>0</v>
      </c>
      <c r="Q337" s="6">
        <v>24</v>
      </c>
      <c r="R337">
        <v>0</v>
      </c>
      <c r="S337" s="6">
        <v>0</v>
      </c>
      <c r="T337">
        <v>0</v>
      </c>
      <c r="U337" s="6">
        <v>1259</v>
      </c>
      <c r="V337">
        <v>0</v>
      </c>
      <c r="W337">
        <v>0</v>
      </c>
      <c r="X337">
        <v>0</v>
      </c>
      <c r="Y337" s="6">
        <v>41.4</v>
      </c>
      <c r="Z337">
        <v>0</v>
      </c>
      <c r="AA337">
        <v>0.112</v>
      </c>
      <c r="AB337">
        <v>3.9E-2</v>
      </c>
      <c r="AC337">
        <v>6</v>
      </c>
      <c r="AD337" s="6">
        <v>50</v>
      </c>
      <c r="AE337" s="6">
        <v>0</v>
      </c>
      <c r="AF337" s="6">
        <v>0</v>
      </c>
      <c r="AG337" s="6">
        <v>49.04</v>
      </c>
      <c r="AH337" s="6">
        <v>63.24</v>
      </c>
      <c r="AI337" s="6">
        <f t="shared" si="10"/>
        <v>14.200000000000003</v>
      </c>
      <c r="AJ337" s="5">
        <f t="shared" si="11"/>
        <v>0.22454142947501585</v>
      </c>
    </row>
    <row r="338" spans="1:36">
      <c r="A338" t="s">
        <v>343</v>
      </c>
      <c r="B338" t="s">
        <v>619</v>
      </c>
      <c r="C338" t="s">
        <v>61</v>
      </c>
      <c r="D338" t="s">
        <v>63</v>
      </c>
      <c r="E338" t="s">
        <v>55</v>
      </c>
      <c r="F338">
        <v>0</v>
      </c>
      <c r="G338">
        <v>2375</v>
      </c>
      <c r="H338">
        <v>1</v>
      </c>
      <c r="I338" t="s">
        <v>173</v>
      </c>
      <c r="J338">
        <v>1</v>
      </c>
      <c r="K338" s="6">
        <v>1.73</v>
      </c>
      <c r="L338" t="s">
        <v>174</v>
      </c>
      <c r="M338">
        <v>0</v>
      </c>
      <c r="N338" t="s">
        <v>175</v>
      </c>
      <c r="O338">
        <v>1</v>
      </c>
      <c r="P338">
        <v>0</v>
      </c>
      <c r="Q338" s="6">
        <v>23</v>
      </c>
      <c r="R338">
        <v>0</v>
      </c>
      <c r="S338" s="6">
        <v>0</v>
      </c>
      <c r="T338">
        <v>0</v>
      </c>
      <c r="U338" s="6">
        <v>1820</v>
      </c>
      <c r="V338">
        <v>0</v>
      </c>
      <c r="W338">
        <v>0</v>
      </c>
      <c r="X338">
        <v>0</v>
      </c>
      <c r="Y338" s="6">
        <v>41.4</v>
      </c>
      <c r="Z338">
        <v>0</v>
      </c>
      <c r="AA338">
        <v>0.112</v>
      </c>
      <c r="AB338">
        <v>3.9E-2</v>
      </c>
      <c r="AC338">
        <v>6</v>
      </c>
      <c r="AD338" s="6">
        <v>50</v>
      </c>
      <c r="AE338" s="6">
        <v>0</v>
      </c>
      <c r="AF338" s="6">
        <v>0</v>
      </c>
      <c r="AG338" s="6">
        <v>47.73</v>
      </c>
      <c r="AH338" s="6">
        <v>64.540000000000006</v>
      </c>
      <c r="AI338" s="6">
        <f t="shared" si="10"/>
        <v>16.810000000000009</v>
      </c>
      <c r="AJ338" s="5">
        <f t="shared" si="11"/>
        <v>0.26045863030678662</v>
      </c>
    </row>
    <row r="339" spans="1:36">
      <c r="A339" t="s">
        <v>393</v>
      </c>
      <c r="B339" t="s">
        <v>620</v>
      </c>
      <c r="C339" t="s">
        <v>61</v>
      </c>
      <c r="D339" t="s">
        <v>63</v>
      </c>
      <c r="E339" t="s">
        <v>55</v>
      </c>
      <c r="F339">
        <v>0</v>
      </c>
      <c r="G339">
        <v>2375</v>
      </c>
      <c r="H339">
        <v>1</v>
      </c>
      <c r="I339" t="s">
        <v>173</v>
      </c>
      <c r="J339">
        <v>1</v>
      </c>
      <c r="K339" s="6">
        <v>2.71</v>
      </c>
      <c r="L339" t="s">
        <v>174</v>
      </c>
      <c r="M339">
        <v>0</v>
      </c>
      <c r="N339" t="s">
        <v>272</v>
      </c>
      <c r="O339">
        <v>5</v>
      </c>
      <c r="P339">
        <v>1</v>
      </c>
      <c r="Q339" s="6">
        <v>199.6</v>
      </c>
      <c r="R339">
        <v>0</v>
      </c>
      <c r="S339" s="6">
        <v>0</v>
      </c>
      <c r="T339">
        <v>0</v>
      </c>
      <c r="U339" s="6">
        <v>1924</v>
      </c>
      <c r="V339">
        <v>0</v>
      </c>
      <c r="W339">
        <v>0</v>
      </c>
      <c r="X339">
        <v>0</v>
      </c>
      <c r="Y339" s="6">
        <v>41.4</v>
      </c>
      <c r="Z339">
        <v>0</v>
      </c>
      <c r="AA339">
        <v>0.112</v>
      </c>
      <c r="AB339">
        <v>3.9E-2</v>
      </c>
      <c r="AC339">
        <v>6</v>
      </c>
      <c r="AD339" s="6">
        <v>50</v>
      </c>
      <c r="AE339" s="6">
        <v>0</v>
      </c>
      <c r="AF339" s="6">
        <v>0</v>
      </c>
      <c r="AG339" s="6">
        <v>146.28</v>
      </c>
      <c r="AH339" s="6">
        <v>183.84</v>
      </c>
      <c r="AI339" s="6">
        <f t="shared" si="10"/>
        <v>37.56</v>
      </c>
      <c r="AJ339" s="5">
        <f t="shared" si="11"/>
        <v>0.20430809399477809</v>
      </c>
    </row>
    <row r="340" spans="1:36">
      <c r="A340" t="s">
        <v>261</v>
      </c>
      <c r="B340" t="s">
        <v>621</v>
      </c>
      <c r="C340" t="s">
        <v>61</v>
      </c>
      <c r="D340" t="s">
        <v>63</v>
      </c>
      <c r="E340" t="s">
        <v>55</v>
      </c>
      <c r="F340">
        <v>0</v>
      </c>
      <c r="G340">
        <v>2375</v>
      </c>
      <c r="H340">
        <v>1</v>
      </c>
      <c r="I340" t="s">
        <v>220</v>
      </c>
      <c r="J340">
        <v>2</v>
      </c>
      <c r="K340" s="6">
        <v>3.78</v>
      </c>
      <c r="L340" t="s">
        <v>174</v>
      </c>
      <c r="M340">
        <v>0</v>
      </c>
      <c r="N340" t="s">
        <v>187</v>
      </c>
      <c r="O340">
        <v>2</v>
      </c>
      <c r="P340">
        <v>0</v>
      </c>
      <c r="Q340" s="6">
        <v>69.3</v>
      </c>
      <c r="R340">
        <v>0</v>
      </c>
      <c r="S340" s="6">
        <v>0</v>
      </c>
      <c r="T340">
        <v>0</v>
      </c>
      <c r="U340" s="6">
        <v>2380</v>
      </c>
      <c r="V340">
        <v>0</v>
      </c>
      <c r="W340">
        <v>0</v>
      </c>
      <c r="X340">
        <v>0</v>
      </c>
      <c r="Y340" s="6">
        <v>41.4</v>
      </c>
      <c r="Z340">
        <v>0</v>
      </c>
      <c r="AA340">
        <v>0.112</v>
      </c>
      <c r="AB340">
        <v>3.9E-2</v>
      </c>
      <c r="AC340">
        <v>6</v>
      </c>
      <c r="AD340" s="6">
        <v>50</v>
      </c>
      <c r="AE340" s="6">
        <v>0</v>
      </c>
      <c r="AF340" s="6">
        <v>0</v>
      </c>
      <c r="AG340" s="6">
        <v>60.05</v>
      </c>
      <c r="AH340" s="6">
        <v>75.260000000000005</v>
      </c>
      <c r="AI340" s="6">
        <f t="shared" si="10"/>
        <v>15.210000000000008</v>
      </c>
      <c r="AJ340" s="5">
        <f t="shared" si="11"/>
        <v>0.20209938878554354</v>
      </c>
    </row>
    <row r="341" spans="1:36">
      <c r="A341" t="s">
        <v>528</v>
      </c>
      <c r="B341" t="s">
        <v>622</v>
      </c>
      <c r="C341" t="s">
        <v>61</v>
      </c>
      <c r="D341" t="s">
        <v>63</v>
      </c>
      <c r="E341" t="s">
        <v>55</v>
      </c>
      <c r="F341">
        <v>0</v>
      </c>
      <c r="G341">
        <v>2375</v>
      </c>
      <c r="H341">
        <v>1</v>
      </c>
      <c r="I341" t="s">
        <v>173</v>
      </c>
      <c r="J341">
        <v>1</v>
      </c>
      <c r="K341" s="6">
        <v>1.96</v>
      </c>
      <c r="L341" t="s">
        <v>174</v>
      </c>
      <c r="M341">
        <v>0</v>
      </c>
      <c r="N341" t="s">
        <v>175</v>
      </c>
      <c r="O341">
        <v>1</v>
      </c>
      <c r="P341">
        <v>0</v>
      </c>
      <c r="Q341" s="6">
        <v>39.299999999999997</v>
      </c>
      <c r="R341">
        <v>0</v>
      </c>
      <c r="S341" s="6">
        <v>0</v>
      </c>
      <c r="T341">
        <v>0</v>
      </c>
      <c r="U341" s="6">
        <v>1887</v>
      </c>
      <c r="V341">
        <v>0</v>
      </c>
      <c r="W341">
        <v>0</v>
      </c>
      <c r="X341">
        <v>0</v>
      </c>
      <c r="Y341" s="6">
        <v>41.4</v>
      </c>
      <c r="Z341">
        <v>0</v>
      </c>
      <c r="AA341">
        <v>0.112</v>
      </c>
      <c r="AB341">
        <v>3.9E-2</v>
      </c>
      <c r="AC341">
        <v>6</v>
      </c>
      <c r="AD341" s="6">
        <v>50</v>
      </c>
      <c r="AE341" s="6">
        <v>0</v>
      </c>
      <c r="AF341" s="6">
        <v>0</v>
      </c>
      <c r="AG341" s="6">
        <v>50.67</v>
      </c>
      <c r="AH341" s="6">
        <v>65.91</v>
      </c>
      <c r="AI341" s="6">
        <f t="shared" si="10"/>
        <v>15.239999999999995</v>
      </c>
      <c r="AJ341" s="5">
        <f t="shared" si="11"/>
        <v>0.23122439690487021</v>
      </c>
    </row>
    <row r="342" spans="1:36">
      <c r="A342" t="s">
        <v>236</v>
      </c>
      <c r="B342" t="s">
        <v>623</v>
      </c>
      <c r="C342" t="s">
        <v>61</v>
      </c>
      <c r="D342" t="s">
        <v>63</v>
      </c>
      <c r="E342" t="s">
        <v>55</v>
      </c>
      <c r="F342">
        <v>0</v>
      </c>
      <c r="G342">
        <v>2375</v>
      </c>
      <c r="H342">
        <v>1</v>
      </c>
      <c r="I342" t="s">
        <v>173</v>
      </c>
      <c r="J342">
        <v>1</v>
      </c>
      <c r="K342" s="6">
        <v>1.86</v>
      </c>
      <c r="L342" t="s">
        <v>174</v>
      </c>
      <c r="M342">
        <v>0</v>
      </c>
      <c r="N342" t="s">
        <v>175</v>
      </c>
      <c r="O342">
        <v>1</v>
      </c>
      <c r="P342">
        <v>0</v>
      </c>
      <c r="Q342" s="6">
        <v>29.9</v>
      </c>
      <c r="R342">
        <v>0</v>
      </c>
      <c r="S342" s="6">
        <v>0</v>
      </c>
      <c r="T342">
        <v>0</v>
      </c>
      <c r="U342" s="6">
        <v>515</v>
      </c>
      <c r="V342">
        <v>0</v>
      </c>
      <c r="W342">
        <v>0</v>
      </c>
      <c r="X342">
        <v>0</v>
      </c>
      <c r="Y342" s="6">
        <v>41.4</v>
      </c>
      <c r="Z342">
        <v>0</v>
      </c>
      <c r="AA342">
        <v>0.112</v>
      </c>
      <c r="AB342">
        <v>3.9E-2</v>
      </c>
      <c r="AC342">
        <v>6</v>
      </c>
      <c r="AD342" s="6">
        <v>50</v>
      </c>
      <c r="AE342" s="6">
        <v>0</v>
      </c>
      <c r="AF342" s="6">
        <v>0</v>
      </c>
      <c r="AG342" s="6">
        <v>49.87</v>
      </c>
      <c r="AH342" s="6">
        <v>67.150000000000006</v>
      </c>
      <c r="AI342" s="6">
        <f t="shared" si="10"/>
        <v>17.280000000000008</v>
      </c>
      <c r="AJ342" s="5">
        <f t="shared" si="11"/>
        <v>0.2573343261355176</v>
      </c>
    </row>
    <row r="343" spans="1:36">
      <c r="A343" t="s">
        <v>501</v>
      </c>
      <c r="B343" t="s">
        <v>624</v>
      </c>
      <c r="C343" t="s">
        <v>61</v>
      </c>
      <c r="D343" t="s">
        <v>63</v>
      </c>
      <c r="E343" t="s">
        <v>55</v>
      </c>
      <c r="F343">
        <v>0</v>
      </c>
      <c r="G343">
        <v>2375</v>
      </c>
      <c r="H343">
        <v>1</v>
      </c>
      <c r="I343" t="s">
        <v>173</v>
      </c>
      <c r="J343">
        <v>1</v>
      </c>
      <c r="K343" s="6">
        <v>2.0099999999999998</v>
      </c>
      <c r="L343" t="s">
        <v>174</v>
      </c>
      <c r="M343">
        <v>0</v>
      </c>
      <c r="N343" t="s">
        <v>187</v>
      </c>
      <c r="O343">
        <v>2</v>
      </c>
      <c r="P343">
        <v>0</v>
      </c>
      <c r="Q343" s="6">
        <v>60.8</v>
      </c>
      <c r="R343">
        <v>0</v>
      </c>
      <c r="S343" s="6">
        <v>0</v>
      </c>
      <c r="T343">
        <v>0</v>
      </c>
      <c r="U343" s="6">
        <v>694</v>
      </c>
      <c r="V343">
        <v>0</v>
      </c>
      <c r="W343">
        <v>0</v>
      </c>
      <c r="X343">
        <v>0</v>
      </c>
      <c r="Y343" s="6">
        <v>41.4</v>
      </c>
      <c r="Z343">
        <v>0</v>
      </c>
      <c r="AA343">
        <v>0.112</v>
      </c>
      <c r="AB343">
        <v>3.9E-2</v>
      </c>
      <c r="AC343">
        <v>6</v>
      </c>
      <c r="AD343" s="6">
        <v>50</v>
      </c>
      <c r="AE343" s="6">
        <v>0</v>
      </c>
      <c r="AF343" s="6">
        <v>0</v>
      </c>
      <c r="AG343" s="6">
        <v>52.63</v>
      </c>
      <c r="AH343" s="6">
        <v>68.89</v>
      </c>
      <c r="AI343" s="6">
        <f t="shared" si="10"/>
        <v>16.259999999999998</v>
      </c>
      <c r="AJ343" s="5">
        <f t="shared" si="11"/>
        <v>0.23602845115401361</v>
      </c>
    </row>
    <row r="344" spans="1:36">
      <c r="A344" t="s">
        <v>243</v>
      </c>
      <c r="B344" t="s">
        <v>625</v>
      </c>
      <c r="C344" t="s">
        <v>61</v>
      </c>
      <c r="D344" t="s">
        <v>63</v>
      </c>
      <c r="E344" t="s">
        <v>55</v>
      </c>
      <c r="F344">
        <v>0</v>
      </c>
      <c r="G344">
        <v>2375</v>
      </c>
      <c r="H344">
        <v>1</v>
      </c>
      <c r="I344" t="s">
        <v>173</v>
      </c>
      <c r="J344">
        <v>1</v>
      </c>
      <c r="K344" s="6">
        <v>1.01</v>
      </c>
      <c r="L344" t="s">
        <v>174</v>
      </c>
      <c r="M344">
        <v>0</v>
      </c>
      <c r="N344" t="s">
        <v>175</v>
      </c>
      <c r="O344">
        <v>1</v>
      </c>
      <c r="P344">
        <v>1</v>
      </c>
      <c r="Q344" s="6">
        <v>27</v>
      </c>
      <c r="R344">
        <v>0</v>
      </c>
      <c r="S344" s="6">
        <v>0</v>
      </c>
      <c r="T344">
        <v>0</v>
      </c>
      <c r="U344" s="6">
        <v>4452</v>
      </c>
      <c r="V344">
        <v>0</v>
      </c>
      <c r="W344">
        <v>0</v>
      </c>
      <c r="X344">
        <v>0</v>
      </c>
      <c r="Y344" s="6">
        <v>41.4</v>
      </c>
      <c r="Z344">
        <v>0</v>
      </c>
      <c r="AA344">
        <v>0.112</v>
      </c>
      <c r="AB344">
        <v>3.9E-2</v>
      </c>
      <c r="AC344">
        <v>6</v>
      </c>
      <c r="AD344" s="6">
        <v>50</v>
      </c>
      <c r="AE344" s="6">
        <v>0</v>
      </c>
      <c r="AF344" s="6">
        <v>0</v>
      </c>
      <c r="AG344" s="6">
        <v>63.46</v>
      </c>
      <c r="AH344" s="6">
        <v>81.12</v>
      </c>
      <c r="AI344" s="6">
        <f t="shared" si="10"/>
        <v>17.660000000000004</v>
      </c>
      <c r="AJ344" s="5">
        <f t="shared" si="11"/>
        <v>0.21770216962524658</v>
      </c>
    </row>
    <row r="345" spans="1:36">
      <c r="A345" t="s">
        <v>233</v>
      </c>
      <c r="B345" t="s">
        <v>626</v>
      </c>
      <c r="C345" t="s">
        <v>61</v>
      </c>
      <c r="D345" t="s">
        <v>63</v>
      </c>
      <c r="E345" t="s">
        <v>55</v>
      </c>
      <c r="F345">
        <v>0</v>
      </c>
      <c r="G345">
        <v>2375</v>
      </c>
      <c r="H345">
        <v>1</v>
      </c>
      <c r="I345" t="s">
        <v>173</v>
      </c>
      <c r="J345">
        <v>1</v>
      </c>
      <c r="K345" s="6">
        <v>1.1299999999999999</v>
      </c>
      <c r="L345" t="s">
        <v>174</v>
      </c>
      <c r="M345">
        <v>0</v>
      </c>
      <c r="N345" t="s">
        <v>175</v>
      </c>
      <c r="O345">
        <v>1</v>
      </c>
      <c r="P345">
        <v>0</v>
      </c>
      <c r="Q345" s="6">
        <v>32.4</v>
      </c>
      <c r="R345">
        <v>0</v>
      </c>
      <c r="S345" s="6">
        <v>0</v>
      </c>
      <c r="T345">
        <v>0</v>
      </c>
      <c r="U345" s="6">
        <v>1282</v>
      </c>
      <c r="V345">
        <v>0</v>
      </c>
      <c r="W345">
        <v>0</v>
      </c>
      <c r="X345">
        <v>0</v>
      </c>
      <c r="Y345" s="6">
        <v>41.4</v>
      </c>
      <c r="Z345">
        <v>0</v>
      </c>
      <c r="AA345">
        <v>0.112</v>
      </c>
      <c r="AB345">
        <v>3.9E-2</v>
      </c>
      <c r="AC345">
        <v>6</v>
      </c>
      <c r="AD345" s="6">
        <v>50</v>
      </c>
      <c r="AE345" s="6">
        <v>0</v>
      </c>
      <c r="AF345" s="6">
        <v>0</v>
      </c>
      <c r="AG345" s="6">
        <v>46.54</v>
      </c>
      <c r="AH345" s="6">
        <v>61.33</v>
      </c>
      <c r="AI345" s="6">
        <f t="shared" si="10"/>
        <v>14.79</v>
      </c>
      <c r="AJ345" s="5">
        <f t="shared" si="11"/>
        <v>0.24115441056579162</v>
      </c>
    </row>
    <row r="346" spans="1:36">
      <c r="A346" t="s">
        <v>365</v>
      </c>
      <c r="B346" t="s">
        <v>627</v>
      </c>
      <c r="C346" t="s">
        <v>61</v>
      </c>
      <c r="D346" t="s">
        <v>63</v>
      </c>
      <c r="E346" t="s">
        <v>55</v>
      </c>
      <c r="F346">
        <v>0</v>
      </c>
      <c r="G346">
        <v>2375</v>
      </c>
      <c r="H346">
        <v>1</v>
      </c>
      <c r="I346" t="s">
        <v>173</v>
      </c>
      <c r="J346">
        <v>1</v>
      </c>
      <c r="K346" s="6">
        <v>2.21</v>
      </c>
      <c r="L346" t="s">
        <v>174</v>
      </c>
      <c r="M346">
        <v>0</v>
      </c>
      <c r="N346" t="s">
        <v>175</v>
      </c>
      <c r="O346">
        <v>1</v>
      </c>
      <c r="P346">
        <v>0</v>
      </c>
      <c r="Q346" s="6">
        <v>27.9</v>
      </c>
      <c r="R346">
        <v>0</v>
      </c>
      <c r="S346" s="6">
        <v>0</v>
      </c>
      <c r="T346">
        <v>0</v>
      </c>
      <c r="U346" s="6">
        <v>946</v>
      </c>
      <c r="V346">
        <v>0</v>
      </c>
      <c r="W346">
        <v>0</v>
      </c>
      <c r="X346">
        <v>0</v>
      </c>
      <c r="Y346" s="6">
        <v>41.4</v>
      </c>
      <c r="Z346">
        <v>0</v>
      </c>
      <c r="AA346">
        <v>0.112</v>
      </c>
      <c r="AB346">
        <v>3.9E-2</v>
      </c>
      <c r="AC346">
        <v>6</v>
      </c>
      <c r="AD346" s="6">
        <v>50</v>
      </c>
      <c r="AE346" s="6">
        <v>0</v>
      </c>
      <c r="AF346" s="6">
        <v>0</v>
      </c>
      <c r="AG346" s="6">
        <v>45.13</v>
      </c>
      <c r="AH346" s="6">
        <v>57.01</v>
      </c>
      <c r="AI346" s="6">
        <f t="shared" si="10"/>
        <v>11.879999999999995</v>
      </c>
      <c r="AJ346" s="5">
        <f t="shared" si="11"/>
        <v>0.20838449394843003</v>
      </c>
    </row>
    <row r="347" spans="1:36">
      <c r="A347" t="s">
        <v>528</v>
      </c>
      <c r="B347" t="s">
        <v>628</v>
      </c>
      <c r="C347" t="s">
        <v>61</v>
      </c>
      <c r="D347" t="s">
        <v>63</v>
      </c>
      <c r="E347" t="s">
        <v>55</v>
      </c>
      <c r="F347">
        <v>0</v>
      </c>
      <c r="G347">
        <v>2375</v>
      </c>
      <c r="H347">
        <v>1</v>
      </c>
      <c r="I347" t="s">
        <v>173</v>
      </c>
      <c r="J347">
        <v>1</v>
      </c>
      <c r="K347" s="6">
        <v>2.61</v>
      </c>
      <c r="L347" t="s">
        <v>174</v>
      </c>
      <c r="M347">
        <v>0</v>
      </c>
      <c r="N347" t="s">
        <v>217</v>
      </c>
      <c r="O347">
        <v>4</v>
      </c>
      <c r="P347">
        <v>1</v>
      </c>
      <c r="Q347" s="6">
        <v>128.80000000000001</v>
      </c>
      <c r="R347">
        <v>0</v>
      </c>
      <c r="S347" s="6">
        <v>0</v>
      </c>
      <c r="T347">
        <v>0</v>
      </c>
      <c r="U347" s="6">
        <v>1626</v>
      </c>
      <c r="V347">
        <v>0</v>
      </c>
      <c r="W347">
        <v>0</v>
      </c>
      <c r="X347">
        <v>0</v>
      </c>
      <c r="Y347" s="6">
        <v>41.4</v>
      </c>
      <c r="Z347">
        <v>0</v>
      </c>
      <c r="AA347">
        <v>0.112</v>
      </c>
      <c r="AB347">
        <v>3.9E-2</v>
      </c>
      <c r="AC347">
        <v>6</v>
      </c>
      <c r="AD347" s="6">
        <v>50</v>
      </c>
      <c r="AE347" s="6">
        <v>0</v>
      </c>
      <c r="AF347" s="6">
        <v>0</v>
      </c>
      <c r="AG347" s="6">
        <v>96.33</v>
      </c>
      <c r="AH347" s="6">
        <v>120.8</v>
      </c>
      <c r="AI347" s="6">
        <f t="shared" si="10"/>
        <v>24.47</v>
      </c>
      <c r="AJ347" s="5">
        <f t="shared" si="11"/>
        <v>0.20256622516556291</v>
      </c>
    </row>
    <row r="348" spans="1:36">
      <c r="A348" t="s">
        <v>286</v>
      </c>
      <c r="B348" t="s">
        <v>629</v>
      </c>
      <c r="C348" t="s">
        <v>61</v>
      </c>
      <c r="D348" t="s">
        <v>63</v>
      </c>
      <c r="E348" t="s">
        <v>55</v>
      </c>
      <c r="F348">
        <v>0</v>
      </c>
      <c r="G348">
        <v>2375</v>
      </c>
      <c r="H348">
        <v>1</v>
      </c>
      <c r="I348" t="s">
        <v>173</v>
      </c>
      <c r="J348">
        <v>1</v>
      </c>
      <c r="K348" s="6">
        <v>2.2200000000000002</v>
      </c>
      <c r="L348" t="s">
        <v>174</v>
      </c>
      <c r="M348">
        <v>0</v>
      </c>
      <c r="N348" t="s">
        <v>272</v>
      </c>
      <c r="O348">
        <v>5</v>
      </c>
      <c r="P348">
        <v>1</v>
      </c>
      <c r="Q348" s="6">
        <v>241.2</v>
      </c>
      <c r="R348">
        <v>0</v>
      </c>
      <c r="S348" s="6">
        <v>0</v>
      </c>
      <c r="T348">
        <v>0</v>
      </c>
      <c r="U348" s="6">
        <v>1191</v>
      </c>
      <c r="V348">
        <v>0</v>
      </c>
      <c r="W348">
        <v>0</v>
      </c>
      <c r="X348">
        <v>0</v>
      </c>
      <c r="Y348" s="6">
        <v>41.4</v>
      </c>
      <c r="Z348">
        <v>0</v>
      </c>
      <c r="AA348">
        <v>0.112</v>
      </c>
      <c r="AB348">
        <v>3.9E-2</v>
      </c>
      <c r="AC348">
        <v>6</v>
      </c>
      <c r="AD348" s="6">
        <v>50</v>
      </c>
      <c r="AE348" s="6">
        <v>0</v>
      </c>
      <c r="AF348" s="6">
        <v>0</v>
      </c>
      <c r="AG348" s="6">
        <v>141.22999999999999</v>
      </c>
      <c r="AH348" s="6">
        <v>178.47</v>
      </c>
      <c r="AI348" s="6">
        <f t="shared" si="10"/>
        <v>37.240000000000009</v>
      </c>
      <c r="AJ348" s="5">
        <f t="shared" si="11"/>
        <v>0.20866252031153701</v>
      </c>
    </row>
    <row r="349" spans="1:36">
      <c r="A349" t="s">
        <v>185</v>
      </c>
      <c r="B349" t="s">
        <v>630</v>
      </c>
      <c r="C349" t="s">
        <v>61</v>
      </c>
      <c r="D349" t="s">
        <v>63</v>
      </c>
      <c r="E349" t="s">
        <v>55</v>
      </c>
      <c r="F349">
        <v>0</v>
      </c>
      <c r="G349">
        <v>2375</v>
      </c>
      <c r="H349">
        <v>1</v>
      </c>
      <c r="I349" t="s">
        <v>173</v>
      </c>
      <c r="J349">
        <v>1</v>
      </c>
      <c r="K349" s="6">
        <v>1.47</v>
      </c>
      <c r="L349" t="s">
        <v>174</v>
      </c>
      <c r="M349">
        <v>0</v>
      </c>
      <c r="N349" t="s">
        <v>175</v>
      </c>
      <c r="O349">
        <v>1</v>
      </c>
      <c r="P349">
        <v>1</v>
      </c>
      <c r="Q349" s="6">
        <v>35.9</v>
      </c>
      <c r="R349">
        <v>0</v>
      </c>
      <c r="S349" s="6">
        <v>0</v>
      </c>
      <c r="T349">
        <v>0</v>
      </c>
      <c r="U349" s="6">
        <v>769</v>
      </c>
      <c r="V349">
        <v>0</v>
      </c>
      <c r="W349">
        <v>0</v>
      </c>
      <c r="X349">
        <v>0</v>
      </c>
      <c r="Y349" s="6">
        <v>41.4</v>
      </c>
      <c r="Z349">
        <v>0</v>
      </c>
      <c r="AA349">
        <v>0.112</v>
      </c>
      <c r="AB349">
        <v>3.9E-2</v>
      </c>
      <c r="AC349">
        <v>6</v>
      </c>
      <c r="AD349" s="6">
        <v>50</v>
      </c>
      <c r="AE349" s="6">
        <v>0</v>
      </c>
      <c r="AF349" s="6">
        <v>0</v>
      </c>
      <c r="AG349" s="6">
        <v>74.47</v>
      </c>
      <c r="AH349" s="6">
        <v>95.69</v>
      </c>
      <c r="AI349" s="6">
        <f t="shared" si="10"/>
        <v>21.22</v>
      </c>
      <c r="AJ349" s="5">
        <f t="shared" si="11"/>
        <v>0.22175775943149753</v>
      </c>
    </row>
    <row r="350" spans="1:36">
      <c r="A350" t="s">
        <v>350</v>
      </c>
      <c r="B350" t="s">
        <v>631</v>
      </c>
      <c r="C350" t="s">
        <v>61</v>
      </c>
      <c r="D350" t="s">
        <v>63</v>
      </c>
      <c r="E350" t="s">
        <v>55</v>
      </c>
      <c r="F350">
        <v>0</v>
      </c>
      <c r="G350">
        <v>2375</v>
      </c>
      <c r="H350">
        <v>1</v>
      </c>
      <c r="I350" t="s">
        <v>220</v>
      </c>
      <c r="J350">
        <v>2</v>
      </c>
      <c r="K350" s="6">
        <v>2.7</v>
      </c>
      <c r="L350" t="s">
        <v>174</v>
      </c>
      <c r="M350">
        <v>0</v>
      </c>
      <c r="N350" t="s">
        <v>272</v>
      </c>
      <c r="O350">
        <v>5</v>
      </c>
      <c r="P350">
        <v>1</v>
      </c>
      <c r="Q350" s="6">
        <v>204.2</v>
      </c>
      <c r="R350">
        <v>0</v>
      </c>
      <c r="S350" s="6">
        <v>0</v>
      </c>
      <c r="T350">
        <v>0</v>
      </c>
      <c r="U350" s="6">
        <v>417</v>
      </c>
      <c r="V350">
        <v>0</v>
      </c>
      <c r="W350">
        <v>0</v>
      </c>
      <c r="X350">
        <v>0</v>
      </c>
      <c r="Y350" s="6">
        <v>41.4</v>
      </c>
      <c r="Z350">
        <v>0</v>
      </c>
      <c r="AA350">
        <v>0.112</v>
      </c>
      <c r="AB350">
        <v>3.9E-2</v>
      </c>
      <c r="AC350">
        <v>6</v>
      </c>
      <c r="AD350" s="6">
        <v>50</v>
      </c>
      <c r="AE350" s="6">
        <v>0</v>
      </c>
      <c r="AF350" s="6">
        <v>0</v>
      </c>
      <c r="AG350" s="6">
        <v>150.91999999999999</v>
      </c>
      <c r="AH350" s="6">
        <v>192.58</v>
      </c>
      <c r="AI350" s="6">
        <f t="shared" si="10"/>
        <v>41.660000000000025</v>
      </c>
      <c r="AJ350" s="5">
        <f t="shared" si="11"/>
        <v>0.21632568283310843</v>
      </c>
    </row>
    <row r="351" spans="1:36">
      <c r="A351" t="s">
        <v>517</v>
      </c>
      <c r="B351" t="s">
        <v>632</v>
      </c>
      <c r="C351" t="s">
        <v>61</v>
      </c>
      <c r="D351" t="s">
        <v>63</v>
      </c>
      <c r="E351" t="s">
        <v>55</v>
      </c>
      <c r="F351">
        <v>0</v>
      </c>
      <c r="G351">
        <v>2375</v>
      </c>
      <c r="H351">
        <v>1</v>
      </c>
      <c r="I351" t="s">
        <v>173</v>
      </c>
      <c r="J351">
        <v>1</v>
      </c>
      <c r="K351" s="6">
        <v>2.61</v>
      </c>
      <c r="L351" t="s">
        <v>174</v>
      </c>
      <c r="M351">
        <v>0</v>
      </c>
      <c r="N351" t="s">
        <v>217</v>
      </c>
      <c r="O351">
        <v>4</v>
      </c>
      <c r="P351">
        <v>1</v>
      </c>
      <c r="Q351" s="6">
        <v>112.8</v>
      </c>
      <c r="R351">
        <v>0</v>
      </c>
      <c r="S351" s="6">
        <v>0</v>
      </c>
      <c r="T351">
        <v>0</v>
      </c>
      <c r="U351" s="6">
        <v>829</v>
      </c>
      <c r="V351">
        <v>0</v>
      </c>
      <c r="W351">
        <v>0</v>
      </c>
      <c r="X351">
        <v>0</v>
      </c>
      <c r="Y351" s="6">
        <v>41.4</v>
      </c>
      <c r="Z351">
        <v>0</v>
      </c>
      <c r="AA351">
        <v>0.112</v>
      </c>
      <c r="AB351">
        <v>3.9E-2</v>
      </c>
      <c r="AC351">
        <v>6</v>
      </c>
      <c r="AD351" s="6">
        <v>50</v>
      </c>
      <c r="AE351" s="6">
        <v>0</v>
      </c>
      <c r="AF351" s="6">
        <v>0</v>
      </c>
      <c r="AG351" s="6">
        <v>102.32</v>
      </c>
      <c r="AH351" s="6">
        <v>132.58000000000001</v>
      </c>
      <c r="AI351" s="6">
        <f t="shared" si="10"/>
        <v>30.260000000000019</v>
      </c>
      <c r="AJ351" s="5">
        <f t="shared" si="11"/>
        <v>0.228239553477146</v>
      </c>
    </row>
    <row r="352" spans="1:36">
      <c r="A352" t="s">
        <v>345</v>
      </c>
      <c r="B352" t="s">
        <v>633</v>
      </c>
      <c r="C352" t="s">
        <v>61</v>
      </c>
      <c r="D352" t="s">
        <v>63</v>
      </c>
      <c r="E352" t="s">
        <v>55</v>
      </c>
      <c r="F352">
        <v>0</v>
      </c>
      <c r="G352">
        <v>2375</v>
      </c>
      <c r="H352">
        <v>1</v>
      </c>
      <c r="I352" t="s">
        <v>173</v>
      </c>
      <c r="J352">
        <v>1</v>
      </c>
      <c r="K352" s="6">
        <v>2.36</v>
      </c>
      <c r="L352" t="s">
        <v>174</v>
      </c>
      <c r="M352">
        <v>0</v>
      </c>
      <c r="N352" t="s">
        <v>187</v>
      </c>
      <c r="O352">
        <v>2</v>
      </c>
      <c r="P352">
        <v>0</v>
      </c>
      <c r="Q352" s="6">
        <v>60.5</v>
      </c>
      <c r="R352">
        <v>0</v>
      </c>
      <c r="S352" s="6">
        <v>0</v>
      </c>
      <c r="T352">
        <v>0</v>
      </c>
      <c r="U352" s="6">
        <v>624</v>
      </c>
      <c r="V352">
        <v>0</v>
      </c>
      <c r="W352">
        <v>0</v>
      </c>
      <c r="X352">
        <v>0</v>
      </c>
      <c r="Y352" s="6">
        <v>41.4</v>
      </c>
      <c r="Z352">
        <v>0</v>
      </c>
      <c r="AA352">
        <v>0.112</v>
      </c>
      <c r="AB352">
        <v>3.9E-2</v>
      </c>
      <c r="AC352">
        <v>6</v>
      </c>
      <c r="AD352" s="6">
        <v>50</v>
      </c>
      <c r="AE352" s="6">
        <v>0</v>
      </c>
      <c r="AF352" s="6">
        <v>0</v>
      </c>
      <c r="AG352" s="6">
        <v>49.98</v>
      </c>
      <c r="AH352" s="6">
        <v>63.62</v>
      </c>
      <c r="AI352" s="6">
        <f t="shared" si="10"/>
        <v>13.64</v>
      </c>
      <c r="AJ352" s="5">
        <f t="shared" si="11"/>
        <v>0.21439798805407106</v>
      </c>
    </row>
    <row r="353" spans="1:36">
      <c r="A353" t="s">
        <v>403</v>
      </c>
      <c r="B353" t="s">
        <v>634</v>
      </c>
      <c r="C353" t="s">
        <v>61</v>
      </c>
      <c r="D353" t="s">
        <v>63</v>
      </c>
      <c r="E353" t="s">
        <v>55</v>
      </c>
      <c r="F353">
        <v>0</v>
      </c>
      <c r="G353">
        <v>2375</v>
      </c>
      <c r="H353">
        <v>1</v>
      </c>
      <c r="I353" t="s">
        <v>220</v>
      </c>
      <c r="J353">
        <v>2</v>
      </c>
      <c r="K353" s="6">
        <v>3.93</v>
      </c>
      <c r="L353" t="s">
        <v>174</v>
      </c>
      <c r="M353">
        <v>0</v>
      </c>
      <c r="N353" t="s">
        <v>182</v>
      </c>
      <c r="O353">
        <v>3</v>
      </c>
      <c r="P353">
        <v>0</v>
      </c>
      <c r="Q353" s="6">
        <v>35.799999999999997</v>
      </c>
      <c r="R353">
        <v>0</v>
      </c>
      <c r="S353" s="6">
        <v>0</v>
      </c>
      <c r="T353">
        <v>0</v>
      </c>
      <c r="U353" s="6">
        <v>759</v>
      </c>
      <c r="V353">
        <v>0</v>
      </c>
      <c r="W353">
        <v>0</v>
      </c>
      <c r="X353">
        <v>0</v>
      </c>
      <c r="Y353" s="6">
        <v>41.4</v>
      </c>
      <c r="Z353">
        <v>0</v>
      </c>
      <c r="AA353">
        <v>0.112</v>
      </c>
      <c r="AB353">
        <v>3.9E-2</v>
      </c>
      <c r="AC353">
        <v>6</v>
      </c>
      <c r="AD353" s="6">
        <v>50</v>
      </c>
      <c r="AE353" s="6">
        <v>0</v>
      </c>
      <c r="AF353" s="6">
        <v>0</v>
      </c>
      <c r="AG353" s="6">
        <v>72.69</v>
      </c>
      <c r="AH353" s="6">
        <v>92.74</v>
      </c>
      <c r="AI353" s="6">
        <f t="shared" si="10"/>
        <v>20.049999999999997</v>
      </c>
      <c r="AJ353" s="5">
        <f t="shared" si="11"/>
        <v>0.21619581626051323</v>
      </c>
    </row>
    <row r="354" spans="1:36">
      <c r="A354" t="s">
        <v>635</v>
      </c>
      <c r="B354" t="s">
        <v>636</v>
      </c>
      <c r="C354" t="s">
        <v>61</v>
      </c>
      <c r="D354" t="s">
        <v>63</v>
      </c>
      <c r="E354" t="s">
        <v>55</v>
      </c>
      <c r="F354">
        <v>0</v>
      </c>
      <c r="G354">
        <v>2375</v>
      </c>
      <c r="H354">
        <v>1</v>
      </c>
      <c r="I354" t="s">
        <v>173</v>
      </c>
      <c r="J354">
        <v>1</v>
      </c>
      <c r="K354" s="6">
        <v>2.2799999999999998</v>
      </c>
      <c r="L354" t="s">
        <v>174</v>
      </c>
      <c r="M354">
        <v>0</v>
      </c>
      <c r="N354" t="s">
        <v>175</v>
      </c>
      <c r="O354">
        <v>1</v>
      </c>
      <c r="P354">
        <v>0</v>
      </c>
      <c r="Q354" s="6">
        <v>34.6</v>
      </c>
      <c r="R354">
        <v>0</v>
      </c>
      <c r="S354" s="6">
        <v>0</v>
      </c>
      <c r="T354">
        <v>0</v>
      </c>
      <c r="U354" s="6">
        <v>539</v>
      </c>
      <c r="V354">
        <v>0</v>
      </c>
      <c r="W354">
        <v>0</v>
      </c>
      <c r="X354">
        <v>0</v>
      </c>
      <c r="Y354" s="6">
        <v>41.4</v>
      </c>
      <c r="Z354">
        <v>0</v>
      </c>
      <c r="AA354">
        <v>0.112</v>
      </c>
      <c r="AB354">
        <v>3.9E-2</v>
      </c>
      <c r="AC354">
        <v>6</v>
      </c>
      <c r="AD354" s="6">
        <v>50</v>
      </c>
      <c r="AE354" s="6">
        <v>0</v>
      </c>
      <c r="AF354" s="6">
        <v>0</v>
      </c>
      <c r="AG354" s="6">
        <v>49.71</v>
      </c>
      <c r="AH354" s="6">
        <v>62.46</v>
      </c>
      <c r="AI354" s="6">
        <f t="shared" si="10"/>
        <v>12.75</v>
      </c>
      <c r="AJ354" s="5">
        <f t="shared" si="11"/>
        <v>0.20413064361191163</v>
      </c>
    </row>
    <row r="355" spans="1:36">
      <c r="A355" t="s">
        <v>192</v>
      </c>
      <c r="B355" t="s">
        <v>637</v>
      </c>
      <c r="C355" t="s">
        <v>61</v>
      </c>
      <c r="D355" t="s">
        <v>63</v>
      </c>
      <c r="E355" t="s">
        <v>55</v>
      </c>
      <c r="F355">
        <v>0</v>
      </c>
      <c r="G355">
        <v>2375</v>
      </c>
      <c r="H355">
        <v>1</v>
      </c>
      <c r="I355" t="s">
        <v>173</v>
      </c>
      <c r="J355">
        <v>1</v>
      </c>
      <c r="K355" s="6">
        <v>2.33</v>
      </c>
      <c r="L355" t="s">
        <v>174</v>
      </c>
      <c r="M355">
        <v>0</v>
      </c>
      <c r="N355" t="s">
        <v>175</v>
      </c>
      <c r="O355">
        <v>1</v>
      </c>
      <c r="P355">
        <v>0</v>
      </c>
      <c r="Q355" s="6">
        <v>22.5</v>
      </c>
      <c r="R355">
        <v>0</v>
      </c>
      <c r="S355" s="6">
        <v>0</v>
      </c>
      <c r="T355">
        <v>0</v>
      </c>
      <c r="U355" s="6">
        <v>644</v>
      </c>
      <c r="V355">
        <v>0</v>
      </c>
      <c r="W355">
        <v>0</v>
      </c>
      <c r="X355">
        <v>0</v>
      </c>
      <c r="Y355" s="6">
        <v>41.4</v>
      </c>
      <c r="Z355">
        <v>0</v>
      </c>
      <c r="AA355">
        <v>0.112</v>
      </c>
      <c r="AB355">
        <v>3.9E-2</v>
      </c>
      <c r="AC355">
        <v>6</v>
      </c>
      <c r="AD355" s="6">
        <v>50</v>
      </c>
      <c r="AE355" s="6">
        <v>0</v>
      </c>
      <c r="AF355" s="6">
        <v>0</v>
      </c>
      <c r="AG355" s="6">
        <v>49.58</v>
      </c>
      <c r="AH355" s="6">
        <v>64.430000000000007</v>
      </c>
      <c r="AI355" s="6">
        <f t="shared" si="10"/>
        <v>14.850000000000009</v>
      </c>
      <c r="AJ355" s="5">
        <f t="shared" si="11"/>
        <v>0.23048269439702013</v>
      </c>
    </row>
    <row r="356" spans="1:36">
      <c r="A356" t="s">
        <v>384</v>
      </c>
      <c r="B356" t="s">
        <v>638</v>
      </c>
      <c r="C356" t="s">
        <v>61</v>
      </c>
      <c r="D356" t="s">
        <v>63</v>
      </c>
      <c r="E356" t="s">
        <v>55</v>
      </c>
      <c r="F356">
        <v>0</v>
      </c>
      <c r="G356">
        <v>2375</v>
      </c>
      <c r="H356">
        <v>1</v>
      </c>
      <c r="I356" t="s">
        <v>173</v>
      </c>
      <c r="J356">
        <v>1</v>
      </c>
      <c r="K356" s="6">
        <v>1.73</v>
      </c>
      <c r="L356" t="s">
        <v>174</v>
      </c>
      <c r="M356">
        <v>0</v>
      </c>
      <c r="N356" t="s">
        <v>217</v>
      </c>
      <c r="O356">
        <v>4</v>
      </c>
      <c r="P356">
        <v>1</v>
      </c>
      <c r="Q356" s="6">
        <v>175.9</v>
      </c>
      <c r="R356">
        <v>0</v>
      </c>
      <c r="S356" s="6">
        <v>0</v>
      </c>
      <c r="T356">
        <v>0</v>
      </c>
      <c r="U356" s="6">
        <v>772</v>
      </c>
      <c r="V356">
        <v>0</v>
      </c>
      <c r="W356">
        <v>0</v>
      </c>
      <c r="X356">
        <v>0</v>
      </c>
      <c r="Y356" s="6">
        <v>41.4</v>
      </c>
      <c r="Z356">
        <v>0</v>
      </c>
      <c r="AA356">
        <v>0.112</v>
      </c>
      <c r="AB356">
        <v>3.9E-2</v>
      </c>
      <c r="AC356">
        <v>6</v>
      </c>
      <c r="AD356" s="6">
        <v>50</v>
      </c>
      <c r="AE356" s="6">
        <v>0</v>
      </c>
      <c r="AF356" s="6">
        <v>0</v>
      </c>
      <c r="AG356" s="6">
        <v>102.51</v>
      </c>
      <c r="AH356" s="6">
        <v>128.49</v>
      </c>
      <c r="AI356" s="6">
        <f t="shared" si="10"/>
        <v>25.980000000000004</v>
      </c>
      <c r="AJ356" s="5">
        <f t="shared" si="11"/>
        <v>0.20219472332477237</v>
      </c>
    </row>
    <row r="357" spans="1:36">
      <c r="A357" t="s">
        <v>431</v>
      </c>
      <c r="B357" t="s">
        <v>639</v>
      </c>
      <c r="C357" t="s">
        <v>61</v>
      </c>
      <c r="D357" t="s">
        <v>63</v>
      </c>
      <c r="E357" t="s">
        <v>55</v>
      </c>
      <c r="F357">
        <v>0</v>
      </c>
      <c r="G357">
        <v>2375</v>
      </c>
      <c r="H357">
        <v>1</v>
      </c>
      <c r="I357" t="s">
        <v>220</v>
      </c>
      <c r="J357">
        <v>2</v>
      </c>
      <c r="K357" s="6">
        <v>2.85</v>
      </c>
      <c r="L357" t="s">
        <v>174</v>
      </c>
      <c r="M357">
        <v>0</v>
      </c>
      <c r="N357" t="s">
        <v>187</v>
      </c>
      <c r="O357">
        <v>2</v>
      </c>
      <c r="P357">
        <v>0</v>
      </c>
      <c r="Q357" s="6">
        <v>55.5</v>
      </c>
      <c r="R357">
        <v>1</v>
      </c>
      <c r="S357" s="6">
        <v>1473</v>
      </c>
      <c r="T357">
        <v>0</v>
      </c>
      <c r="U357" s="6">
        <v>1532</v>
      </c>
      <c r="V357">
        <v>0</v>
      </c>
      <c r="W357">
        <v>0</v>
      </c>
      <c r="X357">
        <v>0</v>
      </c>
      <c r="Y357" s="6">
        <v>41.4</v>
      </c>
      <c r="Z357">
        <v>0</v>
      </c>
      <c r="AA357">
        <v>0.112</v>
      </c>
      <c r="AB357">
        <v>3.9E-2</v>
      </c>
      <c r="AC357">
        <v>6</v>
      </c>
      <c r="AD357" s="6">
        <v>50</v>
      </c>
      <c r="AE357" s="6">
        <v>25</v>
      </c>
      <c r="AF357" s="6">
        <v>0</v>
      </c>
      <c r="AG357" s="6">
        <v>65.88</v>
      </c>
      <c r="AH357" s="6">
        <v>85.24</v>
      </c>
      <c r="AI357" s="6">
        <f t="shared" si="10"/>
        <v>19.36</v>
      </c>
      <c r="AJ357" s="5">
        <f t="shared" si="11"/>
        <v>0.2271234162365087</v>
      </c>
    </row>
    <row r="358" spans="1:36">
      <c r="A358" t="s">
        <v>293</v>
      </c>
      <c r="B358" t="s">
        <v>640</v>
      </c>
      <c r="C358" t="s">
        <v>61</v>
      </c>
      <c r="D358" t="s">
        <v>63</v>
      </c>
      <c r="E358" t="s">
        <v>55</v>
      </c>
      <c r="F358">
        <v>0</v>
      </c>
      <c r="G358">
        <v>2375</v>
      </c>
      <c r="H358">
        <v>1</v>
      </c>
      <c r="I358" t="s">
        <v>173</v>
      </c>
      <c r="J358">
        <v>1</v>
      </c>
      <c r="K358" s="6">
        <v>1.76</v>
      </c>
      <c r="L358" t="s">
        <v>174</v>
      </c>
      <c r="M358">
        <v>0</v>
      </c>
      <c r="N358" t="s">
        <v>175</v>
      </c>
      <c r="O358">
        <v>1</v>
      </c>
      <c r="P358">
        <v>0</v>
      </c>
      <c r="Q358" s="6">
        <v>49</v>
      </c>
      <c r="R358">
        <v>0</v>
      </c>
      <c r="S358" s="6">
        <v>0</v>
      </c>
      <c r="T358">
        <v>0</v>
      </c>
      <c r="U358" s="6">
        <v>917</v>
      </c>
      <c r="V358">
        <v>0</v>
      </c>
      <c r="W358">
        <v>0</v>
      </c>
      <c r="X358">
        <v>0</v>
      </c>
      <c r="Y358" s="6">
        <v>41.4</v>
      </c>
      <c r="Z358">
        <v>0</v>
      </c>
      <c r="AA358">
        <v>0.112</v>
      </c>
      <c r="AB358">
        <v>3.9E-2</v>
      </c>
      <c r="AC358">
        <v>6</v>
      </c>
      <c r="AD358" s="6">
        <v>50</v>
      </c>
      <c r="AE358" s="6">
        <v>0</v>
      </c>
      <c r="AF358" s="6">
        <v>0</v>
      </c>
      <c r="AG358" s="6">
        <v>49.81</v>
      </c>
      <c r="AH358" s="6">
        <v>64.739999999999995</v>
      </c>
      <c r="AI358" s="6">
        <f t="shared" si="10"/>
        <v>14.929999999999993</v>
      </c>
      <c r="AJ358" s="5">
        <f t="shared" si="11"/>
        <v>0.23061476675934497</v>
      </c>
    </row>
    <row r="359" spans="1:36">
      <c r="A359" t="s">
        <v>258</v>
      </c>
      <c r="B359" t="s">
        <v>641</v>
      </c>
      <c r="C359" t="s">
        <v>61</v>
      </c>
      <c r="D359" t="s">
        <v>63</v>
      </c>
      <c r="E359" t="s">
        <v>55</v>
      </c>
      <c r="F359">
        <v>0</v>
      </c>
      <c r="G359">
        <v>2375</v>
      </c>
      <c r="H359">
        <v>1</v>
      </c>
      <c r="I359" t="s">
        <v>173</v>
      </c>
      <c r="J359">
        <v>1</v>
      </c>
      <c r="K359" s="6">
        <v>1.87</v>
      </c>
      <c r="L359" t="s">
        <v>174</v>
      </c>
      <c r="M359">
        <v>0</v>
      </c>
      <c r="N359" t="s">
        <v>175</v>
      </c>
      <c r="O359">
        <v>1</v>
      </c>
      <c r="P359">
        <v>0</v>
      </c>
      <c r="Q359" s="6">
        <v>30.9</v>
      </c>
      <c r="R359">
        <v>0</v>
      </c>
      <c r="S359" s="6">
        <v>0</v>
      </c>
      <c r="T359">
        <v>0</v>
      </c>
      <c r="U359" s="6">
        <v>867</v>
      </c>
      <c r="V359">
        <v>0</v>
      </c>
      <c r="W359">
        <v>0</v>
      </c>
      <c r="X359">
        <v>0</v>
      </c>
      <c r="Y359" s="6">
        <v>41.4</v>
      </c>
      <c r="Z359">
        <v>0</v>
      </c>
      <c r="AA359">
        <v>0.112</v>
      </c>
      <c r="AB359">
        <v>3.9E-2</v>
      </c>
      <c r="AC359">
        <v>6</v>
      </c>
      <c r="AD359" s="6">
        <v>50</v>
      </c>
      <c r="AE359" s="6">
        <v>0</v>
      </c>
      <c r="AF359" s="6">
        <v>0</v>
      </c>
      <c r="AG359" s="6">
        <v>41.52</v>
      </c>
      <c r="AH359" s="6">
        <v>53.42</v>
      </c>
      <c r="AI359" s="6">
        <f t="shared" si="10"/>
        <v>11.899999999999999</v>
      </c>
      <c r="AJ359" s="5">
        <f t="shared" si="11"/>
        <v>0.22276301010857352</v>
      </c>
    </row>
    <row r="360" spans="1:36">
      <c r="A360" t="s">
        <v>434</v>
      </c>
      <c r="B360" t="s">
        <v>642</v>
      </c>
      <c r="C360" t="s">
        <v>61</v>
      </c>
      <c r="D360" t="s">
        <v>63</v>
      </c>
      <c r="E360" t="s">
        <v>55</v>
      </c>
      <c r="F360">
        <v>0</v>
      </c>
      <c r="G360">
        <v>2375</v>
      </c>
      <c r="H360">
        <v>1</v>
      </c>
      <c r="I360" t="s">
        <v>173</v>
      </c>
      <c r="J360">
        <v>1</v>
      </c>
      <c r="K360" s="6">
        <v>2.29</v>
      </c>
      <c r="L360" t="s">
        <v>174</v>
      </c>
      <c r="M360">
        <v>0</v>
      </c>
      <c r="N360" t="s">
        <v>182</v>
      </c>
      <c r="O360">
        <v>3</v>
      </c>
      <c r="P360">
        <v>0</v>
      </c>
      <c r="Q360" s="6">
        <v>53</v>
      </c>
      <c r="R360">
        <v>0</v>
      </c>
      <c r="S360" s="6">
        <v>0</v>
      </c>
      <c r="T360">
        <v>0</v>
      </c>
      <c r="U360" s="6">
        <v>448</v>
      </c>
      <c r="V360">
        <v>0</v>
      </c>
      <c r="W360">
        <v>0</v>
      </c>
      <c r="X360">
        <v>0</v>
      </c>
      <c r="Y360" s="6">
        <v>41.4</v>
      </c>
      <c r="Z360">
        <v>0</v>
      </c>
      <c r="AA360">
        <v>0.112</v>
      </c>
      <c r="AB360">
        <v>3.9E-2</v>
      </c>
      <c r="AC360">
        <v>6</v>
      </c>
      <c r="AD360" s="6">
        <v>50</v>
      </c>
      <c r="AE360" s="6">
        <v>0</v>
      </c>
      <c r="AF360" s="6">
        <v>0</v>
      </c>
      <c r="AG360" s="6">
        <v>58.16</v>
      </c>
      <c r="AH360" s="6">
        <v>77.430000000000007</v>
      </c>
      <c r="AI360" s="6">
        <f t="shared" si="10"/>
        <v>19.27000000000001</v>
      </c>
      <c r="AJ360" s="5">
        <f t="shared" si="11"/>
        <v>0.24886994704894755</v>
      </c>
    </row>
    <row r="361" spans="1:36">
      <c r="A361" t="s">
        <v>188</v>
      </c>
      <c r="B361" t="s">
        <v>643</v>
      </c>
      <c r="C361" t="s">
        <v>61</v>
      </c>
      <c r="D361" t="s">
        <v>63</v>
      </c>
      <c r="E361" t="s">
        <v>55</v>
      </c>
      <c r="F361">
        <v>0</v>
      </c>
      <c r="G361">
        <v>2375</v>
      </c>
      <c r="H361">
        <v>1</v>
      </c>
      <c r="I361" t="s">
        <v>173</v>
      </c>
      <c r="J361">
        <v>1</v>
      </c>
      <c r="K361" s="6">
        <v>3.07</v>
      </c>
      <c r="L361" t="s">
        <v>174</v>
      </c>
      <c r="M361">
        <v>0</v>
      </c>
      <c r="N361" t="s">
        <v>175</v>
      </c>
      <c r="O361">
        <v>1</v>
      </c>
      <c r="P361">
        <v>0</v>
      </c>
      <c r="Q361" s="6">
        <v>21</v>
      </c>
      <c r="R361">
        <v>0</v>
      </c>
      <c r="S361" s="6">
        <v>0</v>
      </c>
      <c r="T361">
        <v>0</v>
      </c>
      <c r="U361" s="6">
        <v>563</v>
      </c>
      <c r="V361">
        <v>0</v>
      </c>
      <c r="W361">
        <v>0</v>
      </c>
      <c r="X361">
        <v>0</v>
      </c>
      <c r="Y361" s="6">
        <v>41.4</v>
      </c>
      <c r="Z361">
        <v>0</v>
      </c>
      <c r="AA361">
        <v>0.112</v>
      </c>
      <c r="AB361">
        <v>3.9E-2</v>
      </c>
      <c r="AC361">
        <v>6</v>
      </c>
      <c r="AD361" s="6">
        <v>50</v>
      </c>
      <c r="AE361" s="6">
        <v>0</v>
      </c>
      <c r="AF361" s="6">
        <v>0</v>
      </c>
      <c r="AG361" s="6">
        <v>47.82</v>
      </c>
      <c r="AH361" s="6">
        <v>63.59</v>
      </c>
      <c r="AI361" s="6">
        <f t="shared" si="10"/>
        <v>15.770000000000003</v>
      </c>
      <c r="AJ361" s="5">
        <f t="shared" si="11"/>
        <v>0.24799496776222679</v>
      </c>
    </row>
    <row r="362" spans="1:36">
      <c r="A362" t="s">
        <v>194</v>
      </c>
      <c r="B362" t="s">
        <v>644</v>
      </c>
      <c r="C362" t="s">
        <v>61</v>
      </c>
      <c r="D362" t="s">
        <v>63</v>
      </c>
      <c r="E362" t="s">
        <v>55</v>
      </c>
      <c r="F362">
        <v>0</v>
      </c>
      <c r="G362">
        <v>2375</v>
      </c>
      <c r="H362">
        <v>1</v>
      </c>
      <c r="I362" t="s">
        <v>173</v>
      </c>
      <c r="J362">
        <v>1</v>
      </c>
      <c r="K362" s="6">
        <v>2.15</v>
      </c>
      <c r="L362" t="s">
        <v>174</v>
      </c>
      <c r="M362">
        <v>0</v>
      </c>
      <c r="N362" t="s">
        <v>272</v>
      </c>
      <c r="O362">
        <v>5</v>
      </c>
      <c r="P362">
        <v>1</v>
      </c>
      <c r="Q362" s="6">
        <v>93.4</v>
      </c>
      <c r="R362">
        <v>1</v>
      </c>
      <c r="S362" s="6">
        <v>1479</v>
      </c>
      <c r="T362">
        <v>0</v>
      </c>
      <c r="U362" s="6">
        <v>1299</v>
      </c>
      <c r="V362">
        <v>0</v>
      </c>
      <c r="W362">
        <v>0</v>
      </c>
      <c r="X362">
        <v>0</v>
      </c>
      <c r="Y362" s="6">
        <v>41.4</v>
      </c>
      <c r="Z362">
        <v>0</v>
      </c>
      <c r="AA362">
        <v>0.112</v>
      </c>
      <c r="AB362">
        <v>3.9E-2</v>
      </c>
      <c r="AC362">
        <v>6</v>
      </c>
      <c r="AD362" s="6">
        <v>50</v>
      </c>
      <c r="AE362" s="6">
        <v>25</v>
      </c>
      <c r="AF362" s="6">
        <v>0</v>
      </c>
      <c r="AG362" s="6">
        <v>149.56</v>
      </c>
      <c r="AH362" s="6">
        <v>187.34</v>
      </c>
      <c r="AI362" s="6">
        <f t="shared" si="10"/>
        <v>37.78</v>
      </c>
      <c r="AJ362" s="5">
        <f t="shared" si="11"/>
        <v>0.20166542115938935</v>
      </c>
    </row>
    <row r="363" spans="1:36">
      <c r="A363" t="s">
        <v>245</v>
      </c>
      <c r="B363" t="s">
        <v>645</v>
      </c>
      <c r="C363" t="s">
        <v>61</v>
      </c>
      <c r="D363" t="s">
        <v>63</v>
      </c>
      <c r="E363" t="s">
        <v>55</v>
      </c>
      <c r="F363">
        <v>0</v>
      </c>
      <c r="G363">
        <v>2375</v>
      </c>
      <c r="H363">
        <v>1</v>
      </c>
      <c r="I363" t="s">
        <v>173</v>
      </c>
      <c r="J363">
        <v>1</v>
      </c>
      <c r="K363" s="6">
        <v>0.6</v>
      </c>
      <c r="L363" t="s">
        <v>174</v>
      </c>
      <c r="M363">
        <v>0</v>
      </c>
      <c r="N363" t="s">
        <v>187</v>
      </c>
      <c r="O363">
        <v>2</v>
      </c>
      <c r="P363">
        <v>0</v>
      </c>
      <c r="Q363" s="6">
        <v>58.1</v>
      </c>
      <c r="R363">
        <v>0</v>
      </c>
      <c r="S363" s="6">
        <v>0</v>
      </c>
      <c r="T363">
        <v>0</v>
      </c>
      <c r="U363" s="6">
        <v>1024</v>
      </c>
      <c r="V363">
        <v>0</v>
      </c>
      <c r="W363">
        <v>0</v>
      </c>
      <c r="X363">
        <v>0</v>
      </c>
      <c r="Y363" s="6">
        <v>41.4</v>
      </c>
      <c r="Z363">
        <v>0</v>
      </c>
      <c r="AA363">
        <v>0.112</v>
      </c>
      <c r="AB363">
        <v>3.9E-2</v>
      </c>
      <c r="AC363">
        <v>6</v>
      </c>
      <c r="AD363" s="6">
        <v>50</v>
      </c>
      <c r="AE363" s="6">
        <v>0</v>
      </c>
      <c r="AF363" s="6">
        <v>0</v>
      </c>
      <c r="AG363" s="6">
        <v>57.62</v>
      </c>
      <c r="AH363" s="6">
        <v>76.59</v>
      </c>
      <c r="AI363" s="6">
        <f t="shared" si="10"/>
        <v>18.970000000000006</v>
      </c>
      <c r="AJ363" s="5">
        <f t="shared" si="11"/>
        <v>0.24768246507376948</v>
      </c>
    </row>
    <row r="364" spans="1:36">
      <c r="A364" t="s">
        <v>240</v>
      </c>
      <c r="B364" t="s">
        <v>646</v>
      </c>
      <c r="C364" t="s">
        <v>61</v>
      </c>
      <c r="D364" t="s">
        <v>63</v>
      </c>
      <c r="E364" t="s">
        <v>55</v>
      </c>
      <c r="F364">
        <v>0</v>
      </c>
      <c r="G364">
        <v>2375</v>
      </c>
      <c r="H364">
        <v>1</v>
      </c>
      <c r="I364" t="s">
        <v>173</v>
      </c>
      <c r="J364">
        <v>1</v>
      </c>
      <c r="K364" s="6">
        <v>2.29</v>
      </c>
      <c r="L364" t="s">
        <v>174</v>
      </c>
      <c r="M364">
        <v>0</v>
      </c>
      <c r="N364" t="s">
        <v>182</v>
      </c>
      <c r="O364">
        <v>3</v>
      </c>
      <c r="P364">
        <v>0</v>
      </c>
      <c r="Q364" s="6">
        <v>101.3</v>
      </c>
      <c r="R364">
        <v>0</v>
      </c>
      <c r="S364" s="6">
        <v>0</v>
      </c>
      <c r="T364">
        <v>0</v>
      </c>
      <c r="U364" s="6">
        <v>1584</v>
      </c>
      <c r="V364">
        <v>0</v>
      </c>
      <c r="W364">
        <v>0</v>
      </c>
      <c r="X364">
        <v>0</v>
      </c>
      <c r="Y364" s="6">
        <v>41.4</v>
      </c>
      <c r="Z364">
        <v>0</v>
      </c>
      <c r="AA364">
        <v>0.112</v>
      </c>
      <c r="AB364">
        <v>3.9E-2</v>
      </c>
      <c r="AC364">
        <v>6</v>
      </c>
      <c r="AD364" s="6">
        <v>50</v>
      </c>
      <c r="AE364" s="6">
        <v>0</v>
      </c>
      <c r="AF364" s="6">
        <v>0</v>
      </c>
      <c r="AG364" s="6">
        <v>66.09</v>
      </c>
      <c r="AH364" s="6">
        <v>86.87</v>
      </c>
      <c r="AI364" s="6">
        <f t="shared" si="10"/>
        <v>20.78</v>
      </c>
      <c r="AJ364" s="5">
        <f t="shared" si="11"/>
        <v>0.23920801197191205</v>
      </c>
    </row>
    <row r="365" spans="1:36">
      <c r="A365" t="s">
        <v>296</v>
      </c>
      <c r="B365" t="s">
        <v>647</v>
      </c>
      <c r="C365" t="s">
        <v>61</v>
      </c>
      <c r="D365" t="s">
        <v>63</v>
      </c>
      <c r="E365" t="s">
        <v>55</v>
      </c>
      <c r="F365">
        <v>0</v>
      </c>
      <c r="G365">
        <v>2375</v>
      </c>
      <c r="H365">
        <v>1</v>
      </c>
      <c r="I365" t="s">
        <v>173</v>
      </c>
      <c r="J365">
        <v>1</v>
      </c>
      <c r="K365" s="6">
        <v>2.41</v>
      </c>
      <c r="L365" t="s">
        <v>174</v>
      </c>
      <c r="M365">
        <v>0</v>
      </c>
      <c r="N365" t="s">
        <v>217</v>
      </c>
      <c r="O365">
        <v>4</v>
      </c>
      <c r="P365">
        <v>1</v>
      </c>
      <c r="Q365" s="6">
        <v>133.5</v>
      </c>
      <c r="R365">
        <v>0</v>
      </c>
      <c r="S365" s="6">
        <v>0</v>
      </c>
      <c r="T365">
        <v>0</v>
      </c>
      <c r="U365" s="6">
        <v>1047</v>
      </c>
      <c r="V365">
        <v>0</v>
      </c>
      <c r="W365">
        <v>0</v>
      </c>
      <c r="X365">
        <v>0</v>
      </c>
      <c r="Y365" s="6">
        <v>41.4</v>
      </c>
      <c r="Z365">
        <v>0</v>
      </c>
      <c r="AA365">
        <v>0.112</v>
      </c>
      <c r="AB365">
        <v>3.9E-2</v>
      </c>
      <c r="AC365">
        <v>6</v>
      </c>
      <c r="AD365" s="6">
        <v>50</v>
      </c>
      <c r="AE365" s="6">
        <v>0</v>
      </c>
      <c r="AF365" s="6">
        <v>0</v>
      </c>
      <c r="AG365" s="6">
        <v>95.16</v>
      </c>
      <c r="AH365" s="6">
        <v>121.91</v>
      </c>
      <c r="AI365" s="6">
        <f t="shared" si="10"/>
        <v>26.75</v>
      </c>
      <c r="AJ365" s="5">
        <f t="shared" si="11"/>
        <v>0.21942416536789436</v>
      </c>
    </row>
    <row r="366" spans="1:36">
      <c r="A366" t="s">
        <v>188</v>
      </c>
      <c r="B366" t="s">
        <v>648</v>
      </c>
      <c r="C366" t="s">
        <v>61</v>
      </c>
      <c r="D366" t="s">
        <v>63</v>
      </c>
      <c r="E366" t="s">
        <v>55</v>
      </c>
      <c r="F366">
        <v>0</v>
      </c>
      <c r="G366">
        <v>2375</v>
      </c>
      <c r="H366">
        <v>1</v>
      </c>
      <c r="I366" t="s">
        <v>181</v>
      </c>
      <c r="J366">
        <v>3</v>
      </c>
      <c r="K366" s="6">
        <v>8.81</v>
      </c>
      <c r="L366" t="s">
        <v>174</v>
      </c>
      <c r="M366">
        <v>0</v>
      </c>
      <c r="N366" t="s">
        <v>175</v>
      </c>
      <c r="O366">
        <v>1</v>
      </c>
      <c r="P366">
        <v>0</v>
      </c>
      <c r="Q366" s="6">
        <v>27.9</v>
      </c>
      <c r="R366">
        <v>0</v>
      </c>
      <c r="S366" s="6">
        <v>0</v>
      </c>
      <c r="T366">
        <v>0</v>
      </c>
      <c r="U366" s="6">
        <v>828</v>
      </c>
      <c r="V366">
        <v>0</v>
      </c>
      <c r="W366">
        <v>0</v>
      </c>
      <c r="X366">
        <v>0</v>
      </c>
      <c r="Y366" s="6">
        <v>41.4</v>
      </c>
      <c r="Z366">
        <v>0</v>
      </c>
      <c r="AA366">
        <v>0.112</v>
      </c>
      <c r="AB366">
        <v>3.9E-2</v>
      </c>
      <c r="AC366">
        <v>6</v>
      </c>
      <c r="AD366" s="6">
        <v>60</v>
      </c>
      <c r="AE366" s="6">
        <v>0</v>
      </c>
      <c r="AF366" s="6">
        <v>0</v>
      </c>
      <c r="AG366" s="6">
        <v>86.15</v>
      </c>
      <c r="AH366" s="6">
        <v>109.96</v>
      </c>
      <c r="AI366" s="6">
        <f t="shared" si="10"/>
        <v>23.809999999999988</v>
      </c>
      <c r="AJ366" s="5">
        <f t="shared" si="11"/>
        <v>0.21653328483084749</v>
      </c>
    </row>
    <row r="367" spans="1:36">
      <c r="A367" t="s">
        <v>401</v>
      </c>
      <c r="B367" t="s">
        <v>649</v>
      </c>
      <c r="C367" t="s">
        <v>61</v>
      </c>
      <c r="D367" t="s">
        <v>63</v>
      </c>
      <c r="E367" t="s">
        <v>55</v>
      </c>
      <c r="F367">
        <v>0</v>
      </c>
      <c r="G367">
        <v>2375</v>
      </c>
      <c r="H367">
        <v>1</v>
      </c>
      <c r="I367" t="s">
        <v>173</v>
      </c>
      <c r="J367">
        <v>1</v>
      </c>
      <c r="K367" s="6">
        <v>1.1000000000000001</v>
      </c>
      <c r="L367" t="s">
        <v>174</v>
      </c>
      <c r="M367">
        <v>0</v>
      </c>
      <c r="N367" t="s">
        <v>175</v>
      </c>
      <c r="O367">
        <v>1</v>
      </c>
      <c r="P367">
        <v>1</v>
      </c>
      <c r="Q367" s="6">
        <v>49.5</v>
      </c>
      <c r="R367">
        <v>0</v>
      </c>
      <c r="S367" s="6">
        <v>0</v>
      </c>
      <c r="T367">
        <v>0</v>
      </c>
      <c r="U367" s="6">
        <v>1869</v>
      </c>
      <c r="V367">
        <v>0</v>
      </c>
      <c r="W367">
        <v>0</v>
      </c>
      <c r="X367">
        <v>0</v>
      </c>
      <c r="Y367" s="6">
        <v>41.4</v>
      </c>
      <c r="Z367">
        <v>0</v>
      </c>
      <c r="AA367">
        <v>0.112</v>
      </c>
      <c r="AB367">
        <v>3.9E-2</v>
      </c>
      <c r="AC367">
        <v>6</v>
      </c>
      <c r="AD367" s="6">
        <v>50</v>
      </c>
      <c r="AE367" s="6">
        <v>0</v>
      </c>
      <c r="AF367" s="6">
        <v>0</v>
      </c>
      <c r="AG367" s="6">
        <v>73.569999999999993</v>
      </c>
      <c r="AH367" s="6">
        <v>96.61</v>
      </c>
      <c r="AI367" s="6">
        <f t="shared" si="10"/>
        <v>23.040000000000006</v>
      </c>
      <c r="AJ367" s="5">
        <f t="shared" si="11"/>
        <v>0.23848462892040168</v>
      </c>
    </row>
    <row r="368" spans="1:36">
      <c r="A368" t="s">
        <v>284</v>
      </c>
      <c r="B368" t="s">
        <v>650</v>
      </c>
      <c r="C368" t="s">
        <v>61</v>
      </c>
      <c r="D368" t="s">
        <v>63</v>
      </c>
      <c r="E368" t="s">
        <v>55</v>
      </c>
      <c r="F368">
        <v>0</v>
      </c>
      <c r="G368">
        <v>2375</v>
      </c>
      <c r="H368">
        <v>1</v>
      </c>
      <c r="I368" t="s">
        <v>173</v>
      </c>
      <c r="J368">
        <v>1</v>
      </c>
      <c r="K368" s="6">
        <v>1.89</v>
      </c>
      <c r="L368" t="s">
        <v>174</v>
      </c>
      <c r="M368">
        <v>0</v>
      </c>
      <c r="N368" t="s">
        <v>175</v>
      </c>
      <c r="O368">
        <v>1</v>
      </c>
      <c r="P368">
        <v>0</v>
      </c>
      <c r="Q368" s="6">
        <v>29.3</v>
      </c>
      <c r="R368">
        <v>0</v>
      </c>
      <c r="S368" s="6">
        <v>0</v>
      </c>
      <c r="T368">
        <v>0</v>
      </c>
      <c r="U368" s="6">
        <v>1585</v>
      </c>
      <c r="V368">
        <v>0</v>
      </c>
      <c r="W368">
        <v>0</v>
      </c>
      <c r="X368">
        <v>0</v>
      </c>
      <c r="Y368" s="6">
        <v>41.4</v>
      </c>
      <c r="Z368">
        <v>0</v>
      </c>
      <c r="AA368">
        <v>0.112</v>
      </c>
      <c r="AB368">
        <v>3.9E-2</v>
      </c>
      <c r="AC368">
        <v>6</v>
      </c>
      <c r="AD368" s="6">
        <v>50</v>
      </c>
      <c r="AE368" s="6">
        <v>0</v>
      </c>
      <c r="AF368" s="6">
        <v>0</v>
      </c>
      <c r="AG368" s="6">
        <v>53.92</v>
      </c>
      <c r="AH368" s="6">
        <v>72.319999999999993</v>
      </c>
      <c r="AI368" s="6">
        <f t="shared" si="10"/>
        <v>18.399999999999991</v>
      </c>
      <c r="AJ368" s="5">
        <f t="shared" si="11"/>
        <v>0.25442477876106184</v>
      </c>
    </row>
    <row r="369" spans="1:36">
      <c r="A369" t="s">
        <v>360</v>
      </c>
      <c r="B369" t="s">
        <v>651</v>
      </c>
      <c r="C369" t="s">
        <v>61</v>
      </c>
      <c r="D369" t="s">
        <v>63</v>
      </c>
      <c r="E369" t="s">
        <v>55</v>
      </c>
      <c r="F369">
        <v>0</v>
      </c>
      <c r="G369">
        <v>2375</v>
      </c>
      <c r="H369">
        <v>1</v>
      </c>
      <c r="I369" t="s">
        <v>173</v>
      </c>
      <c r="J369">
        <v>1</v>
      </c>
      <c r="K369" s="6">
        <v>1.95</v>
      </c>
      <c r="L369" t="s">
        <v>174</v>
      </c>
      <c r="M369">
        <v>0</v>
      </c>
      <c r="N369" t="s">
        <v>182</v>
      </c>
      <c r="O369">
        <v>3</v>
      </c>
      <c r="P369">
        <v>0</v>
      </c>
      <c r="Q369" s="6">
        <v>141.6</v>
      </c>
      <c r="R369">
        <v>0</v>
      </c>
      <c r="S369" s="6">
        <v>0</v>
      </c>
      <c r="T369">
        <v>0</v>
      </c>
      <c r="U369" s="6">
        <v>2680</v>
      </c>
      <c r="V369">
        <v>0</v>
      </c>
      <c r="W369">
        <v>0</v>
      </c>
      <c r="X369">
        <v>0</v>
      </c>
      <c r="Y369" s="6">
        <v>41.4</v>
      </c>
      <c r="Z369">
        <v>0</v>
      </c>
      <c r="AA369">
        <v>0.112</v>
      </c>
      <c r="AB369">
        <v>3.9E-2</v>
      </c>
      <c r="AC369">
        <v>6</v>
      </c>
      <c r="AD369" s="6">
        <v>50</v>
      </c>
      <c r="AE369" s="6">
        <v>0</v>
      </c>
      <c r="AF369" s="6">
        <v>0</v>
      </c>
      <c r="AG369" s="6">
        <v>59.8</v>
      </c>
      <c r="AH369" s="6">
        <v>78.72</v>
      </c>
      <c r="AI369" s="6">
        <f t="shared" si="10"/>
        <v>18.920000000000002</v>
      </c>
      <c r="AJ369" s="5">
        <f t="shared" si="11"/>
        <v>0.24034552845528459</v>
      </c>
    </row>
    <row r="370" spans="1:36">
      <c r="A370" t="s">
        <v>291</v>
      </c>
      <c r="B370" t="s">
        <v>652</v>
      </c>
      <c r="C370" t="s">
        <v>61</v>
      </c>
      <c r="D370" t="s">
        <v>63</v>
      </c>
      <c r="E370" t="s">
        <v>55</v>
      </c>
      <c r="F370">
        <v>0</v>
      </c>
      <c r="G370">
        <v>2375</v>
      </c>
      <c r="H370">
        <v>1</v>
      </c>
      <c r="I370" t="s">
        <v>173</v>
      </c>
      <c r="J370">
        <v>1</v>
      </c>
      <c r="K370" s="6">
        <v>0.61</v>
      </c>
      <c r="L370" t="s">
        <v>174</v>
      </c>
      <c r="M370">
        <v>0</v>
      </c>
      <c r="N370" t="s">
        <v>187</v>
      </c>
      <c r="O370">
        <v>2</v>
      </c>
      <c r="P370">
        <v>1</v>
      </c>
      <c r="Q370" s="6">
        <v>39.299999999999997</v>
      </c>
      <c r="R370">
        <v>0</v>
      </c>
      <c r="S370" s="6">
        <v>0</v>
      </c>
      <c r="T370">
        <v>0</v>
      </c>
      <c r="U370" s="6">
        <v>908</v>
      </c>
      <c r="V370">
        <v>0</v>
      </c>
      <c r="W370">
        <v>0</v>
      </c>
      <c r="X370">
        <v>0</v>
      </c>
      <c r="Y370" s="6">
        <v>41.4</v>
      </c>
      <c r="Z370">
        <v>0</v>
      </c>
      <c r="AA370">
        <v>0.112</v>
      </c>
      <c r="AB370">
        <v>3.9E-2</v>
      </c>
      <c r="AC370">
        <v>6</v>
      </c>
      <c r="AD370" s="6">
        <v>50</v>
      </c>
      <c r="AE370" s="6">
        <v>0</v>
      </c>
      <c r="AF370" s="6">
        <v>0</v>
      </c>
      <c r="AG370" s="6">
        <v>75.86</v>
      </c>
      <c r="AH370" s="6">
        <v>99.41</v>
      </c>
      <c r="AI370" s="6">
        <f t="shared" si="10"/>
        <v>23.549999999999997</v>
      </c>
      <c r="AJ370" s="5">
        <f t="shared" si="11"/>
        <v>0.23689769640881198</v>
      </c>
    </row>
    <row r="371" spans="1:36">
      <c r="A371" t="s">
        <v>206</v>
      </c>
      <c r="B371" t="s">
        <v>653</v>
      </c>
      <c r="C371" t="s">
        <v>61</v>
      </c>
      <c r="D371" t="s">
        <v>63</v>
      </c>
      <c r="E371" t="s">
        <v>55</v>
      </c>
      <c r="F371">
        <v>0</v>
      </c>
      <c r="G371">
        <v>2375</v>
      </c>
      <c r="H371">
        <v>1</v>
      </c>
      <c r="I371" t="s">
        <v>173</v>
      </c>
      <c r="J371">
        <v>1</v>
      </c>
      <c r="K371" s="6">
        <v>2.23</v>
      </c>
      <c r="L371" t="s">
        <v>174</v>
      </c>
      <c r="M371">
        <v>0</v>
      </c>
      <c r="N371" t="s">
        <v>272</v>
      </c>
      <c r="O371">
        <v>5</v>
      </c>
      <c r="P371">
        <v>1</v>
      </c>
      <c r="Q371" s="6">
        <v>205.2</v>
      </c>
      <c r="R371">
        <v>0</v>
      </c>
      <c r="S371" s="6">
        <v>0</v>
      </c>
      <c r="T371">
        <v>0</v>
      </c>
      <c r="U371" s="6">
        <v>747</v>
      </c>
      <c r="V371">
        <v>0</v>
      </c>
      <c r="W371">
        <v>0</v>
      </c>
      <c r="X371">
        <v>0</v>
      </c>
      <c r="Y371" s="6">
        <v>41.4</v>
      </c>
      <c r="Z371">
        <v>0</v>
      </c>
      <c r="AA371">
        <v>0.112</v>
      </c>
      <c r="AB371">
        <v>3.9E-2</v>
      </c>
      <c r="AC371">
        <v>6</v>
      </c>
      <c r="AD371" s="6">
        <v>50</v>
      </c>
      <c r="AE371" s="6">
        <v>0</v>
      </c>
      <c r="AF371" s="6">
        <v>0</v>
      </c>
      <c r="AG371" s="6">
        <v>150.66999999999999</v>
      </c>
      <c r="AH371" s="6">
        <v>188.86</v>
      </c>
      <c r="AI371" s="6">
        <f t="shared" si="10"/>
        <v>38.190000000000026</v>
      </c>
      <c r="AJ371" s="5">
        <f t="shared" si="11"/>
        <v>0.20221327967806854</v>
      </c>
    </row>
    <row r="372" spans="1:36">
      <c r="A372" t="s">
        <v>343</v>
      </c>
      <c r="B372" t="s">
        <v>654</v>
      </c>
      <c r="C372" t="s">
        <v>61</v>
      </c>
      <c r="D372" t="s">
        <v>63</v>
      </c>
      <c r="E372" t="s">
        <v>55</v>
      </c>
      <c r="F372">
        <v>0</v>
      </c>
      <c r="G372">
        <v>2375</v>
      </c>
      <c r="H372">
        <v>1</v>
      </c>
      <c r="I372" t="s">
        <v>173</v>
      </c>
      <c r="J372">
        <v>1</v>
      </c>
      <c r="K372" s="6">
        <v>1.6</v>
      </c>
      <c r="L372" t="s">
        <v>174</v>
      </c>
      <c r="M372">
        <v>0</v>
      </c>
      <c r="N372" t="s">
        <v>175</v>
      </c>
      <c r="O372">
        <v>1</v>
      </c>
      <c r="P372">
        <v>0</v>
      </c>
      <c r="Q372" s="6">
        <v>30.9</v>
      </c>
      <c r="R372">
        <v>1</v>
      </c>
      <c r="S372" s="6">
        <v>4288</v>
      </c>
      <c r="T372">
        <v>0</v>
      </c>
      <c r="U372" s="6">
        <v>1151</v>
      </c>
      <c r="V372">
        <v>0</v>
      </c>
      <c r="W372">
        <v>0</v>
      </c>
      <c r="X372">
        <v>0</v>
      </c>
      <c r="Y372" s="6">
        <v>41.4</v>
      </c>
      <c r="Z372">
        <v>0</v>
      </c>
      <c r="AA372">
        <v>0.112</v>
      </c>
      <c r="AB372">
        <v>3.9E-2</v>
      </c>
      <c r="AC372">
        <v>6</v>
      </c>
      <c r="AD372" s="6">
        <v>50</v>
      </c>
      <c r="AE372" s="6">
        <v>40</v>
      </c>
      <c r="AF372" s="6">
        <v>0</v>
      </c>
      <c r="AG372" s="6">
        <v>46.04</v>
      </c>
      <c r="AH372" s="6">
        <v>58.34</v>
      </c>
      <c r="AI372" s="6">
        <f t="shared" si="10"/>
        <v>12.300000000000004</v>
      </c>
      <c r="AJ372" s="5">
        <f t="shared" si="11"/>
        <v>0.210833047651697</v>
      </c>
    </row>
    <row r="373" spans="1:36">
      <c r="A373" t="s">
        <v>243</v>
      </c>
      <c r="B373" t="s">
        <v>655</v>
      </c>
      <c r="C373" t="s">
        <v>61</v>
      </c>
      <c r="D373" t="s">
        <v>63</v>
      </c>
      <c r="E373" t="s">
        <v>55</v>
      </c>
      <c r="F373">
        <v>0</v>
      </c>
      <c r="G373">
        <v>2375</v>
      </c>
      <c r="H373">
        <v>1</v>
      </c>
      <c r="I373" t="s">
        <v>173</v>
      </c>
      <c r="J373">
        <v>1</v>
      </c>
      <c r="K373" s="6">
        <v>2.1</v>
      </c>
      <c r="L373" t="s">
        <v>174</v>
      </c>
      <c r="M373">
        <v>0</v>
      </c>
      <c r="N373" t="s">
        <v>182</v>
      </c>
      <c r="O373">
        <v>3</v>
      </c>
      <c r="P373">
        <v>0</v>
      </c>
      <c r="Q373" s="6">
        <v>59.3</v>
      </c>
      <c r="R373">
        <v>0</v>
      </c>
      <c r="S373" s="6">
        <v>0</v>
      </c>
      <c r="T373">
        <v>0</v>
      </c>
      <c r="U373" s="6">
        <v>1507</v>
      </c>
      <c r="V373">
        <v>0</v>
      </c>
      <c r="W373">
        <v>0</v>
      </c>
      <c r="X373">
        <v>0</v>
      </c>
      <c r="Y373" s="6">
        <v>41.4</v>
      </c>
      <c r="Z373">
        <v>0</v>
      </c>
      <c r="AA373">
        <v>0.112</v>
      </c>
      <c r="AB373">
        <v>3.9E-2</v>
      </c>
      <c r="AC373">
        <v>6</v>
      </c>
      <c r="AD373" s="6">
        <v>50</v>
      </c>
      <c r="AE373" s="6">
        <v>0</v>
      </c>
      <c r="AF373" s="6">
        <v>0</v>
      </c>
      <c r="AG373" s="6">
        <v>60.71</v>
      </c>
      <c r="AH373" s="6">
        <v>79.540000000000006</v>
      </c>
      <c r="AI373" s="6">
        <f t="shared" si="10"/>
        <v>18.830000000000005</v>
      </c>
      <c r="AJ373" s="5">
        <f t="shared" si="11"/>
        <v>0.2367362333417149</v>
      </c>
    </row>
    <row r="374" spans="1:36">
      <c r="A374" t="s">
        <v>397</v>
      </c>
      <c r="B374" t="s">
        <v>656</v>
      </c>
      <c r="C374" t="s">
        <v>64</v>
      </c>
      <c r="D374" t="s">
        <v>54</v>
      </c>
      <c r="E374" t="s">
        <v>55</v>
      </c>
      <c r="F374">
        <v>0</v>
      </c>
      <c r="G374">
        <v>723</v>
      </c>
      <c r="H374">
        <v>1</v>
      </c>
      <c r="I374" t="s">
        <v>173</v>
      </c>
      <c r="J374">
        <v>1</v>
      </c>
      <c r="K374" s="6">
        <v>2.23</v>
      </c>
      <c r="L374" t="s">
        <v>174</v>
      </c>
      <c r="M374">
        <v>0</v>
      </c>
      <c r="N374" t="s">
        <v>182</v>
      </c>
      <c r="O374">
        <v>3</v>
      </c>
      <c r="P374">
        <v>0</v>
      </c>
      <c r="Q374" s="6">
        <v>75</v>
      </c>
      <c r="R374">
        <v>0</v>
      </c>
      <c r="S374" s="6">
        <v>0</v>
      </c>
      <c r="T374">
        <v>0</v>
      </c>
      <c r="U374" s="6">
        <v>1709</v>
      </c>
      <c r="V374">
        <v>0</v>
      </c>
      <c r="W374">
        <v>0</v>
      </c>
      <c r="X374">
        <v>0</v>
      </c>
      <c r="Y374" s="6">
        <v>46.3</v>
      </c>
      <c r="Z374">
        <v>7.4999999999999997E-2</v>
      </c>
      <c r="AA374">
        <v>0.121</v>
      </c>
      <c r="AB374">
        <v>7.9000000000000001E-2</v>
      </c>
      <c r="AC374">
        <v>5</v>
      </c>
      <c r="AD374" s="6">
        <v>51</v>
      </c>
      <c r="AE374" s="6">
        <v>0</v>
      </c>
      <c r="AF374" s="6">
        <v>0</v>
      </c>
      <c r="AG374" s="6">
        <v>70.11</v>
      </c>
      <c r="AH374" s="6">
        <v>88.82</v>
      </c>
      <c r="AI374" s="6">
        <f t="shared" si="10"/>
        <v>18.709999999999994</v>
      </c>
      <c r="AJ374" s="5">
        <f t="shared" si="11"/>
        <v>0.21065075433460928</v>
      </c>
    </row>
    <row r="375" spans="1:36">
      <c r="A375" t="s">
        <v>521</v>
      </c>
      <c r="B375" t="s">
        <v>657</v>
      </c>
      <c r="C375" t="s">
        <v>64</v>
      </c>
      <c r="D375" t="s">
        <v>54</v>
      </c>
      <c r="E375" t="s">
        <v>55</v>
      </c>
      <c r="F375">
        <v>0</v>
      </c>
      <c r="G375">
        <v>723</v>
      </c>
      <c r="H375">
        <v>1</v>
      </c>
      <c r="I375" t="s">
        <v>173</v>
      </c>
      <c r="J375">
        <v>1</v>
      </c>
      <c r="K375" s="6">
        <v>1.5</v>
      </c>
      <c r="L375" t="s">
        <v>174</v>
      </c>
      <c r="M375">
        <v>0</v>
      </c>
      <c r="N375" t="s">
        <v>182</v>
      </c>
      <c r="O375">
        <v>3</v>
      </c>
      <c r="P375">
        <v>0</v>
      </c>
      <c r="Q375" s="6">
        <v>91</v>
      </c>
      <c r="R375">
        <v>0</v>
      </c>
      <c r="S375" s="6">
        <v>0</v>
      </c>
      <c r="T375">
        <v>0</v>
      </c>
      <c r="U375" s="6">
        <v>5220</v>
      </c>
      <c r="V375">
        <v>0</v>
      </c>
      <c r="W375">
        <v>0</v>
      </c>
      <c r="X375">
        <v>1</v>
      </c>
      <c r="Y375" s="6">
        <v>46.3</v>
      </c>
      <c r="Z375">
        <v>7.4999999999999997E-2</v>
      </c>
      <c r="AA375">
        <v>0.121</v>
      </c>
      <c r="AB375">
        <v>7.9000000000000001E-2</v>
      </c>
      <c r="AC375">
        <v>5</v>
      </c>
      <c r="AD375" s="6">
        <v>51</v>
      </c>
      <c r="AE375" s="6">
        <v>0</v>
      </c>
      <c r="AF375" s="6">
        <v>0</v>
      </c>
      <c r="AG375" s="6">
        <v>64.59</v>
      </c>
      <c r="AH375" s="6">
        <v>84.14</v>
      </c>
      <c r="AI375" s="6">
        <f t="shared" si="10"/>
        <v>19.549999999999997</v>
      </c>
      <c r="AJ375" s="5">
        <f t="shared" si="11"/>
        <v>0.23235084383170901</v>
      </c>
    </row>
    <row r="376" spans="1:36">
      <c r="A376" t="s">
        <v>431</v>
      </c>
      <c r="B376" t="s">
        <v>658</v>
      </c>
      <c r="C376" t="s">
        <v>64</v>
      </c>
      <c r="D376" t="s">
        <v>54</v>
      </c>
      <c r="E376" t="s">
        <v>55</v>
      </c>
      <c r="F376">
        <v>0</v>
      </c>
      <c r="G376">
        <v>723</v>
      </c>
      <c r="H376">
        <v>1</v>
      </c>
      <c r="I376" t="s">
        <v>181</v>
      </c>
      <c r="J376">
        <v>3</v>
      </c>
      <c r="K376" s="6">
        <v>9.51</v>
      </c>
      <c r="L376" t="s">
        <v>174</v>
      </c>
      <c r="M376">
        <v>0</v>
      </c>
      <c r="N376" t="s">
        <v>175</v>
      </c>
      <c r="O376">
        <v>1</v>
      </c>
      <c r="P376">
        <v>0</v>
      </c>
      <c r="Q376" s="6">
        <v>39.799999999999997</v>
      </c>
      <c r="R376">
        <v>0</v>
      </c>
      <c r="S376" s="6">
        <v>0</v>
      </c>
      <c r="T376">
        <v>0</v>
      </c>
      <c r="U376" s="6">
        <v>1972</v>
      </c>
      <c r="V376">
        <v>0</v>
      </c>
      <c r="W376">
        <v>0</v>
      </c>
      <c r="X376">
        <v>0</v>
      </c>
      <c r="Y376" s="6">
        <v>46.3</v>
      </c>
      <c r="Z376">
        <v>7.4999999999999997E-2</v>
      </c>
      <c r="AA376">
        <v>0.121</v>
      </c>
      <c r="AB376">
        <v>7.9000000000000001E-2</v>
      </c>
      <c r="AC376">
        <v>5</v>
      </c>
      <c r="AD376" s="6">
        <v>61</v>
      </c>
      <c r="AE376" s="6">
        <v>0</v>
      </c>
      <c r="AF376" s="6">
        <v>0</v>
      </c>
      <c r="AG376" s="6">
        <v>96.1</v>
      </c>
      <c r="AH376" s="6">
        <v>124.75</v>
      </c>
      <c r="AI376" s="6">
        <f t="shared" si="10"/>
        <v>28.650000000000006</v>
      </c>
      <c r="AJ376" s="5">
        <f t="shared" si="11"/>
        <v>0.2296593186372746</v>
      </c>
    </row>
    <row r="377" spans="1:36">
      <c r="A377" t="s">
        <v>350</v>
      </c>
      <c r="B377" t="s">
        <v>659</v>
      </c>
      <c r="C377" t="s">
        <v>64</v>
      </c>
      <c r="D377" t="s">
        <v>54</v>
      </c>
      <c r="E377" t="s">
        <v>55</v>
      </c>
      <c r="F377">
        <v>0</v>
      </c>
      <c r="G377">
        <v>723</v>
      </c>
      <c r="H377">
        <v>1</v>
      </c>
      <c r="I377" t="s">
        <v>173</v>
      </c>
      <c r="J377">
        <v>1</v>
      </c>
      <c r="K377" s="6">
        <v>2.2799999999999998</v>
      </c>
      <c r="L377" t="s">
        <v>174</v>
      </c>
      <c r="M377">
        <v>0</v>
      </c>
      <c r="N377" t="s">
        <v>182</v>
      </c>
      <c r="O377">
        <v>3</v>
      </c>
      <c r="P377">
        <v>0</v>
      </c>
      <c r="Q377" s="6">
        <v>124.2</v>
      </c>
      <c r="R377">
        <v>1</v>
      </c>
      <c r="S377" s="6">
        <v>1174</v>
      </c>
      <c r="T377">
        <v>0</v>
      </c>
      <c r="U377" s="6">
        <v>4894</v>
      </c>
      <c r="V377">
        <v>0</v>
      </c>
      <c r="W377">
        <v>0</v>
      </c>
      <c r="X377">
        <v>0</v>
      </c>
      <c r="Y377" s="6">
        <v>46.3</v>
      </c>
      <c r="Z377">
        <v>7.4999999999999997E-2</v>
      </c>
      <c r="AA377">
        <v>0.121</v>
      </c>
      <c r="AB377">
        <v>7.9000000000000001E-2</v>
      </c>
      <c r="AC377">
        <v>5</v>
      </c>
      <c r="AD377" s="6">
        <v>51</v>
      </c>
      <c r="AE377" s="6">
        <v>25</v>
      </c>
      <c r="AF377" s="6">
        <v>0</v>
      </c>
      <c r="AG377" s="6">
        <v>74.209999999999994</v>
      </c>
      <c r="AH377" s="6">
        <v>97.3</v>
      </c>
      <c r="AI377" s="6">
        <f t="shared" si="10"/>
        <v>23.090000000000003</v>
      </c>
      <c r="AJ377" s="5">
        <f t="shared" si="11"/>
        <v>0.23730729701952727</v>
      </c>
    </row>
    <row r="378" spans="1:36">
      <c r="A378" t="s">
        <v>204</v>
      </c>
      <c r="B378" t="s">
        <v>660</v>
      </c>
      <c r="C378" t="s">
        <v>64</v>
      </c>
      <c r="D378" t="s">
        <v>54</v>
      </c>
      <c r="E378" t="s">
        <v>55</v>
      </c>
      <c r="F378">
        <v>0</v>
      </c>
      <c r="G378">
        <v>723</v>
      </c>
      <c r="H378">
        <v>1</v>
      </c>
      <c r="I378" t="s">
        <v>173</v>
      </c>
      <c r="J378">
        <v>1</v>
      </c>
      <c r="K378" s="6">
        <v>1.22</v>
      </c>
      <c r="L378" t="s">
        <v>174</v>
      </c>
      <c r="M378">
        <v>0</v>
      </c>
      <c r="N378" t="s">
        <v>217</v>
      </c>
      <c r="O378">
        <v>4</v>
      </c>
      <c r="P378">
        <v>1</v>
      </c>
      <c r="Q378" s="6">
        <v>151.5</v>
      </c>
      <c r="R378">
        <v>0</v>
      </c>
      <c r="S378" s="6">
        <v>0</v>
      </c>
      <c r="T378">
        <v>0</v>
      </c>
      <c r="U378" s="6">
        <v>2239</v>
      </c>
      <c r="V378">
        <v>0</v>
      </c>
      <c r="W378">
        <v>0</v>
      </c>
      <c r="X378">
        <v>1</v>
      </c>
      <c r="Y378" s="6">
        <v>46.3</v>
      </c>
      <c r="Z378">
        <v>7.4999999999999997E-2</v>
      </c>
      <c r="AA378">
        <v>0.121</v>
      </c>
      <c r="AB378">
        <v>7.9000000000000001E-2</v>
      </c>
      <c r="AC378">
        <v>5</v>
      </c>
      <c r="AD378" s="6">
        <v>51</v>
      </c>
      <c r="AE378" s="6">
        <v>0</v>
      </c>
      <c r="AF378" s="6">
        <v>0</v>
      </c>
      <c r="AG378" s="6">
        <v>104.76</v>
      </c>
      <c r="AH378" s="6">
        <v>132.05000000000001</v>
      </c>
      <c r="AI378" s="6">
        <f t="shared" si="10"/>
        <v>27.290000000000006</v>
      </c>
      <c r="AJ378" s="5">
        <f t="shared" si="11"/>
        <v>0.2066641423703143</v>
      </c>
    </row>
    <row r="379" spans="1:36">
      <c r="A379" t="s">
        <v>384</v>
      </c>
      <c r="B379" t="s">
        <v>661</v>
      </c>
      <c r="C379" t="s">
        <v>64</v>
      </c>
      <c r="D379" t="s">
        <v>54</v>
      </c>
      <c r="E379" t="s">
        <v>55</v>
      </c>
      <c r="F379">
        <v>0</v>
      </c>
      <c r="G379">
        <v>723</v>
      </c>
      <c r="H379">
        <v>1</v>
      </c>
      <c r="I379" t="s">
        <v>181</v>
      </c>
      <c r="J379">
        <v>3</v>
      </c>
      <c r="K379" s="6">
        <v>8.66</v>
      </c>
      <c r="L379" t="s">
        <v>174</v>
      </c>
      <c r="M379">
        <v>0</v>
      </c>
      <c r="N379" t="s">
        <v>182</v>
      </c>
      <c r="O379">
        <v>3</v>
      </c>
      <c r="P379">
        <v>0</v>
      </c>
      <c r="Q379" s="6">
        <v>108.4</v>
      </c>
      <c r="R379">
        <v>0</v>
      </c>
      <c r="S379" s="6">
        <v>0</v>
      </c>
      <c r="T379">
        <v>0</v>
      </c>
      <c r="U379" s="6">
        <v>2749</v>
      </c>
      <c r="V379">
        <v>0</v>
      </c>
      <c r="W379">
        <v>0</v>
      </c>
      <c r="X379">
        <v>0</v>
      </c>
      <c r="Y379" s="6">
        <v>46.3</v>
      </c>
      <c r="Z379">
        <v>7.4999999999999997E-2</v>
      </c>
      <c r="AA379">
        <v>0.121</v>
      </c>
      <c r="AB379">
        <v>7.9000000000000001E-2</v>
      </c>
      <c r="AC379">
        <v>5</v>
      </c>
      <c r="AD379" s="6">
        <v>61</v>
      </c>
      <c r="AE379" s="6">
        <v>0</v>
      </c>
      <c r="AF379" s="6">
        <v>0</v>
      </c>
      <c r="AG379" s="6">
        <v>112.99</v>
      </c>
      <c r="AH379" s="6">
        <v>143.87</v>
      </c>
      <c r="AI379" s="6">
        <f t="shared" si="10"/>
        <v>30.88000000000001</v>
      </c>
      <c r="AJ379" s="5">
        <f t="shared" si="11"/>
        <v>0.21463821505525829</v>
      </c>
    </row>
    <row r="380" spans="1:36">
      <c r="A380" t="s">
        <v>233</v>
      </c>
      <c r="B380" t="s">
        <v>662</v>
      </c>
      <c r="C380" t="s">
        <v>64</v>
      </c>
      <c r="D380" t="s">
        <v>54</v>
      </c>
      <c r="E380" t="s">
        <v>55</v>
      </c>
      <c r="F380">
        <v>0</v>
      </c>
      <c r="G380">
        <v>723</v>
      </c>
      <c r="H380">
        <v>1</v>
      </c>
      <c r="I380" t="s">
        <v>173</v>
      </c>
      <c r="J380">
        <v>1</v>
      </c>
      <c r="K380" s="6">
        <v>1.83</v>
      </c>
      <c r="L380" t="s">
        <v>174</v>
      </c>
      <c r="M380">
        <v>0</v>
      </c>
      <c r="N380" t="s">
        <v>182</v>
      </c>
      <c r="O380">
        <v>3</v>
      </c>
      <c r="P380">
        <v>0</v>
      </c>
      <c r="Q380" s="6">
        <v>92.2</v>
      </c>
      <c r="R380">
        <v>0</v>
      </c>
      <c r="S380" s="6">
        <v>0</v>
      </c>
      <c r="T380">
        <v>0</v>
      </c>
      <c r="U380" s="6">
        <v>2527</v>
      </c>
      <c r="V380">
        <v>0</v>
      </c>
      <c r="W380">
        <v>0</v>
      </c>
      <c r="X380">
        <v>0</v>
      </c>
      <c r="Y380" s="6">
        <v>46.3</v>
      </c>
      <c r="Z380">
        <v>7.4999999999999997E-2</v>
      </c>
      <c r="AA380">
        <v>0.121</v>
      </c>
      <c r="AB380">
        <v>7.9000000000000001E-2</v>
      </c>
      <c r="AC380">
        <v>5</v>
      </c>
      <c r="AD380" s="6">
        <v>51</v>
      </c>
      <c r="AE380" s="6">
        <v>0</v>
      </c>
      <c r="AF380" s="6">
        <v>0</v>
      </c>
      <c r="AG380" s="6">
        <v>73.25</v>
      </c>
      <c r="AH380" s="6">
        <v>95.9</v>
      </c>
      <c r="AI380" s="6">
        <f t="shared" si="10"/>
        <v>22.650000000000006</v>
      </c>
      <c r="AJ380" s="5">
        <f t="shared" si="11"/>
        <v>0.23618352450469243</v>
      </c>
    </row>
    <row r="381" spans="1:36">
      <c r="A381" t="s">
        <v>316</v>
      </c>
      <c r="B381" t="s">
        <v>663</v>
      </c>
      <c r="C381" t="s">
        <v>64</v>
      </c>
      <c r="D381" t="s">
        <v>54</v>
      </c>
      <c r="E381" t="s">
        <v>55</v>
      </c>
      <c r="F381">
        <v>0</v>
      </c>
      <c r="G381">
        <v>723</v>
      </c>
      <c r="H381">
        <v>1</v>
      </c>
      <c r="I381" t="s">
        <v>173</v>
      </c>
      <c r="J381">
        <v>1</v>
      </c>
      <c r="K381" s="6">
        <v>2.02</v>
      </c>
      <c r="L381" t="s">
        <v>174</v>
      </c>
      <c r="M381">
        <v>0</v>
      </c>
      <c r="N381" t="s">
        <v>175</v>
      </c>
      <c r="O381">
        <v>1</v>
      </c>
      <c r="P381">
        <v>0</v>
      </c>
      <c r="Q381" s="6">
        <v>45.2</v>
      </c>
      <c r="R381">
        <v>0</v>
      </c>
      <c r="S381" s="6">
        <v>0</v>
      </c>
      <c r="T381">
        <v>0</v>
      </c>
      <c r="U381" s="6">
        <v>1638</v>
      </c>
      <c r="V381">
        <v>0</v>
      </c>
      <c r="W381">
        <v>0</v>
      </c>
      <c r="X381">
        <v>0</v>
      </c>
      <c r="Y381" s="6">
        <v>46.3</v>
      </c>
      <c r="Z381">
        <v>7.4999999999999997E-2</v>
      </c>
      <c r="AA381">
        <v>0.121</v>
      </c>
      <c r="AB381">
        <v>7.9000000000000001E-2</v>
      </c>
      <c r="AC381">
        <v>5</v>
      </c>
      <c r="AD381" s="6">
        <v>51</v>
      </c>
      <c r="AE381" s="6">
        <v>0</v>
      </c>
      <c r="AF381" s="6">
        <v>0</v>
      </c>
      <c r="AG381" s="6">
        <v>50.4</v>
      </c>
      <c r="AH381" s="6">
        <v>66.16</v>
      </c>
      <c r="AI381" s="6">
        <f t="shared" si="10"/>
        <v>15.759999999999998</v>
      </c>
      <c r="AJ381" s="5">
        <f t="shared" si="11"/>
        <v>0.2382103990326481</v>
      </c>
    </row>
    <row r="382" spans="1:36">
      <c r="A382" t="s">
        <v>423</v>
      </c>
      <c r="B382" t="s">
        <v>664</v>
      </c>
      <c r="C382" t="s">
        <v>64</v>
      </c>
      <c r="D382" t="s">
        <v>54</v>
      </c>
      <c r="E382" t="s">
        <v>55</v>
      </c>
      <c r="F382">
        <v>0</v>
      </c>
      <c r="G382">
        <v>723</v>
      </c>
      <c r="H382">
        <v>1</v>
      </c>
      <c r="I382" t="s">
        <v>173</v>
      </c>
      <c r="J382">
        <v>1</v>
      </c>
      <c r="K382" s="6">
        <v>1.47</v>
      </c>
      <c r="L382" t="s">
        <v>174</v>
      </c>
      <c r="M382">
        <v>0</v>
      </c>
      <c r="N382" t="s">
        <v>182</v>
      </c>
      <c r="O382">
        <v>3</v>
      </c>
      <c r="P382">
        <v>0</v>
      </c>
      <c r="Q382" s="6">
        <v>87.5</v>
      </c>
      <c r="R382">
        <v>0</v>
      </c>
      <c r="S382" s="6">
        <v>0</v>
      </c>
      <c r="T382">
        <v>0</v>
      </c>
      <c r="U382" s="6">
        <v>3570</v>
      </c>
      <c r="V382">
        <v>0</v>
      </c>
      <c r="W382">
        <v>0</v>
      </c>
      <c r="X382">
        <v>1</v>
      </c>
      <c r="Y382" s="6">
        <v>46.3</v>
      </c>
      <c r="Z382">
        <v>7.4999999999999997E-2</v>
      </c>
      <c r="AA382">
        <v>0.121</v>
      </c>
      <c r="AB382">
        <v>7.9000000000000001E-2</v>
      </c>
      <c r="AC382">
        <v>5</v>
      </c>
      <c r="AD382" s="6">
        <v>51</v>
      </c>
      <c r="AE382" s="6">
        <v>0</v>
      </c>
      <c r="AF382" s="6">
        <v>0</v>
      </c>
      <c r="AG382" s="6">
        <v>64.06</v>
      </c>
      <c r="AH382" s="6">
        <v>81.48</v>
      </c>
      <c r="AI382" s="6">
        <f t="shared" si="10"/>
        <v>17.420000000000002</v>
      </c>
      <c r="AJ382" s="5">
        <f t="shared" si="11"/>
        <v>0.21379479626902309</v>
      </c>
    </row>
    <row r="383" spans="1:36">
      <c r="A383" t="s">
        <v>488</v>
      </c>
      <c r="B383" t="s">
        <v>665</v>
      </c>
      <c r="C383" t="s">
        <v>64</v>
      </c>
      <c r="D383" t="s">
        <v>54</v>
      </c>
      <c r="E383" t="s">
        <v>55</v>
      </c>
      <c r="F383">
        <v>0</v>
      </c>
      <c r="G383">
        <v>723</v>
      </c>
      <c r="H383">
        <v>1</v>
      </c>
      <c r="I383" t="s">
        <v>181</v>
      </c>
      <c r="J383">
        <v>3</v>
      </c>
      <c r="K383" s="6">
        <v>10.15</v>
      </c>
      <c r="L383" t="s">
        <v>174</v>
      </c>
      <c r="M383">
        <v>0</v>
      </c>
      <c r="N383" t="s">
        <v>217</v>
      </c>
      <c r="O383">
        <v>4</v>
      </c>
      <c r="P383">
        <v>1</v>
      </c>
      <c r="Q383" s="6">
        <v>181.1</v>
      </c>
      <c r="R383">
        <v>0</v>
      </c>
      <c r="S383" s="6">
        <v>0</v>
      </c>
      <c r="T383">
        <v>0</v>
      </c>
      <c r="U383" s="6">
        <v>3234</v>
      </c>
      <c r="V383">
        <v>0</v>
      </c>
      <c r="W383">
        <v>0</v>
      </c>
      <c r="X383">
        <v>0</v>
      </c>
      <c r="Y383" s="6">
        <v>46.3</v>
      </c>
      <c r="Z383">
        <v>7.4999999999999997E-2</v>
      </c>
      <c r="AA383">
        <v>0.121</v>
      </c>
      <c r="AB383">
        <v>7.9000000000000001E-2</v>
      </c>
      <c r="AC383">
        <v>5</v>
      </c>
      <c r="AD383" s="6">
        <v>61</v>
      </c>
      <c r="AE383" s="6">
        <v>0</v>
      </c>
      <c r="AF383" s="6">
        <v>0</v>
      </c>
      <c r="AG383" s="6">
        <v>158.16999999999999</v>
      </c>
      <c r="AH383" s="6">
        <v>198.85</v>
      </c>
      <c r="AI383" s="6">
        <f t="shared" si="10"/>
        <v>40.680000000000007</v>
      </c>
      <c r="AJ383" s="5">
        <f t="shared" si="11"/>
        <v>0.20457631380437519</v>
      </c>
    </row>
    <row r="384" spans="1:36">
      <c r="A384" t="s">
        <v>372</v>
      </c>
      <c r="B384" t="s">
        <v>666</v>
      </c>
      <c r="C384" t="s">
        <v>64</v>
      </c>
      <c r="D384" t="s">
        <v>54</v>
      </c>
      <c r="E384" t="s">
        <v>55</v>
      </c>
      <c r="F384">
        <v>0</v>
      </c>
      <c r="G384">
        <v>723</v>
      </c>
      <c r="H384">
        <v>1</v>
      </c>
      <c r="I384" t="s">
        <v>181</v>
      </c>
      <c r="J384">
        <v>3</v>
      </c>
      <c r="K384" s="6">
        <v>5.68</v>
      </c>
      <c r="L384" t="s">
        <v>174</v>
      </c>
      <c r="M384">
        <v>0</v>
      </c>
      <c r="N384" t="s">
        <v>187</v>
      </c>
      <c r="O384">
        <v>2</v>
      </c>
      <c r="P384">
        <v>0</v>
      </c>
      <c r="Q384" s="6">
        <v>58.3</v>
      </c>
      <c r="R384">
        <v>0</v>
      </c>
      <c r="S384" s="6">
        <v>0</v>
      </c>
      <c r="T384">
        <v>0</v>
      </c>
      <c r="U384" s="6">
        <v>2202</v>
      </c>
      <c r="V384">
        <v>0</v>
      </c>
      <c r="W384">
        <v>0</v>
      </c>
      <c r="X384">
        <v>0</v>
      </c>
      <c r="Y384" s="6">
        <v>46.3</v>
      </c>
      <c r="Z384">
        <v>7.4999999999999997E-2</v>
      </c>
      <c r="AA384">
        <v>0.121</v>
      </c>
      <c r="AB384">
        <v>7.9000000000000001E-2</v>
      </c>
      <c r="AC384">
        <v>5</v>
      </c>
      <c r="AD384" s="6">
        <v>61</v>
      </c>
      <c r="AE384" s="6">
        <v>0</v>
      </c>
      <c r="AF384" s="6">
        <v>0</v>
      </c>
      <c r="AG384" s="6">
        <v>85.44</v>
      </c>
      <c r="AH384" s="6">
        <v>109.48</v>
      </c>
      <c r="AI384" s="6">
        <f t="shared" si="10"/>
        <v>24.040000000000006</v>
      </c>
      <c r="AJ384" s="5">
        <f t="shared" si="11"/>
        <v>0.21958348556814034</v>
      </c>
    </row>
    <row r="385" spans="1:36">
      <c r="A385" t="s">
        <v>240</v>
      </c>
      <c r="B385" t="s">
        <v>667</v>
      </c>
      <c r="C385" t="s">
        <v>64</v>
      </c>
      <c r="D385" t="s">
        <v>54</v>
      </c>
      <c r="E385" t="s">
        <v>55</v>
      </c>
      <c r="F385">
        <v>0</v>
      </c>
      <c r="G385">
        <v>723</v>
      </c>
      <c r="H385">
        <v>1</v>
      </c>
      <c r="I385" t="s">
        <v>181</v>
      </c>
      <c r="J385">
        <v>3</v>
      </c>
      <c r="K385" s="6">
        <v>5.12</v>
      </c>
      <c r="L385" t="s">
        <v>200</v>
      </c>
      <c r="M385">
        <v>1</v>
      </c>
      <c r="N385" t="s">
        <v>175</v>
      </c>
      <c r="O385">
        <v>1</v>
      </c>
      <c r="P385">
        <v>0</v>
      </c>
      <c r="Q385" s="6">
        <v>42.1</v>
      </c>
      <c r="R385">
        <v>0</v>
      </c>
      <c r="S385" s="6">
        <v>0</v>
      </c>
      <c r="T385">
        <v>0</v>
      </c>
      <c r="U385" s="6">
        <v>3851</v>
      </c>
      <c r="V385">
        <v>1</v>
      </c>
      <c r="W385">
        <v>0</v>
      </c>
      <c r="X385">
        <v>0</v>
      </c>
      <c r="Y385" s="6">
        <v>46.3</v>
      </c>
      <c r="Z385">
        <v>7.4999999999999997E-2</v>
      </c>
      <c r="AA385">
        <v>0.121</v>
      </c>
      <c r="AB385">
        <v>7.9000000000000001E-2</v>
      </c>
      <c r="AC385">
        <v>5</v>
      </c>
      <c r="AD385" s="6">
        <v>140</v>
      </c>
      <c r="AE385" s="6">
        <v>0</v>
      </c>
      <c r="AF385" s="6">
        <v>0</v>
      </c>
      <c r="AG385" s="6">
        <v>152.76</v>
      </c>
      <c r="AH385" s="6">
        <v>194.59</v>
      </c>
      <c r="AI385" s="6">
        <f t="shared" si="10"/>
        <v>41.830000000000013</v>
      </c>
      <c r="AJ385" s="5">
        <f t="shared" si="11"/>
        <v>0.21496479777994765</v>
      </c>
    </row>
    <row r="386" spans="1:36">
      <c r="A386" t="s">
        <v>296</v>
      </c>
      <c r="B386" t="s">
        <v>668</v>
      </c>
      <c r="C386" t="s">
        <v>64</v>
      </c>
      <c r="D386" t="s">
        <v>54</v>
      </c>
      <c r="E386" t="s">
        <v>55</v>
      </c>
      <c r="F386">
        <v>0</v>
      </c>
      <c r="G386">
        <v>723</v>
      </c>
      <c r="H386">
        <v>1</v>
      </c>
      <c r="I386" t="s">
        <v>173</v>
      </c>
      <c r="J386">
        <v>1</v>
      </c>
      <c r="K386" s="6">
        <v>1.1399999999999999</v>
      </c>
      <c r="L386" t="s">
        <v>174</v>
      </c>
      <c r="M386">
        <v>0</v>
      </c>
      <c r="N386" t="s">
        <v>187</v>
      </c>
      <c r="O386">
        <v>2</v>
      </c>
      <c r="P386">
        <v>0</v>
      </c>
      <c r="Q386" s="6">
        <v>72.8</v>
      </c>
      <c r="R386">
        <v>0</v>
      </c>
      <c r="S386" s="6">
        <v>0</v>
      </c>
      <c r="T386">
        <v>0</v>
      </c>
      <c r="U386" s="6">
        <v>5067</v>
      </c>
      <c r="V386">
        <v>0</v>
      </c>
      <c r="W386">
        <v>0</v>
      </c>
      <c r="X386">
        <v>0</v>
      </c>
      <c r="Y386" s="6">
        <v>46.3</v>
      </c>
      <c r="Z386">
        <v>7.4999999999999997E-2</v>
      </c>
      <c r="AA386">
        <v>0.121</v>
      </c>
      <c r="AB386">
        <v>7.9000000000000001E-2</v>
      </c>
      <c r="AC386">
        <v>5</v>
      </c>
      <c r="AD386" s="6">
        <v>51</v>
      </c>
      <c r="AE386" s="6">
        <v>0</v>
      </c>
      <c r="AF386" s="6">
        <v>0</v>
      </c>
      <c r="AG386" s="6">
        <v>67.19</v>
      </c>
      <c r="AH386" s="6">
        <v>87.62</v>
      </c>
      <c r="AI386" s="6">
        <f t="shared" ref="AI386:AI449" si="12">AH386-AG386</f>
        <v>20.430000000000007</v>
      </c>
      <c r="AJ386" s="5">
        <f t="shared" ref="AJ386:AJ449" si="13">IFERROR(AI386/AH386,0)</f>
        <v>0.2331659438484365</v>
      </c>
    </row>
    <row r="387" spans="1:36">
      <c r="A387" t="s">
        <v>183</v>
      </c>
      <c r="B387" t="s">
        <v>669</v>
      </c>
      <c r="C387" t="s">
        <v>64</v>
      </c>
      <c r="D387" t="s">
        <v>54</v>
      </c>
      <c r="E387" t="s">
        <v>55</v>
      </c>
      <c r="F387">
        <v>0</v>
      </c>
      <c r="G387">
        <v>723</v>
      </c>
      <c r="H387">
        <v>1</v>
      </c>
      <c r="I387" t="s">
        <v>173</v>
      </c>
      <c r="J387">
        <v>1</v>
      </c>
      <c r="K387" s="6">
        <v>1.58</v>
      </c>
      <c r="L387" t="s">
        <v>174</v>
      </c>
      <c r="M387">
        <v>0</v>
      </c>
      <c r="N387" t="s">
        <v>175</v>
      </c>
      <c r="O387">
        <v>1</v>
      </c>
      <c r="P387">
        <v>0</v>
      </c>
      <c r="Q387" s="6">
        <v>48.5</v>
      </c>
      <c r="R387">
        <v>0</v>
      </c>
      <c r="S387" s="6">
        <v>0</v>
      </c>
      <c r="T387">
        <v>0</v>
      </c>
      <c r="U387" s="6">
        <v>5110</v>
      </c>
      <c r="V387">
        <v>0</v>
      </c>
      <c r="W387">
        <v>0</v>
      </c>
      <c r="X387">
        <v>0</v>
      </c>
      <c r="Y387" s="6">
        <v>46.3</v>
      </c>
      <c r="Z387">
        <v>7.4999999999999997E-2</v>
      </c>
      <c r="AA387">
        <v>0.121</v>
      </c>
      <c r="AB387">
        <v>7.9000000000000001E-2</v>
      </c>
      <c r="AC387">
        <v>5</v>
      </c>
      <c r="AD387" s="6">
        <v>51</v>
      </c>
      <c r="AE387" s="6">
        <v>0</v>
      </c>
      <c r="AF387" s="6">
        <v>0</v>
      </c>
      <c r="AG387" s="6">
        <v>58.01</v>
      </c>
      <c r="AH387" s="6">
        <v>73.709999999999994</v>
      </c>
      <c r="AI387" s="6">
        <f t="shared" si="12"/>
        <v>15.699999999999996</v>
      </c>
      <c r="AJ387" s="5">
        <f t="shared" si="13"/>
        <v>0.2129968796635463</v>
      </c>
    </row>
    <row r="388" spans="1:36">
      <c r="A388" t="s">
        <v>528</v>
      </c>
      <c r="B388" t="s">
        <v>670</v>
      </c>
      <c r="C388" t="s">
        <v>64</v>
      </c>
      <c r="D388" t="s">
        <v>54</v>
      </c>
      <c r="E388" t="s">
        <v>55</v>
      </c>
      <c r="F388">
        <v>0</v>
      </c>
      <c r="G388">
        <v>723</v>
      </c>
      <c r="H388">
        <v>1</v>
      </c>
      <c r="I388" t="s">
        <v>173</v>
      </c>
      <c r="J388">
        <v>1</v>
      </c>
      <c r="K388" s="6">
        <v>1.81</v>
      </c>
      <c r="L388" t="s">
        <v>200</v>
      </c>
      <c r="M388">
        <v>1</v>
      </c>
      <c r="N388" t="s">
        <v>182</v>
      </c>
      <c r="O388">
        <v>3</v>
      </c>
      <c r="P388">
        <v>0</v>
      </c>
      <c r="Q388" s="6">
        <v>101.7</v>
      </c>
      <c r="R388">
        <v>0</v>
      </c>
      <c r="S388" s="6">
        <v>0</v>
      </c>
      <c r="T388">
        <v>0</v>
      </c>
      <c r="U388" s="6">
        <v>1656</v>
      </c>
      <c r="V388">
        <v>0</v>
      </c>
      <c r="W388">
        <v>0</v>
      </c>
      <c r="X388">
        <v>0</v>
      </c>
      <c r="Y388" s="6">
        <v>46.3</v>
      </c>
      <c r="Z388">
        <v>7.4999999999999997E-2</v>
      </c>
      <c r="AA388">
        <v>0.121</v>
      </c>
      <c r="AB388">
        <v>7.9000000000000001E-2</v>
      </c>
      <c r="AC388">
        <v>5</v>
      </c>
      <c r="AD388" s="6">
        <v>100</v>
      </c>
      <c r="AE388" s="6">
        <v>0</v>
      </c>
      <c r="AF388" s="6">
        <v>0</v>
      </c>
      <c r="AG388" s="6">
        <v>97.22</v>
      </c>
      <c r="AH388" s="6">
        <v>125.59</v>
      </c>
      <c r="AI388" s="6">
        <f t="shared" si="12"/>
        <v>28.370000000000005</v>
      </c>
      <c r="AJ388" s="5">
        <f t="shared" si="13"/>
        <v>0.22589378135201851</v>
      </c>
    </row>
    <row r="389" spans="1:36">
      <c r="A389" t="s">
        <v>284</v>
      </c>
      <c r="B389" t="s">
        <v>671</v>
      </c>
      <c r="C389" t="s">
        <v>64</v>
      </c>
      <c r="D389" t="s">
        <v>54</v>
      </c>
      <c r="E389" t="s">
        <v>55</v>
      </c>
      <c r="F389">
        <v>0</v>
      </c>
      <c r="G389">
        <v>723</v>
      </c>
      <c r="H389">
        <v>1</v>
      </c>
      <c r="I389" t="s">
        <v>173</v>
      </c>
      <c r="J389">
        <v>1</v>
      </c>
      <c r="K389" s="6">
        <v>0.9</v>
      </c>
      <c r="L389" t="s">
        <v>174</v>
      </c>
      <c r="M389">
        <v>0</v>
      </c>
      <c r="N389" t="s">
        <v>217</v>
      </c>
      <c r="O389">
        <v>4</v>
      </c>
      <c r="P389">
        <v>1</v>
      </c>
      <c r="Q389" s="6">
        <v>141</v>
      </c>
      <c r="R389">
        <v>0</v>
      </c>
      <c r="S389" s="6">
        <v>0</v>
      </c>
      <c r="T389">
        <v>0</v>
      </c>
      <c r="U389" s="6">
        <v>4334</v>
      </c>
      <c r="V389">
        <v>0</v>
      </c>
      <c r="W389">
        <v>0</v>
      </c>
      <c r="X389">
        <v>0</v>
      </c>
      <c r="Y389" s="6">
        <v>46.3</v>
      </c>
      <c r="Z389">
        <v>7.4999999999999997E-2</v>
      </c>
      <c r="AA389">
        <v>0.121</v>
      </c>
      <c r="AB389">
        <v>7.9000000000000001E-2</v>
      </c>
      <c r="AC389">
        <v>5</v>
      </c>
      <c r="AD389" s="6">
        <v>51</v>
      </c>
      <c r="AE389" s="6">
        <v>0</v>
      </c>
      <c r="AF389" s="6">
        <v>0</v>
      </c>
      <c r="AG389" s="6">
        <v>107.01</v>
      </c>
      <c r="AH389" s="6">
        <v>137.29</v>
      </c>
      <c r="AI389" s="6">
        <f t="shared" si="12"/>
        <v>30.279999999999987</v>
      </c>
      <c r="AJ389" s="5">
        <f t="shared" si="13"/>
        <v>0.22055502949959929</v>
      </c>
    </row>
    <row r="390" spans="1:36">
      <c r="A390" t="s">
        <v>196</v>
      </c>
      <c r="B390" t="s">
        <v>672</v>
      </c>
      <c r="C390" t="s">
        <v>64</v>
      </c>
      <c r="D390" t="s">
        <v>54</v>
      </c>
      <c r="E390" t="s">
        <v>55</v>
      </c>
      <c r="F390">
        <v>0</v>
      </c>
      <c r="G390">
        <v>723</v>
      </c>
      <c r="H390">
        <v>1</v>
      </c>
      <c r="I390" t="s">
        <v>181</v>
      </c>
      <c r="J390">
        <v>3</v>
      </c>
      <c r="K390" s="6">
        <v>5.44</v>
      </c>
      <c r="L390" t="s">
        <v>174</v>
      </c>
      <c r="M390">
        <v>0</v>
      </c>
      <c r="N390" t="s">
        <v>187</v>
      </c>
      <c r="O390">
        <v>2</v>
      </c>
      <c r="P390">
        <v>0</v>
      </c>
      <c r="Q390" s="6">
        <v>50.5</v>
      </c>
      <c r="R390">
        <v>0</v>
      </c>
      <c r="S390" s="6">
        <v>0</v>
      </c>
      <c r="T390">
        <v>0</v>
      </c>
      <c r="U390" s="6">
        <v>1888</v>
      </c>
      <c r="V390">
        <v>0</v>
      </c>
      <c r="W390">
        <v>0</v>
      </c>
      <c r="X390">
        <v>0</v>
      </c>
      <c r="Y390" s="6">
        <v>46.3</v>
      </c>
      <c r="Z390">
        <v>7.4999999999999997E-2</v>
      </c>
      <c r="AA390">
        <v>0.121</v>
      </c>
      <c r="AB390">
        <v>7.9000000000000001E-2</v>
      </c>
      <c r="AC390">
        <v>5</v>
      </c>
      <c r="AD390" s="6">
        <v>61</v>
      </c>
      <c r="AE390" s="6">
        <v>0</v>
      </c>
      <c r="AF390" s="6">
        <v>0</v>
      </c>
      <c r="AG390" s="6">
        <v>90.93</v>
      </c>
      <c r="AH390" s="6">
        <v>115.26</v>
      </c>
      <c r="AI390" s="6">
        <f t="shared" si="12"/>
        <v>24.33</v>
      </c>
      <c r="AJ390" s="5">
        <f t="shared" si="13"/>
        <v>0.21108797501301402</v>
      </c>
    </row>
    <row r="391" spans="1:36">
      <c r="A391" t="s">
        <v>348</v>
      </c>
      <c r="B391" t="s">
        <v>673</v>
      </c>
      <c r="C391" t="s">
        <v>64</v>
      </c>
      <c r="D391" t="s">
        <v>54</v>
      </c>
      <c r="E391" t="s">
        <v>55</v>
      </c>
      <c r="F391">
        <v>0</v>
      </c>
      <c r="G391">
        <v>723</v>
      </c>
      <c r="H391">
        <v>1</v>
      </c>
      <c r="I391" t="s">
        <v>181</v>
      </c>
      <c r="J391">
        <v>3</v>
      </c>
      <c r="K391" s="6">
        <v>11.41</v>
      </c>
      <c r="L391" t="s">
        <v>200</v>
      </c>
      <c r="M391">
        <v>1</v>
      </c>
      <c r="N391" t="s">
        <v>182</v>
      </c>
      <c r="O391">
        <v>3</v>
      </c>
      <c r="P391">
        <v>0</v>
      </c>
      <c r="Q391" s="6">
        <v>101</v>
      </c>
      <c r="R391">
        <v>0</v>
      </c>
      <c r="S391" s="6">
        <v>0</v>
      </c>
      <c r="T391">
        <v>0</v>
      </c>
      <c r="U391" s="6">
        <v>6616</v>
      </c>
      <c r="V391">
        <v>0</v>
      </c>
      <c r="W391">
        <v>0</v>
      </c>
      <c r="X391">
        <v>0</v>
      </c>
      <c r="Y391" s="6">
        <v>46.3</v>
      </c>
      <c r="Z391">
        <v>7.4999999999999997E-2</v>
      </c>
      <c r="AA391">
        <v>0.121</v>
      </c>
      <c r="AB391">
        <v>7.9000000000000001E-2</v>
      </c>
      <c r="AC391">
        <v>5</v>
      </c>
      <c r="AD391" s="6">
        <v>140</v>
      </c>
      <c r="AE391" s="6">
        <v>0</v>
      </c>
      <c r="AF391" s="6">
        <v>0</v>
      </c>
      <c r="AG391" s="6">
        <v>148.13</v>
      </c>
      <c r="AH391" s="6">
        <v>188.66</v>
      </c>
      <c r="AI391" s="6">
        <f t="shared" si="12"/>
        <v>40.53</v>
      </c>
      <c r="AJ391" s="5">
        <f t="shared" si="13"/>
        <v>0.21483091275310082</v>
      </c>
    </row>
    <row r="392" spans="1:36">
      <c r="A392" t="s">
        <v>528</v>
      </c>
      <c r="B392" t="s">
        <v>674</v>
      </c>
      <c r="C392" t="s">
        <v>64</v>
      </c>
      <c r="D392" t="s">
        <v>54</v>
      </c>
      <c r="E392" t="s">
        <v>55</v>
      </c>
      <c r="F392">
        <v>0</v>
      </c>
      <c r="G392">
        <v>723</v>
      </c>
      <c r="H392">
        <v>1</v>
      </c>
      <c r="I392" t="s">
        <v>173</v>
      </c>
      <c r="J392">
        <v>1</v>
      </c>
      <c r="K392" s="6">
        <v>1.86</v>
      </c>
      <c r="L392" t="s">
        <v>174</v>
      </c>
      <c r="M392">
        <v>0</v>
      </c>
      <c r="N392" t="s">
        <v>182</v>
      </c>
      <c r="O392">
        <v>3</v>
      </c>
      <c r="P392">
        <v>0</v>
      </c>
      <c r="Q392" s="6">
        <v>49.4</v>
      </c>
      <c r="R392">
        <v>0</v>
      </c>
      <c r="S392" s="6">
        <v>0</v>
      </c>
      <c r="T392">
        <v>0</v>
      </c>
      <c r="U392" s="6">
        <v>4744</v>
      </c>
      <c r="V392">
        <v>0</v>
      </c>
      <c r="W392">
        <v>0</v>
      </c>
      <c r="X392">
        <v>0</v>
      </c>
      <c r="Y392" s="6">
        <v>46.3</v>
      </c>
      <c r="Z392">
        <v>7.4999999999999997E-2</v>
      </c>
      <c r="AA392">
        <v>0.121</v>
      </c>
      <c r="AB392">
        <v>7.9000000000000001E-2</v>
      </c>
      <c r="AC392">
        <v>5</v>
      </c>
      <c r="AD392" s="6">
        <v>51</v>
      </c>
      <c r="AE392" s="6">
        <v>0</v>
      </c>
      <c r="AF392" s="6">
        <v>0</v>
      </c>
      <c r="AG392" s="6">
        <v>67.75</v>
      </c>
      <c r="AH392" s="6">
        <v>88.3</v>
      </c>
      <c r="AI392" s="6">
        <f t="shared" si="12"/>
        <v>20.549999999999997</v>
      </c>
      <c r="AJ392" s="5">
        <f t="shared" si="13"/>
        <v>0.23272933182332953</v>
      </c>
    </row>
    <row r="393" spans="1:36">
      <c r="A393" t="s">
        <v>384</v>
      </c>
      <c r="B393" t="s">
        <v>675</v>
      </c>
      <c r="C393" t="s">
        <v>64</v>
      </c>
      <c r="D393" t="s">
        <v>54</v>
      </c>
      <c r="E393" t="s">
        <v>55</v>
      </c>
      <c r="F393">
        <v>0</v>
      </c>
      <c r="G393">
        <v>723</v>
      </c>
      <c r="H393">
        <v>1</v>
      </c>
      <c r="I393" t="s">
        <v>181</v>
      </c>
      <c r="J393">
        <v>3</v>
      </c>
      <c r="K393" s="6">
        <v>6.01</v>
      </c>
      <c r="L393" t="s">
        <v>174</v>
      </c>
      <c r="M393">
        <v>0</v>
      </c>
      <c r="N393" t="s">
        <v>187</v>
      </c>
      <c r="O393">
        <v>2</v>
      </c>
      <c r="P393">
        <v>0</v>
      </c>
      <c r="Q393" s="6">
        <v>47.7</v>
      </c>
      <c r="R393">
        <v>0</v>
      </c>
      <c r="S393" s="6">
        <v>0</v>
      </c>
      <c r="T393">
        <v>0</v>
      </c>
      <c r="U393" s="6">
        <v>6915</v>
      </c>
      <c r="V393">
        <v>0</v>
      </c>
      <c r="W393">
        <v>0</v>
      </c>
      <c r="X393">
        <v>0</v>
      </c>
      <c r="Y393" s="6">
        <v>46.3</v>
      </c>
      <c r="Z393">
        <v>7.4999999999999997E-2</v>
      </c>
      <c r="AA393">
        <v>0.121</v>
      </c>
      <c r="AB393">
        <v>7.9000000000000001E-2</v>
      </c>
      <c r="AC393">
        <v>5</v>
      </c>
      <c r="AD393" s="6">
        <v>61</v>
      </c>
      <c r="AE393" s="6">
        <v>0</v>
      </c>
      <c r="AF393" s="6">
        <v>0</v>
      </c>
      <c r="AG393" s="6">
        <v>83.6</v>
      </c>
      <c r="AH393" s="6">
        <v>104.53</v>
      </c>
      <c r="AI393" s="6">
        <f t="shared" si="12"/>
        <v>20.930000000000007</v>
      </c>
      <c r="AJ393" s="5">
        <f t="shared" si="13"/>
        <v>0.20022959915813648</v>
      </c>
    </row>
    <row r="394" spans="1:36">
      <c r="A394" t="s">
        <v>284</v>
      </c>
      <c r="B394" t="s">
        <v>676</v>
      </c>
      <c r="C394" t="s">
        <v>64</v>
      </c>
      <c r="D394" t="s">
        <v>54</v>
      </c>
      <c r="E394" t="s">
        <v>55</v>
      </c>
      <c r="F394">
        <v>0</v>
      </c>
      <c r="G394">
        <v>723</v>
      </c>
      <c r="H394">
        <v>1</v>
      </c>
      <c r="I394" t="s">
        <v>173</v>
      </c>
      <c r="J394">
        <v>1</v>
      </c>
      <c r="K394" s="6">
        <v>2.65</v>
      </c>
      <c r="L394" t="s">
        <v>174</v>
      </c>
      <c r="M394">
        <v>0</v>
      </c>
      <c r="N394" t="s">
        <v>175</v>
      </c>
      <c r="O394">
        <v>1</v>
      </c>
      <c r="P394">
        <v>0</v>
      </c>
      <c r="Q394" s="6">
        <v>35.9</v>
      </c>
      <c r="R394">
        <v>0</v>
      </c>
      <c r="S394" s="6">
        <v>0</v>
      </c>
      <c r="T394">
        <v>0</v>
      </c>
      <c r="U394" s="6">
        <v>1153</v>
      </c>
      <c r="V394">
        <v>0</v>
      </c>
      <c r="W394">
        <v>0</v>
      </c>
      <c r="X394">
        <v>0</v>
      </c>
      <c r="Y394" s="6">
        <v>46.3</v>
      </c>
      <c r="Z394">
        <v>7.4999999999999997E-2</v>
      </c>
      <c r="AA394">
        <v>0.121</v>
      </c>
      <c r="AB394">
        <v>7.9000000000000001E-2</v>
      </c>
      <c r="AC394">
        <v>5</v>
      </c>
      <c r="AD394" s="6">
        <v>51</v>
      </c>
      <c r="AE394" s="6">
        <v>0</v>
      </c>
      <c r="AF394" s="6">
        <v>0</v>
      </c>
      <c r="AG394" s="6">
        <v>55.19</v>
      </c>
      <c r="AH394" s="6">
        <v>70.09</v>
      </c>
      <c r="AI394" s="6">
        <f t="shared" si="12"/>
        <v>14.900000000000006</v>
      </c>
      <c r="AJ394" s="5">
        <f t="shared" si="13"/>
        <v>0.21258382080182631</v>
      </c>
    </row>
    <row r="395" spans="1:36">
      <c r="A395" t="s">
        <v>517</v>
      </c>
      <c r="B395" t="s">
        <v>677</v>
      </c>
      <c r="C395" t="s">
        <v>64</v>
      </c>
      <c r="D395" t="s">
        <v>54</v>
      </c>
      <c r="E395" t="s">
        <v>55</v>
      </c>
      <c r="F395">
        <v>0</v>
      </c>
      <c r="G395">
        <v>723</v>
      </c>
      <c r="H395">
        <v>1</v>
      </c>
      <c r="I395" t="s">
        <v>173</v>
      </c>
      <c r="J395">
        <v>1</v>
      </c>
      <c r="K395" s="6">
        <v>0.94</v>
      </c>
      <c r="L395" t="s">
        <v>174</v>
      </c>
      <c r="M395">
        <v>0</v>
      </c>
      <c r="N395" t="s">
        <v>182</v>
      </c>
      <c r="O395">
        <v>3</v>
      </c>
      <c r="P395">
        <v>0</v>
      </c>
      <c r="Q395" s="6">
        <v>107.8</v>
      </c>
      <c r="R395">
        <v>0</v>
      </c>
      <c r="S395" s="6">
        <v>0</v>
      </c>
      <c r="T395">
        <v>0</v>
      </c>
      <c r="U395" s="6">
        <v>4702</v>
      </c>
      <c r="V395">
        <v>0</v>
      </c>
      <c r="W395">
        <v>0</v>
      </c>
      <c r="X395">
        <v>0</v>
      </c>
      <c r="Y395" s="6">
        <v>46.3</v>
      </c>
      <c r="Z395">
        <v>7.4999999999999997E-2</v>
      </c>
      <c r="AA395">
        <v>0.121</v>
      </c>
      <c r="AB395">
        <v>7.9000000000000001E-2</v>
      </c>
      <c r="AC395">
        <v>5</v>
      </c>
      <c r="AD395" s="6">
        <v>51</v>
      </c>
      <c r="AE395" s="6">
        <v>0</v>
      </c>
      <c r="AF395" s="6">
        <v>0</v>
      </c>
      <c r="AG395" s="6">
        <v>65.959999999999994</v>
      </c>
      <c r="AH395" s="6">
        <v>85.11</v>
      </c>
      <c r="AI395" s="6">
        <f t="shared" si="12"/>
        <v>19.150000000000006</v>
      </c>
      <c r="AJ395" s="5">
        <f t="shared" si="13"/>
        <v>0.22500293737516161</v>
      </c>
    </row>
    <row r="396" spans="1:36">
      <c r="A396" t="s">
        <v>635</v>
      </c>
      <c r="B396" t="s">
        <v>678</v>
      </c>
      <c r="C396" t="s">
        <v>64</v>
      </c>
      <c r="D396" t="s">
        <v>54</v>
      </c>
      <c r="E396" t="s">
        <v>55</v>
      </c>
      <c r="F396">
        <v>0</v>
      </c>
      <c r="G396">
        <v>723</v>
      </c>
      <c r="H396">
        <v>1</v>
      </c>
      <c r="I396" t="s">
        <v>220</v>
      </c>
      <c r="J396">
        <v>2</v>
      </c>
      <c r="K396" s="6">
        <v>4.2</v>
      </c>
      <c r="L396" t="s">
        <v>174</v>
      </c>
      <c r="M396">
        <v>0</v>
      </c>
      <c r="N396" t="s">
        <v>175</v>
      </c>
      <c r="O396">
        <v>1</v>
      </c>
      <c r="P396">
        <v>0</v>
      </c>
      <c r="Q396" s="6">
        <v>39.1</v>
      </c>
      <c r="R396">
        <v>0</v>
      </c>
      <c r="S396" s="6">
        <v>0</v>
      </c>
      <c r="T396">
        <v>0</v>
      </c>
      <c r="U396" s="6">
        <v>1307</v>
      </c>
      <c r="V396">
        <v>1</v>
      </c>
      <c r="W396">
        <v>0</v>
      </c>
      <c r="X396">
        <v>0</v>
      </c>
      <c r="Y396" s="6">
        <v>46.3</v>
      </c>
      <c r="Z396">
        <v>7.4999999999999997E-2</v>
      </c>
      <c r="AA396">
        <v>0.121</v>
      </c>
      <c r="AB396">
        <v>7.9000000000000001E-2</v>
      </c>
      <c r="AC396">
        <v>5</v>
      </c>
      <c r="AD396" s="6">
        <v>51</v>
      </c>
      <c r="AE396" s="6">
        <v>0</v>
      </c>
      <c r="AF396" s="6">
        <v>0</v>
      </c>
      <c r="AG396" s="6">
        <v>110.73</v>
      </c>
      <c r="AH396" s="6">
        <v>140.16999999999999</v>
      </c>
      <c r="AI396" s="6">
        <f t="shared" si="12"/>
        <v>29.439999999999984</v>
      </c>
      <c r="AJ396" s="5">
        <f t="shared" si="13"/>
        <v>0.21003067703502878</v>
      </c>
    </row>
    <row r="397" spans="1:36">
      <c r="A397" t="s">
        <v>436</v>
      </c>
      <c r="B397" t="s">
        <v>679</v>
      </c>
      <c r="C397" t="s">
        <v>64</v>
      </c>
      <c r="D397" t="s">
        <v>54</v>
      </c>
      <c r="E397" t="s">
        <v>55</v>
      </c>
      <c r="F397">
        <v>0</v>
      </c>
      <c r="G397">
        <v>723</v>
      </c>
      <c r="H397">
        <v>1</v>
      </c>
      <c r="I397" t="s">
        <v>220</v>
      </c>
      <c r="J397">
        <v>2</v>
      </c>
      <c r="K397" s="6">
        <v>5.23</v>
      </c>
      <c r="L397" t="s">
        <v>174</v>
      </c>
      <c r="M397">
        <v>0</v>
      </c>
      <c r="N397" t="s">
        <v>187</v>
      </c>
      <c r="O397">
        <v>2</v>
      </c>
      <c r="P397">
        <v>0</v>
      </c>
      <c r="Q397" s="6">
        <v>59.4</v>
      </c>
      <c r="R397">
        <v>0</v>
      </c>
      <c r="S397" s="6">
        <v>0</v>
      </c>
      <c r="T397">
        <v>0</v>
      </c>
      <c r="U397" s="6">
        <v>2849</v>
      </c>
      <c r="V397">
        <v>0</v>
      </c>
      <c r="W397">
        <v>0</v>
      </c>
      <c r="X397">
        <v>0</v>
      </c>
      <c r="Y397" s="6">
        <v>46.3</v>
      </c>
      <c r="Z397">
        <v>7.4999999999999997E-2</v>
      </c>
      <c r="AA397">
        <v>0.121</v>
      </c>
      <c r="AB397">
        <v>7.9000000000000001E-2</v>
      </c>
      <c r="AC397">
        <v>5</v>
      </c>
      <c r="AD397" s="6">
        <v>51</v>
      </c>
      <c r="AE397" s="6">
        <v>0</v>
      </c>
      <c r="AF397" s="6">
        <v>0</v>
      </c>
      <c r="AG397" s="6">
        <v>75.08</v>
      </c>
      <c r="AH397" s="6">
        <v>96.41</v>
      </c>
      <c r="AI397" s="6">
        <f t="shared" si="12"/>
        <v>21.33</v>
      </c>
      <c r="AJ397" s="5">
        <f t="shared" si="13"/>
        <v>0.22124260968779172</v>
      </c>
    </row>
    <row r="398" spans="1:36">
      <c r="A398" t="s">
        <v>431</v>
      </c>
      <c r="B398" t="s">
        <v>680</v>
      </c>
      <c r="C398" t="s">
        <v>64</v>
      </c>
      <c r="D398" t="s">
        <v>54</v>
      </c>
      <c r="E398" t="s">
        <v>55</v>
      </c>
      <c r="F398">
        <v>0</v>
      </c>
      <c r="G398">
        <v>723</v>
      </c>
      <c r="H398">
        <v>1</v>
      </c>
      <c r="I398" t="s">
        <v>173</v>
      </c>
      <c r="J398">
        <v>1</v>
      </c>
      <c r="K398" s="6">
        <v>2.33</v>
      </c>
      <c r="L398" t="s">
        <v>174</v>
      </c>
      <c r="M398">
        <v>0</v>
      </c>
      <c r="N398" t="s">
        <v>175</v>
      </c>
      <c r="O398">
        <v>1</v>
      </c>
      <c r="P398">
        <v>0</v>
      </c>
      <c r="Q398" s="6">
        <v>36.1</v>
      </c>
      <c r="R398">
        <v>0</v>
      </c>
      <c r="S398" s="6">
        <v>0</v>
      </c>
      <c r="T398">
        <v>0</v>
      </c>
      <c r="U398" s="6">
        <v>3235</v>
      </c>
      <c r="V398">
        <v>1</v>
      </c>
      <c r="W398">
        <v>0</v>
      </c>
      <c r="X398">
        <v>0</v>
      </c>
      <c r="Y398" s="6">
        <v>46.3</v>
      </c>
      <c r="Z398">
        <v>7.4999999999999997E-2</v>
      </c>
      <c r="AA398">
        <v>0.121</v>
      </c>
      <c r="AB398">
        <v>7.9000000000000001E-2</v>
      </c>
      <c r="AC398">
        <v>5</v>
      </c>
      <c r="AD398" s="6">
        <v>51</v>
      </c>
      <c r="AE398" s="6">
        <v>0</v>
      </c>
      <c r="AF398" s="6">
        <v>0</v>
      </c>
      <c r="AG398" s="6">
        <v>92.41</v>
      </c>
      <c r="AH398" s="6">
        <v>118.73</v>
      </c>
      <c r="AI398" s="6">
        <f t="shared" si="12"/>
        <v>26.320000000000007</v>
      </c>
      <c r="AJ398" s="5">
        <f t="shared" si="13"/>
        <v>0.22167944074791548</v>
      </c>
    </row>
    <row r="399" spans="1:36">
      <c r="A399" t="s">
        <v>375</v>
      </c>
      <c r="B399" t="s">
        <v>681</v>
      </c>
      <c r="C399" t="s">
        <v>64</v>
      </c>
      <c r="D399" t="s">
        <v>54</v>
      </c>
      <c r="E399" t="s">
        <v>55</v>
      </c>
      <c r="F399">
        <v>0</v>
      </c>
      <c r="G399">
        <v>723</v>
      </c>
      <c r="H399">
        <v>1</v>
      </c>
      <c r="I399" t="s">
        <v>181</v>
      </c>
      <c r="J399">
        <v>3</v>
      </c>
      <c r="K399" s="6">
        <v>6.93</v>
      </c>
      <c r="L399" t="s">
        <v>174</v>
      </c>
      <c r="M399">
        <v>0</v>
      </c>
      <c r="N399" t="s">
        <v>187</v>
      </c>
      <c r="O399">
        <v>2</v>
      </c>
      <c r="P399">
        <v>1</v>
      </c>
      <c r="Q399" s="6">
        <v>50.7</v>
      </c>
      <c r="R399">
        <v>0</v>
      </c>
      <c r="S399" s="6">
        <v>0</v>
      </c>
      <c r="T399">
        <v>0</v>
      </c>
      <c r="U399" s="6">
        <v>3772</v>
      </c>
      <c r="V399">
        <v>0</v>
      </c>
      <c r="W399">
        <v>0</v>
      </c>
      <c r="X399">
        <v>0</v>
      </c>
      <c r="Y399" s="6">
        <v>46.3</v>
      </c>
      <c r="Z399">
        <v>7.4999999999999997E-2</v>
      </c>
      <c r="AA399">
        <v>0.121</v>
      </c>
      <c r="AB399">
        <v>7.9000000000000001E-2</v>
      </c>
      <c r="AC399">
        <v>5</v>
      </c>
      <c r="AD399" s="6">
        <v>61</v>
      </c>
      <c r="AE399" s="6">
        <v>0</v>
      </c>
      <c r="AF399" s="6">
        <v>0</v>
      </c>
      <c r="AG399" s="6">
        <v>109.93</v>
      </c>
      <c r="AH399" s="6">
        <v>137.62</v>
      </c>
      <c r="AI399" s="6">
        <f t="shared" si="12"/>
        <v>27.689999999999998</v>
      </c>
      <c r="AJ399" s="5">
        <f t="shared" si="13"/>
        <v>0.20120622002615896</v>
      </c>
    </row>
    <row r="400" spans="1:36">
      <c r="A400" t="s">
        <v>296</v>
      </c>
      <c r="B400" t="s">
        <v>682</v>
      </c>
      <c r="C400" t="s">
        <v>64</v>
      </c>
      <c r="D400" t="s">
        <v>54</v>
      </c>
      <c r="E400" t="s">
        <v>55</v>
      </c>
      <c r="F400">
        <v>0</v>
      </c>
      <c r="G400">
        <v>723</v>
      </c>
      <c r="H400">
        <v>1</v>
      </c>
      <c r="I400" t="s">
        <v>220</v>
      </c>
      <c r="J400">
        <v>2</v>
      </c>
      <c r="K400" s="6">
        <v>4.8099999999999996</v>
      </c>
      <c r="L400" t="s">
        <v>174</v>
      </c>
      <c r="M400">
        <v>0</v>
      </c>
      <c r="N400" t="s">
        <v>175</v>
      </c>
      <c r="O400">
        <v>1</v>
      </c>
      <c r="P400">
        <v>0</v>
      </c>
      <c r="Q400" s="6">
        <v>33.1</v>
      </c>
      <c r="R400">
        <v>0</v>
      </c>
      <c r="S400" s="6">
        <v>0</v>
      </c>
      <c r="T400">
        <v>0</v>
      </c>
      <c r="U400" s="6">
        <v>7416</v>
      </c>
      <c r="V400">
        <v>0</v>
      </c>
      <c r="W400">
        <v>0</v>
      </c>
      <c r="X400">
        <v>0</v>
      </c>
      <c r="Y400" s="6">
        <v>46.3</v>
      </c>
      <c r="Z400">
        <v>7.4999999999999997E-2</v>
      </c>
      <c r="AA400">
        <v>0.121</v>
      </c>
      <c r="AB400">
        <v>7.9000000000000001E-2</v>
      </c>
      <c r="AC400">
        <v>5</v>
      </c>
      <c r="AD400" s="6">
        <v>51</v>
      </c>
      <c r="AE400" s="6">
        <v>0</v>
      </c>
      <c r="AF400" s="6">
        <v>0</v>
      </c>
      <c r="AG400" s="6">
        <v>73.16</v>
      </c>
      <c r="AH400" s="6">
        <v>95.84</v>
      </c>
      <c r="AI400" s="6">
        <f t="shared" si="12"/>
        <v>22.680000000000007</v>
      </c>
      <c r="AJ400" s="5">
        <f t="shared" si="13"/>
        <v>0.23664440734557601</v>
      </c>
    </row>
    <row r="401" spans="1:36">
      <c r="A401" t="s">
        <v>478</v>
      </c>
      <c r="B401" t="s">
        <v>683</v>
      </c>
      <c r="C401" t="s">
        <v>64</v>
      </c>
      <c r="D401" t="s">
        <v>54</v>
      </c>
      <c r="E401" t="s">
        <v>55</v>
      </c>
      <c r="F401">
        <v>0</v>
      </c>
      <c r="G401">
        <v>723</v>
      </c>
      <c r="H401">
        <v>1</v>
      </c>
      <c r="I401" t="s">
        <v>173</v>
      </c>
      <c r="J401">
        <v>1</v>
      </c>
      <c r="K401" s="6">
        <v>2.2400000000000002</v>
      </c>
      <c r="L401" t="s">
        <v>174</v>
      </c>
      <c r="M401">
        <v>0</v>
      </c>
      <c r="N401" t="s">
        <v>182</v>
      </c>
      <c r="O401">
        <v>3</v>
      </c>
      <c r="P401">
        <v>0</v>
      </c>
      <c r="Q401" s="6">
        <v>114.4</v>
      </c>
      <c r="R401">
        <v>0</v>
      </c>
      <c r="S401" s="6">
        <v>0</v>
      </c>
      <c r="T401">
        <v>0</v>
      </c>
      <c r="U401" s="6">
        <v>4412</v>
      </c>
      <c r="V401">
        <v>0</v>
      </c>
      <c r="W401">
        <v>0</v>
      </c>
      <c r="X401">
        <v>0</v>
      </c>
      <c r="Y401" s="6">
        <v>46.3</v>
      </c>
      <c r="Z401">
        <v>7.4999999999999997E-2</v>
      </c>
      <c r="AA401">
        <v>0.121</v>
      </c>
      <c r="AB401">
        <v>7.9000000000000001E-2</v>
      </c>
      <c r="AC401">
        <v>5</v>
      </c>
      <c r="AD401" s="6">
        <v>51</v>
      </c>
      <c r="AE401" s="6">
        <v>0</v>
      </c>
      <c r="AF401" s="6">
        <v>0</v>
      </c>
      <c r="AG401" s="6">
        <v>68.14</v>
      </c>
      <c r="AH401" s="6">
        <v>87.75</v>
      </c>
      <c r="AI401" s="6">
        <f t="shared" si="12"/>
        <v>19.61</v>
      </c>
      <c r="AJ401" s="5">
        <f t="shared" si="13"/>
        <v>0.22347578347578348</v>
      </c>
    </row>
    <row r="402" spans="1:36">
      <c r="A402" t="s">
        <v>411</v>
      </c>
      <c r="B402" t="s">
        <v>684</v>
      </c>
      <c r="C402" t="s">
        <v>64</v>
      </c>
      <c r="D402" t="s">
        <v>54</v>
      </c>
      <c r="E402" t="s">
        <v>55</v>
      </c>
      <c r="F402">
        <v>0</v>
      </c>
      <c r="G402">
        <v>723</v>
      </c>
      <c r="H402">
        <v>1</v>
      </c>
      <c r="I402" t="s">
        <v>181</v>
      </c>
      <c r="J402">
        <v>3</v>
      </c>
      <c r="K402" s="6">
        <v>3.39</v>
      </c>
      <c r="L402" t="s">
        <v>174</v>
      </c>
      <c r="M402">
        <v>0</v>
      </c>
      <c r="N402" t="s">
        <v>182</v>
      </c>
      <c r="O402">
        <v>3</v>
      </c>
      <c r="P402">
        <v>0</v>
      </c>
      <c r="Q402" s="6">
        <v>113.5</v>
      </c>
      <c r="R402">
        <v>0</v>
      </c>
      <c r="S402" s="6">
        <v>0</v>
      </c>
      <c r="T402">
        <v>0</v>
      </c>
      <c r="U402" s="6">
        <v>3631</v>
      </c>
      <c r="V402">
        <v>0</v>
      </c>
      <c r="W402">
        <v>0</v>
      </c>
      <c r="X402">
        <v>0</v>
      </c>
      <c r="Y402" s="6">
        <v>46.3</v>
      </c>
      <c r="Z402">
        <v>7.4999999999999997E-2</v>
      </c>
      <c r="AA402">
        <v>0.121</v>
      </c>
      <c r="AB402">
        <v>7.9000000000000001E-2</v>
      </c>
      <c r="AC402">
        <v>5</v>
      </c>
      <c r="AD402" s="6">
        <v>61</v>
      </c>
      <c r="AE402" s="6">
        <v>0</v>
      </c>
      <c r="AF402" s="6">
        <v>0</v>
      </c>
      <c r="AG402" s="6">
        <v>84.95</v>
      </c>
      <c r="AH402" s="6">
        <v>110.32</v>
      </c>
      <c r="AI402" s="6">
        <f t="shared" si="12"/>
        <v>25.36999999999999</v>
      </c>
      <c r="AJ402" s="5">
        <f t="shared" si="13"/>
        <v>0.22996736765772291</v>
      </c>
    </row>
    <row r="403" spans="1:36">
      <c r="A403" t="s">
        <v>403</v>
      </c>
      <c r="B403" t="s">
        <v>685</v>
      </c>
      <c r="C403" t="s">
        <v>64</v>
      </c>
      <c r="D403" t="s">
        <v>54</v>
      </c>
      <c r="E403" t="s">
        <v>55</v>
      </c>
      <c r="F403">
        <v>0</v>
      </c>
      <c r="G403">
        <v>723</v>
      </c>
      <c r="H403">
        <v>1</v>
      </c>
      <c r="I403" t="s">
        <v>173</v>
      </c>
      <c r="J403">
        <v>1</v>
      </c>
      <c r="K403" s="6">
        <v>1.08</v>
      </c>
      <c r="L403" t="s">
        <v>174</v>
      </c>
      <c r="M403">
        <v>0</v>
      </c>
      <c r="N403" t="s">
        <v>187</v>
      </c>
      <c r="O403">
        <v>2</v>
      </c>
      <c r="P403">
        <v>0</v>
      </c>
      <c r="Q403" s="6">
        <v>50.6</v>
      </c>
      <c r="R403">
        <v>0</v>
      </c>
      <c r="S403" s="6">
        <v>0</v>
      </c>
      <c r="T403">
        <v>0</v>
      </c>
      <c r="U403" s="6">
        <v>2626</v>
      </c>
      <c r="V403">
        <v>0</v>
      </c>
      <c r="W403">
        <v>0</v>
      </c>
      <c r="X403">
        <v>0</v>
      </c>
      <c r="Y403" s="6">
        <v>46.3</v>
      </c>
      <c r="Z403">
        <v>7.4999999999999997E-2</v>
      </c>
      <c r="AA403">
        <v>0.121</v>
      </c>
      <c r="AB403">
        <v>7.9000000000000001E-2</v>
      </c>
      <c r="AC403">
        <v>5</v>
      </c>
      <c r="AD403" s="6">
        <v>51</v>
      </c>
      <c r="AE403" s="6">
        <v>0</v>
      </c>
      <c r="AF403" s="6">
        <v>0</v>
      </c>
      <c r="AG403" s="6">
        <v>62.48</v>
      </c>
      <c r="AH403" s="6">
        <v>82.49</v>
      </c>
      <c r="AI403" s="6">
        <f t="shared" si="12"/>
        <v>20.009999999999998</v>
      </c>
      <c r="AJ403" s="5">
        <f t="shared" si="13"/>
        <v>0.24257485755849192</v>
      </c>
    </row>
    <row r="404" spans="1:36">
      <c r="A404" t="s">
        <v>258</v>
      </c>
      <c r="B404" t="s">
        <v>686</v>
      </c>
      <c r="C404" t="s">
        <v>64</v>
      </c>
      <c r="D404" t="s">
        <v>54</v>
      </c>
      <c r="E404" t="s">
        <v>55</v>
      </c>
      <c r="F404">
        <v>0</v>
      </c>
      <c r="G404">
        <v>723</v>
      </c>
      <c r="H404">
        <v>1</v>
      </c>
      <c r="I404" t="s">
        <v>173</v>
      </c>
      <c r="J404">
        <v>1</v>
      </c>
      <c r="K404" s="6">
        <v>1.85</v>
      </c>
      <c r="L404" t="s">
        <v>200</v>
      </c>
      <c r="M404">
        <v>1</v>
      </c>
      <c r="N404" t="s">
        <v>175</v>
      </c>
      <c r="O404">
        <v>1</v>
      </c>
      <c r="P404">
        <v>0</v>
      </c>
      <c r="Q404" s="6">
        <v>38.5</v>
      </c>
      <c r="R404">
        <v>0</v>
      </c>
      <c r="S404" s="6">
        <v>0</v>
      </c>
      <c r="T404">
        <v>0</v>
      </c>
      <c r="U404" s="6">
        <v>2730</v>
      </c>
      <c r="V404">
        <v>0</v>
      </c>
      <c r="W404">
        <v>0</v>
      </c>
      <c r="X404">
        <v>0</v>
      </c>
      <c r="Y404" s="6">
        <v>46.3</v>
      </c>
      <c r="Z404">
        <v>7.4999999999999997E-2</v>
      </c>
      <c r="AA404">
        <v>0.121</v>
      </c>
      <c r="AB404">
        <v>7.9000000000000001E-2</v>
      </c>
      <c r="AC404">
        <v>5</v>
      </c>
      <c r="AD404" s="6">
        <v>100</v>
      </c>
      <c r="AE404" s="6">
        <v>0</v>
      </c>
      <c r="AF404" s="6">
        <v>0</v>
      </c>
      <c r="AG404" s="6">
        <v>93.38</v>
      </c>
      <c r="AH404" s="6">
        <v>121.45</v>
      </c>
      <c r="AI404" s="6">
        <f t="shared" si="12"/>
        <v>28.070000000000007</v>
      </c>
      <c r="AJ404" s="5">
        <f t="shared" si="13"/>
        <v>0.23112391930835741</v>
      </c>
    </row>
    <row r="405" spans="1:36">
      <c r="A405" t="s">
        <v>562</v>
      </c>
      <c r="B405" t="s">
        <v>687</v>
      </c>
      <c r="C405" t="s">
        <v>64</v>
      </c>
      <c r="D405" t="s">
        <v>54</v>
      </c>
      <c r="E405" t="s">
        <v>55</v>
      </c>
      <c r="F405">
        <v>0</v>
      </c>
      <c r="G405">
        <v>723</v>
      </c>
      <c r="H405">
        <v>1</v>
      </c>
      <c r="I405" t="s">
        <v>178</v>
      </c>
      <c r="J405">
        <v>4</v>
      </c>
      <c r="K405" s="6">
        <v>10.41</v>
      </c>
      <c r="L405" t="s">
        <v>174</v>
      </c>
      <c r="M405">
        <v>0</v>
      </c>
      <c r="N405" t="s">
        <v>175</v>
      </c>
      <c r="O405">
        <v>1</v>
      </c>
      <c r="P405">
        <v>0</v>
      </c>
      <c r="Q405" s="6">
        <v>39.200000000000003</v>
      </c>
      <c r="R405">
        <v>0</v>
      </c>
      <c r="S405" s="6">
        <v>0</v>
      </c>
      <c r="T405">
        <v>0</v>
      </c>
      <c r="U405" s="6">
        <v>4705</v>
      </c>
      <c r="V405">
        <v>0</v>
      </c>
      <c r="W405">
        <v>0</v>
      </c>
      <c r="X405">
        <v>0</v>
      </c>
      <c r="Y405" s="6">
        <v>46.3</v>
      </c>
      <c r="Z405">
        <v>7.4999999999999997E-2</v>
      </c>
      <c r="AA405">
        <v>0.121</v>
      </c>
      <c r="AB405">
        <v>7.9000000000000001E-2</v>
      </c>
      <c r="AC405">
        <v>5</v>
      </c>
      <c r="AD405" s="6">
        <v>66</v>
      </c>
      <c r="AE405" s="6">
        <v>0</v>
      </c>
      <c r="AF405" s="6">
        <v>0</v>
      </c>
      <c r="AG405" s="6">
        <v>121.29</v>
      </c>
      <c r="AH405" s="6">
        <v>153.24</v>
      </c>
      <c r="AI405" s="6">
        <f t="shared" si="12"/>
        <v>31.950000000000003</v>
      </c>
      <c r="AJ405" s="5">
        <f t="shared" si="13"/>
        <v>0.20849647611589664</v>
      </c>
    </row>
    <row r="406" spans="1:36">
      <c r="A406" t="s">
        <v>488</v>
      </c>
      <c r="B406" t="s">
        <v>688</v>
      </c>
      <c r="C406" t="s">
        <v>64</v>
      </c>
      <c r="D406" t="s">
        <v>54</v>
      </c>
      <c r="E406" t="s">
        <v>55</v>
      </c>
      <c r="F406">
        <v>0</v>
      </c>
      <c r="G406">
        <v>723</v>
      </c>
      <c r="H406">
        <v>1</v>
      </c>
      <c r="I406" t="s">
        <v>173</v>
      </c>
      <c r="J406">
        <v>1</v>
      </c>
      <c r="K406" s="6">
        <v>1.1599999999999999</v>
      </c>
      <c r="L406" t="s">
        <v>174</v>
      </c>
      <c r="M406">
        <v>0</v>
      </c>
      <c r="N406" t="s">
        <v>217</v>
      </c>
      <c r="O406">
        <v>4</v>
      </c>
      <c r="P406">
        <v>1</v>
      </c>
      <c r="Q406" s="6">
        <v>44.6</v>
      </c>
      <c r="R406">
        <v>0</v>
      </c>
      <c r="S406" s="6">
        <v>0</v>
      </c>
      <c r="T406">
        <v>0</v>
      </c>
      <c r="U406" s="6">
        <v>3452</v>
      </c>
      <c r="V406">
        <v>0</v>
      </c>
      <c r="W406">
        <v>0</v>
      </c>
      <c r="X406">
        <v>0</v>
      </c>
      <c r="Y406" s="6">
        <v>46.3</v>
      </c>
      <c r="Z406">
        <v>7.4999999999999997E-2</v>
      </c>
      <c r="AA406">
        <v>0.121</v>
      </c>
      <c r="AB406">
        <v>7.9000000000000001E-2</v>
      </c>
      <c r="AC406">
        <v>5</v>
      </c>
      <c r="AD406" s="6">
        <v>51</v>
      </c>
      <c r="AE406" s="6">
        <v>0</v>
      </c>
      <c r="AF406" s="6">
        <v>0</v>
      </c>
      <c r="AG406" s="6">
        <v>104.93</v>
      </c>
      <c r="AH406" s="6">
        <v>133.19999999999999</v>
      </c>
      <c r="AI406" s="6">
        <f t="shared" si="12"/>
        <v>28.269999999999982</v>
      </c>
      <c r="AJ406" s="5">
        <f t="shared" si="13"/>
        <v>0.21223723723723711</v>
      </c>
    </row>
    <row r="407" spans="1:36">
      <c r="A407" t="s">
        <v>284</v>
      </c>
      <c r="B407" t="s">
        <v>689</v>
      </c>
      <c r="C407" t="s">
        <v>64</v>
      </c>
      <c r="D407" t="s">
        <v>54</v>
      </c>
      <c r="E407" t="s">
        <v>55</v>
      </c>
      <c r="F407">
        <v>0</v>
      </c>
      <c r="G407">
        <v>723</v>
      </c>
      <c r="H407">
        <v>1</v>
      </c>
      <c r="I407" t="s">
        <v>173</v>
      </c>
      <c r="J407">
        <v>1</v>
      </c>
      <c r="K407" s="6">
        <v>1.69</v>
      </c>
      <c r="L407" t="s">
        <v>174</v>
      </c>
      <c r="M407">
        <v>0</v>
      </c>
      <c r="N407" t="s">
        <v>187</v>
      </c>
      <c r="O407">
        <v>2</v>
      </c>
      <c r="P407">
        <v>0</v>
      </c>
      <c r="Q407" s="6">
        <v>50.1</v>
      </c>
      <c r="R407">
        <v>0</v>
      </c>
      <c r="S407" s="6">
        <v>0</v>
      </c>
      <c r="T407">
        <v>0</v>
      </c>
      <c r="U407" s="6">
        <v>1455</v>
      </c>
      <c r="V407">
        <v>0</v>
      </c>
      <c r="W407">
        <v>0</v>
      </c>
      <c r="X407">
        <v>0</v>
      </c>
      <c r="Y407" s="6">
        <v>46.3</v>
      </c>
      <c r="Z407">
        <v>7.4999999999999997E-2</v>
      </c>
      <c r="AA407">
        <v>0.121</v>
      </c>
      <c r="AB407">
        <v>7.9000000000000001E-2</v>
      </c>
      <c r="AC407">
        <v>5</v>
      </c>
      <c r="AD407" s="6">
        <v>51</v>
      </c>
      <c r="AE407" s="6">
        <v>0</v>
      </c>
      <c r="AF407" s="6">
        <v>0</v>
      </c>
      <c r="AG407" s="6">
        <v>56.08</v>
      </c>
      <c r="AH407" s="6">
        <v>72.930000000000007</v>
      </c>
      <c r="AI407" s="6">
        <f t="shared" si="12"/>
        <v>16.850000000000009</v>
      </c>
      <c r="AJ407" s="5">
        <f t="shared" si="13"/>
        <v>0.23104346633758407</v>
      </c>
    </row>
    <row r="408" spans="1:36">
      <c r="A408" t="s">
        <v>494</v>
      </c>
      <c r="B408" t="s">
        <v>690</v>
      </c>
      <c r="C408" t="s">
        <v>64</v>
      </c>
      <c r="D408" t="s">
        <v>54</v>
      </c>
      <c r="E408" t="s">
        <v>55</v>
      </c>
      <c r="F408">
        <v>0</v>
      </c>
      <c r="G408">
        <v>723</v>
      </c>
      <c r="H408">
        <v>1</v>
      </c>
      <c r="I408" t="s">
        <v>173</v>
      </c>
      <c r="J408">
        <v>1</v>
      </c>
      <c r="K408" s="6">
        <v>2.2200000000000002</v>
      </c>
      <c r="L408" t="s">
        <v>174</v>
      </c>
      <c r="M408">
        <v>0</v>
      </c>
      <c r="N408" t="s">
        <v>187</v>
      </c>
      <c r="O408">
        <v>2</v>
      </c>
      <c r="P408">
        <v>0</v>
      </c>
      <c r="Q408" s="6">
        <v>65.900000000000006</v>
      </c>
      <c r="R408">
        <v>0</v>
      </c>
      <c r="S408" s="6">
        <v>0</v>
      </c>
      <c r="T408">
        <v>0</v>
      </c>
      <c r="U408" s="6">
        <v>8534</v>
      </c>
      <c r="V408">
        <v>0</v>
      </c>
      <c r="W408">
        <v>0</v>
      </c>
      <c r="X408">
        <v>0</v>
      </c>
      <c r="Y408" s="6">
        <v>46.3</v>
      </c>
      <c r="Z408">
        <v>7.4999999999999997E-2</v>
      </c>
      <c r="AA408">
        <v>0.121</v>
      </c>
      <c r="AB408">
        <v>7.9000000000000001E-2</v>
      </c>
      <c r="AC408">
        <v>5</v>
      </c>
      <c r="AD408" s="6">
        <v>51</v>
      </c>
      <c r="AE408" s="6">
        <v>0</v>
      </c>
      <c r="AF408" s="6">
        <v>0</v>
      </c>
      <c r="AG408" s="6">
        <v>59.67</v>
      </c>
      <c r="AH408" s="6">
        <v>76.47</v>
      </c>
      <c r="AI408" s="6">
        <f t="shared" si="12"/>
        <v>16.799999999999997</v>
      </c>
      <c r="AJ408" s="5">
        <f t="shared" si="13"/>
        <v>0.2196939976461357</v>
      </c>
    </row>
    <row r="409" spans="1:36">
      <c r="A409" t="s">
        <v>691</v>
      </c>
      <c r="B409" t="s">
        <v>692</v>
      </c>
      <c r="C409" t="s">
        <v>64</v>
      </c>
      <c r="D409" t="s">
        <v>54</v>
      </c>
      <c r="E409" t="s">
        <v>55</v>
      </c>
      <c r="F409">
        <v>0</v>
      </c>
      <c r="G409">
        <v>723</v>
      </c>
      <c r="H409">
        <v>1</v>
      </c>
      <c r="I409" t="s">
        <v>173</v>
      </c>
      <c r="J409">
        <v>1</v>
      </c>
      <c r="K409" s="6">
        <v>1.37</v>
      </c>
      <c r="L409" t="s">
        <v>174</v>
      </c>
      <c r="M409">
        <v>0</v>
      </c>
      <c r="N409" t="s">
        <v>187</v>
      </c>
      <c r="O409">
        <v>2</v>
      </c>
      <c r="P409">
        <v>0</v>
      </c>
      <c r="Q409" s="6">
        <v>54.7</v>
      </c>
      <c r="R409">
        <v>0</v>
      </c>
      <c r="S409" s="6">
        <v>0</v>
      </c>
      <c r="T409">
        <v>0</v>
      </c>
      <c r="U409" s="6">
        <v>1930</v>
      </c>
      <c r="V409">
        <v>0</v>
      </c>
      <c r="W409">
        <v>0</v>
      </c>
      <c r="X409">
        <v>0</v>
      </c>
      <c r="Y409" s="6">
        <v>46.3</v>
      </c>
      <c r="Z409">
        <v>7.4999999999999997E-2</v>
      </c>
      <c r="AA409">
        <v>0.121</v>
      </c>
      <c r="AB409">
        <v>7.9000000000000001E-2</v>
      </c>
      <c r="AC409">
        <v>5</v>
      </c>
      <c r="AD409" s="6">
        <v>51</v>
      </c>
      <c r="AE409" s="6">
        <v>0</v>
      </c>
      <c r="AF409" s="6">
        <v>0</v>
      </c>
      <c r="AG409" s="6">
        <v>66.13</v>
      </c>
      <c r="AH409" s="6">
        <v>83.95</v>
      </c>
      <c r="AI409" s="6">
        <f t="shared" si="12"/>
        <v>17.820000000000007</v>
      </c>
      <c r="AJ409" s="5">
        <f t="shared" si="13"/>
        <v>0.2122692078618226</v>
      </c>
    </row>
    <row r="410" spans="1:36">
      <c r="A410" t="s">
        <v>693</v>
      </c>
      <c r="B410" t="s">
        <v>694</v>
      </c>
      <c r="C410" t="s">
        <v>64</v>
      </c>
      <c r="D410" t="s">
        <v>54</v>
      </c>
      <c r="E410" t="s">
        <v>55</v>
      </c>
      <c r="F410">
        <v>0</v>
      </c>
      <c r="G410">
        <v>723</v>
      </c>
      <c r="H410">
        <v>1</v>
      </c>
      <c r="I410" t="s">
        <v>173</v>
      </c>
      <c r="J410">
        <v>1</v>
      </c>
      <c r="K410" s="6">
        <v>1.97</v>
      </c>
      <c r="L410" t="s">
        <v>174</v>
      </c>
      <c r="M410">
        <v>0</v>
      </c>
      <c r="N410" t="s">
        <v>175</v>
      </c>
      <c r="O410">
        <v>1</v>
      </c>
      <c r="P410">
        <v>0</v>
      </c>
      <c r="Q410" s="6">
        <v>36.5</v>
      </c>
      <c r="R410">
        <v>0</v>
      </c>
      <c r="S410" s="6">
        <v>0</v>
      </c>
      <c r="T410">
        <v>0</v>
      </c>
      <c r="U410" s="6">
        <v>6045</v>
      </c>
      <c r="V410">
        <v>1</v>
      </c>
      <c r="W410">
        <v>0</v>
      </c>
      <c r="X410">
        <v>0</v>
      </c>
      <c r="Y410" s="6">
        <v>46.3</v>
      </c>
      <c r="Z410">
        <v>7.4999999999999997E-2</v>
      </c>
      <c r="AA410">
        <v>0.121</v>
      </c>
      <c r="AB410">
        <v>7.9000000000000001E-2</v>
      </c>
      <c r="AC410">
        <v>5</v>
      </c>
      <c r="AD410" s="6">
        <v>51</v>
      </c>
      <c r="AE410" s="6">
        <v>0</v>
      </c>
      <c r="AF410" s="6">
        <v>0</v>
      </c>
      <c r="AG410" s="6">
        <v>100.22</v>
      </c>
      <c r="AH410" s="6">
        <v>125.57</v>
      </c>
      <c r="AI410" s="6">
        <f t="shared" si="12"/>
        <v>25.349999999999994</v>
      </c>
      <c r="AJ410" s="5">
        <f t="shared" si="13"/>
        <v>0.20187942980011145</v>
      </c>
    </row>
    <row r="411" spans="1:36">
      <c r="A411" t="s">
        <v>406</v>
      </c>
      <c r="B411" t="s">
        <v>695</v>
      </c>
      <c r="C411" t="s">
        <v>64</v>
      </c>
      <c r="D411" t="s">
        <v>54</v>
      </c>
      <c r="E411" t="s">
        <v>55</v>
      </c>
      <c r="F411">
        <v>0</v>
      </c>
      <c r="G411">
        <v>723</v>
      </c>
      <c r="H411">
        <v>1</v>
      </c>
      <c r="I411" t="s">
        <v>173</v>
      </c>
      <c r="J411">
        <v>1</v>
      </c>
      <c r="K411" s="6">
        <v>2.0499999999999998</v>
      </c>
      <c r="L411" t="s">
        <v>174</v>
      </c>
      <c r="M411">
        <v>0</v>
      </c>
      <c r="N411" t="s">
        <v>175</v>
      </c>
      <c r="O411">
        <v>1</v>
      </c>
      <c r="P411">
        <v>0</v>
      </c>
      <c r="Q411" s="6">
        <v>37.200000000000003</v>
      </c>
      <c r="R411">
        <v>0</v>
      </c>
      <c r="S411" s="6">
        <v>0</v>
      </c>
      <c r="T411">
        <v>0</v>
      </c>
      <c r="U411" s="6">
        <v>3464</v>
      </c>
      <c r="V411">
        <v>1</v>
      </c>
      <c r="W411">
        <v>1</v>
      </c>
      <c r="X411">
        <v>0</v>
      </c>
      <c r="Y411" s="6">
        <v>46.3</v>
      </c>
      <c r="Z411">
        <v>7.4999999999999997E-2</v>
      </c>
      <c r="AA411">
        <v>0.121</v>
      </c>
      <c r="AB411">
        <v>7.9000000000000001E-2</v>
      </c>
      <c r="AC411">
        <v>5</v>
      </c>
      <c r="AD411" s="6">
        <v>51</v>
      </c>
      <c r="AE411" s="6">
        <v>0</v>
      </c>
      <c r="AF411" s="6">
        <v>0</v>
      </c>
      <c r="AG411" s="6">
        <v>131.6</v>
      </c>
      <c r="AH411" s="6">
        <v>166.14</v>
      </c>
      <c r="AI411" s="6">
        <f t="shared" si="12"/>
        <v>34.539999999999992</v>
      </c>
      <c r="AJ411" s="5">
        <f t="shared" si="13"/>
        <v>0.20789695437582759</v>
      </c>
    </row>
    <row r="412" spans="1:36">
      <c r="A412" t="s">
        <v>313</v>
      </c>
      <c r="B412" t="s">
        <v>696</v>
      </c>
      <c r="C412" t="s">
        <v>64</v>
      </c>
      <c r="D412" t="s">
        <v>54</v>
      </c>
      <c r="E412" t="s">
        <v>55</v>
      </c>
      <c r="F412">
        <v>0</v>
      </c>
      <c r="G412">
        <v>723</v>
      </c>
      <c r="H412">
        <v>1</v>
      </c>
      <c r="I412" t="s">
        <v>220</v>
      </c>
      <c r="J412">
        <v>2</v>
      </c>
      <c r="K412" s="6">
        <v>3.13</v>
      </c>
      <c r="L412" t="s">
        <v>174</v>
      </c>
      <c r="M412">
        <v>0</v>
      </c>
      <c r="N412" t="s">
        <v>175</v>
      </c>
      <c r="O412">
        <v>1</v>
      </c>
      <c r="P412">
        <v>0</v>
      </c>
      <c r="Q412" s="6">
        <v>35.1</v>
      </c>
      <c r="R412">
        <v>0</v>
      </c>
      <c r="S412" s="6">
        <v>0</v>
      </c>
      <c r="T412">
        <v>0</v>
      </c>
      <c r="U412" s="6">
        <v>3039</v>
      </c>
      <c r="V412">
        <v>0</v>
      </c>
      <c r="W412">
        <v>0</v>
      </c>
      <c r="X412">
        <v>0</v>
      </c>
      <c r="Y412" s="6">
        <v>46.3</v>
      </c>
      <c r="Z412">
        <v>7.4999999999999997E-2</v>
      </c>
      <c r="AA412">
        <v>0.121</v>
      </c>
      <c r="AB412">
        <v>7.9000000000000001E-2</v>
      </c>
      <c r="AC412">
        <v>5</v>
      </c>
      <c r="AD412" s="6">
        <v>51</v>
      </c>
      <c r="AE412" s="6">
        <v>0</v>
      </c>
      <c r="AF412" s="6">
        <v>0</v>
      </c>
      <c r="AG412" s="6">
        <v>64.62</v>
      </c>
      <c r="AH412" s="6">
        <v>84.96</v>
      </c>
      <c r="AI412" s="6">
        <f t="shared" si="12"/>
        <v>20.339999999999989</v>
      </c>
      <c r="AJ412" s="5">
        <f t="shared" si="13"/>
        <v>0.23940677966101684</v>
      </c>
    </row>
    <row r="413" spans="1:36">
      <c r="A413" t="s">
        <v>255</v>
      </c>
      <c r="B413" t="s">
        <v>697</v>
      </c>
      <c r="C413" t="s">
        <v>64</v>
      </c>
      <c r="D413" t="s">
        <v>54</v>
      </c>
      <c r="E413" t="s">
        <v>55</v>
      </c>
      <c r="F413">
        <v>0</v>
      </c>
      <c r="G413">
        <v>723</v>
      </c>
      <c r="H413">
        <v>1</v>
      </c>
      <c r="I413" t="s">
        <v>181</v>
      </c>
      <c r="J413">
        <v>3</v>
      </c>
      <c r="K413" s="6">
        <v>5.89</v>
      </c>
      <c r="L413" t="s">
        <v>174</v>
      </c>
      <c r="M413">
        <v>0</v>
      </c>
      <c r="N413" t="s">
        <v>175</v>
      </c>
      <c r="O413">
        <v>1</v>
      </c>
      <c r="P413">
        <v>0</v>
      </c>
      <c r="Q413" s="6">
        <v>26.4</v>
      </c>
      <c r="R413">
        <v>0</v>
      </c>
      <c r="S413" s="6">
        <v>0</v>
      </c>
      <c r="T413">
        <v>0</v>
      </c>
      <c r="U413" s="6">
        <v>1986</v>
      </c>
      <c r="V413">
        <v>1</v>
      </c>
      <c r="W413">
        <v>0</v>
      </c>
      <c r="X413">
        <v>0</v>
      </c>
      <c r="Y413" s="6">
        <v>46.3</v>
      </c>
      <c r="Z413">
        <v>7.4999999999999997E-2</v>
      </c>
      <c r="AA413">
        <v>0.121</v>
      </c>
      <c r="AB413">
        <v>7.9000000000000001E-2</v>
      </c>
      <c r="AC413">
        <v>5</v>
      </c>
      <c r="AD413" s="6">
        <v>61</v>
      </c>
      <c r="AE413" s="6">
        <v>0</v>
      </c>
      <c r="AF413" s="6">
        <v>0</v>
      </c>
      <c r="AG413" s="6">
        <v>120.42</v>
      </c>
      <c r="AH413" s="6">
        <v>152.69</v>
      </c>
      <c r="AI413" s="6">
        <f t="shared" si="12"/>
        <v>32.269999999999996</v>
      </c>
      <c r="AJ413" s="5">
        <f t="shared" si="13"/>
        <v>0.21134324448228434</v>
      </c>
    </row>
    <row r="414" spans="1:36">
      <c r="A414" t="s">
        <v>236</v>
      </c>
      <c r="B414" t="s">
        <v>698</v>
      </c>
      <c r="C414" t="s">
        <v>64</v>
      </c>
      <c r="D414" t="s">
        <v>54</v>
      </c>
      <c r="E414" t="s">
        <v>55</v>
      </c>
      <c r="F414">
        <v>0</v>
      </c>
      <c r="G414">
        <v>723</v>
      </c>
      <c r="H414">
        <v>1</v>
      </c>
      <c r="I414" t="s">
        <v>181</v>
      </c>
      <c r="J414">
        <v>3</v>
      </c>
      <c r="K414" s="6">
        <v>8.08</v>
      </c>
      <c r="L414" t="s">
        <v>174</v>
      </c>
      <c r="M414">
        <v>0</v>
      </c>
      <c r="N414" t="s">
        <v>182</v>
      </c>
      <c r="O414">
        <v>3</v>
      </c>
      <c r="P414">
        <v>0</v>
      </c>
      <c r="Q414" s="6">
        <v>53.7</v>
      </c>
      <c r="R414">
        <v>0</v>
      </c>
      <c r="S414" s="6">
        <v>0</v>
      </c>
      <c r="T414">
        <v>0</v>
      </c>
      <c r="U414" s="6">
        <v>5581</v>
      </c>
      <c r="V414">
        <v>0</v>
      </c>
      <c r="W414">
        <v>0</v>
      </c>
      <c r="X414">
        <v>0</v>
      </c>
      <c r="Y414" s="6">
        <v>46.3</v>
      </c>
      <c r="Z414">
        <v>7.4999999999999997E-2</v>
      </c>
      <c r="AA414">
        <v>0.121</v>
      </c>
      <c r="AB414">
        <v>7.9000000000000001E-2</v>
      </c>
      <c r="AC414">
        <v>5</v>
      </c>
      <c r="AD414" s="6">
        <v>61</v>
      </c>
      <c r="AE414" s="6">
        <v>0</v>
      </c>
      <c r="AF414" s="6">
        <v>0</v>
      </c>
      <c r="AG414" s="6">
        <v>102.25</v>
      </c>
      <c r="AH414" s="6">
        <v>129.30000000000001</v>
      </c>
      <c r="AI414" s="6">
        <f t="shared" si="12"/>
        <v>27.050000000000011</v>
      </c>
      <c r="AJ414" s="5">
        <f t="shared" si="13"/>
        <v>0.20920340293890186</v>
      </c>
    </row>
    <row r="415" spans="1:36">
      <c r="A415" t="s">
        <v>411</v>
      </c>
      <c r="B415" t="s">
        <v>699</v>
      </c>
      <c r="C415" t="s">
        <v>64</v>
      </c>
      <c r="D415" t="s">
        <v>54</v>
      </c>
      <c r="E415" t="s">
        <v>55</v>
      </c>
      <c r="F415">
        <v>0</v>
      </c>
      <c r="G415">
        <v>723</v>
      </c>
      <c r="H415">
        <v>1</v>
      </c>
      <c r="I415" t="s">
        <v>220</v>
      </c>
      <c r="J415">
        <v>2</v>
      </c>
      <c r="K415" s="6">
        <v>3.12</v>
      </c>
      <c r="L415" t="s">
        <v>174</v>
      </c>
      <c r="M415">
        <v>0</v>
      </c>
      <c r="N415" t="s">
        <v>175</v>
      </c>
      <c r="O415">
        <v>1</v>
      </c>
      <c r="P415">
        <v>0</v>
      </c>
      <c r="Q415" s="6">
        <v>35.9</v>
      </c>
      <c r="R415">
        <v>0</v>
      </c>
      <c r="S415" s="6">
        <v>0</v>
      </c>
      <c r="T415">
        <v>0</v>
      </c>
      <c r="U415" s="6">
        <v>1880</v>
      </c>
      <c r="V415">
        <v>0</v>
      </c>
      <c r="W415">
        <v>0</v>
      </c>
      <c r="X415">
        <v>0</v>
      </c>
      <c r="Y415" s="6">
        <v>46.3</v>
      </c>
      <c r="Z415">
        <v>7.4999999999999997E-2</v>
      </c>
      <c r="AA415">
        <v>0.121</v>
      </c>
      <c r="AB415">
        <v>7.9000000000000001E-2</v>
      </c>
      <c r="AC415">
        <v>5</v>
      </c>
      <c r="AD415" s="6">
        <v>51</v>
      </c>
      <c r="AE415" s="6">
        <v>0</v>
      </c>
      <c r="AF415" s="6">
        <v>0</v>
      </c>
      <c r="AG415" s="6">
        <v>61.41</v>
      </c>
      <c r="AH415" s="6">
        <v>78.95</v>
      </c>
      <c r="AI415" s="6">
        <f t="shared" si="12"/>
        <v>17.540000000000006</v>
      </c>
      <c r="AJ415" s="5">
        <f t="shared" si="13"/>
        <v>0.22216592780240665</v>
      </c>
    </row>
    <row r="416" spans="1:36">
      <c r="A416" t="s">
        <v>372</v>
      </c>
      <c r="B416" t="s">
        <v>700</v>
      </c>
      <c r="C416" t="s">
        <v>64</v>
      </c>
      <c r="D416" t="s">
        <v>54</v>
      </c>
      <c r="E416" t="s">
        <v>55</v>
      </c>
      <c r="F416">
        <v>0</v>
      </c>
      <c r="G416">
        <v>723</v>
      </c>
      <c r="H416">
        <v>1</v>
      </c>
      <c r="I416" t="s">
        <v>173</v>
      </c>
      <c r="J416">
        <v>1</v>
      </c>
      <c r="K416" s="6">
        <v>1.76</v>
      </c>
      <c r="L416" t="s">
        <v>174</v>
      </c>
      <c r="M416">
        <v>0</v>
      </c>
      <c r="N416" t="s">
        <v>187</v>
      </c>
      <c r="O416">
        <v>2</v>
      </c>
      <c r="P416">
        <v>0</v>
      </c>
      <c r="Q416" s="6">
        <v>61.9</v>
      </c>
      <c r="R416">
        <v>0</v>
      </c>
      <c r="S416" s="6">
        <v>0</v>
      </c>
      <c r="T416">
        <v>0</v>
      </c>
      <c r="U416" s="6">
        <v>2179</v>
      </c>
      <c r="V416">
        <v>0</v>
      </c>
      <c r="W416">
        <v>0</v>
      </c>
      <c r="X416">
        <v>1</v>
      </c>
      <c r="Y416" s="6">
        <v>46.3</v>
      </c>
      <c r="Z416">
        <v>7.4999999999999997E-2</v>
      </c>
      <c r="AA416">
        <v>0.121</v>
      </c>
      <c r="AB416">
        <v>7.9000000000000001E-2</v>
      </c>
      <c r="AC416">
        <v>5</v>
      </c>
      <c r="AD416" s="6">
        <v>51</v>
      </c>
      <c r="AE416" s="6">
        <v>0</v>
      </c>
      <c r="AF416" s="6">
        <v>0</v>
      </c>
      <c r="AG416" s="6">
        <v>56.18</v>
      </c>
      <c r="AH416" s="6">
        <v>74.19</v>
      </c>
      <c r="AI416" s="6">
        <f t="shared" si="12"/>
        <v>18.009999999999998</v>
      </c>
      <c r="AJ416" s="5">
        <f t="shared" si="13"/>
        <v>0.24275508828683109</v>
      </c>
    </row>
    <row r="417" spans="1:36">
      <c r="A417" t="s">
        <v>372</v>
      </c>
      <c r="B417" t="s">
        <v>701</v>
      </c>
      <c r="C417" t="s">
        <v>64</v>
      </c>
      <c r="D417" t="s">
        <v>54</v>
      </c>
      <c r="E417" t="s">
        <v>55</v>
      </c>
      <c r="F417">
        <v>0</v>
      </c>
      <c r="G417">
        <v>723</v>
      </c>
      <c r="H417">
        <v>1</v>
      </c>
      <c r="I417" t="s">
        <v>220</v>
      </c>
      <c r="J417">
        <v>2</v>
      </c>
      <c r="K417" s="6">
        <v>4.1500000000000004</v>
      </c>
      <c r="L417" t="s">
        <v>174</v>
      </c>
      <c r="M417">
        <v>0</v>
      </c>
      <c r="N417" t="s">
        <v>182</v>
      </c>
      <c r="O417">
        <v>3</v>
      </c>
      <c r="P417">
        <v>0</v>
      </c>
      <c r="Q417" s="6">
        <v>114.6</v>
      </c>
      <c r="R417">
        <v>0</v>
      </c>
      <c r="S417" s="6">
        <v>0</v>
      </c>
      <c r="T417">
        <v>0</v>
      </c>
      <c r="U417" s="6">
        <v>3016</v>
      </c>
      <c r="V417">
        <v>0</v>
      </c>
      <c r="W417">
        <v>0</v>
      </c>
      <c r="X417">
        <v>0</v>
      </c>
      <c r="Y417" s="6">
        <v>46.3</v>
      </c>
      <c r="Z417">
        <v>7.4999999999999997E-2</v>
      </c>
      <c r="AA417">
        <v>0.121</v>
      </c>
      <c r="AB417">
        <v>7.9000000000000001E-2</v>
      </c>
      <c r="AC417">
        <v>5</v>
      </c>
      <c r="AD417" s="6">
        <v>51</v>
      </c>
      <c r="AE417" s="6">
        <v>0</v>
      </c>
      <c r="AF417" s="6">
        <v>0</v>
      </c>
      <c r="AG417" s="6">
        <v>75.510000000000005</v>
      </c>
      <c r="AH417" s="6">
        <v>99.24</v>
      </c>
      <c r="AI417" s="6">
        <f t="shared" si="12"/>
        <v>23.72999999999999</v>
      </c>
      <c r="AJ417" s="5">
        <f t="shared" si="13"/>
        <v>0.23911729141475202</v>
      </c>
    </row>
    <row r="418" spans="1:36">
      <c r="A418" t="s">
        <v>403</v>
      </c>
      <c r="B418" t="s">
        <v>702</v>
      </c>
      <c r="C418" t="s">
        <v>64</v>
      </c>
      <c r="D418" t="s">
        <v>54</v>
      </c>
      <c r="E418" t="s">
        <v>55</v>
      </c>
      <c r="F418">
        <v>0</v>
      </c>
      <c r="G418">
        <v>723</v>
      </c>
      <c r="H418">
        <v>1</v>
      </c>
      <c r="I418" t="s">
        <v>173</v>
      </c>
      <c r="J418">
        <v>1</v>
      </c>
      <c r="K418" s="6">
        <v>2.33</v>
      </c>
      <c r="L418" t="s">
        <v>174</v>
      </c>
      <c r="M418">
        <v>0</v>
      </c>
      <c r="N418" t="s">
        <v>175</v>
      </c>
      <c r="O418">
        <v>1</v>
      </c>
      <c r="P418">
        <v>0</v>
      </c>
      <c r="Q418" s="6">
        <v>34.1</v>
      </c>
      <c r="R418">
        <v>0</v>
      </c>
      <c r="S418" s="6">
        <v>0</v>
      </c>
      <c r="T418">
        <v>0</v>
      </c>
      <c r="U418" s="6">
        <v>4085</v>
      </c>
      <c r="V418">
        <v>0</v>
      </c>
      <c r="W418">
        <v>1</v>
      </c>
      <c r="X418">
        <v>0</v>
      </c>
      <c r="Y418" s="6">
        <v>46.3</v>
      </c>
      <c r="Z418">
        <v>7.4999999999999997E-2</v>
      </c>
      <c r="AA418">
        <v>0.121</v>
      </c>
      <c r="AB418">
        <v>7.9000000000000001E-2</v>
      </c>
      <c r="AC418">
        <v>5</v>
      </c>
      <c r="AD418" s="6">
        <v>51</v>
      </c>
      <c r="AE418" s="6">
        <v>0</v>
      </c>
      <c r="AF418" s="6">
        <v>0</v>
      </c>
      <c r="AG418" s="6">
        <v>90.53</v>
      </c>
      <c r="AH418" s="6">
        <v>114.43</v>
      </c>
      <c r="AI418" s="6">
        <f t="shared" si="12"/>
        <v>23.900000000000006</v>
      </c>
      <c r="AJ418" s="5">
        <f t="shared" si="13"/>
        <v>0.20886131259285157</v>
      </c>
    </row>
    <row r="419" spans="1:36">
      <c r="A419" t="s">
        <v>179</v>
      </c>
      <c r="B419" t="s">
        <v>703</v>
      </c>
      <c r="C419" t="s">
        <v>64</v>
      </c>
      <c r="D419" t="s">
        <v>54</v>
      </c>
      <c r="E419" t="s">
        <v>55</v>
      </c>
      <c r="F419">
        <v>0</v>
      </c>
      <c r="G419">
        <v>723</v>
      </c>
      <c r="H419">
        <v>1</v>
      </c>
      <c r="I419" t="s">
        <v>173</v>
      </c>
      <c r="J419">
        <v>1</v>
      </c>
      <c r="K419" s="6">
        <v>2.59</v>
      </c>
      <c r="L419" t="s">
        <v>174</v>
      </c>
      <c r="M419">
        <v>0</v>
      </c>
      <c r="N419" t="s">
        <v>175</v>
      </c>
      <c r="O419">
        <v>1</v>
      </c>
      <c r="P419">
        <v>0</v>
      </c>
      <c r="Q419" s="6">
        <v>44</v>
      </c>
      <c r="R419">
        <v>0</v>
      </c>
      <c r="S419" s="6">
        <v>0</v>
      </c>
      <c r="T419">
        <v>0</v>
      </c>
      <c r="U419" s="6">
        <v>2163</v>
      </c>
      <c r="V419">
        <v>0</v>
      </c>
      <c r="W419">
        <v>0</v>
      </c>
      <c r="X419">
        <v>0</v>
      </c>
      <c r="Y419" s="6">
        <v>46.3</v>
      </c>
      <c r="Z419">
        <v>7.4999999999999997E-2</v>
      </c>
      <c r="AA419">
        <v>0.121</v>
      </c>
      <c r="AB419">
        <v>7.9000000000000001E-2</v>
      </c>
      <c r="AC419">
        <v>5</v>
      </c>
      <c r="AD419" s="6">
        <v>51</v>
      </c>
      <c r="AE419" s="6">
        <v>0</v>
      </c>
      <c r="AF419" s="6">
        <v>0</v>
      </c>
      <c r="AG419" s="6">
        <v>56.28</v>
      </c>
      <c r="AH419" s="6">
        <v>71.7</v>
      </c>
      <c r="AI419" s="6">
        <f t="shared" si="12"/>
        <v>15.420000000000002</v>
      </c>
      <c r="AJ419" s="5">
        <f t="shared" si="13"/>
        <v>0.21506276150627618</v>
      </c>
    </row>
    <row r="420" spans="1:36">
      <c r="A420" t="s">
        <v>393</v>
      </c>
      <c r="B420" t="s">
        <v>704</v>
      </c>
      <c r="C420" t="s">
        <v>64</v>
      </c>
      <c r="D420" t="s">
        <v>54</v>
      </c>
      <c r="E420" t="s">
        <v>55</v>
      </c>
      <c r="F420">
        <v>0</v>
      </c>
      <c r="G420">
        <v>723</v>
      </c>
      <c r="H420">
        <v>1</v>
      </c>
      <c r="I420" t="s">
        <v>220</v>
      </c>
      <c r="J420">
        <v>2</v>
      </c>
      <c r="K420" s="6">
        <v>1.64</v>
      </c>
      <c r="L420" t="s">
        <v>174</v>
      </c>
      <c r="M420">
        <v>0</v>
      </c>
      <c r="N420" t="s">
        <v>175</v>
      </c>
      <c r="O420">
        <v>1</v>
      </c>
      <c r="P420">
        <v>0</v>
      </c>
      <c r="Q420" s="6">
        <v>33.9</v>
      </c>
      <c r="R420">
        <v>0</v>
      </c>
      <c r="S420" s="6">
        <v>0</v>
      </c>
      <c r="T420">
        <v>0</v>
      </c>
      <c r="U420" s="6">
        <v>2025</v>
      </c>
      <c r="V420">
        <v>0</v>
      </c>
      <c r="W420">
        <v>0</v>
      </c>
      <c r="X420">
        <v>0</v>
      </c>
      <c r="Y420" s="6">
        <v>46.3</v>
      </c>
      <c r="Z420">
        <v>7.4999999999999997E-2</v>
      </c>
      <c r="AA420">
        <v>0.121</v>
      </c>
      <c r="AB420">
        <v>7.9000000000000001E-2</v>
      </c>
      <c r="AC420">
        <v>5</v>
      </c>
      <c r="AD420" s="6">
        <v>51</v>
      </c>
      <c r="AE420" s="6">
        <v>0</v>
      </c>
      <c r="AF420" s="6">
        <v>0</v>
      </c>
      <c r="AG420" s="6">
        <v>67.03</v>
      </c>
      <c r="AH420" s="6">
        <v>88.64</v>
      </c>
      <c r="AI420" s="6">
        <f t="shared" si="12"/>
        <v>21.61</v>
      </c>
      <c r="AJ420" s="5">
        <f t="shared" si="13"/>
        <v>0.24379512635379061</v>
      </c>
    </row>
    <row r="421" spans="1:36">
      <c r="A421" t="s">
        <v>635</v>
      </c>
      <c r="B421" t="s">
        <v>705</v>
      </c>
      <c r="C421" t="s">
        <v>64</v>
      </c>
      <c r="D421" t="s">
        <v>54</v>
      </c>
      <c r="E421" t="s">
        <v>55</v>
      </c>
      <c r="F421">
        <v>0</v>
      </c>
      <c r="G421">
        <v>723</v>
      </c>
      <c r="H421">
        <v>1</v>
      </c>
      <c r="I421" t="s">
        <v>181</v>
      </c>
      <c r="J421">
        <v>3</v>
      </c>
      <c r="K421" s="6">
        <v>4.71</v>
      </c>
      <c r="L421" t="s">
        <v>174</v>
      </c>
      <c r="M421">
        <v>0</v>
      </c>
      <c r="N421" t="s">
        <v>182</v>
      </c>
      <c r="O421">
        <v>3</v>
      </c>
      <c r="P421">
        <v>0</v>
      </c>
      <c r="Q421" s="6">
        <v>109.1</v>
      </c>
      <c r="R421">
        <v>1</v>
      </c>
      <c r="S421" s="6">
        <v>2051</v>
      </c>
      <c r="T421">
        <v>0</v>
      </c>
      <c r="U421" s="6">
        <v>3194</v>
      </c>
      <c r="V421">
        <v>0</v>
      </c>
      <c r="W421">
        <v>0</v>
      </c>
      <c r="X421">
        <v>0</v>
      </c>
      <c r="Y421" s="6">
        <v>46.3</v>
      </c>
      <c r="Z421">
        <v>7.4999999999999997E-2</v>
      </c>
      <c r="AA421">
        <v>0.121</v>
      </c>
      <c r="AB421">
        <v>7.9000000000000001E-2</v>
      </c>
      <c r="AC421">
        <v>5</v>
      </c>
      <c r="AD421" s="6">
        <v>61</v>
      </c>
      <c r="AE421" s="6">
        <v>40</v>
      </c>
      <c r="AF421" s="6">
        <v>0</v>
      </c>
      <c r="AG421" s="6">
        <v>98.46</v>
      </c>
      <c r="AH421" s="6">
        <v>125.43</v>
      </c>
      <c r="AI421" s="6">
        <f t="shared" si="12"/>
        <v>26.970000000000013</v>
      </c>
      <c r="AJ421" s="5">
        <f t="shared" si="13"/>
        <v>0.21502033006457794</v>
      </c>
    </row>
    <row r="422" spans="1:36">
      <c r="A422" t="s">
        <v>194</v>
      </c>
      <c r="B422" t="s">
        <v>706</v>
      </c>
      <c r="C422" t="s">
        <v>64</v>
      </c>
      <c r="D422" t="s">
        <v>54</v>
      </c>
      <c r="E422" t="s">
        <v>55</v>
      </c>
      <c r="F422">
        <v>0</v>
      </c>
      <c r="G422">
        <v>723</v>
      </c>
      <c r="H422">
        <v>1</v>
      </c>
      <c r="I422" t="s">
        <v>173</v>
      </c>
      <c r="J422">
        <v>1</v>
      </c>
      <c r="K422" s="6">
        <v>0.44</v>
      </c>
      <c r="L422" t="s">
        <v>174</v>
      </c>
      <c r="M422">
        <v>0</v>
      </c>
      <c r="N422" t="s">
        <v>182</v>
      </c>
      <c r="O422">
        <v>3</v>
      </c>
      <c r="P422">
        <v>0</v>
      </c>
      <c r="Q422" s="6">
        <v>125.7</v>
      </c>
      <c r="R422">
        <v>1</v>
      </c>
      <c r="S422" s="6">
        <v>3287</v>
      </c>
      <c r="T422">
        <v>0</v>
      </c>
      <c r="U422" s="6">
        <v>8125</v>
      </c>
      <c r="V422">
        <v>0</v>
      </c>
      <c r="W422">
        <v>0</v>
      </c>
      <c r="X422">
        <v>0</v>
      </c>
      <c r="Y422" s="6">
        <v>46.3</v>
      </c>
      <c r="Z422">
        <v>7.4999999999999997E-2</v>
      </c>
      <c r="AA422">
        <v>0.121</v>
      </c>
      <c r="AB422">
        <v>7.9000000000000001E-2</v>
      </c>
      <c r="AC422">
        <v>5</v>
      </c>
      <c r="AD422" s="6">
        <v>51</v>
      </c>
      <c r="AE422" s="6">
        <v>40</v>
      </c>
      <c r="AF422" s="6">
        <v>0</v>
      </c>
      <c r="AG422" s="6">
        <v>71.64</v>
      </c>
      <c r="AH422" s="6">
        <v>92.53</v>
      </c>
      <c r="AI422" s="6">
        <f t="shared" si="12"/>
        <v>20.89</v>
      </c>
      <c r="AJ422" s="5">
        <f t="shared" si="13"/>
        <v>0.22576461688101157</v>
      </c>
    </row>
    <row r="423" spans="1:36">
      <c r="A423" t="s">
        <v>236</v>
      </c>
      <c r="B423" t="s">
        <v>707</v>
      </c>
      <c r="C423" t="s">
        <v>64</v>
      </c>
      <c r="D423" t="s">
        <v>54</v>
      </c>
      <c r="E423" t="s">
        <v>55</v>
      </c>
      <c r="F423">
        <v>0</v>
      </c>
      <c r="G423">
        <v>723</v>
      </c>
      <c r="H423">
        <v>1</v>
      </c>
      <c r="I423" t="s">
        <v>220</v>
      </c>
      <c r="J423">
        <v>2</v>
      </c>
      <c r="K423" s="6">
        <v>4.75</v>
      </c>
      <c r="L423" t="s">
        <v>174</v>
      </c>
      <c r="M423">
        <v>0</v>
      </c>
      <c r="N423" t="s">
        <v>187</v>
      </c>
      <c r="O423">
        <v>2</v>
      </c>
      <c r="P423">
        <v>0</v>
      </c>
      <c r="Q423" s="6">
        <v>48.7</v>
      </c>
      <c r="R423">
        <v>0</v>
      </c>
      <c r="S423" s="6">
        <v>0</v>
      </c>
      <c r="T423">
        <v>0</v>
      </c>
      <c r="U423" s="6">
        <v>4370</v>
      </c>
      <c r="V423">
        <v>0</v>
      </c>
      <c r="W423">
        <v>0</v>
      </c>
      <c r="X423">
        <v>0</v>
      </c>
      <c r="Y423" s="6">
        <v>46.3</v>
      </c>
      <c r="Z423">
        <v>7.4999999999999997E-2</v>
      </c>
      <c r="AA423">
        <v>0.121</v>
      </c>
      <c r="AB423">
        <v>7.9000000000000001E-2</v>
      </c>
      <c r="AC423">
        <v>5</v>
      </c>
      <c r="AD423" s="6">
        <v>51</v>
      </c>
      <c r="AE423" s="6">
        <v>0</v>
      </c>
      <c r="AF423" s="6">
        <v>0</v>
      </c>
      <c r="AG423" s="6">
        <v>73.22</v>
      </c>
      <c r="AH423" s="6">
        <v>93.25</v>
      </c>
      <c r="AI423" s="6">
        <f t="shared" si="12"/>
        <v>20.03</v>
      </c>
      <c r="AJ423" s="5">
        <f t="shared" si="13"/>
        <v>0.21479892761394104</v>
      </c>
    </row>
    <row r="424" spans="1:36">
      <c r="A424" t="s">
        <v>251</v>
      </c>
      <c r="B424" t="s">
        <v>708</v>
      </c>
      <c r="C424" t="s">
        <v>64</v>
      </c>
      <c r="D424" t="s">
        <v>54</v>
      </c>
      <c r="E424" t="s">
        <v>55</v>
      </c>
      <c r="F424">
        <v>0</v>
      </c>
      <c r="G424">
        <v>723</v>
      </c>
      <c r="H424">
        <v>1</v>
      </c>
      <c r="I424" t="s">
        <v>220</v>
      </c>
      <c r="J424">
        <v>2</v>
      </c>
      <c r="K424" s="6">
        <v>2.6</v>
      </c>
      <c r="L424" t="s">
        <v>174</v>
      </c>
      <c r="M424">
        <v>0</v>
      </c>
      <c r="N424" t="s">
        <v>187</v>
      </c>
      <c r="O424">
        <v>2</v>
      </c>
      <c r="P424">
        <v>0</v>
      </c>
      <c r="Q424" s="6">
        <v>54.5</v>
      </c>
      <c r="R424">
        <v>1</v>
      </c>
      <c r="S424" s="6">
        <v>1959</v>
      </c>
      <c r="T424">
        <v>0</v>
      </c>
      <c r="U424" s="6">
        <v>2248</v>
      </c>
      <c r="V424">
        <v>0</v>
      </c>
      <c r="W424">
        <v>0</v>
      </c>
      <c r="X424">
        <v>1</v>
      </c>
      <c r="Y424" s="6">
        <v>46.3</v>
      </c>
      <c r="Z424">
        <v>7.4999999999999997E-2</v>
      </c>
      <c r="AA424">
        <v>0.121</v>
      </c>
      <c r="AB424">
        <v>7.9000000000000001E-2</v>
      </c>
      <c r="AC424">
        <v>5</v>
      </c>
      <c r="AD424" s="6">
        <v>51</v>
      </c>
      <c r="AE424" s="6">
        <v>25</v>
      </c>
      <c r="AF424" s="6">
        <v>0</v>
      </c>
      <c r="AG424" s="6">
        <v>71.55</v>
      </c>
      <c r="AH424" s="6">
        <v>91.78</v>
      </c>
      <c r="AI424" s="6">
        <f t="shared" si="12"/>
        <v>20.230000000000004</v>
      </c>
      <c r="AJ424" s="5">
        <f t="shared" si="13"/>
        <v>0.22041839180649384</v>
      </c>
    </row>
    <row r="425" spans="1:36">
      <c r="A425" t="s">
        <v>353</v>
      </c>
      <c r="B425" t="s">
        <v>709</v>
      </c>
      <c r="C425" t="s">
        <v>64</v>
      </c>
      <c r="D425" t="s">
        <v>54</v>
      </c>
      <c r="E425" t="s">
        <v>55</v>
      </c>
      <c r="F425">
        <v>0</v>
      </c>
      <c r="G425">
        <v>723</v>
      </c>
      <c r="H425">
        <v>1</v>
      </c>
      <c r="I425" t="s">
        <v>173</v>
      </c>
      <c r="J425">
        <v>1</v>
      </c>
      <c r="K425" s="6">
        <v>1.87</v>
      </c>
      <c r="L425" t="s">
        <v>174</v>
      </c>
      <c r="M425">
        <v>0</v>
      </c>
      <c r="N425" t="s">
        <v>182</v>
      </c>
      <c r="O425">
        <v>3</v>
      </c>
      <c r="P425">
        <v>0</v>
      </c>
      <c r="Q425" s="6">
        <v>116.3</v>
      </c>
      <c r="R425">
        <v>0</v>
      </c>
      <c r="S425" s="6">
        <v>0</v>
      </c>
      <c r="T425">
        <v>0</v>
      </c>
      <c r="U425" s="6">
        <v>6024</v>
      </c>
      <c r="V425">
        <v>0</v>
      </c>
      <c r="W425">
        <v>0</v>
      </c>
      <c r="X425">
        <v>0</v>
      </c>
      <c r="Y425" s="6">
        <v>46.3</v>
      </c>
      <c r="Z425">
        <v>7.4999999999999997E-2</v>
      </c>
      <c r="AA425">
        <v>0.121</v>
      </c>
      <c r="AB425">
        <v>7.9000000000000001E-2</v>
      </c>
      <c r="AC425">
        <v>5</v>
      </c>
      <c r="AD425" s="6">
        <v>51</v>
      </c>
      <c r="AE425" s="6">
        <v>0</v>
      </c>
      <c r="AF425" s="6">
        <v>0</v>
      </c>
      <c r="AG425" s="6">
        <v>74.489999999999995</v>
      </c>
      <c r="AH425" s="6">
        <v>97.41</v>
      </c>
      <c r="AI425" s="6">
        <f t="shared" si="12"/>
        <v>22.92</v>
      </c>
      <c r="AJ425" s="5">
        <f t="shared" si="13"/>
        <v>0.23529411764705885</v>
      </c>
    </row>
    <row r="426" spans="1:36">
      <c r="A426" t="s">
        <v>348</v>
      </c>
      <c r="B426" t="s">
        <v>710</v>
      </c>
      <c r="C426" t="s">
        <v>64</v>
      </c>
      <c r="D426" t="s">
        <v>54</v>
      </c>
      <c r="E426" t="s">
        <v>55</v>
      </c>
      <c r="F426">
        <v>0</v>
      </c>
      <c r="G426">
        <v>723</v>
      </c>
      <c r="H426">
        <v>1</v>
      </c>
      <c r="I426" t="s">
        <v>173</v>
      </c>
      <c r="J426">
        <v>1</v>
      </c>
      <c r="K426" s="6">
        <v>1.64</v>
      </c>
      <c r="L426" t="s">
        <v>174</v>
      </c>
      <c r="M426">
        <v>0</v>
      </c>
      <c r="N426" t="s">
        <v>182</v>
      </c>
      <c r="O426">
        <v>3</v>
      </c>
      <c r="P426">
        <v>0</v>
      </c>
      <c r="Q426" s="6">
        <v>58.8</v>
      </c>
      <c r="R426">
        <v>0</v>
      </c>
      <c r="S426" s="6">
        <v>0</v>
      </c>
      <c r="T426">
        <v>0</v>
      </c>
      <c r="U426" s="6">
        <v>4883</v>
      </c>
      <c r="V426">
        <v>0</v>
      </c>
      <c r="W426">
        <v>0</v>
      </c>
      <c r="X426">
        <v>0</v>
      </c>
      <c r="Y426" s="6">
        <v>46.3</v>
      </c>
      <c r="Z426">
        <v>7.4999999999999997E-2</v>
      </c>
      <c r="AA426">
        <v>0.121</v>
      </c>
      <c r="AB426">
        <v>7.9000000000000001E-2</v>
      </c>
      <c r="AC426">
        <v>5</v>
      </c>
      <c r="AD426" s="6">
        <v>51</v>
      </c>
      <c r="AE426" s="6">
        <v>0</v>
      </c>
      <c r="AF426" s="6">
        <v>0</v>
      </c>
      <c r="AG426" s="6">
        <v>63.95</v>
      </c>
      <c r="AH426" s="6">
        <v>80.42</v>
      </c>
      <c r="AI426" s="6">
        <f t="shared" si="12"/>
        <v>16.47</v>
      </c>
      <c r="AJ426" s="5">
        <f t="shared" si="13"/>
        <v>0.20479980104451628</v>
      </c>
    </row>
    <row r="427" spans="1:36">
      <c r="A427" t="s">
        <v>436</v>
      </c>
      <c r="B427" t="s">
        <v>711</v>
      </c>
      <c r="C427" t="s">
        <v>64</v>
      </c>
      <c r="D427" t="s">
        <v>54</v>
      </c>
      <c r="E427" t="s">
        <v>55</v>
      </c>
      <c r="F427">
        <v>0</v>
      </c>
      <c r="G427">
        <v>723</v>
      </c>
      <c r="H427">
        <v>1</v>
      </c>
      <c r="I427" t="s">
        <v>220</v>
      </c>
      <c r="J427">
        <v>2</v>
      </c>
      <c r="K427" s="6">
        <v>3.98</v>
      </c>
      <c r="L427" t="s">
        <v>200</v>
      </c>
      <c r="M427">
        <v>1</v>
      </c>
      <c r="N427" t="s">
        <v>175</v>
      </c>
      <c r="O427">
        <v>1</v>
      </c>
      <c r="P427">
        <v>0</v>
      </c>
      <c r="Q427" s="6">
        <v>37.9</v>
      </c>
      <c r="R427">
        <v>0</v>
      </c>
      <c r="S427" s="6">
        <v>0</v>
      </c>
      <c r="T427">
        <v>0</v>
      </c>
      <c r="U427" s="6">
        <v>4909</v>
      </c>
      <c r="V427">
        <v>0</v>
      </c>
      <c r="W427">
        <v>0</v>
      </c>
      <c r="X427">
        <v>0</v>
      </c>
      <c r="Y427" s="6">
        <v>46.3</v>
      </c>
      <c r="Z427">
        <v>7.4999999999999997E-2</v>
      </c>
      <c r="AA427">
        <v>0.121</v>
      </c>
      <c r="AB427">
        <v>7.9000000000000001E-2</v>
      </c>
      <c r="AC427">
        <v>5</v>
      </c>
      <c r="AD427" s="6">
        <v>120</v>
      </c>
      <c r="AE427" s="6">
        <v>0</v>
      </c>
      <c r="AF427" s="6">
        <v>0</v>
      </c>
      <c r="AG427" s="6">
        <v>101.77</v>
      </c>
      <c r="AH427" s="6">
        <v>129.03</v>
      </c>
      <c r="AI427" s="6">
        <f t="shared" si="12"/>
        <v>27.260000000000005</v>
      </c>
      <c r="AJ427" s="5">
        <f t="shared" si="13"/>
        <v>0.21126869720220107</v>
      </c>
    </row>
    <row r="428" spans="1:36">
      <c r="A428" t="s">
        <v>300</v>
      </c>
      <c r="B428" t="s">
        <v>712</v>
      </c>
      <c r="C428" t="s">
        <v>64</v>
      </c>
      <c r="D428" t="s">
        <v>54</v>
      </c>
      <c r="E428" t="s">
        <v>55</v>
      </c>
      <c r="F428">
        <v>0</v>
      </c>
      <c r="G428">
        <v>723</v>
      </c>
      <c r="H428">
        <v>1</v>
      </c>
      <c r="I428" t="s">
        <v>173</v>
      </c>
      <c r="J428">
        <v>1</v>
      </c>
      <c r="K428" s="6">
        <v>1.44</v>
      </c>
      <c r="L428" t="s">
        <v>174</v>
      </c>
      <c r="M428">
        <v>0</v>
      </c>
      <c r="N428" t="s">
        <v>175</v>
      </c>
      <c r="O428">
        <v>1</v>
      </c>
      <c r="P428">
        <v>0</v>
      </c>
      <c r="Q428" s="6">
        <v>34.200000000000003</v>
      </c>
      <c r="R428">
        <v>0</v>
      </c>
      <c r="S428" s="6">
        <v>0</v>
      </c>
      <c r="T428">
        <v>0</v>
      </c>
      <c r="U428" s="6">
        <v>2993</v>
      </c>
      <c r="V428">
        <v>0</v>
      </c>
      <c r="W428">
        <v>0</v>
      </c>
      <c r="X428">
        <v>0</v>
      </c>
      <c r="Y428" s="6">
        <v>46.3</v>
      </c>
      <c r="Z428">
        <v>7.4999999999999997E-2</v>
      </c>
      <c r="AA428">
        <v>0.121</v>
      </c>
      <c r="AB428">
        <v>7.9000000000000001E-2</v>
      </c>
      <c r="AC428">
        <v>5</v>
      </c>
      <c r="AD428" s="6">
        <v>51</v>
      </c>
      <c r="AE428" s="6">
        <v>0</v>
      </c>
      <c r="AF428" s="6">
        <v>0</v>
      </c>
      <c r="AG428" s="6">
        <v>56.72</v>
      </c>
      <c r="AH428" s="6">
        <v>74.08</v>
      </c>
      <c r="AI428" s="6">
        <f t="shared" si="12"/>
        <v>17.36</v>
      </c>
      <c r="AJ428" s="5">
        <f t="shared" si="13"/>
        <v>0.23434125269978401</v>
      </c>
    </row>
    <row r="429" spans="1:36">
      <c r="A429" t="s">
        <v>208</v>
      </c>
      <c r="B429" t="s">
        <v>713</v>
      </c>
      <c r="C429" t="s">
        <v>64</v>
      </c>
      <c r="D429" t="s">
        <v>54</v>
      </c>
      <c r="E429" t="s">
        <v>55</v>
      </c>
      <c r="F429">
        <v>0</v>
      </c>
      <c r="G429">
        <v>723</v>
      </c>
      <c r="H429">
        <v>1</v>
      </c>
      <c r="I429" t="s">
        <v>181</v>
      </c>
      <c r="J429">
        <v>3</v>
      </c>
      <c r="K429" s="6">
        <v>5.24</v>
      </c>
      <c r="L429" t="s">
        <v>174</v>
      </c>
      <c r="M429">
        <v>0</v>
      </c>
      <c r="N429" t="s">
        <v>182</v>
      </c>
      <c r="O429">
        <v>3</v>
      </c>
      <c r="P429">
        <v>0</v>
      </c>
      <c r="Q429" s="6">
        <v>111</v>
      </c>
      <c r="R429">
        <v>1</v>
      </c>
      <c r="S429" s="6">
        <v>3815</v>
      </c>
      <c r="T429">
        <v>0</v>
      </c>
      <c r="U429" s="6">
        <v>3565</v>
      </c>
      <c r="V429">
        <v>0</v>
      </c>
      <c r="W429">
        <v>0</v>
      </c>
      <c r="X429">
        <v>0</v>
      </c>
      <c r="Y429" s="6">
        <v>46.3</v>
      </c>
      <c r="Z429">
        <v>7.4999999999999997E-2</v>
      </c>
      <c r="AA429">
        <v>0.121</v>
      </c>
      <c r="AB429">
        <v>7.9000000000000001E-2</v>
      </c>
      <c r="AC429">
        <v>5</v>
      </c>
      <c r="AD429" s="6">
        <v>61</v>
      </c>
      <c r="AE429" s="6">
        <v>40</v>
      </c>
      <c r="AF429" s="6">
        <v>0</v>
      </c>
      <c r="AG429" s="6">
        <v>97.31</v>
      </c>
      <c r="AH429" s="6">
        <v>125.55</v>
      </c>
      <c r="AI429" s="6">
        <f t="shared" si="12"/>
        <v>28.239999999999995</v>
      </c>
      <c r="AJ429" s="5">
        <f t="shared" si="13"/>
        <v>0.22493030665073671</v>
      </c>
    </row>
    <row r="430" spans="1:36">
      <c r="A430" t="s">
        <v>355</v>
      </c>
      <c r="B430" t="s">
        <v>714</v>
      </c>
      <c r="C430" t="s">
        <v>64</v>
      </c>
      <c r="D430" t="s">
        <v>54</v>
      </c>
      <c r="E430" t="s">
        <v>55</v>
      </c>
      <c r="F430">
        <v>0</v>
      </c>
      <c r="G430">
        <v>723</v>
      </c>
      <c r="H430">
        <v>1</v>
      </c>
      <c r="I430" t="s">
        <v>173</v>
      </c>
      <c r="J430">
        <v>1</v>
      </c>
      <c r="K430" s="6">
        <v>1.57</v>
      </c>
      <c r="L430" t="s">
        <v>174</v>
      </c>
      <c r="M430">
        <v>0</v>
      </c>
      <c r="N430" t="s">
        <v>175</v>
      </c>
      <c r="O430">
        <v>1</v>
      </c>
      <c r="P430">
        <v>0</v>
      </c>
      <c r="Q430" s="6">
        <v>36.6</v>
      </c>
      <c r="R430">
        <v>0</v>
      </c>
      <c r="S430" s="6">
        <v>0</v>
      </c>
      <c r="T430">
        <v>0</v>
      </c>
      <c r="U430" s="6">
        <v>846</v>
      </c>
      <c r="V430">
        <v>1</v>
      </c>
      <c r="W430">
        <v>0</v>
      </c>
      <c r="X430">
        <v>0</v>
      </c>
      <c r="Y430" s="6">
        <v>46.3</v>
      </c>
      <c r="Z430">
        <v>7.4999999999999997E-2</v>
      </c>
      <c r="AA430">
        <v>0.121</v>
      </c>
      <c r="AB430">
        <v>7.9000000000000001E-2</v>
      </c>
      <c r="AC430">
        <v>5</v>
      </c>
      <c r="AD430" s="6">
        <v>51</v>
      </c>
      <c r="AE430" s="6">
        <v>0</v>
      </c>
      <c r="AF430" s="6">
        <v>0</v>
      </c>
      <c r="AG430" s="6">
        <v>99.63</v>
      </c>
      <c r="AH430" s="6">
        <v>124.82</v>
      </c>
      <c r="AI430" s="6">
        <f t="shared" si="12"/>
        <v>25.189999999999998</v>
      </c>
      <c r="AJ430" s="5">
        <f t="shared" si="13"/>
        <v>0.20181060727447522</v>
      </c>
    </row>
    <row r="431" spans="1:36">
      <c r="A431" t="s">
        <v>406</v>
      </c>
      <c r="B431" t="s">
        <v>715</v>
      </c>
      <c r="C431" t="s">
        <v>64</v>
      </c>
      <c r="D431" t="s">
        <v>54</v>
      </c>
      <c r="E431" t="s">
        <v>55</v>
      </c>
      <c r="F431">
        <v>0</v>
      </c>
      <c r="G431">
        <v>723</v>
      </c>
      <c r="H431">
        <v>1</v>
      </c>
      <c r="I431" t="s">
        <v>173</v>
      </c>
      <c r="J431">
        <v>1</v>
      </c>
      <c r="K431" s="6">
        <v>1.65</v>
      </c>
      <c r="L431" t="s">
        <v>174</v>
      </c>
      <c r="M431">
        <v>0</v>
      </c>
      <c r="N431" t="s">
        <v>182</v>
      </c>
      <c r="O431">
        <v>3</v>
      </c>
      <c r="P431">
        <v>0</v>
      </c>
      <c r="Q431" s="6">
        <v>147.19999999999999</v>
      </c>
      <c r="R431">
        <v>1</v>
      </c>
      <c r="S431" s="6">
        <v>2846</v>
      </c>
      <c r="T431">
        <v>0</v>
      </c>
      <c r="U431" s="6">
        <v>3833</v>
      </c>
      <c r="V431">
        <v>0</v>
      </c>
      <c r="W431">
        <v>0</v>
      </c>
      <c r="X431">
        <v>0</v>
      </c>
      <c r="Y431" s="6">
        <v>46.3</v>
      </c>
      <c r="Z431">
        <v>7.4999999999999997E-2</v>
      </c>
      <c r="AA431">
        <v>0.121</v>
      </c>
      <c r="AB431">
        <v>7.9000000000000001E-2</v>
      </c>
      <c r="AC431">
        <v>5</v>
      </c>
      <c r="AD431" s="6">
        <v>51</v>
      </c>
      <c r="AE431" s="6">
        <v>40</v>
      </c>
      <c r="AF431" s="6">
        <v>0</v>
      </c>
      <c r="AG431" s="6">
        <v>68.400000000000006</v>
      </c>
      <c r="AH431" s="6">
        <v>89.58</v>
      </c>
      <c r="AI431" s="6">
        <f t="shared" si="12"/>
        <v>21.179999999999993</v>
      </c>
      <c r="AJ431" s="5">
        <f t="shared" si="13"/>
        <v>0.23643670462156724</v>
      </c>
    </row>
    <row r="432" spans="1:36">
      <c r="A432" t="s">
        <v>319</v>
      </c>
      <c r="B432" t="s">
        <v>716</v>
      </c>
      <c r="C432" t="s">
        <v>64</v>
      </c>
      <c r="D432" t="s">
        <v>54</v>
      </c>
      <c r="E432" t="s">
        <v>55</v>
      </c>
      <c r="F432">
        <v>0</v>
      </c>
      <c r="G432">
        <v>723</v>
      </c>
      <c r="H432">
        <v>1</v>
      </c>
      <c r="I432" t="s">
        <v>181</v>
      </c>
      <c r="J432">
        <v>3</v>
      </c>
      <c r="K432" s="6">
        <v>7.81</v>
      </c>
      <c r="L432" t="s">
        <v>174</v>
      </c>
      <c r="M432">
        <v>0</v>
      </c>
      <c r="N432" t="s">
        <v>272</v>
      </c>
      <c r="O432">
        <v>5</v>
      </c>
      <c r="P432">
        <v>1</v>
      </c>
      <c r="Q432" s="6">
        <v>198</v>
      </c>
      <c r="R432">
        <v>0</v>
      </c>
      <c r="S432" s="6">
        <v>0</v>
      </c>
      <c r="T432">
        <v>0</v>
      </c>
      <c r="U432" s="6">
        <v>3280</v>
      </c>
      <c r="V432">
        <v>0</v>
      </c>
      <c r="W432">
        <v>0</v>
      </c>
      <c r="X432">
        <v>0</v>
      </c>
      <c r="Y432" s="6">
        <v>46.3</v>
      </c>
      <c r="Z432">
        <v>7.4999999999999997E-2</v>
      </c>
      <c r="AA432">
        <v>0.121</v>
      </c>
      <c r="AB432">
        <v>7.9000000000000001E-2</v>
      </c>
      <c r="AC432">
        <v>5</v>
      </c>
      <c r="AD432" s="6">
        <v>61</v>
      </c>
      <c r="AE432" s="6">
        <v>0</v>
      </c>
      <c r="AF432" s="6">
        <v>0</v>
      </c>
      <c r="AG432" s="6">
        <v>183.16</v>
      </c>
      <c r="AH432" s="6">
        <v>231.7</v>
      </c>
      <c r="AI432" s="6">
        <f t="shared" si="12"/>
        <v>48.539999999999992</v>
      </c>
      <c r="AJ432" s="5">
        <f t="shared" si="13"/>
        <v>0.20949503668536898</v>
      </c>
    </row>
    <row r="433" spans="1:36">
      <c r="A433" t="s">
        <v>183</v>
      </c>
      <c r="B433" t="s">
        <v>717</v>
      </c>
      <c r="C433" t="s">
        <v>64</v>
      </c>
      <c r="D433" t="s">
        <v>54</v>
      </c>
      <c r="E433" t="s">
        <v>55</v>
      </c>
      <c r="F433">
        <v>0</v>
      </c>
      <c r="G433">
        <v>723</v>
      </c>
      <c r="H433">
        <v>1</v>
      </c>
      <c r="I433" t="s">
        <v>173</v>
      </c>
      <c r="J433">
        <v>1</v>
      </c>
      <c r="K433" s="6">
        <v>2.15</v>
      </c>
      <c r="L433" t="s">
        <v>174</v>
      </c>
      <c r="M433">
        <v>0</v>
      </c>
      <c r="N433" t="s">
        <v>272</v>
      </c>
      <c r="O433">
        <v>5</v>
      </c>
      <c r="P433">
        <v>1</v>
      </c>
      <c r="Q433" s="6">
        <v>254.9</v>
      </c>
      <c r="R433">
        <v>0</v>
      </c>
      <c r="S433" s="6">
        <v>0</v>
      </c>
      <c r="T433">
        <v>0</v>
      </c>
      <c r="U433" s="6">
        <v>1800</v>
      </c>
      <c r="V433">
        <v>0</v>
      </c>
      <c r="W433">
        <v>0</v>
      </c>
      <c r="X433">
        <v>0</v>
      </c>
      <c r="Y433" s="6">
        <v>46.3</v>
      </c>
      <c r="Z433">
        <v>7.4999999999999997E-2</v>
      </c>
      <c r="AA433">
        <v>0.121</v>
      </c>
      <c r="AB433">
        <v>7.9000000000000001E-2</v>
      </c>
      <c r="AC433">
        <v>5</v>
      </c>
      <c r="AD433" s="6">
        <v>51</v>
      </c>
      <c r="AE433" s="6">
        <v>0</v>
      </c>
      <c r="AF433" s="6">
        <v>0</v>
      </c>
      <c r="AG433" s="6">
        <v>155.96</v>
      </c>
      <c r="AH433" s="6">
        <v>199.69</v>
      </c>
      <c r="AI433" s="6">
        <f t="shared" si="12"/>
        <v>43.72999999999999</v>
      </c>
      <c r="AJ433" s="5">
        <f t="shared" si="13"/>
        <v>0.21898943362211423</v>
      </c>
    </row>
    <row r="434" spans="1:36">
      <c r="A434" t="s">
        <v>236</v>
      </c>
      <c r="B434" t="s">
        <v>718</v>
      </c>
      <c r="C434" t="s">
        <v>64</v>
      </c>
      <c r="D434" t="s">
        <v>54</v>
      </c>
      <c r="E434" t="s">
        <v>55</v>
      </c>
      <c r="F434">
        <v>0</v>
      </c>
      <c r="G434">
        <v>723</v>
      </c>
      <c r="H434">
        <v>1</v>
      </c>
      <c r="I434" t="s">
        <v>173</v>
      </c>
      <c r="J434">
        <v>1</v>
      </c>
      <c r="K434" s="6">
        <v>2.14</v>
      </c>
      <c r="L434" t="s">
        <v>174</v>
      </c>
      <c r="M434">
        <v>0</v>
      </c>
      <c r="N434" t="s">
        <v>187</v>
      </c>
      <c r="O434">
        <v>2</v>
      </c>
      <c r="P434">
        <v>0</v>
      </c>
      <c r="Q434" s="6">
        <v>36.799999999999997</v>
      </c>
      <c r="R434">
        <v>0</v>
      </c>
      <c r="S434" s="6">
        <v>0</v>
      </c>
      <c r="T434">
        <v>0</v>
      </c>
      <c r="U434" s="6">
        <v>4010</v>
      </c>
      <c r="V434">
        <v>0</v>
      </c>
      <c r="W434">
        <v>0</v>
      </c>
      <c r="X434">
        <v>1</v>
      </c>
      <c r="Y434" s="6">
        <v>46.3</v>
      </c>
      <c r="Z434">
        <v>7.4999999999999997E-2</v>
      </c>
      <c r="AA434">
        <v>0.121</v>
      </c>
      <c r="AB434">
        <v>7.9000000000000001E-2</v>
      </c>
      <c r="AC434">
        <v>5</v>
      </c>
      <c r="AD434" s="6">
        <v>51</v>
      </c>
      <c r="AE434" s="6">
        <v>0</v>
      </c>
      <c r="AF434" s="6">
        <v>0</v>
      </c>
      <c r="AG434" s="6">
        <v>60.66</v>
      </c>
      <c r="AH434" s="6">
        <v>80.13</v>
      </c>
      <c r="AI434" s="6">
        <f t="shared" si="12"/>
        <v>19.47</v>
      </c>
      <c r="AJ434" s="5">
        <f t="shared" si="13"/>
        <v>0.24298015724447772</v>
      </c>
    </row>
    <row r="435" spans="1:36">
      <c r="A435" t="s">
        <v>253</v>
      </c>
      <c r="B435" t="s">
        <v>719</v>
      </c>
      <c r="C435" t="s">
        <v>64</v>
      </c>
      <c r="D435" t="s">
        <v>54</v>
      </c>
      <c r="E435" t="s">
        <v>55</v>
      </c>
      <c r="F435">
        <v>0</v>
      </c>
      <c r="G435">
        <v>723</v>
      </c>
      <c r="H435">
        <v>1</v>
      </c>
      <c r="I435" t="s">
        <v>173</v>
      </c>
      <c r="J435">
        <v>1</v>
      </c>
      <c r="K435" s="6">
        <v>1.75</v>
      </c>
      <c r="L435" t="s">
        <v>174</v>
      </c>
      <c r="M435">
        <v>0</v>
      </c>
      <c r="N435" t="s">
        <v>175</v>
      </c>
      <c r="O435">
        <v>1</v>
      </c>
      <c r="P435">
        <v>0</v>
      </c>
      <c r="Q435" s="6">
        <v>31.7</v>
      </c>
      <c r="R435">
        <v>0</v>
      </c>
      <c r="S435" s="6">
        <v>0</v>
      </c>
      <c r="T435">
        <v>0</v>
      </c>
      <c r="U435" s="6">
        <v>1562</v>
      </c>
      <c r="V435">
        <v>0</v>
      </c>
      <c r="W435">
        <v>0</v>
      </c>
      <c r="X435">
        <v>0</v>
      </c>
      <c r="Y435" s="6">
        <v>46.3</v>
      </c>
      <c r="Z435">
        <v>7.4999999999999997E-2</v>
      </c>
      <c r="AA435">
        <v>0.121</v>
      </c>
      <c r="AB435">
        <v>7.9000000000000001E-2</v>
      </c>
      <c r="AC435">
        <v>5</v>
      </c>
      <c r="AD435" s="6">
        <v>51</v>
      </c>
      <c r="AE435" s="6">
        <v>0</v>
      </c>
      <c r="AF435" s="6">
        <v>0</v>
      </c>
      <c r="AG435" s="6">
        <v>58.69</v>
      </c>
      <c r="AH435" s="6">
        <v>78.19</v>
      </c>
      <c r="AI435" s="6">
        <f t="shared" si="12"/>
        <v>19.5</v>
      </c>
      <c r="AJ435" s="5">
        <f t="shared" si="13"/>
        <v>0.2493925054354777</v>
      </c>
    </row>
    <row r="436" spans="1:36">
      <c r="A436" t="s">
        <v>293</v>
      </c>
      <c r="B436" t="s">
        <v>720</v>
      </c>
      <c r="C436" t="s">
        <v>64</v>
      </c>
      <c r="D436" t="s">
        <v>54</v>
      </c>
      <c r="E436" t="s">
        <v>55</v>
      </c>
      <c r="F436">
        <v>0</v>
      </c>
      <c r="G436">
        <v>723</v>
      </c>
      <c r="H436">
        <v>1</v>
      </c>
      <c r="I436" t="s">
        <v>220</v>
      </c>
      <c r="J436">
        <v>2</v>
      </c>
      <c r="K436" s="6">
        <v>3.71</v>
      </c>
      <c r="L436" t="s">
        <v>174</v>
      </c>
      <c r="M436">
        <v>0</v>
      </c>
      <c r="N436" t="s">
        <v>187</v>
      </c>
      <c r="O436">
        <v>2</v>
      </c>
      <c r="P436">
        <v>0</v>
      </c>
      <c r="Q436" s="6">
        <v>48.1</v>
      </c>
      <c r="R436">
        <v>1</v>
      </c>
      <c r="S436" s="6">
        <v>1542</v>
      </c>
      <c r="T436">
        <v>0</v>
      </c>
      <c r="U436" s="6">
        <v>7695</v>
      </c>
      <c r="V436">
        <v>0</v>
      </c>
      <c r="W436">
        <v>0</v>
      </c>
      <c r="X436">
        <v>0</v>
      </c>
      <c r="Y436" s="6">
        <v>46.3</v>
      </c>
      <c r="Z436">
        <v>7.4999999999999997E-2</v>
      </c>
      <c r="AA436">
        <v>0.121</v>
      </c>
      <c r="AB436">
        <v>7.9000000000000001E-2</v>
      </c>
      <c r="AC436">
        <v>5</v>
      </c>
      <c r="AD436" s="6">
        <v>51</v>
      </c>
      <c r="AE436" s="6">
        <v>25</v>
      </c>
      <c r="AF436" s="6">
        <v>0</v>
      </c>
      <c r="AG436" s="6">
        <v>72.989999999999995</v>
      </c>
      <c r="AH436" s="6">
        <v>92.2</v>
      </c>
      <c r="AI436" s="6">
        <f t="shared" si="12"/>
        <v>19.210000000000008</v>
      </c>
      <c r="AJ436" s="5">
        <f t="shared" si="13"/>
        <v>0.20835140997830812</v>
      </c>
    </row>
    <row r="437" spans="1:36">
      <c r="A437" t="s">
        <v>488</v>
      </c>
      <c r="B437" t="s">
        <v>721</v>
      </c>
      <c r="C437" t="s">
        <v>64</v>
      </c>
      <c r="D437" t="s">
        <v>54</v>
      </c>
      <c r="E437" t="s">
        <v>55</v>
      </c>
      <c r="F437">
        <v>0</v>
      </c>
      <c r="G437">
        <v>723</v>
      </c>
      <c r="H437">
        <v>1</v>
      </c>
      <c r="I437" t="s">
        <v>220</v>
      </c>
      <c r="J437">
        <v>2</v>
      </c>
      <c r="K437" s="6">
        <v>3.42</v>
      </c>
      <c r="L437" t="s">
        <v>174</v>
      </c>
      <c r="M437">
        <v>0</v>
      </c>
      <c r="N437" t="s">
        <v>187</v>
      </c>
      <c r="O437">
        <v>2</v>
      </c>
      <c r="P437">
        <v>0</v>
      </c>
      <c r="Q437" s="6">
        <v>53.5</v>
      </c>
      <c r="R437">
        <v>0</v>
      </c>
      <c r="S437" s="6">
        <v>0</v>
      </c>
      <c r="T437">
        <v>0</v>
      </c>
      <c r="U437" s="6">
        <v>4796</v>
      </c>
      <c r="V437">
        <v>0</v>
      </c>
      <c r="W437">
        <v>0</v>
      </c>
      <c r="X437">
        <v>0</v>
      </c>
      <c r="Y437" s="6">
        <v>46.3</v>
      </c>
      <c r="Z437">
        <v>7.4999999999999997E-2</v>
      </c>
      <c r="AA437">
        <v>0.121</v>
      </c>
      <c r="AB437">
        <v>7.9000000000000001E-2</v>
      </c>
      <c r="AC437">
        <v>5</v>
      </c>
      <c r="AD437" s="6">
        <v>51</v>
      </c>
      <c r="AE437" s="6">
        <v>0</v>
      </c>
      <c r="AF437" s="6">
        <v>0</v>
      </c>
      <c r="AG437" s="6">
        <v>77.930000000000007</v>
      </c>
      <c r="AH437" s="6">
        <v>98.58</v>
      </c>
      <c r="AI437" s="6">
        <f t="shared" si="12"/>
        <v>20.649999999999991</v>
      </c>
      <c r="AJ437" s="5">
        <f t="shared" si="13"/>
        <v>0.20947453844593217</v>
      </c>
    </row>
    <row r="438" spans="1:36">
      <c r="A438" t="s">
        <v>238</v>
      </c>
      <c r="B438" t="s">
        <v>722</v>
      </c>
      <c r="C438" t="s">
        <v>64</v>
      </c>
      <c r="D438" t="s">
        <v>54</v>
      </c>
      <c r="E438" t="s">
        <v>55</v>
      </c>
      <c r="F438">
        <v>0</v>
      </c>
      <c r="G438">
        <v>723</v>
      </c>
      <c r="H438">
        <v>1</v>
      </c>
      <c r="I438" t="s">
        <v>173</v>
      </c>
      <c r="J438">
        <v>1</v>
      </c>
      <c r="K438" s="6">
        <v>1.49</v>
      </c>
      <c r="L438" t="s">
        <v>174</v>
      </c>
      <c r="M438">
        <v>0</v>
      </c>
      <c r="N438" t="s">
        <v>217</v>
      </c>
      <c r="O438">
        <v>4</v>
      </c>
      <c r="P438">
        <v>1</v>
      </c>
      <c r="Q438" s="6">
        <v>110.8</v>
      </c>
      <c r="R438">
        <v>0</v>
      </c>
      <c r="S438" s="6">
        <v>0</v>
      </c>
      <c r="T438">
        <v>0</v>
      </c>
      <c r="U438" s="6">
        <v>2763</v>
      </c>
      <c r="V438">
        <v>0</v>
      </c>
      <c r="W438">
        <v>0</v>
      </c>
      <c r="X438">
        <v>0</v>
      </c>
      <c r="Y438" s="6">
        <v>46.3</v>
      </c>
      <c r="Z438">
        <v>7.4999999999999997E-2</v>
      </c>
      <c r="AA438">
        <v>0.121</v>
      </c>
      <c r="AB438">
        <v>7.9000000000000001E-2</v>
      </c>
      <c r="AC438">
        <v>5</v>
      </c>
      <c r="AD438" s="6">
        <v>51</v>
      </c>
      <c r="AE438" s="6">
        <v>0</v>
      </c>
      <c r="AF438" s="6">
        <v>0</v>
      </c>
      <c r="AG438" s="6">
        <v>108.58</v>
      </c>
      <c r="AH438" s="6">
        <v>138.12</v>
      </c>
      <c r="AI438" s="6">
        <f t="shared" si="12"/>
        <v>29.540000000000006</v>
      </c>
      <c r="AJ438" s="5">
        <f t="shared" si="13"/>
        <v>0.21387199536634813</v>
      </c>
    </row>
    <row r="439" spans="1:36">
      <c r="A439" t="s">
        <v>488</v>
      </c>
      <c r="B439" t="s">
        <v>723</v>
      </c>
      <c r="C439" t="s">
        <v>64</v>
      </c>
      <c r="D439" t="s">
        <v>54</v>
      </c>
      <c r="E439" t="s">
        <v>55</v>
      </c>
      <c r="F439">
        <v>0</v>
      </c>
      <c r="G439">
        <v>723</v>
      </c>
      <c r="H439">
        <v>1</v>
      </c>
      <c r="I439" t="s">
        <v>220</v>
      </c>
      <c r="J439">
        <v>2</v>
      </c>
      <c r="K439" s="6">
        <v>4.88</v>
      </c>
      <c r="L439" t="s">
        <v>174</v>
      </c>
      <c r="M439">
        <v>0</v>
      </c>
      <c r="N439" t="s">
        <v>175</v>
      </c>
      <c r="O439">
        <v>1</v>
      </c>
      <c r="P439">
        <v>0</v>
      </c>
      <c r="Q439" s="6">
        <v>30.1</v>
      </c>
      <c r="R439">
        <v>0</v>
      </c>
      <c r="S439" s="6">
        <v>0</v>
      </c>
      <c r="T439">
        <v>0</v>
      </c>
      <c r="U439" s="6">
        <v>3020</v>
      </c>
      <c r="V439">
        <v>0</v>
      </c>
      <c r="W439">
        <v>0</v>
      </c>
      <c r="X439">
        <v>0</v>
      </c>
      <c r="Y439" s="6">
        <v>46.3</v>
      </c>
      <c r="Z439">
        <v>7.4999999999999997E-2</v>
      </c>
      <c r="AA439">
        <v>0.121</v>
      </c>
      <c r="AB439">
        <v>7.9000000000000001E-2</v>
      </c>
      <c r="AC439">
        <v>5</v>
      </c>
      <c r="AD439" s="6">
        <v>51</v>
      </c>
      <c r="AE439" s="6">
        <v>0</v>
      </c>
      <c r="AF439" s="6">
        <v>0</v>
      </c>
      <c r="AG439" s="6">
        <v>68.900000000000006</v>
      </c>
      <c r="AH439" s="6">
        <v>90.48</v>
      </c>
      <c r="AI439" s="6">
        <f t="shared" si="12"/>
        <v>21.58</v>
      </c>
      <c r="AJ439" s="5">
        <f t="shared" si="13"/>
        <v>0.23850574712643674</v>
      </c>
    </row>
    <row r="440" spans="1:36">
      <c r="A440" t="s">
        <v>355</v>
      </c>
      <c r="B440" t="s">
        <v>724</v>
      </c>
      <c r="C440" t="s">
        <v>64</v>
      </c>
      <c r="D440" t="s">
        <v>54</v>
      </c>
      <c r="E440" t="s">
        <v>55</v>
      </c>
      <c r="F440">
        <v>0</v>
      </c>
      <c r="G440">
        <v>723</v>
      </c>
      <c r="H440">
        <v>1</v>
      </c>
      <c r="I440" t="s">
        <v>173</v>
      </c>
      <c r="J440">
        <v>1</v>
      </c>
      <c r="K440" s="6">
        <v>1.25</v>
      </c>
      <c r="L440" t="s">
        <v>174</v>
      </c>
      <c r="M440">
        <v>0</v>
      </c>
      <c r="N440" t="s">
        <v>175</v>
      </c>
      <c r="O440">
        <v>1</v>
      </c>
      <c r="P440">
        <v>0</v>
      </c>
      <c r="Q440" s="6">
        <v>36.299999999999997</v>
      </c>
      <c r="R440">
        <v>0</v>
      </c>
      <c r="S440" s="6">
        <v>0</v>
      </c>
      <c r="T440">
        <v>0</v>
      </c>
      <c r="U440" s="6">
        <v>6744</v>
      </c>
      <c r="V440">
        <v>1</v>
      </c>
      <c r="W440">
        <v>0</v>
      </c>
      <c r="X440">
        <v>0</v>
      </c>
      <c r="Y440" s="6">
        <v>46.3</v>
      </c>
      <c r="Z440">
        <v>7.4999999999999997E-2</v>
      </c>
      <c r="AA440">
        <v>0.121</v>
      </c>
      <c r="AB440">
        <v>7.9000000000000001E-2</v>
      </c>
      <c r="AC440">
        <v>5</v>
      </c>
      <c r="AD440" s="6">
        <v>51</v>
      </c>
      <c r="AE440" s="6">
        <v>0</v>
      </c>
      <c r="AF440" s="6">
        <v>0</v>
      </c>
      <c r="AG440" s="6">
        <v>103.05</v>
      </c>
      <c r="AH440" s="6">
        <v>130.66999999999999</v>
      </c>
      <c r="AI440" s="6">
        <f t="shared" si="12"/>
        <v>27.61999999999999</v>
      </c>
      <c r="AJ440" s="5">
        <f t="shared" si="13"/>
        <v>0.21137215887349808</v>
      </c>
    </row>
    <row r="441" spans="1:36">
      <c r="A441" t="s">
        <v>457</v>
      </c>
      <c r="B441" t="s">
        <v>725</v>
      </c>
      <c r="C441" t="s">
        <v>64</v>
      </c>
      <c r="D441" t="s">
        <v>54</v>
      </c>
      <c r="E441" t="s">
        <v>55</v>
      </c>
      <c r="F441">
        <v>0</v>
      </c>
      <c r="G441">
        <v>723</v>
      </c>
      <c r="H441">
        <v>1</v>
      </c>
      <c r="I441" t="s">
        <v>181</v>
      </c>
      <c r="J441">
        <v>3</v>
      </c>
      <c r="K441" s="6">
        <v>11.43</v>
      </c>
      <c r="L441" t="s">
        <v>174</v>
      </c>
      <c r="M441">
        <v>0</v>
      </c>
      <c r="N441" t="s">
        <v>187</v>
      </c>
      <c r="O441">
        <v>2</v>
      </c>
      <c r="P441">
        <v>0</v>
      </c>
      <c r="Q441" s="6">
        <v>63.7</v>
      </c>
      <c r="R441">
        <v>0</v>
      </c>
      <c r="S441" s="6">
        <v>0</v>
      </c>
      <c r="T441">
        <v>0</v>
      </c>
      <c r="U441" s="6">
        <v>4500</v>
      </c>
      <c r="V441">
        <v>0</v>
      </c>
      <c r="W441">
        <v>0</v>
      </c>
      <c r="X441">
        <v>0</v>
      </c>
      <c r="Y441" s="6">
        <v>46.3</v>
      </c>
      <c r="Z441">
        <v>7.4999999999999997E-2</v>
      </c>
      <c r="AA441">
        <v>0.121</v>
      </c>
      <c r="AB441">
        <v>7.9000000000000001E-2</v>
      </c>
      <c r="AC441">
        <v>5</v>
      </c>
      <c r="AD441" s="6">
        <v>61</v>
      </c>
      <c r="AE441" s="6">
        <v>0</v>
      </c>
      <c r="AF441" s="6">
        <v>0</v>
      </c>
      <c r="AG441" s="6">
        <v>109.45</v>
      </c>
      <c r="AH441" s="6">
        <v>141.47999999999999</v>
      </c>
      <c r="AI441" s="6">
        <f t="shared" si="12"/>
        <v>32.029999999999987</v>
      </c>
      <c r="AJ441" s="5">
        <f t="shared" si="13"/>
        <v>0.22639242295730838</v>
      </c>
    </row>
    <row r="442" spans="1:36">
      <c r="A442" t="s">
        <v>269</v>
      </c>
      <c r="B442" t="s">
        <v>726</v>
      </c>
      <c r="C442" t="s">
        <v>64</v>
      </c>
      <c r="D442" t="s">
        <v>54</v>
      </c>
      <c r="E442" t="s">
        <v>55</v>
      </c>
      <c r="F442">
        <v>0</v>
      </c>
      <c r="G442">
        <v>723</v>
      </c>
      <c r="H442">
        <v>1</v>
      </c>
      <c r="I442" t="s">
        <v>178</v>
      </c>
      <c r="J442">
        <v>4</v>
      </c>
      <c r="K442" s="6">
        <v>11.13</v>
      </c>
      <c r="L442" t="s">
        <v>174</v>
      </c>
      <c r="M442">
        <v>0</v>
      </c>
      <c r="N442" t="s">
        <v>175</v>
      </c>
      <c r="O442">
        <v>1</v>
      </c>
      <c r="P442">
        <v>0</v>
      </c>
      <c r="Q442" s="6">
        <v>31.8</v>
      </c>
      <c r="R442">
        <v>0</v>
      </c>
      <c r="S442" s="6">
        <v>0</v>
      </c>
      <c r="T442">
        <v>0</v>
      </c>
      <c r="U442" s="6">
        <v>2704</v>
      </c>
      <c r="V442">
        <v>0</v>
      </c>
      <c r="W442">
        <v>0</v>
      </c>
      <c r="X442">
        <v>0</v>
      </c>
      <c r="Y442" s="6">
        <v>46.3</v>
      </c>
      <c r="Z442">
        <v>7.4999999999999997E-2</v>
      </c>
      <c r="AA442">
        <v>0.121</v>
      </c>
      <c r="AB442">
        <v>7.9000000000000001E-2</v>
      </c>
      <c r="AC442">
        <v>5</v>
      </c>
      <c r="AD442" s="6">
        <v>66</v>
      </c>
      <c r="AE442" s="6">
        <v>0</v>
      </c>
      <c r="AF442" s="6">
        <v>0</v>
      </c>
      <c r="AG442" s="6">
        <v>127.14</v>
      </c>
      <c r="AH442" s="6">
        <v>161.36000000000001</v>
      </c>
      <c r="AI442" s="6">
        <f t="shared" si="12"/>
        <v>34.220000000000013</v>
      </c>
      <c r="AJ442" s="5">
        <f t="shared" si="13"/>
        <v>0.21207238472979678</v>
      </c>
    </row>
    <row r="443" spans="1:36">
      <c r="A443" t="s">
        <v>300</v>
      </c>
      <c r="B443" t="s">
        <v>727</v>
      </c>
      <c r="C443" t="s">
        <v>64</v>
      </c>
      <c r="D443" t="s">
        <v>54</v>
      </c>
      <c r="E443" t="s">
        <v>55</v>
      </c>
      <c r="F443">
        <v>0</v>
      </c>
      <c r="G443">
        <v>723</v>
      </c>
      <c r="H443">
        <v>1</v>
      </c>
      <c r="I443" t="s">
        <v>181</v>
      </c>
      <c r="J443">
        <v>3</v>
      </c>
      <c r="K443" s="6">
        <v>7.86</v>
      </c>
      <c r="L443" t="s">
        <v>174</v>
      </c>
      <c r="M443">
        <v>0</v>
      </c>
      <c r="N443" t="s">
        <v>187</v>
      </c>
      <c r="O443">
        <v>2</v>
      </c>
      <c r="P443">
        <v>0</v>
      </c>
      <c r="Q443" s="6">
        <v>37.200000000000003</v>
      </c>
      <c r="R443">
        <v>0</v>
      </c>
      <c r="S443" s="6">
        <v>0</v>
      </c>
      <c r="T443">
        <v>0</v>
      </c>
      <c r="U443" s="6">
        <v>897</v>
      </c>
      <c r="V443">
        <v>0</v>
      </c>
      <c r="W443">
        <v>0</v>
      </c>
      <c r="X443">
        <v>0</v>
      </c>
      <c r="Y443" s="6">
        <v>46.3</v>
      </c>
      <c r="Z443">
        <v>7.4999999999999997E-2</v>
      </c>
      <c r="AA443">
        <v>0.121</v>
      </c>
      <c r="AB443">
        <v>7.9000000000000001E-2</v>
      </c>
      <c r="AC443">
        <v>5</v>
      </c>
      <c r="AD443" s="6">
        <v>61</v>
      </c>
      <c r="AE443" s="6">
        <v>0</v>
      </c>
      <c r="AF443" s="6">
        <v>0</v>
      </c>
      <c r="AG443" s="6">
        <v>82.51</v>
      </c>
      <c r="AH443" s="6">
        <v>105.83</v>
      </c>
      <c r="AI443" s="6">
        <f t="shared" si="12"/>
        <v>23.319999999999993</v>
      </c>
      <c r="AJ443" s="5">
        <f t="shared" si="13"/>
        <v>0.22035339695738443</v>
      </c>
    </row>
    <row r="444" spans="1:36">
      <c r="A444" t="s">
        <v>243</v>
      </c>
      <c r="B444" t="s">
        <v>728</v>
      </c>
      <c r="C444" t="s">
        <v>64</v>
      </c>
      <c r="D444" t="s">
        <v>54</v>
      </c>
      <c r="E444" t="s">
        <v>55</v>
      </c>
      <c r="F444">
        <v>0</v>
      </c>
      <c r="G444">
        <v>723</v>
      </c>
      <c r="H444">
        <v>1</v>
      </c>
      <c r="I444" t="s">
        <v>181</v>
      </c>
      <c r="J444">
        <v>3</v>
      </c>
      <c r="K444" s="6">
        <v>7.62</v>
      </c>
      <c r="L444" t="s">
        <v>174</v>
      </c>
      <c r="M444">
        <v>0</v>
      </c>
      <c r="N444" t="s">
        <v>187</v>
      </c>
      <c r="O444">
        <v>2</v>
      </c>
      <c r="P444">
        <v>0</v>
      </c>
      <c r="Q444" s="6">
        <v>38.799999999999997</v>
      </c>
      <c r="R444">
        <v>0</v>
      </c>
      <c r="S444" s="6">
        <v>0</v>
      </c>
      <c r="T444">
        <v>0</v>
      </c>
      <c r="U444" s="6">
        <v>10481</v>
      </c>
      <c r="V444">
        <v>0</v>
      </c>
      <c r="W444">
        <v>0</v>
      </c>
      <c r="X444">
        <v>0</v>
      </c>
      <c r="Y444" s="6">
        <v>46.3</v>
      </c>
      <c r="Z444">
        <v>7.4999999999999997E-2</v>
      </c>
      <c r="AA444">
        <v>0.121</v>
      </c>
      <c r="AB444">
        <v>7.9000000000000001E-2</v>
      </c>
      <c r="AC444">
        <v>5</v>
      </c>
      <c r="AD444" s="6">
        <v>61</v>
      </c>
      <c r="AE444" s="6">
        <v>0</v>
      </c>
      <c r="AF444" s="6">
        <v>0</v>
      </c>
      <c r="AG444" s="6">
        <v>78.97</v>
      </c>
      <c r="AH444" s="6">
        <v>102.6</v>
      </c>
      <c r="AI444" s="6">
        <f t="shared" si="12"/>
        <v>23.629999999999995</v>
      </c>
      <c r="AJ444" s="5">
        <f t="shared" si="13"/>
        <v>0.23031189083820661</v>
      </c>
    </row>
    <row r="445" spans="1:36">
      <c r="A445" t="s">
        <v>365</v>
      </c>
      <c r="B445" t="s">
        <v>729</v>
      </c>
      <c r="C445" t="s">
        <v>64</v>
      </c>
      <c r="D445" t="s">
        <v>54</v>
      </c>
      <c r="E445" t="s">
        <v>55</v>
      </c>
      <c r="F445">
        <v>0</v>
      </c>
      <c r="G445">
        <v>723</v>
      </c>
      <c r="H445">
        <v>1</v>
      </c>
      <c r="I445" t="s">
        <v>181</v>
      </c>
      <c r="J445">
        <v>3</v>
      </c>
      <c r="K445" s="6">
        <v>4.58</v>
      </c>
      <c r="L445" t="s">
        <v>174</v>
      </c>
      <c r="M445">
        <v>0</v>
      </c>
      <c r="N445" t="s">
        <v>217</v>
      </c>
      <c r="O445">
        <v>4</v>
      </c>
      <c r="P445">
        <v>1</v>
      </c>
      <c r="Q445" s="6">
        <v>184.3</v>
      </c>
      <c r="R445">
        <v>0</v>
      </c>
      <c r="S445" s="6">
        <v>0</v>
      </c>
      <c r="T445">
        <v>0</v>
      </c>
      <c r="U445" s="6">
        <v>883</v>
      </c>
      <c r="V445">
        <v>0</v>
      </c>
      <c r="W445">
        <v>0</v>
      </c>
      <c r="X445">
        <v>0</v>
      </c>
      <c r="Y445" s="6">
        <v>46.3</v>
      </c>
      <c r="Z445">
        <v>7.4999999999999997E-2</v>
      </c>
      <c r="AA445">
        <v>0.121</v>
      </c>
      <c r="AB445">
        <v>7.9000000000000001E-2</v>
      </c>
      <c r="AC445">
        <v>5</v>
      </c>
      <c r="AD445" s="6">
        <v>61</v>
      </c>
      <c r="AE445" s="6">
        <v>0</v>
      </c>
      <c r="AF445" s="6">
        <v>0</v>
      </c>
      <c r="AG445" s="6">
        <v>135.41</v>
      </c>
      <c r="AH445" s="6">
        <v>171.59</v>
      </c>
      <c r="AI445" s="6">
        <f t="shared" si="12"/>
        <v>36.180000000000007</v>
      </c>
      <c r="AJ445" s="5">
        <f t="shared" si="13"/>
        <v>0.21085144821959326</v>
      </c>
    </row>
    <row r="446" spans="1:36">
      <c r="A446" t="s">
        <v>176</v>
      </c>
      <c r="B446" t="s">
        <v>730</v>
      </c>
      <c r="C446" t="s">
        <v>64</v>
      </c>
      <c r="D446" t="s">
        <v>54</v>
      </c>
      <c r="E446" t="s">
        <v>55</v>
      </c>
      <c r="F446">
        <v>0</v>
      </c>
      <c r="G446">
        <v>723</v>
      </c>
      <c r="H446">
        <v>1</v>
      </c>
      <c r="I446" t="s">
        <v>173</v>
      </c>
      <c r="J446">
        <v>1</v>
      </c>
      <c r="K446" s="6">
        <v>2.17</v>
      </c>
      <c r="L446" t="s">
        <v>174</v>
      </c>
      <c r="M446">
        <v>0</v>
      </c>
      <c r="N446" t="s">
        <v>272</v>
      </c>
      <c r="O446">
        <v>5</v>
      </c>
      <c r="P446">
        <v>1</v>
      </c>
      <c r="Q446" s="6">
        <v>207.7</v>
      </c>
      <c r="R446">
        <v>0</v>
      </c>
      <c r="S446" s="6">
        <v>0</v>
      </c>
      <c r="T446">
        <v>0</v>
      </c>
      <c r="U446" s="6">
        <v>4725</v>
      </c>
      <c r="V446">
        <v>0</v>
      </c>
      <c r="W446">
        <v>0</v>
      </c>
      <c r="X446">
        <v>0</v>
      </c>
      <c r="Y446" s="6">
        <v>46.3</v>
      </c>
      <c r="Z446">
        <v>7.4999999999999997E-2</v>
      </c>
      <c r="AA446">
        <v>0.121</v>
      </c>
      <c r="AB446">
        <v>7.9000000000000001E-2</v>
      </c>
      <c r="AC446">
        <v>5</v>
      </c>
      <c r="AD446" s="6">
        <v>51</v>
      </c>
      <c r="AE446" s="6">
        <v>0</v>
      </c>
      <c r="AF446" s="6">
        <v>0</v>
      </c>
      <c r="AG446" s="6">
        <v>155.29</v>
      </c>
      <c r="AH446" s="6">
        <v>195.9</v>
      </c>
      <c r="AI446" s="6">
        <f t="shared" si="12"/>
        <v>40.610000000000014</v>
      </c>
      <c r="AJ446" s="5">
        <f t="shared" si="13"/>
        <v>0.20729964267483417</v>
      </c>
    </row>
    <row r="447" spans="1:36">
      <c r="A447" t="s">
        <v>240</v>
      </c>
      <c r="B447" t="s">
        <v>731</v>
      </c>
      <c r="C447" t="s">
        <v>64</v>
      </c>
      <c r="D447" t="s">
        <v>54</v>
      </c>
      <c r="E447" t="s">
        <v>55</v>
      </c>
      <c r="F447">
        <v>0</v>
      </c>
      <c r="G447">
        <v>723</v>
      </c>
      <c r="H447">
        <v>1</v>
      </c>
      <c r="I447" t="s">
        <v>173</v>
      </c>
      <c r="J447">
        <v>1</v>
      </c>
      <c r="K447" s="6">
        <v>2.52</v>
      </c>
      <c r="L447" t="s">
        <v>174</v>
      </c>
      <c r="M447">
        <v>0</v>
      </c>
      <c r="N447" t="s">
        <v>187</v>
      </c>
      <c r="O447">
        <v>2</v>
      </c>
      <c r="P447">
        <v>0</v>
      </c>
      <c r="Q447" s="6">
        <v>36.200000000000003</v>
      </c>
      <c r="R447">
        <v>1</v>
      </c>
      <c r="S447" s="6">
        <v>2080</v>
      </c>
      <c r="T447">
        <v>0</v>
      </c>
      <c r="U447" s="6">
        <v>3403</v>
      </c>
      <c r="V447">
        <v>0</v>
      </c>
      <c r="W447">
        <v>0</v>
      </c>
      <c r="X447">
        <v>0</v>
      </c>
      <c r="Y447" s="6">
        <v>46.3</v>
      </c>
      <c r="Z447">
        <v>7.4999999999999997E-2</v>
      </c>
      <c r="AA447">
        <v>0.121</v>
      </c>
      <c r="AB447">
        <v>7.9000000000000001E-2</v>
      </c>
      <c r="AC447">
        <v>5</v>
      </c>
      <c r="AD447" s="6">
        <v>51</v>
      </c>
      <c r="AE447" s="6">
        <v>40</v>
      </c>
      <c r="AF447" s="6">
        <v>0</v>
      </c>
      <c r="AG447" s="6">
        <v>57.24</v>
      </c>
      <c r="AH447" s="6">
        <v>74.209999999999994</v>
      </c>
      <c r="AI447" s="6">
        <f t="shared" si="12"/>
        <v>16.969999999999992</v>
      </c>
      <c r="AJ447" s="5">
        <f t="shared" si="13"/>
        <v>0.2286753806764586</v>
      </c>
    </row>
    <row r="448" spans="1:36">
      <c r="A448" t="s">
        <v>348</v>
      </c>
      <c r="B448" t="s">
        <v>732</v>
      </c>
      <c r="C448" t="s">
        <v>64</v>
      </c>
      <c r="D448" t="s">
        <v>54</v>
      </c>
      <c r="E448" t="s">
        <v>55</v>
      </c>
      <c r="F448">
        <v>0</v>
      </c>
      <c r="G448">
        <v>723</v>
      </c>
      <c r="H448">
        <v>1</v>
      </c>
      <c r="I448" t="s">
        <v>173</v>
      </c>
      <c r="J448">
        <v>1</v>
      </c>
      <c r="K448" s="6">
        <v>1.19</v>
      </c>
      <c r="L448" t="s">
        <v>174</v>
      </c>
      <c r="M448">
        <v>0</v>
      </c>
      <c r="N448" t="s">
        <v>187</v>
      </c>
      <c r="O448">
        <v>2</v>
      </c>
      <c r="P448">
        <v>0</v>
      </c>
      <c r="Q448" s="6">
        <v>56.4</v>
      </c>
      <c r="R448">
        <v>0</v>
      </c>
      <c r="S448" s="6">
        <v>0</v>
      </c>
      <c r="T448">
        <v>0</v>
      </c>
      <c r="U448" s="6">
        <v>2654</v>
      </c>
      <c r="V448">
        <v>0</v>
      </c>
      <c r="W448">
        <v>0</v>
      </c>
      <c r="X448">
        <v>0</v>
      </c>
      <c r="Y448" s="6">
        <v>46.3</v>
      </c>
      <c r="Z448">
        <v>7.4999999999999997E-2</v>
      </c>
      <c r="AA448">
        <v>0.121</v>
      </c>
      <c r="AB448">
        <v>7.9000000000000001E-2</v>
      </c>
      <c r="AC448">
        <v>5</v>
      </c>
      <c r="AD448" s="6">
        <v>51</v>
      </c>
      <c r="AE448" s="6">
        <v>0</v>
      </c>
      <c r="AF448" s="6">
        <v>0</v>
      </c>
      <c r="AG448" s="6">
        <v>59.16</v>
      </c>
      <c r="AH448" s="6">
        <v>78.84</v>
      </c>
      <c r="AI448" s="6">
        <f t="shared" si="12"/>
        <v>19.680000000000007</v>
      </c>
      <c r="AJ448" s="5">
        <f t="shared" si="13"/>
        <v>0.24961948249619489</v>
      </c>
    </row>
    <row r="449" spans="1:36">
      <c r="A449" t="s">
        <v>478</v>
      </c>
      <c r="B449" t="s">
        <v>733</v>
      </c>
      <c r="C449" t="s">
        <v>64</v>
      </c>
      <c r="D449" t="s">
        <v>54</v>
      </c>
      <c r="E449" t="s">
        <v>55</v>
      </c>
      <c r="F449">
        <v>0</v>
      </c>
      <c r="G449">
        <v>723</v>
      </c>
      <c r="H449">
        <v>1</v>
      </c>
      <c r="I449" t="s">
        <v>173</v>
      </c>
      <c r="J449">
        <v>1</v>
      </c>
      <c r="K449" s="6">
        <v>1.44</v>
      </c>
      <c r="L449" t="s">
        <v>174</v>
      </c>
      <c r="M449">
        <v>0</v>
      </c>
      <c r="N449" t="s">
        <v>175</v>
      </c>
      <c r="O449">
        <v>1</v>
      </c>
      <c r="P449">
        <v>1</v>
      </c>
      <c r="Q449" s="6">
        <v>27.9</v>
      </c>
      <c r="R449">
        <v>0</v>
      </c>
      <c r="S449" s="6">
        <v>0</v>
      </c>
      <c r="T449">
        <v>0</v>
      </c>
      <c r="U449" s="6">
        <v>845</v>
      </c>
      <c r="V449">
        <v>0</v>
      </c>
      <c r="W449">
        <v>0</v>
      </c>
      <c r="X449">
        <v>0</v>
      </c>
      <c r="Y449" s="6">
        <v>46.3</v>
      </c>
      <c r="Z449">
        <v>7.4999999999999997E-2</v>
      </c>
      <c r="AA449">
        <v>0.121</v>
      </c>
      <c r="AB449">
        <v>7.9000000000000001E-2</v>
      </c>
      <c r="AC449">
        <v>5</v>
      </c>
      <c r="AD449" s="6">
        <v>51</v>
      </c>
      <c r="AE449" s="6">
        <v>0</v>
      </c>
      <c r="AF449" s="6">
        <v>0</v>
      </c>
      <c r="AG449" s="6">
        <v>79.22</v>
      </c>
      <c r="AH449" s="6">
        <v>100.84</v>
      </c>
      <c r="AI449" s="6">
        <f t="shared" si="12"/>
        <v>21.620000000000005</v>
      </c>
      <c r="AJ449" s="5">
        <f t="shared" si="13"/>
        <v>0.21439904799682669</v>
      </c>
    </row>
    <row r="450" spans="1:36">
      <c r="A450" t="s">
        <v>277</v>
      </c>
      <c r="B450" t="s">
        <v>734</v>
      </c>
      <c r="C450" t="s">
        <v>64</v>
      </c>
      <c r="D450" t="s">
        <v>54</v>
      </c>
      <c r="E450" t="s">
        <v>55</v>
      </c>
      <c r="F450">
        <v>0</v>
      </c>
      <c r="G450">
        <v>723</v>
      </c>
      <c r="H450">
        <v>1</v>
      </c>
      <c r="I450" t="s">
        <v>173</v>
      </c>
      <c r="J450">
        <v>1</v>
      </c>
      <c r="K450" s="6">
        <v>1.82</v>
      </c>
      <c r="L450" t="s">
        <v>174</v>
      </c>
      <c r="M450">
        <v>0</v>
      </c>
      <c r="N450" t="s">
        <v>182</v>
      </c>
      <c r="O450">
        <v>3</v>
      </c>
      <c r="P450">
        <v>0</v>
      </c>
      <c r="Q450" s="6">
        <v>112</v>
      </c>
      <c r="R450">
        <v>0</v>
      </c>
      <c r="S450" s="6">
        <v>0</v>
      </c>
      <c r="T450">
        <v>0</v>
      </c>
      <c r="U450" s="6">
        <v>8079</v>
      </c>
      <c r="V450">
        <v>1</v>
      </c>
      <c r="W450">
        <v>0</v>
      </c>
      <c r="X450">
        <v>0</v>
      </c>
      <c r="Y450" s="6">
        <v>46.3</v>
      </c>
      <c r="Z450">
        <v>7.4999999999999997E-2</v>
      </c>
      <c r="AA450">
        <v>0.121</v>
      </c>
      <c r="AB450">
        <v>7.9000000000000001E-2</v>
      </c>
      <c r="AC450">
        <v>5</v>
      </c>
      <c r="AD450" s="6">
        <v>51</v>
      </c>
      <c r="AE450" s="6">
        <v>0</v>
      </c>
      <c r="AF450" s="6">
        <v>0</v>
      </c>
      <c r="AG450" s="6">
        <v>100.44</v>
      </c>
      <c r="AH450" s="6">
        <v>126.25</v>
      </c>
      <c r="AI450" s="6">
        <f t="shared" ref="AI450:AI513" si="14">AH450-AG450</f>
        <v>25.810000000000002</v>
      </c>
      <c r="AJ450" s="5">
        <f t="shared" ref="AJ450:AJ513" si="15">IFERROR(AI450/AH450,0)</f>
        <v>0.20443564356435645</v>
      </c>
    </row>
    <row r="451" spans="1:36">
      <c r="A451" t="s">
        <v>537</v>
      </c>
      <c r="B451" t="s">
        <v>735</v>
      </c>
      <c r="C451" t="s">
        <v>64</v>
      </c>
      <c r="D451" t="s">
        <v>54</v>
      </c>
      <c r="E451" t="s">
        <v>55</v>
      </c>
      <c r="F451">
        <v>0</v>
      </c>
      <c r="G451">
        <v>723</v>
      </c>
      <c r="H451">
        <v>1</v>
      </c>
      <c r="I451" t="s">
        <v>181</v>
      </c>
      <c r="J451">
        <v>3</v>
      </c>
      <c r="K451" s="6">
        <v>9.31</v>
      </c>
      <c r="L451" t="s">
        <v>174</v>
      </c>
      <c r="M451">
        <v>0</v>
      </c>
      <c r="N451" t="s">
        <v>175</v>
      </c>
      <c r="O451">
        <v>1</v>
      </c>
      <c r="P451">
        <v>0</v>
      </c>
      <c r="Q451" s="6">
        <v>21.9</v>
      </c>
      <c r="R451">
        <v>0</v>
      </c>
      <c r="S451" s="6">
        <v>0</v>
      </c>
      <c r="T451">
        <v>0</v>
      </c>
      <c r="U451" s="6">
        <v>1617</v>
      </c>
      <c r="V451">
        <v>1</v>
      </c>
      <c r="W451">
        <v>0</v>
      </c>
      <c r="X451">
        <v>0</v>
      </c>
      <c r="Y451" s="6">
        <v>46.3</v>
      </c>
      <c r="Z451">
        <v>7.4999999999999997E-2</v>
      </c>
      <c r="AA451">
        <v>0.121</v>
      </c>
      <c r="AB451">
        <v>7.9000000000000001E-2</v>
      </c>
      <c r="AC451">
        <v>5</v>
      </c>
      <c r="AD451" s="6">
        <v>61</v>
      </c>
      <c r="AE451" s="6">
        <v>0</v>
      </c>
      <c r="AF451" s="6">
        <v>0</v>
      </c>
      <c r="AG451" s="6">
        <v>145.16</v>
      </c>
      <c r="AH451" s="6">
        <v>182.83</v>
      </c>
      <c r="AI451" s="6">
        <f t="shared" si="14"/>
        <v>37.670000000000016</v>
      </c>
      <c r="AJ451" s="5">
        <f t="shared" si="15"/>
        <v>0.20603839632445448</v>
      </c>
    </row>
    <row r="452" spans="1:36">
      <c r="A452" t="s">
        <v>459</v>
      </c>
      <c r="B452" t="s">
        <v>736</v>
      </c>
      <c r="C452" t="s">
        <v>64</v>
      </c>
      <c r="D452" t="s">
        <v>54</v>
      </c>
      <c r="E452" t="s">
        <v>55</v>
      </c>
      <c r="F452">
        <v>0</v>
      </c>
      <c r="G452">
        <v>723</v>
      </c>
      <c r="H452">
        <v>1</v>
      </c>
      <c r="I452" t="s">
        <v>173</v>
      </c>
      <c r="J452">
        <v>1</v>
      </c>
      <c r="K452" s="6">
        <v>2.08</v>
      </c>
      <c r="L452" t="s">
        <v>174</v>
      </c>
      <c r="M452">
        <v>0</v>
      </c>
      <c r="N452" t="s">
        <v>175</v>
      </c>
      <c r="O452">
        <v>1</v>
      </c>
      <c r="P452">
        <v>0</v>
      </c>
      <c r="Q452" s="6">
        <v>38.700000000000003</v>
      </c>
      <c r="R452">
        <v>0</v>
      </c>
      <c r="S452" s="6">
        <v>0</v>
      </c>
      <c r="T452">
        <v>0</v>
      </c>
      <c r="U452" s="6">
        <v>3266</v>
      </c>
      <c r="V452">
        <v>0</v>
      </c>
      <c r="W452">
        <v>0</v>
      </c>
      <c r="X452">
        <v>0</v>
      </c>
      <c r="Y452" s="6">
        <v>46.3</v>
      </c>
      <c r="Z452">
        <v>7.4999999999999997E-2</v>
      </c>
      <c r="AA452">
        <v>0.121</v>
      </c>
      <c r="AB452">
        <v>7.9000000000000001E-2</v>
      </c>
      <c r="AC452">
        <v>5</v>
      </c>
      <c r="AD452" s="6">
        <v>51</v>
      </c>
      <c r="AE452" s="6">
        <v>0</v>
      </c>
      <c r="AF452" s="6">
        <v>0</v>
      </c>
      <c r="AG452" s="6">
        <v>58.18</v>
      </c>
      <c r="AH452" s="6">
        <v>74.08</v>
      </c>
      <c r="AI452" s="6">
        <f t="shared" si="14"/>
        <v>15.899999999999999</v>
      </c>
      <c r="AJ452" s="5">
        <f t="shared" si="15"/>
        <v>0.21463282937365008</v>
      </c>
    </row>
    <row r="453" spans="1:36">
      <c r="A453" t="s">
        <v>249</v>
      </c>
      <c r="B453" t="s">
        <v>737</v>
      </c>
      <c r="C453" t="s">
        <v>64</v>
      </c>
      <c r="D453" t="s">
        <v>54</v>
      </c>
      <c r="E453" t="s">
        <v>55</v>
      </c>
      <c r="F453">
        <v>0</v>
      </c>
      <c r="G453">
        <v>723</v>
      </c>
      <c r="H453">
        <v>1</v>
      </c>
      <c r="I453" t="s">
        <v>173</v>
      </c>
      <c r="J453">
        <v>1</v>
      </c>
      <c r="K453" s="6">
        <v>1.32</v>
      </c>
      <c r="L453" t="s">
        <v>174</v>
      </c>
      <c r="M453">
        <v>0</v>
      </c>
      <c r="N453" t="s">
        <v>182</v>
      </c>
      <c r="O453">
        <v>3</v>
      </c>
      <c r="P453">
        <v>0</v>
      </c>
      <c r="Q453" s="6">
        <v>43.4</v>
      </c>
      <c r="R453">
        <v>0</v>
      </c>
      <c r="S453" s="6">
        <v>0</v>
      </c>
      <c r="T453">
        <v>0</v>
      </c>
      <c r="U453" s="6">
        <v>10958</v>
      </c>
      <c r="V453">
        <v>0</v>
      </c>
      <c r="W453">
        <v>0</v>
      </c>
      <c r="X453">
        <v>0</v>
      </c>
      <c r="Y453" s="6">
        <v>46.3</v>
      </c>
      <c r="Z453">
        <v>7.4999999999999997E-2</v>
      </c>
      <c r="AA453">
        <v>0.121</v>
      </c>
      <c r="AB453">
        <v>7.9000000000000001E-2</v>
      </c>
      <c r="AC453">
        <v>5</v>
      </c>
      <c r="AD453" s="6">
        <v>51</v>
      </c>
      <c r="AE453" s="6">
        <v>0</v>
      </c>
      <c r="AF453" s="6">
        <v>0</v>
      </c>
      <c r="AG453" s="6">
        <v>77.03</v>
      </c>
      <c r="AH453" s="6">
        <v>100.95</v>
      </c>
      <c r="AI453" s="6">
        <f t="shared" si="14"/>
        <v>23.92</v>
      </c>
      <c r="AJ453" s="5">
        <f t="shared" si="15"/>
        <v>0.23694898464586431</v>
      </c>
    </row>
    <row r="454" spans="1:36">
      <c r="A454" t="s">
        <v>403</v>
      </c>
      <c r="B454" t="s">
        <v>738</v>
      </c>
      <c r="C454" t="s">
        <v>66</v>
      </c>
      <c r="D454" t="s">
        <v>68</v>
      </c>
      <c r="E454" t="s">
        <v>69</v>
      </c>
      <c r="F454">
        <v>0</v>
      </c>
      <c r="G454">
        <v>526</v>
      </c>
      <c r="H454">
        <v>1</v>
      </c>
      <c r="I454" t="s">
        <v>220</v>
      </c>
      <c r="J454">
        <v>2</v>
      </c>
      <c r="K454" s="6">
        <v>2.57</v>
      </c>
      <c r="L454" t="s">
        <v>174</v>
      </c>
      <c r="M454">
        <v>0</v>
      </c>
      <c r="N454" t="s">
        <v>175</v>
      </c>
      <c r="O454">
        <v>1</v>
      </c>
      <c r="P454">
        <v>0</v>
      </c>
      <c r="Q454" s="6">
        <v>43.3</v>
      </c>
      <c r="R454">
        <v>0</v>
      </c>
      <c r="S454" s="6">
        <v>0</v>
      </c>
      <c r="T454">
        <v>0</v>
      </c>
      <c r="U454" s="6">
        <v>4363</v>
      </c>
      <c r="V454">
        <v>0</v>
      </c>
      <c r="W454">
        <v>0</v>
      </c>
      <c r="X454">
        <v>0</v>
      </c>
      <c r="Y454" s="6">
        <v>43</v>
      </c>
      <c r="Z454">
        <v>4.8000000000000001E-2</v>
      </c>
      <c r="AA454">
        <v>0.13700000000000001</v>
      </c>
      <c r="AB454">
        <v>0.02</v>
      </c>
      <c r="AC454">
        <v>4</v>
      </c>
      <c r="AD454" s="6">
        <v>70</v>
      </c>
      <c r="AE454" s="6">
        <v>0</v>
      </c>
      <c r="AF454" s="6">
        <v>0</v>
      </c>
      <c r="AG454" s="6">
        <v>59.19</v>
      </c>
      <c r="AH454" s="6">
        <v>77.97</v>
      </c>
      <c r="AI454" s="6">
        <f t="shared" si="14"/>
        <v>18.78</v>
      </c>
      <c r="AJ454" s="5">
        <f t="shared" si="15"/>
        <v>0.24086186994998077</v>
      </c>
    </row>
    <row r="455" spans="1:36">
      <c r="A455" t="s">
        <v>381</v>
      </c>
      <c r="B455" t="s">
        <v>739</v>
      </c>
      <c r="C455" t="s">
        <v>66</v>
      </c>
      <c r="D455" t="s">
        <v>68</v>
      </c>
      <c r="E455" t="s">
        <v>69</v>
      </c>
      <c r="F455">
        <v>0</v>
      </c>
      <c r="G455">
        <v>526</v>
      </c>
      <c r="H455">
        <v>1</v>
      </c>
      <c r="I455" t="s">
        <v>178</v>
      </c>
      <c r="J455">
        <v>4</v>
      </c>
      <c r="K455" s="6">
        <v>14.09</v>
      </c>
      <c r="L455" t="s">
        <v>174</v>
      </c>
      <c r="M455">
        <v>0</v>
      </c>
      <c r="N455" t="s">
        <v>175</v>
      </c>
      <c r="O455">
        <v>1</v>
      </c>
      <c r="P455">
        <v>0</v>
      </c>
      <c r="Q455" s="6">
        <v>35.6</v>
      </c>
      <c r="R455">
        <v>0</v>
      </c>
      <c r="S455" s="6">
        <v>0</v>
      </c>
      <c r="T455">
        <v>0</v>
      </c>
      <c r="U455" s="6">
        <v>8339</v>
      </c>
      <c r="V455">
        <v>0</v>
      </c>
      <c r="W455">
        <v>0</v>
      </c>
      <c r="X455">
        <v>0</v>
      </c>
      <c r="Y455" s="6">
        <v>43</v>
      </c>
      <c r="Z455">
        <v>4.8000000000000001E-2</v>
      </c>
      <c r="AA455">
        <v>0.13700000000000001</v>
      </c>
      <c r="AB455">
        <v>0.02</v>
      </c>
      <c r="AC455">
        <v>4</v>
      </c>
      <c r="AD455" s="6">
        <v>125</v>
      </c>
      <c r="AE455" s="6">
        <v>0</v>
      </c>
      <c r="AF455" s="6">
        <v>0</v>
      </c>
      <c r="AG455" s="6">
        <v>130.27000000000001</v>
      </c>
      <c r="AH455" s="6">
        <v>162.99</v>
      </c>
      <c r="AI455" s="6">
        <f t="shared" si="14"/>
        <v>32.72</v>
      </c>
      <c r="AJ455" s="5">
        <f t="shared" si="15"/>
        <v>0.20074851217866124</v>
      </c>
    </row>
    <row r="456" spans="1:36">
      <c r="A456" t="s">
        <v>323</v>
      </c>
      <c r="B456" t="s">
        <v>740</v>
      </c>
      <c r="C456" t="s">
        <v>66</v>
      </c>
      <c r="D456" t="s">
        <v>68</v>
      </c>
      <c r="E456" t="s">
        <v>69</v>
      </c>
      <c r="F456">
        <v>0</v>
      </c>
      <c r="G456">
        <v>526</v>
      </c>
      <c r="H456">
        <v>1</v>
      </c>
      <c r="I456" t="s">
        <v>220</v>
      </c>
      <c r="J456">
        <v>2</v>
      </c>
      <c r="K456" s="6">
        <v>4.8600000000000003</v>
      </c>
      <c r="L456" t="s">
        <v>174</v>
      </c>
      <c r="M456">
        <v>0</v>
      </c>
      <c r="N456" t="s">
        <v>175</v>
      </c>
      <c r="O456">
        <v>1</v>
      </c>
      <c r="P456">
        <v>0</v>
      </c>
      <c r="Q456" s="6">
        <v>25.5</v>
      </c>
      <c r="R456">
        <v>0</v>
      </c>
      <c r="S456" s="6">
        <v>0</v>
      </c>
      <c r="T456">
        <v>0</v>
      </c>
      <c r="U456" s="6">
        <v>7119</v>
      </c>
      <c r="V456">
        <v>0</v>
      </c>
      <c r="W456">
        <v>0</v>
      </c>
      <c r="X456">
        <v>0</v>
      </c>
      <c r="Y456" s="6">
        <v>43</v>
      </c>
      <c r="Z456">
        <v>4.8000000000000001E-2</v>
      </c>
      <c r="AA456">
        <v>0.13700000000000001</v>
      </c>
      <c r="AB456">
        <v>0.02</v>
      </c>
      <c r="AC456">
        <v>4</v>
      </c>
      <c r="AD456" s="6">
        <v>70</v>
      </c>
      <c r="AE456" s="6">
        <v>0</v>
      </c>
      <c r="AF456" s="6">
        <v>0</v>
      </c>
      <c r="AG456" s="6">
        <v>63.6</v>
      </c>
      <c r="AH456" s="6">
        <v>82.49</v>
      </c>
      <c r="AI456" s="6">
        <f t="shared" si="14"/>
        <v>18.889999999999993</v>
      </c>
      <c r="AJ456" s="5">
        <f t="shared" si="15"/>
        <v>0.22899745423687715</v>
      </c>
    </row>
    <row r="457" spans="1:36">
      <c r="A457" t="s">
        <v>488</v>
      </c>
      <c r="B457" t="s">
        <v>741</v>
      </c>
      <c r="C457" t="s">
        <v>66</v>
      </c>
      <c r="D457" t="s">
        <v>68</v>
      </c>
      <c r="E457" t="s">
        <v>69</v>
      </c>
      <c r="F457">
        <v>0</v>
      </c>
      <c r="G457">
        <v>526</v>
      </c>
      <c r="H457">
        <v>1</v>
      </c>
      <c r="I457" t="s">
        <v>220</v>
      </c>
      <c r="J457">
        <v>2</v>
      </c>
      <c r="K457" s="6">
        <v>5.91</v>
      </c>
      <c r="L457" t="s">
        <v>174</v>
      </c>
      <c r="M457">
        <v>0</v>
      </c>
      <c r="N457" t="s">
        <v>182</v>
      </c>
      <c r="O457">
        <v>3</v>
      </c>
      <c r="P457">
        <v>0</v>
      </c>
      <c r="Q457" s="6">
        <v>130.80000000000001</v>
      </c>
      <c r="R457">
        <v>0</v>
      </c>
      <c r="S457" s="6">
        <v>0</v>
      </c>
      <c r="T457">
        <v>0</v>
      </c>
      <c r="U457" s="6">
        <v>1119</v>
      </c>
      <c r="V457">
        <v>0</v>
      </c>
      <c r="W457">
        <v>0</v>
      </c>
      <c r="X457">
        <v>0</v>
      </c>
      <c r="Y457" s="6">
        <v>43</v>
      </c>
      <c r="Z457">
        <v>4.8000000000000001E-2</v>
      </c>
      <c r="AA457">
        <v>0.13700000000000001</v>
      </c>
      <c r="AB457">
        <v>0.02</v>
      </c>
      <c r="AC457">
        <v>4</v>
      </c>
      <c r="AD457" s="6">
        <v>70</v>
      </c>
      <c r="AE457" s="6">
        <v>0</v>
      </c>
      <c r="AF457" s="6">
        <v>0</v>
      </c>
      <c r="AG457" s="6">
        <v>82.62</v>
      </c>
      <c r="AH457" s="6">
        <v>107.96</v>
      </c>
      <c r="AI457" s="6">
        <f t="shared" si="14"/>
        <v>25.339999999999989</v>
      </c>
      <c r="AJ457" s="5">
        <f t="shared" si="15"/>
        <v>0.23471656168951455</v>
      </c>
    </row>
    <row r="458" spans="1:36">
      <c r="A458" t="s">
        <v>521</v>
      </c>
      <c r="B458" t="s">
        <v>742</v>
      </c>
      <c r="C458" t="s">
        <v>66</v>
      </c>
      <c r="D458" t="s">
        <v>68</v>
      </c>
      <c r="E458" t="s">
        <v>69</v>
      </c>
      <c r="F458">
        <v>0</v>
      </c>
      <c r="G458">
        <v>526</v>
      </c>
      <c r="H458">
        <v>1</v>
      </c>
      <c r="I458" t="s">
        <v>220</v>
      </c>
      <c r="J458">
        <v>2</v>
      </c>
      <c r="K458" s="6">
        <v>4.55</v>
      </c>
      <c r="L458" t="s">
        <v>174</v>
      </c>
      <c r="M458">
        <v>0</v>
      </c>
      <c r="N458" t="s">
        <v>217</v>
      </c>
      <c r="O458">
        <v>4</v>
      </c>
      <c r="P458">
        <v>1</v>
      </c>
      <c r="Q458" s="6">
        <v>109.3</v>
      </c>
      <c r="R458">
        <v>0</v>
      </c>
      <c r="S458" s="6">
        <v>0</v>
      </c>
      <c r="T458">
        <v>0</v>
      </c>
      <c r="U458" s="6">
        <v>4565</v>
      </c>
      <c r="V458">
        <v>0</v>
      </c>
      <c r="W458">
        <v>0</v>
      </c>
      <c r="X458">
        <v>0</v>
      </c>
      <c r="Y458" s="6">
        <v>43</v>
      </c>
      <c r="Z458">
        <v>4.8000000000000001E-2</v>
      </c>
      <c r="AA458">
        <v>0.13700000000000001</v>
      </c>
      <c r="AB458">
        <v>0.02</v>
      </c>
      <c r="AC458">
        <v>4</v>
      </c>
      <c r="AD458" s="6">
        <v>70</v>
      </c>
      <c r="AE458" s="6">
        <v>0</v>
      </c>
      <c r="AF458" s="6">
        <v>0</v>
      </c>
      <c r="AG458" s="6">
        <v>118.13</v>
      </c>
      <c r="AH458" s="6">
        <v>149.31</v>
      </c>
      <c r="AI458" s="6">
        <f t="shared" si="14"/>
        <v>31.180000000000007</v>
      </c>
      <c r="AJ458" s="5">
        <f t="shared" si="15"/>
        <v>0.2088272721184114</v>
      </c>
    </row>
    <row r="459" spans="1:36">
      <c r="A459" t="s">
        <v>236</v>
      </c>
      <c r="B459" t="s">
        <v>743</v>
      </c>
      <c r="C459" t="s">
        <v>66</v>
      </c>
      <c r="D459" t="s">
        <v>68</v>
      </c>
      <c r="E459" t="s">
        <v>69</v>
      </c>
      <c r="F459">
        <v>0</v>
      </c>
      <c r="G459">
        <v>526</v>
      </c>
      <c r="H459">
        <v>1</v>
      </c>
      <c r="I459" t="s">
        <v>220</v>
      </c>
      <c r="J459">
        <v>2</v>
      </c>
      <c r="K459" s="6">
        <v>4.6100000000000003</v>
      </c>
      <c r="L459" t="s">
        <v>174</v>
      </c>
      <c r="M459">
        <v>0</v>
      </c>
      <c r="N459" t="s">
        <v>182</v>
      </c>
      <c r="O459">
        <v>3</v>
      </c>
      <c r="P459">
        <v>1</v>
      </c>
      <c r="Q459" s="6">
        <v>68.5</v>
      </c>
      <c r="R459">
        <v>1</v>
      </c>
      <c r="S459" s="6">
        <v>2990</v>
      </c>
      <c r="T459">
        <v>0</v>
      </c>
      <c r="U459" s="6">
        <v>3822</v>
      </c>
      <c r="V459">
        <v>0</v>
      </c>
      <c r="W459">
        <v>0</v>
      </c>
      <c r="X459">
        <v>0</v>
      </c>
      <c r="Y459" s="6">
        <v>43</v>
      </c>
      <c r="Z459">
        <v>4.8000000000000001E-2</v>
      </c>
      <c r="AA459">
        <v>0.13700000000000001</v>
      </c>
      <c r="AB459">
        <v>0.02</v>
      </c>
      <c r="AC459">
        <v>4</v>
      </c>
      <c r="AD459" s="6">
        <v>70</v>
      </c>
      <c r="AE459" s="6">
        <v>50</v>
      </c>
      <c r="AF459" s="6">
        <v>0</v>
      </c>
      <c r="AG459" s="6">
        <v>106.14</v>
      </c>
      <c r="AH459" s="6">
        <v>135.71</v>
      </c>
      <c r="AI459" s="6">
        <f t="shared" si="14"/>
        <v>29.570000000000007</v>
      </c>
      <c r="AJ459" s="5">
        <f t="shared" si="15"/>
        <v>0.21789109129761997</v>
      </c>
    </row>
    <row r="460" spans="1:36">
      <c r="A460" t="s">
        <v>296</v>
      </c>
      <c r="B460" t="s">
        <v>744</v>
      </c>
      <c r="C460" t="s">
        <v>66</v>
      </c>
      <c r="D460" t="s">
        <v>68</v>
      </c>
      <c r="E460" t="s">
        <v>69</v>
      </c>
      <c r="F460">
        <v>0</v>
      </c>
      <c r="G460">
        <v>526</v>
      </c>
      <c r="H460">
        <v>1</v>
      </c>
      <c r="I460" t="s">
        <v>220</v>
      </c>
      <c r="J460">
        <v>2</v>
      </c>
      <c r="K460" s="6">
        <v>2.0099999999999998</v>
      </c>
      <c r="L460" t="s">
        <v>174</v>
      </c>
      <c r="M460">
        <v>0</v>
      </c>
      <c r="N460" t="s">
        <v>182</v>
      </c>
      <c r="O460">
        <v>3</v>
      </c>
      <c r="P460">
        <v>0</v>
      </c>
      <c r="Q460" s="6">
        <v>108.2</v>
      </c>
      <c r="R460">
        <v>0</v>
      </c>
      <c r="S460" s="6">
        <v>0</v>
      </c>
      <c r="T460">
        <v>0</v>
      </c>
      <c r="U460" s="6">
        <v>18562</v>
      </c>
      <c r="V460">
        <v>0</v>
      </c>
      <c r="W460">
        <v>0</v>
      </c>
      <c r="X460">
        <v>0</v>
      </c>
      <c r="Y460" s="6">
        <v>43</v>
      </c>
      <c r="Z460">
        <v>4.8000000000000001E-2</v>
      </c>
      <c r="AA460">
        <v>0.13700000000000001</v>
      </c>
      <c r="AB460">
        <v>0.02</v>
      </c>
      <c r="AC460">
        <v>4</v>
      </c>
      <c r="AD460" s="6">
        <v>70</v>
      </c>
      <c r="AE460" s="6">
        <v>0</v>
      </c>
      <c r="AF460" s="6">
        <v>0</v>
      </c>
      <c r="AG460" s="6">
        <v>77.95</v>
      </c>
      <c r="AH460" s="6">
        <v>99.89</v>
      </c>
      <c r="AI460" s="6">
        <f t="shared" si="14"/>
        <v>21.939999999999998</v>
      </c>
      <c r="AJ460" s="5">
        <f t="shared" si="15"/>
        <v>0.21964160576634295</v>
      </c>
    </row>
    <row r="461" spans="1:36">
      <c r="A461" t="s">
        <v>375</v>
      </c>
      <c r="B461" t="s">
        <v>745</v>
      </c>
      <c r="C461" t="s">
        <v>66</v>
      </c>
      <c r="D461" t="s">
        <v>68</v>
      </c>
      <c r="E461" t="s">
        <v>69</v>
      </c>
      <c r="F461">
        <v>0</v>
      </c>
      <c r="G461">
        <v>526</v>
      </c>
      <c r="H461">
        <v>1</v>
      </c>
      <c r="I461" t="s">
        <v>220</v>
      </c>
      <c r="J461">
        <v>2</v>
      </c>
      <c r="K461" s="6">
        <v>3.7</v>
      </c>
      <c r="L461" t="s">
        <v>174</v>
      </c>
      <c r="M461">
        <v>0</v>
      </c>
      <c r="N461" t="s">
        <v>175</v>
      </c>
      <c r="O461">
        <v>1</v>
      </c>
      <c r="P461">
        <v>0</v>
      </c>
      <c r="Q461" s="6">
        <v>34.4</v>
      </c>
      <c r="R461">
        <v>0</v>
      </c>
      <c r="S461" s="6">
        <v>0</v>
      </c>
      <c r="T461">
        <v>0</v>
      </c>
      <c r="U461" s="6">
        <v>1560</v>
      </c>
      <c r="V461">
        <v>0</v>
      </c>
      <c r="W461">
        <v>0</v>
      </c>
      <c r="X461">
        <v>0</v>
      </c>
      <c r="Y461" s="6">
        <v>43</v>
      </c>
      <c r="Z461">
        <v>4.8000000000000001E-2</v>
      </c>
      <c r="AA461">
        <v>0.13700000000000001</v>
      </c>
      <c r="AB461">
        <v>0.02</v>
      </c>
      <c r="AC461">
        <v>4</v>
      </c>
      <c r="AD461" s="6">
        <v>70</v>
      </c>
      <c r="AE461" s="6">
        <v>0</v>
      </c>
      <c r="AF461" s="6">
        <v>0</v>
      </c>
      <c r="AG461" s="6">
        <v>59.43</v>
      </c>
      <c r="AH461" s="6">
        <v>78.930000000000007</v>
      </c>
      <c r="AI461" s="6">
        <f t="shared" si="14"/>
        <v>19.500000000000007</v>
      </c>
      <c r="AJ461" s="5">
        <f t="shared" si="15"/>
        <v>0.2470543519574307</v>
      </c>
    </row>
    <row r="462" spans="1:36">
      <c r="A462" t="s">
        <v>537</v>
      </c>
      <c r="B462" t="s">
        <v>746</v>
      </c>
      <c r="C462" t="s">
        <v>66</v>
      </c>
      <c r="D462" t="s">
        <v>68</v>
      </c>
      <c r="E462" t="s">
        <v>69</v>
      </c>
      <c r="F462">
        <v>0</v>
      </c>
      <c r="G462">
        <v>526</v>
      </c>
      <c r="H462">
        <v>1</v>
      </c>
      <c r="I462" t="s">
        <v>220</v>
      </c>
      <c r="J462">
        <v>2</v>
      </c>
      <c r="K462" s="6">
        <v>3.8</v>
      </c>
      <c r="L462" t="s">
        <v>174</v>
      </c>
      <c r="M462">
        <v>0</v>
      </c>
      <c r="N462" t="s">
        <v>182</v>
      </c>
      <c r="O462">
        <v>3</v>
      </c>
      <c r="P462">
        <v>0</v>
      </c>
      <c r="Q462" s="6">
        <v>98.4</v>
      </c>
      <c r="R462">
        <v>0</v>
      </c>
      <c r="S462" s="6">
        <v>0</v>
      </c>
      <c r="T462">
        <v>0</v>
      </c>
      <c r="U462" s="6">
        <v>2103</v>
      </c>
      <c r="V462">
        <v>0</v>
      </c>
      <c r="W462">
        <v>0</v>
      </c>
      <c r="X462">
        <v>0</v>
      </c>
      <c r="Y462" s="6">
        <v>43</v>
      </c>
      <c r="Z462">
        <v>4.8000000000000001E-2</v>
      </c>
      <c r="AA462">
        <v>0.13700000000000001</v>
      </c>
      <c r="AB462">
        <v>0.02</v>
      </c>
      <c r="AC462">
        <v>4</v>
      </c>
      <c r="AD462" s="6">
        <v>70</v>
      </c>
      <c r="AE462" s="6">
        <v>0</v>
      </c>
      <c r="AF462" s="6">
        <v>0</v>
      </c>
      <c r="AG462" s="6">
        <v>79.430000000000007</v>
      </c>
      <c r="AH462" s="6">
        <v>100.25</v>
      </c>
      <c r="AI462" s="6">
        <f t="shared" si="14"/>
        <v>20.819999999999993</v>
      </c>
      <c r="AJ462" s="5">
        <f t="shared" si="15"/>
        <v>0.20768079800498745</v>
      </c>
    </row>
    <row r="463" spans="1:36">
      <c r="A463" t="s">
        <v>228</v>
      </c>
      <c r="B463" t="s">
        <v>747</v>
      </c>
      <c r="C463" t="s">
        <v>66</v>
      </c>
      <c r="D463" t="s">
        <v>68</v>
      </c>
      <c r="E463" t="s">
        <v>69</v>
      </c>
      <c r="F463">
        <v>0</v>
      </c>
      <c r="G463">
        <v>526</v>
      </c>
      <c r="H463">
        <v>1</v>
      </c>
      <c r="I463" t="s">
        <v>178</v>
      </c>
      <c r="J463">
        <v>4</v>
      </c>
      <c r="K463" s="6">
        <v>15.4</v>
      </c>
      <c r="L463" t="s">
        <v>174</v>
      </c>
      <c r="M463">
        <v>0</v>
      </c>
      <c r="N463" t="s">
        <v>175</v>
      </c>
      <c r="O463">
        <v>1</v>
      </c>
      <c r="P463">
        <v>0</v>
      </c>
      <c r="Q463" s="6">
        <v>41.4</v>
      </c>
      <c r="R463">
        <v>0</v>
      </c>
      <c r="S463" s="6">
        <v>0</v>
      </c>
      <c r="T463">
        <v>0</v>
      </c>
      <c r="U463" s="6">
        <v>10686</v>
      </c>
      <c r="V463">
        <v>0</v>
      </c>
      <c r="W463">
        <v>0</v>
      </c>
      <c r="X463">
        <v>0</v>
      </c>
      <c r="Y463" s="6">
        <v>43</v>
      </c>
      <c r="Z463">
        <v>4.8000000000000001E-2</v>
      </c>
      <c r="AA463">
        <v>0.13700000000000001</v>
      </c>
      <c r="AB463">
        <v>0.02</v>
      </c>
      <c r="AC463">
        <v>4</v>
      </c>
      <c r="AD463" s="6">
        <v>125</v>
      </c>
      <c r="AE463" s="6">
        <v>0</v>
      </c>
      <c r="AF463" s="6">
        <v>0</v>
      </c>
      <c r="AG463" s="6">
        <v>132.37</v>
      </c>
      <c r="AH463" s="6">
        <v>167.99</v>
      </c>
      <c r="AI463" s="6">
        <f t="shared" si="14"/>
        <v>35.620000000000005</v>
      </c>
      <c r="AJ463" s="5">
        <f t="shared" si="15"/>
        <v>0.21203643073992501</v>
      </c>
    </row>
    <row r="464" spans="1:36">
      <c r="A464" t="s">
        <v>375</v>
      </c>
      <c r="B464" t="s">
        <v>748</v>
      </c>
      <c r="C464" t="s">
        <v>66</v>
      </c>
      <c r="D464" t="s">
        <v>68</v>
      </c>
      <c r="E464" t="s">
        <v>69</v>
      </c>
      <c r="F464">
        <v>0</v>
      </c>
      <c r="G464">
        <v>526</v>
      </c>
      <c r="H464">
        <v>1</v>
      </c>
      <c r="I464" t="s">
        <v>220</v>
      </c>
      <c r="J464">
        <v>2</v>
      </c>
      <c r="K464" s="6">
        <v>4.72</v>
      </c>
      <c r="L464" t="s">
        <v>174</v>
      </c>
      <c r="M464">
        <v>0</v>
      </c>
      <c r="N464" t="s">
        <v>182</v>
      </c>
      <c r="O464">
        <v>3</v>
      </c>
      <c r="P464">
        <v>0</v>
      </c>
      <c r="Q464" s="6">
        <v>96.6</v>
      </c>
      <c r="R464">
        <v>0</v>
      </c>
      <c r="S464" s="6">
        <v>0</v>
      </c>
      <c r="T464">
        <v>0</v>
      </c>
      <c r="U464" s="6">
        <v>6015</v>
      </c>
      <c r="V464">
        <v>0</v>
      </c>
      <c r="W464">
        <v>0</v>
      </c>
      <c r="X464">
        <v>0</v>
      </c>
      <c r="Y464" s="6">
        <v>43</v>
      </c>
      <c r="Z464">
        <v>4.8000000000000001E-2</v>
      </c>
      <c r="AA464">
        <v>0.13700000000000001</v>
      </c>
      <c r="AB464">
        <v>0.02</v>
      </c>
      <c r="AC464">
        <v>4</v>
      </c>
      <c r="AD464" s="6">
        <v>70</v>
      </c>
      <c r="AE464" s="6">
        <v>0</v>
      </c>
      <c r="AF464" s="6">
        <v>0</v>
      </c>
      <c r="AG464" s="6">
        <v>80.45</v>
      </c>
      <c r="AH464" s="6">
        <v>100.73</v>
      </c>
      <c r="AI464" s="6">
        <f t="shared" si="14"/>
        <v>20.28</v>
      </c>
      <c r="AJ464" s="5">
        <f t="shared" si="15"/>
        <v>0.201330288891095</v>
      </c>
    </row>
    <row r="465" spans="1:36">
      <c r="A465" t="s">
        <v>243</v>
      </c>
      <c r="B465" t="s">
        <v>749</v>
      </c>
      <c r="C465" t="s">
        <v>66</v>
      </c>
      <c r="D465" t="s">
        <v>68</v>
      </c>
      <c r="E465" t="s">
        <v>69</v>
      </c>
      <c r="F465">
        <v>0</v>
      </c>
      <c r="G465">
        <v>526</v>
      </c>
      <c r="H465">
        <v>1</v>
      </c>
      <c r="I465" t="s">
        <v>220</v>
      </c>
      <c r="J465">
        <v>2</v>
      </c>
      <c r="K465" s="6">
        <v>5.0999999999999996</v>
      </c>
      <c r="L465" t="s">
        <v>174</v>
      </c>
      <c r="M465">
        <v>0</v>
      </c>
      <c r="N465" t="s">
        <v>187</v>
      </c>
      <c r="O465">
        <v>2</v>
      </c>
      <c r="P465">
        <v>0</v>
      </c>
      <c r="Q465" s="6">
        <v>48.8</v>
      </c>
      <c r="R465">
        <v>0</v>
      </c>
      <c r="S465" s="6">
        <v>0</v>
      </c>
      <c r="T465">
        <v>0</v>
      </c>
      <c r="U465" s="6">
        <v>3914</v>
      </c>
      <c r="V465">
        <v>0</v>
      </c>
      <c r="W465">
        <v>0</v>
      </c>
      <c r="X465">
        <v>0</v>
      </c>
      <c r="Y465" s="6">
        <v>43</v>
      </c>
      <c r="Z465">
        <v>4.8000000000000001E-2</v>
      </c>
      <c r="AA465">
        <v>0.13700000000000001</v>
      </c>
      <c r="AB465">
        <v>0.02</v>
      </c>
      <c r="AC465">
        <v>4</v>
      </c>
      <c r="AD465" s="6">
        <v>70</v>
      </c>
      <c r="AE465" s="6">
        <v>0</v>
      </c>
      <c r="AF465" s="6">
        <v>0</v>
      </c>
      <c r="AG465" s="6">
        <v>72.680000000000007</v>
      </c>
      <c r="AH465" s="6">
        <v>92.91</v>
      </c>
      <c r="AI465" s="6">
        <f t="shared" si="14"/>
        <v>20.22999999999999</v>
      </c>
      <c r="AJ465" s="5">
        <f t="shared" si="15"/>
        <v>0.21773759552254859</v>
      </c>
    </row>
    <row r="466" spans="1:36">
      <c r="A466" t="s">
        <v>401</v>
      </c>
      <c r="B466" t="s">
        <v>750</v>
      </c>
      <c r="C466" t="s">
        <v>66</v>
      </c>
      <c r="D466" t="s">
        <v>68</v>
      </c>
      <c r="E466" t="s">
        <v>69</v>
      </c>
      <c r="F466">
        <v>0</v>
      </c>
      <c r="G466">
        <v>526</v>
      </c>
      <c r="H466">
        <v>1</v>
      </c>
      <c r="I466" t="s">
        <v>181</v>
      </c>
      <c r="J466">
        <v>3</v>
      </c>
      <c r="K466" s="6">
        <v>9.65</v>
      </c>
      <c r="L466" t="s">
        <v>174</v>
      </c>
      <c r="M466">
        <v>0</v>
      </c>
      <c r="N466" t="s">
        <v>175</v>
      </c>
      <c r="O466">
        <v>1</v>
      </c>
      <c r="P466">
        <v>0</v>
      </c>
      <c r="Q466" s="6">
        <v>40</v>
      </c>
      <c r="R466">
        <v>0</v>
      </c>
      <c r="S466" s="6">
        <v>0</v>
      </c>
      <c r="T466">
        <v>0</v>
      </c>
      <c r="U466" s="6">
        <v>2386</v>
      </c>
      <c r="V466">
        <v>0</v>
      </c>
      <c r="W466">
        <v>0</v>
      </c>
      <c r="X466">
        <v>0</v>
      </c>
      <c r="Y466" s="6">
        <v>43</v>
      </c>
      <c r="Z466">
        <v>4.8000000000000001E-2</v>
      </c>
      <c r="AA466">
        <v>0.13700000000000001</v>
      </c>
      <c r="AB466">
        <v>0.02</v>
      </c>
      <c r="AC466">
        <v>4</v>
      </c>
      <c r="AD466" s="6">
        <v>105</v>
      </c>
      <c r="AE466" s="6">
        <v>0</v>
      </c>
      <c r="AF466" s="6">
        <v>0</v>
      </c>
      <c r="AG466" s="6">
        <v>101.87</v>
      </c>
      <c r="AH466" s="6">
        <v>130.88</v>
      </c>
      <c r="AI466" s="6">
        <f t="shared" si="14"/>
        <v>29.009999999999991</v>
      </c>
      <c r="AJ466" s="5">
        <f t="shared" si="15"/>
        <v>0.22165342298288501</v>
      </c>
    </row>
    <row r="467" spans="1:36">
      <c r="A467" t="s">
        <v>185</v>
      </c>
      <c r="B467" t="s">
        <v>751</v>
      </c>
      <c r="C467" t="s">
        <v>66</v>
      </c>
      <c r="D467" t="s">
        <v>68</v>
      </c>
      <c r="E467" t="s">
        <v>69</v>
      </c>
      <c r="F467">
        <v>0</v>
      </c>
      <c r="G467">
        <v>526</v>
      </c>
      <c r="H467">
        <v>1</v>
      </c>
      <c r="I467" t="s">
        <v>220</v>
      </c>
      <c r="J467">
        <v>2</v>
      </c>
      <c r="K467" s="6">
        <v>2.67</v>
      </c>
      <c r="L467" t="s">
        <v>174</v>
      </c>
      <c r="M467">
        <v>0</v>
      </c>
      <c r="N467" t="s">
        <v>182</v>
      </c>
      <c r="O467">
        <v>3</v>
      </c>
      <c r="P467">
        <v>0</v>
      </c>
      <c r="Q467" s="6">
        <v>82.5</v>
      </c>
      <c r="R467">
        <v>0</v>
      </c>
      <c r="S467" s="6">
        <v>0</v>
      </c>
      <c r="T467">
        <v>0</v>
      </c>
      <c r="U467" s="6">
        <v>10562</v>
      </c>
      <c r="V467">
        <v>0</v>
      </c>
      <c r="W467">
        <v>0</v>
      </c>
      <c r="X467">
        <v>0</v>
      </c>
      <c r="Y467" s="6">
        <v>43</v>
      </c>
      <c r="Z467">
        <v>4.8000000000000001E-2</v>
      </c>
      <c r="AA467">
        <v>0.13700000000000001</v>
      </c>
      <c r="AB467">
        <v>0.02</v>
      </c>
      <c r="AC467">
        <v>4</v>
      </c>
      <c r="AD467" s="6">
        <v>70</v>
      </c>
      <c r="AE467" s="6">
        <v>0</v>
      </c>
      <c r="AF467" s="6">
        <v>0</v>
      </c>
      <c r="AG467" s="6">
        <v>77.78</v>
      </c>
      <c r="AH467" s="6">
        <v>100.12</v>
      </c>
      <c r="AI467" s="6">
        <f t="shared" si="14"/>
        <v>22.340000000000003</v>
      </c>
      <c r="AJ467" s="5">
        <f t="shared" si="15"/>
        <v>0.2231322413104275</v>
      </c>
    </row>
    <row r="468" spans="1:36">
      <c r="A468" t="s">
        <v>183</v>
      </c>
      <c r="B468" t="s">
        <v>752</v>
      </c>
      <c r="C468" t="s">
        <v>66</v>
      </c>
      <c r="D468" t="s">
        <v>68</v>
      </c>
      <c r="E468" t="s">
        <v>69</v>
      </c>
      <c r="F468">
        <v>0</v>
      </c>
      <c r="G468">
        <v>526</v>
      </c>
      <c r="H468">
        <v>1</v>
      </c>
      <c r="I468" t="s">
        <v>220</v>
      </c>
      <c r="J468">
        <v>2</v>
      </c>
      <c r="K468" s="6">
        <v>5.51</v>
      </c>
      <c r="L468" t="s">
        <v>174</v>
      </c>
      <c r="M468">
        <v>0</v>
      </c>
      <c r="N468" t="s">
        <v>175</v>
      </c>
      <c r="O468">
        <v>1</v>
      </c>
      <c r="P468">
        <v>0</v>
      </c>
      <c r="Q468" s="6">
        <v>38</v>
      </c>
      <c r="R468">
        <v>0</v>
      </c>
      <c r="S468" s="6">
        <v>0</v>
      </c>
      <c r="T468">
        <v>0</v>
      </c>
      <c r="U468" s="6">
        <v>1322</v>
      </c>
      <c r="V468">
        <v>0</v>
      </c>
      <c r="W468">
        <v>0</v>
      </c>
      <c r="X468">
        <v>0</v>
      </c>
      <c r="Y468" s="6">
        <v>43</v>
      </c>
      <c r="Z468">
        <v>4.8000000000000001E-2</v>
      </c>
      <c r="AA468">
        <v>0.13700000000000001</v>
      </c>
      <c r="AB468">
        <v>0.02</v>
      </c>
      <c r="AC468">
        <v>4</v>
      </c>
      <c r="AD468" s="6">
        <v>70</v>
      </c>
      <c r="AE468" s="6">
        <v>0</v>
      </c>
      <c r="AF468" s="6">
        <v>0</v>
      </c>
      <c r="AG468" s="6">
        <v>64.290000000000006</v>
      </c>
      <c r="AH468" s="6">
        <v>83.81</v>
      </c>
      <c r="AI468" s="6">
        <f t="shared" si="14"/>
        <v>19.519999999999996</v>
      </c>
      <c r="AJ468" s="5">
        <f t="shared" si="15"/>
        <v>0.23290776756950241</v>
      </c>
    </row>
    <row r="469" spans="1:36">
      <c r="A469" t="s">
        <v>423</v>
      </c>
      <c r="B469" t="s">
        <v>753</v>
      </c>
      <c r="C469" t="s">
        <v>66</v>
      </c>
      <c r="D469" t="s">
        <v>68</v>
      </c>
      <c r="E469" t="s">
        <v>69</v>
      </c>
      <c r="F469">
        <v>0</v>
      </c>
      <c r="G469">
        <v>526</v>
      </c>
      <c r="H469">
        <v>1</v>
      </c>
      <c r="I469" t="s">
        <v>220</v>
      </c>
      <c r="J469">
        <v>2</v>
      </c>
      <c r="K469" s="6">
        <v>3.76</v>
      </c>
      <c r="L469" t="s">
        <v>174</v>
      </c>
      <c r="M469">
        <v>0</v>
      </c>
      <c r="N469" t="s">
        <v>187</v>
      </c>
      <c r="O469">
        <v>2</v>
      </c>
      <c r="P469">
        <v>0</v>
      </c>
      <c r="Q469" s="6">
        <v>61.7</v>
      </c>
      <c r="R469">
        <v>0</v>
      </c>
      <c r="S469" s="6">
        <v>0</v>
      </c>
      <c r="T469">
        <v>0</v>
      </c>
      <c r="U469" s="6">
        <v>4161</v>
      </c>
      <c r="V469">
        <v>0</v>
      </c>
      <c r="W469">
        <v>0</v>
      </c>
      <c r="X469">
        <v>0</v>
      </c>
      <c r="Y469" s="6">
        <v>43</v>
      </c>
      <c r="Z469">
        <v>4.8000000000000001E-2</v>
      </c>
      <c r="AA469">
        <v>0.13700000000000001</v>
      </c>
      <c r="AB469">
        <v>0.02</v>
      </c>
      <c r="AC469">
        <v>4</v>
      </c>
      <c r="AD469" s="6">
        <v>70</v>
      </c>
      <c r="AE469" s="6">
        <v>0</v>
      </c>
      <c r="AF469" s="6">
        <v>0</v>
      </c>
      <c r="AG469" s="6">
        <v>66.739999999999995</v>
      </c>
      <c r="AH469" s="6">
        <v>87.21</v>
      </c>
      <c r="AI469" s="6">
        <f t="shared" si="14"/>
        <v>20.47</v>
      </c>
      <c r="AJ469" s="5">
        <f t="shared" si="15"/>
        <v>0.23472078890035547</v>
      </c>
    </row>
    <row r="470" spans="1:36">
      <c r="A470" t="s">
        <v>393</v>
      </c>
      <c r="B470" t="s">
        <v>754</v>
      </c>
      <c r="C470" t="s">
        <v>66</v>
      </c>
      <c r="D470" t="s">
        <v>68</v>
      </c>
      <c r="E470" t="s">
        <v>69</v>
      </c>
      <c r="F470">
        <v>0</v>
      </c>
      <c r="G470">
        <v>526</v>
      </c>
      <c r="H470">
        <v>1</v>
      </c>
      <c r="I470" t="s">
        <v>173</v>
      </c>
      <c r="J470">
        <v>1</v>
      </c>
      <c r="K470" s="6">
        <v>1.1299999999999999</v>
      </c>
      <c r="L470" t="s">
        <v>174</v>
      </c>
      <c r="M470">
        <v>0</v>
      </c>
      <c r="N470" t="s">
        <v>182</v>
      </c>
      <c r="O470">
        <v>3</v>
      </c>
      <c r="P470">
        <v>0</v>
      </c>
      <c r="Q470" s="6">
        <v>114.3</v>
      </c>
      <c r="R470">
        <v>0</v>
      </c>
      <c r="S470" s="6">
        <v>0</v>
      </c>
      <c r="T470">
        <v>0</v>
      </c>
      <c r="U470" s="6">
        <v>7939</v>
      </c>
      <c r="V470">
        <v>0</v>
      </c>
      <c r="W470">
        <v>0</v>
      </c>
      <c r="X470">
        <v>0</v>
      </c>
      <c r="Y470" s="6">
        <v>43</v>
      </c>
      <c r="Z470">
        <v>4.8000000000000001E-2</v>
      </c>
      <c r="AA470">
        <v>0.13700000000000001</v>
      </c>
      <c r="AB470">
        <v>0.02</v>
      </c>
      <c r="AC470">
        <v>4</v>
      </c>
      <c r="AD470" s="6">
        <v>65</v>
      </c>
      <c r="AE470" s="6">
        <v>0</v>
      </c>
      <c r="AF470" s="6">
        <v>0</v>
      </c>
      <c r="AG470" s="6">
        <v>69.06</v>
      </c>
      <c r="AH470" s="6">
        <v>91.21</v>
      </c>
      <c r="AI470" s="6">
        <f t="shared" si="14"/>
        <v>22.149999999999991</v>
      </c>
      <c r="AJ470" s="5">
        <f t="shared" si="15"/>
        <v>0.24284617914702328</v>
      </c>
    </row>
    <row r="471" spans="1:36">
      <c r="A471" t="s">
        <v>245</v>
      </c>
      <c r="B471" t="s">
        <v>755</v>
      </c>
      <c r="C471" t="s">
        <v>66</v>
      </c>
      <c r="D471" t="s">
        <v>68</v>
      </c>
      <c r="E471" t="s">
        <v>69</v>
      </c>
      <c r="F471">
        <v>0</v>
      </c>
      <c r="G471">
        <v>526</v>
      </c>
      <c r="H471">
        <v>1</v>
      </c>
      <c r="I471" t="s">
        <v>220</v>
      </c>
      <c r="J471">
        <v>2</v>
      </c>
      <c r="K471" s="6">
        <v>4.26</v>
      </c>
      <c r="L471" t="s">
        <v>174</v>
      </c>
      <c r="M471">
        <v>0</v>
      </c>
      <c r="N471" t="s">
        <v>217</v>
      </c>
      <c r="O471">
        <v>4</v>
      </c>
      <c r="P471">
        <v>1</v>
      </c>
      <c r="Q471" s="6">
        <v>145.19999999999999</v>
      </c>
      <c r="R471">
        <v>0</v>
      </c>
      <c r="S471" s="6">
        <v>0</v>
      </c>
      <c r="T471">
        <v>0</v>
      </c>
      <c r="U471" s="6">
        <v>4989</v>
      </c>
      <c r="V471">
        <v>0</v>
      </c>
      <c r="W471">
        <v>0</v>
      </c>
      <c r="X471">
        <v>0</v>
      </c>
      <c r="Y471" s="6">
        <v>43</v>
      </c>
      <c r="Z471">
        <v>4.8000000000000001E-2</v>
      </c>
      <c r="AA471">
        <v>0.13700000000000001</v>
      </c>
      <c r="AB471">
        <v>0.02</v>
      </c>
      <c r="AC471">
        <v>4</v>
      </c>
      <c r="AD471" s="6">
        <v>70</v>
      </c>
      <c r="AE471" s="6">
        <v>0</v>
      </c>
      <c r="AF471" s="6">
        <v>0</v>
      </c>
      <c r="AG471" s="6">
        <v>117</v>
      </c>
      <c r="AH471" s="6">
        <v>146.30000000000001</v>
      </c>
      <c r="AI471" s="6">
        <f t="shared" si="14"/>
        <v>29.300000000000011</v>
      </c>
      <c r="AJ471" s="5">
        <f t="shared" si="15"/>
        <v>0.20027341079972666</v>
      </c>
    </row>
    <row r="472" spans="1:36">
      <c r="A472" t="s">
        <v>323</v>
      </c>
      <c r="B472" t="s">
        <v>756</v>
      </c>
      <c r="C472" t="s">
        <v>66</v>
      </c>
      <c r="D472" t="s">
        <v>68</v>
      </c>
      <c r="E472" t="s">
        <v>69</v>
      </c>
      <c r="F472">
        <v>0</v>
      </c>
      <c r="G472">
        <v>526</v>
      </c>
      <c r="H472">
        <v>1</v>
      </c>
      <c r="I472" t="s">
        <v>178</v>
      </c>
      <c r="J472">
        <v>4</v>
      </c>
      <c r="K472" s="6">
        <v>12.28</v>
      </c>
      <c r="L472" t="s">
        <v>174</v>
      </c>
      <c r="M472">
        <v>0</v>
      </c>
      <c r="N472" t="s">
        <v>217</v>
      </c>
      <c r="O472">
        <v>4</v>
      </c>
      <c r="P472">
        <v>1</v>
      </c>
      <c r="Q472" s="6">
        <v>181.8</v>
      </c>
      <c r="R472">
        <v>1</v>
      </c>
      <c r="S472" s="6">
        <v>1167</v>
      </c>
      <c r="T472">
        <v>0</v>
      </c>
      <c r="U472" s="6">
        <v>2477</v>
      </c>
      <c r="V472">
        <v>0</v>
      </c>
      <c r="W472">
        <v>0</v>
      </c>
      <c r="X472">
        <v>0</v>
      </c>
      <c r="Y472" s="6">
        <v>43</v>
      </c>
      <c r="Z472">
        <v>4.8000000000000001E-2</v>
      </c>
      <c r="AA472">
        <v>0.13700000000000001</v>
      </c>
      <c r="AB472">
        <v>0.02</v>
      </c>
      <c r="AC472">
        <v>4</v>
      </c>
      <c r="AD472" s="6">
        <v>125</v>
      </c>
      <c r="AE472" s="6">
        <v>25</v>
      </c>
      <c r="AF472" s="6">
        <v>0</v>
      </c>
      <c r="AG472" s="6">
        <v>174.16</v>
      </c>
      <c r="AH472" s="6">
        <v>222.04</v>
      </c>
      <c r="AI472" s="6">
        <f t="shared" si="14"/>
        <v>47.879999999999995</v>
      </c>
      <c r="AJ472" s="5">
        <f t="shared" si="15"/>
        <v>0.21563682219419922</v>
      </c>
    </row>
    <row r="473" spans="1:36">
      <c r="A473" t="s">
        <v>221</v>
      </c>
      <c r="B473" t="s">
        <v>757</v>
      </c>
      <c r="C473" t="s">
        <v>66</v>
      </c>
      <c r="D473" t="s">
        <v>68</v>
      </c>
      <c r="E473" t="s">
        <v>69</v>
      </c>
      <c r="F473">
        <v>0</v>
      </c>
      <c r="G473">
        <v>526</v>
      </c>
      <c r="H473">
        <v>1</v>
      </c>
      <c r="I473" t="s">
        <v>173</v>
      </c>
      <c r="J473">
        <v>1</v>
      </c>
      <c r="K473" s="6">
        <v>2.3199999999999998</v>
      </c>
      <c r="L473" t="s">
        <v>174</v>
      </c>
      <c r="M473">
        <v>0</v>
      </c>
      <c r="N473" t="s">
        <v>272</v>
      </c>
      <c r="O473">
        <v>5</v>
      </c>
      <c r="P473">
        <v>1</v>
      </c>
      <c r="Q473" s="6">
        <v>247.1</v>
      </c>
      <c r="R473">
        <v>0</v>
      </c>
      <c r="S473" s="6">
        <v>0</v>
      </c>
      <c r="T473">
        <v>0</v>
      </c>
      <c r="U473" s="6">
        <v>12462</v>
      </c>
      <c r="V473">
        <v>0</v>
      </c>
      <c r="W473">
        <v>0</v>
      </c>
      <c r="X473">
        <v>0</v>
      </c>
      <c r="Y473" s="6">
        <v>43</v>
      </c>
      <c r="Z473">
        <v>4.8000000000000001E-2</v>
      </c>
      <c r="AA473">
        <v>0.13700000000000001</v>
      </c>
      <c r="AB473">
        <v>0.02</v>
      </c>
      <c r="AC473">
        <v>4</v>
      </c>
      <c r="AD473" s="6">
        <v>125</v>
      </c>
      <c r="AE473" s="6">
        <v>0</v>
      </c>
      <c r="AF473" s="6">
        <v>0</v>
      </c>
      <c r="AG473" s="6">
        <v>153.93</v>
      </c>
      <c r="AH473" s="6">
        <v>195.55</v>
      </c>
      <c r="AI473" s="6">
        <f t="shared" si="14"/>
        <v>41.620000000000005</v>
      </c>
      <c r="AJ473" s="5">
        <f t="shared" si="15"/>
        <v>0.21283559192022503</v>
      </c>
    </row>
    <row r="474" spans="1:36">
      <c r="A474" t="s">
        <v>481</v>
      </c>
      <c r="B474" t="s">
        <v>758</v>
      </c>
      <c r="C474" t="s">
        <v>66</v>
      </c>
      <c r="D474" t="s">
        <v>68</v>
      </c>
      <c r="E474" t="s">
        <v>69</v>
      </c>
      <c r="F474">
        <v>0</v>
      </c>
      <c r="G474">
        <v>526</v>
      </c>
      <c r="H474">
        <v>1</v>
      </c>
      <c r="I474" t="s">
        <v>220</v>
      </c>
      <c r="J474">
        <v>2</v>
      </c>
      <c r="K474" s="6">
        <v>3.1</v>
      </c>
      <c r="L474" t="s">
        <v>174</v>
      </c>
      <c r="M474">
        <v>0</v>
      </c>
      <c r="N474" t="s">
        <v>187</v>
      </c>
      <c r="O474">
        <v>2</v>
      </c>
      <c r="P474">
        <v>0</v>
      </c>
      <c r="Q474" s="6">
        <v>47.8</v>
      </c>
      <c r="R474">
        <v>0</v>
      </c>
      <c r="S474" s="6">
        <v>0</v>
      </c>
      <c r="T474">
        <v>0</v>
      </c>
      <c r="U474" s="6">
        <v>2423</v>
      </c>
      <c r="V474">
        <v>0</v>
      </c>
      <c r="W474">
        <v>0</v>
      </c>
      <c r="X474">
        <v>0</v>
      </c>
      <c r="Y474" s="6">
        <v>43</v>
      </c>
      <c r="Z474">
        <v>4.8000000000000001E-2</v>
      </c>
      <c r="AA474">
        <v>0.13700000000000001</v>
      </c>
      <c r="AB474">
        <v>0.02</v>
      </c>
      <c r="AC474">
        <v>4</v>
      </c>
      <c r="AD474" s="6">
        <v>70</v>
      </c>
      <c r="AE474" s="6">
        <v>0</v>
      </c>
      <c r="AF474" s="6">
        <v>0</v>
      </c>
      <c r="AG474" s="6">
        <v>71.510000000000005</v>
      </c>
      <c r="AH474" s="6">
        <v>92.58</v>
      </c>
      <c r="AI474" s="6">
        <f t="shared" si="14"/>
        <v>21.069999999999993</v>
      </c>
      <c r="AJ474" s="5">
        <f t="shared" si="15"/>
        <v>0.22758695182544819</v>
      </c>
    </row>
    <row r="475" spans="1:36">
      <c r="A475" t="s">
        <v>343</v>
      </c>
      <c r="B475" t="s">
        <v>759</v>
      </c>
      <c r="C475" t="s">
        <v>66</v>
      </c>
      <c r="D475" t="s">
        <v>68</v>
      </c>
      <c r="E475" t="s">
        <v>69</v>
      </c>
      <c r="F475">
        <v>0</v>
      </c>
      <c r="G475">
        <v>526</v>
      </c>
      <c r="H475">
        <v>1</v>
      </c>
      <c r="I475" t="s">
        <v>220</v>
      </c>
      <c r="J475">
        <v>2</v>
      </c>
      <c r="K475" s="6">
        <v>4.05</v>
      </c>
      <c r="L475" t="s">
        <v>174</v>
      </c>
      <c r="M475">
        <v>0</v>
      </c>
      <c r="N475" t="s">
        <v>187</v>
      </c>
      <c r="O475">
        <v>2</v>
      </c>
      <c r="P475">
        <v>0</v>
      </c>
      <c r="Q475" s="6">
        <v>60.8</v>
      </c>
      <c r="R475">
        <v>0</v>
      </c>
      <c r="S475" s="6">
        <v>0</v>
      </c>
      <c r="T475">
        <v>0</v>
      </c>
      <c r="U475" s="6">
        <v>7428</v>
      </c>
      <c r="V475">
        <v>0</v>
      </c>
      <c r="W475">
        <v>0</v>
      </c>
      <c r="X475">
        <v>0</v>
      </c>
      <c r="Y475" s="6">
        <v>43</v>
      </c>
      <c r="Z475">
        <v>4.8000000000000001E-2</v>
      </c>
      <c r="AA475">
        <v>0.13700000000000001</v>
      </c>
      <c r="AB475">
        <v>0.02</v>
      </c>
      <c r="AC475">
        <v>4</v>
      </c>
      <c r="AD475" s="6">
        <v>70</v>
      </c>
      <c r="AE475" s="6">
        <v>0</v>
      </c>
      <c r="AF475" s="6">
        <v>0</v>
      </c>
      <c r="AG475" s="6">
        <v>70</v>
      </c>
      <c r="AH475" s="6">
        <v>87.94</v>
      </c>
      <c r="AI475" s="6">
        <f t="shared" si="14"/>
        <v>17.939999999999998</v>
      </c>
      <c r="AJ475" s="5">
        <f t="shared" si="15"/>
        <v>0.20400272913350009</v>
      </c>
    </row>
    <row r="476" spans="1:36">
      <c r="A476" t="s">
        <v>459</v>
      </c>
      <c r="B476" t="s">
        <v>760</v>
      </c>
      <c r="C476" t="s">
        <v>66</v>
      </c>
      <c r="D476" t="s">
        <v>68</v>
      </c>
      <c r="E476" t="s">
        <v>69</v>
      </c>
      <c r="F476">
        <v>0</v>
      </c>
      <c r="G476">
        <v>526</v>
      </c>
      <c r="H476">
        <v>1</v>
      </c>
      <c r="I476" t="s">
        <v>220</v>
      </c>
      <c r="J476">
        <v>2</v>
      </c>
      <c r="K476" s="6">
        <v>3.65</v>
      </c>
      <c r="L476" t="s">
        <v>174</v>
      </c>
      <c r="M476">
        <v>0</v>
      </c>
      <c r="N476" t="s">
        <v>175</v>
      </c>
      <c r="O476">
        <v>1</v>
      </c>
      <c r="P476">
        <v>0</v>
      </c>
      <c r="Q476" s="6">
        <v>26.9</v>
      </c>
      <c r="R476">
        <v>0</v>
      </c>
      <c r="S476" s="6">
        <v>0</v>
      </c>
      <c r="T476">
        <v>0</v>
      </c>
      <c r="U476" s="6">
        <v>4297</v>
      </c>
      <c r="V476">
        <v>0</v>
      </c>
      <c r="W476">
        <v>0</v>
      </c>
      <c r="X476">
        <v>0</v>
      </c>
      <c r="Y476" s="6">
        <v>43</v>
      </c>
      <c r="Z476">
        <v>4.8000000000000001E-2</v>
      </c>
      <c r="AA476">
        <v>0.13700000000000001</v>
      </c>
      <c r="AB476">
        <v>0.02</v>
      </c>
      <c r="AC476">
        <v>4</v>
      </c>
      <c r="AD476" s="6">
        <v>70</v>
      </c>
      <c r="AE476" s="6">
        <v>0</v>
      </c>
      <c r="AF476" s="6">
        <v>0</v>
      </c>
      <c r="AG476" s="6">
        <v>62.94</v>
      </c>
      <c r="AH476" s="6">
        <v>79.540000000000006</v>
      </c>
      <c r="AI476" s="6">
        <f t="shared" si="14"/>
        <v>16.600000000000009</v>
      </c>
      <c r="AJ476" s="5">
        <f t="shared" si="15"/>
        <v>0.20870002514458144</v>
      </c>
    </row>
    <row r="477" spans="1:36">
      <c r="A477" t="s">
        <v>221</v>
      </c>
      <c r="B477" t="s">
        <v>761</v>
      </c>
      <c r="C477" t="s">
        <v>66</v>
      </c>
      <c r="D477" t="s">
        <v>68</v>
      </c>
      <c r="E477" t="s">
        <v>69</v>
      </c>
      <c r="F477">
        <v>0</v>
      </c>
      <c r="G477">
        <v>526</v>
      </c>
      <c r="H477">
        <v>1</v>
      </c>
      <c r="I477" t="s">
        <v>220</v>
      </c>
      <c r="J477">
        <v>2</v>
      </c>
      <c r="K477" s="6">
        <v>3.79</v>
      </c>
      <c r="L477" t="s">
        <v>200</v>
      </c>
      <c r="M477">
        <v>1</v>
      </c>
      <c r="N477" t="s">
        <v>182</v>
      </c>
      <c r="O477">
        <v>3</v>
      </c>
      <c r="P477">
        <v>0</v>
      </c>
      <c r="Q477" s="6">
        <v>71.900000000000006</v>
      </c>
      <c r="R477">
        <v>0</v>
      </c>
      <c r="S477" s="6">
        <v>0</v>
      </c>
      <c r="T477">
        <v>0</v>
      </c>
      <c r="U477" s="6">
        <v>9224</v>
      </c>
      <c r="V477">
        <v>0</v>
      </c>
      <c r="W477">
        <v>0</v>
      </c>
      <c r="X477">
        <v>0</v>
      </c>
      <c r="Y477" s="6">
        <v>43</v>
      </c>
      <c r="Z477">
        <v>4.8000000000000001E-2</v>
      </c>
      <c r="AA477">
        <v>0.13700000000000001</v>
      </c>
      <c r="AB477">
        <v>0.02</v>
      </c>
      <c r="AC477">
        <v>4</v>
      </c>
      <c r="AD477" s="6">
        <v>160</v>
      </c>
      <c r="AE477" s="6">
        <v>0</v>
      </c>
      <c r="AF477" s="6">
        <v>0</v>
      </c>
      <c r="AG477" s="6">
        <v>108.43</v>
      </c>
      <c r="AH477" s="6">
        <v>161.9</v>
      </c>
      <c r="AI477" s="6">
        <f t="shared" si="14"/>
        <v>53.47</v>
      </c>
      <c r="AJ477" s="5">
        <f t="shared" si="15"/>
        <v>0.33026559604694256</v>
      </c>
    </row>
    <row r="478" spans="1:36">
      <c r="A478" t="s">
        <v>251</v>
      </c>
      <c r="B478" t="s">
        <v>762</v>
      </c>
      <c r="C478" t="s">
        <v>66</v>
      </c>
      <c r="D478" t="s">
        <v>68</v>
      </c>
      <c r="E478" t="s">
        <v>69</v>
      </c>
      <c r="F478">
        <v>0</v>
      </c>
      <c r="G478">
        <v>526</v>
      </c>
      <c r="H478">
        <v>1</v>
      </c>
      <c r="I478" t="s">
        <v>178</v>
      </c>
      <c r="J478">
        <v>4</v>
      </c>
      <c r="K478" s="6">
        <v>13.72</v>
      </c>
      <c r="L478" t="s">
        <v>174</v>
      </c>
      <c r="M478">
        <v>0</v>
      </c>
      <c r="N478" t="s">
        <v>175</v>
      </c>
      <c r="O478">
        <v>1</v>
      </c>
      <c r="P478">
        <v>0</v>
      </c>
      <c r="Q478" s="6">
        <v>36.1</v>
      </c>
      <c r="R478">
        <v>0</v>
      </c>
      <c r="S478" s="6">
        <v>0</v>
      </c>
      <c r="T478">
        <v>0</v>
      </c>
      <c r="U478" s="6">
        <v>4441</v>
      </c>
      <c r="V478">
        <v>0</v>
      </c>
      <c r="W478">
        <v>0</v>
      </c>
      <c r="X478">
        <v>0</v>
      </c>
      <c r="Y478" s="6">
        <v>43</v>
      </c>
      <c r="Z478">
        <v>4.8000000000000001E-2</v>
      </c>
      <c r="AA478">
        <v>0.13700000000000001</v>
      </c>
      <c r="AB478">
        <v>0.02</v>
      </c>
      <c r="AC478">
        <v>4</v>
      </c>
      <c r="AD478" s="6">
        <v>125</v>
      </c>
      <c r="AE478" s="6">
        <v>0</v>
      </c>
      <c r="AF478" s="6">
        <v>0</v>
      </c>
      <c r="AG478" s="6">
        <v>134.22</v>
      </c>
      <c r="AH478" s="6">
        <v>168.26</v>
      </c>
      <c r="AI478" s="6">
        <f t="shared" si="14"/>
        <v>34.039999999999992</v>
      </c>
      <c r="AJ478" s="5">
        <f t="shared" si="15"/>
        <v>0.20230595506953522</v>
      </c>
    </row>
    <row r="479" spans="1:36">
      <c r="A479" t="s">
        <v>401</v>
      </c>
      <c r="B479" t="s">
        <v>763</v>
      </c>
      <c r="C479" t="s">
        <v>66</v>
      </c>
      <c r="D479" t="s">
        <v>68</v>
      </c>
      <c r="E479" t="s">
        <v>69</v>
      </c>
      <c r="F479">
        <v>0</v>
      </c>
      <c r="G479">
        <v>526</v>
      </c>
      <c r="H479">
        <v>1</v>
      </c>
      <c r="I479" t="s">
        <v>181</v>
      </c>
      <c r="J479">
        <v>3</v>
      </c>
      <c r="K479" s="6">
        <v>6.52</v>
      </c>
      <c r="L479" t="s">
        <v>174</v>
      </c>
      <c r="M479">
        <v>0</v>
      </c>
      <c r="N479" t="s">
        <v>187</v>
      </c>
      <c r="O479">
        <v>2</v>
      </c>
      <c r="P479">
        <v>0</v>
      </c>
      <c r="Q479" s="6">
        <v>29.6</v>
      </c>
      <c r="R479">
        <v>0</v>
      </c>
      <c r="S479" s="6">
        <v>0</v>
      </c>
      <c r="T479">
        <v>0</v>
      </c>
      <c r="U479" s="6">
        <v>3830</v>
      </c>
      <c r="V479">
        <v>0</v>
      </c>
      <c r="W479">
        <v>0</v>
      </c>
      <c r="X479">
        <v>0</v>
      </c>
      <c r="Y479" s="6">
        <v>43</v>
      </c>
      <c r="Z479">
        <v>4.8000000000000001E-2</v>
      </c>
      <c r="AA479">
        <v>0.13700000000000001</v>
      </c>
      <c r="AB479">
        <v>0.02</v>
      </c>
      <c r="AC479">
        <v>4</v>
      </c>
      <c r="AD479" s="6">
        <v>105</v>
      </c>
      <c r="AE479" s="6">
        <v>0</v>
      </c>
      <c r="AF479" s="6">
        <v>0</v>
      </c>
      <c r="AG479" s="6">
        <v>93.25</v>
      </c>
      <c r="AH479" s="6">
        <v>119.55</v>
      </c>
      <c r="AI479" s="6">
        <f t="shared" si="14"/>
        <v>26.299999999999997</v>
      </c>
      <c r="AJ479" s="5">
        <f t="shared" si="15"/>
        <v>0.21999163529903804</v>
      </c>
    </row>
    <row r="480" spans="1:36">
      <c r="A480" t="s">
        <v>261</v>
      </c>
      <c r="B480" t="s">
        <v>764</v>
      </c>
      <c r="C480" t="s">
        <v>66</v>
      </c>
      <c r="D480" t="s">
        <v>68</v>
      </c>
      <c r="E480" t="s">
        <v>69</v>
      </c>
      <c r="F480">
        <v>0</v>
      </c>
      <c r="G480">
        <v>526</v>
      </c>
      <c r="H480">
        <v>1</v>
      </c>
      <c r="I480" t="s">
        <v>220</v>
      </c>
      <c r="J480">
        <v>2</v>
      </c>
      <c r="K480" s="6">
        <v>4.6100000000000003</v>
      </c>
      <c r="L480" t="s">
        <v>174</v>
      </c>
      <c r="M480">
        <v>0</v>
      </c>
      <c r="N480" t="s">
        <v>182</v>
      </c>
      <c r="O480">
        <v>3</v>
      </c>
      <c r="P480">
        <v>0</v>
      </c>
      <c r="Q480" s="6">
        <v>107.3</v>
      </c>
      <c r="R480">
        <v>1</v>
      </c>
      <c r="S480" s="6">
        <v>3355</v>
      </c>
      <c r="T480">
        <v>0</v>
      </c>
      <c r="U480" s="6">
        <v>5813</v>
      </c>
      <c r="V480">
        <v>0</v>
      </c>
      <c r="W480">
        <v>0</v>
      </c>
      <c r="X480">
        <v>0</v>
      </c>
      <c r="Y480" s="6">
        <v>43</v>
      </c>
      <c r="Z480">
        <v>4.8000000000000001E-2</v>
      </c>
      <c r="AA480">
        <v>0.13700000000000001</v>
      </c>
      <c r="AB480">
        <v>0.02</v>
      </c>
      <c r="AC480">
        <v>4</v>
      </c>
      <c r="AD480" s="6">
        <v>70</v>
      </c>
      <c r="AE480" s="6">
        <v>50</v>
      </c>
      <c r="AF480" s="6">
        <v>0</v>
      </c>
      <c r="AG480" s="6">
        <v>85.2</v>
      </c>
      <c r="AH480" s="6">
        <v>109.61</v>
      </c>
      <c r="AI480" s="6">
        <f t="shared" si="14"/>
        <v>24.409999999999997</v>
      </c>
      <c r="AJ480" s="5">
        <f t="shared" si="15"/>
        <v>0.22269865888148888</v>
      </c>
    </row>
    <row r="481" spans="1:36">
      <c r="A481" t="s">
        <v>765</v>
      </c>
      <c r="B481" t="s">
        <v>766</v>
      </c>
      <c r="C481" t="s">
        <v>66</v>
      </c>
      <c r="D481" t="s">
        <v>68</v>
      </c>
      <c r="E481" t="s">
        <v>69</v>
      </c>
      <c r="F481">
        <v>0</v>
      </c>
      <c r="G481">
        <v>526</v>
      </c>
      <c r="H481">
        <v>1</v>
      </c>
      <c r="I481" t="s">
        <v>220</v>
      </c>
      <c r="J481">
        <v>2</v>
      </c>
      <c r="K481" s="6">
        <v>5.07</v>
      </c>
      <c r="L481" t="s">
        <v>174</v>
      </c>
      <c r="M481">
        <v>0</v>
      </c>
      <c r="N481" t="s">
        <v>187</v>
      </c>
      <c r="O481">
        <v>2</v>
      </c>
      <c r="P481">
        <v>0</v>
      </c>
      <c r="Q481" s="6">
        <v>39.4</v>
      </c>
      <c r="R481">
        <v>1</v>
      </c>
      <c r="S481" s="6">
        <v>3987</v>
      </c>
      <c r="T481">
        <v>0</v>
      </c>
      <c r="U481" s="6">
        <v>5329</v>
      </c>
      <c r="V481">
        <v>0</v>
      </c>
      <c r="W481">
        <v>0</v>
      </c>
      <c r="X481">
        <v>0</v>
      </c>
      <c r="Y481" s="6">
        <v>43</v>
      </c>
      <c r="Z481">
        <v>4.8000000000000001E-2</v>
      </c>
      <c r="AA481">
        <v>0.13700000000000001</v>
      </c>
      <c r="AB481">
        <v>0.02</v>
      </c>
      <c r="AC481">
        <v>4</v>
      </c>
      <c r="AD481" s="6">
        <v>70</v>
      </c>
      <c r="AE481" s="6">
        <v>50</v>
      </c>
      <c r="AF481" s="6">
        <v>0</v>
      </c>
      <c r="AG481" s="6">
        <v>67.38</v>
      </c>
      <c r="AH481" s="6">
        <v>84.47</v>
      </c>
      <c r="AI481" s="6">
        <f t="shared" si="14"/>
        <v>17.090000000000003</v>
      </c>
      <c r="AJ481" s="5">
        <f t="shared" si="15"/>
        <v>0.20232035042026758</v>
      </c>
    </row>
    <row r="482" spans="1:36">
      <c r="A482" t="s">
        <v>303</v>
      </c>
      <c r="B482" t="s">
        <v>767</v>
      </c>
      <c r="C482" t="s">
        <v>66</v>
      </c>
      <c r="D482" t="s">
        <v>68</v>
      </c>
      <c r="E482" t="s">
        <v>69</v>
      </c>
      <c r="F482">
        <v>0</v>
      </c>
      <c r="G482">
        <v>526</v>
      </c>
      <c r="H482">
        <v>1</v>
      </c>
      <c r="I482" t="s">
        <v>178</v>
      </c>
      <c r="J482">
        <v>4</v>
      </c>
      <c r="K482" s="6">
        <v>11.74</v>
      </c>
      <c r="L482" t="s">
        <v>174</v>
      </c>
      <c r="M482">
        <v>0</v>
      </c>
      <c r="N482" t="s">
        <v>187</v>
      </c>
      <c r="O482">
        <v>2</v>
      </c>
      <c r="P482">
        <v>0</v>
      </c>
      <c r="Q482" s="6">
        <v>50.3</v>
      </c>
      <c r="R482">
        <v>0</v>
      </c>
      <c r="S482" s="6">
        <v>0</v>
      </c>
      <c r="T482">
        <v>0</v>
      </c>
      <c r="U482" s="6">
        <v>7112</v>
      </c>
      <c r="V482">
        <v>0</v>
      </c>
      <c r="W482">
        <v>0</v>
      </c>
      <c r="X482">
        <v>0</v>
      </c>
      <c r="Y482" s="6">
        <v>43</v>
      </c>
      <c r="Z482">
        <v>4.8000000000000001E-2</v>
      </c>
      <c r="AA482">
        <v>0.13700000000000001</v>
      </c>
      <c r="AB482">
        <v>0.02</v>
      </c>
      <c r="AC482">
        <v>4</v>
      </c>
      <c r="AD482" s="6">
        <v>125</v>
      </c>
      <c r="AE482" s="6">
        <v>0</v>
      </c>
      <c r="AF482" s="6">
        <v>0</v>
      </c>
      <c r="AG482" s="6">
        <v>127.15</v>
      </c>
      <c r="AH482" s="6">
        <v>160.13</v>
      </c>
      <c r="AI482" s="6">
        <f t="shared" si="14"/>
        <v>32.97999999999999</v>
      </c>
      <c r="AJ482" s="5">
        <f t="shared" si="15"/>
        <v>0.20595765940173602</v>
      </c>
    </row>
    <row r="483" spans="1:36">
      <c r="A483" t="s">
        <v>236</v>
      </c>
      <c r="B483" t="s">
        <v>768</v>
      </c>
      <c r="C483" t="s">
        <v>66</v>
      </c>
      <c r="D483" t="s">
        <v>68</v>
      </c>
      <c r="E483" t="s">
        <v>69</v>
      </c>
      <c r="F483">
        <v>0</v>
      </c>
      <c r="G483">
        <v>526</v>
      </c>
      <c r="H483">
        <v>1</v>
      </c>
      <c r="I483" t="s">
        <v>220</v>
      </c>
      <c r="J483">
        <v>2</v>
      </c>
      <c r="K483" s="6">
        <v>3.94</v>
      </c>
      <c r="L483" t="s">
        <v>174</v>
      </c>
      <c r="M483">
        <v>0</v>
      </c>
      <c r="N483" t="s">
        <v>182</v>
      </c>
      <c r="O483">
        <v>3</v>
      </c>
      <c r="P483">
        <v>1</v>
      </c>
      <c r="Q483" s="6">
        <v>108.7</v>
      </c>
      <c r="R483">
        <v>0</v>
      </c>
      <c r="S483" s="6">
        <v>0</v>
      </c>
      <c r="T483">
        <v>0</v>
      </c>
      <c r="U483" s="6">
        <v>11876</v>
      </c>
      <c r="V483">
        <v>0</v>
      </c>
      <c r="W483">
        <v>0</v>
      </c>
      <c r="X483">
        <v>0</v>
      </c>
      <c r="Y483" s="6">
        <v>43</v>
      </c>
      <c r="Z483">
        <v>4.8000000000000001E-2</v>
      </c>
      <c r="AA483">
        <v>0.13700000000000001</v>
      </c>
      <c r="AB483">
        <v>0.02</v>
      </c>
      <c r="AC483">
        <v>4</v>
      </c>
      <c r="AD483" s="6">
        <v>70</v>
      </c>
      <c r="AE483" s="6">
        <v>0</v>
      </c>
      <c r="AF483" s="6">
        <v>0</v>
      </c>
      <c r="AG483" s="6">
        <v>94.48</v>
      </c>
      <c r="AH483" s="6">
        <v>120.26</v>
      </c>
      <c r="AI483" s="6">
        <f t="shared" si="14"/>
        <v>25.78</v>
      </c>
      <c r="AJ483" s="5">
        <f t="shared" si="15"/>
        <v>0.21436886745385</v>
      </c>
    </row>
    <row r="484" spans="1:36">
      <c r="A484" t="s">
        <v>293</v>
      </c>
      <c r="B484" t="s">
        <v>769</v>
      </c>
      <c r="C484" t="s">
        <v>66</v>
      </c>
      <c r="D484" t="s">
        <v>68</v>
      </c>
      <c r="E484" t="s">
        <v>69</v>
      </c>
      <c r="F484">
        <v>0</v>
      </c>
      <c r="G484">
        <v>526</v>
      </c>
      <c r="H484">
        <v>1</v>
      </c>
      <c r="I484" t="s">
        <v>178</v>
      </c>
      <c r="J484">
        <v>4</v>
      </c>
      <c r="K484" s="6">
        <v>18.29</v>
      </c>
      <c r="L484" t="s">
        <v>174</v>
      </c>
      <c r="M484">
        <v>0</v>
      </c>
      <c r="N484" t="s">
        <v>175</v>
      </c>
      <c r="O484">
        <v>1</v>
      </c>
      <c r="P484">
        <v>0</v>
      </c>
      <c r="Q484" s="6">
        <v>31.8</v>
      </c>
      <c r="R484">
        <v>0</v>
      </c>
      <c r="S484" s="6">
        <v>0</v>
      </c>
      <c r="T484">
        <v>0</v>
      </c>
      <c r="U484" s="6">
        <v>12174</v>
      </c>
      <c r="V484">
        <v>0</v>
      </c>
      <c r="W484">
        <v>0</v>
      </c>
      <c r="X484">
        <v>0</v>
      </c>
      <c r="Y484" s="6">
        <v>43</v>
      </c>
      <c r="Z484">
        <v>4.8000000000000001E-2</v>
      </c>
      <c r="AA484">
        <v>0.13700000000000001</v>
      </c>
      <c r="AB484">
        <v>0.02</v>
      </c>
      <c r="AC484">
        <v>4</v>
      </c>
      <c r="AD484" s="6">
        <v>125</v>
      </c>
      <c r="AE484" s="6">
        <v>0</v>
      </c>
      <c r="AF484" s="6">
        <v>0</v>
      </c>
      <c r="AG484" s="6">
        <v>150.32</v>
      </c>
      <c r="AH484" s="6">
        <v>191.93</v>
      </c>
      <c r="AI484" s="6">
        <f t="shared" si="14"/>
        <v>41.610000000000014</v>
      </c>
      <c r="AJ484" s="5">
        <f t="shared" si="15"/>
        <v>0.21679779086125156</v>
      </c>
    </row>
    <row r="485" spans="1:36">
      <c r="A485" t="s">
        <v>401</v>
      </c>
      <c r="B485" t="s">
        <v>770</v>
      </c>
      <c r="C485" t="s">
        <v>66</v>
      </c>
      <c r="D485" t="s">
        <v>68</v>
      </c>
      <c r="E485" t="s">
        <v>69</v>
      </c>
      <c r="F485">
        <v>0</v>
      </c>
      <c r="G485">
        <v>526</v>
      </c>
      <c r="H485">
        <v>1</v>
      </c>
      <c r="I485" t="s">
        <v>220</v>
      </c>
      <c r="J485">
        <v>2</v>
      </c>
      <c r="K485" s="6">
        <v>4.0999999999999996</v>
      </c>
      <c r="L485" t="s">
        <v>174</v>
      </c>
      <c r="M485">
        <v>0</v>
      </c>
      <c r="N485" t="s">
        <v>182</v>
      </c>
      <c r="O485">
        <v>3</v>
      </c>
      <c r="P485">
        <v>0</v>
      </c>
      <c r="Q485" s="6">
        <v>96.7</v>
      </c>
      <c r="R485">
        <v>1</v>
      </c>
      <c r="S485" s="6">
        <v>1602</v>
      </c>
      <c r="T485">
        <v>0</v>
      </c>
      <c r="U485" s="6">
        <v>9895</v>
      </c>
      <c r="V485">
        <v>0</v>
      </c>
      <c r="W485">
        <v>0</v>
      </c>
      <c r="X485">
        <v>0</v>
      </c>
      <c r="Y485" s="6">
        <v>43</v>
      </c>
      <c r="Z485">
        <v>4.8000000000000001E-2</v>
      </c>
      <c r="AA485">
        <v>0.13700000000000001</v>
      </c>
      <c r="AB485">
        <v>0.02</v>
      </c>
      <c r="AC485">
        <v>4</v>
      </c>
      <c r="AD485" s="6">
        <v>70</v>
      </c>
      <c r="AE485" s="6">
        <v>25</v>
      </c>
      <c r="AF485" s="6">
        <v>0</v>
      </c>
      <c r="AG485" s="6">
        <v>81.760000000000005</v>
      </c>
      <c r="AH485" s="6">
        <v>103.41</v>
      </c>
      <c r="AI485" s="6">
        <f t="shared" si="14"/>
        <v>21.649999999999991</v>
      </c>
      <c r="AJ485" s="5">
        <f t="shared" si="15"/>
        <v>0.20936079682815967</v>
      </c>
    </row>
    <row r="486" spans="1:36">
      <c r="A486" t="s">
        <v>188</v>
      </c>
      <c r="B486" t="s">
        <v>771</v>
      </c>
      <c r="C486" t="s">
        <v>66</v>
      </c>
      <c r="D486" t="s">
        <v>68</v>
      </c>
      <c r="E486" t="s">
        <v>69</v>
      </c>
      <c r="F486">
        <v>0</v>
      </c>
      <c r="G486">
        <v>526</v>
      </c>
      <c r="H486">
        <v>1</v>
      </c>
      <c r="I486" t="s">
        <v>220</v>
      </c>
      <c r="J486">
        <v>2</v>
      </c>
      <c r="K486" s="6">
        <v>5.78</v>
      </c>
      <c r="L486" t="s">
        <v>174</v>
      </c>
      <c r="M486">
        <v>0</v>
      </c>
      <c r="N486" t="s">
        <v>272</v>
      </c>
      <c r="O486">
        <v>5</v>
      </c>
      <c r="P486">
        <v>1</v>
      </c>
      <c r="Q486" s="6">
        <v>192.7</v>
      </c>
      <c r="R486">
        <v>0</v>
      </c>
      <c r="S486" s="6">
        <v>0</v>
      </c>
      <c r="T486">
        <v>0</v>
      </c>
      <c r="U486" s="6">
        <v>3360</v>
      </c>
      <c r="V486">
        <v>0</v>
      </c>
      <c r="W486">
        <v>0</v>
      </c>
      <c r="X486">
        <v>0</v>
      </c>
      <c r="Y486" s="6">
        <v>43</v>
      </c>
      <c r="Z486">
        <v>4.8000000000000001E-2</v>
      </c>
      <c r="AA486">
        <v>0.13700000000000001</v>
      </c>
      <c r="AB486">
        <v>0.02</v>
      </c>
      <c r="AC486">
        <v>4</v>
      </c>
      <c r="AD486" s="6">
        <v>155</v>
      </c>
      <c r="AE486" s="6">
        <v>0</v>
      </c>
      <c r="AF486" s="6">
        <v>0</v>
      </c>
      <c r="AG486" s="6">
        <v>165.83</v>
      </c>
      <c r="AH486" s="6">
        <v>207.7</v>
      </c>
      <c r="AI486" s="6">
        <f t="shared" si="14"/>
        <v>41.869999999999976</v>
      </c>
      <c r="AJ486" s="5">
        <f t="shared" si="15"/>
        <v>0.20158883004333161</v>
      </c>
    </row>
    <row r="487" spans="1:36">
      <c r="A487" t="s">
        <v>323</v>
      </c>
      <c r="B487" t="s">
        <v>772</v>
      </c>
      <c r="C487" t="s">
        <v>66</v>
      </c>
      <c r="D487" t="s">
        <v>68</v>
      </c>
      <c r="E487" t="s">
        <v>69</v>
      </c>
      <c r="F487">
        <v>0</v>
      </c>
      <c r="G487">
        <v>526</v>
      </c>
      <c r="H487">
        <v>1</v>
      </c>
      <c r="I487" t="s">
        <v>220</v>
      </c>
      <c r="J487">
        <v>2</v>
      </c>
      <c r="K487" s="6">
        <v>3.32</v>
      </c>
      <c r="L487" t="s">
        <v>174</v>
      </c>
      <c r="M487">
        <v>0</v>
      </c>
      <c r="N487" t="s">
        <v>175</v>
      </c>
      <c r="O487">
        <v>1</v>
      </c>
      <c r="P487">
        <v>1</v>
      </c>
      <c r="Q487" s="6">
        <v>34.200000000000003</v>
      </c>
      <c r="R487">
        <v>1</v>
      </c>
      <c r="S487" s="6">
        <v>1747</v>
      </c>
      <c r="T487">
        <v>0</v>
      </c>
      <c r="U487" s="6">
        <v>4078</v>
      </c>
      <c r="V487">
        <v>0</v>
      </c>
      <c r="W487">
        <v>0</v>
      </c>
      <c r="X487">
        <v>0</v>
      </c>
      <c r="Y487" s="6">
        <v>43</v>
      </c>
      <c r="Z487">
        <v>4.8000000000000001E-2</v>
      </c>
      <c r="AA487">
        <v>0.13700000000000001</v>
      </c>
      <c r="AB487">
        <v>0.02</v>
      </c>
      <c r="AC487">
        <v>4</v>
      </c>
      <c r="AD487" s="6">
        <v>70</v>
      </c>
      <c r="AE487" s="6">
        <v>25</v>
      </c>
      <c r="AF487" s="6">
        <v>0</v>
      </c>
      <c r="AG487" s="6">
        <v>100.89</v>
      </c>
      <c r="AH487" s="6">
        <v>128.19</v>
      </c>
      <c r="AI487" s="6">
        <f t="shared" si="14"/>
        <v>27.299999999999997</v>
      </c>
      <c r="AJ487" s="5">
        <f t="shared" si="15"/>
        <v>0.21296512988532645</v>
      </c>
    </row>
    <row r="488" spans="1:36">
      <c r="A488" t="s">
        <v>431</v>
      </c>
      <c r="B488" t="s">
        <v>773</v>
      </c>
      <c r="C488" t="s">
        <v>66</v>
      </c>
      <c r="D488" t="s">
        <v>68</v>
      </c>
      <c r="E488" t="s">
        <v>69</v>
      </c>
      <c r="F488">
        <v>0</v>
      </c>
      <c r="G488">
        <v>526</v>
      </c>
      <c r="H488">
        <v>1</v>
      </c>
      <c r="I488" t="s">
        <v>220</v>
      </c>
      <c r="J488">
        <v>2</v>
      </c>
      <c r="K488" s="6">
        <v>3.8</v>
      </c>
      <c r="L488" t="s">
        <v>174</v>
      </c>
      <c r="M488">
        <v>0</v>
      </c>
      <c r="N488" t="s">
        <v>182</v>
      </c>
      <c r="O488">
        <v>3</v>
      </c>
      <c r="P488">
        <v>0</v>
      </c>
      <c r="Q488" s="6">
        <v>98</v>
      </c>
      <c r="R488">
        <v>0</v>
      </c>
      <c r="S488" s="6">
        <v>0</v>
      </c>
      <c r="T488">
        <v>0</v>
      </c>
      <c r="U488" s="6">
        <v>5791</v>
      </c>
      <c r="V488">
        <v>0</v>
      </c>
      <c r="W488">
        <v>0</v>
      </c>
      <c r="X488">
        <v>0</v>
      </c>
      <c r="Y488" s="6">
        <v>43</v>
      </c>
      <c r="Z488">
        <v>4.8000000000000001E-2</v>
      </c>
      <c r="AA488">
        <v>0.13700000000000001</v>
      </c>
      <c r="AB488">
        <v>0.02</v>
      </c>
      <c r="AC488">
        <v>4</v>
      </c>
      <c r="AD488" s="6">
        <v>70</v>
      </c>
      <c r="AE488" s="6">
        <v>0</v>
      </c>
      <c r="AF488" s="6">
        <v>0</v>
      </c>
      <c r="AG488" s="6">
        <v>73.31</v>
      </c>
      <c r="AH488" s="6">
        <v>95.42</v>
      </c>
      <c r="AI488" s="6">
        <f t="shared" si="14"/>
        <v>22.11</v>
      </c>
      <c r="AJ488" s="5">
        <f t="shared" si="15"/>
        <v>0.23171242926011318</v>
      </c>
    </row>
    <row r="489" spans="1:36">
      <c r="A489" t="s">
        <v>517</v>
      </c>
      <c r="B489" t="s">
        <v>774</v>
      </c>
      <c r="C489" t="s">
        <v>66</v>
      </c>
      <c r="D489" t="s">
        <v>68</v>
      </c>
      <c r="E489" t="s">
        <v>69</v>
      </c>
      <c r="F489">
        <v>0</v>
      </c>
      <c r="G489">
        <v>526</v>
      </c>
      <c r="H489">
        <v>1</v>
      </c>
      <c r="I489" t="s">
        <v>178</v>
      </c>
      <c r="J489">
        <v>4</v>
      </c>
      <c r="K489" s="6">
        <v>14.65</v>
      </c>
      <c r="L489" t="s">
        <v>174</v>
      </c>
      <c r="M489">
        <v>0</v>
      </c>
      <c r="N489" t="s">
        <v>182</v>
      </c>
      <c r="O489">
        <v>3</v>
      </c>
      <c r="P489">
        <v>0</v>
      </c>
      <c r="Q489" s="6">
        <v>55.7</v>
      </c>
      <c r="R489">
        <v>0</v>
      </c>
      <c r="S489" s="6">
        <v>0</v>
      </c>
      <c r="T489">
        <v>0</v>
      </c>
      <c r="U489" s="6">
        <v>4430</v>
      </c>
      <c r="V489">
        <v>0</v>
      </c>
      <c r="W489">
        <v>0</v>
      </c>
      <c r="X489">
        <v>0</v>
      </c>
      <c r="Y489" s="6">
        <v>43</v>
      </c>
      <c r="Z489">
        <v>4.8000000000000001E-2</v>
      </c>
      <c r="AA489">
        <v>0.13700000000000001</v>
      </c>
      <c r="AB489">
        <v>0.02</v>
      </c>
      <c r="AC489">
        <v>4</v>
      </c>
      <c r="AD489" s="6">
        <v>125</v>
      </c>
      <c r="AE489" s="6">
        <v>0</v>
      </c>
      <c r="AF489" s="6">
        <v>0</v>
      </c>
      <c r="AG489" s="6">
        <v>145.66</v>
      </c>
      <c r="AH489" s="6">
        <v>186.51</v>
      </c>
      <c r="AI489" s="6">
        <f t="shared" si="14"/>
        <v>40.849999999999994</v>
      </c>
      <c r="AJ489" s="5">
        <f t="shared" si="15"/>
        <v>0.21902310868049968</v>
      </c>
    </row>
    <row r="490" spans="1:36">
      <c r="A490" t="s">
        <v>238</v>
      </c>
      <c r="B490" t="s">
        <v>775</v>
      </c>
      <c r="C490" t="s">
        <v>66</v>
      </c>
      <c r="D490" t="s">
        <v>68</v>
      </c>
      <c r="E490" t="s">
        <v>69</v>
      </c>
      <c r="F490">
        <v>0</v>
      </c>
      <c r="G490">
        <v>526</v>
      </c>
      <c r="H490">
        <v>1</v>
      </c>
      <c r="I490" t="s">
        <v>220</v>
      </c>
      <c r="J490">
        <v>2</v>
      </c>
      <c r="K490" s="6">
        <v>3.35</v>
      </c>
      <c r="L490" t="s">
        <v>174</v>
      </c>
      <c r="M490">
        <v>0</v>
      </c>
      <c r="N490" t="s">
        <v>175</v>
      </c>
      <c r="O490">
        <v>1</v>
      </c>
      <c r="P490">
        <v>0</v>
      </c>
      <c r="Q490" s="6">
        <v>23.8</v>
      </c>
      <c r="R490">
        <v>0</v>
      </c>
      <c r="S490" s="6">
        <v>0</v>
      </c>
      <c r="T490">
        <v>0</v>
      </c>
      <c r="U490" s="6">
        <v>4258</v>
      </c>
      <c r="V490">
        <v>0</v>
      </c>
      <c r="W490">
        <v>0</v>
      </c>
      <c r="X490">
        <v>0</v>
      </c>
      <c r="Y490" s="6">
        <v>43</v>
      </c>
      <c r="Z490">
        <v>4.8000000000000001E-2</v>
      </c>
      <c r="AA490">
        <v>0.13700000000000001</v>
      </c>
      <c r="AB490">
        <v>0.02</v>
      </c>
      <c r="AC490">
        <v>4</v>
      </c>
      <c r="AD490" s="6">
        <v>70</v>
      </c>
      <c r="AE490" s="6">
        <v>0</v>
      </c>
      <c r="AF490" s="6">
        <v>0</v>
      </c>
      <c r="AG490" s="6">
        <v>64.08</v>
      </c>
      <c r="AH490" s="6">
        <v>82.94</v>
      </c>
      <c r="AI490" s="6">
        <f t="shared" si="14"/>
        <v>18.86</v>
      </c>
      <c r="AJ490" s="5">
        <f t="shared" si="15"/>
        <v>0.22739329635881361</v>
      </c>
    </row>
    <row r="491" spans="1:36">
      <c r="A491" t="s">
        <v>210</v>
      </c>
      <c r="B491" t="s">
        <v>776</v>
      </c>
      <c r="C491" t="s">
        <v>66</v>
      </c>
      <c r="D491" t="s">
        <v>68</v>
      </c>
      <c r="E491" t="s">
        <v>69</v>
      </c>
      <c r="F491">
        <v>0</v>
      </c>
      <c r="G491">
        <v>526</v>
      </c>
      <c r="H491">
        <v>1</v>
      </c>
      <c r="I491" t="s">
        <v>181</v>
      </c>
      <c r="J491">
        <v>3</v>
      </c>
      <c r="K491" s="6">
        <v>9.1999999999999993</v>
      </c>
      <c r="L491" t="s">
        <v>174</v>
      </c>
      <c r="M491">
        <v>0</v>
      </c>
      <c r="N491" t="s">
        <v>187</v>
      </c>
      <c r="O491">
        <v>2</v>
      </c>
      <c r="P491">
        <v>0</v>
      </c>
      <c r="Q491" s="6">
        <v>50.9</v>
      </c>
      <c r="R491">
        <v>0</v>
      </c>
      <c r="S491" s="6">
        <v>0</v>
      </c>
      <c r="T491">
        <v>0</v>
      </c>
      <c r="U491" s="6">
        <v>3968</v>
      </c>
      <c r="V491">
        <v>0</v>
      </c>
      <c r="W491">
        <v>0</v>
      </c>
      <c r="X491">
        <v>0</v>
      </c>
      <c r="Y491" s="6">
        <v>43</v>
      </c>
      <c r="Z491">
        <v>4.8000000000000001E-2</v>
      </c>
      <c r="AA491">
        <v>0.13700000000000001</v>
      </c>
      <c r="AB491">
        <v>0.02</v>
      </c>
      <c r="AC491">
        <v>4</v>
      </c>
      <c r="AD491" s="6">
        <v>105</v>
      </c>
      <c r="AE491" s="6">
        <v>0</v>
      </c>
      <c r="AF491" s="6">
        <v>0</v>
      </c>
      <c r="AG491" s="6">
        <v>107.09</v>
      </c>
      <c r="AH491" s="6">
        <v>135.63</v>
      </c>
      <c r="AI491" s="6">
        <f t="shared" si="14"/>
        <v>28.539999999999992</v>
      </c>
      <c r="AJ491" s="5">
        <f t="shared" si="15"/>
        <v>0.21042542210425416</v>
      </c>
    </row>
    <row r="492" spans="1:36">
      <c r="A492" t="s">
        <v>436</v>
      </c>
      <c r="B492" t="s">
        <v>777</v>
      </c>
      <c r="C492" t="s">
        <v>66</v>
      </c>
      <c r="D492" t="s">
        <v>68</v>
      </c>
      <c r="E492" t="s">
        <v>69</v>
      </c>
      <c r="F492">
        <v>0</v>
      </c>
      <c r="G492">
        <v>526</v>
      </c>
      <c r="H492">
        <v>1</v>
      </c>
      <c r="I492" t="s">
        <v>220</v>
      </c>
      <c r="J492">
        <v>2</v>
      </c>
      <c r="K492" s="6">
        <v>6.7</v>
      </c>
      <c r="L492" t="s">
        <v>174</v>
      </c>
      <c r="M492">
        <v>0</v>
      </c>
      <c r="N492" t="s">
        <v>182</v>
      </c>
      <c r="O492">
        <v>3</v>
      </c>
      <c r="P492">
        <v>0</v>
      </c>
      <c r="Q492" s="6">
        <v>95.4</v>
      </c>
      <c r="R492">
        <v>0</v>
      </c>
      <c r="S492" s="6">
        <v>0</v>
      </c>
      <c r="T492">
        <v>0</v>
      </c>
      <c r="U492" s="6">
        <v>3053</v>
      </c>
      <c r="V492">
        <v>0</v>
      </c>
      <c r="W492">
        <v>0</v>
      </c>
      <c r="X492">
        <v>0</v>
      </c>
      <c r="Y492" s="6">
        <v>43</v>
      </c>
      <c r="Z492">
        <v>4.8000000000000001E-2</v>
      </c>
      <c r="AA492">
        <v>0.13700000000000001</v>
      </c>
      <c r="AB492">
        <v>0.02</v>
      </c>
      <c r="AC492">
        <v>4</v>
      </c>
      <c r="AD492" s="6">
        <v>70</v>
      </c>
      <c r="AE492" s="6">
        <v>0</v>
      </c>
      <c r="AF492" s="6">
        <v>0</v>
      </c>
      <c r="AG492" s="6">
        <v>77.87</v>
      </c>
      <c r="AH492" s="6">
        <v>100.82</v>
      </c>
      <c r="AI492" s="6">
        <f t="shared" si="14"/>
        <v>22.949999999999989</v>
      </c>
      <c r="AJ492" s="5">
        <f t="shared" si="15"/>
        <v>0.22763340607022406</v>
      </c>
    </row>
    <row r="493" spans="1:36">
      <c r="A493" t="s">
        <v>171</v>
      </c>
      <c r="B493" t="s">
        <v>778</v>
      </c>
      <c r="C493" t="s">
        <v>66</v>
      </c>
      <c r="D493" t="s">
        <v>68</v>
      </c>
      <c r="E493" t="s">
        <v>69</v>
      </c>
      <c r="F493">
        <v>0</v>
      </c>
      <c r="G493">
        <v>526</v>
      </c>
      <c r="H493">
        <v>1</v>
      </c>
      <c r="I493" t="s">
        <v>178</v>
      </c>
      <c r="J493">
        <v>4</v>
      </c>
      <c r="K493" s="6">
        <v>11.5</v>
      </c>
      <c r="L493" t="s">
        <v>174</v>
      </c>
      <c r="M493">
        <v>0</v>
      </c>
      <c r="N493" t="s">
        <v>175</v>
      </c>
      <c r="O493">
        <v>1</v>
      </c>
      <c r="P493">
        <v>0</v>
      </c>
      <c r="Q493" s="6">
        <v>33.200000000000003</v>
      </c>
      <c r="R493">
        <v>0</v>
      </c>
      <c r="S493" s="6">
        <v>0</v>
      </c>
      <c r="T493">
        <v>0</v>
      </c>
      <c r="U493" s="6">
        <v>6778</v>
      </c>
      <c r="V493">
        <v>0</v>
      </c>
      <c r="W493">
        <v>0</v>
      </c>
      <c r="X493">
        <v>0</v>
      </c>
      <c r="Y493" s="6">
        <v>43</v>
      </c>
      <c r="Z493">
        <v>4.8000000000000001E-2</v>
      </c>
      <c r="AA493">
        <v>0.13700000000000001</v>
      </c>
      <c r="AB493">
        <v>0.02</v>
      </c>
      <c r="AC493">
        <v>4</v>
      </c>
      <c r="AD493" s="6">
        <v>125</v>
      </c>
      <c r="AE493" s="6">
        <v>0</v>
      </c>
      <c r="AF493" s="6">
        <v>0</v>
      </c>
      <c r="AG493" s="6">
        <v>124.48</v>
      </c>
      <c r="AH493" s="6">
        <v>156.46</v>
      </c>
      <c r="AI493" s="6">
        <f t="shared" si="14"/>
        <v>31.980000000000004</v>
      </c>
      <c r="AJ493" s="5">
        <f t="shared" si="15"/>
        <v>0.20439729004218332</v>
      </c>
    </row>
    <row r="494" spans="1:36">
      <c r="A494" t="s">
        <v>406</v>
      </c>
      <c r="B494" t="s">
        <v>779</v>
      </c>
      <c r="C494" t="s">
        <v>66</v>
      </c>
      <c r="D494" t="s">
        <v>68</v>
      </c>
      <c r="E494" t="s">
        <v>69</v>
      </c>
      <c r="F494">
        <v>0</v>
      </c>
      <c r="G494">
        <v>526</v>
      </c>
      <c r="H494">
        <v>1</v>
      </c>
      <c r="I494" t="s">
        <v>181</v>
      </c>
      <c r="J494">
        <v>3</v>
      </c>
      <c r="K494" s="6">
        <v>8.48</v>
      </c>
      <c r="L494" t="s">
        <v>174</v>
      </c>
      <c r="M494">
        <v>0</v>
      </c>
      <c r="N494" t="s">
        <v>175</v>
      </c>
      <c r="O494">
        <v>1</v>
      </c>
      <c r="P494">
        <v>0</v>
      </c>
      <c r="Q494" s="6">
        <v>24.9</v>
      </c>
      <c r="R494">
        <v>0</v>
      </c>
      <c r="S494" s="6">
        <v>0</v>
      </c>
      <c r="T494">
        <v>0</v>
      </c>
      <c r="U494" s="6">
        <v>6042</v>
      </c>
      <c r="V494">
        <v>0</v>
      </c>
      <c r="W494">
        <v>0</v>
      </c>
      <c r="X494">
        <v>0</v>
      </c>
      <c r="Y494" s="6">
        <v>43</v>
      </c>
      <c r="Z494">
        <v>4.8000000000000001E-2</v>
      </c>
      <c r="AA494">
        <v>0.13700000000000001</v>
      </c>
      <c r="AB494">
        <v>0.02</v>
      </c>
      <c r="AC494">
        <v>4</v>
      </c>
      <c r="AD494" s="6">
        <v>105</v>
      </c>
      <c r="AE494" s="6">
        <v>0</v>
      </c>
      <c r="AF494" s="6">
        <v>0</v>
      </c>
      <c r="AG494" s="6">
        <v>99.06</v>
      </c>
      <c r="AH494" s="6">
        <v>128.79</v>
      </c>
      <c r="AI494" s="6">
        <f t="shared" si="14"/>
        <v>29.72999999999999</v>
      </c>
      <c r="AJ494" s="5">
        <f t="shared" si="15"/>
        <v>0.23084090379687858</v>
      </c>
    </row>
    <row r="495" spans="1:36">
      <c r="A495" t="s">
        <v>274</v>
      </c>
      <c r="B495" t="s">
        <v>780</v>
      </c>
      <c r="C495" t="s">
        <v>66</v>
      </c>
      <c r="D495" t="s">
        <v>68</v>
      </c>
      <c r="E495" t="s">
        <v>69</v>
      </c>
      <c r="F495">
        <v>0</v>
      </c>
      <c r="G495">
        <v>526</v>
      </c>
      <c r="H495">
        <v>1</v>
      </c>
      <c r="I495" t="s">
        <v>178</v>
      </c>
      <c r="J495">
        <v>4</v>
      </c>
      <c r="K495" s="6">
        <v>14.12</v>
      </c>
      <c r="L495" t="s">
        <v>174</v>
      </c>
      <c r="M495">
        <v>0</v>
      </c>
      <c r="N495" t="s">
        <v>182</v>
      </c>
      <c r="O495">
        <v>3</v>
      </c>
      <c r="P495">
        <v>0</v>
      </c>
      <c r="Q495" s="6">
        <v>61.6</v>
      </c>
      <c r="R495">
        <v>0</v>
      </c>
      <c r="S495" s="6">
        <v>0</v>
      </c>
      <c r="T495">
        <v>0</v>
      </c>
      <c r="U495" s="6">
        <v>2691</v>
      </c>
      <c r="V495">
        <v>0</v>
      </c>
      <c r="W495">
        <v>0</v>
      </c>
      <c r="X495">
        <v>0</v>
      </c>
      <c r="Y495" s="6">
        <v>43</v>
      </c>
      <c r="Z495">
        <v>4.8000000000000001E-2</v>
      </c>
      <c r="AA495">
        <v>0.13700000000000001</v>
      </c>
      <c r="AB495">
        <v>0.02</v>
      </c>
      <c r="AC495">
        <v>4</v>
      </c>
      <c r="AD495" s="6">
        <v>125</v>
      </c>
      <c r="AE495" s="6">
        <v>0</v>
      </c>
      <c r="AF495" s="6">
        <v>0</v>
      </c>
      <c r="AG495" s="6">
        <v>147.11000000000001</v>
      </c>
      <c r="AH495" s="6">
        <v>187.2</v>
      </c>
      <c r="AI495" s="6">
        <f t="shared" si="14"/>
        <v>40.089999999999975</v>
      </c>
      <c r="AJ495" s="5">
        <f t="shared" si="15"/>
        <v>0.21415598290598278</v>
      </c>
    </row>
    <row r="496" spans="1:36">
      <c r="A496" t="s">
        <v>517</v>
      </c>
      <c r="B496" t="s">
        <v>781</v>
      </c>
      <c r="C496" t="s">
        <v>66</v>
      </c>
      <c r="D496" t="s">
        <v>68</v>
      </c>
      <c r="E496" t="s">
        <v>69</v>
      </c>
      <c r="F496">
        <v>0</v>
      </c>
      <c r="G496">
        <v>526</v>
      </c>
      <c r="H496">
        <v>1</v>
      </c>
      <c r="I496" t="s">
        <v>173</v>
      </c>
      <c r="J496">
        <v>1</v>
      </c>
      <c r="K496" s="6">
        <v>1.46</v>
      </c>
      <c r="L496" t="s">
        <v>174</v>
      </c>
      <c r="M496">
        <v>0</v>
      </c>
      <c r="N496" t="s">
        <v>182</v>
      </c>
      <c r="O496">
        <v>3</v>
      </c>
      <c r="P496">
        <v>1</v>
      </c>
      <c r="Q496" s="6">
        <v>79.2</v>
      </c>
      <c r="R496">
        <v>0</v>
      </c>
      <c r="S496" s="6">
        <v>0</v>
      </c>
      <c r="T496">
        <v>0</v>
      </c>
      <c r="U496" s="6">
        <v>2898</v>
      </c>
      <c r="V496">
        <v>0</v>
      </c>
      <c r="W496">
        <v>0</v>
      </c>
      <c r="X496">
        <v>0</v>
      </c>
      <c r="Y496" s="6">
        <v>43</v>
      </c>
      <c r="Z496">
        <v>4.8000000000000001E-2</v>
      </c>
      <c r="AA496">
        <v>0.13700000000000001</v>
      </c>
      <c r="AB496">
        <v>0.02</v>
      </c>
      <c r="AC496">
        <v>4</v>
      </c>
      <c r="AD496" s="6">
        <v>65</v>
      </c>
      <c r="AE496" s="6">
        <v>0</v>
      </c>
      <c r="AF496" s="6">
        <v>0</v>
      </c>
      <c r="AG496" s="6">
        <v>97.6</v>
      </c>
      <c r="AH496" s="6">
        <v>126.09</v>
      </c>
      <c r="AI496" s="6">
        <f t="shared" si="14"/>
        <v>28.490000000000009</v>
      </c>
      <c r="AJ496" s="5">
        <f t="shared" si="15"/>
        <v>0.22594971845507184</v>
      </c>
    </row>
    <row r="497" spans="1:36">
      <c r="A497" t="s">
        <v>236</v>
      </c>
      <c r="B497" t="s">
        <v>782</v>
      </c>
      <c r="C497" t="s">
        <v>66</v>
      </c>
      <c r="D497" t="s">
        <v>68</v>
      </c>
      <c r="E497" t="s">
        <v>69</v>
      </c>
      <c r="F497">
        <v>0</v>
      </c>
      <c r="G497">
        <v>526</v>
      </c>
      <c r="H497">
        <v>1</v>
      </c>
      <c r="I497" t="s">
        <v>220</v>
      </c>
      <c r="J497">
        <v>2</v>
      </c>
      <c r="K497" s="6">
        <v>3.67</v>
      </c>
      <c r="L497" t="s">
        <v>174</v>
      </c>
      <c r="M497">
        <v>0</v>
      </c>
      <c r="N497" t="s">
        <v>182</v>
      </c>
      <c r="O497">
        <v>3</v>
      </c>
      <c r="P497">
        <v>0</v>
      </c>
      <c r="Q497" s="6">
        <v>106.6</v>
      </c>
      <c r="R497">
        <v>1</v>
      </c>
      <c r="S497" s="6">
        <v>2818</v>
      </c>
      <c r="T497">
        <v>0</v>
      </c>
      <c r="U497" s="6">
        <v>3632</v>
      </c>
      <c r="V497">
        <v>0</v>
      </c>
      <c r="W497">
        <v>0</v>
      </c>
      <c r="X497">
        <v>0</v>
      </c>
      <c r="Y497" s="6">
        <v>43</v>
      </c>
      <c r="Z497">
        <v>4.8000000000000001E-2</v>
      </c>
      <c r="AA497">
        <v>0.13700000000000001</v>
      </c>
      <c r="AB497">
        <v>0.02</v>
      </c>
      <c r="AC497">
        <v>4</v>
      </c>
      <c r="AD497" s="6">
        <v>70</v>
      </c>
      <c r="AE497" s="6">
        <v>50</v>
      </c>
      <c r="AF497" s="6">
        <v>0</v>
      </c>
      <c r="AG497" s="6">
        <v>83.04</v>
      </c>
      <c r="AH497" s="6">
        <v>108.36</v>
      </c>
      <c r="AI497" s="6">
        <f t="shared" si="14"/>
        <v>25.319999999999993</v>
      </c>
      <c r="AJ497" s="5">
        <f t="shared" si="15"/>
        <v>0.23366555924695454</v>
      </c>
    </row>
    <row r="498" spans="1:36">
      <c r="A498" t="s">
        <v>300</v>
      </c>
      <c r="B498" t="s">
        <v>783</v>
      </c>
      <c r="C498" t="s">
        <v>66</v>
      </c>
      <c r="D498" t="s">
        <v>68</v>
      </c>
      <c r="E498" t="s">
        <v>69</v>
      </c>
      <c r="F498">
        <v>0</v>
      </c>
      <c r="G498">
        <v>526</v>
      </c>
      <c r="H498">
        <v>1</v>
      </c>
      <c r="I498" t="s">
        <v>220</v>
      </c>
      <c r="J498">
        <v>2</v>
      </c>
      <c r="K498" s="6">
        <v>2.92</v>
      </c>
      <c r="L498" t="s">
        <v>174</v>
      </c>
      <c r="M498">
        <v>0</v>
      </c>
      <c r="N498" t="s">
        <v>187</v>
      </c>
      <c r="O498">
        <v>2</v>
      </c>
      <c r="P498">
        <v>0</v>
      </c>
      <c r="Q498" s="6">
        <v>60</v>
      </c>
      <c r="R498">
        <v>0</v>
      </c>
      <c r="S498" s="6">
        <v>0</v>
      </c>
      <c r="T498">
        <v>0</v>
      </c>
      <c r="U498" s="6">
        <v>10777</v>
      </c>
      <c r="V498">
        <v>0</v>
      </c>
      <c r="W498">
        <v>0</v>
      </c>
      <c r="X498">
        <v>0</v>
      </c>
      <c r="Y498" s="6">
        <v>43</v>
      </c>
      <c r="Z498">
        <v>4.8000000000000001E-2</v>
      </c>
      <c r="AA498">
        <v>0.13700000000000001</v>
      </c>
      <c r="AB498">
        <v>0.02</v>
      </c>
      <c r="AC498">
        <v>4</v>
      </c>
      <c r="AD498" s="6">
        <v>70</v>
      </c>
      <c r="AE498" s="6">
        <v>0</v>
      </c>
      <c r="AF498" s="6">
        <v>0</v>
      </c>
      <c r="AG498" s="6">
        <v>68.319999999999993</v>
      </c>
      <c r="AH498" s="6">
        <v>88.18</v>
      </c>
      <c r="AI498" s="6">
        <f t="shared" si="14"/>
        <v>19.860000000000014</v>
      </c>
      <c r="AJ498" s="5">
        <f t="shared" si="15"/>
        <v>0.22522113858017706</v>
      </c>
    </row>
    <row r="499" spans="1:36">
      <c r="A499" t="s">
        <v>562</v>
      </c>
      <c r="B499" t="s">
        <v>784</v>
      </c>
      <c r="C499" t="s">
        <v>66</v>
      </c>
      <c r="D499" t="s">
        <v>68</v>
      </c>
      <c r="E499" t="s">
        <v>69</v>
      </c>
      <c r="F499">
        <v>0</v>
      </c>
      <c r="G499">
        <v>526</v>
      </c>
      <c r="H499">
        <v>1</v>
      </c>
      <c r="I499" t="s">
        <v>178</v>
      </c>
      <c r="J499">
        <v>4</v>
      </c>
      <c r="K499" s="6">
        <v>14.24</v>
      </c>
      <c r="L499" t="s">
        <v>174</v>
      </c>
      <c r="M499">
        <v>0</v>
      </c>
      <c r="N499" t="s">
        <v>187</v>
      </c>
      <c r="O499">
        <v>2</v>
      </c>
      <c r="P499">
        <v>0</v>
      </c>
      <c r="Q499" s="6">
        <v>55.2</v>
      </c>
      <c r="R499">
        <v>0</v>
      </c>
      <c r="S499" s="6">
        <v>0</v>
      </c>
      <c r="T499">
        <v>0</v>
      </c>
      <c r="U499" s="6">
        <v>8614</v>
      </c>
      <c r="V499">
        <v>0</v>
      </c>
      <c r="W499">
        <v>0</v>
      </c>
      <c r="X499">
        <v>0</v>
      </c>
      <c r="Y499" s="6">
        <v>43</v>
      </c>
      <c r="Z499">
        <v>4.8000000000000001E-2</v>
      </c>
      <c r="AA499">
        <v>0.13700000000000001</v>
      </c>
      <c r="AB499">
        <v>0.02</v>
      </c>
      <c r="AC499">
        <v>4</v>
      </c>
      <c r="AD499" s="6">
        <v>125</v>
      </c>
      <c r="AE499" s="6">
        <v>0</v>
      </c>
      <c r="AF499" s="6">
        <v>0</v>
      </c>
      <c r="AG499" s="6">
        <v>128.63</v>
      </c>
      <c r="AH499" s="6">
        <v>163.81</v>
      </c>
      <c r="AI499" s="6">
        <f t="shared" si="14"/>
        <v>35.180000000000007</v>
      </c>
      <c r="AJ499" s="5">
        <f t="shared" si="15"/>
        <v>0.21476100360173375</v>
      </c>
    </row>
    <row r="500" spans="1:36">
      <c r="A500" t="s">
        <v>221</v>
      </c>
      <c r="B500" t="s">
        <v>785</v>
      </c>
      <c r="C500" t="s">
        <v>66</v>
      </c>
      <c r="D500" t="s">
        <v>68</v>
      </c>
      <c r="E500" t="s">
        <v>69</v>
      </c>
      <c r="F500">
        <v>0</v>
      </c>
      <c r="G500">
        <v>526</v>
      </c>
      <c r="H500">
        <v>1</v>
      </c>
      <c r="I500" t="s">
        <v>220</v>
      </c>
      <c r="J500">
        <v>2</v>
      </c>
      <c r="K500" s="6">
        <v>3.44</v>
      </c>
      <c r="L500" t="s">
        <v>200</v>
      </c>
      <c r="M500">
        <v>1</v>
      </c>
      <c r="N500" t="s">
        <v>182</v>
      </c>
      <c r="O500">
        <v>3</v>
      </c>
      <c r="P500">
        <v>0</v>
      </c>
      <c r="Q500" s="6">
        <v>105.9</v>
      </c>
      <c r="R500">
        <v>0</v>
      </c>
      <c r="S500" s="6">
        <v>0</v>
      </c>
      <c r="T500">
        <v>0</v>
      </c>
      <c r="U500" s="6">
        <v>4535</v>
      </c>
      <c r="V500">
        <v>0</v>
      </c>
      <c r="W500">
        <v>0</v>
      </c>
      <c r="X500">
        <v>0</v>
      </c>
      <c r="Y500" s="6">
        <v>43</v>
      </c>
      <c r="Z500">
        <v>4.8000000000000001E-2</v>
      </c>
      <c r="AA500">
        <v>0.13700000000000001</v>
      </c>
      <c r="AB500">
        <v>0.02</v>
      </c>
      <c r="AC500">
        <v>4</v>
      </c>
      <c r="AD500" s="6">
        <v>160</v>
      </c>
      <c r="AE500" s="6">
        <v>0</v>
      </c>
      <c r="AF500" s="6">
        <v>0</v>
      </c>
      <c r="AG500" s="6">
        <v>101.65</v>
      </c>
      <c r="AH500" s="6">
        <v>163.63</v>
      </c>
      <c r="AI500" s="6">
        <f t="shared" si="14"/>
        <v>61.97999999999999</v>
      </c>
      <c r="AJ500" s="5">
        <f t="shared" si="15"/>
        <v>0.37878139705432984</v>
      </c>
    </row>
    <row r="501" spans="1:36">
      <c r="A501" t="s">
        <v>190</v>
      </c>
      <c r="B501" t="s">
        <v>786</v>
      </c>
      <c r="C501" t="s">
        <v>66</v>
      </c>
      <c r="D501" t="s">
        <v>68</v>
      </c>
      <c r="E501" t="s">
        <v>69</v>
      </c>
      <c r="F501">
        <v>0</v>
      </c>
      <c r="G501">
        <v>526</v>
      </c>
      <c r="H501">
        <v>1</v>
      </c>
      <c r="I501" t="s">
        <v>220</v>
      </c>
      <c r="J501">
        <v>2</v>
      </c>
      <c r="K501" s="6">
        <v>5.28</v>
      </c>
      <c r="L501" t="s">
        <v>174</v>
      </c>
      <c r="M501">
        <v>0</v>
      </c>
      <c r="N501" t="s">
        <v>175</v>
      </c>
      <c r="O501">
        <v>1</v>
      </c>
      <c r="P501">
        <v>0</v>
      </c>
      <c r="Q501" s="6">
        <v>38.6</v>
      </c>
      <c r="R501">
        <v>0</v>
      </c>
      <c r="S501" s="6">
        <v>0</v>
      </c>
      <c r="T501">
        <v>0</v>
      </c>
      <c r="U501" s="6">
        <v>2616</v>
      </c>
      <c r="V501">
        <v>0</v>
      </c>
      <c r="W501">
        <v>0</v>
      </c>
      <c r="X501">
        <v>0</v>
      </c>
      <c r="Y501" s="6">
        <v>43</v>
      </c>
      <c r="Z501">
        <v>4.8000000000000001E-2</v>
      </c>
      <c r="AA501">
        <v>0.13700000000000001</v>
      </c>
      <c r="AB501">
        <v>0.02</v>
      </c>
      <c r="AC501">
        <v>4</v>
      </c>
      <c r="AD501" s="6">
        <v>70</v>
      </c>
      <c r="AE501" s="6">
        <v>0</v>
      </c>
      <c r="AF501" s="6">
        <v>0</v>
      </c>
      <c r="AG501" s="6">
        <v>73.59</v>
      </c>
      <c r="AH501" s="6">
        <v>96.39</v>
      </c>
      <c r="AI501" s="6">
        <f t="shared" si="14"/>
        <v>22.799999999999997</v>
      </c>
      <c r="AJ501" s="5">
        <f t="shared" si="15"/>
        <v>0.23653906006847181</v>
      </c>
    </row>
    <row r="502" spans="1:36">
      <c r="A502" t="s">
        <v>288</v>
      </c>
      <c r="B502" t="s">
        <v>787</v>
      </c>
      <c r="C502" t="s">
        <v>66</v>
      </c>
      <c r="D502" t="s">
        <v>68</v>
      </c>
      <c r="E502" t="s">
        <v>69</v>
      </c>
      <c r="F502">
        <v>0</v>
      </c>
      <c r="G502">
        <v>526</v>
      </c>
      <c r="H502">
        <v>1</v>
      </c>
      <c r="I502" t="s">
        <v>220</v>
      </c>
      <c r="J502">
        <v>2</v>
      </c>
      <c r="K502" s="6">
        <v>2.2999999999999998</v>
      </c>
      <c r="L502" t="s">
        <v>174</v>
      </c>
      <c r="M502">
        <v>0</v>
      </c>
      <c r="N502" t="s">
        <v>217</v>
      </c>
      <c r="O502">
        <v>4</v>
      </c>
      <c r="P502">
        <v>1</v>
      </c>
      <c r="Q502" s="6">
        <v>94.9</v>
      </c>
      <c r="R502">
        <v>0</v>
      </c>
      <c r="S502" s="6">
        <v>0</v>
      </c>
      <c r="T502">
        <v>0</v>
      </c>
      <c r="U502" s="6">
        <v>3835</v>
      </c>
      <c r="V502">
        <v>0</v>
      </c>
      <c r="W502">
        <v>0</v>
      </c>
      <c r="X502">
        <v>0</v>
      </c>
      <c r="Y502" s="6">
        <v>43</v>
      </c>
      <c r="Z502">
        <v>4.8000000000000001E-2</v>
      </c>
      <c r="AA502">
        <v>0.13700000000000001</v>
      </c>
      <c r="AB502">
        <v>0.02</v>
      </c>
      <c r="AC502">
        <v>4</v>
      </c>
      <c r="AD502" s="6">
        <v>70</v>
      </c>
      <c r="AE502" s="6">
        <v>0</v>
      </c>
      <c r="AF502" s="6">
        <v>0</v>
      </c>
      <c r="AG502" s="6">
        <v>119.35</v>
      </c>
      <c r="AH502" s="6">
        <v>149.44</v>
      </c>
      <c r="AI502" s="6">
        <f t="shared" si="14"/>
        <v>30.090000000000003</v>
      </c>
      <c r="AJ502" s="5">
        <f t="shared" si="15"/>
        <v>0.20135171306209854</v>
      </c>
    </row>
    <row r="503" spans="1:36">
      <c r="A503" t="s">
        <v>375</v>
      </c>
      <c r="B503" t="s">
        <v>788</v>
      </c>
      <c r="C503" t="s">
        <v>66</v>
      </c>
      <c r="D503" t="s">
        <v>68</v>
      </c>
      <c r="E503" t="s">
        <v>69</v>
      </c>
      <c r="F503">
        <v>0</v>
      </c>
      <c r="G503">
        <v>526</v>
      </c>
      <c r="H503">
        <v>1</v>
      </c>
      <c r="I503" t="s">
        <v>220</v>
      </c>
      <c r="J503">
        <v>2</v>
      </c>
      <c r="K503" s="6">
        <v>1.88</v>
      </c>
      <c r="L503" t="s">
        <v>174</v>
      </c>
      <c r="M503">
        <v>0</v>
      </c>
      <c r="N503" t="s">
        <v>187</v>
      </c>
      <c r="O503">
        <v>2</v>
      </c>
      <c r="P503">
        <v>1</v>
      </c>
      <c r="Q503" s="6">
        <v>80</v>
      </c>
      <c r="R503">
        <v>0</v>
      </c>
      <c r="S503" s="6">
        <v>0</v>
      </c>
      <c r="T503">
        <v>0</v>
      </c>
      <c r="U503" s="6">
        <v>5779</v>
      </c>
      <c r="V503">
        <v>0</v>
      </c>
      <c r="W503">
        <v>0</v>
      </c>
      <c r="X503">
        <v>0</v>
      </c>
      <c r="Y503" s="6">
        <v>43</v>
      </c>
      <c r="Z503">
        <v>4.8000000000000001E-2</v>
      </c>
      <c r="AA503">
        <v>0.13700000000000001</v>
      </c>
      <c r="AB503">
        <v>0.02</v>
      </c>
      <c r="AC503">
        <v>4</v>
      </c>
      <c r="AD503" s="6">
        <v>70</v>
      </c>
      <c r="AE503" s="6">
        <v>0</v>
      </c>
      <c r="AF503" s="6">
        <v>0</v>
      </c>
      <c r="AG503" s="6">
        <v>91.26</v>
      </c>
      <c r="AH503" s="6">
        <v>118.29</v>
      </c>
      <c r="AI503" s="6">
        <f t="shared" si="14"/>
        <v>27.03</v>
      </c>
      <c r="AJ503" s="5">
        <f t="shared" si="15"/>
        <v>0.22850621354298756</v>
      </c>
    </row>
    <row r="504" spans="1:36">
      <c r="A504" t="s">
        <v>249</v>
      </c>
      <c r="B504" t="s">
        <v>789</v>
      </c>
      <c r="C504" t="s">
        <v>66</v>
      </c>
      <c r="D504" t="s">
        <v>68</v>
      </c>
      <c r="E504" t="s">
        <v>69</v>
      </c>
      <c r="F504">
        <v>0</v>
      </c>
      <c r="G504">
        <v>526</v>
      </c>
      <c r="H504">
        <v>1</v>
      </c>
      <c r="I504" t="s">
        <v>220</v>
      </c>
      <c r="J504">
        <v>2</v>
      </c>
      <c r="K504" s="6">
        <v>3.83</v>
      </c>
      <c r="L504" t="s">
        <v>174</v>
      </c>
      <c r="M504">
        <v>0</v>
      </c>
      <c r="N504" t="s">
        <v>187</v>
      </c>
      <c r="O504">
        <v>2</v>
      </c>
      <c r="P504">
        <v>0</v>
      </c>
      <c r="Q504" s="6">
        <v>39</v>
      </c>
      <c r="R504">
        <v>0</v>
      </c>
      <c r="S504" s="6">
        <v>0</v>
      </c>
      <c r="T504">
        <v>0</v>
      </c>
      <c r="U504" s="6">
        <v>2279</v>
      </c>
      <c r="V504">
        <v>0</v>
      </c>
      <c r="W504">
        <v>0</v>
      </c>
      <c r="X504">
        <v>0</v>
      </c>
      <c r="Y504" s="6">
        <v>43</v>
      </c>
      <c r="Z504">
        <v>4.8000000000000001E-2</v>
      </c>
      <c r="AA504">
        <v>0.13700000000000001</v>
      </c>
      <c r="AB504">
        <v>0.02</v>
      </c>
      <c r="AC504">
        <v>4</v>
      </c>
      <c r="AD504" s="6">
        <v>70</v>
      </c>
      <c r="AE504" s="6">
        <v>0</v>
      </c>
      <c r="AF504" s="6">
        <v>0</v>
      </c>
      <c r="AG504" s="6">
        <v>74.73</v>
      </c>
      <c r="AH504" s="6">
        <v>96.61</v>
      </c>
      <c r="AI504" s="6">
        <f t="shared" si="14"/>
        <v>21.879999999999995</v>
      </c>
      <c r="AJ504" s="5">
        <f t="shared" si="15"/>
        <v>0.22647759031156189</v>
      </c>
    </row>
    <row r="505" spans="1:36">
      <c r="A505" t="s">
        <v>311</v>
      </c>
      <c r="B505" t="s">
        <v>790</v>
      </c>
      <c r="C505" t="s">
        <v>66</v>
      </c>
      <c r="D505" t="s">
        <v>68</v>
      </c>
      <c r="E505" t="s">
        <v>69</v>
      </c>
      <c r="F505">
        <v>0</v>
      </c>
      <c r="G505">
        <v>526</v>
      </c>
      <c r="H505">
        <v>1</v>
      </c>
      <c r="I505" t="s">
        <v>220</v>
      </c>
      <c r="J505">
        <v>2</v>
      </c>
      <c r="K505" s="6">
        <v>5.64</v>
      </c>
      <c r="L505" t="s">
        <v>174</v>
      </c>
      <c r="M505">
        <v>0</v>
      </c>
      <c r="N505" t="s">
        <v>175</v>
      </c>
      <c r="O505">
        <v>1</v>
      </c>
      <c r="P505">
        <v>0</v>
      </c>
      <c r="Q505" s="6">
        <v>20.6</v>
      </c>
      <c r="R505">
        <v>1</v>
      </c>
      <c r="S505" s="6">
        <v>1582</v>
      </c>
      <c r="T505">
        <v>0</v>
      </c>
      <c r="U505" s="6">
        <v>16406</v>
      </c>
      <c r="V505">
        <v>0</v>
      </c>
      <c r="W505">
        <v>0</v>
      </c>
      <c r="X505">
        <v>0</v>
      </c>
      <c r="Y505" s="6">
        <v>43</v>
      </c>
      <c r="Z505">
        <v>4.8000000000000001E-2</v>
      </c>
      <c r="AA505">
        <v>0.13700000000000001</v>
      </c>
      <c r="AB505">
        <v>0.02</v>
      </c>
      <c r="AC505">
        <v>4</v>
      </c>
      <c r="AD505" s="6">
        <v>70</v>
      </c>
      <c r="AE505" s="6">
        <v>25</v>
      </c>
      <c r="AF505" s="6">
        <v>0</v>
      </c>
      <c r="AG505" s="6">
        <v>72.739999999999995</v>
      </c>
      <c r="AH505" s="6">
        <v>95.25</v>
      </c>
      <c r="AI505" s="6">
        <f t="shared" si="14"/>
        <v>22.510000000000005</v>
      </c>
      <c r="AJ505" s="5">
        <f t="shared" si="15"/>
        <v>0.23632545931758536</v>
      </c>
    </row>
    <row r="506" spans="1:36">
      <c r="A506" t="s">
        <v>691</v>
      </c>
      <c r="B506" t="s">
        <v>791</v>
      </c>
      <c r="C506" t="s">
        <v>66</v>
      </c>
      <c r="D506" t="s">
        <v>68</v>
      </c>
      <c r="E506" t="s">
        <v>69</v>
      </c>
      <c r="F506">
        <v>0</v>
      </c>
      <c r="G506">
        <v>526</v>
      </c>
      <c r="H506">
        <v>1</v>
      </c>
      <c r="I506" t="s">
        <v>220</v>
      </c>
      <c r="J506">
        <v>2</v>
      </c>
      <c r="K506" s="6">
        <v>4.8499999999999996</v>
      </c>
      <c r="L506" t="s">
        <v>174</v>
      </c>
      <c r="M506">
        <v>0</v>
      </c>
      <c r="N506" t="s">
        <v>187</v>
      </c>
      <c r="O506">
        <v>2</v>
      </c>
      <c r="P506">
        <v>0</v>
      </c>
      <c r="Q506" s="6">
        <v>66.5</v>
      </c>
      <c r="R506">
        <v>0</v>
      </c>
      <c r="S506" s="6">
        <v>0</v>
      </c>
      <c r="T506">
        <v>0</v>
      </c>
      <c r="U506" s="6">
        <v>7192</v>
      </c>
      <c r="V506">
        <v>0</v>
      </c>
      <c r="W506">
        <v>0</v>
      </c>
      <c r="X506">
        <v>0</v>
      </c>
      <c r="Y506" s="6">
        <v>43</v>
      </c>
      <c r="Z506">
        <v>4.8000000000000001E-2</v>
      </c>
      <c r="AA506">
        <v>0.13700000000000001</v>
      </c>
      <c r="AB506">
        <v>0.02</v>
      </c>
      <c r="AC506">
        <v>4</v>
      </c>
      <c r="AD506" s="6">
        <v>70</v>
      </c>
      <c r="AE506" s="6">
        <v>0</v>
      </c>
      <c r="AF506" s="6">
        <v>0</v>
      </c>
      <c r="AG506" s="6">
        <v>68.34</v>
      </c>
      <c r="AH506" s="6">
        <v>89.81</v>
      </c>
      <c r="AI506" s="6">
        <f t="shared" si="14"/>
        <v>21.47</v>
      </c>
      <c r="AJ506" s="5">
        <f t="shared" si="15"/>
        <v>0.23906023828081505</v>
      </c>
    </row>
    <row r="507" spans="1:36">
      <c r="A507" t="s">
        <v>245</v>
      </c>
      <c r="B507" t="s">
        <v>792</v>
      </c>
      <c r="C507" t="s">
        <v>66</v>
      </c>
      <c r="D507" t="s">
        <v>68</v>
      </c>
      <c r="E507" t="s">
        <v>69</v>
      </c>
      <c r="F507">
        <v>0</v>
      </c>
      <c r="G507">
        <v>526</v>
      </c>
      <c r="H507">
        <v>1</v>
      </c>
      <c r="I507" t="s">
        <v>181</v>
      </c>
      <c r="J507">
        <v>3</v>
      </c>
      <c r="K507" s="6">
        <v>5.17</v>
      </c>
      <c r="L507" t="s">
        <v>174</v>
      </c>
      <c r="M507">
        <v>0</v>
      </c>
      <c r="N507" t="s">
        <v>182</v>
      </c>
      <c r="O507">
        <v>3</v>
      </c>
      <c r="P507">
        <v>0</v>
      </c>
      <c r="Q507" s="6">
        <v>157.19999999999999</v>
      </c>
      <c r="R507">
        <v>0</v>
      </c>
      <c r="S507" s="6">
        <v>0</v>
      </c>
      <c r="T507">
        <v>0</v>
      </c>
      <c r="U507" s="6">
        <v>4475</v>
      </c>
      <c r="V507">
        <v>0</v>
      </c>
      <c r="W507">
        <v>0</v>
      </c>
      <c r="X507">
        <v>0</v>
      </c>
      <c r="Y507" s="6">
        <v>43</v>
      </c>
      <c r="Z507">
        <v>4.8000000000000001E-2</v>
      </c>
      <c r="AA507">
        <v>0.13700000000000001</v>
      </c>
      <c r="AB507">
        <v>0.02</v>
      </c>
      <c r="AC507">
        <v>4</v>
      </c>
      <c r="AD507" s="6">
        <v>105</v>
      </c>
      <c r="AE507" s="6">
        <v>0</v>
      </c>
      <c r="AF507" s="6">
        <v>0</v>
      </c>
      <c r="AG507" s="6">
        <v>94.25</v>
      </c>
      <c r="AH507" s="6">
        <v>120.88</v>
      </c>
      <c r="AI507" s="6">
        <f t="shared" si="14"/>
        <v>26.629999999999995</v>
      </c>
      <c r="AJ507" s="5">
        <f t="shared" si="15"/>
        <v>0.22030112508272665</v>
      </c>
    </row>
    <row r="508" spans="1:36">
      <c r="A508" t="s">
        <v>208</v>
      </c>
      <c r="B508" t="s">
        <v>793</v>
      </c>
      <c r="C508" t="s">
        <v>66</v>
      </c>
      <c r="D508" t="s">
        <v>68</v>
      </c>
      <c r="E508" t="s">
        <v>69</v>
      </c>
      <c r="F508">
        <v>0</v>
      </c>
      <c r="G508">
        <v>526</v>
      </c>
      <c r="H508">
        <v>1</v>
      </c>
      <c r="I508" t="s">
        <v>181</v>
      </c>
      <c r="J508">
        <v>3</v>
      </c>
      <c r="K508" s="6">
        <v>6.38</v>
      </c>
      <c r="L508" t="s">
        <v>174</v>
      </c>
      <c r="M508">
        <v>0</v>
      </c>
      <c r="N508" t="s">
        <v>187</v>
      </c>
      <c r="O508">
        <v>2</v>
      </c>
      <c r="P508">
        <v>0</v>
      </c>
      <c r="Q508" s="6">
        <v>68.5</v>
      </c>
      <c r="R508">
        <v>0</v>
      </c>
      <c r="S508" s="6">
        <v>0</v>
      </c>
      <c r="T508">
        <v>0</v>
      </c>
      <c r="U508" s="6">
        <v>6524</v>
      </c>
      <c r="V508">
        <v>0</v>
      </c>
      <c r="W508">
        <v>0</v>
      </c>
      <c r="X508">
        <v>0</v>
      </c>
      <c r="Y508" s="6">
        <v>43</v>
      </c>
      <c r="Z508">
        <v>4.8000000000000001E-2</v>
      </c>
      <c r="AA508">
        <v>0.13700000000000001</v>
      </c>
      <c r="AB508">
        <v>0.02</v>
      </c>
      <c r="AC508">
        <v>4</v>
      </c>
      <c r="AD508" s="6">
        <v>105</v>
      </c>
      <c r="AE508" s="6">
        <v>0</v>
      </c>
      <c r="AF508" s="6">
        <v>0</v>
      </c>
      <c r="AG508" s="6">
        <v>86.1</v>
      </c>
      <c r="AH508" s="6">
        <v>112.62</v>
      </c>
      <c r="AI508" s="6">
        <f t="shared" si="14"/>
        <v>26.52000000000001</v>
      </c>
      <c r="AJ508" s="5">
        <f t="shared" si="15"/>
        <v>0.23548215237080455</v>
      </c>
    </row>
    <row r="509" spans="1:36">
      <c r="A509" t="s">
        <v>362</v>
      </c>
      <c r="B509" t="s">
        <v>794</v>
      </c>
      <c r="C509" t="s">
        <v>66</v>
      </c>
      <c r="D509" t="s">
        <v>68</v>
      </c>
      <c r="E509" t="s">
        <v>69</v>
      </c>
      <c r="F509">
        <v>0</v>
      </c>
      <c r="G509">
        <v>526</v>
      </c>
      <c r="H509">
        <v>1</v>
      </c>
      <c r="I509" t="s">
        <v>178</v>
      </c>
      <c r="J509">
        <v>4</v>
      </c>
      <c r="K509" s="6">
        <v>9.48</v>
      </c>
      <c r="L509" t="s">
        <v>174</v>
      </c>
      <c r="M509">
        <v>0</v>
      </c>
      <c r="N509" t="s">
        <v>217</v>
      </c>
      <c r="O509">
        <v>4</v>
      </c>
      <c r="P509">
        <v>1</v>
      </c>
      <c r="Q509" s="6">
        <v>143.80000000000001</v>
      </c>
      <c r="R509">
        <v>0</v>
      </c>
      <c r="S509" s="6">
        <v>0</v>
      </c>
      <c r="T509">
        <v>0</v>
      </c>
      <c r="U509" s="6">
        <v>14325</v>
      </c>
      <c r="V509">
        <v>0</v>
      </c>
      <c r="W509">
        <v>0</v>
      </c>
      <c r="X509">
        <v>0</v>
      </c>
      <c r="Y509" s="6">
        <v>43</v>
      </c>
      <c r="Z509">
        <v>4.8000000000000001E-2</v>
      </c>
      <c r="AA509">
        <v>0.13700000000000001</v>
      </c>
      <c r="AB509">
        <v>0.02</v>
      </c>
      <c r="AC509">
        <v>4</v>
      </c>
      <c r="AD509" s="6">
        <v>125</v>
      </c>
      <c r="AE509" s="6">
        <v>0</v>
      </c>
      <c r="AF509" s="6">
        <v>0</v>
      </c>
      <c r="AG509" s="6">
        <v>173.07</v>
      </c>
      <c r="AH509" s="6">
        <v>221.07</v>
      </c>
      <c r="AI509" s="6">
        <f t="shared" si="14"/>
        <v>48</v>
      </c>
      <c r="AJ509" s="5">
        <f t="shared" si="15"/>
        <v>0.21712579725878681</v>
      </c>
    </row>
    <row r="510" spans="1:36">
      <c r="A510" t="s">
        <v>192</v>
      </c>
      <c r="B510" t="s">
        <v>795</v>
      </c>
      <c r="C510" t="s">
        <v>66</v>
      </c>
      <c r="D510" t="s">
        <v>68</v>
      </c>
      <c r="E510" t="s">
        <v>69</v>
      </c>
      <c r="F510">
        <v>0</v>
      </c>
      <c r="G510">
        <v>526</v>
      </c>
      <c r="H510">
        <v>1</v>
      </c>
      <c r="I510" t="s">
        <v>220</v>
      </c>
      <c r="J510">
        <v>2</v>
      </c>
      <c r="K510" s="6">
        <v>4.26</v>
      </c>
      <c r="L510" t="s">
        <v>174</v>
      </c>
      <c r="M510">
        <v>0</v>
      </c>
      <c r="N510" t="s">
        <v>187</v>
      </c>
      <c r="O510">
        <v>2</v>
      </c>
      <c r="P510">
        <v>1</v>
      </c>
      <c r="Q510" s="6">
        <v>66.900000000000006</v>
      </c>
      <c r="R510">
        <v>0</v>
      </c>
      <c r="S510" s="6">
        <v>0</v>
      </c>
      <c r="T510">
        <v>0</v>
      </c>
      <c r="U510" s="6">
        <v>2414</v>
      </c>
      <c r="V510">
        <v>0</v>
      </c>
      <c r="W510">
        <v>0</v>
      </c>
      <c r="X510">
        <v>0</v>
      </c>
      <c r="Y510" s="6">
        <v>43</v>
      </c>
      <c r="Z510">
        <v>4.8000000000000001E-2</v>
      </c>
      <c r="AA510">
        <v>0.13700000000000001</v>
      </c>
      <c r="AB510">
        <v>0.02</v>
      </c>
      <c r="AC510">
        <v>4</v>
      </c>
      <c r="AD510" s="6">
        <v>70</v>
      </c>
      <c r="AE510" s="6">
        <v>0</v>
      </c>
      <c r="AF510" s="6">
        <v>0</v>
      </c>
      <c r="AG510" s="6">
        <v>94.2</v>
      </c>
      <c r="AH510" s="6">
        <v>118.04</v>
      </c>
      <c r="AI510" s="6">
        <f t="shared" si="14"/>
        <v>23.840000000000003</v>
      </c>
      <c r="AJ510" s="5">
        <f t="shared" si="15"/>
        <v>0.20196543544561169</v>
      </c>
    </row>
    <row r="511" spans="1:36">
      <c r="A511" t="s">
        <v>306</v>
      </c>
      <c r="B511" t="s">
        <v>796</v>
      </c>
      <c r="C511" t="s">
        <v>66</v>
      </c>
      <c r="D511" t="s">
        <v>68</v>
      </c>
      <c r="E511" t="s">
        <v>69</v>
      </c>
      <c r="F511">
        <v>0</v>
      </c>
      <c r="G511">
        <v>526</v>
      </c>
      <c r="H511">
        <v>1</v>
      </c>
      <c r="I511" t="s">
        <v>220</v>
      </c>
      <c r="J511">
        <v>2</v>
      </c>
      <c r="K511" s="6">
        <v>3.21</v>
      </c>
      <c r="L511" t="s">
        <v>174</v>
      </c>
      <c r="M511">
        <v>0</v>
      </c>
      <c r="N511" t="s">
        <v>175</v>
      </c>
      <c r="O511">
        <v>1</v>
      </c>
      <c r="P511">
        <v>0</v>
      </c>
      <c r="Q511" s="6">
        <v>31.3</v>
      </c>
      <c r="R511">
        <v>0</v>
      </c>
      <c r="S511" s="6">
        <v>0</v>
      </c>
      <c r="T511">
        <v>0</v>
      </c>
      <c r="U511" s="6">
        <v>6713</v>
      </c>
      <c r="V511">
        <v>0</v>
      </c>
      <c r="W511">
        <v>0</v>
      </c>
      <c r="X511">
        <v>0</v>
      </c>
      <c r="Y511" s="6">
        <v>43</v>
      </c>
      <c r="Z511">
        <v>4.8000000000000001E-2</v>
      </c>
      <c r="AA511">
        <v>0.13700000000000001</v>
      </c>
      <c r="AB511">
        <v>0.02</v>
      </c>
      <c r="AC511">
        <v>4</v>
      </c>
      <c r="AD511" s="6">
        <v>70</v>
      </c>
      <c r="AE511" s="6">
        <v>0</v>
      </c>
      <c r="AF511" s="6">
        <v>0</v>
      </c>
      <c r="AG511" s="6">
        <v>61.54</v>
      </c>
      <c r="AH511" s="6">
        <v>78.47</v>
      </c>
      <c r="AI511" s="6">
        <f t="shared" si="14"/>
        <v>16.93</v>
      </c>
      <c r="AJ511" s="5">
        <f t="shared" si="15"/>
        <v>0.21575124251306232</v>
      </c>
    </row>
    <row r="512" spans="1:36">
      <c r="A512" t="s">
        <v>406</v>
      </c>
      <c r="B512" t="s">
        <v>797</v>
      </c>
      <c r="C512" t="s">
        <v>66</v>
      </c>
      <c r="D512" t="s">
        <v>68</v>
      </c>
      <c r="E512" t="s">
        <v>69</v>
      </c>
      <c r="F512">
        <v>0</v>
      </c>
      <c r="G512">
        <v>526</v>
      </c>
      <c r="H512">
        <v>1</v>
      </c>
      <c r="I512" t="s">
        <v>220</v>
      </c>
      <c r="J512">
        <v>2</v>
      </c>
      <c r="K512" s="6">
        <v>4.57</v>
      </c>
      <c r="L512" t="s">
        <v>174</v>
      </c>
      <c r="M512">
        <v>0</v>
      </c>
      <c r="N512" t="s">
        <v>187</v>
      </c>
      <c r="O512">
        <v>2</v>
      </c>
      <c r="P512">
        <v>0</v>
      </c>
      <c r="Q512" s="6">
        <v>53.3</v>
      </c>
      <c r="R512">
        <v>0</v>
      </c>
      <c r="S512" s="6">
        <v>0</v>
      </c>
      <c r="T512">
        <v>0</v>
      </c>
      <c r="U512" s="6">
        <v>10525</v>
      </c>
      <c r="V512">
        <v>0</v>
      </c>
      <c r="W512">
        <v>0</v>
      </c>
      <c r="X512">
        <v>0</v>
      </c>
      <c r="Y512" s="6">
        <v>43</v>
      </c>
      <c r="Z512">
        <v>4.8000000000000001E-2</v>
      </c>
      <c r="AA512">
        <v>0.13700000000000001</v>
      </c>
      <c r="AB512">
        <v>0.02</v>
      </c>
      <c r="AC512">
        <v>4</v>
      </c>
      <c r="AD512" s="6">
        <v>70</v>
      </c>
      <c r="AE512" s="6">
        <v>0</v>
      </c>
      <c r="AF512" s="6">
        <v>0</v>
      </c>
      <c r="AG512" s="6">
        <v>75.75</v>
      </c>
      <c r="AH512" s="6">
        <v>95.83</v>
      </c>
      <c r="AI512" s="6">
        <f t="shared" si="14"/>
        <v>20.079999999999998</v>
      </c>
      <c r="AJ512" s="5">
        <f t="shared" si="15"/>
        <v>0.20953772305123655</v>
      </c>
    </row>
    <row r="513" spans="1:36">
      <c r="A513" t="s">
        <v>263</v>
      </c>
      <c r="B513" t="s">
        <v>798</v>
      </c>
      <c r="C513" t="s">
        <v>66</v>
      </c>
      <c r="D513" t="s">
        <v>68</v>
      </c>
      <c r="E513" t="s">
        <v>69</v>
      </c>
      <c r="F513">
        <v>0</v>
      </c>
      <c r="G513">
        <v>526</v>
      </c>
      <c r="H513">
        <v>1</v>
      </c>
      <c r="I513" t="s">
        <v>181</v>
      </c>
      <c r="J513">
        <v>3</v>
      </c>
      <c r="K513" s="6">
        <v>10.94</v>
      </c>
      <c r="L513" t="s">
        <v>174</v>
      </c>
      <c r="M513">
        <v>0</v>
      </c>
      <c r="N513" t="s">
        <v>187</v>
      </c>
      <c r="O513">
        <v>2</v>
      </c>
      <c r="P513">
        <v>0</v>
      </c>
      <c r="Q513" s="6">
        <v>62.8</v>
      </c>
      <c r="R513">
        <v>0</v>
      </c>
      <c r="S513" s="6">
        <v>0</v>
      </c>
      <c r="T513">
        <v>0</v>
      </c>
      <c r="U513" s="6">
        <v>3302</v>
      </c>
      <c r="V513">
        <v>0</v>
      </c>
      <c r="W513">
        <v>0</v>
      </c>
      <c r="X513">
        <v>0</v>
      </c>
      <c r="Y513" s="6">
        <v>43</v>
      </c>
      <c r="Z513">
        <v>4.8000000000000001E-2</v>
      </c>
      <c r="AA513">
        <v>0.13700000000000001</v>
      </c>
      <c r="AB513">
        <v>0.02</v>
      </c>
      <c r="AC513">
        <v>4</v>
      </c>
      <c r="AD513" s="6">
        <v>105</v>
      </c>
      <c r="AE513" s="6">
        <v>0</v>
      </c>
      <c r="AF513" s="6">
        <v>0</v>
      </c>
      <c r="AG513" s="6">
        <v>107.56</v>
      </c>
      <c r="AH513" s="6">
        <v>139.16</v>
      </c>
      <c r="AI513" s="6">
        <f t="shared" si="14"/>
        <v>31.599999999999994</v>
      </c>
      <c r="AJ513" s="5">
        <f t="shared" si="15"/>
        <v>0.22707674619143428</v>
      </c>
    </row>
    <row r="514" spans="1:36">
      <c r="A514" t="s">
        <v>183</v>
      </c>
      <c r="B514" t="s">
        <v>799</v>
      </c>
      <c r="C514" t="s">
        <v>66</v>
      </c>
      <c r="D514" t="s">
        <v>68</v>
      </c>
      <c r="E514" t="s">
        <v>69</v>
      </c>
      <c r="F514">
        <v>0</v>
      </c>
      <c r="G514">
        <v>526</v>
      </c>
      <c r="H514">
        <v>1</v>
      </c>
      <c r="I514" t="s">
        <v>220</v>
      </c>
      <c r="J514">
        <v>2</v>
      </c>
      <c r="K514" s="6">
        <v>2.64</v>
      </c>
      <c r="L514" t="s">
        <v>174</v>
      </c>
      <c r="M514">
        <v>0</v>
      </c>
      <c r="N514" t="s">
        <v>187</v>
      </c>
      <c r="O514">
        <v>2</v>
      </c>
      <c r="P514">
        <v>0</v>
      </c>
      <c r="Q514" s="6">
        <v>50.9</v>
      </c>
      <c r="R514">
        <v>0</v>
      </c>
      <c r="S514" s="6">
        <v>0</v>
      </c>
      <c r="T514">
        <v>0</v>
      </c>
      <c r="U514" s="6">
        <v>2726</v>
      </c>
      <c r="V514">
        <v>0</v>
      </c>
      <c r="W514">
        <v>0</v>
      </c>
      <c r="X514">
        <v>0</v>
      </c>
      <c r="Y514" s="6">
        <v>43</v>
      </c>
      <c r="Z514">
        <v>4.8000000000000001E-2</v>
      </c>
      <c r="AA514">
        <v>0.13700000000000001</v>
      </c>
      <c r="AB514">
        <v>0.02</v>
      </c>
      <c r="AC514">
        <v>4</v>
      </c>
      <c r="AD514" s="6">
        <v>70</v>
      </c>
      <c r="AE514" s="6">
        <v>0</v>
      </c>
      <c r="AF514" s="6">
        <v>0</v>
      </c>
      <c r="AG514" s="6">
        <v>71.73</v>
      </c>
      <c r="AH514" s="6">
        <v>91.52</v>
      </c>
      <c r="AI514" s="6">
        <f t="shared" ref="AI514:AI577" si="16">AH514-AG514</f>
        <v>19.789999999999992</v>
      </c>
      <c r="AJ514" s="5">
        <f t="shared" ref="AJ514:AJ577" si="17">IFERROR(AI514/AH514,0)</f>
        <v>0.21623688811188804</v>
      </c>
    </row>
    <row r="515" spans="1:36">
      <c r="A515" t="s">
        <v>355</v>
      </c>
      <c r="B515" t="s">
        <v>800</v>
      </c>
      <c r="C515" t="s">
        <v>66</v>
      </c>
      <c r="D515" t="s">
        <v>68</v>
      </c>
      <c r="E515" t="s">
        <v>69</v>
      </c>
      <c r="F515">
        <v>0</v>
      </c>
      <c r="G515">
        <v>526</v>
      </c>
      <c r="H515">
        <v>1</v>
      </c>
      <c r="I515" t="s">
        <v>178</v>
      </c>
      <c r="J515">
        <v>4</v>
      </c>
      <c r="K515" s="6">
        <v>10.199999999999999</v>
      </c>
      <c r="L515" t="s">
        <v>174</v>
      </c>
      <c r="M515">
        <v>0</v>
      </c>
      <c r="N515" t="s">
        <v>175</v>
      </c>
      <c r="O515">
        <v>1</v>
      </c>
      <c r="P515">
        <v>0</v>
      </c>
      <c r="Q515" s="6">
        <v>45.7</v>
      </c>
      <c r="R515">
        <v>1</v>
      </c>
      <c r="S515" s="6">
        <v>1106</v>
      </c>
      <c r="T515">
        <v>0</v>
      </c>
      <c r="U515" s="6">
        <v>9290</v>
      </c>
      <c r="V515">
        <v>0</v>
      </c>
      <c r="W515">
        <v>0</v>
      </c>
      <c r="X515">
        <v>0</v>
      </c>
      <c r="Y515" s="6">
        <v>43</v>
      </c>
      <c r="Z515">
        <v>4.8000000000000001E-2</v>
      </c>
      <c r="AA515">
        <v>0.13700000000000001</v>
      </c>
      <c r="AB515">
        <v>0.02</v>
      </c>
      <c r="AC515">
        <v>4</v>
      </c>
      <c r="AD515" s="6">
        <v>125</v>
      </c>
      <c r="AE515" s="6">
        <v>25</v>
      </c>
      <c r="AF515" s="6">
        <v>0</v>
      </c>
      <c r="AG515" s="6">
        <v>124.29</v>
      </c>
      <c r="AH515" s="6">
        <v>160.28</v>
      </c>
      <c r="AI515" s="6">
        <f t="shared" si="16"/>
        <v>35.989999999999995</v>
      </c>
      <c r="AJ515" s="5">
        <f t="shared" si="17"/>
        <v>0.22454454704267529</v>
      </c>
    </row>
    <row r="516" spans="1:36">
      <c r="A516" t="s">
        <v>261</v>
      </c>
      <c r="B516" t="s">
        <v>801</v>
      </c>
      <c r="C516" t="s">
        <v>66</v>
      </c>
      <c r="D516" t="s">
        <v>68</v>
      </c>
      <c r="E516" t="s">
        <v>69</v>
      </c>
      <c r="F516">
        <v>0</v>
      </c>
      <c r="G516">
        <v>526</v>
      </c>
      <c r="H516">
        <v>1</v>
      </c>
      <c r="I516" t="s">
        <v>220</v>
      </c>
      <c r="J516">
        <v>2</v>
      </c>
      <c r="K516" s="6">
        <v>5.35</v>
      </c>
      <c r="L516" t="s">
        <v>174</v>
      </c>
      <c r="M516">
        <v>0</v>
      </c>
      <c r="N516" t="s">
        <v>272</v>
      </c>
      <c r="O516">
        <v>5</v>
      </c>
      <c r="P516">
        <v>1</v>
      </c>
      <c r="Q516" s="6">
        <v>170.3</v>
      </c>
      <c r="R516">
        <v>0</v>
      </c>
      <c r="S516" s="6">
        <v>0</v>
      </c>
      <c r="T516">
        <v>0</v>
      </c>
      <c r="U516" s="6">
        <v>3547</v>
      </c>
      <c r="V516">
        <v>0</v>
      </c>
      <c r="W516">
        <v>0</v>
      </c>
      <c r="X516">
        <v>0</v>
      </c>
      <c r="Y516" s="6">
        <v>43</v>
      </c>
      <c r="Z516">
        <v>4.8000000000000001E-2</v>
      </c>
      <c r="AA516">
        <v>0.13700000000000001</v>
      </c>
      <c r="AB516">
        <v>0.02</v>
      </c>
      <c r="AC516">
        <v>4</v>
      </c>
      <c r="AD516" s="6">
        <v>155</v>
      </c>
      <c r="AE516" s="6">
        <v>0</v>
      </c>
      <c r="AF516" s="6">
        <v>0</v>
      </c>
      <c r="AG516" s="6">
        <v>168.66</v>
      </c>
      <c r="AH516" s="6">
        <v>211.76</v>
      </c>
      <c r="AI516" s="6">
        <f t="shared" si="16"/>
        <v>43.099999999999994</v>
      </c>
      <c r="AJ516" s="5">
        <f t="shared" si="17"/>
        <v>0.20353230071779371</v>
      </c>
    </row>
    <row r="517" spans="1:36">
      <c r="A517" t="s">
        <v>436</v>
      </c>
      <c r="B517" t="s">
        <v>802</v>
      </c>
      <c r="C517" t="s">
        <v>66</v>
      </c>
      <c r="D517" t="s">
        <v>68</v>
      </c>
      <c r="E517" t="s">
        <v>69</v>
      </c>
      <c r="F517">
        <v>0</v>
      </c>
      <c r="G517">
        <v>526</v>
      </c>
      <c r="H517">
        <v>1</v>
      </c>
      <c r="I517" t="s">
        <v>220</v>
      </c>
      <c r="J517">
        <v>2</v>
      </c>
      <c r="K517" s="6">
        <v>4.4800000000000004</v>
      </c>
      <c r="L517" t="s">
        <v>174</v>
      </c>
      <c r="M517">
        <v>0</v>
      </c>
      <c r="N517" t="s">
        <v>187</v>
      </c>
      <c r="O517">
        <v>2</v>
      </c>
      <c r="P517">
        <v>0</v>
      </c>
      <c r="Q517" s="6">
        <v>68</v>
      </c>
      <c r="R517">
        <v>0</v>
      </c>
      <c r="S517" s="6">
        <v>0</v>
      </c>
      <c r="T517">
        <v>0</v>
      </c>
      <c r="U517" s="6">
        <v>2619</v>
      </c>
      <c r="V517">
        <v>0</v>
      </c>
      <c r="W517">
        <v>0</v>
      </c>
      <c r="X517">
        <v>0</v>
      </c>
      <c r="Y517" s="6">
        <v>43</v>
      </c>
      <c r="Z517">
        <v>4.8000000000000001E-2</v>
      </c>
      <c r="AA517">
        <v>0.13700000000000001</v>
      </c>
      <c r="AB517">
        <v>0.02</v>
      </c>
      <c r="AC517">
        <v>4</v>
      </c>
      <c r="AD517" s="6">
        <v>70</v>
      </c>
      <c r="AE517" s="6">
        <v>0</v>
      </c>
      <c r="AF517" s="6">
        <v>0</v>
      </c>
      <c r="AG517" s="6">
        <v>69.77</v>
      </c>
      <c r="AH517" s="6">
        <v>87.22</v>
      </c>
      <c r="AI517" s="6">
        <f t="shared" si="16"/>
        <v>17.450000000000003</v>
      </c>
      <c r="AJ517" s="5">
        <f t="shared" si="17"/>
        <v>0.20006879156156848</v>
      </c>
    </row>
    <row r="518" spans="1:36">
      <c r="A518" t="s">
        <v>210</v>
      </c>
      <c r="B518" t="s">
        <v>803</v>
      </c>
      <c r="C518" t="s">
        <v>66</v>
      </c>
      <c r="D518" t="s">
        <v>68</v>
      </c>
      <c r="E518" t="s">
        <v>69</v>
      </c>
      <c r="F518">
        <v>0</v>
      </c>
      <c r="G518">
        <v>526</v>
      </c>
      <c r="H518">
        <v>1</v>
      </c>
      <c r="I518" t="s">
        <v>181</v>
      </c>
      <c r="J518">
        <v>3</v>
      </c>
      <c r="K518" s="6">
        <v>9.69</v>
      </c>
      <c r="L518" t="s">
        <v>174</v>
      </c>
      <c r="M518">
        <v>0</v>
      </c>
      <c r="N518" t="s">
        <v>187</v>
      </c>
      <c r="O518">
        <v>2</v>
      </c>
      <c r="P518">
        <v>0</v>
      </c>
      <c r="Q518" s="6">
        <v>35.4</v>
      </c>
      <c r="R518">
        <v>0</v>
      </c>
      <c r="S518" s="6">
        <v>0</v>
      </c>
      <c r="T518">
        <v>0</v>
      </c>
      <c r="U518" s="6">
        <v>11281</v>
      </c>
      <c r="V518">
        <v>0</v>
      </c>
      <c r="W518">
        <v>0</v>
      </c>
      <c r="X518">
        <v>0</v>
      </c>
      <c r="Y518" s="6">
        <v>43</v>
      </c>
      <c r="Z518">
        <v>4.8000000000000001E-2</v>
      </c>
      <c r="AA518">
        <v>0.13700000000000001</v>
      </c>
      <c r="AB518">
        <v>0.02</v>
      </c>
      <c r="AC518">
        <v>4</v>
      </c>
      <c r="AD518" s="6">
        <v>105</v>
      </c>
      <c r="AE518" s="6">
        <v>0</v>
      </c>
      <c r="AF518" s="6">
        <v>0</v>
      </c>
      <c r="AG518" s="6">
        <v>100.14</v>
      </c>
      <c r="AH518" s="6">
        <v>128.46</v>
      </c>
      <c r="AI518" s="6">
        <f t="shared" si="16"/>
        <v>28.320000000000007</v>
      </c>
      <c r="AJ518" s="5">
        <f t="shared" si="17"/>
        <v>0.22045773003269506</v>
      </c>
    </row>
    <row r="519" spans="1:36">
      <c r="A519" t="s">
        <v>478</v>
      </c>
      <c r="B519" t="s">
        <v>804</v>
      </c>
      <c r="C519" t="s">
        <v>66</v>
      </c>
      <c r="D519" t="s">
        <v>68</v>
      </c>
      <c r="E519" t="s">
        <v>69</v>
      </c>
      <c r="F519">
        <v>0</v>
      </c>
      <c r="G519">
        <v>526</v>
      </c>
      <c r="H519">
        <v>1</v>
      </c>
      <c r="I519" t="s">
        <v>220</v>
      </c>
      <c r="J519">
        <v>2</v>
      </c>
      <c r="K519" s="6">
        <v>4.55</v>
      </c>
      <c r="L519" t="s">
        <v>174</v>
      </c>
      <c r="M519">
        <v>0</v>
      </c>
      <c r="N519" t="s">
        <v>272</v>
      </c>
      <c r="O519">
        <v>5</v>
      </c>
      <c r="P519">
        <v>1</v>
      </c>
      <c r="Q519" s="6">
        <v>185.1</v>
      </c>
      <c r="R519">
        <v>0</v>
      </c>
      <c r="S519" s="6">
        <v>0</v>
      </c>
      <c r="T519">
        <v>0</v>
      </c>
      <c r="U519" s="6">
        <v>2915</v>
      </c>
      <c r="V519">
        <v>0</v>
      </c>
      <c r="W519">
        <v>0</v>
      </c>
      <c r="X519">
        <v>0</v>
      </c>
      <c r="Y519" s="6">
        <v>43</v>
      </c>
      <c r="Z519">
        <v>4.8000000000000001E-2</v>
      </c>
      <c r="AA519">
        <v>0.13700000000000001</v>
      </c>
      <c r="AB519">
        <v>0.02</v>
      </c>
      <c r="AC519">
        <v>4</v>
      </c>
      <c r="AD519" s="6">
        <v>155</v>
      </c>
      <c r="AE519" s="6">
        <v>0</v>
      </c>
      <c r="AF519" s="6">
        <v>0</v>
      </c>
      <c r="AG519" s="6">
        <v>158.72</v>
      </c>
      <c r="AH519" s="6">
        <v>202.61</v>
      </c>
      <c r="AI519" s="6">
        <f t="shared" si="16"/>
        <v>43.890000000000015</v>
      </c>
      <c r="AJ519" s="5">
        <f t="shared" si="17"/>
        <v>0.21662306895019995</v>
      </c>
    </row>
    <row r="520" spans="1:36">
      <c r="A520" t="s">
        <v>296</v>
      </c>
      <c r="B520" t="s">
        <v>805</v>
      </c>
      <c r="C520" t="s">
        <v>70</v>
      </c>
      <c r="D520" t="s">
        <v>72</v>
      </c>
      <c r="E520" t="s">
        <v>55</v>
      </c>
      <c r="F520">
        <v>0</v>
      </c>
      <c r="G520">
        <v>327</v>
      </c>
      <c r="H520">
        <v>1</v>
      </c>
      <c r="I520" t="s">
        <v>173</v>
      </c>
      <c r="J520">
        <v>1</v>
      </c>
      <c r="K520" s="6">
        <v>1.44</v>
      </c>
      <c r="L520" t="s">
        <v>174</v>
      </c>
      <c r="M520">
        <v>0</v>
      </c>
      <c r="N520" t="s">
        <v>175</v>
      </c>
      <c r="O520">
        <v>1</v>
      </c>
      <c r="P520">
        <v>0</v>
      </c>
      <c r="Q520" s="6">
        <v>37.9</v>
      </c>
      <c r="R520">
        <v>1</v>
      </c>
      <c r="S520" s="6">
        <v>3337</v>
      </c>
      <c r="T520">
        <v>0</v>
      </c>
      <c r="U520" s="6">
        <v>4516</v>
      </c>
      <c r="V520">
        <v>0</v>
      </c>
      <c r="W520">
        <v>0</v>
      </c>
      <c r="X520">
        <v>0</v>
      </c>
      <c r="Y520" s="6">
        <v>34.700000000000003</v>
      </c>
      <c r="Z520">
        <v>1.7999999999999999E-2</v>
      </c>
      <c r="AA520">
        <v>2.9000000000000001E-2</v>
      </c>
      <c r="AB520">
        <v>7.4999999999999997E-2</v>
      </c>
      <c r="AC520">
        <v>4</v>
      </c>
      <c r="AD520" s="6">
        <v>65</v>
      </c>
      <c r="AE520" s="6">
        <v>50</v>
      </c>
      <c r="AF520" s="6">
        <v>0</v>
      </c>
      <c r="AG520" s="6">
        <v>63.41</v>
      </c>
      <c r="AH520" s="6">
        <v>83.37</v>
      </c>
      <c r="AI520" s="6">
        <f t="shared" si="16"/>
        <v>19.960000000000008</v>
      </c>
      <c r="AJ520" s="5">
        <f t="shared" si="17"/>
        <v>0.23941465755067778</v>
      </c>
    </row>
    <row r="521" spans="1:36">
      <c r="A521" t="s">
        <v>343</v>
      </c>
      <c r="B521" t="s">
        <v>806</v>
      </c>
      <c r="C521" t="s">
        <v>70</v>
      </c>
      <c r="D521" t="s">
        <v>72</v>
      </c>
      <c r="E521" t="s">
        <v>55</v>
      </c>
      <c r="F521">
        <v>0</v>
      </c>
      <c r="G521">
        <v>327</v>
      </c>
      <c r="H521">
        <v>1</v>
      </c>
      <c r="I521" t="s">
        <v>173</v>
      </c>
      <c r="J521">
        <v>1</v>
      </c>
      <c r="K521" s="6">
        <v>1.73</v>
      </c>
      <c r="L521" t="s">
        <v>174</v>
      </c>
      <c r="M521">
        <v>0</v>
      </c>
      <c r="N521" t="s">
        <v>175</v>
      </c>
      <c r="O521">
        <v>1</v>
      </c>
      <c r="P521">
        <v>0</v>
      </c>
      <c r="Q521" s="6">
        <v>32.299999999999997</v>
      </c>
      <c r="R521">
        <v>1</v>
      </c>
      <c r="S521" s="6">
        <v>628</v>
      </c>
      <c r="T521">
        <v>0</v>
      </c>
      <c r="U521" s="6">
        <v>2434</v>
      </c>
      <c r="V521">
        <v>0</v>
      </c>
      <c r="W521">
        <v>0</v>
      </c>
      <c r="X521">
        <v>0</v>
      </c>
      <c r="Y521" s="6">
        <v>34.700000000000003</v>
      </c>
      <c r="Z521">
        <v>1.7999999999999999E-2</v>
      </c>
      <c r="AA521">
        <v>2.9000000000000001E-2</v>
      </c>
      <c r="AB521">
        <v>7.4999999999999997E-2</v>
      </c>
      <c r="AC521">
        <v>4</v>
      </c>
      <c r="AD521" s="6">
        <v>65</v>
      </c>
      <c r="AE521" s="6">
        <v>25</v>
      </c>
      <c r="AF521" s="6">
        <v>0</v>
      </c>
      <c r="AG521" s="6">
        <v>56.06</v>
      </c>
      <c r="AH521" s="6">
        <v>72.260000000000005</v>
      </c>
      <c r="AI521" s="6">
        <f t="shared" si="16"/>
        <v>16.200000000000003</v>
      </c>
      <c r="AJ521" s="5">
        <f t="shared" si="17"/>
        <v>0.22419042347079993</v>
      </c>
    </row>
    <row r="522" spans="1:36">
      <c r="A522" t="s">
        <v>512</v>
      </c>
      <c r="B522" t="s">
        <v>807</v>
      </c>
      <c r="C522" t="s">
        <v>70</v>
      </c>
      <c r="D522" t="s">
        <v>72</v>
      </c>
      <c r="E522" t="s">
        <v>55</v>
      </c>
      <c r="F522">
        <v>0</v>
      </c>
      <c r="G522">
        <v>327</v>
      </c>
      <c r="H522">
        <v>1.22</v>
      </c>
      <c r="I522" t="s">
        <v>181</v>
      </c>
      <c r="J522">
        <v>3</v>
      </c>
      <c r="K522" s="6">
        <v>5.88</v>
      </c>
      <c r="L522" t="s">
        <v>174</v>
      </c>
      <c r="M522">
        <v>0</v>
      </c>
      <c r="N522" t="s">
        <v>187</v>
      </c>
      <c r="O522">
        <v>2</v>
      </c>
      <c r="P522">
        <v>0</v>
      </c>
      <c r="Q522" s="6">
        <v>65.599999999999994</v>
      </c>
      <c r="R522">
        <v>1</v>
      </c>
      <c r="S522" s="6">
        <v>1075</v>
      </c>
      <c r="T522">
        <v>0</v>
      </c>
      <c r="U522" s="6">
        <v>1541</v>
      </c>
      <c r="V522">
        <v>0</v>
      </c>
      <c r="W522">
        <v>0</v>
      </c>
      <c r="X522">
        <v>0</v>
      </c>
      <c r="Y522" s="6">
        <v>34.700000000000003</v>
      </c>
      <c r="Z522">
        <v>1.7999999999999999E-2</v>
      </c>
      <c r="AA522">
        <v>2.9000000000000001E-2</v>
      </c>
      <c r="AB522">
        <v>7.4999999999999997E-2</v>
      </c>
      <c r="AC522">
        <v>4</v>
      </c>
      <c r="AD522" s="6">
        <v>105</v>
      </c>
      <c r="AE522" s="6">
        <v>25</v>
      </c>
      <c r="AF522" s="6">
        <v>0</v>
      </c>
      <c r="AG522" s="6">
        <v>97.01</v>
      </c>
      <c r="AH522" s="6">
        <v>123.34</v>
      </c>
      <c r="AI522" s="6">
        <f t="shared" si="16"/>
        <v>26.33</v>
      </c>
      <c r="AJ522" s="5">
        <f t="shared" si="17"/>
        <v>0.21347494730014591</v>
      </c>
    </row>
    <row r="523" spans="1:36">
      <c r="A523" t="s">
        <v>348</v>
      </c>
      <c r="B523" t="s">
        <v>808</v>
      </c>
      <c r="C523" t="s">
        <v>70</v>
      </c>
      <c r="D523" t="s">
        <v>72</v>
      </c>
      <c r="E523" t="s">
        <v>55</v>
      </c>
      <c r="F523">
        <v>0</v>
      </c>
      <c r="G523">
        <v>327</v>
      </c>
      <c r="H523">
        <v>1.22</v>
      </c>
      <c r="I523" t="s">
        <v>220</v>
      </c>
      <c r="J523">
        <v>2</v>
      </c>
      <c r="K523" s="6">
        <v>3.49</v>
      </c>
      <c r="L523" t="s">
        <v>174</v>
      </c>
      <c r="M523">
        <v>0</v>
      </c>
      <c r="N523" t="s">
        <v>175</v>
      </c>
      <c r="O523">
        <v>1</v>
      </c>
      <c r="P523">
        <v>0</v>
      </c>
      <c r="Q523" s="6">
        <v>29.8</v>
      </c>
      <c r="R523">
        <v>1</v>
      </c>
      <c r="S523" s="6">
        <v>484</v>
      </c>
      <c r="T523">
        <v>0</v>
      </c>
      <c r="U523" s="6">
        <v>5694</v>
      </c>
      <c r="V523">
        <v>0</v>
      </c>
      <c r="W523">
        <v>0</v>
      </c>
      <c r="X523">
        <v>0</v>
      </c>
      <c r="Y523" s="6">
        <v>34.700000000000003</v>
      </c>
      <c r="Z523">
        <v>1.7999999999999999E-2</v>
      </c>
      <c r="AA523">
        <v>2.9000000000000001E-2</v>
      </c>
      <c r="AB523">
        <v>7.4999999999999997E-2</v>
      </c>
      <c r="AC523">
        <v>4</v>
      </c>
      <c r="AD523" s="6">
        <v>70</v>
      </c>
      <c r="AE523" s="6">
        <v>25</v>
      </c>
      <c r="AF523" s="6">
        <v>0</v>
      </c>
      <c r="AG523" s="6">
        <v>80.53</v>
      </c>
      <c r="AH523" s="6">
        <v>101.46</v>
      </c>
      <c r="AI523" s="6">
        <f t="shared" si="16"/>
        <v>20.929999999999993</v>
      </c>
      <c r="AJ523" s="5">
        <f t="shared" si="17"/>
        <v>0.20628819239109003</v>
      </c>
    </row>
    <row r="524" spans="1:36">
      <c r="A524" t="s">
        <v>204</v>
      </c>
      <c r="B524" t="s">
        <v>809</v>
      </c>
      <c r="C524" t="s">
        <v>70</v>
      </c>
      <c r="D524" t="s">
        <v>72</v>
      </c>
      <c r="E524" t="s">
        <v>55</v>
      </c>
      <c r="F524">
        <v>0</v>
      </c>
      <c r="G524">
        <v>327</v>
      </c>
      <c r="H524">
        <v>1.22</v>
      </c>
      <c r="I524" t="s">
        <v>178</v>
      </c>
      <c r="J524">
        <v>4</v>
      </c>
      <c r="K524" s="6">
        <v>18.420000000000002</v>
      </c>
      <c r="L524" t="s">
        <v>174</v>
      </c>
      <c r="M524">
        <v>0</v>
      </c>
      <c r="N524" t="s">
        <v>175</v>
      </c>
      <c r="O524">
        <v>1</v>
      </c>
      <c r="P524">
        <v>0</v>
      </c>
      <c r="Q524" s="6">
        <v>43</v>
      </c>
      <c r="R524">
        <v>0</v>
      </c>
      <c r="S524" s="6">
        <v>0</v>
      </c>
      <c r="T524">
        <v>0</v>
      </c>
      <c r="U524" s="6">
        <v>5172</v>
      </c>
      <c r="V524">
        <v>0</v>
      </c>
      <c r="W524">
        <v>1</v>
      </c>
      <c r="X524">
        <v>0</v>
      </c>
      <c r="Y524" s="6">
        <v>34.700000000000003</v>
      </c>
      <c r="Z524">
        <v>1.7999999999999999E-2</v>
      </c>
      <c r="AA524">
        <v>2.9000000000000001E-2</v>
      </c>
      <c r="AB524">
        <v>7.4999999999999997E-2</v>
      </c>
      <c r="AC524">
        <v>4</v>
      </c>
      <c r="AD524" s="6">
        <v>125</v>
      </c>
      <c r="AE524" s="6">
        <v>0</v>
      </c>
      <c r="AF524" s="6">
        <v>0</v>
      </c>
      <c r="AG524" s="6">
        <v>187.13</v>
      </c>
      <c r="AH524" s="6">
        <v>235.12</v>
      </c>
      <c r="AI524" s="6">
        <f t="shared" si="16"/>
        <v>47.990000000000009</v>
      </c>
      <c r="AJ524" s="5">
        <f t="shared" si="17"/>
        <v>0.20410854031983672</v>
      </c>
    </row>
    <row r="525" spans="1:36">
      <c r="A525" t="s">
        <v>298</v>
      </c>
      <c r="B525" t="s">
        <v>810</v>
      </c>
      <c r="C525" t="s">
        <v>70</v>
      </c>
      <c r="D525" t="s">
        <v>72</v>
      </c>
      <c r="E525" t="s">
        <v>55</v>
      </c>
      <c r="F525">
        <v>0</v>
      </c>
      <c r="G525">
        <v>327</v>
      </c>
      <c r="H525">
        <v>1.22</v>
      </c>
      <c r="I525" t="s">
        <v>220</v>
      </c>
      <c r="J525">
        <v>2</v>
      </c>
      <c r="K525" s="6">
        <v>4.46</v>
      </c>
      <c r="L525" t="s">
        <v>174</v>
      </c>
      <c r="M525">
        <v>0</v>
      </c>
      <c r="N525" t="s">
        <v>187</v>
      </c>
      <c r="O525">
        <v>2</v>
      </c>
      <c r="P525">
        <v>0</v>
      </c>
      <c r="Q525" s="6">
        <v>30.3</v>
      </c>
      <c r="R525">
        <v>0</v>
      </c>
      <c r="S525" s="6">
        <v>0</v>
      </c>
      <c r="T525">
        <v>0</v>
      </c>
      <c r="U525" s="6">
        <v>3551</v>
      </c>
      <c r="V525">
        <v>0</v>
      </c>
      <c r="W525">
        <v>0</v>
      </c>
      <c r="X525">
        <v>0</v>
      </c>
      <c r="Y525" s="6">
        <v>34.700000000000003</v>
      </c>
      <c r="Z525">
        <v>1.7999999999999999E-2</v>
      </c>
      <c r="AA525">
        <v>2.9000000000000001E-2</v>
      </c>
      <c r="AB525">
        <v>7.4999999999999997E-2</v>
      </c>
      <c r="AC525">
        <v>4</v>
      </c>
      <c r="AD525" s="6">
        <v>70</v>
      </c>
      <c r="AE525" s="6">
        <v>0</v>
      </c>
      <c r="AF525" s="6">
        <v>0</v>
      </c>
      <c r="AG525" s="6">
        <v>78.06</v>
      </c>
      <c r="AH525" s="6">
        <v>98.85</v>
      </c>
      <c r="AI525" s="6">
        <f t="shared" si="16"/>
        <v>20.789999999999992</v>
      </c>
      <c r="AJ525" s="5">
        <f t="shared" si="17"/>
        <v>0.21031866464339902</v>
      </c>
    </row>
    <row r="526" spans="1:36">
      <c r="A526" t="s">
        <v>478</v>
      </c>
      <c r="B526" t="s">
        <v>811</v>
      </c>
      <c r="C526" t="s">
        <v>70</v>
      </c>
      <c r="D526" t="s">
        <v>72</v>
      </c>
      <c r="E526" t="s">
        <v>55</v>
      </c>
      <c r="F526">
        <v>0</v>
      </c>
      <c r="G526">
        <v>327</v>
      </c>
      <c r="H526">
        <v>1.22</v>
      </c>
      <c r="I526" t="s">
        <v>220</v>
      </c>
      <c r="J526">
        <v>2</v>
      </c>
      <c r="K526" s="6">
        <v>2.4500000000000002</v>
      </c>
      <c r="L526" t="s">
        <v>174</v>
      </c>
      <c r="M526">
        <v>0</v>
      </c>
      <c r="N526" t="s">
        <v>187</v>
      </c>
      <c r="O526">
        <v>2</v>
      </c>
      <c r="P526">
        <v>0</v>
      </c>
      <c r="Q526" s="6">
        <v>34.9</v>
      </c>
      <c r="R526">
        <v>1</v>
      </c>
      <c r="S526" s="6">
        <v>523</v>
      </c>
      <c r="T526">
        <v>0</v>
      </c>
      <c r="U526" s="6">
        <v>2517</v>
      </c>
      <c r="V526">
        <v>1</v>
      </c>
      <c r="W526">
        <v>0</v>
      </c>
      <c r="X526">
        <v>0</v>
      </c>
      <c r="Y526" s="6">
        <v>34.700000000000003</v>
      </c>
      <c r="Z526">
        <v>1.7999999999999999E-2</v>
      </c>
      <c r="AA526">
        <v>2.9000000000000001E-2</v>
      </c>
      <c r="AB526">
        <v>7.4999999999999997E-2</v>
      </c>
      <c r="AC526">
        <v>4</v>
      </c>
      <c r="AD526" s="6">
        <v>70</v>
      </c>
      <c r="AE526" s="6">
        <v>25</v>
      </c>
      <c r="AF526" s="6">
        <v>0</v>
      </c>
      <c r="AG526" s="6">
        <v>128.11000000000001</v>
      </c>
      <c r="AH526" s="6">
        <v>161.22</v>
      </c>
      <c r="AI526" s="6">
        <f t="shared" si="16"/>
        <v>33.109999999999985</v>
      </c>
      <c r="AJ526" s="5">
        <f t="shared" si="17"/>
        <v>0.20537154199230856</v>
      </c>
    </row>
    <row r="527" spans="1:36">
      <c r="A527" t="s">
        <v>190</v>
      </c>
      <c r="B527" t="s">
        <v>812</v>
      </c>
      <c r="C527" t="s">
        <v>70</v>
      </c>
      <c r="D527" t="s">
        <v>72</v>
      </c>
      <c r="E527" t="s">
        <v>55</v>
      </c>
      <c r="F527">
        <v>0</v>
      </c>
      <c r="G527">
        <v>327</v>
      </c>
      <c r="H527">
        <v>1.22</v>
      </c>
      <c r="I527" t="s">
        <v>220</v>
      </c>
      <c r="J527">
        <v>2</v>
      </c>
      <c r="K527" s="6">
        <v>1.75</v>
      </c>
      <c r="L527" t="s">
        <v>174</v>
      </c>
      <c r="M527">
        <v>0</v>
      </c>
      <c r="N527" t="s">
        <v>182</v>
      </c>
      <c r="O527">
        <v>3</v>
      </c>
      <c r="P527">
        <v>0</v>
      </c>
      <c r="Q527" s="6">
        <v>80.400000000000006</v>
      </c>
      <c r="R527">
        <v>0</v>
      </c>
      <c r="S527" s="6">
        <v>0</v>
      </c>
      <c r="T527">
        <v>0</v>
      </c>
      <c r="U527" s="6">
        <v>2348</v>
      </c>
      <c r="V527">
        <v>0</v>
      </c>
      <c r="W527">
        <v>0</v>
      </c>
      <c r="X527">
        <v>0</v>
      </c>
      <c r="Y527" s="6">
        <v>34.700000000000003</v>
      </c>
      <c r="Z527">
        <v>1.7999999999999999E-2</v>
      </c>
      <c r="AA527">
        <v>2.9000000000000001E-2</v>
      </c>
      <c r="AB527">
        <v>7.4999999999999997E-2</v>
      </c>
      <c r="AC527">
        <v>4</v>
      </c>
      <c r="AD527" s="6">
        <v>70</v>
      </c>
      <c r="AE527" s="6">
        <v>0</v>
      </c>
      <c r="AF527" s="6">
        <v>0</v>
      </c>
      <c r="AG527" s="6">
        <v>83.91</v>
      </c>
      <c r="AH527" s="6">
        <v>107.75</v>
      </c>
      <c r="AI527" s="6">
        <f t="shared" si="16"/>
        <v>23.840000000000003</v>
      </c>
      <c r="AJ527" s="5">
        <f t="shared" si="17"/>
        <v>0.2212529002320186</v>
      </c>
    </row>
    <row r="528" spans="1:36">
      <c r="A528" t="s">
        <v>521</v>
      </c>
      <c r="B528" t="s">
        <v>813</v>
      </c>
      <c r="C528" t="s">
        <v>70</v>
      </c>
      <c r="D528" t="s">
        <v>72</v>
      </c>
      <c r="E528" t="s">
        <v>55</v>
      </c>
      <c r="F528">
        <v>0</v>
      </c>
      <c r="G528">
        <v>327</v>
      </c>
      <c r="H528">
        <v>1</v>
      </c>
      <c r="I528" t="s">
        <v>173</v>
      </c>
      <c r="J528">
        <v>1</v>
      </c>
      <c r="K528" s="6">
        <v>1.75</v>
      </c>
      <c r="L528" t="s">
        <v>174</v>
      </c>
      <c r="M528">
        <v>0</v>
      </c>
      <c r="N528" t="s">
        <v>217</v>
      </c>
      <c r="O528">
        <v>4</v>
      </c>
      <c r="P528">
        <v>1</v>
      </c>
      <c r="Q528" s="6">
        <v>171.2</v>
      </c>
      <c r="R528">
        <v>1</v>
      </c>
      <c r="S528" s="6">
        <v>1442</v>
      </c>
      <c r="T528">
        <v>0</v>
      </c>
      <c r="U528" s="6">
        <v>2170</v>
      </c>
      <c r="V528">
        <v>0</v>
      </c>
      <c r="W528">
        <v>0</v>
      </c>
      <c r="X528">
        <v>0</v>
      </c>
      <c r="Y528" s="6">
        <v>34.700000000000003</v>
      </c>
      <c r="Z528">
        <v>1.7999999999999999E-2</v>
      </c>
      <c r="AA528">
        <v>2.9000000000000001E-2</v>
      </c>
      <c r="AB528">
        <v>7.4999999999999997E-2</v>
      </c>
      <c r="AC528">
        <v>4</v>
      </c>
      <c r="AD528" s="6">
        <v>65</v>
      </c>
      <c r="AE528" s="6">
        <v>25</v>
      </c>
      <c r="AF528" s="6">
        <v>0</v>
      </c>
      <c r="AG528" s="6">
        <v>110.99</v>
      </c>
      <c r="AH528" s="6">
        <v>142.80000000000001</v>
      </c>
      <c r="AI528" s="6">
        <f t="shared" si="16"/>
        <v>31.810000000000016</v>
      </c>
      <c r="AJ528" s="5">
        <f t="shared" si="17"/>
        <v>0.22275910364145668</v>
      </c>
    </row>
    <row r="529" spans="1:36">
      <c r="A529" t="s">
        <v>277</v>
      </c>
      <c r="B529" t="s">
        <v>814</v>
      </c>
      <c r="C529" t="s">
        <v>70</v>
      </c>
      <c r="D529" t="s">
        <v>72</v>
      </c>
      <c r="E529" t="s">
        <v>55</v>
      </c>
      <c r="F529">
        <v>0</v>
      </c>
      <c r="G529">
        <v>327</v>
      </c>
      <c r="H529">
        <v>1.22</v>
      </c>
      <c r="I529" t="s">
        <v>173</v>
      </c>
      <c r="J529">
        <v>1</v>
      </c>
      <c r="K529" s="6">
        <v>1.79</v>
      </c>
      <c r="L529" t="s">
        <v>174</v>
      </c>
      <c r="M529">
        <v>0</v>
      </c>
      <c r="N529" t="s">
        <v>187</v>
      </c>
      <c r="O529">
        <v>2</v>
      </c>
      <c r="P529">
        <v>0</v>
      </c>
      <c r="Q529" s="6">
        <v>41</v>
      </c>
      <c r="R529">
        <v>1</v>
      </c>
      <c r="S529" s="6">
        <v>2790</v>
      </c>
      <c r="T529">
        <v>0</v>
      </c>
      <c r="U529" s="6">
        <v>2559</v>
      </c>
      <c r="V529">
        <v>0</v>
      </c>
      <c r="W529">
        <v>0</v>
      </c>
      <c r="X529">
        <v>0</v>
      </c>
      <c r="Y529" s="6">
        <v>34.700000000000003</v>
      </c>
      <c r="Z529">
        <v>1.7999999999999999E-2</v>
      </c>
      <c r="AA529">
        <v>2.9000000000000001E-2</v>
      </c>
      <c r="AB529">
        <v>7.4999999999999997E-2</v>
      </c>
      <c r="AC529">
        <v>4</v>
      </c>
      <c r="AD529" s="6">
        <v>65</v>
      </c>
      <c r="AE529" s="6">
        <v>50</v>
      </c>
      <c r="AF529" s="6">
        <v>0</v>
      </c>
      <c r="AG529" s="6">
        <v>74.55</v>
      </c>
      <c r="AH529" s="6">
        <v>96.22</v>
      </c>
      <c r="AI529" s="6">
        <f t="shared" si="16"/>
        <v>21.67</v>
      </c>
      <c r="AJ529" s="5">
        <f t="shared" si="17"/>
        <v>0.22521305341924758</v>
      </c>
    </row>
    <row r="530" spans="1:36">
      <c r="A530" t="s">
        <v>247</v>
      </c>
      <c r="B530" t="s">
        <v>815</v>
      </c>
      <c r="C530" t="s">
        <v>70</v>
      </c>
      <c r="D530" t="s">
        <v>72</v>
      </c>
      <c r="E530" t="s">
        <v>55</v>
      </c>
      <c r="F530">
        <v>0</v>
      </c>
      <c r="G530">
        <v>327</v>
      </c>
      <c r="H530">
        <v>1</v>
      </c>
      <c r="I530" t="s">
        <v>173</v>
      </c>
      <c r="J530">
        <v>1</v>
      </c>
      <c r="K530" s="6">
        <v>1.75</v>
      </c>
      <c r="L530" t="s">
        <v>174</v>
      </c>
      <c r="M530">
        <v>0</v>
      </c>
      <c r="N530" t="s">
        <v>187</v>
      </c>
      <c r="O530">
        <v>2</v>
      </c>
      <c r="P530">
        <v>0</v>
      </c>
      <c r="Q530" s="6">
        <v>53.9</v>
      </c>
      <c r="R530">
        <v>1</v>
      </c>
      <c r="S530" s="6">
        <v>1742</v>
      </c>
      <c r="T530">
        <v>0</v>
      </c>
      <c r="U530" s="6">
        <v>4353</v>
      </c>
      <c r="V530">
        <v>0</v>
      </c>
      <c r="W530">
        <v>0</v>
      </c>
      <c r="X530">
        <v>0</v>
      </c>
      <c r="Y530" s="6">
        <v>34.700000000000003</v>
      </c>
      <c r="Z530">
        <v>1.7999999999999999E-2</v>
      </c>
      <c r="AA530">
        <v>2.9000000000000001E-2</v>
      </c>
      <c r="AB530">
        <v>7.4999999999999997E-2</v>
      </c>
      <c r="AC530">
        <v>4</v>
      </c>
      <c r="AD530" s="6">
        <v>65</v>
      </c>
      <c r="AE530" s="6">
        <v>25</v>
      </c>
      <c r="AF530" s="6">
        <v>0</v>
      </c>
      <c r="AG530" s="6">
        <v>68.08</v>
      </c>
      <c r="AH530" s="6">
        <v>89.31</v>
      </c>
      <c r="AI530" s="6">
        <f t="shared" si="16"/>
        <v>21.230000000000004</v>
      </c>
      <c r="AJ530" s="5">
        <f t="shared" si="17"/>
        <v>0.237711342514836</v>
      </c>
    </row>
    <row r="531" spans="1:36">
      <c r="A531" t="s">
        <v>296</v>
      </c>
      <c r="B531" t="s">
        <v>816</v>
      </c>
      <c r="C531" t="s">
        <v>70</v>
      </c>
      <c r="D531" t="s">
        <v>72</v>
      </c>
      <c r="E531" t="s">
        <v>55</v>
      </c>
      <c r="F531">
        <v>0</v>
      </c>
      <c r="G531">
        <v>327</v>
      </c>
      <c r="H531">
        <v>1</v>
      </c>
      <c r="I531" t="s">
        <v>220</v>
      </c>
      <c r="J531">
        <v>2</v>
      </c>
      <c r="K531" s="6">
        <v>5.25</v>
      </c>
      <c r="L531" t="s">
        <v>174</v>
      </c>
      <c r="M531">
        <v>0</v>
      </c>
      <c r="N531" t="s">
        <v>175</v>
      </c>
      <c r="O531">
        <v>1</v>
      </c>
      <c r="P531">
        <v>0</v>
      </c>
      <c r="Q531" s="6">
        <v>51.4</v>
      </c>
      <c r="R531">
        <v>1</v>
      </c>
      <c r="S531" s="6">
        <v>1465</v>
      </c>
      <c r="T531">
        <v>0</v>
      </c>
      <c r="U531" s="6">
        <v>2495</v>
      </c>
      <c r="V531">
        <v>0</v>
      </c>
      <c r="W531">
        <v>0</v>
      </c>
      <c r="X531">
        <v>0</v>
      </c>
      <c r="Y531" s="6">
        <v>34.700000000000003</v>
      </c>
      <c r="Z531">
        <v>1.7999999999999999E-2</v>
      </c>
      <c r="AA531">
        <v>2.9000000000000001E-2</v>
      </c>
      <c r="AB531">
        <v>7.4999999999999997E-2</v>
      </c>
      <c r="AC531">
        <v>4</v>
      </c>
      <c r="AD531" s="6">
        <v>70</v>
      </c>
      <c r="AE531" s="6">
        <v>25</v>
      </c>
      <c r="AF531" s="6">
        <v>0</v>
      </c>
      <c r="AG531" s="6">
        <v>75.180000000000007</v>
      </c>
      <c r="AH531" s="6">
        <v>94.41</v>
      </c>
      <c r="AI531" s="6">
        <f t="shared" si="16"/>
        <v>19.22999999999999</v>
      </c>
      <c r="AJ531" s="5">
        <f t="shared" si="17"/>
        <v>0.20368605020654582</v>
      </c>
    </row>
    <row r="532" spans="1:36">
      <c r="A532" t="s">
        <v>192</v>
      </c>
      <c r="B532" t="s">
        <v>817</v>
      </c>
      <c r="C532" t="s">
        <v>70</v>
      </c>
      <c r="D532" t="s">
        <v>72</v>
      </c>
      <c r="E532" t="s">
        <v>55</v>
      </c>
      <c r="F532">
        <v>0</v>
      </c>
      <c r="G532">
        <v>327</v>
      </c>
      <c r="H532">
        <v>1</v>
      </c>
      <c r="I532" t="s">
        <v>181</v>
      </c>
      <c r="J532">
        <v>3</v>
      </c>
      <c r="K532" s="6">
        <v>9.31</v>
      </c>
      <c r="L532" t="s">
        <v>174</v>
      </c>
      <c r="M532">
        <v>0</v>
      </c>
      <c r="N532" t="s">
        <v>187</v>
      </c>
      <c r="O532">
        <v>2</v>
      </c>
      <c r="P532">
        <v>0</v>
      </c>
      <c r="Q532" s="6">
        <v>58.1</v>
      </c>
      <c r="R532">
        <v>1</v>
      </c>
      <c r="S532" s="6">
        <v>1287</v>
      </c>
      <c r="T532">
        <v>0</v>
      </c>
      <c r="U532" s="6">
        <v>4562</v>
      </c>
      <c r="V532">
        <v>0</v>
      </c>
      <c r="W532">
        <v>0</v>
      </c>
      <c r="X532">
        <v>0</v>
      </c>
      <c r="Y532" s="6">
        <v>34.700000000000003</v>
      </c>
      <c r="Z532">
        <v>1.7999999999999999E-2</v>
      </c>
      <c r="AA532">
        <v>2.9000000000000001E-2</v>
      </c>
      <c r="AB532">
        <v>7.4999999999999997E-2</v>
      </c>
      <c r="AC532">
        <v>4</v>
      </c>
      <c r="AD532" s="6">
        <v>105</v>
      </c>
      <c r="AE532" s="6">
        <v>25</v>
      </c>
      <c r="AF532" s="6">
        <v>0</v>
      </c>
      <c r="AG532" s="6">
        <v>113.55</v>
      </c>
      <c r="AH532" s="6">
        <v>145.88999999999999</v>
      </c>
      <c r="AI532" s="6">
        <f t="shared" si="16"/>
        <v>32.339999999999989</v>
      </c>
      <c r="AJ532" s="5">
        <f t="shared" si="17"/>
        <v>0.22167386387003901</v>
      </c>
    </row>
    <row r="533" spans="1:36">
      <c r="A533" t="s">
        <v>512</v>
      </c>
      <c r="B533" t="s">
        <v>818</v>
      </c>
      <c r="C533" t="s">
        <v>70</v>
      </c>
      <c r="D533" t="s">
        <v>72</v>
      </c>
      <c r="E533" t="s">
        <v>55</v>
      </c>
      <c r="F533">
        <v>0</v>
      </c>
      <c r="G533">
        <v>327</v>
      </c>
      <c r="H533">
        <v>1.22</v>
      </c>
      <c r="I533" t="s">
        <v>220</v>
      </c>
      <c r="J533">
        <v>2</v>
      </c>
      <c r="K533" s="6">
        <v>5.0599999999999996</v>
      </c>
      <c r="L533" t="s">
        <v>174</v>
      </c>
      <c r="M533">
        <v>0</v>
      </c>
      <c r="N533" t="s">
        <v>175</v>
      </c>
      <c r="O533">
        <v>1</v>
      </c>
      <c r="P533">
        <v>0</v>
      </c>
      <c r="Q533" s="6">
        <v>22.2</v>
      </c>
      <c r="R533">
        <v>1</v>
      </c>
      <c r="S533" s="6">
        <v>992</v>
      </c>
      <c r="T533">
        <v>0</v>
      </c>
      <c r="U533" s="6">
        <v>1285</v>
      </c>
      <c r="V533">
        <v>0</v>
      </c>
      <c r="W533">
        <v>1</v>
      </c>
      <c r="X533">
        <v>0</v>
      </c>
      <c r="Y533" s="6">
        <v>34.700000000000003</v>
      </c>
      <c r="Z533">
        <v>1.7999999999999999E-2</v>
      </c>
      <c r="AA533">
        <v>2.9000000000000001E-2</v>
      </c>
      <c r="AB533">
        <v>7.4999999999999997E-2</v>
      </c>
      <c r="AC533">
        <v>4</v>
      </c>
      <c r="AD533" s="6">
        <v>70</v>
      </c>
      <c r="AE533" s="6">
        <v>25</v>
      </c>
      <c r="AF533" s="6">
        <v>0</v>
      </c>
      <c r="AG533" s="6">
        <v>107.06</v>
      </c>
      <c r="AH533" s="6">
        <v>136.52000000000001</v>
      </c>
      <c r="AI533" s="6">
        <f t="shared" si="16"/>
        <v>29.460000000000008</v>
      </c>
      <c r="AJ533" s="5">
        <f t="shared" si="17"/>
        <v>0.21579255786697923</v>
      </c>
    </row>
    <row r="534" spans="1:36">
      <c r="A534" t="s">
        <v>478</v>
      </c>
      <c r="B534" t="s">
        <v>819</v>
      </c>
      <c r="C534" t="s">
        <v>70</v>
      </c>
      <c r="D534" t="s">
        <v>72</v>
      </c>
      <c r="E534" t="s">
        <v>55</v>
      </c>
      <c r="F534">
        <v>0</v>
      </c>
      <c r="G534">
        <v>327</v>
      </c>
      <c r="H534">
        <v>1.22</v>
      </c>
      <c r="I534" t="s">
        <v>181</v>
      </c>
      <c r="J534">
        <v>3</v>
      </c>
      <c r="K534" s="6">
        <v>5.76</v>
      </c>
      <c r="L534" t="s">
        <v>174</v>
      </c>
      <c r="M534">
        <v>0</v>
      </c>
      <c r="N534" t="s">
        <v>187</v>
      </c>
      <c r="O534">
        <v>2</v>
      </c>
      <c r="P534">
        <v>0</v>
      </c>
      <c r="Q534" s="6">
        <v>54.4</v>
      </c>
      <c r="R534">
        <v>0</v>
      </c>
      <c r="S534" s="6">
        <v>0</v>
      </c>
      <c r="T534">
        <v>0</v>
      </c>
      <c r="U534" s="6">
        <v>2323</v>
      </c>
      <c r="V534">
        <v>0</v>
      </c>
      <c r="W534">
        <v>0</v>
      </c>
      <c r="X534">
        <v>0</v>
      </c>
      <c r="Y534" s="6">
        <v>34.700000000000003</v>
      </c>
      <c r="Z534">
        <v>1.7999999999999999E-2</v>
      </c>
      <c r="AA534">
        <v>2.9000000000000001E-2</v>
      </c>
      <c r="AB534">
        <v>7.4999999999999997E-2</v>
      </c>
      <c r="AC534">
        <v>4</v>
      </c>
      <c r="AD534" s="6">
        <v>105</v>
      </c>
      <c r="AE534" s="6">
        <v>0</v>
      </c>
      <c r="AF534" s="6">
        <v>0</v>
      </c>
      <c r="AG534" s="6">
        <v>96.1</v>
      </c>
      <c r="AH534" s="6">
        <v>121.66</v>
      </c>
      <c r="AI534" s="6">
        <f t="shared" si="16"/>
        <v>25.560000000000002</v>
      </c>
      <c r="AJ534" s="5">
        <f t="shared" si="17"/>
        <v>0.21009370376458986</v>
      </c>
    </row>
    <row r="535" spans="1:36">
      <c r="A535" t="s">
        <v>348</v>
      </c>
      <c r="B535" t="s">
        <v>820</v>
      </c>
      <c r="C535" t="s">
        <v>70</v>
      </c>
      <c r="D535" t="s">
        <v>72</v>
      </c>
      <c r="E535" t="s">
        <v>55</v>
      </c>
      <c r="F535">
        <v>0</v>
      </c>
      <c r="G535">
        <v>327</v>
      </c>
      <c r="H535">
        <v>1.22</v>
      </c>
      <c r="I535" t="s">
        <v>220</v>
      </c>
      <c r="J535">
        <v>2</v>
      </c>
      <c r="K535" s="6">
        <v>3.99</v>
      </c>
      <c r="L535" t="s">
        <v>174</v>
      </c>
      <c r="M535">
        <v>0</v>
      </c>
      <c r="N535" t="s">
        <v>187</v>
      </c>
      <c r="O535">
        <v>2</v>
      </c>
      <c r="P535">
        <v>0</v>
      </c>
      <c r="Q535" s="6">
        <v>80</v>
      </c>
      <c r="R535">
        <v>1</v>
      </c>
      <c r="S535" s="6">
        <v>1959</v>
      </c>
      <c r="T535">
        <v>0</v>
      </c>
      <c r="U535" s="6">
        <v>942</v>
      </c>
      <c r="V535">
        <v>0</v>
      </c>
      <c r="W535">
        <v>0</v>
      </c>
      <c r="X535">
        <v>0</v>
      </c>
      <c r="Y535" s="6">
        <v>34.700000000000003</v>
      </c>
      <c r="Z535">
        <v>1.7999999999999999E-2</v>
      </c>
      <c r="AA535">
        <v>2.9000000000000001E-2</v>
      </c>
      <c r="AB535">
        <v>7.4999999999999997E-2</v>
      </c>
      <c r="AC535">
        <v>4</v>
      </c>
      <c r="AD535" s="6">
        <v>70</v>
      </c>
      <c r="AE535" s="6">
        <v>25</v>
      </c>
      <c r="AF535" s="6">
        <v>0</v>
      </c>
      <c r="AG535" s="6">
        <v>74.069999999999993</v>
      </c>
      <c r="AH535" s="6">
        <v>97.1</v>
      </c>
      <c r="AI535" s="6">
        <f t="shared" si="16"/>
        <v>23.03</v>
      </c>
      <c r="AJ535" s="5">
        <f t="shared" si="17"/>
        <v>0.23717816683831106</v>
      </c>
    </row>
    <row r="536" spans="1:36">
      <c r="A536" t="s">
        <v>345</v>
      </c>
      <c r="B536" t="s">
        <v>821</v>
      </c>
      <c r="C536" t="s">
        <v>70</v>
      </c>
      <c r="D536" t="s">
        <v>72</v>
      </c>
      <c r="E536" t="s">
        <v>55</v>
      </c>
      <c r="F536">
        <v>0</v>
      </c>
      <c r="G536">
        <v>327</v>
      </c>
      <c r="H536">
        <v>1</v>
      </c>
      <c r="I536" t="s">
        <v>173</v>
      </c>
      <c r="J536">
        <v>1</v>
      </c>
      <c r="K536" s="6">
        <v>1.42</v>
      </c>
      <c r="L536" t="s">
        <v>174</v>
      </c>
      <c r="M536">
        <v>0</v>
      </c>
      <c r="N536" t="s">
        <v>187</v>
      </c>
      <c r="O536">
        <v>2</v>
      </c>
      <c r="P536">
        <v>0</v>
      </c>
      <c r="Q536" s="6">
        <v>62.5</v>
      </c>
      <c r="R536">
        <v>1</v>
      </c>
      <c r="S536" s="6">
        <v>803</v>
      </c>
      <c r="T536">
        <v>0</v>
      </c>
      <c r="U536" s="6">
        <v>972</v>
      </c>
      <c r="V536">
        <v>1</v>
      </c>
      <c r="W536">
        <v>0</v>
      </c>
      <c r="X536">
        <v>0</v>
      </c>
      <c r="Y536" s="6">
        <v>34.700000000000003</v>
      </c>
      <c r="Z536">
        <v>1.7999999999999999E-2</v>
      </c>
      <c r="AA536">
        <v>2.9000000000000001E-2</v>
      </c>
      <c r="AB536">
        <v>7.4999999999999997E-2</v>
      </c>
      <c r="AC536">
        <v>4</v>
      </c>
      <c r="AD536" s="6">
        <v>65</v>
      </c>
      <c r="AE536" s="6">
        <v>25</v>
      </c>
      <c r="AF536" s="6">
        <v>0</v>
      </c>
      <c r="AG536" s="6">
        <v>103.45</v>
      </c>
      <c r="AH536" s="6">
        <v>131.21</v>
      </c>
      <c r="AI536" s="6">
        <f t="shared" si="16"/>
        <v>27.760000000000005</v>
      </c>
      <c r="AJ536" s="5">
        <f t="shared" si="17"/>
        <v>0.21156924014937889</v>
      </c>
    </row>
    <row r="537" spans="1:36">
      <c r="A537" t="s">
        <v>512</v>
      </c>
      <c r="B537" t="s">
        <v>822</v>
      </c>
      <c r="C537" t="s">
        <v>70</v>
      </c>
      <c r="D537" t="s">
        <v>72</v>
      </c>
      <c r="E537" t="s">
        <v>55</v>
      </c>
      <c r="F537">
        <v>0</v>
      </c>
      <c r="G537">
        <v>327</v>
      </c>
      <c r="H537">
        <v>1.22</v>
      </c>
      <c r="I537" t="s">
        <v>173</v>
      </c>
      <c r="J537">
        <v>1</v>
      </c>
      <c r="K537" s="6">
        <v>2.27</v>
      </c>
      <c r="L537" t="s">
        <v>174</v>
      </c>
      <c r="M537">
        <v>0</v>
      </c>
      <c r="N537" t="s">
        <v>175</v>
      </c>
      <c r="O537">
        <v>1</v>
      </c>
      <c r="P537">
        <v>0</v>
      </c>
      <c r="Q537" s="6">
        <v>44.4</v>
      </c>
      <c r="R537">
        <v>0</v>
      </c>
      <c r="S537" s="6">
        <v>0</v>
      </c>
      <c r="T537">
        <v>0</v>
      </c>
      <c r="U537" s="6">
        <v>2962</v>
      </c>
      <c r="V537">
        <v>0</v>
      </c>
      <c r="W537">
        <v>0</v>
      </c>
      <c r="X537">
        <v>0</v>
      </c>
      <c r="Y537" s="6">
        <v>34.700000000000003</v>
      </c>
      <c r="Z537">
        <v>1.7999999999999999E-2</v>
      </c>
      <c r="AA537">
        <v>2.9000000000000001E-2</v>
      </c>
      <c r="AB537">
        <v>7.4999999999999997E-2</v>
      </c>
      <c r="AC537">
        <v>4</v>
      </c>
      <c r="AD537" s="6">
        <v>65</v>
      </c>
      <c r="AE537" s="6">
        <v>0</v>
      </c>
      <c r="AF537" s="6">
        <v>0</v>
      </c>
      <c r="AG537" s="6">
        <v>68.12</v>
      </c>
      <c r="AH537" s="6">
        <v>85.18</v>
      </c>
      <c r="AI537" s="6">
        <f t="shared" si="16"/>
        <v>17.060000000000002</v>
      </c>
      <c r="AJ537" s="5">
        <f t="shared" si="17"/>
        <v>0.2002817562808171</v>
      </c>
    </row>
    <row r="538" spans="1:36">
      <c r="A538" t="s">
        <v>319</v>
      </c>
      <c r="B538" t="s">
        <v>823</v>
      </c>
      <c r="C538" t="s">
        <v>70</v>
      </c>
      <c r="D538" t="s">
        <v>72</v>
      </c>
      <c r="E538" t="s">
        <v>55</v>
      </c>
      <c r="F538">
        <v>0</v>
      </c>
      <c r="G538">
        <v>327</v>
      </c>
      <c r="H538">
        <v>1.22</v>
      </c>
      <c r="I538" t="s">
        <v>220</v>
      </c>
      <c r="J538">
        <v>2</v>
      </c>
      <c r="K538" s="6">
        <v>3.73</v>
      </c>
      <c r="L538" t="s">
        <v>174</v>
      </c>
      <c r="M538">
        <v>0</v>
      </c>
      <c r="N538" t="s">
        <v>187</v>
      </c>
      <c r="O538">
        <v>2</v>
      </c>
      <c r="P538">
        <v>0</v>
      </c>
      <c r="Q538" s="6">
        <v>45.5</v>
      </c>
      <c r="R538">
        <v>0</v>
      </c>
      <c r="S538" s="6">
        <v>0</v>
      </c>
      <c r="T538">
        <v>0</v>
      </c>
      <c r="U538" s="6">
        <v>1270</v>
      </c>
      <c r="V538">
        <v>0</v>
      </c>
      <c r="W538">
        <v>0</v>
      </c>
      <c r="X538">
        <v>0</v>
      </c>
      <c r="Y538" s="6">
        <v>34.700000000000003</v>
      </c>
      <c r="Z538">
        <v>1.7999999999999999E-2</v>
      </c>
      <c r="AA538">
        <v>2.9000000000000001E-2</v>
      </c>
      <c r="AB538">
        <v>7.4999999999999997E-2</v>
      </c>
      <c r="AC538">
        <v>4</v>
      </c>
      <c r="AD538" s="6">
        <v>70</v>
      </c>
      <c r="AE538" s="6">
        <v>0</v>
      </c>
      <c r="AF538" s="6">
        <v>0</v>
      </c>
      <c r="AG538" s="6">
        <v>76.069999999999993</v>
      </c>
      <c r="AH538" s="6">
        <v>98.49</v>
      </c>
      <c r="AI538" s="6">
        <f t="shared" si="16"/>
        <v>22.42</v>
      </c>
      <c r="AJ538" s="5">
        <f t="shared" si="17"/>
        <v>0.22763732358615091</v>
      </c>
    </row>
    <row r="539" spans="1:36">
      <c r="A539" t="s">
        <v>348</v>
      </c>
      <c r="B539" t="s">
        <v>824</v>
      </c>
      <c r="C539" t="s">
        <v>70</v>
      </c>
      <c r="D539" t="s">
        <v>72</v>
      </c>
      <c r="E539" t="s">
        <v>55</v>
      </c>
      <c r="F539">
        <v>0</v>
      </c>
      <c r="G539">
        <v>327</v>
      </c>
      <c r="H539">
        <v>1.22</v>
      </c>
      <c r="I539" t="s">
        <v>173</v>
      </c>
      <c r="J539">
        <v>1</v>
      </c>
      <c r="K539" s="6">
        <v>1.85</v>
      </c>
      <c r="L539" t="s">
        <v>174</v>
      </c>
      <c r="M539">
        <v>0</v>
      </c>
      <c r="N539" t="s">
        <v>175</v>
      </c>
      <c r="O539">
        <v>1</v>
      </c>
      <c r="P539">
        <v>0</v>
      </c>
      <c r="Q539" s="6">
        <v>32</v>
      </c>
      <c r="R539">
        <v>1</v>
      </c>
      <c r="S539" s="6">
        <v>3853</v>
      </c>
      <c r="T539">
        <v>0</v>
      </c>
      <c r="U539" s="6">
        <v>961</v>
      </c>
      <c r="V539">
        <v>0</v>
      </c>
      <c r="W539">
        <v>0</v>
      </c>
      <c r="X539">
        <v>0</v>
      </c>
      <c r="Y539" s="6">
        <v>34.700000000000003</v>
      </c>
      <c r="Z539">
        <v>1.7999999999999999E-2</v>
      </c>
      <c r="AA539">
        <v>2.9000000000000001E-2</v>
      </c>
      <c r="AB539">
        <v>7.4999999999999997E-2</v>
      </c>
      <c r="AC539">
        <v>4</v>
      </c>
      <c r="AD539" s="6">
        <v>65</v>
      </c>
      <c r="AE539" s="6">
        <v>50</v>
      </c>
      <c r="AF539" s="6">
        <v>0</v>
      </c>
      <c r="AG539" s="6">
        <v>67.38</v>
      </c>
      <c r="AH539" s="6">
        <v>86.74</v>
      </c>
      <c r="AI539" s="6">
        <f t="shared" si="16"/>
        <v>19.36</v>
      </c>
      <c r="AJ539" s="5">
        <f t="shared" si="17"/>
        <v>0.22319575743601569</v>
      </c>
    </row>
    <row r="540" spans="1:36">
      <c r="A540" t="s">
        <v>238</v>
      </c>
      <c r="B540" t="s">
        <v>825</v>
      </c>
      <c r="C540" t="s">
        <v>70</v>
      </c>
      <c r="D540" t="s">
        <v>72</v>
      </c>
      <c r="E540" t="s">
        <v>55</v>
      </c>
      <c r="F540">
        <v>0</v>
      </c>
      <c r="G540">
        <v>327</v>
      </c>
      <c r="H540">
        <v>1</v>
      </c>
      <c r="I540" t="s">
        <v>173</v>
      </c>
      <c r="J540">
        <v>1</v>
      </c>
      <c r="K540" s="6">
        <v>2.0299999999999998</v>
      </c>
      <c r="L540" t="s">
        <v>174</v>
      </c>
      <c r="M540">
        <v>0</v>
      </c>
      <c r="N540" t="s">
        <v>182</v>
      </c>
      <c r="O540">
        <v>3</v>
      </c>
      <c r="P540">
        <v>0</v>
      </c>
      <c r="Q540" s="6">
        <v>58.9</v>
      </c>
      <c r="R540">
        <v>1</v>
      </c>
      <c r="S540" s="6">
        <v>966</v>
      </c>
      <c r="T540">
        <v>0</v>
      </c>
      <c r="U540" s="6">
        <v>1443</v>
      </c>
      <c r="V540">
        <v>0</v>
      </c>
      <c r="W540">
        <v>0</v>
      </c>
      <c r="X540">
        <v>0</v>
      </c>
      <c r="Y540" s="6">
        <v>34.700000000000003</v>
      </c>
      <c r="Z540">
        <v>1.7999999999999999E-2</v>
      </c>
      <c r="AA540">
        <v>2.9000000000000001E-2</v>
      </c>
      <c r="AB540">
        <v>7.4999999999999997E-2</v>
      </c>
      <c r="AC540">
        <v>4</v>
      </c>
      <c r="AD540" s="6">
        <v>65</v>
      </c>
      <c r="AE540" s="6">
        <v>25</v>
      </c>
      <c r="AF540" s="6">
        <v>0</v>
      </c>
      <c r="AG540" s="6">
        <v>70.39</v>
      </c>
      <c r="AH540" s="6">
        <v>91.68</v>
      </c>
      <c r="AI540" s="6">
        <f t="shared" si="16"/>
        <v>21.290000000000006</v>
      </c>
      <c r="AJ540" s="5">
        <f t="shared" si="17"/>
        <v>0.2322207678883072</v>
      </c>
    </row>
    <row r="541" spans="1:36">
      <c r="A541" t="s">
        <v>291</v>
      </c>
      <c r="B541" t="s">
        <v>826</v>
      </c>
      <c r="C541" t="s">
        <v>70</v>
      </c>
      <c r="D541" t="s">
        <v>72</v>
      </c>
      <c r="E541" t="s">
        <v>55</v>
      </c>
      <c r="F541">
        <v>0</v>
      </c>
      <c r="G541">
        <v>327</v>
      </c>
      <c r="H541">
        <v>1.22</v>
      </c>
      <c r="I541" t="s">
        <v>220</v>
      </c>
      <c r="J541">
        <v>2</v>
      </c>
      <c r="K541" s="6">
        <v>2.78</v>
      </c>
      <c r="L541" t="s">
        <v>174</v>
      </c>
      <c r="M541">
        <v>0</v>
      </c>
      <c r="N541" t="s">
        <v>175</v>
      </c>
      <c r="O541">
        <v>1</v>
      </c>
      <c r="P541">
        <v>0</v>
      </c>
      <c r="Q541" s="6">
        <v>26.6</v>
      </c>
      <c r="R541">
        <v>1</v>
      </c>
      <c r="S541" s="6">
        <v>438</v>
      </c>
      <c r="T541">
        <v>0</v>
      </c>
      <c r="U541" s="6">
        <v>2019</v>
      </c>
      <c r="V541">
        <v>0</v>
      </c>
      <c r="W541">
        <v>0</v>
      </c>
      <c r="X541">
        <v>0</v>
      </c>
      <c r="Y541" s="6">
        <v>34.700000000000003</v>
      </c>
      <c r="Z541">
        <v>1.7999999999999999E-2</v>
      </c>
      <c r="AA541">
        <v>2.9000000000000001E-2</v>
      </c>
      <c r="AB541">
        <v>7.4999999999999997E-2</v>
      </c>
      <c r="AC541">
        <v>4</v>
      </c>
      <c r="AD541" s="6">
        <v>70</v>
      </c>
      <c r="AE541" s="6">
        <v>25</v>
      </c>
      <c r="AF541" s="6">
        <v>0</v>
      </c>
      <c r="AG541" s="6">
        <v>75.97</v>
      </c>
      <c r="AH541" s="6">
        <v>99.75</v>
      </c>
      <c r="AI541" s="6">
        <f t="shared" si="16"/>
        <v>23.78</v>
      </c>
      <c r="AJ541" s="5">
        <f t="shared" si="17"/>
        <v>0.23839598997493736</v>
      </c>
    </row>
    <row r="542" spans="1:36">
      <c r="A542" t="s">
        <v>300</v>
      </c>
      <c r="B542" t="s">
        <v>827</v>
      </c>
      <c r="C542" t="s">
        <v>70</v>
      </c>
      <c r="D542" t="s">
        <v>72</v>
      </c>
      <c r="E542" t="s">
        <v>55</v>
      </c>
      <c r="F542">
        <v>0</v>
      </c>
      <c r="G542">
        <v>327</v>
      </c>
      <c r="H542">
        <v>1.22</v>
      </c>
      <c r="I542" t="s">
        <v>173</v>
      </c>
      <c r="J542">
        <v>1</v>
      </c>
      <c r="K542" s="6">
        <v>1.69</v>
      </c>
      <c r="L542" t="s">
        <v>174</v>
      </c>
      <c r="M542">
        <v>0</v>
      </c>
      <c r="N542" t="s">
        <v>182</v>
      </c>
      <c r="O542">
        <v>3</v>
      </c>
      <c r="P542">
        <v>0</v>
      </c>
      <c r="Q542" s="6">
        <v>137.30000000000001</v>
      </c>
      <c r="R542">
        <v>1</v>
      </c>
      <c r="S542" s="6">
        <v>959</v>
      </c>
      <c r="T542">
        <v>0</v>
      </c>
      <c r="U542" s="6">
        <v>2759</v>
      </c>
      <c r="V542">
        <v>0</v>
      </c>
      <c r="W542">
        <v>0</v>
      </c>
      <c r="X542">
        <v>0</v>
      </c>
      <c r="Y542" s="6">
        <v>34.700000000000003</v>
      </c>
      <c r="Z542">
        <v>1.7999999999999999E-2</v>
      </c>
      <c r="AA542">
        <v>2.9000000000000001E-2</v>
      </c>
      <c r="AB542">
        <v>7.4999999999999997E-2</v>
      </c>
      <c r="AC542">
        <v>4</v>
      </c>
      <c r="AD542" s="6">
        <v>65</v>
      </c>
      <c r="AE542" s="6">
        <v>25</v>
      </c>
      <c r="AF542" s="6">
        <v>0</v>
      </c>
      <c r="AG542" s="6">
        <v>87.14</v>
      </c>
      <c r="AH542" s="6">
        <v>111.33</v>
      </c>
      <c r="AI542" s="6">
        <f t="shared" si="16"/>
        <v>24.189999999999998</v>
      </c>
      <c r="AJ542" s="5">
        <f t="shared" si="17"/>
        <v>0.21728195454953739</v>
      </c>
    </row>
    <row r="543" spans="1:36">
      <c r="A543" t="s">
        <v>384</v>
      </c>
      <c r="B543" t="s">
        <v>828</v>
      </c>
      <c r="C543" t="s">
        <v>70</v>
      </c>
      <c r="D543" t="s">
        <v>72</v>
      </c>
      <c r="E543" t="s">
        <v>55</v>
      </c>
      <c r="F543">
        <v>0</v>
      </c>
      <c r="G543">
        <v>327</v>
      </c>
      <c r="H543">
        <v>1.22</v>
      </c>
      <c r="I543" t="s">
        <v>173</v>
      </c>
      <c r="J543">
        <v>1</v>
      </c>
      <c r="K543" s="6">
        <v>2.35</v>
      </c>
      <c r="L543" t="s">
        <v>174</v>
      </c>
      <c r="M543">
        <v>0</v>
      </c>
      <c r="N543" t="s">
        <v>175</v>
      </c>
      <c r="O543">
        <v>1</v>
      </c>
      <c r="P543">
        <v>0</v>
      </c>
      <c r="Q543" s="6">
        <v>28.1</v>
      </c>
      <c r="R543">
        <v>1</v>
      </c>
      <c r="S543" s="6">
        <v>4280</v>
      </c>
      <c r="T543">
        <v>0</v>
      </c>
      <c r="U543" s="6">
        <v>2126</v>
      </c>
      <c r="V543">
        <v>0</v>
      </c>
      <c r="W543">
        <v>0</v>
      </c>
      <c r="X543">
        <v>0</v>
      </c>
      <c r="Y543" s="6">
        <v>34.700000000000003</v>
      </c>
      <c r="Z543">
        <v>1.7999999999999999E-2</v>
      </c>
      <c r="AA543">
        <v>2.9000000000000001E-2</v>
      </c>
      <c r="AB543">
        <v>7.4999999999999997E-2</v>
      </c>
      <c r="AC543">
        <v>4</v>
      </c>
      <c r="AD543" s="6">
        <v>65</v>
      </c>
      <c r="AE543" s="6">
        <v>50</v>
      </c>
      <c r="AF543" s="6">
        <v>0</v>
      </c>
      <c r="AG543" s="6">
        <v>67.510000000000005</v>
      </c>
      <c r="AH543" s="6">
        <v>84.4</v>
      </c>
      <c r="AI543" s="6">
        <f t="shared" si="16"/>
        <v>16.89</v>
      </c>
      <c r="AJ543" s="5">
        <f t="shared" si="17"/>
        <v>0.20011848341232227</v>
      </c>
    </row>
    <row r="544" spans="1:36">
      <c r="A544" t="s">
        <v>521</v>
      </c>
      <c r="B544" t="s">
        <v>829</v>
      </c>
      <c r="C544" t="s">
        <v>70</v>
      </c>
      <c r="D544" t="s">
        <v>72</v>
      </c>
      <c r="E544" t="s">
        <v>55</v>
      </c>
      <c r="F544">
        <v>0</v>
      </c>
      <c r="G544">
        <v>327</v>
      </c>
      <c r="H544">
        <v>1</v>
      </c>
      <c r="I544" t="s">
        <v>181</v>
      </c>
      <c r="J544">
        <v>3</v>
      </c>
      <c r="K544" s="6">
        <v>4.75</v>
      </c>
      <c r="L544" t="s">
        <v>174</v>
      </c>
      <c r="M544">
        <v>0</v>
      </c>
      <c r="N544" t="s">
        <v>272</v>
      </c>
      <c r="O544">
        <v>5</v>
      </c>
      <c r="P544">
        <v>1</v>
      </c>
      <c r="Q544" s="6">
        <v>133.6</v>
      </c>
      <c r="R544">
        <v>1</v>
      </c>
      <c r="S544" s="6">
        <v>2297</v>
      </c>
      <c r="T544">
        <v>0</v>
      </c>
      <c r="U544" s="6">
        <v>1795</v>
      </c>
      <c r="V544">
        <v>0</v>
      </c>
      <c r="W544">
        <v>0</v>
      </c>
      <c r="X544">
        <v>0</v>
      </c>
      <c r="Y544" s="6">
        <v>34.700000000000003</v>
      </c>
      <c r="Z544">
        <v>1.7999999999999999E-2</v>
      </c>
      <c r="AA544">
        <v>2.9000000000000001E-2</v>
      </c>
      <c r="AB544">
        <v>7.4999999999999997E-2</v>
      </c>
      <c r="AC544">
        <v>4</v>
      </c>
      <c r="AD544" s="6">
        <v>195</v>
      </c>
      <c r="AE544" s="6">
        <v>50</v>
      </c>
      <c r="AF544" s="6">
        <v>0</v>
      </c>
      <c r="AG544" s="6">
        <v>177.83</v>
      </c>
      <c r="AH544" s="6">
        <v>225.74</v>
      </c>
      <c r="AI544" s="6">
        <f t="shared" si="16"/>
        <v>47.91</v>
      </c>
      <c r="AJ544" s="5">
        <f t="shared" si="17"/>
        <v>0.21223531496411799</v>
      </c>
    </row>
    <row r="545" spans="1:36">
      <c r="A545" t="s">
        <v>316</v>
      </c>
      <c r="B545" t="s">
        <v>830</v>
      </c>
      <c r="C545" t="s">
        <v>70</v>
      </c>
      <c r="D545" t="s">
        <v>72</v>
      </c>
      <c r="E545" t="s">
        <v>55</v>
      </c>
      <c r="F545">
        <v>0</v>
      </c>
      <c r="G545">
        <v>327</v>
      </c>
      <c r="H545">
        <v>1.22</v>
      </c>
      <c r="I545" t="s">
        <v>173</v>
      </c>
      <c r="J545">
        <v>1</v>
      </c>
      <c r="K545" s="6">
        <v>1.38</v>
      </c>
      <c r="L545" t="s">
        <v>174</v>
      </c>
      <c r="M545">
        <v>0</v>
      </c>
      <c r="N545" t="s">
        <v>182</v>
      </c>
      <c r="O545">
        <v>3</v>
      </c>
      <c r="P545">
        <v>0</v>
      </c>
      <c r="Q545" s="6">
        <v>102.6</v>
      </c>
      <c r="R545">
        <v>1</v>
      </c>
      <c r="S545" s="6">
        <v>601</v>
      </c>
      <c r="T545">
        <v>0</v>
      </c>
      <c r="U545" s="6">
        <v>2817</v>
      </c>
      <c r="V545">
        <v>1</v>
      </c>
      <c r="W545">
        <v>0</v>
      </c>
      <c r="X545">
        <v>0</v>
      </c>
      <c r="Y545" s="6">
        <v>34.700000000000003</v>
      </c>
      <c r="Z545">
        <v>1.7999999999999999E-2</v>
      </c>
      <c r="AA545">
        <v>2.9000000000000001E-2</v>
      </c>
      <c r="AB545">
        <v>7.4999999999999997E-2</v>
      </c>
      <c r="AC545">
        <v>4</v>
      </c>
      <c r="AD545" s="6">
        <v>65</v>
      </c>
      <c r="AE545" s="6">
        <v>25</v>
      </c>
      <c r="AF545" s="6">
        <v>0</v>
      </c>
      <c r="AG545" s="6">
        <v>123.82</v>
      </c>
      <c r="AH545" s="6">
        <v>159.57</v>
      </c>
      <c r="AI545" s="6">
        <f t="shared" si="16"/>
        <v>35.75</v>
      </c>
      <c r="AJ545" s="5">
        <f t="shared" si="17"/>
        <v>0.22403960644231372</v>
      </c>
    </row>
    <row r="546" spans="1:36">
      <c r="A546" t="s">
        <v>251</v>
      </c>
      <c r="B546" t="s">
        <v>831</v>
      </c>
      <c r="C546" t="s">
        <v>70</v>
      </c>
      <c r="D546" t="s">
        <v>72</v>
      </c>
      <c r="E546" t="s">
        <v>55</v>
      </c>
      <c r="F546">
        <v>0</v>
      </c>
      <c r="G546">
        <v>327</v>
      </c>
      <c r="H546">
        <v>1</v>
      </c>
      <c r="I546" t="s">
        <v>181</v>
      </c>
      <c r="J546">
        <v>3</v>
      </c>
      <c r="K546" s="6">
        <v>7.2</v>
      </c>
      <c r="L546" t="s">
        <v>174</v>
      </c>
      <c r="M546">
        <v>0</v>
      </c>
      <c r="N546" t="s">
        <v>182</v>
      </c>
      <c r="O546">
        <v>3</v>
      </c>
      <c r="P546">
        <v>0</v>
      </c>
      <c r="Q546" s="6">
        <v>80.8</v>
      </c>
      <c r="R546">
        <v>0</v>
      </c>
      <c r="S546" s="6">
        <v>0</v>
      </c>
      <c r="T546">
        <v>0</v>
      </c>
      <c r="U546" s="6">
        <v>1980</v>
      </c>
      <c r="V546">
        <v>0</v>
      </c>
      <c r="W546">
        <v>0</v>
      </c>
      <c r="X546">
        <v>0</v>
      </c>
      <c r="Y546" s="6">
        <v>34.700000000000003</v>
      </c>
      <c r="Z546">
        <v>1.7999999999999999E-2</v>
      </c>
      <c r="AA546">
        <v>2.9000000000000001E-2</v>
      </c>
      <c r="AB546">
        <v>7.4999999999999997E-2</v>
      </c>
      <c r="AC546">
        <v>4</v>
      </c>
      <c r="AD546" s="6">
        <v>105</v>
      </c>
      <c r="AE546" s="6">
        <v>0</v>
      </c>
      <c r="AF546" s="6">
        <v>0</v>
      </c>
      <c r="AG546" s="6">
        <v>93.23</v>
      </c>
      <c r="AH546" s="6">
        <v>119.02</v>
      </c>
      <c r="AI546" s="6">
        <f t="shared" si="16"/>
        <v>25.789999999999992</v>
      </c>
      <c r="AJ546" s="5">
        <f t="shared" si="17"/>
        <v>0.21668627121492179</v>
      </c>
    </row>
    <row r="547" spans="1:36">
      <c r="A547" t="s">
        <v>372</v>
      </c>
      <c r="B547" t="s">
        <v>832</v>
      </c>
      <c r="C547" t="s">
        <v>70</v>
      </c>
      <c r="D547" t="s">
        <v>72</v>
      </c>
      <c r="E547" t="s">
        <v>55</v>
      </c>
      <c r="F547">
        <v>0</v>
      </c>
      <c r="G547">
        <v>327</v>
      </c>
      <c r="H547">
        <v>1.22</v>
      </c>
      <c r="I547" t="s">
        <v>220</v>
      </c>
      <c r="J547">
        <v>2</v>
      </c>
      <c r="K547" s="6">
        <v>2.99</v>
      </c>
      <c r="L547" t="s">
        <v>174</v>
      </c>
      <c r="M547">
        <v>0</v>
      </c>
      <c r="N547" t="s">
        <v>175</v>
      </c>
      <c r="O547">
        <v>1</v>
      </c>
      <c r="P547">
        <v>0</v>
      </c>
      <c r="Q547" s="6">
        <v>50</v>
      </c>
      <c r="R547">
        <v>1</v>
      </c>
      <c r="S547" s="6">
        <v>2444</v>
      </c>
      <c r="T547">
        <v>0</v>
      </c>
      <c r="U547" s="6">
        <v>2735</v>
      </c>
      <c r="V547">
        <v>0</v>
      </c>
      <c r="W547">
        <v>0</v>
      </c>
      <c r="X547">
        <v>0</v>
      </c>
      <c r="Y547" s="6">
        <v>34.700000000000003</v>
      </c>
      <c r="Z547">
        <v>1.7999999999999999E-2</v>
      </c>
      <c r="AA547">
        <v>2.9000000000000001E-2</v>
      </c>
      <c r="AB547">
        <v>7.4999999999999997E-2</v>
      </c>
      <c r="AC547">
        <v>4</v>
      </c>
      <c r="AD547" s="6">
        <v>70</v>
      </c>
      <c r="AE547" s="6">
        <v>50</v>
      </c>
      <c r="AF547" s="6">
        <v>0</v>
      </c>
      <c r="AG547" s="6">
        <v>78.08</v>
      </c>
      <c r="AH547" s="6">
        <v>101.65</v>
      </c>
      <c r="AI547" s="6">
        <f t="shared" si="16"/>
        <v>23.570000000000007</v>
      </c>
      <c r="AJ547" s="5">
        <f t="shared" si="17"/>
        <v>0.23187407771765869</v>
      </c>
    </row>
    <row r="548" spans="1:36">
      <c r="A548" t="s">
        <v>210</v>
      </c>
      <c r="B548" t="s">
        <v>833</v>
      </c>
      <c r="C548" t="s">
        <v>70</v>
      </c>
      <c r="D548" t="s">
        <v>72</v>
      </c>
      <c r="E548" t="s">
        <v>55</v>
      </c>
      <c r="F548">
        <v>0</v>
      </c>
      <c r="G548">
        <v>327</v>
      </c>
      <c r="H548">
        <v>1</v>
      </c>
      <c r="I548" t="s">
        <v>220</v>
      </c>
      <c r="J548">
        <v>2</v>
      </c>
      <c r="K548" s="6">
        <v>4.4400000000000004</v>
      </c>
      <c r="L548" t="s">
        <v>174</v>
      </c>
      <c r="M548">
        <v>0</v>
      </c>
      <c r="N548" t="s">
        <v>272</v>
      </c>
      <c r="O548">
        <v>5</v>
      </c>
      <c r="P548">
        <v>1</v>
      </c>
      <c r="Q548" s="6">
        <v>174.7</v>
      </c>
      <c r="R548">
        <v>1</v>
      </c>
      <c r="S548" s="6">
        <v>2907</v>
      </c>
      <c r="T548">
        <v>0</v>
      </c>
      <c r="U548" s="6">
        <v>4358</v>
      </c>
      <c r="V548">
        <v>0</v>
      </c>
      <c r="W548">
        <v>0</v>
      </c>
      <c r="X548">
        <v>1</v>
      </c>
      <c r="Y548" s="6">
        <v>34.700000000000003</v>
      </c>
      <c r="Z548">
        <v>1.7999999999999999E-2</v>
      </c>
      <c r="AA548">
        <v>2.9000000000000001E-2</v>
      </c>
      <c r="AB548">
        <v>7.4999999999999997E-2</v>
      </c>
      <c r="AC548">
        <v>4</v>
      </c>
      <c r="AD548" s="6">
        <v>155</v>
      </c>
      <c r="AE548" s="6">
        <v>50</v>
      </c>
      <c r="AF548" s="6">
        <v>0</v>
      </c>
      <c r="AG548" s="6">
        <v>164.29</v>
      </c>
      <c r="AH548" s="6">
        <v>207.37</v>
      </c>
      <c r="AI548" s="6">
        <f t="shared" si="16"/>
        <v>43.080000000000013</v>
      </c>
      <c r="AJ548" s="5">
        <f t="shared" si="17"/>
        <v>0.20774461108164158</v>
      </c>
    </row>
    <row r="549" spans="1:36">
      <c r="A549" t="s">
        <v>306</v>
      </c>
      <c r="B549" t="s">
        <v>834</v>
      </c>
      <c r="C549" t="s">
        <v>70</v>
      </c>
      <c r="D549" t="s">
        <v>72</v>
      </c>
      <c r="E549" t="s">
        <v>55</v>
      </c>
      <c r="F549">
        <v>0</v>
      </c>
      <c r="G549">
        <v>327</v>
      </c>
      <c r="H549">
        <v>1.22</v>
      </c>
      <c r="I549" t="s">
        <v>220</v>
      </c>
      <c r="J549">
        <v>2</v>
      </c>
      <c r="K549" s="6">
        <v>3.15</v>
      </c>
      <c r="L549" t="s">
        <v>174</v>
      </c>
      <c r="M549">
        <v>0</v>
      </c>
      <c r="N549" t="s">
        <v>182</v>
      </c>
      <c r="O549">
        <v>3</v>
      </c>
      <c r="P549">
        <v>0</v>
      </c>
      <c r="Q549" s="6">
        <v>123.4</v>
      </c>
      <c r="R549">
        <v>1</v>
      </c>
      <c r="S549" s="6">
        <v>1365</v>
      </c>
      <c r="T549">
        <v>0</v>
      </c>
      <c r="U549" s="6">
        <v>1270</v>
      </c>
      <c r="V549">
        <v>1</v>
      </c>
      <c r="W549">
        <v>0</v>
      </c>
      <c r="X549">
        <v>0</v>
      </c>
      <c r="Y549" s="6">
        <v>34.700000000000003</v>
      </c>
      <c r="Z549">
        <v>1.7999999999999999E-2</v>
      </c>
      <c r="AA549">
        <v>2.9000000000000001E-2</v>
      </c>
      <c r="AB549">
        <v>7.4999999999999997E-2</v>
      </c>
      <c r="AC549">
        <v>4</v>
      </c>
      <c r="AD549" s="6">
        <v>70</v>
      </c>
      <c r="AE549" s="6">
        <v>25</v>
      </c>
      <c r="AF549" s="6">
        <v>0</v>
      </c>
      <c r="AG549" s="6">
        <v>123.79</v>
      </c>
      <c r="AH549" s="6">
        <v>156.13999999999999</v>
      </c>
      <c r="AI549" s="6">
        <f t="shared" si="16"/>
        <v>32.34999999999998</v>
      </c>
      <c r="AJ549" s="5">
        <f t="shared" si="17"/>
        <v>0.20718585884462651</v>
      </c>
    </row>
    <row r="550" spans="1:36">
      <c r="A550" t="s">
        <v>436</v>
      </c>
      <c r="B550" t="s">
        <v>835</v>
      </c>
      <c r="C550" t="s">
        <v>70</v>
      </c>
      <c r="D550" t="s">
        <v>72</v>
      </c>
      <c r="E550" t="s">
        <v>55</v>
      </c>
      <c r="F550">
        <v>0</v>
      </c>
      <c r="G550">
        <v>327</v>
      </c>
      <c r="H550">
        <v>1.22</v>
      </c>
      <c r="I550" t="s">
        <v>173</v>
      </c>
      <c r="J550">
        <v>1</v>
      </c>
      <c r="K550" s="6">
        <v>2.39</v>
      </c>
      <c r="L550" t="s">
        <v>174</v>
      </c>
      <c r="M550">
        <v>0</v>
      </c>
      <c r="N550" t="s">
        <v>182</v>
      </c>
      <c r="O550">
        <v>3</v>
      </c>
      <c r="P550">
        <v>0</v>
      </c>
      <c r="Q550" s="6">
        <v>128.80000000000001</v>
      </c>
      <c r="R550">
        <v>0</v>
      </c>
      <c r="S550" s="6">
        <v>0</v>
      </c>
      <c r="T550">
        <v>0</v>
      </c>
      <c r="U550" s="6">
        <v>1944</v>
      </c>
      <c r="V550">
        <v>0</v>
      </c>
      <c r="W550">
        <v>0</v>
      </c>
      <c r="X550">
        <v>0</v>
      </c>
      <c r="Y550" s="6">
        <v>34.700000000000003</v>
      </c>
      <c r="Z550">
        <v>1.7999999999999999E-2</v>
      </c>
      <c r="AA550">
        <v>2.9000000000000001E-2</v>
      </c>
      <c r="AB550">
        <v>7.4999999999999997E-2</v>
      </c>
      <c r="AC550">
        <v>4</v>
      </c>
      <c r="AD550" s="6">
        <v>65</v>
      </c>
      <c r="AE550" s="6">
        <v>0</v>
      </c>
      <c r="AF550" s="6">
        <v>0</v>
      </c>
      <c r="AG550" s="6">
        <v>84.69</v>
      </c>
      <c r="AH550" s="6">
        <v>106.63</v>
      </c>
      <c r="AI550" s="6">
        <f t="shared" si="16"/>
        <v>21.939999999999998</v>
      </c>
      <c r="AJ550" s="5">
        <f t="shared" si="17"/>
        <v>0.20575822939135327</v>
      </c>
    </row>
    <row r="551" spans="1:36">
      <c r="A551" t="s">
        <v>243</v>
      </c>
      <c r="B551" t="s">
        <v>836</v>
      </c>
      <c r="C551" t="s">
        <v>70</v>
      </c>
      <c r="D551" t="s">
        <v>72</v>
      </c>
      <c r="E551" t="s">
        <v>55</v>
      </c>
      <c r="F551">
        <v>0</v>
      </c>
      <c r="G551">
        <v>327</v>
      </c>
      <c r="H551">
        <v>1.22</v>
      </c>
      <c r="I551" t="s">
        <v>181</v>
      </c>
      <c r="J551">
        <v>3</v>
      </c>
      <c r="K551" s="6">
        <v>11.08</v>
      </c>
      <c r="L551" t="s">
        <v>174</v>
      </c>
      <c r="M551">
        <v>0</v>
      </c>
      <c r="N551" t="s">
        <v>187</v>
      </c>
      <c r="O551">
        <v>2</v>
      </c>
      <c r="P551">
        <v>0</v>
      </c>
      <c r="Q551" s="6">
        <v>52.8</v>
      </c>
      <c r="R551">
        <v>0</v>
      </c>
      <c r="S551" s="6">
        <v>0</v>
      </c>
      <c r="T551">
        <v>0</v>
      </c>
      <c r="U551" s="6">
        <v>4260</v>
      </c>
      <c r="V551">
        <v>0</v>
      </c>
      <c r="W551">
        <v>0</v>
      </c>
      <c r="X551">
        <v>0</v>
      </c>
      <c r="Y551" s="6">
        <v>34.700000000000003</v>
      </c>
      <c r="Z551">
        <v>1.7999999999999999E-2</v>
      </c>
      <c r="AA551">
        <v>2.9000000000000001E-2</v>
      </c>
      <c r="AB551">
        <v>7.4999999999999997E-2</v>
      </c>
      <c r="AC551">
        <v>4</v>
      </c>
      <c r="AD551" s="6">
        <v>105</v>
      </c>
      <c r="AE551" s="6">
        <v>0</v>
      </c>
      <c r="AF551" s="6">
        <v>0</v>
      </c>
      <c r="AG551" s="6">
        <v>117.28</v>
      </c>
      <c r="AH551" s="6">
        <v>148.72</v>
      </c>
      <c r="AI551" s="6">
        <f t="shared" si="16"/>
        <v>31.439999999999998</v>
      </c>
      <c r="AJ551" s="5">
        <f t="shared" si="17"/>
        <v>0.21140398063474986</v>
      </c>
    </row>
    <row r="552" spans="1:36">
      <c r="A552" t="s">
        <v>243</v>
      </c>
      <c r="B552" t="s">
        <v>837</v>
      </c>
      <c r="C552" t="s">
        <v>70</v>
      </c>
      <c r="D552" t="s">
        <v>72</v>
      </c>
      <c r="E552" t="s">
        <v>55</v>
      </c>
      <c r="F552">
        <v>0</v>
      </c>
      <c r="G552">
        <v>327</v>
      </c>
      <c r="H552">
        <v>1.22</v>
      </c>
      <c r="I552" t="s">
        <v>173</v>
      </c>
      <c r="J552">
        <v>1</v>
      </c>
      <c r="K552" s="6">
        <v>2.4500000000000002</v>
      </c>
      <c r="L552" t="s">
        <v>174</v>
      </c>
      <c r="M552">
        <v>0</v>
      </c>
      <c r="N552" t="s">
        <v>175</v>
      </c>
      <c r="O552">
        <v>1</v>
      </c>
      <c r="P552">
        <v>0</v>
      </c>
      <c r="Q552" s="6">
        <v>38.700000000000003</v>
      </c>
      <c r="R552">
        <v>0</v>
      </c>
      <c r="S552" s="6">
        <v>0</v>
      </c>
      <c r="T552">
        <v>0</v>
      </c>
      <c r="U552" s="6">
        <v>1114</v>
      </c>
      <c r="V552">
        <v>0</v>
      </c>
      <c r="W552">
        <v>0</v>
      </c>
      <c r="X552">
        <v>0</v>
      </c>
      <c r="Y552" s="6">
        <v>34.700000000000003</v>
      </c>
      <c r="Z552">
        <v>1.7999999999999999E-2</v>
      </c>
      <c r="AA552">
        <v>2.9000000000000001E-2</v>
      </c>
      <c r="AB552">
        <v>7.4999999999999997E-2</v>
      </c>
      <c r="AC552">
        <v>4</v>
      </c>
      <c r="AD552" s="6">
        <v>65</v>
      </c>
      <c r="AE552" s="6">
        <v>0</v>
      </c>
      <c r="AF552" s="6">
        <v>0</v>
      </c>
      <c r="AG552" s="6">
        <v>66.69</v>
      </c>
      <c r="AH552" s="6">
        <v>86.92</v>
      </c>
      <c r="AI552" s="6">
        <f t="shared" si="16"/>
        <v>20.230000000000004</v>
      </c>
      <c r="AJ552" s="5">
        <f t="shared" si="17"/>
        <v>0.23274275195582148</v>
      </c>
    </row>
    <row r="553" spans="1:36">
      <c r="A553" t="s">
        <v>293</v>
      </c>
      <c r="B553" t="s">
        <v>838</v>
      </c>
      <c r="C553" t="s">
        <v>70</v>
      </c>
      <c r="D553" t="s">
        <v>72</v>
      </c>
      <c r="E553" t="s">
        <v>55</v>
      </c>
      <c r="F553">
        <v>0</v>
      </c>
      <c r="G553">
        <v>327</v>
      </c>
      <c r="H553">
        <v>1.22</v>
      </c>
      <c r="I553" t="s">
        <v>181</v>
      </c>
      <c r="J553">
        <v>3</v>
      </c>
      <c r="K553" s="6">
        <v>4.22</v>
      </c>
      <c r="L553" t="s">
        <v>174</v>
      </c>
      <c r="M553">
        <v>0</v>
      </c>
      <c r="N553" t="s">
        <v>187</v>
      </c>
      <c r="O553">
        <v>2</v>
      </c>
      <c r="P553">
        <v>0</v>
      </c>
      <c r="Q553" s="6">
        <v>30.8</v>
      </c>
      <c r="R553">
        <v>1</v>
      </c>
      <c r="S553" s="6">
        <v>385</v>
      </c>
      <c r="T553">
        <v>0</v>
      </c>
      <c r="U553" s="6">
        <v>3394</v>
      </c>
      <c r="V553">
        <v>0</v>
      </c>
      <c r="W553">
        <v>0</v>
      </c>
      <c r="X553">
        <v>0</v>
      </c>
      <c r="Y553" s="6">
        <v>34.700000000000003</v>
      </c>
      <c r="Z553">
        <v>1.7999999999999999E-2</v>
      </c>
      <c r="AA553">
        <v>2.9000000000000001E-2</v>
      </c>
      <c r="AB553">
        <v>7.4999999999999997E-2</v>
      </c>
      <c r="AC553">
        <v>4</v>
      </c>
      <c r="AD553" s="6">
        <v>105</v>
      </c>
      <c r="AE553" s="6">
        <v>25</v>
      </c>
      <c r="AF553" s="6">
        <v>0</v>
      </c>
      <c r="AG553" s="6">
        <v>102.5</v>
      </c>
      <c r="AH553" s="6">
        <v>131.38999999999999</v>
      </c>
      <c r="AI553" s="6">
        <f t="shared" si="16"/>
        <v>28.889999999999986</v>
      </c>
      <c r="AJ553" s="5">
        <f t="shared" si="17"/>
        <v>0.21987974731714735</v>
      </c>
    </row>
    <row r="554" spans="1:36">
      <c r="A554" t="s">
        <v>249</v>
      </c>
      <c r="B554" t="s">
        <v>839</v>
      </c>
      <c r="C554" t="s">
        <v>70</v>
      </c>
      <c r="D554" t="s">
        <v>72</v>
      </c>
      <c r="E554" t="s">
        <v>55</v>
      </c>
      <c r="F554">
        <v>0</v>
      </c>
      <c r="G554">
        <v>327</v>
      </c>
      <c r="H554">
        <v>1</v>
      </c>
      <c r="I554" t="s">
        <v>173</v>
      </c>
      <c r="J554">
        <v>1</v>
      </c>
      <c r="K554" s="6">
        <v>1.85</v>
      </c>
      <c r="L554" t="s">
        <v>174</v>
      </c>
      <c r="M554">
        <v>0</v>
      </c>
      <c r="N554" t="s">
        <v>217</v>
      </c>
      <c r="O554">
        <v>4</v>
      </c>
      <c r="P554">
        <v>1</v>
      </c>
      <c r="Q554" s="6">
        <v>96.4</v>
      </c>
      <c r="R554">
        <v>1</v>
      </c>
      <c r="S554" s="6">
        <v>3561</v>
      </c>
      <c r="T554">
        <v>0</v>
      </c>
      <c r="U554" s="6">
        <v>2358</v>
      </c>
      <c r="V554">
        <v>0</v>
      </c>
      <c r="W554">
        <v>0</v>
      </c>
      <c r="X554">
        <v>0</v>
      </c>
      <c r="Y554" s="6">
        <v>34.700000000000003</v>
      </c>
      <c r="Z554">
        <v>1.7999999999999999E-2</v>
      </c>
      <c r="AA554">
        <v>2.9000000000000001E-2</v>
      </c>
      <c r="AB554">
        <v>7.4999999999999997E-2</v>
      </c>
      <c r="AC554">
        <v>4</v>
      </c>
      <c r="AD554" s="6">
        <v>65</v>
      </c>
      <c r="AE554" s="6">
        <v>50</v>
      </c>
      <c r="AF554" s="6">
        <v>0</v>
      </c>
      <c r="AG554" s="6">
        <v>112.44</v>
      </c>
      <c r="AH554" s="6">
        <v>141.52000000000001</v>
      </c>
      <c r="AI554" s="6">
        <f t="shared" si="16"/>
        <v>29.080000000000013</v>
      </c>
      <c r="AJ554" s="5">
        <f t="shared" si="17"/>
        <v>0.20548332391181465</v>
      </c>
    </row>
    <row r="555" spans="1:36">
      <c r="A555" t="s">
        <v>190</v>
      </c>
      <c r="B555" t="s">
        <v>840</v>
      </c>
      <c r="C555" t="s">
        <v>70</v>
      </c>
      <c r="D555" t="s">
        <v>72</v>
      </c>
      <c r="E555" t="s">
        <v>55</v>
      </c>
      <c r="F555">
        <v>0</v>
      </c>
      <c r="G555">
        <v>327</v>
      </c>
      <c r="H555">
        <v>1.22</v>
      </c>
      <c r="I555" t="s">
        <v>173</v>
      </c>
      <c r="J555">
        <v>1</v>
      </c>
      <c r="K555" s="6">
        <v>2.06</v>
      </c>
      <c r="L555" t="s">
        <v>174</v>
      </c>
      <c r="M555">
        <v>0</v>
      </c>
      <c r="N555" t="s">
        <v>182</v>
      </c>
      <c r="O555">
        <v>3</v>
      </c>
      <c r="P555">
        <v>0</v>
      </c>
      <c r="Q555" s="6">
        <v>63.8</v>
      </c>
      <c r="R555">
        <v>0</v>
      </c>
      <c r="S555" s="6">
        <v>0</v>
      </c>
      <c r="T555">
        <v>0</v>
      </c>
      <c r="U555" s="6">
        <v>5211</v>
      </c>
      <c r="V555">
        <v>0</v>
      </c>
      <c r="W555">
        <v>0</v>
      </c>
      <c r="X555">
        <v>0</v>
      </c>
      <c r="Y555" s="6">
        <v>34.700000000000003</v>
      </c>
      <c r="Z555">
        <v>1.7999999999999999E-2</v>
      </c>
      <c r="AA555">
        <v>2.9000000000000001E-2</v>
      </c>
      <c r="AB555">
        <v>7.4999999999999997E-2</v>
      </c>
      <c r="AC555">
        <v>4</v>
      </c>
      <c r="AD555" s="6">
        <v>65</v>
      </c>
      <c r="AE555" s="6">
        <v>0</v>
      </c>
      <c r="AF555" s="6">
        <v>0</v>
      </c>
      <c r="AG555" s="6">
        <v>74.040000000000006</v>
      </c>
      <c r="AH555" s="6">
        <v>97.39</v>
      </c>
      <c r="AI555" s="6">
        <f t="shared" si="16"/>
        <v>23.349999999999994</v>
      </c>
      <c r="AJ555" s="5">
        <f t="shared" si="17"/>
        <v>0.23975767532600878</v>
      </c>
    </row>
    <row r="556" spans="1:36">
      <c r="A556" t="s">
        <v>459</v>
      </c>
      <c r="B556" t="s">
        <v>841</v>
      </c>
      <c r="C556" t="s">
        <v>70</v>
      </c>
      <c r="D556" t="s">
        <v>72</v>
      </c>
      <c r="E556" t="s">
        <v>55</v>
      </c>
      <c r="F556">
        <v>0</v>
      </c>
      <c r="G556">
        <v>327</v>
      </c>
      <c r="H556">
        <v>1</v>
      </c>
      <c r="I556" t="s">
        <v>220</v>
      </c>
      <c r="J556">
        <v>2</v>
      </c>
      <c r="K556" s="6">
        <v>4.45</v>
      </c>
      <c r="L556" t="s">
        <v>174</v>
      </c>
      <c r="M556">
        <v>0</v>
      </c>
      <c r="N556" t="s">
        <v>182</v>
      </c>
      <c r="O556">
        <v>3</v>
      </c>
      <c r="P556">
        <v>0</v>
      </c>
      <c r="Q556" s="6">
        <v>85</v>
      </c>
      <c r="R556">
        <v>0</v>
      </c>
      <c r="S556" s="6">
        <v>0</v>
      </c>
      <c r="T556">
        <v>0</v>
      </c>
      <c r="U556" s="6">
        <v>2520</v>
      </c>
      <c r="V556">
        <v>0</v>
      </c>
      <c r="W556">
        <v>0</v>
      </c>
      <c r="X556">
        <v>0</v>
      </c>
      <c r="Y556" s="6">
        <v>34.700000000000003</v>
      </c>
      <c r="Z556">
        <v>1.7999999999999999E-2</v>
      </c>
      <c r="AA556">
        <v>2.9000000000000001E-2</v>
      </c>
      <c r="AB556">
        <v>7.4999999999999997E-2</v>
      </c>
      <c r="AC556">
        <v>4</v>
      </c>
      <c r="AD556" s="6">
        <v>70</v>
      </c>
      <c r="AE556" s="6">
        <v>0</v>
      </c>
      <c r="AF556" s="6">
        <v>0</v>
      </c>
      <c r="AG556" s="6">
        <v>76.83</v>
      </c>
      <c r="AH556" s="6">
        <v>96.53</v>
      </c>
      <c r="AI556" s="6">
        <f t="shared" si="16"/>
        <v>19.700000000000003</v>
      </c>
      <c r="AJ556" s="5">
        <f t="shared" si="17"/>
        <v>0.20408163265306126</v>
      </c>
    </row>
    <row r="557" spans="1:36">
      <c r="A557" t="s">
        <v>375</v>
      </c>
      <c r="B557" t="s">
        <v>842</v>
      </c>
      <c r="C557" t="s">
        <v>70</v>
      </c>
      <c r="D557" t="s">
        <v>72</v>
      </c>
      <c r="E557" t="s">
        <v>55</v>
      </c>
      <c r="F557">
        <v>0</v>
      </c>
      <c r="G557">
        <v>327</v>
      </c>
      <c r="H557">
        <v>1</v>
      </c>
      <c r="I557" t="s">
        <v>181</v>
      </c>
      <c r="J557">
        <v>3</v>
      </c>
      <c r="K557" s="6">
        <v>8.07</v>
      </c>
      <c r="L557" t="s">
        <v>174</v>
      </c>
      <c r="M557">
        <v>0</v>
      </c>
      <c r="N557" t="s">
        <v>175</v>
      </c>
      <c r="O557">
        <v>1</v>
      </c>
      <c r="P557">
        <v>0</v>
      </c>
      <c r="Q557" s="6">
        <v>27.4</v>
      </c>
      <c r="R557">
        <v>1</v>
      </c>
      <c r="S557" s="6">
        <v>360</v>
      </c>
      <c r="T557">
        <v>0</v>
      </c>
      <c r="U557" s="6">
        <v>1414</v>
      </c>
      <c r="V557">
        <v>0</v>
      </c>
      <c r="W557">
        <v>0</v>
      </c>
      <c r="X557">
        <v>0</v>
      </c>
      <c r="Y557" s="6">
        <v>34.700000000000003</v>
      </c>
      <c r="Z557">
        <v>1.7999999999999999E-2</v>
      </c>
      <c r="AA557">
        <v>2.9000000000000001E-2</v>
      </c>
      <c r="AB557">
        <v>7.4999999999999997E-2</v>
      </c>
      <c r="AC557">
        <v>4</v>
      </c>
      <c r="AD557" s="6">
        <v>105</v>
      </c>
      <c r="AE557" s="6">
        <v>25</v>
      </c>
      <c r="AF557" s="6">
        <v>0</v>
      </c>
      <c r="AG557" s="6">
        <v>107.57</v>
      </c>
      <c r="AH557" s="6">
        <v>138.66</v>
      </c>
      <c r="AI557" s="6">
        <f t="shared" si="16"/>
        <v>31.090000000000003</v>
      </c>
      <c r="AJ557" s="5">
        <f t="shared" si="17"/>
        <v>0.22421751045723354</v>
      </c>
    </row>
    <row r="558" spans="1:36">
      <c r="A558" t="s">
        <v>391</v>
      </c>
      <c r="B558" t="s">
        <v>843</v>
      </c>
      <c r="C558" t="s">
        <v>70</v>
      </c>
      <c r="D558" t="s">
        <v>72</v>
      </c>
      <c r="E558" t="s">
        <v>55</v>
      </c>
      <c r="F558">
        <v>0</v>
      </c>
      <c r="G558">
        <v>327</v>
      </c>
      <c r="H558">
        <v>1</v>
      </c>
      <c r="I558" t="s">
        <v>173</v>
      </c>
      <c r="J558">
        <v>1</v>
      </c>
      <c r="K558" s="6">
        <v>1.55</v>
      </c>
      <c r="L558" t="s">
        <v>174</v>
      </c>
      <c r="M558">
        <v>0</v>
      </c>
      <c r="N558" t="s">
        <v>187</v>
      </c>
      <c r="O558">
        <v>2</v>
      </c>
      <c r="P558">
        <v>0</v>
      </c>
      <c r="Q558" s="6">
        <v>48</v>
      </c>
      <c r="R558">
        <v>1</v>
      </c>
      <c r="S558" s="6">
        <v>954</v>
      </c>
      <c r="T558">
        <v>0</v>
      </c>
      <c r="U558" s="6">
        <v>1857</v>
      </c>
      <c r="V558">
        <v>0</v>
      </c>
      <c r="W558">
        <v>0</v>
      </c>
      <c r="X558">
        <v>0</v>
      </c>
      <c r="Y558" s="6">
        <v>34.700000000000003</v>
      </c>
      <c r="Z558">
        <v>1.7999999999999999E-2</v>
      </c>
      <c r="AA558">
        <v>2.9000000000000001E-2</v>
      </c>
      <c r="AB558">
        <v>7.4999999999999997E-2</v>
      </c>
      <c r="AC558">
        <v>4</v>
      </c>
      <c r="AD558" s="6">
        <v>65</v>
      </c>
      <c r="AE558" s="6">
        <v>25</v>
      </c>
      <c r="AF558" s="6">
        <v>0</v>
      </c>
      <c r="AG558" s="6">
        <v>68.010000000000005</v>
      </c>
      <c r="AH558" s="6">
        <v>87.42</v>
      </c>
      <c r="AI558" s="6">
        <f t="shared" si="16"/>
        <v>19.409999999999997</v>
      </c>
      <c r="AJ558" s="5">
        <f t="shared" si="17"/>
        <v>0.22203157172271787</v>
      </c>
    </row>
    <row r="559" spans="1:36">
      <c r="A559" t="s">
        <v>319</v>
      </c>
      <c r="B559" t="s">
        <v>844</v>
      </c>
      <c r="C559" t="s">
        <v>70</v>
      </c>
      <c r="D559" t="s">
        <v>72</v>
      </c>
      <c r="E559" t="s">
        <v>55</v>
      </c>
      <c r="F559">
        <v>0</v>
      </c>
      <c r="G559">
        <v>327</v>
      </c>
      <c r="H559">
        <v>1.22</v>
      </c>
      <c r="I559" t="s">
        <v>220</v>
      </c>
      <c r="J559">
        <v>2</v>
      </c>
      <c r="K559" s="6">
        <v>2.73</v>
      </c>
      <c r="L559" t="s">
        <v>174</v>
      </c>
      <c r="M559">
        <v>0</v>
      </c>
      <c r="N559" t="s">
        <v>187</v>
      </c>
      <c r="O559">
        <v>2</v>
      </c>
      <c r="P559">
        <v>0</v>
      </c>
      <c r="Q559" s="6">
        <v>26.2</v>
      </c>
      <c r="R559">
        <v>1</v>
      </c>
      <c r="S559" s="6">
        <v>1778</v>
      </c>
      <c r="T559">
        <v>0</v>
      </c>
      <c r="U559" s="6">
        <v>1056</v>
      </c>
      <c r="V559">
        <v>0</v>
      </c>
      <c r="W559">
        <v>0</v>
      </c>
      <c r="X559">
        <v>0</v>
      </c>
      <c r="Y559" s="6">
        <v>34.700000000000003</v>
      </c>
      <c r="Z559">
        <v>1.7999999999999999E-2</v>
      </c>
      <c r="AA559">
        <v>2.9000000000000001E-2</v>
      </c>
      <c r="AB559">
        <v>7.4999999999999997E-2</v>
      </c>
      <c r="AC559">
        <v>4</v>
      </c>
      <c r="AD559" s="6">
        <v>70</v>
      </c>
      <c r="AE559" s="6">
        <v>25</v>
      </c>
      <c r="AF559" s="6">
        <v>0</v>
      </c>
      <c r="AG559" s="6">
        <v>84.57</v>
      </c>
      <c r="AH559" s="6">
        <v>106.14</v>
      </c>
      <c r="AI559" s="6">
        <f t="shared" si="16"/>
        <v>21.570000000000007</v>
      </c>
      <c r="AJ559" s="5">
        <f t="shared" si="17"/>
        <v>0.20322215941209729</v>
      </c>
    </row>
    <row r="560" spans="1:36">
      <c r="A560" t="s">
        <v>190</v>
      </c>
      <c r="B560" t="s">
        <v>845</v>
      </c>
      <c r="C560" t="s">
        <v>70</v>
      </c>
      <c r="D560" t="s">
        <v>72</v>
      </c>
      <c r="E560" t="s">
        <v>55</v>
      </c>
      <c r="F560">
        <v>0</v>
      </c>
      <c r="G560">
        <v>327</v>
      </c>
      <c r="H560">
        <v>1.22</v>
      </c>
      <c r="I560" t="s">
        <v>220</v>
      </c>
      <c r="J560">
        <v>2</v>
      </c>
      <c r="K560" s="6">
        <v>4.7300000000000004</v>
      </c>
      <c r="L560" t="s">
        <v>174</v>
      </c>
      <c r="M560">
        <v>0</v>
      </c>
      <c r="N560" t="s">
        <v>175</v>
      </c>
      <c r="O560">
        <v>1</v>
      </c>
      <c r="P560">
        <v>0</v>
      </c>
      <c r="Q560" s="6">
        <v>39.4</v>
      </c>
      <c r="R560">
        <v>1</v>
      </c>
      <c r="S560" s="6">
        <v>1646</v>
      </c>
      <c r="T560">
        <v>0</v>
      </c>
      <c r="U560" s="6">
        <v>3498</v>
      </c>
      <c r="V560">
        <v>1</v>
      </c>
      <c r="W560">
        <v>0</v>
      </c>
      <c r="X560">
        <v>0</v>
      </c>
      <c r="Y560" s="6">
        <v>34.700000000000003</v>
      </c>
      <c r="Z560">
        <v>1.7999999999999999E-2</v>
      </c>
      <c r="AA560">
        <v>2.9000000000000001E-2</v>
      </c>
      <c r="AB560">
        <v>7.4999999999999997E-2</v>
      </c>
      <c r="AC560">
        <v>4</v>
      </c>
      <c r="AD560" s="6">
        <v>70</v>
      </c>
      <c r="AE560" s="6">
        <v>25</v>
      </c>
      <c r="AF560" s="6">
        <v>0</v>
      </c>
      <c r="AG560" s="6">
        <v>114.68</v>
      </c>
      <c r="AH560" s="6">
        <v>147.66999999999999</v>
      </c>
      <c r="AI560" s="6">
        <f t="shared" si="16"/>
        <v>32.989999999999981</v>
      </c>
      <c r="AJ560" s="5">
        <f t="shared" si="17"/>
        <v>0.22340353490891843</v>
      </c>
    </row>
    <row r="561" spans="1:36">
      <c r="A561" t="s">
        <v>306</v>
      </c>
      <c r="B561" t="s">
        <v>846</v>
      </c>
      <c r="C561" t="s">
        <v>70</v>
      </c>
      <c r="D561" t="s">
        <v>72</v>
      </c>
      <c r="E561" t="s">
        <v>55</v>
      </c>
      <c r="F561">
        <v>0</v>
      </c>
      <c r="G561">
        <v>327</v>
      </c>
      <c r="H561">
        <v>1.22</v>
      </c>
      <c r="I561" t="s">
        <v>220</v>
      </c>
      <c r="J561">
        <v>2</v>
      </c>
      <c r="K561" s="6">
        <v>4.32</v>
      </c>
      <c r="L561" t="s">
        <v>174</v>
      </c>
      <c r="M561">
        <v>0</v>
      </c>
      <c r="N561" t="s">
        <v>175</v>
      </c>
      <c r="O561">
        <v>1</v>
      </c>
      <c r="P561">
        <v>0</v>
      </c>
      <c r="Q561" s="6">
        <v>36.6</v>
      </c>
      <c r="R561">
        <v>1</v>
      </c>
      <c r="S561" s="6">
        <v>1494</v>
      </c>
      <c r="T561">
        <v>0</v>
      </c>
      <c r="U561" s="6">
        <v>1534</v>
      </c>
      <c r="V561">
        <v>0</v>
      </c>
      <c r="W561">
        <v>0</v>
      </c>
      <c r="X561">
        <v>0</v>
      </c>
      <c r="Y561" s="6">
        <v>34.700000000000003</v>
      </c>
      <c r="Z561">
        <v>1.7999999999999999E-2</v>
      </c>
      <c r="AA561">
        <v>2.9000000000000001E-2</v>
      </c>
      <c r="AB561">
        <v>7.4999999999999997E-2</v>
      </c>
      <c r="AC561">
        <v>4</v>
      </c>
      <c r="AD561" s="6">
        <v>70</v>
      </c>
      <c r="AE561" s="6">
        <v>25</v>
      </c>
      <c r="AF561" s="6">
        <v>0</v>
      </c>
      <c r="AG561" s="6">
        <v>80.36</v>
      </c>
      <c r="AH561" s="6">
        <v>100.93</v>
      </c>
      <c r="AI561" s="6">
        <f t="shared" si="16"/>
        <v>20.570000000000007</v>
      </c>
      <c r="AJ561" s="5">
        <f t="shared" si="17"/>
        <v>0.20380461706132968</v>
      </c>
    </row>
    <row r="562" spans="1:36">
      <c r="A562" t="s">
        <v>303</v>
      </c>
      <c r="B562" t="s">
        <v>847</v>
      </c>
      <c r="C562" t="s">
        <v>70</v>
      </c>
      <c r="D562" t="s">
        <v>72</v>
      </c>
      <c r="E562" t="s">
        <v>55</v>
      </c>
      <c r="F562">
        <v>0</v>
      </c>
      <c r="G562">
        <v>327</v>
      </c>
      <c r="H562">
        <v>1</v>
      </c>
      <c r="I562" t="s">
        <v>220</v>
      </c>
      <c r="J562">
        <v>2</v>
      </c>
      <c r="K562" s="6">
        <v>4.99</v>
      </c>
      <c r="L562" t="s">
        <v>174</v>
      </c>
      <c r="M562">
        <v>0</v>
      </c>
      <c r="N562" t="s">
        <v>175</v>
      </c>
      <c r="O562">
        <v>1</v>
      </c>
      <c r="P562">
        <v>0</v>
      </c>
      <c r="Q562" s="6">
        <v>36</v>
      </c>
      <c r="R562">
        <v>1</v>
      </c>
      <c r="S562" s="6">
        <v>493</v>
      </c>
      <c r="T562">
        <v>0</v>
      </c>
      <c r="U562" s="6">
        <v>2478</v>
      </c>
      <c r="V562">
        <v>0</v>
      </c>
      <c r="W562">
        <v>0</v>
      </c>
      <c r="X562">
        <v>0</v>
      </c>
      <c r="Y562" s="6">
        <v>34.700000000000003</v>
      </c>
      <c r="Z562">
        <v>1.7999999999999999E-2</v>
      </c>
      <c r="AA562">
        <v>2.9000000000000001E-2</v>
      </c>
      <c r="AB562">
        <v>7.4999999999999997E-2</v>
      </c>
      <c r="AC562">
        <v>4</v>
      </c>
      <c r="AD562" s="6">
        <v>70</v>
      </c>
      <c r="AE562" s="6">
        <v>25</v>
      </c>
      <c r="AF562" s="6">
        <v>0</v>
      </c>
      <c r="AG562" s="6">
        <v>71.989999999999995</v>
      </c>
      <c r="AH562" s="6">
        <v>90.3</v>
      </c>
      <c r="AI562" s="6">
        <f t="shared" si="16"/>
        <v>18.310000000000002</v>
      </c>
      <c r="AJ562" s="5">
        <f t="shared" si="17"/>
        <v>0.20276854928017721</v>
      </c>
    </row>
    <row r="563" spans="1:36">
      <c r="A563" t="s">
        <v>298</v>
      </c>
      <c r="B563" t="s">
        <v>848</v>
      </c>
      <c r="C563" t="s">
        <v>70</v>
      </c>
      <c r="D563" t="s">
        <v>72</v>
      </c>
      <c r="E563" t="s">
        <v>55</v>
      </c>
      <c r="F563">
        <v>0</v>
      </c>
      <c r="G563">
        <v>327</v>
      </c>
      <c r="H563">
        <v>1.22</v>
      </c>
      <c r="I563" t="s">
        <v>220</v>
      </c>
      <c r="J563">
        <v>2</v>
      </c>
      <c r="K563" s="6">
        <v>3.64</v>
      </c>
      <c r="L563" t="s">
        <v>174</v>
      </c>
      <c r="M563">
        <v>0</v>
      </c>
      <c r="N563" t="s">
        <v>182</v>
      </c>
      <c r="O563">
        <v>3</v>
      </c>
      <c r="P563">
        <v>0</v>
      </c>
      <c r="Q563" s="6">
        <v>88.9</v>
      </c>
      <c r="R563">
        <v>1</v>
      </c>
      <c r="S563" s="6">
        <v>2670</v>
      </c>
      <c r="T563">
        <v>0</v>
      </c>
      <c r="U563" s="6">
        <v>1057</v>
      </c>
      <c r="V563">
        <v>0</v>
      </c>
      <c r="W563">
        <v>0</v>
      </c>
      <c r="X563">
        <v>0</v>
      </c>
      <c r="Y563" s="6">
        <v>34.700000000000003</v>
      </c>
      <c r="Z563">
        <v>1.7999999999999999E-2</v>
      </c>
      <c r="AA563">
        <v>2.9000000000000001E-2</v>
      </c>
      <c r="AB563">
        <v>7.4999999999999997E-2</v>
      </c>
      <c r="AC563">
        <v>4</v>
      </c>
      <c r="AD563" s="6">
        <v>70</v>
      </c>
      <c r="AE563" s="6">
        <v>50</v>
      </c>
      <c r="AF563" s="6">
        <v>0</v>
      </c>
      <c r="AG563" s="6">
        <v>84.64</v>
      </c>
      <c r="AH563" s="6">
        <v>110.56</v>
      </c>
      <c r="AI563" s="6">
        <f t="shared" si="16"/>
        <v>25.92</v>
      </c>
      <c r="AJ563" s="5">
        <f t="shared" si="17"/>
        <v>0.2344428364688857</v>
      </c>
    </row>
    <row r="564" spans="1:36">
      <c r="A564" t="s">
        <v>494</v>
      </c>
      <c r="B564" t="s">
        <v>849</v>
      </c>
      <c r="C564" t="s">
        <v>70</v>
      </c>
      <c r="D564" t="s">
        <v>72</v>
      </c>
      <c r="E564" t="s">
        <v>55</v>
      </c>
      <c r="F564">
        <v>0</v>
      </c>
      <c r="G564">
        <v>327</v>
      </c>
      <c r="H564">
        <v>1</v>
      </c>
      <c r="I564" t="s">
        <v>173</v>
      </c>
      <c r="J564">
        <v>1</v>
      </c>
      <c r="K564" s="6">
        <v>2.4700000000000002</v>
      </c>
      <c r="L564" t="s">
        <v>174</v>
      </c>
      <c r="M564">
        <v>0</v>
      </c>
      <c r="N564" t="s">
        <v>187</v>
      </c>
      <c r="O564">
        <v>2</v>
      </c>
      <c r="P564">
        <v>0</v>
      </c>
      <c r="Q564" s="6">
        <v>47.1</v>
      </c>
      <c r="R564">
        <v>1</v>
      </c>
      <c r="S564" s="6">
        <v>957</v>
      </c>
      <c r="T564">
        <v>0</v>
      </c>
      <c r="U564" s="6">
        <v>2420</v>
      </c>
      <c r="V564">
        <v>0</v>
      </c>
      <c r="W564">
        <v>0</v>
      </c>
      <c r="X564">
        <v>0</v>
      </c>
      <c r="Y564" s="6">
        <v>34.700000000000003</v>
      </c>
      <c r="Z564">
        <v>1.7999999999999999E-2</v>
      </c>
      <c r="AA564">
        <v>2.9000000000000001E-2</v>
      </c>
      <c r="AB564">
        <v>7.4999999999999997E-2</v>
      </c>
      <c r="AC564">
        <v>4</v>
      </c>
      <c r="AD564" s="6">
        <v>65</v>
      </c>
      <c r="AE564" s="6">
        <v>25</v>
      </c>
      <c r="AF564" s="6">
        <v>0</v>
      </c>
      <c r="AG564" s="6">
        <v>68.239999999999995</v>
      </c>
      <c r="AH564" s="6">
        <v>88.01</v>
      </c>
      <c r="AI564" s="6">
        <f t="shared" si="16"/>
        <v>19.77000000000001</v>
      </c>
      <c r="AJ564" s="5">
        <f t="shared" si="17"/>
        <v>0.22463356436768558</v>
      </c>
    </row>
    <row r="565" spans="1:36">
      <c r="A565" t="s">
        <v>212</v>
      </c>
      <c r="B565" t="s">
        <v>850</v>
      </c>
      <c r="C565" t="s">
        <v>70</v>
      </c>
      <c r="D565" t="s">
        <v>72</v>
      </c>
      <c r="E565" t="s">
        <v>55</v>
      </c>
      <c r="F565">
        <v>0</v>
      </c>
      <c r="G565">
        <v>327</v>
      </c>
      <c r="H565">
        <v>1.22</v>
      </c>
      <c r="I565" t="s">
        <v>181</v>
      </c>
      <c r="J565">
        <v>3</v>
      </c>
      <c r="K565" s="6">
        <v>10.85</v>
      </c>
      <c r="L565" t="s">
        <v>174</v>
      </c>
      <c r="M565">
        <v>0</v>
      </c>
      <c r="N565" t="s">
        <v>187</v>
      </c>
      <c r="O565">
        <v>2</v>
      </c>
      <c r="P565">
        <v>0</v>
      </c>
      <c r="Q565" s="6">
        <v>59.1</v>
      </c>
      <c r="R565">
        <v>1</v>
      </c>
      <c r="S565" s="6">
        <v>1933</v>
      </c>
      <c r="T565">
        <v>0</v>
      </c>
      <c r="U565" s="6">
        <v>1531</v>
      </c>
      <c r="V565">
        <v>0</v>
      </c>
      <c r="W565">
        <v>0</v>
      </c>
      <c r="X565">
        <v>0</v>
      </c>
      <c r="Y565" s="6">
        <v>34.700000000000003</v>
      </c>
      <c r="Z565">
        <v>1.7999999999999999E-2</v>
      </c>
      <c r="AA565">
        <v>2.9000000000000001E-2</v>
      </c>
      <c r="AB565">
        <v>7.4999999999999997E-2</v>
      </c>
      <c r="AC565">
        <v>4</v>
      </c>
      <c r="AD565" s="6">
        <v>105</v>
      </c>
      <c r="AE565" s="6">
        <v>25</v>
      </c>
      <c r="AF565" s="6">
        <v>0</v>
      </c>
      <c r="AG565" s="6">
        <v>121.18</v>
      </c>
      <c r="AH565" s="6">
        <v>155.27000000000001</v>
      </c>
      <c r="AI565" s="6">
        <f t="shared" si="16"/>
        <v>34.090000000000003</v>
      </c>
      <c r="AJ565" s="5">
        <f t="shared" si="17"/>
        <v>0.21955303664584272</v>
      </c>
    </row>
    <row r="566" spans="1:36">
      <c r="A566" t="s">
        <v>494</v>
      </c>
      <c r="B566" t="s">
        <v>851</v>
      </c>
      <c r="C566" t="s">
        <v>70</v>
      </c>
      <c r="D566" t="s">
        <v>72</v>
      </c>
      <c r="E566" t="s">
        <v>55</v>
      </c>
      <c r="F566">
        <v>0</v>
      </c>
      <c r="G566">
        <v>327</v>
      </c>
      <c r="H566">
        <v>1</v>
      </c>
      <c r="I566" t="s">
        <v>173</v>
      </c>
      <c r="J566">
        <v>1</v>
      </c>
      <c r="K566" s="6">
        <v>1.2</v>
      </c>
      <c r="L566" t="s">
        <v>174</v>
      </c>
      <c r="M566">
        <v>0</v>
      </c>
      <c r="N566" t="s">
        <v>187</v>
      </c>
      <c r="O566">
        <v>2</v>
      </c>
      <c r="P566">
        <v>0</v>
      </c>
      <c r="Q566" s="6">
        <v>49.9</v>
      </c>
      <c r="R566">
        <v>0</v>
      </c>
      <c r="S566" s="6">
        <v>0</v>
      </c>
      <c r="T566">
        <v>0</v>
      </c>
      <c r="U566" s="6">
        <v>1235</v>
      </c>
      <c r="V566">
        <v>0</v>
      </c>
      <c r="W566">
        <v>0</v>
      </c>
      <c r="X566">
        <v>0</v>
      </c>
      <c r="Y566" s="6">
        <v>34.700000000000003</v>
      </c>
      <c r="Z566">
        <v>1.7999999999999999E-2</v>
      </c>
      <c r="AA566">
        <v>2.9000000000000001E-2</v>
      </c>
      <c r="AB566">
        <v>7.4999999999999997E-2</v>
      </c>
      <c r="AC566">
        <v>4</v>
      </c>
      <c r="AD566" s="6">
        <v>65</v>
      </c>
      <c r="AE566" s="6">
        <v>0</v>
      </c>
      <c r="AF566" s="6">
        <v>0</v>
      </c>
      <c r="AG566" s="6">
        <v>57.49</v>
      </c>
      <c r="AH566" s="6">
        <v>73.38</v>
      </c>
      <c r="AI566" s="6">
        <f t="shared" si="16"/>
        <v>15.889999999999993</v>
      </c>
      <c r="AJ566" s="5">
        <f t="shared" si="17"/>
        <v>0.21654401744344501</v>
      </c>
    </row>
    <row r="567" spans="1:36">
      <c r="A567" t="s">
        <v>393</v>
      </c>
      <c r="B567" t="s">
        <v>852</v>
      </c>
      <c r="C567" t="s">
        <v>70</v>
      </c>
      <c r="D567" t="s">
        <v>72</v>
      </c>
      <c r="E567" t="s">
        <v>55</v>
      </c>
      <c r="F567">
        <v>0</v>
      </c>
      <c r="G567">
        <v>327</v>
      </c>
      <c r="H567">
        <v>1.22</v>
      </c>
      <c r="I567" t="s">
        <v>181</v>
      </c>
      <c r="J567">
        <v>3</v>
      </c>
      <c r="K567" s="6">
        <v>6.5</v>
      </c>
      <c r="L567" t="s">
        <v>174</v>
      </c>
      <c r="M567">
        <v>0</v>
      </c>
      <c r="N567" t="s">
        <v>175</v>
      </c>
      <c r="O567">
        <v>1</v>
      </c>
      <c r="P567">
        <v>0</v>
      </c>
      <c r="Q567" s="6">
        <v>33.799999999999997</v>
      </c>
      <c r="R567">
        <v>0</v>
      </c>
      <c r="S567" s="6">
        <v>0</v>
      </c>
      <c r="T567">
        <v>0</v>
      </c>
      <c r="U567" s="6">
        <v>2378</v>
      </c>
      <c r="V567">
        <v>0</v>
      </c>
      <c r="W567">
        <v>0</v>
      </c>
      <c r="X567">
        <v>0</v>
      </c>
      <c r="Y567" s="6">
        <v>34.700000000000003</v>
      </c>
      <c r="Z567">
        <v>1.7999999999999999E-2</v>
      </c>
      <c r="AA567">
        <v>2.9000000000000001E-2</v>
      </c>
      <c r="AB567">
        <v>7.4999999999999997E-2</v>
      </c>
      <c r="AC567">
        <v>4</v>
      </c>
      <c r="AD567" s="6">
        <v>105</v>
      </c>
      <c r="AE567" s="6">
        <v>0</v>
      </c>
      <c r="AF567" s="6">
        <v>0</v>
      </c>
      <c r="AG567" s="6">
        <v>89.01</v>
      </c>
      <c r="AH567" s="6">
        <v>115.91</v>
      </c>
      <c r="AI567" s="6">
        <f t="shared" si="16"/>
        <v>26.899999999999991</v>
      </c>
      <c r="AJ567" s="5">
        <f t="shared" si="17"/>
        <v>0.23207661116383393</v>
      </c>
    </row>
    <row r="568" spans="1:36">
      <c r="A568" t="s">
        <v>296</v>
      </c>
      <c r="B568" t="s">
        <v>853</v>
      </c>
      <c r="C568" t="s">
        <v>70</v>
      </c>
      <c r="D568" t="s">
        <v>72</v>
      </c>
      <c r="E568" t="s">
        <v>55</v>
      </c>
      <c r="F568">
        <v>0</v>
      </c>
      <c r="G568">
        <v>327</v>
      </c>
      <c r="H568">
        <v>1</v>
      </c>
      <c r="I568" t="s">
        <v>220</v>
      </c>
      <c r="J568">
        <v>2</v>
      </c>
      <c r="K568" s="6">
        <v>1.34</v>
      </c>
      <c r="L568" t="s">
        <v>174</v>
      </c>
      <c r="M568">
        <v>0</v>
      </c>
      <c r="N568" t="s">
        <v>182</v>
      </c>
      <c r="O568">
        <v>3</v>
      </c>
      <c r="P568">
        <v>0</v>
      </c>
      <c r="Q568" s="6">
        <v>91.9</v>
      </c>
      <c r="R568">
        <v>1</v>
      </c>
      <c r="S568" s="6">
        <v>1240</v>
      </c>
      <c r="T568">
        <v>0</v>
      </c>
      <c r="U568" s="6">
        <v>886</v>
      </c>
      <c r="V568">
        <v>0</v>
      </c>
      <c r="W568">
        <v>0</v>
      </c>
      <c r="X568">
        <v>0</v>
      </c>
      <c r="Y568" s="6">
        <v>34.700000000000003</v>
      </c>
      <c r="Z568">
        <v>1.7999999999999999E-2</v>
      </c>
      <c r="AA568">
        <v>2.9000000000000001E-2</v>
      </c>
      <c r="AB568">
        <v>7.4999999999999997E-2</v>
      </c>
      <c r="AC568">
        <v>4</v>
      </c>
      <c r="AD568" s="6">
        <v>70</v>
      </c>
      <c r="AE568" s="6">
        <v>25</v>
      </c>
      <c r="AF568" s="6">
        <v>0</v>
      </c>
      <c r="AG568" s="6">
        <v>79.63</v>
      </c>
      <c r="AH568" s="6">
        <v>102.16</v>
      </c>
      <c r="AI568" s="6">
        <f t="shared" si="16"/>
        <v>22.53</v>
      </c>
      <c r="AJ568" s="5">
        <f t="shared" si="17"/>
        <v>0.22053641346906816</v>
      </c>
    </row>
    <row r="569" spans="1:36">
      <c r="A569" t="s">
        <v>179</v>
      </c>
      <c r="B569" t="s">
        <v>854</v>
      </c>
      <c r="C569" t="s">
        <v>70</v>
      </c>
      <c r="D569" t="s">
        <v>72</v>
      </c>
      <c r="E569" t="s">
        <v>55</v>
      </c>
      <c r="F569">
        <v>0</v>
      </c>
      <c r="G569">
        <v>327</v>
      </c>
      <c r="H569">
        <v>1</v>
      </c>
      <c r="I569" t="s">
        <v>173</v>
      </c>
      <c r="J569">
        <v>1</v>
      </c>
      <c r="K569" s="6">
        <v>1.47</v>
      </c>
      <c r="L569" t="s">
        <v>174</v>
      </c>
      <c r="M569">
        <v>0</v>
      </c>
      <c r="N569" t="s">
        <v>175</v>
      </c>
      <c r="O569">
        <v>1</v>
      </c>
      <c r="P569">
        <v>0</v>
      </c>
      <c r="Q569" s="6">
        <v>35.6</v>
      </c>
      <c r="R569">
        <v>0</v>
      </c>
      <c r="S569" s="6">
        <v>0</v>
      </c>
      <c r="T569">
        <v>0</v>
      </c>
      <c r="U569" s="6">
        <v>4375</v>
      </c>
      <c r="V569">
        <v>0</v>
      </c>
      <c r="W569">
        <v>0</v>
      </c>
      <c r="X569">
        <v>0</v>
      </c>
      <c r="Y569" s="6">
        <v>34.700000000000003</v>
      </c>
      <c r="Z569">
        <v>1.7999999999999999E-2</v>
      </c>
      <c r="AA569">
        <v>2.9000000000000001E-2</v>
      </c>
      <c r="AB569">
        <v>7.4999999999999997E-2</v>
      </c>
      <c r="AC569">
        <v>4</v>
      </c>
      <c r="AD569" s="6">
        <v>65</v>
      </c>
      <c r="AE569" s="6">
        <v>0</v>
      </c>
      <c r="AF569" s="6">
        <v>0</v>
      </c>
      <c r="AG569" s="6">
        <v>53.79</v>
      </c>
      <c r="AH569" s="6">
        <v>70.849999999999994</v>
      </c>
      <c r="AI569" s="6">
        <f t="shared" si="16"/>
        <v>17.059999999999995</v>
      </c>
      <c r="AJ569" s="5">
        <f t="shared" si="17"/>
        <v>0.24079040225829212</v>
      </c>
    </row>
    <row r="570" spans="1:36">
      <c r="A570" t="s">
        <v>391</v>
      </c>
      <c r="B570" t="s">
        <v>855</v>
      </c>
      <c r="C570" t="s">
        <v>70</v>
      </c>
      <c r="D570" t="s">
        <v>72</v>
      </c>
      <c r="E570" t="s">
        <v>55</v>
      </c>
      <c r="F570">
        <v>0</v>
      </c>
      <c r="G570">
        <v>327</v>
      </c>
      <c r="H570">
        <v>1</v>
      </c>
      <c r="I570" t="s">
        <v>220</v>
      </c>
      <c r="J570">
        <v>2</v>
      </c>
      <c r="K570" s="6">
        <v>4.13</v>
      </c>
      <c r="L570" t="s">
        <v>174</v>
      </c>
      <c r="M570">
        <v>0</v>
      </c>
      <c r="N570" t="s">
        <v>182</v>
      </c>
      <c r="O570">
        <v>3</v>
      </c>
      <c r="P570">
        <v>0</v>
      </c>
      <c r="Q570" s="6">
        <v>116.2</v>
      </c>
      <c r="R570">
        <v>0</v>
      </c>
      <c r="S570" s="6">
        <v>0</v>
      </c>
      <c r="T570">
        <v>0</v>
      </c>
      <c r="U570" s="6">
        <v>1960</v>
      </c>
      <c r="V570">
        <v>0</v>
      </c>
      <c r="W570">
        <v>0</v>
      </c>
      <c r="X570">
        <v>0</v>
      </c>
      <c r="Y570" s="6">
        <v>34.700000000000003</v>
      </c>
      <c r="Z570">
        <v>1.7999999999999999E-2</v>
      </c>
      <c r="AA570">
        <v>2.9000000000000001E-2</v>
      </c>
      <c r="AB570">
        <v>7.4999999999999997E-2</v>
      </c>
      <c r="AC570">
        <v>4</v>
      </c>
      <c r="AD570" s="6">
        <v>70</v>
      </c>
      <c r="AE570" s="6">
        <v>0</v>
      </c>
      <c r="AF570" s="6">
        <v>0</v>
      </c>
      <c r="AG570" s="6">
        <v>75.98</v>
      </c>
      <c r="AH570" s="6">
        <v>95.52</v>
      </c>
      <c r="AI570" s="6">
        <f t="shared" si="16"/>
        <v>19.539999999999992</v>
      </c>
      <c r="AJ570" s="5">
        <f t="shared" si="17"/>
        <v>0.20456448911222774</v>
      </c>
    </row>
    <row r="571" spans="1:36">
      <c r="A571" t="s">
        <v>210</v>
      </c>
      <c r="B571" t="s">
        <v>856</v>
      </c>
      <c r="C571" t="s">
        <v>70</v>
      </c>
      <c r="D571" t="s">
        <v>72</v>
      </c>
      <c r="E571" t="s">
        <v>55</v>
      </c>
      <c r="F571">
        <v>0</v>
      </c>
      <c r="G571">
        <v>327</v>
      </c>
      <c r="H571">
        <v>1</v>
      </c>
      <c r="I571" t="s">
        <v>173</v>
      </c>
      <c r="J571">
        <v>1</v>
      </c>
      <c r="K571" s="6">
        <v>1.94</v>
      </c>
      <c r="L571" t="s">
        <v>174</v>
      </c>
      <c r="M571">
        <v>0</v>
      </c>
      <c r="N571" t="s">
        <v>175</v>
      </c>
      <c r="O571">
        <v>1</v>
      </c>
      <c r="P571">
        <v>0</v>
      </c>
      <c r="Q571" s="6">
        <v>20.6</v>
      </c>
      <c r="R571">
        <v>1</v>
      </c>
      <c r="S571" s="6">
        <v>3426</v>
      </c>
      <c r="T571">
        <v>0</v>
      </c>
      <c r="U571" s="6">
        <v>2953</v>
      </c>
      <c r="V571">
        <v>0</v>
      </c>
      <c r="W571">
        <v>0</v>
      </c>
      <c r="X571">
        <v>0</v>
      </c>
      <c r="Y571" s="6">
        <v>34.700000000000003</v>
      </c>
      <c r="Z571">
        <v>1.7999999999999999E-2</v>
      </c>
      <c r="AA571">
        <v>2.9000000000000001E-2</v>
      </c>
      <c r="AB571">
        <v>7.4999999999999997E-2</v>
      </c>
      <c r="AC571">
        <v>4</v>
      </c>
      <c r="AD571" s="6">
        <v>65</v>
      </c>
      <c r="AE571" s="6">
        <v>50</v>
      </c>
      <c r="AF571" s="6">
        <v>0</v>
      </c>
      <c r="AG571" s="6">
        <v>58.7</v>
      </c>
      <c r="AH571" s="6">
        <v>76.44</v>
      </c>
      <c r="AI571" s="6">
        <f t="shared" si="16"/>
        <v>17.739999999999995</v>
      </c>
      <c r="AJ571" s="5">
        <f t="shared" si="17"/>
        <v>0.23207744636316058</v>
      </c>
    </row>
    <row r="572" spans="1:36">
      <c r="A572" t="s">
        <v>406</v>
      </c>
      <c r="B572" t="s">
        <v>857</v>
      </c>
      <c r="C572" t="s">
        <v>70</v>
      </c>
      <c r="D572" t="s">
        <v>72</v>
      </c>
      <c r="E572" t="s">
        <v>55</v>
      </c>
      <c r="F572">
        <v>0</v>
      </c>
      <c r="G572">
        <v>327</v>
      </c>
      <c r="H572">
        <v>1.22</v>
      </c>
      <c r="I572" t="s">
        <v>220</v>
      </c>
      <c r="J572">
        <v>2</v>
      </c>
      <c r="K572" s="6">
        <v>4.59</v>
      </c>
      <c r="L572" t="s">
        <v>174</v>
      </c>
      <c r="M572">
        <v>0</v>
      </c>
      <c r="N572" t="s">
        <v>187</v>
      </c>
      <c r="O572">
        <v>2</v>
      </c>
      <c r="P572">
        <v>0</v>
      </c>
      <c r="Q572" s="6">
        <v>59.2</v>
      </c>
      <c r="R572">
        <v>1</v>
      </c>
      <c r="S572" s="6">
        <v>2928</v>
      </c>
      <c r="T572">
        <v>0</v>
      </c>
      <c r="U572" s="6">
        <v>2787</v>
      </c>
      <c r="V572">
        <v>1</v>
      </c>
      <c r="W572">
        <v>0</v>
      </c>
      <c r="X572">
        <v>1</v>
      </c>
      <c r="Y572" s="6">
        <v>34.700000000000003</v>
      </c>
      <c r="Z572">
        <v>1.7999999999999999E-2</v>
      </c>
      <c r="AA572">
        <v>2.9000000000000001E-2</v>
      </c>
      <c r="AB572">
        <v>7.4999999999999997E-2</v>
      </c>
      <c r="AC572">
        <v>4</v>
      </c>
      <c r="AD572" s="6">
        <v>70</v>
      </c>
      <c r="AE572" s="6">
        <v>50</v>
      </c>
      <c r="AF572" s="6">
        <v>0</v>
      </c>
      <c r="AG572" s="6">
        <v>115.16</v>
      </c>
      <c r="AH572" s="6">
        <v>148.33000000000001</v>
      </c>
      <c r="AI572" s="6">
        <f t="shared" si="16"/>
        <v>33.170000000000016</v>
      </c>
      <c r="AJ572" s="5">
        <f t="shared" si="17"/>
        <v>0.22362300276410715</v>
      </c>
    </row>
    <row r="573" spans="1:36">
      <c r="A573" t="s">
        <v>365</v>
      </c>
      <c r="B573" t="s">
        <v>858</v>
      </c>
      <c r="C573" t="s">
        <v>70</v>
      </c>
      <c r="D573" t="s">
        <v>72</v>
      </c>
      <c r="E573" t="s">
        <v>55</v>
      </c>
      <c r="F573">
        <v>0</v>
      </c>
      <c r="G573">
        <v>327</v>
      </c>
      <c r="H573">
        <v>1.22</v>
      </c>
      <c r="I573" t="s">
        <v>173</v>
      </c>
      <c r="J573">
        <v>1</v>
      </c>
      <c r="K573" s="6">
        <v>1.92</v>
      </c>
      <c r="L573" t="s">
        <v>174</v>
      </c>
      <c r="M573">
        <v>0</v>
      </c>
      <c r="N573" t="s">
        <v>272</v>
      </c>
      <c r="O573">
        <v>5</v>
      </c>
      <c r="P573">
        <v>1</v>
      </c>
      <c r="Q573" s="6">
        <v>290.7</v>
      </c>
      <c r="R573">
        <v>0</v>
      </c>
      <c r="S573" s="6">
        <v>0</v>
      </c>
      <c r="T573">
        <v>0</v>
      </c>
      <c r="U573" s="6">
        <v>2969</v>
      </c>
      <c r="V573">
        <v>0</v>
      </c>
      <c r="W573">
        <v>0</v>
      </c>
      <c r="X573">
        <v>0</v>
      </c>
      <c r="Y573" s="6">
        <v>34.700000000000003</v>
      </c>
      <c r="Z573">
        <v>1.7999999999999999E-2</v>
      </c>
      <c r="AA573">
        <v>2.9000000000000001E-2</v>
      </c>
      <c r="AB573">
        <v>7.4999999999999997E-2</v>
      </c>
      <c r="AC573">
        <v>4</v>
      </c>
      <c r="AD573" s="6">
        <v>125</v>
      </c>
      <c r="AE573" s="6">
        <v>0</v>
      </c>
      <c r="AF573" s="6">
        <v>0</v>
      </c>
      <c r="AG573" s="6">
        <v>159.76</v>
      </c>
      <c r="AH573" s="6">
        <v>203.3</v>
      </c>
      <c r="AI573" s="6">
        <f t="shared" si="16"/>
        <v>43.54000000000002</v>
      </c>
      <c r="AJ573" s="5">
        <f t="shared" si="17"/>
        <v>0.21416625676340392</v>
      </c>
    </row>
    <row r="574" spans="1:36">
      <c r="A574" t="s">
        <v>215</v>
      </c>
      <c r="B574" t="s">
        <v>859</v>
      </c>
      <c r="C574" t="s">
        <v>70</v>
      </c>
      <c r="D574" t="s">
        <v>72</v>
      </c>
      <c r="E574" t="s">
        <v>55</v>
      </c>
      <c r="F574">
        <v>0</v>
      </c>
      <c r="G574">
        <v>327</v>
      </c>
      <c r="H574">
        <v>1.22</v>
      </c>
      <c r="I574" t="s">
        <v>173</v>
      </c>
      <c r="J574">
        <v>1</v>
      </c>
      <c r="K574" s="6">
        <v>1.87</v>
      </c>
      <c r="L574" t="s">
        <v>174</v>
      </c>
      <c r="M574">
        <v>0</v>
      </c>
      <c r="N574" t="s">
        <v>175</v>
      </c>
      <c r="O574">
        <v>1</v>
      </c>
      <c r="P574">
        <v>0</v>
      </c>
      <c r="Q574" s="6">
        <v>45.4</v>
      </c>
      <c r="R574">
        <v>0</v>
      </c>
      <c r="S574" s="6">
        <v>0</v>
      </c>
      <c r="T574">
        <v>0</v>
      </c>
      <c r="U574" s="6">
        <v>3482</v>
      </c>
      <c r="V574">
        <v>0</v>
      </c>
      <c r="W574">
        <v>0</v>
      </c>
      <c r="X574">
        <v>0</v>
      </c>
      <c r="Y574" s="6">
        <v>34.700000000000003</v>
      </c>
      <c r="Z574">
        <v>1.7999999999999999E-2</v>
      </c>
      <c r="AA574">
        <v>2.9000000000000001E-2</v>
      </c>
      <c r="AB574">
        <v>7.4999999999999997E-2</v>
      </c>
      <c r="AC574">
        <v>4</v>
      </c>
      <c r="AD574" s="6">
        <v>65</v>
      </c>
      <c r="AE574" s="6">
        <v>0</v>
      </c>
      <c r="AF574" s="6">
        <v>0</v>
      </c>
      <c r="AG574" s="6">
        <v>57.23</v>
      </c>
      <c r="AH574" s="6">
        <v>73.78</v>
      </c>
      <c r="AI574" s="6">
        <f t="shared" si="16"/>
        <v>16.550000000000004</v>
      </c>
      <c r="AJ574" s="5">
        <f t="shared" si="17"/>
        <v>0.22431553266467882</v>
      </c>
    </row>
    <row r="575" spans="1:36">
      <c r="A575" t="s">
        <v>306</v>
      </c>
      <c r="B575" t="s">
        <v>860</v>
      </c>
      <c r="C575" t="s">
        <v>70</v>
      </c>
      <c r="D575" t="s">
        <v>72</v>
      </c>
      <c r="E575" t="s">
        <v>55</v>
      </c>
      <c r="F575">
        <v>0</v>
      </c>
      <c r="G575">
        <v>327</v>
      </c>
      <c r="H575">
        <v>1.22</v>
      </c>
      <c r="I575" t="s">
        <v>181</v>
      </c>
      <c r="J575">
        <v>3</v>
      </c>
      <c r="K575" s="6">
        <v>11.85</v>
      </c>
      <c r="L575" t="s">
        <v>174</v>
      </c>
      <c r="M575">
        <v>0</v>
      </c>
      <c r="N575" t="s">
        <v>187</v>
      </c>
      <c r="O575">
        <v>2</v>
      </c>
      <c r="P575">
        <v>0</v>
      </c>
      <c r="Q575" s="6">
        <v>61.9</v>
      </c>
      <c r="R575">
        <v>1</v>
      </c>
      <c r="S575" s="6">
        <v>1351</v>
      </c>
      <c r="T575">
        <v>0</v>
      </c>
      <c r="U575" s="6">
        <v>1489</v>
      </c>
      <c r="V575">
        <v>0</v>
      </c>
      <c r="W575">
        <v>0</v>
      </c>
      <c r="X575">
        <v>0</v>
      </c>
      <c r="Y575" s="6">
        <v>34.700000000000003</v>
      </c>
      <c r="Z575">
        <v>1.7999999999999999E-2</v>
      </c>
      <c r="AA575">
        <v>2.9000000000000001E-2</v>
      </c>
      <c r="AB575">
        <v>7.4999999999999997E-2</v>
      </c>
      <c r="AC575">
        <v>4</v>
      </c>
      <c r="AD575" s="6">
        <v>105</v>
      </c>
      <c r="AE575" s="6">
        <v>25</v>
      </c>
      <c r="AF575" s="6">
        <v>0</v>
      </c>
      <c r="AG575" s="6">
        <v>127.16</v>
      </c>
      <c r="AH575" s="6">
        <v>159.91</v>
      </c>
      <c r="AI575" s="6">
        <f t="shared" si="16"/>
        <v>32.75</v>
      </c>
      <c r="AJ575" s="5">
        <f t="shared" si="17"/>
        <v>0.20480270151960478</v>
      </c>
    </row>
    <row r="576" spans="1:36">
      <c r="A576" t="s">
        <v>245</v>
      </c>
      <c r="B576" t="s">
        <v>861</v>
      </c>
      <c r="C576" t="s">
        <v>70</v>
      </c>
      <c r="D576" t="s">
        <v>72</v>
      </c>
      <c r="E576" t="s">
        <v>55</v>
      </c>
      <c r="F576">
        <v>0</v>
      </c>
      <c r="G576">
        <v>327</v>
      </c>
      <c r="H576">
        <v>1.22</v>
      </c>
      <c r="I576" t="s">
        <v>220</v>
      </c>
      <c r="J576">
        <v>2</v>
      </c>
      <c r="K576" s="6">
        <v>3.99</v>
      </c>
      <c r="L576" t="s">
        <v>174</v>
      </c>
      <c r="M576">
        <v>0</v>
      </c>
      <c r="N576" t="s">
        <v>182</v>
      </c>
      <c r="O576">
        <v>3</v>
      </c>
      <c r="P576">
        <v>0</v>
      </c>
      <c r="Q576" s="6">
        <v>107</v>
      </c>
      <c r="R576">
        <v>0</v>
      </c>
      <c r="S576" s="6">
        <v>0</v>
      </c>
      <c r="T576">
        <v>0</v>
      </c>
      <c r="U576" s="6">
        <v>2423</v>
      </c>
      <c r="V576">
        <v>0</v>
      </c>
      <c r="W576">
        <v>0</v>
      </c>
      <c r="X576">
        <v>0</v>
      </c>
      <c r="Y576" s="6">
        <v>34.700000000000003</v>
      </c>
      <c r="Z576">
        <v>1.7999999999999999E-2</v>
      </c>
      <c r="AA576">
        <v>2.9000000000000001E-2</v>
      </c>
      <c r="AB576">
        <v>7.4999999999999997E-2</v>
      </c>
      <c r="AC576">
        <v>4</v>
      </c>
      <c r="AD576" s="6">
        <v>70</v>
      </c>
      <c r="AE576" s="6">
        <v>0</v>
      </c>
      <c r="AF576" s="6">
        <v>0</v>
      </c>
      <c r="AG576" s="6">
        <v>83.77</v>
      </c>
      <c r="AH576" s="6">
        <v>108.04</v>
      </c>
      <c r="AI576" s="6">
        <f t="shared" si="16"/>
        <v>24.27000000000001</v>
      </c>
      <c r="AJ576" s="5">
        <f t="shared" si="17"/>
        <v>0.22463902258422813</v>
      </c>
    </row>
    <row r="577" spans="1:36">
      <c r="A577" t="s">
        <v>311</v>
      </c>
      <c r="B577" t="s">
        <v>862</v>
      </c>
      <c r="C577" t="s">
        <v>70</v>
      </c>
      <c r="D577" t="s">
        <v>72</v>
      </c>
      <c r="E577" t="s">
        <v>55</v>
      </c>
      <c r="F577">
        <v>0</v>
      </c>
      <c r="G577">
        <v>327</v>
      </c>
      <c r="H577">
        <v>1</v>
      </c>
      <c r="I577" t="s">
        <v>173</v>
      </c>
      <c r="J577">
        <v>1</v>
      </c>
      <c r="K577" s="6">
        <v>1.3</v>
      </c>
      <c r="L577" t="s">
        <v>174</v>
      </c>
      <c r="M577">
        <v>0</v>
      </c>
      <c r="N577" t="s">
        <v>175</v>
      </c>
      <c r="O577">
        <v>1</v>
      </c>
      <c r="P577">
        <v>0</v>
      </c>
      <c r="Q577" s="6">
        <v>31.5</v>
      </c>
      <c r="R577">
        <v>0</v>
      </c>
      <c r="S577" s="6">
        <v>0</v>
      </c>
      <c r="T577">
        <v>0</v>
      </c>
      <c r="U577" s="6">
        <v>4058</v>
      </c>
      <c r="V577">
        <v>0</v>
      </c>
      <c r="W577">
        <v>0</v>
      </c>
      <c r="X577">
        <v>0</v>
      </c>
      <c r="Y577" s="6">
        <v>34.700000000000003</v>
      </c>
      <c r="Z577">
        <v>1.7999999999999999E-2</v>
      </c>
      <c r="AA577">
        <v>2.9000000000000001E-2</v>
      </c>
      <c r="AB577">
        <v>7.4999999999999997E-2</v>
      </c>
      <c r="AC577">
        <v>4</v>
      </c>
      <c r="AD577" s="6">
        <v>65</v>
      </c>
      <c r="AE577" s="6">
        <v>0</v>
      </c>
      <c r="AF577" s="6">
        <v>0</v>
      </c>
      <c r="AG577" s="6">
        <v>54.33</v>
      </c>
      <c r="AH577" s="6">
        <v>70.09</v>
      </c>
      <c r="AI577" s="6">
        <f t="shared" si="16"/>
        <v>15.760000000000005</v>
      </c>
      <c r="AJ577" s="5">
        <f t="shared" si="17"/>
        <v>0.22485375945213304</v>
      </c>
    </row>
    <row r="578" spans="1:36">
      <c r="A578" t="s">
        <v>196</v>
      </c>
      <c r="B578" t="s">
        <v>863</v>
      </c>
      <c r="C578" t="s">
        <v>70</v>
      </c>
      <c r="D578" t="s">
        <v>72</v>
      </c>
      <c r="E578" t="s">
        <v>55</v>
      </c>
      <c r="F578">
        <v>0</v>
      </c>
      <c r="G578">
        <v>327</v>
      </c>
      <c r="H578">
        <v>1</v>
      </c>
      <c r="I578" t="s">
        <v>220</v>
      </c>
      <c r="J578">
        <v>2</v>
      </c>
      <c r="K578" s="6">
        <v>7.01</v>
      </c>
      <c r="L578" t="s">
        <v>174</v>
      </c>
      <c r="M578">
        <v>0</v>
      </c>
      <c r="N578" t="s">
        <v>175</v>
      </c>
      <c r="O578">
        <v>1</v>
      </c>
      <c r="P578">
        <v>0</v>
      </c>
      <c r="Q578" s="6">
        <v>50.2</v>
      </c>
      <c r="R578">
        <v>0</v>
      </c>
      <c r="S578" s="6">
        <v>0</v>
      </c>
      <c r="T578">
        <v>0</v>
      </c>
      <c r="U578" s="6">
        <v>2092</v>
      </c>
      <c r="V578">
        <v>0</v>
      </c>
      <c r="W578">
        <v>0</v>
      </c>
      <c r="X578">
        <v>0</v>
      </c>
      <c r="Y578" s="6">
        <v>34.700000000000003</v>
      </c>
      <c r="Z578">
        <v>1.7999999999999999E-2</v>
      </c>
      <c r="AA578">
        <v>2.9000000000000001E-2</v>
      </c>
      <c r="AB578">
        <v>7.4999999999999997E-2</v>
      </c>
      <c r="AC578">
        <v>4</v>
      </c>
      <c r="AD578" s="6">
        <v>70</v>
      </c>
      <c r="AE578" s="6">
        <v>0</v>
      </c>
      <c r="AF578" s="6">
        <v>0</v>
      </c>
      <c r="AG578" s="6">
        <v>66.62</v>
      </c>
      <c r="AH578" s="6">
        <v>84.31</v>
      </c>
      <c r="AI578" s="6">
        <f t="shared" ref="AI578:AI641" si="18">AH578-AG578</f>
        <v>17.689999999999998</v>
      </c>
      <c r="AJ578" s="5">
        <f t="shared" ref="AJ578:AJ641" si="19">IFERROR(AI578/AH578,0)</f>
        <v>0.20982089906298182</v>
      </c>
    </row>
    <row r="579" spans="1:36">
      <c r="A579" t="s">
        <v>291</v>
      </c>
      <c r="B579" t="s">
        <v>864</v>
      </c>
      <c r="C579" t="s">
        <v>70</v>
      </c>
      <c r="D579" t="s">
        <v>72</v>
      </c>
      <c r="E579" t="s">
        <v>55</v>
      </c>
      <c r="F579">
        <v>0</v>
      </c>
      <c r="G579">
        <v>327</v>
      </c>
      <c r="H579">
        <v>1.22</v>
      </c>
      <c r="I579" t="s">
        <v>173</v>
      </c>
      <c r="J579">
        <v>1</v>
      </c>
      <c r="K579" s="6">
        <v>2.6</v>
      </c>
      <c r="L579" t="s">
        <v>174</v>
      </c>
      <c r="M579">
        <v>0</v>
      </c>
      <c r="N579" t="s">
        <v>175</v>
      </c>
      <c r="O579">
        <v>1</v>
      </c>
      <c r="P579">
        <v>0</v>
      </c>
      <c r="Q579" s="6">
        <v>21.5</v>
      </c>
      <c r="R579">
        <v>0</v>
      </c>
      <c r="S579" s="6">
        <v>0</v>
      </c>
      <c r="T579">
        <v>0</v>
      </c>
      <c r="U579" s="6">
        <v>1060</v>
      </c>
      <c r="V579">
        <v>0</v>
      </c>
      <c r="W579">
        <v>0</v>
      </c>
      <c r="X579">
        <v>1</v>
      </c>
      <c r="Y579" s="6">
        <v>34.700000000000003</v>
      </c>
      <c r="Z579">
        <v>1.7999999999999999E-2</v>
      </c>
      <c r="AA579">
        <v>2.9000000000000001E-2</v>
      </c>
      <c r="AB579">
        <v>7.4999999999999997E-2</v>
      </c>
      <c r="AC579">
        <v>4</v>
      </c>
      <c r="AD579" s="6">
        <v>65</v>
      </c>
      <c r="AE579" s="6">
        <v>0</v>
      </c>
      <c r="AF579" s="6">
        <v>0</v>
      </c>
      <c r="AG579" s="6">
        <v>54.06</v>
      </c>
      <c r="AH579" s="6">
        <v>72.39</v>
      </c>
      <c r="AI579" s="6">
        <f t="shared" si="18"/>
        <v>18.329999999999998</v>
      </c>
      <c r="AJ579" s="5">
        <f t="shared" si="19"/>
        <v>0.25321176958143388</v>
      </c>
    </row>
    <row r="580" spans="1:36">
      <c r="A580" t="s">
        <v>251</v>
      </c>
      <c r="B580" t="s">
        <v>865</v>
      </c>
      <c r="C580" t="s">
        <v>70</v>
      </c>
      <c r="D580" t="s">
        <v>72</v>
      </c>
      <c r="E580" t="s">
        <v>55</v>
      </c>
      <c r="F580">
        <v>0</v>
      </c>
      <c r="G580">
        <v>327</v>
      </c>
      <c r="H580">
        <v>1</v>
      </c>
      <c r="I580" t="s">
        <v>173</v>
      </c>
      <c r="J580">
        <v>1</v>
      </c>
      <c r="K580" s="6">
        <v>1.3</v>
      </c>
      <c r="L580" t="s">
        <v>174</v>
      </c>
      <c r="M580">
        <v>0</v>
      </c>
      <c r="N580" t="s">
        <v>217</v>
      </c>
      <c r="O580">
        <v>4</v>
      </c>
      <c r="P580">
        <v>1</v>
      </c>
      <c r="Q580" s="6">
        <v>156.69999999999999</v>
      </c>
      <c r="R580">
        <v>1</v>
      </c>
      <c r="S580" s="6">
        <v>901</v>
      </c>
      <c r="T580">
        <v>0</v>
      </c>
      <c r="U580" s="6">
        <v>8219</v>
      </c>
      <c r="V580">
        <v>0</v>
      </c>
      <c r="W580">
        <v>0</v>
      </c>
      <c r="X580">
        <v>0</v>
      </c>
      <c r="Y580" s="6">
        <v>34.700000000000003</v>
      </c>
      <c r="Z580">
        <v>1.7999999999999999E-2</v>
      </c>
      <c r="AA580">
        <v>2.9000000000000001E-2</v>
      </c>
      <c r="AB580">
        <v>7.4999999999999997E-2</v>
      </c>
      <c r="AC580">
        <v>4</v>
      </c>
      <c r="AD580" s="6">
        <v>65</v>
      </c>
      <c r="AE580" s="6">
        <v>25</v>
      </c>
      <c r="AF580" s="6">
        <v>0</v>
      </c>
      <c r="AG580" s="6">
        <v>113.87</v>
      </c>
      <c r="AH580" s="6">
        <v>142.37</v>
      </c>
      <c r="AI580" s="6">
        <f t="shared" si="18"/>
        <v>28.5</v>
      </c>
      <c r="AJ580" s="5">
        <f t="shared" si="19"/>
        <v>0.20018262274355553</v>
      </c>
    </row>
    <row r="581" spans="1:36">
      <c r="A581" t="s">
        <v>221</v>
      </c>
      <c r="B581" t="s">
        <v>866</v>
      </c>
      <c r="C581" t="s">
        <v>70</v>
      </c>
      <c r="D581" t="s">
        <v>72</v>
      </c>
      <c r="E581" t="s">
        <v>55</v>
      </c>
      <c r="F581">
        <v>0</v>
      </c>
      <c r="G581">
        <v>327</v>
      </c>
      <c r="H581">
        <v>1</v>
      </c>
      <c r="I581" t="s">
        <v>181</v>
      </c>
      <c r="J581">
        <v>3</v>
      </c>
      <c r="K581" s="6">
        <v>7.82</v>
      </c>
      <c r="L581" t="s">
        <v>174</v>
      </c>
      <c r="M581">
        <v>0</v>
      </c>
      <c r="N581" t="s">
        <v>182</v>
      </c>
      <c r="O581">
        <v>3</v>
      </c>
      <c r="P581">
        <v>0</v>
      </c>
      <c r="Q581" s="6">
        <v>99.1</v>
      </c>
      <c r="R581">
        <v>1</v>
      </c>
      <c r="S581" s="6">
        <v>999</v>
      </c>
      <c r="T581">
        <v>0</v>
      </c>
      <c r="U581" s="6">
        <v>5344</v>
      </c>
      <c r="V581">
        <v>0</v>
      </c>
      <c r="W581">
        <v>0</v>
      </c>
      <c r="X581">
        <v>0</v>
      </c>
      <c r="Y581" s="6">
        <v>34.700000000000003</v>
      </c>
      <c r="Z581">
        <v>1.7999999999999999E-2</v>
      </c>
      <c r="AA581">
        <v>2.9000000000000001E-2</v>
      </c>
      <c r="AB581">
        <v>7.4999999999999997E-2</v>
      </c>
      <c r="AC581">
        <v>4</v>
      </c>
      <c r="AD581" s="6">
        <v>105</v>
      </c>
      <c r="AE581" s="6">
        <v>25</v>
      </c>
      <c r="AF581" s="6">
        <v>0</v>
      </c>
      <c r="AG581" s="6">
        <v>100.29</v>
      </c>
      <c r="AH581" s="6">
        <v>128.91</v>
      </c>
      <c r="AI581" s="6">
        <f t="shared" si="18"/>
        <v>28.61999999999999</v>
      </c>
      <c r="AJ581" s="5">
        <f t="shared" si="19"/>
        <v>0.22201535955317656</v>
      </c>
    </row>
    <row r="582" spans="1:36">
      <c r="A582" t="s">
        <v>208</v>
      </c>
      <c r="B582" t="s">
        <v>867</v>
      </c>
      <c r="C582" t="s">
        <v>70</v>
      </c>
      <c r="D582" t="s">
        <v>72</v>
      </c>
      <c r="E582" t="s">
        <v>55</v>
      </c>
      <c r="F582">
        <v>0</v>
      </c>
      <c r="G582">
        <v>327</v>
      </c>
      <c r="H582">
        <v>1.22</v>
      </c>
      <c r="I582" t="s">
        <v>173</v>
      </c>
      <c r="J582">
        <v>1</v>
      </c>
      <c r="K582" s="6">
        <v>1.42</v>
      </c>
      <c r="L582" t="s">
        <v>174</v>
      </c>
      <c r="M582">
        <v>0</v>
      </c>
      <c r="N582" t="s">
        <v>187</v>
      </c>
      <c r="O582">
        <v>2</v>
      </c>
      <c r="P582">
        <v>0</v>
      </c>
      <c r="Q582" s="6">
        <v>40.9</v>
      </c>
      <c r="R582">
        <v>1</v>
      </c>
      <c r="S582" s="6">
        <v>4262</v>
      </c>
      <c r="T582">
        <v>0</v>
      </c>
      <c r="U582" s="6">
        <v>2647</v>
      </c>
      <c r="V582">
        <v>0</v>
      </c>
      <c r="W582">
        <v>0</v>
      </c>
      <c r="X582">
        <v>0</v>
      </c>
      <c r="Y582" s="6">
        <v>34.700000000000003</v>
      </c>
      <c r="Z582">
        <v>1.7999999999999999E-2</v>
      </c>
      <c r="AA582">
        <v>2.9000000000000001E-2</v>
      </c>
      <c r="AB582">
        <v>7.4999999999999997E-2</v>
      </c>
      <c r="AC582">
        <v>4</v>
      </c>
      <c r="AD582" s="6">
        <v>65</v>
      </c>
      <c r="AE582" s="6">
        <v>50</v>
      </c>
      <c r="AF582" s="6">
        <v>0</v>
      </c>
      <c r="AG582" s="6">
        <v>72.64</v>
      </c>
      <c r="AH582" s="6">
        <v>93.15</v>
      </c>
      <c r="AI582" s="6">
        <f t="shared" si="18"/>
        <v>20.510000000000005</v>
      </c>
      <c r="AJ582" s="5">
        <f t="shared" si="19"/>
        <v>0.22018250134192166</v>
      </c>
    </row>
    <row r="583" spans="1:36">
      <c r="A583" t="s">
        <v>397</v>
      </c>
      <c r="B583" t="s">
        <v>868</v>
      </c>
      <c r="C583" t="s">
        <v>70</v>
      </c>
      <c r="D583" t="s">
        <v>72</v>
      </c>
      <c r="E583" t="s">
        <v>55</v>
      </c>
      <c r="F583">
        <v>0</v>
      </c>
      <c r="G583">
        <v>327</v>
      </c>
      <c r="H583">
        <v>1.22</v>
      </c>
      <c r="I583" t="s">
        <v>220</v>
      </c>
      <c r="J583">
        <v>2</v>
      </c>
      <c r="K583" s="6">
        <v>3.61</v>
      </c>
      <c r="L583" t="s">
        <v>174</v>
      </c>
      <c r="M583">
        <v>0</v>
      </c>
      <c r="N583" t="s">
        <v>175</v>
      </c>
      <c r="O583">
        <v>1</v>
      </c>
      <c r="P583">
        <v>0</v>
      </c>
      <c r="Q583" s="6">
        <v>32.9</v>
      </c>
      <c r="R583">
        <v>1</v>
      </c>
      <c r="S583" s="6">
        <v>947</v>
      </c>
      <c r="T583">
        <v>0</v>
      </c>
      <c r="U583" s="6">
        <v>3989</v>
      </c>
      <c r="V583">
        <v>0</v>
      </c>
      <c r="W583">
        <v>0</v>
      </c>
      <c r="X583">
        <v>0</v>
      </c>
      <c r="Y583" s="6">
        <v>34.700000000000003</v>
      </c>
      <c r="Z583">
        <v>1.7999999999999999E-2</v>
      </c>
      <c r="AA583">
        <v>2.9000000000000001E-2</v>
      </c>
      <c r="AB583">
        <v>7.4999999999999997E-2</v>
      </c>
      <c r="AC583">
        <v>4</v>
      </c>
      <c r="AD583" s="6">
        <v>70</v>
      </c>
      <c r="AE583" s="6">
        <v>25</v>
      </c>
      <c r="AF583" s="6">
        <v>0</v>
      </c>
      <c r="AG583" s="6">
        <v>82.09</v>
      </c>
      <c r="AH583" s="6">
        <v>103.36</v>
      </c>
      <c r="AI583" s="6">
        <f t="shared" si="18"/>
        <v>21.269999999999996</v>
      </c>
      <c r="AJ583" s="5">
        <f t="shared" si="19"/>
        <v>0.20578560371517024</v>
      </c>
    </row>
    <row r="584" spans="1:36">
      <c r="A584" t="s">
        <v>284</v>
      </c>
      <c r="B584" t="s">
        <v>869</v>
      </c>
      <c r="C584" t="s">
        <v>70</v>
      </c>
      <c r="D584" t="s">
        <v>72</v>
      </c>
      <c r="E584" t="s">
        <v>55</v>
      </c>
      <c r="F584">
        <v>0</v>
      </c>
      <c r="G584">
        <v>327</v>
      </c>
      <c r="H584">
        <v>1.22</v>
      </c>
      <c r="I584" t="s">
        <v>173</v>
      </c>
      <c r="J584">
        <v>1</v>
      </c>
      <c r="K584" s="6">
        <v>2.38</v>
      </c>
      <c r="L584" t="s">
        <v>174</v>
      </c>
      <c r="M584">
        <v>0</v>
      </c>
      <c r="N584" t="s">
        <v>217</v>
      </c>
      <c r="O584">
        <v>4</v>
      </c>
      <c r="P584">
        <v>1</v>
      </c>
      <c r="Q584" s="6">
        <v>139.19999999999999</v>
      </c>
      <c r="R584">
        <v>1</v>
      </c>
      <c r="S584" s="6">
        <v>3684</v>
      </c>
      <c r="T584">
        <v>0</v>
      </c>
      <c r="U584" s="6">
        <v>3793</v>
      </c>
      <c r="V584">
        <v>1</v>
      </c>
      <c r="W584">
        <v>0</v>
      </c>
      <c r="X584">
        <v>0</v>
      </c>
      <c r="Y584" s="6">
        <v>34.700000000000003</v>
      </c>
      <c r="Z584">
        <v>1.7999999999999999E-2</v>
      </c>
      <c r="AA584">
        <v>2.9000000000000001E-2</v>
      </c>
      <c r="AB584">
        <v>7.4999999999999997E-2</v>
      </c>
      <c r="AC584">
        <v>4</v>
      </c>
      <c r="AD584" s="6">
        <v>65</v>
      </c>
      <c r="AE584" s="6">
        <v>50</v>
      </c>
      <c r="AF584" s="6">
        <v>0</v>
      </c>
      <c r="AG584" s="6">
        <v>173.2</v>
      </c>
      <c r="AH584" s="6">
        <v>220.83</v>
      </c>
      <c r="AI584" s="6">
        <f t="shared" si="18"/>
        <v>47.630000000000024</v>
      </c>
      <c r="AJ584" s="5">
        <f t="shared" si="19"/>
        <v>0.21568627450980402</v>
      </c>
    </row>
    <row r="585" spans="1:36">
      <c r="A585" t="s">
        <v>258</v>
      </c>
      <c r="B585" t="s">
        <v>870</v>
      </c>
      <c r="C585" t="s">
        <v>70</v>
      </c>
      <c r="D585" t="s">
        <v>72</v>
      </c>
      <c r="E585" t="s">
        <v>55</v>
      </c>
      <c r="F585">
        <v>0</v>
      </c>
      <c r="G585">
        <v>327</v>
      </c>
      <c r="H585">
        <v>1</v>
      </c>
      <c r="I585" t="s">
        <v>173</v>
      </c>
      <c r="J585">
        <v>1</v>
      </c>
      <c r="K585" s="6">
        <v>1.98</v>
      </c>
      <c r="L585" t="s">
        <v>174</v>
      </c>
      <c r="M585">
        <v>0</v>
      </c>
      <c r="N585" t="s">
        <v>182</v>
      </c>
      <c r="O585">
        <v>3</v>
      </c>
      <c r="P585">
        <v>0</v>
      </c>
      <c r="Q585" s="6">
        <v>124.5</v>
      </c>
      <c r="R585">
        <v>1</v>
      </c>
      <c r="S585" s="6">
        <v>12249</v>
      </c>
      <c r="T585">
        <v>0</v>
      </c>
      <c r="U585" s="6">
        <v>1031</v>
      </c>
      <c r="V585">
        <v>0</v>
      </c>
      <c r="W585">
        <v>0</v>
      </c>
      <c r="X585">
        <v>0</v>
      </c>
      <c r="Y585" s="6">
        <v>34.700000000000003</v>
      </c>
      <c r="Z585">
        <v>1.7999999999999999E-2</v>
      </c>
      <c r="AA585">
        <v>2.9000000000000001E-2</v>
      </c>
      <c r="AB585">
        <v>7.4999999999999997E-2</v>
      </c>
      <c r="AC585">
        <v>4</v>
      </c>
      <c r="AD585" s="6">
        <v>65</v>
      </c>
      <c r="AE585" s="6">
        <v>110</v>
      </c>
      <c r="AF585" s="6">
        <v>0</v>
      </c>
      <c r="AG585" s="6">
        <v>74.260000000000005</v>
      </c>
      <c r="AH585" s="6">
        <v>94.51</v>
      </c>
      <c r="AI585" s="6">
        <f t="shared" si="18"/>
        <v>20.25</v>
      </c>
      <c r="AJ585" s="5">
        <f t="shared" si="19"/>
        <v>0.21426304094804782</v>
      </c>
    </row>
    <row r="586" spans="1:36">
      <c r="A586" t="s">
        <v>403</v>
      </c>
      <c r="B586" t="s">
        <v>871</v>
      </c>
      <c r="C586" t="s">
        <v>70</v>
      </c>
      <c r="D586" t="s">
        <v>72</v>
      </c>
      <c r="E586" t="s">
        <v>55</v>
      </c>
      <c r="F586">
        <v>0</v>
      </c>
      <c r="G586">
        <v>327</v>
      </c>
      <c r="H586">
        <v>1.22</v>
      </c>
      <c r="I586" t="s">
        <v>181</v>
      </c>
      <c r="J586">
        <v>3</v>
      </c>
      <c r="K586" s="6">
        <v>10.4</v>
      </c>
      <c r="L586" t="s">
        <v>174</v>
      </c>
      <c r="M586">
        <v>0</v>
      </c>
      <c r="N586" t="s">
        <v>182</v>
      </c>
      <c r="O586">
        <v>3</v>
      </c>
      <c r="P586">
        <v>0</v>
      </c>
      <c r="Q586" s="6">
        <v>126.4</v>
      </c>
      <c r="R586">
        <v>0</v>
      </c>
      <c r="S586" s="6">
        <v>0</v>
      </c>
      <c r="T586">
        <v>0</v>
      </c>
      <c r="U586" s="6">
        <v>534</v>
      </c>
      <c r="V586">
        <v>0</v>
      </c>
      <c r="W586">
        <v>0</v>
      </c>
      <c r="X586">
        <v>0</v>
      </c>
      <c r="Y586" s="6">
        <v>34.700000000000003</v>
      </c>
      <c r="Z586">
        <v>1.7999999999999999E-2</v>
      </c>
      <c r="AA586">
        <v>2.9000000000000001E-2</v>
      </c>
      <c r="AB586">
        <v>7.4999999999999997E-2</v>
      </c>
      <c r="AC586">
        <v>4</v>
      </c>
      <c r="AD586" s="6">
        <v>105</v>
      </c>
      <c r="AE586" s="6">
        <v>0</v>
      </c>
      <c r="AF586" s="6">
        <v>0</v>
      </c>
      <c r="AG586" s="6">
        <v>125.94</v>
      </c>
      <c r="AH586" s="6">
        <v>157.78</v>
      </c>
      <c r="AI586" s="6">
        <f t="shared" si="18"/>
        <v>31.840000000000003</v>
      </c>
      <c r="AJ586" s="5">
        <f t="shared" si="19"/>
        <v>0.20179997464824442</v>
      </c>
    </row>
    <row r="587" spans="1:36">
      <c r="A587" t="s">
        <v>247</v>
      </c>
      <c r="B587" t="s">
        <v>872</v>
      </c>
      <c r="C587" t="s">
        <v>70</v>
      </c>
      <c r="D587" t="s">
        <v>72</v>
      </c>
      <c r="E587" t="s">
        <v>55</v>
      </c>
      <c r="F587">
        <v>0</v>
      </c>
      <c r="G587">
        <v>327</v>
      </c>
      <c r="H587">
        <v>1</v>
      </c>
      <c r="I587" t="s">
        <v>181</v>
      </c>
      <c r="J587">
        <v>3</v>
      </c>
      <c r="K587" s="6">
        <v>7.28</v>
      </c>
      <c r="L587" t="s">
        <v>174</v>
      </c>
      <c r="M587">
        <v>0</v>
      </c>
      <c r="N587" t="s">
        <v>182</v>
      </c>
      <c r="O587">
        <v>3</v>
      </c>
      <c r="P587">
        <v>0</v>
      </c>
      <c r="Q587" s="6">
        <v>90.7</v>
      </c>
      <c r="R587">
        <v>0</v>
      </c>
      <c r="S587" s="6">
        <v>0</v>
      </c>
      <c r="T587">
        <v>0</v>
      </c>
      <c r="U587" s="6">
        <v>2162</v>
      </c>
      <c r="V587">
        <v>0</v>
      </c>
      <c r="W587">
        <v>0</v>
      </c>
      <c r="X587">
        <v>0</v>
      </c>
      <c r="Y587" s="6">
        <v>34.700000000000003</v>
      </c>
      <c r="Z587">
        <v>1.7999999999999999E-2</v>
      </c>
      <c r="AA587">
        <v>2.9000000000000001E-2</v>
      </c>
      <c r="AB587">
        <v>7.4999999999999997E-2</v>
      </c>
      <c r="AC587">
        <v>4</v>
      </c>
      <c r="AD587" s="6">
        <v>105</v>
      </c>
      <c r="AE587" s="6">
        <v>0</v>
      </c>
      <c r="AF587" s="6">
        <v>0</v>
      </c>
      <c r="AG587" s="6">
        <v>96.14</v>
      </c>
      <c r="AH587" s="6">
        <v>120.58</v>
      </c>
      <c r="AI587" s="6">
        <f t="shared" si="18"/>
        <v>24.439999999999998</v>
      </c>
      <c r="AJ587" s="5">
        <f t="shared" si="19"/>
        <v>0.20268701277160389</v>
      </c>
    </row>
    <row r="588" spans="1:36">
      <c r="A588" t="s">
        <v>330</v>
      </c>
      <c r="B588" t="s">
        <v>873</v>
      </c>
      <c r="C588" t="s">
        <v>70</v>
      </c>
      <c r="D588" t="s">
        <v>72</v>
      </c>
      <c r="E588" t="s">
        <v>55</v>
      </c>
      <c r="F588">
        <v>0</v>
      </c>
      <c r="G588">
        <v>327</v>
      </c>
      <c r="H588">
        <v>1.22</v>
      </c>
      <c r="I588" t="s">
        <v>173</v>
      </c>
      <c r="J588">
        <v>1</v>
      </c>
      <c r="K588" s="6">
        <v>1.58</v>
      </c>
      <c r="L588" t="s">
        <v>174</v>
      </c>
      <c r="M588">
        <v>0</v>
      </c>
      <c r="N588" t="s">
        <v>217</v>
      </c>
      <c r="O588">
        <v>4</v>
      </c>
      <c r="P588">
        <v>1</v>
      </c>
      <c r="Q588" s="6">
        <v>189.4</v>
      </c>
      <c r="R588">
        <v>1</v>
      </c>
      <c r="S588" s="6">
        <v>2219</v>
      </c>
      <c r="T588">
        <v>0</v>
      </c>
      <c r="U588" s="6">
        <v>4258</v>
      </c>
      <c r="V588">
        <v>0</v>
      </c>
      <c r="W588">
        <v>0</v>
      </c>
      <c r="X588">
        <v>1</v>
      </c>
      <c r="Y588" s="6">
        <v>34.700000000000003</v>
      </c>
      <c r="Z588">
        <v>1.7999999999999999E-2</v>
      </c>
      <c r="AA588">
        <v>2.9000000000000001E-2</v>
      </c>
      <c r="AB588">
        <v>7.4999999999999997E-2</v>
      </c>
      <c r="AC588">
        <v>4</v>
      </c>
      <c r="AD588" s="6">
        <v>65</v>
      </c>
      <c r="AE588" s="6">
        <v>50</v>
      </c>
      <c r="AF588" s="6">
        <v>0</v>
      </c>
      <c r="AG588" s="6">
        <v>115.94</v>
      </c>
      <c r="AH588" s="6">
        <v>146.01</v>
      </c>
      <c r="AI588" s="6">
        <f t="shared" si="18"/>
        <v>30.069999999999993</v>
      </c>
      <c r="AJ588" s="5">
        <f t="shared" si="19"/>
        <v>0.20594479830148615</v>
      </c>
    </row>
    <row r="589" spans="1:36">
      <c r="A589" t="s">
        <v>330</v>
      </c>
      <c r="B589" t="s">
        <v>874</v>
      </c>
      <c r="C589" t="s">
        <v>70</v>
      </c>
      <c r="D589" t="s">
        <v>72</v>
      </c>
      <c r="E589" t="s">
        <v>55</v>
      </c>
      <c r="F589">
        <v>0</v>
      </c>
      <c r="G589">
        <v>327</v>
      </c>
      <c r="H589">
        <v>1.22</v>
      </c>
      <c r="I589" t="s">
        <v>178</v>
      </c>
      <c r="J589">
        <v>4</v>
      </c>
      <c r="K589" s="6">
        <v>19.059999999999999</v>
      </c>
      <c r="L589" t="s">
        <v>174</v>
      </c>
      <c r="M589">
        <v>0</v>
      </c>
      <c r="N589" t="s">
        <v>217</v>
      </c>
      <c r="O589">
        <v>4</v>
      </c>
      <c r="P589">
        <v>1</v>
      </c>
      <c r="Q589" s="6">
        <v>170.6</v>
      </c>
      <c r="R589">
        <v>0</v>
      </c>
      <c r="S589" s="6">
        <v>0</v>
      </c>
      <c r="T589">
        <v>0</v>
      </c>
      <c r="U589" s="6">
        <v>1459</v>
      </c>
      <c r="V589">
        <v>0</v>
      </c>
      <c r="W589">
        <v>0</v>
      </c>
      <c r="X589">
        <v>0</v>
      </c>
      <c r="Y589" s="6">
        <v>34.700000000000003</v>
      </c>
      <c r="Z589">
        <v>1.7999999999999999E-2</v>
      </c>
      <c r="AA589">
        <v>2.9000000000000001E-2</v>
      </c>
      <c r="AB589">
        <v>7.4999999999999997E-2</v>
      </c>
      <c r="AC589">
        <v>4</v>
      </c>
      <c r="AD589" s="6">
        <v>125</v>
      </c>
      <c r="AE589" s="6">
        <v>0</v>
      </c>
      <c r="AF589" s="6">
        <v>0</v>
      </c>
      <c r="AG589" s="6">
        <v>202.21</v>
      </c>
      <c r="AH589" s="6">
        <v>253.84</v>
      </c>
      <c r="AI589" s="6">
        <f t="shared" si="18"/>
        <v>51.629999999999995</v>
      </c>
      <c r="AJ589" s="5">
        <f t="shared" si="19"/>
        <v>0.20339583989914906</v>
      </c>
    </row>
    <row r="590" spans="1:36">
      <c r="A590" t="s">
        <v>204</v>
      </c>
      <c r="B590" t="s">
        <v>875</v>
      </c>
      <c r="C590" t="s">
        <v>70</v>
      </c>
      <c r="D590" t="s">
        <v>72</v>
      </c>
      <c r="E590" t="s">
        <v>55</v>
      </c>
      <c r="F590">
        <v>0</v>
      </c>
      <c r="G590">
        <v>327</v>
      </c>
      <c r="H590">
        <v>1.22</v>
      </c>
      <c r="I590" t="s">
        <v>181</v>
      </c>
      <c r="J590">
        <v>3</v>
      </c>
      <c r="K590" s="6">
        <v>5.0999999999999996</v>
      </c>
      <c r="L590" t="s">
        <v>174</v>
      </c>
      <c r="M590">
        <v>0</v>
      </c>
      <c r="N590" t="s">
        <v>187</v>
      </c>
      <c r="O590">
        <v>2</v>
      </c>
      <c r="P590">
        <v>0</v>
      </c>
      <c r="Q590" s="6">
        <v>53.7</v>
      </c>
      <c r="R590">
        <v>1</v>
      </c>
      <c r="S590" s="6">
        <v>1970</v>
      </c>
      <c r="T590">
        <v>0</v>
      </c>
      <c r="U590" s="6">
        <v>2799</v>
      </c>
      <c r="V590">
        <v>0</v>
      </c>
      <c r="W590">
        <v>0</v>
      </c>
      <c r="X590">
        <v>0</v>
      </c>
      <c r="Y590" s="6">
        <v>34.700000000000003</v>
      </c>
      <c r="Z590">
        <v>1.7999999999999999E-2</v>
      </c>
      <c r="AA590">
        <v>2.9000000000000001E-2</v>
      </c>
      <c r="AB590">
        <v>7.4999999999999997E-2</v>
      </c>
      <c r="AC590">
        <v>4</v>
      </c>
      <c r="AD590" s="6">
        <v>105</v>
      </c>
      <c r="AE590" s="6">
        <v>25</v>
      </c>
      <c r="AF590" s="6">
        <v>0</v>
      </c>
      <c r="AG590" s="6">
        <v>91.65</v>
      </c>
      <c r="AH590" s="6">
        <v>115.09</v>
      </c>
      <c r="AI590" s="6">
        <f t="shared" si="18"/>
        <v>23.439999999999998</v>
      </c>
      <c r="AJ590" s="5">
        <f t="shared" si="19"/>
        <v>0.20366669562950732</v>
      </c>
    </row>
    <row r="591" spans="1:36">
      <c r="A591" t="s">
        <v>247</v>
      </c>
      <c r="B591" t="s">
        <v>876</v>
      </c>
      <c r="C591" t="s">
        <v>70</v>
      </c>
      <c r="D591" t="s">
        <v>72</v>
      </c>
      <c r="E591" t="s">
        <v>55</v>
      </c>
      <c r="F591">
        <v>0</v>
      </c>
      <c r="G591">
        <v>327</v>
      </c>
      <c r="H591">
        <v>1</v>
      </c>
      <c r="I591" t="s">
        <v>181</v>
      </c>
      <c r="J591">
        <v>3</v>
      </c>
      <c r="K591" s="6">
        <v>9.68</v>
      </c>
      <c r="L591" t="s">
        <v>174</v>
      </c>
      <c r="M591">
        <v>0</v>
      </c>
      <c r="N591" t="s">
        <v>175</v>
      </c>
      <c r="O591">
        <v>1</v>
      </c>
      <c r="P591">
        <v>0</v>
      </c>
      <c r="Q591" s="6">
        <v>42.2</v>
      </c>
      <c r="R591">
        <v>1</v>
      </c>
      <c r="S591" s="6">
        <v>2708</v>
      </c>
      <c r="T591">
        <v>0</v>
      </c>
      <c r="U591" s="6">
        <v>3212</v>
      </c>
      <c r="V591">
        <v>0</v>
      </c>
      <c r="W591">
        <v>0</v>
      </c>
      <c r="X591">
        <v>0</v>
      </c>
      <c r="Y591" s="6">
        <v>34.700000000000003</v>
      </c>
      <c r="Z591">
        <v>1.7999999999999999E-2</v>
      </c>
      <c r="AA591">
        <v>2.9000000000000001E-2</v>
      </c>
      <c r="AB591">
        <v>7.4999999999999997E-2</v>
      </c>
      <c r="AC591">
        <v>4</v>
      </c>
      <c r="AD591" s="6">
        <v>105</v>
      </c>
      <c r="AE591" s="6">
        <v>50</v>
      </c>
      <c r="AF591" s="6">
        <v>0</v>
      </c>
      <c r="AG591" s="6">
        <v>113.32</v>
      </c>
      <c r="AH591" s="6">
        <v>141.76</v>
      </c>
      <c r="AI591" s="6">
        <f t="shared" si="18"/>
        <v>28.439999999999998</v>
      </c>
      <c r="AJ591" s="5">
        <f t="shared" si="19"/>
        <v>0.20062076749435664</v>
      </c>
    </row>
    <row r="592" spans="1:36">
      <c r="A592" t="s">
        <v>316</v>
      </c>
      <c r="B592" t="s">
        <v>877</v>
      </c>
      <c r="C592" t="s">
        <v>70</v>
      </c>
      <c r="D592" t="s">
        <v>72</v>
      </c>
      <c r="E592" t="s">
        <v>55</v>
      </c>
      <c r="F592">
        <v>0</v>
      </c>
      <c r="G592">
        <v>327</v>
      </c>
      <c r="H592">
        <v>1.22</v>
      </c>
      <c r="I592" t="s">
        <v>220</v>
      </c>
      <c r="J592">
        <v>2</v>
      </c>
      <c r="K592" s="6">
        <v>3.26</v>
      </c>
      <c r="L592" t="s">
        <v>174</v>
      </c>
      <c r="M592">
        <v>0</v>
      </c>
      <c r="N592" t="s">
        <v>175</v>
      </c>
      <c r="O592">
        <v>1</v>
      </c>
      <c r="P592">
        <v>0</v>
      </c>
      <c r="Q592" s="6">
        <v>36.9</v>
      </c>
      <c r="R592">
        <v>1</v>
      </c>
      <c r="S592" s="6">
        <v>1885</v>
      </c>
      <c r="T592">
        <v>0</v>
      </c>
      <c r="U592" s="6">
        <v>1235</v>
      </c>
      <c r="V592">
        <v>0</v>
      </c>
      <c r="W592">
        <v>0</v>
      </c>
      <c r="X592">
        <v>0</v>
      </c>
      <c r="Y592" s="6">
        <v>34.700000000000003</v>
      </c>
      <c r="Z592">
        <v>1.7999999999999999E-2</v>
      </c>
      <c r="AA592">
        <v>2.9000000000000001E-2</v>
      </c>
      <c r="AB592">
        <v>7.4999999999999997E-2</v>
      </c>
      <c r="AC592">
        <v>4</v>
      </c>
      <c r="AD592" s="6">
        <v>70</v>
      </c>
      <c r="AE592" s="6">
        <v>25</v>
      </c>
      <c r="AF592" s="6">
        <v>0</v>
      </c>
      <c r="AG592" s="6">
        <v>78.39</v>
      </c>
      <c r="AH592" s="6">
        <v>101.81</v>
      </c>
      <c r="AI592" s="6">
        <f t="shared" si="18"/>
        <v>23.42</v>
      </c>
      <c r="AJ592" s="5">
        <f t="shared" si="19"/>
        <v>0.23003634220607014</v>
      </c>
    </row>
    <row r="593" spans="1:36">
      <c r="A593" t="s">
        <v>517</v>
      </c>
      <c r="B593" t="s">
        <v>878</v>
      </c>
      <c r="C593" t="s">
        <v>70</v>
      </c>
      <c r="D593" t="s">
        <v>72</v>
      </c>
      <c r="E593" t="s">
        <v>55</v>
      </c>
      <c r="F593">
        <v>0</v>
      </c>
      <c r="G593">
        <v>327</v>
      </c>
      <c r="H593">
        <v>1</v>
      </c>
      <c r="I593" t="s">
        <v>173</v>
      </c>
      <c r="J593">
        <v>1</v>
      </c>
      <c r="K593" s="6">
        <v>1.99</v>
      </c>
      <c r="L593" t="s">
        <v>174</v>
      </c>
      <c r="M593">
        <v>0</v>
      </c>
      <c r="N593" t="s">
        <v>175</v>
      </c>
      <c r="O593">
        <v>1</v>
      </c>
      <c r="P593">
        <v>0</v>
      </c>
      <c r="Q593" s="6">
        <v>30.3</v>
      </c>
      <c r="R593">
        <v>1</v>
      </c>
      <c r="S593" s="6">
        <v>3666</v>
      </c>
      <c r="T593">
        <v>0</v>
      </c>
      <c r="U593" s="6">
        <v>2283</v>
      </c>
      <c r="V593">
        <v>0</v>
      </c>
      <c r="W593">
        <v>0</v>
      </c>
      <c r="X593">
        <v>0</v>
      </c>
      <c r="Y593" s="6">
        <v>34.700000000000003</v>
      </c>
      <c r="Z593">
        <v>1.7999999999999999E-2</v>
      </c>
      <c r="AA593">
        <v>2.9000000000000001E-2</v>
      </c>
      <c r="AB593">
        <v>7.4999999999999997E-2</v>
      </c>
      <c r="AC593">
        <v>4</v>
      </c>
      <c r="AD593" s="6">
        <v>65</v>
      </c>
      <c r="AE593" s="6">
        <v>50</v>
      </c>
      <c r="AF593" s="6">
        <v>0</v>
      </c>
      <c r="AG593" s="6">
        <v>66.63</v>
      </c>
      <c r="AH593" s="6">
        <v>87.02</v>
      </c>
      <c r="AI593" s="6">
        <f t="shared" si="18"/>
        <v>20.39</v>
      </c>
      <c r="AJ593" s="5">
        <f t="shared" si="19"/>
        <v>0.23431395081590442</v>
      </c>
    </row>
    <row r="594" spans="1:36">
      <c r="A594" t="s">
        <v>411</v>
      </c>
      <c r="B594" t="s">
        <v>879</v>
      </c>
      <c r="C594" t="s">
        <v>70</v>
      </c>
      <c r="D594" t="s">
        <v>72</v>
      </c>
      <c r="E594" t="s">
        <v>55</v>
      </c>
      <c r="F594">
        <v>0</v>
      </c>
      <c r="G594">
        <v>327</v>
      </c>
      <c r="H594">
        <v>1.22</v>
      </c>
      <c r="I594" t="s">
        <v>220</v>
      </c>
      <c r="J594">
        <v>2</v>
      </c>
      <c r="K594" s="6">
        <v>4.82</v>
      </c>
      <c r="L594" t="s">
        <v>174</v>
      </c>
      <c r="M594">
        <v>0</v>
      </c>
      <c r="N594" t="s">
        <v>187</v>
      </c>
      <c r="O594">
        <v>2</v>
      </c>
      <c r="P594">
        <v>0</v>
      </c>
      <c r="Q594" s="6">
        <v>31.2</v>
      </c>
      <c r="R594">
        <v>1</v>
      </c>
      <c r="S594" s="6">
        <v>3649</v>
      </c>
      <c r="T594">
        <v>0</v>
      </c>
      <c r="U594" s="6">
        <v>3817</v>
      </c>
      <c r="V594">
        <v>0</v>
      </c>
      <c r="W594">
        <v>0</v>
      </c>
      <c r="X594">
        <v>0</v>
      </c>
      <c r="Y594" s="6">
        <v>34.700000000000003</v>
      </c>
      <c r="Z594">
        <v>1.7999999999999999E-2</v>
      </c>
      <c r="AA594">
        <v>2.9000000000000001E-2</v>
      </c>
      <c r="AB594">
        <v>7.4999999999999997E-2</v>
      </c>
      <c r="AC594">
        <v>4</v>
      </c>
      <c r="AD594" s="6">
        <v>70</v>
      </c>
      <c r="AE594" s="6">
        <v>50</v>
      </c>
      <c r="AF594" s="6">
        <v>0</v>
      </c>
      <c r="AG594" s="6">
        <v>80.28</v>
      </c>
      <c r="AH594" s="6">
        <v>100.65</v>
      </c>
      <c r="AI594" s="6">
        <f t="shared" si="18"/>
        <v>20.370000000000005</v>
      </c>
      <c r="AJ594" s="5">
        <f t="shared" si="19"/>
        <v>0.20238450074515651</v>
      </c>
    </row>
    <row r="595" spans="1:36">
      <c r="A595" t="s">
        <v>635</v>
      </c>
      <c r="B595" t="s">
        <v>880</v>
      </c>
      <c r="C595" t="s">
        <v>70</v>
      </c>
      <c r="D595" t="s">
        <v>72</v>
      </c>
      <c r="E595" t="s">
        <v>55</v>
      </c>
      <c r="F595">
        <v>0</v>
      </c>
      <c r="G595">
        <v>327</v>
      </c>
      <c r="H595">
        <v>1.22</v>
      </c>
      <c r="I595" t="s">
        <v>220</v>
      </c>
      <c r="J595">
        <v>2</v>
      </c>
      <c r="K595" s="6">
        <v>3.76</v>
      </c>
      <c r="L595" t="s">
        <v>174</v>
      </c>
      <c r="M595">
        <v>0</v>
      </c>
      <c r="N595" t="s">
        <v>272</v>
      </c>
      <c r="O595">
        <v>5</v>
      </c>
      <c r="P595">
        <v>1</v>
      </c>
      <c r="Q595" s="6">
        <v>199.8</v>
      </c>
      <c r="R595">
        <v>1</v>
      </c>
      <c r="S595" s="6">
        <v>3295</v>
      </c>
      <c r="T595">
        <v>0</v>
      </c>
      <c r="U595" s="6">
        <v>1317</v>
      </c>
      <c r="V595">
        <v>0</v>
      </c>
      <c r="W595">
        <v>0</v>
      </c>
      <c r="X595">
        <v>0</v>
      </c>
      <c r="Y595" s="6">
        <v>34.700000000000003</v>
      </c>
      <c r="Z595">
        <v>1.7999999999999999E-2</v>
      </c>
      <c r="AA595">
        <v>2.9000000000000001E-2</v>
      </c>
      <c r="AB595">
        <v>7.4999999999999997E-2</v>
      </c>
      <c r="AC595">
        <v>4</v>
      </c>
      <c r="AD595" s="6">
        <v>155</v>
      </c>
      <c r="AE595" s="6">
        <v>50</v>
      </c>
      <c r="AF595" s="6">
        <v>0</v>
      </c>
      <c r="AG595" s="6">
        <v>166.83</v>
      </c>
      <c r="AH595" s="6">
        <v>211.93</v>
      </c>
      <c r="AI595" s="6">
        <f t="shared" si="18"/>
        <v>45.099999999999994</v>
      </c>
      <c r="AJ595" s="5">
        <f t="shared" si="19"/>
        <v>0.21280611522672577</v>
      </c>
    </row>
    <row r="596" spans="1:36">
      <c r="A596" t="s">
        <v>230</v>
      </c>
      <c r="B596" t="s">
        <v>881</v>
      </c>
      <c r="C596" t="s">
        <v>70</v>
      </c>
      <c r="D596" t="s">
        <v>72</v>
      </c>
      <c r="E596" t="s">
        <v>55</v>
      </c>
      <c r="F596">
        <v>0</v>
      </c>
      <c r="G596">
        <v>327</v>
      </c>
      <c r="H596">
        <v>1</v>
      </c>
      <c r="I596" t="s">
        <v>173</v>
      </c>
      <c r="J596">
        <v>1</v>
      </c>
      <c r="K596" s="6">
        <v>2.44</v>
      </c>
      <c r="L596" t="s">
        <v>174</v>
      </c>
      <c r="M596">
        <v>0</v>
      </c>
      <c r="N596" t="s">
        <v>182</v>
      </c>
      <c r="O596">
        <v>3</v>
      </c>
      <c r="P596">
        <v>0</v>
      </c>
      <c r="Q596" s="6">
        <v>126.3</v>
      </c>
      <c r="R596">
        <v>1</v>
      </c>
      <c r="S596" s="6">
        <v>1066</v>
      </c>
      <c r="T596">
        <v>0</v>
      </c>
      <c r="U596" s="6">
        <v>1977</v>
      </c>
      <c r="V596">
        <v>0</v>
      </c>
      <c r="W596">
        <v>0</v>
      </c>
      <c r="X596">
        <v>0</v>
      </c>
      <c r="Y596" s="6">
        <v>34.700000000000003</v>
      </c>
      <c r="Z596">
        <v>1.7999999999999999E-2</v>
      </c>
      <c r="AA596">
        <v>2.9000000000000001E-2</v>
      </c>
      <c r="AB596">
        <v>7.4999999999999997E-2</v>
      </c>
      <c r="AC596">
        <v>4</v>
      </c>
      <c r="AD596" s="6">
        <v>65</v>
      </c>
      <c r="AE596" s="6">
        <v>25</v>
      </c>
      <c r="AF596" s="6">
        <v>0</v>
      </c>
      <c r="AG596" s="6">
        <v>68.05</v>
      </c>
      <c r="AH596" s="6">
        <v>85.76</v>
      </c>
      <c r="AI596" s="6">
        <f t="shared" si="18"/>
        <v>17.710000000000008</v>
      </c>
      <c r="AJ596" s="5">
        <f t="shared" si="19"/>
        <v>0.20650652985074636</v>
      </c>
    </row>
    <row r="597" spans="1:36">
      <c r="A597" t="s">
        <v>311</v>
      </c>
      <c r="B597" t="s">
        <v>882</v>
      </c>
      <c r="C597" t="s">
        <v>73</v>
      </c>
      <c r="D597" t="s">
        <v>63</v>
      </c>
      <c r="E597" t="s">
        <v>55</v>
      </c>
      <c r="F597">
        <v>0</v>
      </c>
      <c r="G597">
        <v>2364</v>
      </c>
      <c r="H597">
        <v>1</v>
      </c>
      <c r="I597" t="s">
        <v>220</v>
      </c>
      <c r="J597">
        <v>2</v>
      </c>
      <c r="K597" s="6">
        <v>2.8</v>
      </c>
      <c r="L597" t="s">
        <v>174</v>
      </c>
      <c r="M597">
        <v>0</v>
      </c>
      <c r="N597" t="s">
        <v>175</v>
      </c>
      <c r="O597">
        <v>1</v>
      </c>
      <c r="P597">
        <v>0</v>
      </c>
      <c r="Q597" s="6">
        <v>46.8</v>
      </c>
      <c r="R597">
        <v>0</v>
      </c>
      <c r="S597" s="6">
        <v>0</v>
      </c>
      <c r="T597">
        <v>0</v>
      </c>
      <c r="U597" s="6">
        <v>2479</v>
      </c>
      <c r="V597">
        <v>0</v>
      </c>
      <c r="W597">
        <v>0</v>
      </c>
      <c r="X597">
        <v>0</v>
      </c>
      <c r="Y597" s="6">
        <v>50.5</v>
      </c>
      <c r="Z597">
        <v>1E-3</v>
      </c>
      <c r="AA597">
        <v>3.1E-2</v>
      </c>
      <c r="AB597">
        <v>7.0000000000000007E-2</v>
      </c>
      <c r="AC597">
        <v>6</v>
      </c>
      <c r="AD597" s="6">
        <v>50</v>
      </c>
      <c r="AE597" s="6">
        <v>0</v>
      </c>
      <c r="AF597" s="6">
        <v>0</v>
      </c>
      <c r="AG597" s="6">
        <v>57.79</v>
      </c>
      <c r="AH597" s="6">
        <v>74.14</v>
      </c>
      <c r="AI597" s="6">
        <f t="shared" si="18"/>
        <v>16.350000000000001</v>
      </c>
      <c r="AJ597" s="5">
        <f t="shared" si="19"/>
        <v>0.22052872943080659</v>
      </c>
    </row>
    <row r="598" spans="1:36">
      <c r="A598" t="s">
        <v>293</v>
      </c>
      <c r="B598" t="s">
        <v>883</v>
      </c>
      <c r="C598" t="s">
        <v>73</v>
      </c>
      <c r="D598" t="s">
        <v>63</v>
      </c>
      <c r="E598" t="s">
        <v>55</v>
      </c>
      <c r="F598">
        <v>0</v>
      </c>
      <c r="G598">
        <v>2364</v>
      </c>
      <c r="H598">
        <v>1</v>
      </c>
      <c r="I598" t="s">
        <v>173</v>
      </c>
      <c r="J598">
        <v>1</v>
      </c>
      <c r="K598" s="6">
        <v>2.44</v>
      </c>
      <c r="L598" t="s">
        <v>174</v>
      </c>
      <c r="M598">
        <v>0</v>
      </c>
      <c r="N598" t="s">
        <v>175</v>
      </c>
      <c r="O598">
        <v>1</v>
      </c>
      <c r="P598">
        <v>1</v>
      </c>
      <c r="Q598" s="6">
        <v>22.6</v>
      </c>
      <c r="R598">
        <v>0</v>
      </c>
      <c r="S598" s="6">
        <v>0</v>
      </c>
      <c r="T598">
        <v>0</v>
      </c>
      <c r="U598" s="6">
        <v>1193</v>
      </c>
      <c r="V598">
        <v>0</v>
      </c>
      <c r="W598">
        <v>0</v>
      </c>
      <c r="X598">
        <v>0</v>
      </c>
      <c r="Y598" s="6">
        <v>50.5</v>
      </c>
      <c r="Z598">
        <v>1E-3</v>
      </c>
      <c r="AA598">
        <v>3.1E-2</v>
      </c>
      <c r="AB598">
        <v>7.0000000000000007E-2</v>
      </c>
      <c r="AC598">
        <v>6</v>
      </c>
      <c r="AD598" s="6">
        <v>50</v>
      </c>
      <c r="AE598" s="6">
        <v>0</v>
      </c>
      <c r="AF598" s="6">
        <v>0</v>
      </c>
      <c r="AG598" s="6">
        <v>72.400000000000006</v>
      </c>
      <c r="AH598" s="6">
        <v>91.74</v>
      </c>
      <c r="AI598" s="6">
        <f t="shared" si="18"/>
        <v>19.339999999999989</v>
      </c>
      <c r="AJ598" s="5">
        <f t="shared" si="19"/>
        <v>0.21081316764769992</v>
      </c>
    </row>
    <row r="599" spans="1:36">
      <c r="A599" t="s">
        <v>258</v>
      </c>
      <c r="B599" t="s">
        <v>884</v>
      </c>
      <c r="C599" t="s">
        <v>73</v>
      </c>
      <c r="D599" t="s">
        <v>63</v>
      </c>
      <c r="E599" t="s">
        <v>55</v>
      </c>
      <c r="F599">
        <v>0</v>
      </c>
      <c r="G599">
        <v>2364</v>
      </c>
      <c r="H599">
        <v>1</v>
      </c>
      <c r="I599" t="s">
        <v>173</v>
      </c>
      <c r="J599">
        <v>1</v>
      </c>
      <c r="K599" s="6">
        <v>1.92</v>
      </c>
      <c r="L599" t="s">
        <v>174</v>
      </c>
      <c r="M599">
        <v>0</v>
      </c>
      <c r="N599" t="s">
        <v>187</v>
      </c>
      <c r="O599">
        <v>2</v>
      </c>
      <c r="P599">
        <v>0</v>
      </c>
      <c r="Q599" s="6">
        <v>47.7</v>
      </c>
      <c r="R599">
        <v>0</v>
      </c>
      <c r="S599" s="6">
        <v>0</v>
      </c>
      <c r="T599">
        <v>0</v>
      </c>
      <c r="U599" s="6">
        <v>665</v>
      </c>
      <c r="V599">
        <v>0</v>
      </c>
      <c r="W599">
        <v>0</v>
      </c>
      <c r="X599">
        <v>0</v>
      </c>
      <c r="Y599" s="6">
        <v>50.5</v>
      </c>
      <c r="Z599">
        <v>1E-3</v>
      </c>
      <c r="AA599">
        <v>3.1E-2</v>
      </c>
      <c r="AB599">
        <v>7.0000000000000007E-2</v>
      </c>
      <c r="AC599">
        <v>6</v>
      </c>
      <c r="AD599" s="6">
        <v>50</v>
      </c>
      <c r="AE599" s="6">
        <v>0</v>
      </c>
      <c r="AF599" s="6">
        <v>0</v>
      </c>
      <c r="AG599" s="6">
        <v>48.3</v>
      </c>
      <c r="AH599" s="6">
        <v>63.41</v>
      </c>
      <c r="AI599" s="6">
        <f t="shared" si="18"/>
        <v>15.11</v>
      </c>
      <c r="AJ599" s="5">
        <f t="shared" si="19"/>
        <v>0.23829049045891815</v>
      </c>
    </row>
    <row r="600" spans="1:36">
      <c r="A600" t="s">
        <v>512</v>
      </c>
      <c r="B600" t="s">
        <v>885</v>
      </c>
      <c r="C600" t="s">
        <v>73</v>
      </c>
      <c r="D600" t="s">
        <v>63</v>
      </c>
      <c r="E600" t="s">
        <v>55</v>
      </c>
      <c r="F600">
        <v>0</v>
      </c>
      <c r="G600">
        <v>2364</v>
      </c>
      <c r="H600">
        <v>1</v>
      </c>
      <c r="I600" t="s">
        <v>173</v>
      </c>
      <c r="J600">
        <v>1</v>
      </c>
      <c r="K600" s="6">
        <v>1.62</v>
      </c>
      <c r="L600" t="s">
        <v>174</v>
      </c>
      <c r="M600">
        <v>0</v>
      </c>
      <c r="N600" t="s">
        <v>175</v>
      </c>
      <c r="O600">
        <v>1</v>
      </c>
      <c r="P600">
        <v>1</v>
      </c>
      <c r="Q600" s="6">
        <v>29</v>
      </c>
      <c r="R600">
        <v>0</v>
      </c>
      <c r="S600" s="6">
        <v>0</v>
      </c>
      <c r="T600">
        <v>0</v>
      </c>
      <c r="U600" s="6">
        <v>843</v>
      </c>
      <c r="V600">
        <v>0</v>
      </c>
      <c r="W600">
        <v>0</v>
      </c>
      <c r="X600">
        <v>0</v>
      </c>
      <c r="Y600" s="6">
        <v>50.5</v>
      </c>
      <c r="Z600">
        <v>1E-3</v>
      </c>
      <c r="AA600">
        <v>3.1E-2</v>
      </c>
      <c r="AB600">
        <v>7.0000000000000007E-2</v>
      </c>
      <c r="AC600">
        <v>6</v>
      </c>
      <c r="AD600" s="6">
        <v>50</v>
      </c>
      <c r="AE600" s="6">
        <v>0</v>
      </c>
      <c r="AF600" s="6">
        <v>0</v>
      </c>
      <c r="AG600" s="6">
        <v>77.900000000000006</v>
      </c>
      <c r="AH600" s="6">
        <v>102.24</v>
      </c>
      <c r="AI600" s="6">
        <f t="shared" si="18"/>
        <v>24.339999999999989</v>
      </c>
      <c r="AJ600" s="5">
        <f t="shared" si="19"/>
        <v>0.23806729264475734</v>
      </c>
    </row>
    <row r="601" spans="1:36">
      <c r="A601" t="s">
        <v>411</v>
      </c>
      <c r="B601" t="s">
        <v>886</v>
      </c>
      <c r="C601" t="s">
        <v>73</v>
      </c>
      <c r="D601" t="s">
        <v>63</v>
      </c>
      <c r="E601" t="s">
        <v>55</v>
      </c>
      <c r="F601">
        <v>0</v>
      </c>
      <c r="G601">
        <v>2364</v>
      </c>
      <c r="H601">
        <v>1</v>
      </c>
      <c r="I601" t="s">
        <v>173</v>
      </c>
      <c r="J601">
        <v>1</v>
      </c>
      <c r="K601" s="6">
        <v>1.82</v>
      </c>
      <c r="L601" t="s">
        <v>174</v>
      </c>
      <c r="M601">
        <v>0</v>
      </c>
      <c r="N601" t="s">
        <v>272</v>
      </c>
      <c r="O601">
        <v>5</v>
      </c>
      <c r="P601">
        <v>1</v>
      </c>
      <c r="Q601" s="6">
        <v>320.60000000000002</v>
      </c>
      <c r="R601">
        <v>0</v>
      </c>
      <c r="S601" s="6">
        <v>0</v>
      </c>
      <c r="T601">
        <v>0</v>
      </c>
      <c r="U601" s="6">
        <v>1103</v>
      </c>
      <c r="V601">
        <v>0</v>
      </c>
      <c r="W601">
        <v>0</v>
      </c>
      <c r="X601">
        <v>0</v>
      </c>
      <c r="Y601" s="6">
        <v>50.5</v>
      </c>
      <c r="Z601">
        <v>1E-3</v>
      </c>
      <c r="AA601">
        <v>3.1E-2</v>
      </c>
      <c r="AB601">
        <v>7.0000000000000007E-2</v>
      </c>
      <c r="AC601">
        <v>6</v>
      </c>
      <c r="AD601" s="6">
        <v>50</v>
      </c>
      <c r="AE601" s="6">
        <v>0</v>
      </c>
      <c r="AF601" s="6">
        <v>0</v>
      </c>
      <c r="AG601" s="6">
        <v>149.66999999999999</v>
      </c>
      <c r="AH601" s="6">
        <v>187.91</v>
      </c>
      <c r="AI601" s="6">
        <f t="shared" si="18"/>
        <v>38.240000000000009</v>
      </c>
      <c r="AJ601" s="5">
        <f t="shared" si="19"/>
        <v>0.20350167633441546</v>
      </c>
    </row>
    <row r="602" spans="1:36">
      <c r="A602" t="s">
        <v>579</v>
      </c>
      <c r="B602" t="s">
        <v>887</v>
      </c>
      <c r="C602" t="s">
        <v>73</v>
      </c>
      <c r="D602" t="s">
        <v>63</v>
      </c>
      <c r="E602" t="s">
        <v>55</v>
      </c>
      <c r="F602">
        <v>0</v>
      </c>
      <c r="G602">
        <v>2364</v>
      </c>
      <c r="H602">
        <v>1</v>
      </c>
      <c r="I602" t="s">
        <v>173</v>
      </c>
      <c r="J602">
        <v>1</v>
      </c>
      <c r="K602" s="6">
        <v>1.89</v>
      </c>
      <c r="L602" t="s">
        <v>174</v>
      </c>
      <c r="M602">
        <v>0</v>
      </c>
      <c r="N602" t="s">
        <v>182</v>
      </c>
      <c r="O602">
        <v>3</v>
      </c>
      <c r="P602">
        <v>0</v>
      </c>
      <c r="Q602" s="6">
        <v>131</v>
      </c>
      <c r="R602">
        <v>1</v>
      </c>
      <c r="S602" s="6">
        <v>3346</v>
      </c>
      <c r="T602">
        <v>0</v>
      </c>
      <c r="U602" s="6">
        <v>1091</v>
      </c>
      <c r="V602">
        <v>0</v>
      </c>
      <c r="W602">
        <v>0</v>
      </c>
      <c r="X602">
        <v>0</v>
      </c>
      <c r="Y602" s="6">
        <v>50.5</v>
      </c>
      <c r="Z602">
        <v>1E-3</v>
      </c>
      <c r="AA602">
        <v>3.1E-2</v>
      </c>
      <c r="AB602">
        <v>7.0000000000000007E-2</v>
      </c>
      <c r="AC602">
        <v>6</v>
      </c>
      <c r="AD602" s="6">
        <v>50</v>
      </c>
      <c r="AE602" s="6">
        <v>40</v>
      </c>
      <c r="AF602" s="6">
        <v>0</v>
      </c>
      <c r="AG602" s="6">
        <v>63.93</v>
      </c>
      <c r="AH602" s="6">
        <v>84.5</v>
      </c>
      <c r="AI602" s="6">
        <f t="shared" si="18"/>
        <v>20.57</v>
      </c>
      <c r="AJ602" s="5">
        <f t="shared" si="19"/>
        <v>0.24343195266272188</v>
      </c>
    </row>
    <row r="603" spans="1:36">
      <c r="A603" t="s">
        <v>362</v>
      </c>
      <c r="B603" t="s">
        <v>888</v>
      </c>
      <c r="C603" t="s">
        <v>73</v>
      </c>
      <c r="D603" t="s">
        <v>63</v>
      </c>
      <c r="E603" t="s">
        <v>55</v>
      </c>
      <c r="F603">
        <v>0</v>
      </c>
      <c r="G603">
        <v>2364</v>
      </c>
      <c r="H603">
        <v>1</v>
      </c>
      <c r="I603" t="s">
        <v>173</v>
      </c>
      <c r="J603">
        <v>1</v>
      </c>
      <c r="K603" s="6">
        <v>0.83</v>
      </c>
      <c r="L603" t="s">
        <v>174</v>
      </c>
      <c r="M603">
        <v>0</v>
      </c>
      <c r="N603" t="s">
        <v>182</v>
      </c>
      <c r="O603">
        <v>3</v>
      </c>
      <c r="P603">
        <v>0</v>
      </c>
      <c r="Q603" s="6">
        <v>87.1</v>
      </c>
      <c r="R603">
        <v>0</v>
      </c>
      <c r="S603" s="6">
        <v>0</v>
      </c>
      <c r="T603">
        <v>0</v>
      </c>
      <c r="U603" s="6">
        <v>704</v>
      </c>
      <c r="V603">
        <v>0</v>
      </c>
      <c r="W603">
        <v>0</v>
      </c>
      <c r="X603">
        <v>0</v>
      </c>
      <c r="Y603" s="6">
        <v>50.5</v>
      </c>
      <c r="Z603">
        <v>1E-3</v>
      </c>
      <c r="AA603">
        <v>3.1E-2</v>
      </c>
      <c r="AB603">
        <v>7.0000000000000007E-2</v>
      </c>
      <c r="AC603">
        <v>6</v>
      </c>
      <c r="AD603" s="6">
        <v>50</v>
      </c>
      <c r="AE603" s="6">
        <v>0</v>
      </c>
      <c r="AF603" s="6">
        <v>0</v>
      </c>
      <c r="AG603" s="6">
        <v>65.59</v>
      </c>
      <c r="AH603" s="6">
        <v>83.36</v>
      </c>
      <c r="AI603" s="6">
        <f t="shared" si="18"/>
        <v>17.769999999999996</v>
      </c>
      <c r="AJ603" s="5">
        <f t="shared" si="19"/>
        <v>0.21317178502879075</v>
      </c>
    </row>
    <row r="604" spans="1:36">
      <c r="A604" t="s">
        <v>537</v>
      </c>
      <c r="B604" t="s">
        <v>889</v>
      </c>
      <c r="C604" t="s">
        <v>73</v>
      </c>
      <c r="D604" t="s">
        <v>63</v>
      </c>
      <c r="E604" t="s">
        <v>55</v>
      </c>
      <c r="F604">
        <v>0</v>
      </c>
      <c r="G604">
        <v>2364</v>
      </c>
      <c r="H604">
        <v>1</v>
      </c>
      <c r="I604" t="s">
        <v>173</v>
      </c>
      <c r="J604">
        <v>1</v>
      </c>
      <c r="K604" s="6">
        <v>1.96</v>
      </c>
      <c r="L604" t="s">
        <v>174</v>
      </c>
      <c r="M604">
        <v>0</v>
      </c>
      <c r="N604" t="s">
        <v>182</v>
      </c>
      <c r="O604">
        <v>3</v>
      </c>
      <c r="P604">
        <v>0</v>
      </c>
      <c r="Q604" s="6">
        <v>97.5</v>
      </c>
      <c r="R604">
        <v>1</v>
      </c>
      <c r="S604" s="6">
        <v>2898</v>
      </c>
      <c r="T604">
        <v>0</v>
      </c>
      <c r="U604" s="6">
        <v>2277</v>
      </c>
      <c r="V604">
        <v>0</v>
      </c>
      <c r="W604">
        <v>0</v>
      </c>
      <c r="X604">
        <v>0</v>
      </c>
      <c r="Y604" s="6">
        <v>50.5</v>
      </c>
      <c r="Z604">
        <v>1E-3</v>
      </c>
      <c r="AA604">
        <v>3.1E-2</v>
      </c>
      <c r="AB604">
        <v>7.0000000000000007E-2</v>
      </c>
      <c r="AC604">
        <v>6</v>
      </c>
      <c r="AD604" s="6">
        <v>50</v>
      </c>
      <c r="AE604" s="6">
        <v>40</v>
      </c>
      <c r="AF604" s="6">
        <v>0</v>
      </c>
      <c r="AG604" s="6">
        <v>64.8</v>
      </c>
      <c r="AH604" s="6">
        <v>82.38</v>
      </c>
      <c r="AI604" s="6">
        <f t="shared" si="18"/>
        <v>17.579999999999998</v>
      </c>
      <c r="AJ604" s="5">
        <f t="shared" si="19"/>
        <v>0.21340131099781501</v>
      </c>
    </row>
    <row r="605" spans="1:36">
      <c r="A605" t="s">
        <v>206</v>
      </c>
      <c r="B605" t="s">
        <v>890</v>
      </c>
      <c r="C605" t="s">
        <v>73</v>
      </c>
      <c r="D605" t="s">
        <v>63</v>
      </c>
      <c r="E605" t="s">
        <v>55</v>
      </c>
      <c r="F605">
        <v>0</v>
      </c>
      <c r="G605">
        <v>2364</v>
      </c>
      <c r="H605">
        <v>1</v>
      </c>
      <c r="I605" t="s">
        <v>220</v>
      </c>
      <c r="J605">
        <v>2</v>
      </c>
      <c r="K605" s="6">
        <v>1.66</v>
      </c>
      <c r="L605" t="s">
        <v>174</v>
      </c>
      <c r="M605">
        <v>0</v>
      </c>
      <c r="N605" t="s">
        <v>187</v>
      </c>
      <c r="O605">
        <v>2</v>
      </c>
      <c r="P605">
        <v>0</v>
      </c>
      <c r="Q605" s="6">
        <v>72.099999999999994</v>
      </c>
      <c r="R605">
        <v>0</v>
      </c>
      <c r="S605" s="6">
        <v>0</v>
      </c>
      <c r="T605">
        <v>0</v>
      </c>
      <c r="U605" s="6">
        <v>623</v>
      </c>
      <c r="V605">
        <v>0</v>
      </c>
      <c r="W605">
        <v>0</v>
      </c>
      <c r="X605">
        <v>0</v>
      </c>
      <c r="Y605" s="6">
        <v>50.5</v>
      </c>
      <c r="Z605">
        <v>1E-3</v>
      </c>
      <c r="AA605">
        <v>3.1E-2</v>
      </c>
      <c r="AB605">
        <v>7.0000000000000007E-2</v>
      </c>
      <c r="AC605">
        <v>6</v>
      </c>
      <c r="AD605" s="6">
        <v>50</v>
      </c>
      <c r="AE605" s="6">
        <v>0</v>
      </c>
      <c r="AF605" s="6">
        <v>0</v>
      </c>
      <c r="AG605" s="6">
        <v>64.73</v>
      </c>
      <c r="AH605" s="6">
        <v>83.95</v>
      </c>
      <c r="AI605" s="6">
        <f t="shared" si="18"/>
        <v>19.22</v>
      </c>
      <c r="AJ605" s="5">
        <f t="shared" si="19"/>
        <v>0.22894580107206669</v>
      </c>
    </row>
    <row r="606" spans="1:36">
      <c r="A606" t="s">
        <v>247</v>
      </c>
      <c r="B606" t="s">
        <v>891</v>
      </c>
      <c r="C606" t="s">
        <v>73</v>
      </c>
      <c r="D606" t="s">
        <v>63</v>
      </c>
      <c r="E606" t="s">
        <v>55</v>
      </c>
      <c r="F606">
        <v>0</v>
      </c>
      <c r="G606">
        <v>2364</v>
      </c>
      <c r="H606">
        <v>1</v>
      </c>
      <c r="I606" t="s">
        <v>173</v>
      </c>
      <c r="J606">
        <v>1</v>
      </c>
      <c r="K606" s="6">
        <v>2.79</v>
      </c>
      <c r="L606" t="s">
        <v>174</v>
      </c>
      <c r="M606">
        <v>0</v>
      </c>
      <c r="N606" t="s">
        <v>175</v>
      </c>
      <c r="O606">
        <v>1</v>
      </c>
      <c r="P606">
        <v>0</v>
      </c>
      <c r="Q606" s="6">
        <v>34.5</v>
      </c>
      <c r="R606">
        <v>0</v>
      </c>
      <c r="S606" s="6">
        <v>0</v>
      </c>
      <c r="T606">
        <v>0</v>
      </c>
      <c r="U606" s="6">
        <v>3038</v>
      </c>
      <c r="V606">
        <v>0</v>
      </c>
      <c r="W606">
        <v>0</v>
      </c>
      <c r="X606">
        <v>1</v>
      </c>
      <c r="Y606" s="6">
        <v>50.5</v>
      </c>
      <c r="Z606">
        <v>1E-3</v>
      </c>
      <c r="AA606">
        <v>3.1E-2</v>
      </c>
      <c r="AB606">
        <v>7.0000000000000007E-2</v>
      </c>
      <c r="AC606">
        <v>6</v>
      </c>
      <c r="AD606" s="6">
        <v>50</v>
      </c>
      <c r="AE606" s="6">
        <v>0</v>
      </c>
      <c r="AF606" s="6">
        <v>0</v>
      </c>
      <c r="AG606" s="6">
        <v>49.32</v>
      </c>
      <c r="AH606" s="6">
        <v>65</v>
      </c>
      <c r="AI606" s="6">
        <f t="shared" si="18"/>
        <v>15.68</v>
      </c>
      <c r="AJ606" s="5">
        <f t="shared" si="19"/>
        <v>0.24123076923076922</v>
      </c>
    </row>
    <row r="607" spans="1:36">
      <c r="A607" t="s">
        <v>279</v>
      </c>
      <c r="B607" t="s">
        <v>892</v>
      </c>
      <c r="C607" t="s">
        <v>73</v>
      </c>
      <c r="D607" t="s">
        <v>63</v>
      </c>
      <c r="E607" t="s">
        <v>55</v>
      </c>
      <c r="F607">
        <v>0</v>
      </c>
      <c r="G607">
        <v>2364</v>
      </c>
      <c r="H607">
        <v>1</v>
      </c>
      <c r="I607" t="s">
        <v>173</v>
      </c>
      <c r="J607">
        <v>1</v>
      </c>
      <c r="K607" s="6">
        <v>2.0499999999999998</v>
      </c>
      <c r="L607" t="s">
        <v>174</v>
      </c>
      <c r="M607">
        <v>0</v>
      </c>
      <c r="N607" t="s">
        <v>187</v>
      </c>
      <c r="O607">
        <v>2</v>
      </c>
      <c r="P607">
        <v>0</v>
      </c>
      <c r="Q607" s="6">
        <v>43.5</v>
      </c>
      <c r="R607">
        <v>0</v>
      </c>
      <c r="S607" s="6">
        <v>0</v>
      </c>
      <c r="T607">
        <v>0</v>
      </c>
      <c r="U607" s="6">
        <v>384</v>
      </c>
      <c r="V607">
        <v>0</v>
      </c>
      <c r="W607">
        <v>0</v>
      </c>
      <c r="X607">
        <v>0</v>
      </c>
      <c r="Y607" s="6">
        <v>50.5</v>
      </c>
      <c r="Z607">
        <v>1E-3</v>
      </c>
      <c r="AA607">
        <v>3.1E-2</v>
      </c>
      <c r="AB607">
        <v>7.0000000000000007E-2</v>
      </c>
      <c r="AC607">
        <v>6</v>
      </c>
      <c r="AD607" s="6">
        <v>50</v>
      </c>
      <c r="AE607" s="6">
        <v>0</v>
      </c>
      <c r="AF607" s="6">
        <v>0</v>
      </c>
      <c r="AG607" s="6">
        <v>54.46</v>
      </c>
      <c r="AH607" s="6">
        <v>70.52</v>
      </c>
      <c r="AI607" s="6">
        <f t="shared" si="18"/>
        <v>16.059999999999995</v>
      </c>
      <c r="AJ607" s="5">
        <f t="shared" si="19"/>
        <v>0.22773681225184339</v>
      </c>
    </row>
    <row r="608" spans="1:36">
      <c r="A608" t="s">
        <v>171</v>
      </c>
      <c r="B608" t="s">
        <v>893</v>
      </c>
      <c r="C608" t="s">
        <v>73</v>
      </c>
      <c r="D608" t="s">
        <v>63</v>
      </c>
      <c r="E608" t="s">
        <v>55</v>
      </c>
      <c r="F608">
        <v>0</v>
      </c>
      <c r="G608">
        <v>2364</v>
      </c>
      <c r="H608">
        <v>1</v>
      </c>
      <c r="I608" t="s">
        <v>173</v>
      </c>
      <c r="J608">
        <v>1</v>
      </c>
      <c r="K608" s="6">
        <v>2.25</v>
      </c>
      <c r="L608" t="s">
        <v>174</v>
      </c>
      <c r="M608">
        <v>0</v>
      </c>
      <c r="N608" t="s">
        <v>175</v>
      </c>
      <c r="O608">
        <v>1</v>
      </c>
      <c r="P608">
        <v>0</v>
      </c>
      <c r="Q608" s="6">
        <v>38</v>
      </c>
      <c r="R608">
        <v>0</v>
      </c>
      <c r="S608" s="6">
        <v>0</v>
      </c>
      <c r="T608">
        <v>0</v>
      </c>
      <c r="U608" s="6">
        <v>1084</v>
      </c>
      <c r="V608">
        <v>0</v>
      </c>
      <c r="W608">
        <v>0</v>
      </c>
      <c r="X608">
        <v>0</v>
      </c>
      <c r="Y608" s="6">
        <v>50.5</v>
      </c>
      <c r="Z608">
        <v>1E-3</v>
      </c>
      <c r="AA608">
        <v>3.1E-2</v>
      </c>
      <c r="AB608">
        <v>7.0000000000000007E-2</v>
      </c>
      <c r="AC608">
        <v>6</v>
      </c>
      <c r="AD608" s="6">
        <v>50</v>
      </c>
      <c r="AE608" s="6">
        <v>0</v>
      </c>
      <c r="AF608" s="6">
        <v>0</v>
      </c>
      <c r="AG608" s="6">
        <v>52.27</v>
      </c>
      <c r="AH608" s="6">
        <v>68.650000000000006</v>
      </c>
      <c r="AI608" s="6">
        <f t="shared" si="18"/>
        <v>16.380000000000003</v>
      </c>
      <c r="AJ608" s="5">
        <f t="shared" si="19"/>
        <v>0.2386016023306628</v>
      </c>
    </row>
    <row r="609" spans="1:36">
      <c r="A609" t="s">
        <v>293</v>
      </c>
      <c r="B609" t="s">
        <v>894</v>
      </c>
      <c r="C609" t="s">
        <v>73</v>
      </c>
      <c r="D609" t="s">
        <v>63</v>
      </c>
      <c r="E609" t="s">
        <v>55</v>
      </c>
      <c r="F609">
        <v>0</v>
      </c>
      <c r="G609">
        <v>2364</v>
      </c>
      <c r="H609">
        <v>1</v>
      </c>
      <c r="I609" t="s">
        <v>181</v>
      </c>
      <c r="J609">
        <v>3</v>
      </c>
      <c r="K609" s="6">
        <v>7.07</v>
      </c>
      <c r="L609" t="s">
        <v>174</v>
      </c>
      <c r="M609">
        <v>0</v>
      </c>
      <c r="N609" t="s">
        <v>175</v>
      </c>
      <c r="O609">
        <v>1</v>
      </c>
      <c r="P609">
        <v>0</v>
      </c>
      <c r="Q609" s="6">
        <v>29.7</v>
      </c>
      <c r="R609">
        <v>0</v>
      </c>
      <c r="S609" s="6">
        <v>0</v>
      </c>
      <c r="T609">
        <v>0</v>
      </c>
      <c r="U609" s="6">
        <v>820</v>
      </c>
      <c r="V609">
        <v>0</v>
      </c>
      <c r="W609">
        <v>0</v>
      </c>
      <c r="X609">
        <v>0</v>
      </c>
      <c r="Y609" s="6">
        <v>50.5</v>
      </c>
      <c r="Z609">
        <v>1E-3</v>
      </c>
      <c r="AA609">
        <v>3.1E-2</v>
      </c>
      <c r="AB609">
        <v>7.0000000000000007E-2</v>
      </c>
      <c r="AC609">
        <v>6</v>
      </c>
      <c r="AD609" s="6">
        <v>60</v>
      </c>
      <c r="AE609" s="6">
        <v>0</v>
      </c>
      <c r="AF609" s="6">
        <v>0</v>
      </c>
      <c r="AG609" s="6">
        <v>71</v>
      </c>
      <c r="AH609" s="6">
        <v>91.7</v>
      </c>
      <c r="AI609" s="6">
        <f t="shared" si="18"/>
        <v>20.700000000000003</v>
      </c>
      <c r="AJ609" s="5">
        <f t="shared" si="19"/>
        <v>0.22573609596510363</v>
      </c>
    </row>
    <row r="610" spans="1:36">
      <c r="A610" t="s">
        <v>488</v>
      </c>
      <c r="B610" t="s">
        <v>895</v>
      </c>
      <c r="C610" t="s">
        <v>73</v>
      </c>
      <c r="D610" t="s">
        <v>63</v>
      </c>
      <c r="E610" t="s">
        <v>55</v>
      </c>
      <c r="F610">
        <v>0</v>
      </c>
      <c r="G610">
        <v>2364</v>
      </c>
      <c r="H610">
        <v>1</v>
      </c>
      <c r="I610" t="s">
        <v>173</v>
      </c>
      <c r="J610">
        <v>1</v>
      </c>
      <c r="K610" s="6">
        <v>1.1299999999999999</v>
      </c>
      <c r="L610" t="s">
        <v>174</v>
      </c>
      <c r="M610">
        <v>0</v>
      </c>
      <c r="N610" t="s">
        <v>182</v>
      </c>
      <c r="O610">
        <v>3</v>
      </c>
      <c r="P610">
        <v>0</v>
      </c>
      <c r="Q610" s="6">
        <v>133.69999999999999</v>
      </c>
      <c r="R610">
        <v>1</v>
      </c>
      <c r="S610" s="6">
        <v>3649</v>
      </c>
      <c r="T610">
        <v>0</v>
      </c>
      <c r="U610" s="6">
        <v>1578</v>
      </c>
      <c r="V610">
        <v>0</v>
      </c>
      <c r="W610">
        <v>0</v>
      </c>
      <c r="X610">
        <v>0</v>
      </c>
      <c r="Y610" s="6">
        <v>50.5</v>
      </c>
      <c r="Z610">
        <v>1E-3</v>
      </c>
      <c r="AA610">
        <v>3.1E-2</v>
      </c>
      <c r="AB610">
        <v>7.0000000000000007E-2</v>
      </c>
      <c r="AC610">
        <v>6</v>
      </c>
      <c r="AD610" s="6">
        <v>50</v>
      </c>
      <c r="AE610" s="6">
        <v>40</v>
      </c>
      <c r="AF610" s="6">
        <v>0</v>
      </c>
      <c r="AG610" s="6">
        <v>75.599999999999994</v>
      </c>
      <c r="AH610" s="6">
        <v>99.38</v>
      </c>
      <c r="AI610" s="6">
        <f t="shared" si="18"/>
        <v>23.78</v>
      </c>
      <c r="AJ610" s="5">
        <f t="shared" si="19"/>
        <v>0.23928355805997184</v>
      </c>
    </row>
    <row r="611" spans="1:36">
      <c r="A611" t="s">
        <v>215</v>
      </c>
      <c r="B611" t="s">
        <v>896</v>
      </c>
      <c r="C611" t="s">
        <v>73</v>
      </c>
      <c r="D611" t="s">
        <v>63</v>
      </c>
      <c r="E611" t="s">
        <v>55</v>
      </c>
      <c r="F611">
        <v>0</v>
      </c>
      <c r="G611">
        <v>2364</v>
      </c>
      <c r="H611">
        <v>1</v>
      </c>
      <c r="I611" t="s">
        <v>220</v>
      </c>
      <c r="J611">
        <v>2</v>
      </c>
      <c r="K611" s="6">
        <v>4.22</v>
      </c>
      <c r="L611" t="s">
        <v>174</v>
      </c>
      <c r="M611">
        <v>0</v>
      </c>
      <c r="N611" t="s">
        <v>187</v>
      </c>
      <c r="O611">
        <v>2</v>
      </c>
      <c r="P611">
        <v>0</v>
      </c>
      <c r="Q611" s="6">
        <v>70.900000000000006</v>
      </c>
      <c r="R611">
        <v>0</v>
      </c>
      <c r="S611" s="6">
        <v>0</v>
      </c>
      <c r="T611">
        <v>0</v>
      </c>
      <c r="U611" s="6">
        <v>690</v>
      </c>
      <c r="V611">
        <v>1</v>
      </c>
      <c r="W611">
        <v>0</v>
      </c>
      <c r="X611">
        <v>0</v>
      </c>
      <c r="Y611" s="6">
        <v>50.5</v>
      </c>
      <c r="Z611">
        <v>1E-3</v>
      </c>
      <c r="AA611">
        <v>3.1E-2</v>
      </c>
      <c r="AB611">
        <v>7.0000000000000007E-2</v>
      </c>
      <c r="AC611">
        <v>6</v>
      </c>
      <c r="AD611" s="6">
        <v>50</v>
      </c>
      <c r="AE611" s="6">
        <v>0</v>
      </c>
      <c r="AF611" s="6">
        <v>0</v>
      </c>
      <c r="AG611" s="6">
        <v>101.52</v>
      </c>
      <c r="AH611" s="6">
        <v>130.32</v>
      </c>
      <c r="AI611" s="6">
        <f t="shared" si="18"/>
        <v>28.799999999999997</v>
      </c>
      <c r="AJ611" s="5">
        <f t="shared" si="19"/>
        <v>0.22099447513812154</v>
      </c>
    </row>
    <row r="612" spans="1:36">
      <c r="A612" t="s">
        <v>348</v>
      </c>
      <c r="B612" t="s">
        <v>897</v>
      </c>
      <c r="C612" t="s">
        <v>73</v>
      </c>
      <c r="D612" t="s">
        <v>63</v>
      </c>
      <c r="E612" t="s">
        <v>55</v>
      </c>
      <c r="F612">
        <v>0</v>
      </c>
      <c r="G612">
        <v>2364</v>
      </c>
      <c r="H612">
        <v>1</v>
      </c>
      <c r="I612" t="s">
        <v>173</v>
      </c>
      <c r="J612">
        <v>1</v>
      </c>
      <c r="K612" s="6">
        <v>1.47</v>
      </c>
      <c r="L612" t="s">
        <v>174</v>
      </c>
      <c r="M612">
        <v>0</v>
      </c>
      <c r="N612" t="s">
        <v>217</v>
      </c>
      <c r="O612">
        <v>4</v>
      </c>
      <c r="P612">
        <v>1</v>
      </c>
      <c r="Q612" s="6">
        <v>195.3</v>
      </c>
      <c r="R612">
        <v>0</v>
      </c>
      <c r="S612" s="6">
        <v>0</v>
      </c>
      <c r="T612">
        <v>0</v>
      </c>
      <c r="U612" s="6">
        <v>932</v>
      </c>
      <c r="V612">
        <v>0</v>
      </c>
      <c r="W612">
        <v>0</v>
      </c>
      <c r="X612">
        <v>1</v>
      </c>
      <c r="Y612" s="6">
        <v>50.5</v>
      </c>
      <c r="Z612">
        <v>1E-3</v>
      </c>
      <c r="AA612">
        <v>3.1E-2</v>
      </c>
      <c r="AB612">
        <v>7.0000000000000007E-2</v>
      </c>
      <c r="AC612">
        <v>6</v>
      </c>
      <c r="AD612" s="6">
        <v>50</v>
      </c>
      <c r="AE612" s="6">
        <v>0</v>
      </c>
      <c r="AF612" s="6">
        <v>0</v>
      </c>
      <c r="AG612" s="6">
        <v>98.69</v>
      </c>
      <c r="AH612" s="6">
        <v>125.9</v>
      </c>
      <c r="AI612" s="6">
        <f t="shared" si="18"/>
        <v>27.210000000000008</v>
      </c>
      <c r="AJ612" s="5">
        <f t="shared" si="19"/>
        <v>0.2161239078633837</v>
      </c>
    </row>
    <row r="613" spans="1:36">
      <c r="A613" t="s">
        <v>488</v>
      </c>
      <c r="B613" t="s">
        <v>898</v>
      </c>
      <c r="C613" t="s">
        <v>73</v>
      </c>
      <c r="D613" t="s">
        <v>63</v>
      </c>
      <c r="E613" t="s">
        <v>55</v>
      </c>
      <c r="F613">
        <v>0</v>
      </c>
      <c r="G613">
        <v>2364</v>
      </c>
      <c r="H613">
        <v>1</v>
      </c>
      <c r="I613" t="s">
        <v>220</v>
      </c>
      <c r="J613">
        <v>2</v>
      </c>
      <c r="K613" s="6">
        <v>4.74</v>
      </c>
      <c r="L613" t="s">
        <v>174</v>
      </c>
      <c r="M613">
        <v>0</v>
      </c>
      <c r="N613" t="s">
        <v>187</v>
      </c>
      <c r="O613">
        <v>2</v>
      </c>
      <c r="P613">
        <v>0</v>
      </c>
      <c r="Q613" s="6">
        <v>58.8</v>
      </c>
      <c r="R613">
        <v>1</v>
      </c>
      <c r="S613" s="6">
        <v>687</v>
      </c>
      <c r="T613">
        <v>0</v>
      </c>
      <c r="U613" s="6">
        <v>304</v>
      </c>
      <c r="V613">
        <v>0</v>
      </c>
      <c r="W613">
        <v>0</v>
      </c>
      <c r="X613">
        <v>0</v>
      </c>
      <c r="Y613" s="6">
        <v>50.5</v>
      </c>
      <c r="Z613">
        <v>1E-3</v>
      </c>
      <c r="AA613">
        <v>3.1E-2</v>
      </c>
      <c r="AB613">
        <v>7.0000000000000007E-2</v>
      </c>
      <c r="AC613">
        <v>6</v>
      </c>
      <c r="AD613" s="6">
        <v>50</v>
      </c>
      <c r="AE613" s="6">
        <v>25</v>
      </c>
      <c r="AF613" s="6">
        <v>0</v>
      </c>
      <c r="AG613" s="6">
        <v>75.5</v>
      </c>
      <c r="AH613" s="6">
        <v>98.77</v>
      </c>
      <c r="AI613" s="6">
        <f t="shared" si="18"/>
        <v>23.269999999999996</v>
      </c>
      <c r="AJ613" s="5">
        <f t="shared" si="19"/>
        <v>0.23559785359927099</v>
      </c>
    </row>
    <row r="614" spans="1:36">
      <c r="A614" t="s">
        <v>469</v>
      </c>
      <c r="B614" t="s">
        <v>899</v>
      </c>
      <c r="C614" t="s">
        <v>73</v>
      </c>
      <c r="D614" t="s">
        <v>63</v>
      </c>
      <c r="E614" t="s">
        <v>55</v>
      </c>
      <c r="F614">
        <v>0</v>
      </c>
      <c r="G614">
        <v>2364</v>
      </c>
      <c r="H614">
        <v>1</v>
      </c>
      <c r="I614" t="s">
        <v>173</v>
      </c>
      <c r="J614">
        <v>1</v>
      </c>
      <c r="K614" s="6">
        <v>1.55</v>
      </c>
      <c r="L614" t="s">
        <v>174</v>
      </c>
      <c r="M614">
        <v>0</v>
      </c>
      <c r="N614" t="s">
        <v>187</v>
      </c>
      <c r="O614">
        <v>2</v>
      </c>
      <c r="P614">
        <v>0</v>
      </c>
      <c r="Q614" s="6">
        <v>73.2</v>
      </c>
      <c r="R614">
        <v>0</v>
      </c>
      <c r="S614" s="6">
        <v>0</v>
      </c>
      <c r="T614">
        <v>0</v>
      </c>
      <c r="U614" s="6">
        <v>1649</v>
      </c>
      <c r="V614">
        <v>0</v>
      </c>
      <c r="W614">
        <v>0</v>
      </c>
      <c r="X614">
        <v>0</v>
      </c>
      <c r="Y614" s="6">
        <v>50.5</v>
      </c>
      <c r="Z614">
        <v>1E-3</v>
      </c>
      <c r="AA614">
        <v>3.1E-2</v>
      </c>
      <c r="AB614">
        <v>7.0000000000000007E-2</v>
      </c>
      <c r="AC614">
        <v>6</v>
      </c>
      <c r="AD614" s="6">
        <v>50</v>
      </c>
      <c r="AE614" s="6">
        <v>0</v>
      </c>
      <c r="AF614" s="6">
        <v>0</v>
      </c>
      <c r="AG614" s="6">
        <v>48.94</v>
      </c>
      <c r="AH614" s="6">
        <v>65.41</v>
      </c>
      <c r="AI614" s="6">
        <f t="shared" si="18"/>
        <v>16.47</v>
      </c>
      <c r="AJ614" s="5">
        <f t="shared" si="19"/>
        <v>0.25179636141262801</v>
      </c>
    </row>
    <row r="615" spans="1:36">
      <c r="A615" t="s">
        <v>693</v>
      </c>
      <c r="B615" t="s">
        <v>900</v>
      </c>
      <c r="C615" t="s">
        <v>73</v>
      </c>
      <c r="D615" t="s">
        <v>63</v>
      </c>
      <c r="E615" t="s">
        <v>55</v>
      </c>
      <c r="F615">
        <v>0</v>
      </c>
      <c r="G615">
        <v>2364</v>
      </c>
      <c r="H615">
        <v>1</v>
      </c>
      <c r="I615" t="s">
        <v>173</v>
      </c>
      <c r="J615">
        <v>1</v>
      </c>
      <c r="K615" s="6">
        <v>1.81</v>
      </c>
      <c r="L615" t="s">
        <v>174</v>
      </c>
      <c r="M615">
        <v>0</v>
      </c>
      <c r="N615" t="s">
        <v>182</v>
      </c>
      <c r="O615">
        <v>3</v>
      </c>
      <c r="P615">
        <v>0</v>
      </c>
      <c r="Q615" s="6">
        <v>110.2</v>
      </c>
      <c r="R615">
        <v>0</v>
      </c>
      <c r="S615" s="6">
        <v>0</v>
      </c>
      <c r="T615">
        <v>0</v>
      </c>
      <c r="U615" s="6">
        <v>2688</v>
      </c>
      <c r="V615">
        <v>0</v>
      </c>
      <c r="W615">
        <v>0</v>
      </c>
      <c r="X615">
        <v>0</v>
      </c>
      <c r="Y615" s="6">
        <v>50.5</v>
      </c>
      <c r="Z615">
        <v>1E-3</v>
      </c>
      <c r="AA615">
        <v>3.1E-2</v>
      </c>
      <c r="AB615">
        <v>7.0000000000000007E-2</v>
      </c>
      <c r="AC615">
        <v>6</v>
      </c>
      <c r="AD615" s="6">
        <v>50</v>
      </c>
      <c r="AE615" s="6">
        <v>0</v>
      </c>
      <c r="AF615" s="6">
        <v>0</v>
      </c>
      <c r="AG615" s="6">
        <v>64.66</v>
      </c>
      <c r="AH615" s="6">
        <v>80.87</v>
      </c>
      <c r="AI615" s="6">
        <f t="shared" si="18"/>
        <v>16.210000000000008</v>
      </c>
      <c r="AJ615" s="5">
        <f t="shared" si="19"/>
        <v>0.20044515889699527</v>
      </c>
    </row>
    <row r="616" spans="1:36">
      <c r="A616" t="s">
        <v>303</v>
      </c>
      <c r="B616" t="s">
        <v>901</v>
      </c>
      <c r="C616" t="s">
        <v>73</v>
      </c>
      <c r="D616" t="s">
        <v>63</v>
      </c>
      <c r="E616" t="s">
        <v>55</v>
      </c>
      <c r="F616">
        <v>0</v>
      </c>
      <c r="G616">
        <v>2364</v>
      </c>
      <c r="H616">
        <v>1</v>
      </c>
      <c r="I616" t="s">
        <v>220</v>
      </c>
      <c r="J616">
        <v>2</v>
      </c>
      <c r="K616" s="6">
        <v>2.02</v>
      </c>
      <c r="L616" t="s">
        <v>174</v>
      </c>
      <c r="M616">
        <v>0</v>
      </c>
      <c r="N616" t="s">
        <v>175</v>
      </c>
      <c r="O616">
        <v>1</v>
      </c>
      <c r="P616">
        <v>0</v>
      </c>
      <c r="Q616" s="6">
        <v>39.6</v>
      </c>
      <c r="R616">
        <v>1</v>
      </c>
      <c r="S616" s="6">
        <v>474</v>
      </c>
      <c r="T616">
        <v>0</v>
      </c>
      <c r="U616" s="6">
        <v>773</v>
      </c>
      <c r="V616">
        <v>0</v>
      </c>
      <c r="W616">
        <v>0</v>
      </c>
      <c r="X616">
        <v>1</v>
      </c>
      <c r="Y616" s="6">
        <v>50.5</v>
      </c>
      <c r="Z616">
        <v>1E-3</v>
      </c>
      <c r="AA616">
        <v>3.1E-2</v>
      </c>
      <c r="AB616">
        <v>7.0000000000000007E-2</v>
      </c>
      <c r="AC616">
        <v>6</v>
      </c>
      <c r="AD616" s="6">
        <v>50</v>
      </c>
      <c r="AE616" s="6">
        <v>25</v>
      </c>
      <c r="AF616" s="6">
        <v>0</v>
      </c>
      <c r="AG616" s="6">
        <v>53.72</v>
      </c>
      <c r="AH616" s="6">
        <v>71.900000000000006</v>
      </c>
      <c r="AI616" s="6">
        <f t="shared" si="18"/>
        <v>18.180000000000007</v>
      </c>
      <c r="AJ616" s="5">
        <f t="shared" si="19"/>
        <v>0.25285118219749658</v>
      </c>
    </row>
    <row r="617" spans="1:36">
      <c r="A617" t="s">
        <v>401</v>
      </c>
      <c r="B617" t="s">
        <v>902</v>
      </c>
      <c r="C617" t="s">
        <v>73</v>
      </c>
      <c r="D617" t="s">
        <v>63</v>
      </c>
      <c r="E617" t="s">
        <v>55</v>
      </c>
      <c r="F617">
        <v>0</v>
      </c>
      <c r="G617">
        <v>2364</v>
      </c>
      <c r="H617">
        <v>1</v>
      </c>
      <c r="I617" t="s">
        <v>173</v>
      </c>
      <c r="J617">
        <v>1</v>
      </c>
      <c r="K617" s="6">
        <v>1.32</v>
      </c>
      <c r="L617" t="s">
        <v>174</v>
      </c>
      <c r="M617">
        <v>0</v>
      </c>
      <c r="N617" t="s">
        <v>175</v>
      </c>
      <c r="O617">
        <v>1</v>
      </c>
      <c r="P617">
        <v>0</v>
      </c>
      <c r="Q617" s="6">
        <v>32.700000000000003</v>
      </c>
      <c r="R617">
        <v>0</v>
      </c>
      <c r="S617" s="6">
        <v>0</v>
      </c>
      <c r="T617">
        <v>0</v>
      </c>
      <c r="U617" s="6">
        <v>1176</v>
      </c>
      <c r="V617">
        <v>1</v>
      </c>
      <c r="W617">
        <v>0</v>
      </c>
      <c r="X617">
        <v>0</v>
      </c>
      <c r="Y617" s="6">
        <v>50.5</v>
      </c>
      <c r="Z617">
        <v>1E-3</v>
      </c>
      <c r="AA617">
        <v>3.1E-2</v>
      </c>
      <c r="AB617">
        <v>7.0000000000000007E-2</v>
      </c>
      <c r="AC617">
        <v>6</v>
      </c>
      <c r="AD617" s="6">
        <v>50</v>
      </c>
      <c r="AE617" s="6">
        <v>0</v>
      </c>
      <c r="AF617" s="6">
        <v>0</v>
      </c>
      <c r="AG617" s="6">
        <v>96.27</v>
      </c>
      <c r="AH617" s="6">
        <v>123.71</v>
      </c>
      <c r="AI617" s="6">
        <f t="shared" si="18"/>
        <v>27.439999999999998</v>
      </c>
      <c r="AJ617" s="5">
        <f t="shared" si="19"/>
        <v>0.22180906959825397</v>
      </c>
    </row>
    <row r="618" spans="1:36">
      <c r="A618" t="s">
        <v>255</v>
      </c>
      <c r="B618" t="s">
        <v>903</v>
      </c>
      <c r="C618" t="s">
        <v>73</v>
      </c>
      <c r="D618" t="s">
        <v>63</v>
      </c>
      <c r="E618" t="s">
        <v>55</v>
      </c>
      <c r="F618">
        <v>0</v>
      </c>
      <c r="G618">
        <v>2364</v>
      </c>
      <c r="H618">
        <v>1</v>
      </c>
      <c r="I618" t="s">
        <v>173</v>
      </c>
      <c r="J618">
        <v>1</v>
      </c>
      <c r="K618" s="6">
        <v>1.78</v>
      </c>
      <c r="L618" t="s">
        <v>174</v>
      </c>
      <c r="M618">
        <v>0</v>
      </c>
      <c r="N618" t="s">
        <v>187</v>
      </c>
      <c r="O618">
        <v>2</v>
      </c>
      <c r="P618">
        <v>0</v>
      </c>
      <c r="Q618" s="6">
        <v>48.1</v>
      </c>
      <c r="R618">
        <v>1</v>
      </c>
      <c r="S618" s="6">
        <v>287</v>
      </c>
      <c r="T618">
        <v>0</v>
      </c>
      <c r="U618" s="6">
        <v>1996</v>
      </c>
      <c r="V618">
        <v>0</v>
      </c>
      <c r="W618">
        <v>0</v>
      </c>
      <c r="X618">
        <v>0</v>
      </c>
      <c r="Y618" s="6">
        <v>50.5</v>
      </c>
      <c r="Z618">
        <v>1E-3</v>
      </c>
      <c r="AA618">
        <v>3.1E-2</v>
      </c>
      <c r="AB618">
        <v>7.0000000000000007E-2</v>
      </c>
      <c r="AC618">
        <v>6</v>
      </c>
      <c r="AD618" s="6">
        <v>50</v>
      </c>
      <c r="AE618" s="6">
        <v>25</v>
      </c>
      <c r="AF618" s="6">
        <v>0</v>
      </c>
      <c r="AG618" s="6">
        <v>57.18</v>
      </c>
      <c r="AH618" s="6">
        <v>71.67</v>
      </c>
      <c r="AI618" s="6">
        <f t="shared" si="18"/>
        <v>14.490000000000002</v>
      </c>
      <c r="AJ618" s="5">
        <f t="shared" si="19"/>
        <v>0.20217664294683971</v>
      </c>
    </row>
    <row r="619" spans="1:36">
      <c r="A619" t="s">
        <v>579</v>
      </c>
      <c r="B619" t="s">
        <v>904</v>
      </c>
      <c r="C619" t="s">
        <v>73</v>
      </c>
      <c r="D619" t="s">
        <v>63</v>
      </c>
      <c r="E619" t="s">
        <v>55</v>
      </c>
      <c r="F619">
        <v>0</v>
      </c>
      <c r="G619">
        <v>2364</v>
      </c>
      <c r="H619">
        <v>1</v>
      </c>
      <c r="I619" t="s">
        <v>173</v>
      </c>
      <c r="J619">
        <v>1</v>
      </c>
      <c r="K619" s="6">
        <v>1.63</v>
      </c>
      <c r="L619" t="s">
        <v>174</v>
      </c>
      <c r="M619">
        <v>0</v>
      </c>
      <c r="N619" t="s">
        <v>187</v>
      </c>
      <c r="O619">
        <v>2</v>
      </c>
      <c r="P619">
        <v>0</v>
      </c>
      <c r="Q619" s="6">
        <v>60.2</v>
      </c>
      <c r="R619">
        <v>0</v>
      </c>
      <c r="S619" s="6">
        <v>0</v>
      </c>
      <c r="T619">
        <v>0</v>
      </c>
      <c r="U619" s="6">
        <v>2284</v>
      </c>
      <c r="V619">
        <v>0</v>
      </c>
      <c r="W619">
        <v>0</v>
      </c>
      <c r="X619">
        <v>0</v>
      </c>
      <c r="Y619" s="6">
        <v>50.5</v>
      </c>
      <c r="Z619">
        <v>1E-3</v>
      </c>
      <c r="AA619">
        <v>3.1E-2</v>
      </c>
      <c r="AB619">
        <v>7.0000000000000007E-2</v>
      </c>
      <c r="AC619">
        <v>6</v>
      </c>
      <c r="AD619" s="6">
        <v>50</v>
      </c>
      <c r="AE619" s="6">
        <v>0</v>
      </c>
      <c r="AF619" s="6">
        <v>0</v>
      </c>
      <c r="AG619" s="6">
        <v>51.3</v>
      </c>
      <c r="AH619" s="6">
        <v>65.58</v>
      </c>
      <c r="AI619" s="6">
        <f t="shared" si="18"/>
        <v>14.280000000000001</v>
      </c>
      <c r="AJ619" s="5">
        <f t="shared" si="19"/>
        <v>0.21774931381518758</v>
      </c>
    </row>
    <row r="620" spans="1:36">
      <c r="A620" t="s">
        <v>240</v>
      </c>
      <c r="B620" t="s">
        <v>905</v>
      </c>
      <c r="C620" t="s">
        <v>73</v>
      </c>
      <c r="D620" t="s">
        <v>63</v>
      </c>
      <c r="E620" t="s">
        <v>55</v>
      </c>
      <c r="F620">
        <v>0</v>
      </c>
      <c r="G620">
        <v>2364</v>
      </c>
      <c r="H620">
        <v>1</v>
      </c>
      <c r="I620" t="s">
        <v>173</v>
      </c>
      <c r="J620">
        <v>1</v>
      </c>
      <c r="K620" s="6">
        <v>1.9</v>
      </c>
      <c r="L620" t="s">
        <v>174</v>
      </c>
      <c r="M620">
        <v>0</v>
      </c>
      <c r="N620" t="s">
        <v>187</v>
      </c>
      <c r="O620">
        <v>2</v>
      </c>
      <c r="P620">
        <v>0</v>
      </c>
      <c r="Q620" s="6">
        <v>35.9</v>
      </c>
      <c r="R620">
        <v>0</v>
      </c>
      <c r="S620" s="6">
        <v>0</v>
      </c>
      <c r="T620">
        <v>0</v>
      </c>
      <c r="U620" s="6">
        <v>731</v>
      </c>
      <c r="V620">
        <v>0</v>
      </c>
      <c r="W620">
        <v>0</v>
      </c>
      <c r="X620">
        <v>0</v>
      </c>
      <c r="Y620" s="6">
        <v>50.5</v>
      </c>
      <c r="Z620">
        <v>1E-3</v>
      </c>
      <c r="AA620">
        <v>3.1E-2</v>
      </c>
      <c r="AB620">
        <v>7.0000000000000007E-2</v>
      </c>
      <c r="AC620">
        <v>6</v>
      </c>
      <c r="AD620" s="6">
        <v>50</v>
      </c>
      <c r="AE620" s="6">
        <v>0</v>
      </c>
      <c r="AF620" s="6">
        <v>0</v>
      </c>
      <c r="AG620" s="6">
        <v>56.38</v>
      </c>
      <c r="AH620" s="6">
        <v>75.2</v>
      </c>
      <c r="AI620" s="6">
        <f t="shared" si="18"/>
        <v>18.82</v>
      </c>
      <c r="AJ620" s="5">
        <f t="shared" si="19"/>
        <v>0.25026595744680852</v>
      </c>
    </row>
    <row r="621" spans="1:36">
      <c r="A621" t="s">
        <v>360</v>
      </c>
      <c r="B621" t="s">
        <v>906</v>
      </c>
      <c r="C621" t="s">
        <v>73</v>
      </c>
      <c r="D621" t="s">
        <v>63</v>
      </c>
      <c r="E621" t="s">
        <v>55</v>
      </c>
      <c r="F621">
        <v>0</v>
      </c>
      <c r="G621">
        <v>2364</v>
      </c>
      <c r="H621">
        <v>1</v>
      </c>
      <c r="I621" t="s">
        <v>173</v>
      </c>
      <c r="J621">
        <v>1</v>
      </c>
      <c r="K621" s="6">
        <v>2.4900000000000002</v>
      </c>
      <c r="L621" t="s">
        <v>174</v>
      </c>
      <c r="M621">
        <v>0</v>
      </c>
      <c r="N621" t="s">
        <v>175</v>
      </c>
      <c r="O621">
        <v>1</v>
      </c>
      <c r="P621">
        <v>0</v>
      </c>
      <c r="Q621" s="6">
        <v>12.9</v>
      </c>
      <c r="R621">
        <v>0</v>
      </c>
      <c r="S621" s="6">
        <v>0</v>
      </c>
      <c r="T621">
        <v>0</v>
      </c>
      <c r="U621" s="6">
        <v>1380</v>
      </c>
      <c r="V621">
        <v>0</v>
      </c>
      <c r="W621">
        <v>0</v>
      </c>
      <c r="X621">
        <v>0</v>
      </c>
      <c r="Y621" s="6">
        <v>50.5</v>
      </c>
      <c r="Z621">
        <v>1E-3</v>
      </c>
      <c r="AA621">
        <v>3.1E-2</v>
      </c>
      <c r="AB621">
        <v>7.0000000000000007E-2</v>
      </c>
      <c r="AC621">
        <v>6</v>
      </c>
      <c r="AD621" s="6">
        <v>50</v>
      </c>
      <c r="AE621" s="6">
        <v>0</v>
      </c>
      <c r="AF621" s="6">
        <v>0</v>
      </c>
      <c r="AG621" s="6">
        <v>55.11</v>
      </c>
      <c r="AH621" s="6">
        <v>71.06</v>
      </c>
      <c r="AI621" s="6">
        <f t="shared" si="18"/>
        <v>15.950000000000003</v>
      </c>
      <c r="AJ621" s="5">
        <f t="shared" si="19"/>
        <v>0.22445820433436536</v>
      </c>
    </row>
    <row r="622" spans="1:36">
      <c r="A622" t="s">
        <v>243</v>
      </c>
      <c r="B622" t="s">
        <v>907</v>
      </c>
      <c r="C622" t="s">
        <v>73</v>
      </c>
      <c r="D622" t="s">
        <v>63</v>
      </c>
      <c r="E622" t="s">
        <v>55</v>
      </c>
      <c r="F622">
        <v>0</v>
      </c>
      <c r="G622">
        <v>2364</v>
      </c>
      <c r="H622">
        <v>1</v>
      </c>
      <c r="I622" t="s">
        <v>220</v>
      </c>
      <c r="J622">
        <v>2</v>
      </c>
      <c r="K622" s="6">
        <v>4.8099999999999996</v>
      </c>
      <c r="L622" t="s">
        <v>174</v>
      </c>
      <c r="M622">
        <v>0</v>
      </c>
      <c r="N622" t="s">
        <v>175</v>
      </c>
      <c r="O622">
        <v>1</v>
      </c>
      <c r="P622">
        <v>0</v>
      </c>
      <c r="Q622" s="6">
        <v>32.4</v>
      </c>
      <c r="R622">
        <v>0</v>
      </c>
      <c r="S622" s="6">
        <v>0</v>
      </c>
      <c r="T622">
        <v>0</v>
      </c>
      <c r="U622" s="6">
        <v>657</v>
      </c>
      <c r="V622">
        <v>0</v>
      </c>
      <c r="W622">
        <v>0</v>
      </c>
      <c r="X622">
        <v>0</v>
      </c>
      <c r="Y622" s="6">
        <v>50.5</v>
      </c>
      <c r="Z622">
        <v>1E-3</v>
      </c>
      <c r="AA622">
        <v>3.1E-2</v>
      </c>
      <c r="AB622">
        <v>7.0000000000000007E-2</v>
      </c>
      <c r="AC622">
        <v>6</v>
      </c>
      <c r="AD622" s="6">
        <v>50</v>
      </c>
      <c r="AE622" s="6">
        <v>0</v>
      </c>
      <c r="AF622" s="6">
        <v>0</v>
      </c>
      <c r="AG622" s="6">
        <v>55.46</v>
      </c>
      <c r="AH622" s="6">
        <v>71.349999999999994</v>
      </c>
      <c r="AI622" s="6">
        <f t="shared" si="18"/>
        <v>15.889999999999993</v>
      </c>
      <c r="AJ622" s="5">
        <f t="shared" si="19"/>
        <v>0.22270497547302026</v>
      </c>
    </row>
    <row r="623" spans="1:36">
      <c r="A623" t="s">
        <v>393</v>
      </c>
      <c r="B623" t="s">
        <v>908</v>
      </c>
      <c r="C623" t="s">
        <v>73</v>
      </c>
      <c r="D623" t="s">
        <v>63</v>
      </c>
      <c r="E623" t="s">
        <v>55</v>
      </c>
      <c r="F623">
        <v>0</v>
      </c>
      <c r="G623">
        <v>2364</v>
      </c>
      <c r="H623">
        <v>1</v>
      </c>
      <c r="I623" t="s">
        <v>173</v>
      </c>
      <c r="J623">
        <v>1</v>
      </c>
      <c r="K623" s="6">
        <v>2.34</v>
      </c>
      <c r="L623" t="s">
        <v>174</v>
      </c>
      <c r="M623">
        <v>0</v>
      </c>
      <c r="N623" t="s">
        <v>217</v>
      </c>
      <c r="O623">
        <v>4</v>
      </c>
      <c r="P623">
        <v>1</v>
      </c>
      <c r="Q623" s="6">
        <v>121.9</v>
      </c>
      <c r="R623">
        <v>0</v>
      </c>
      <c r="S623" s="6">
        <v>0</v>
      </c>
      <c r="T623">
        <v>0</v>
      </c>
      <c r="U623" s="6">
        <v>1970</v>
      </c>
      <c r="V623">
        <v>0</v>
      </c>
      <c r="W623">
        <v>0</v>
      </c>
      <c r="X623">
        <v>0</v>
      </c>
      <c r="Y623" s="6">
        <v>50.5</v>
      </c>
      <c r="Z623">
        <v>1E-3</v>
      </c>
      <c r="AA623">
        <v>3.1E-2</v>
      </c>
      <c r="AB623">
        <v>7.0000000000000007E-2</v>
      </c>
      <c r="AC623">
        <v>6</v>
      </c>
      <c r="AD623" s="6">
        <v>50</v>
      </c>
      <c r="AE623" s="6">
        <v>0</v>
      </c>
      <c r="AF623" s="6">
        <v>0</v>
      </c>
      <c r="AG623" s="6">
        <v>93.83</v>
      </c>
      <c r="AH623" s="6">
        <v>119.65</v>
      </c>
      <c r="AI623" s="6">
        <f t="shared" si="18"/>
        <v>25.820000000000007</v>
      </c>
      <c r="AJ623" s="5">
        <f t="shared" si="19"/>
        <v>0.21579607187630595</v>
      </c>
    </row>
    <row r="624" spans="1:36">
      <c r="A624" t="s">
        <v>343</v>
      </c>
      <c r="B624" t="s">
        <v>909</v>
      </c>
      <c r="C624" t="s">
        <v>73</v>
      </c>
      <c r="D624" t="s">
        <v>63</v>
      </c>
      <c r="E624" t="s">
        <v>55</v>
      </c>
      <c r="F624">
        <v>0</v>
      </c>
      <c r="G624">
        <v>2364</v>
      </c>
      <c r="H624">
        <v>1</v>
      </c>
      <c r="I624" t="s">
        <v>173</v>
      </c>
      <c r="J624">
        <v>1</v>
      </c>
      <c r="K624" s="6">
        <v>1.66</v>
      </c>
      <c r="L624" t="s">
        <v>174</v>
      </c>
      <c r="M624">
        <v>0</v>
      </c>
      <c r="N624" t="s">
        <v>182</v>
      </c>
      <c r="O624">
        <v>3</v>
      </c>
      <c r="P624">
        <v>0</v>
      </c>
      <c r="Q624" s="6">
        <v>102</v>
      </c>
      <c r="R624">
        <v>0</v>
      </c>
      <c r="S624" s="6">
        <v>0</v>
      </c>
      <c r="T624">
        <v>0</v>
      </c>
      <c r="U624" s="6">
        <v>540</v>
      </c>
      <c r="V624">
        <v>0</v>
      </c>
      <c r="W624">
        <v>0</v>
      </c>
      <c r="X624">
        <v>0</v>
      </c>
      <c r="Y624" s="6">
        <v>50.5</v>
      </c>
      <c r="Z624">
        <v>1E-3</v>
      </c>
      <c r="AA624">
        <v>3.1E-2</v>
      </c>
      <c r="AB624">
        <v>7.0000000000000007E-2</v>
      </c>
      <c r="AC624">
        <v>6</v>
      </c>
      <c r="AD624" s="6">
        <v>50</v>
      </c>
      <c r="AE624" s="6">
        <v>0</v>
      </c>
      <c r="AF624" s="6">
        <v>0</v>
      </c>
      <c r="AG624" s="6">
        <v>58.89</v>
      </c>
      <c r="AH624" s="6">
        <v>74.55</v>
      </c>
      <c r="AI624" s="6">
        <f t="shared" si="18"/>
        <v>15.659999999999997</v>
      </c>
      <c r="AJ624" s="5">
        <f t="shared" si="19"/>
        <v>0.2100603621730382</v>
      </c>
    </row>
    <row r="625" spans="1:36">
      <c r="A625" t="s">
        <v>362</v>
      </c>
      <c r="B625" t="s">
        <v>910</v>
      </c>
      <c r="C625" t="s">
        <v>73</v>
      </c>
      <c r="D625" t="s">
        <v>63</v>
      </c>
      <c r="E625" t="s">
        <v>55</v>
      </c>
      <c r="F625">
        <v>0</v>
      </c>
      <c r="G625">
        <v>2364</v>
      </c>
      <c r="H625">
        <v>1</v>
      </c>
      <c r="I625" t="s">
        <v>173</v>
      </c>
      <c r="J625">
        <v>1</v>
      </c>
      <c r="K625" s="6">
        <v>1.8</v>
      </c>
      <c r="L625" t="s">
        <v>174</v>
      </c>
      <c r="M625">
        <v>0</v>
      </c>
      <c r="N625" t="s">
        <v>175</v>
      </c>
      <c r="O625">
        <v>1</v>
      </c>
      <c r="P625">
        <v>0</v>
      </c>
      <c r="Q625" s="6">
        <v>35.799999999999997</v>
      </c>
      <c r="R625">
        <v>1</v>
      </c>
      <c r="S625" s="6">
        <v>200</v>
      </c>
      <c r="T625">
        <v>0</v>
      </c>
      <c r="U625" s="6">
        <v>1349</v>
      </c>
      <c r="V625">
        <v>0</v>
      </c>
      <c r="W625">
        <v>0</v>
      </c>
      <c r="X625">
        <v>0</v>
      </c>
      <c r="Y625" s="6">
        <v>50.5</v>
      </c>
      <c r="Z625">
        <v>1E-3</v>
      </c>
      <c r="AA625">
        <v>3.1E-2</v>
      </c>
      <c r="AB625">
        <v>7.0000000000000007E-2</v>
      </c>
      <c r="AC625">
        <v>6</v>
      </c>
      <c r="AD625" s="6">
        <v>50</v>
      </c>
      <c r="AE625" s="6">
        <v>25</v>
      </c>
      <c r="AF625" s="6">
        <v>0</v>
      </c>
      <c r="AG625" s="6">
        <v>53.83</v>
      </c>
      <c r="AH625" s="6">
        <v>67.37</v>
      </c>
      <c r="AI625" s="6">
        <f t="shared" si="18"/>
        <v>13.540000000000006</v>
      </c>
      <c r="AJ625" s="5">
        <f t="shared" si="19"/>
        <v>0.20097966453911245</v>
      </c>
    </row>
    <row r="626" spans="1:36">
      <c r="A626" t="s">
        <v>311</v>
      </c>
      <c r="B626" t="s">
        <v>911</v>
      </c>
      <c r="C626" t="s">
        <v>73</v>
      </c>
      <c r="D626" t="s">
        <v>63</v>
      </c>
      <c r="E626" t="s">
        <v>55</v>
      </c>
      <c r="F626">
        <v>0</v>
      </c>
      <c r="G626">
        <v>2364</v>
      </c>
      <c r="H626">
        <v>1</v>
      </c>
      <c r="I626" t="s">
        <v>173</v>
      </c>
      <c r="J626">
        <v>1</v>
      </c>
      <c r="K626" s="6">
        <v>1.29</v>
      </c>
      <c r="L626" t="s">
        <v>174</v>
      </c>
      <c r="M626">
        <v>0</v>
      </c>
      <c r="N626" t="s">
        <v>175</v>
      </c>
      <c r="O626">
        <v>1</v>
      </c>
      <c r="P626">
        <v>1</v>
      </c>
      <c r="Q626" s="6">
        <v>48.1</v>
      </c>
      <c r="R626">
        <v>0</v>
      </c>
      <c r="S626" s="6">
        <v>0</v>
      </c>
      <c r="T626">
        <v>0</v>
      </c>
      <c r="U626" s="6">
        <v>1157</v>
      </c>
      <c r="V626">
        <v>0</v>
      </c>
      <c r="W626">
        <v>0</v>
      </c>
      <c r="X626">
        <v>0</v>
      </c>
      <c r="Y626" s="6">
        <v>50.5</v>
      </c>
      <c r="Z626">
        <v>1E-3</v>
      </c>
      <c r="AA626">
        <v>3.1E-2</v>
      </c>
      <c r="AB626">
        <v>7.0000000000000007E-2</v>
      </c>
      <c r="AC626">
        <v>6</v>
      </c>
      <c r="AD626" s="6">
        <v>50</v>
      </c>
      <c r="AE626" s="6">
        <v>0</v>
      </c>
      <c r="AF626" s="6">
        <v>0</v>
      </c>
      <c r="AG626" s="6">
        <v>71.150000000000006</v>
      </c>
      <c r="AH626" s="6">
        <v>92.69</v>
      </c>
      <c r="AI626" s="6">
        <f t="shared" si="18"/>
        <v>21.539999999999992</v>
      </c>
      <c r="AJ626" s="5">
        <f t="shared" si="19"/>
        <v>0.23238752832020707</v>
      </c>
    </row>
    <row r="627" spans="1:36">
      <c r="A627" t="s">
        <v>243</v>
      </c>
      <c r="B627" t="s">
        <v>912</v>
      </c>
      <c r="C627" t="s">
        <v>73</v>
      </c>
      <c r="D627" t="s">
        <v>63</v>
      </c>
      <c r="E627" t="s">
        <v>55</v>
      </c>
      <c r="F627">
        <v>0</v>
      </c>
      <c r="G627">
        <v>2364</v>
      </c>
      <c r="H627">
        <v>1</v>
      </c>
      <c r="I627" t="s">
        <v>173</v>
      </c>
      <c r="J627">
        <v>1</v>
      </c>
      <c r="K627" s="6">
        <v>1.7</v>
      </c>
      <c r="L627" t="s">
        <v>174</v>
      </c>
      <c r="M627">
        <v>0</v>
      </c>
      <c r="N627" t="s">
        <v>182</v>
      </c>
      <c r="O627">
        <v>3</v>
      </c>
      <c r="P627">
        <v>0</v>
      </c>
      <c r="Q627" s="6">
        <v>128.9</v>
      </c>
      <c r="R627">
        <v>1</v>
      </c>
      <c r="S627" s="6">
        <v>2070</v>
      </c>
      <c r="T627">
        <v>0</v>
      </c>
      <c r="U627" s="6">
        <v>1322</v>
      </c>
      <c r="V627">
        <v>0</v>
      </c>
      <c r="W627">
        <v>0</v>
      </c>
      <c r="X627">
        <v>0</v>
      </c>
      <c r="Y627" s="6">
        <v>50.5</v>
      </c>
      <c r="Z627">
        <v>1E-3</v>
      </c>
      <c r="AA627">
        <v>3.1E-2</v>
      </c>
      <c r="AB627">
        <v>7.0000000000000007E-2</v>
      </c>
      <c r="AC627">
        <v>6</v>
      </c>
      <c r="AD627" s="6">
        <v>50</v>
      </c>
      <c r="AE627" s="6">
        <v>40</v>
      </c>
      <c r="AF627" s="6">
        <v>0</v>
      </c>
      <c r="AG627" s="6">
        <v>71.540000000000006</v>
      </c>
      <c r="AH627" s="6">
        <v>93.2</v>
      </c>
      <c r="AI627" s="6">
        <f t="shared" si="18"/>
        <v>21.659999999999997</v>
      </c>
      <c r="AJ627" s="5">
        <f t="shared" si="19"/>
        <v>0.23240343347639481</v>
      </c>
    </row>
    <row r="628" spans="1:36">
      <c r="A628" t="s">
        <v>288</v>
      </c>
      <c r="B628" t="s">
        <v>913</v>
      </c>
      <c r="C628" t="s">
        <v>73</v>
      </c>
      <c r="D628" t="s">
        <v>63</v>
      </c>
      <c r="E628" t="s">
        <v>55</v>
      </c>
      <c r="F628">
        <v>0</v>
      </c>
      <c r="G628">
        <v>2364</v>
      </c>
      <c r="H628">
        <v>1</v>
      </c>
      <c r="I628" t="s">
        <v>173</v>
      </c>
      <c r="J628">
        <v>1</v>
      </c>
      <c r="K628" s="6">
        <v>1.1299999999999999</v>
      </c>
      <c r="L628" t="s">
        <v>174</v>
      </c>
      <c r="M628">
        <v>0</v>
      </c>
      <c r="N628" t="s">
        <v>182</v>
      </c>
      <c r="O628">
        <v>3</v>
      </c>
      <c r="P628">
        <v>0</v>
      </c>
      <c r="Q628" s="6">
        <v>99.8</v>
      </c>
      <c r="R628">
        <v>1</v>
      </c>
      <c r="S628" s="6">
        <v>2339</v>
      </c>
      <c r="T628">
        <v>0</v>
      </c>
      <c r="U628" s="6">
        <v>1135</v>
      </c>
      <c r="V628">
        <v>1</v>
      </c>
      <c r="W628">
        <v>0</v>
      </c>
      <c r="X628">
        <v>0</v>
      </c>
      <c r="Y628" s="6">
        <v>50.5</v>
      </c>
      <c r="Z628">
        <v>1E-3</v>
      </c>
      <c r="AA628">
        <v>3.1E-2</v>
      </c>
      <c r="AB628">
        <v>7.0000000000000007E-2</v>
      </c>
      <c r="AC628">
        <v>6</v>
      </c>
      <c r="AD628" s="6">
        <v>50</v>
      </c>
      <c r="AE628" s="6">
        <v>40</v>
      </c>
      <c r="AF628" s="6">
        <v>0</v>
      </c>
      <c r="AG628" s="6">
        <v>104.81</v>
      </c>
      <c r="AH628" s="6">
        <v>132.55000000000001</v>
      </c>
      <c r="AI628" s="6">
        <f t="shared" si="18"/>
        <v>27.740000000000009</v>
      </c>
      <c r="AJ628" s="5">
        <f t="shared" si="19"/>
        <v>0.20927951716333465</v>
      </c>
    </row>
    <row r="629" spans="1:36">
      <c r="A629" t="s">
        <v>401</v>
      </c>
      <c r="B629" t="s">
        <v>914</v>
      </c>
      <c r="C629" t="s">
        <v>73</v>
      </c>
      <c r="D629" t="s">
        <v>63</v>
      </c>
      <c r="E629" t="s">
        <v>55</v>
      </c>
      <c r="F629">
        <v>0</v>
      </c>
      <c r="G629">
        <v>2364</v>
      </c>
      <c r="H629">
        <v>1</v>
      </c>
      <c r="I629" t="s">
        <v>173</v>
      </c>
      <c r="J629">
        <v>1</v>
      </c>
      <c r="K629" s="6">
        <v>1.3</v>
      </c>
      <c r="L629" t="s">
        <v>174</v>
      </c>
      <c r="M629">
        <v>0</v>
      </c>
      <c r="N629" t="s">
        <v>272</v>
      </c>
      <c r="O629">
        <v>5</v>
      </c>
      <c r="P629">
        <v>1</v>
      </c>
      <c r="Q629" s="6">
        <v>256.8</v>
      </c>
      <c r="R629">
        <v>0</v>
      </c>
      <c r="S629" s="6">
        <v>0</v>
      </c>
      <c r="T629">
        <v>0</v>
      </c>
      <c r="U629" s="6">
        <v>1028</v>
      </c>
      <c r="V629">
        <v>0</v>
      </c>
      <c r="W629">
        <v>0</v>
      </c>
      <c r="X629">
        <v>0</v>
      </c>
      <c r="Y629" s="6">
        <v>50.5</v>
      </c>
      <c r="Z629">
        <v>1E-3</v>
      </c>
      <c r="AA629">
        <v>3.1E-2</v>
      </c>
      <c r="AB629">
        <v>7.0000000000000007E-2</v>
      </c>
      <c r="AC629">
        <v>6</v>
      </c>
      <c r="AD629" s="6">
        <v>50</v>
      </c>
      <c r="AE629" s="6">
        <v>0</v>
      </c>
      <c r="AF629" s="6">
        <v>0</v>
      </c>
      <c r="AG629" s="6">
        <v>155.83000000000001</v>
      </c>
      <c r="AH629" s="6">
        <v>199.5</v>
      </c>
      <c r="AI629" s="6">
        <f t="shared" si="18"/>
        <v>43.669999999999987</v>
      </c>
      <c r="AJ629" s="5">
        <f t="shared" si="19"/>
        <v>0.21889724310776937</v>
      </c>
    </row>
    <row r="630" spans="1:36">
      <c r="A630" t="s">
        <v>208</v>
      </c>
      <c r="B630" t="s">
        <v>915</v>
      </c>
      <c r="C630" t="s">
        <v>73</v>
      </c>
      <c r="D630" t="s">
        <v>63</v>
      </c>
      <c r="E630" t="s">
        <v>55</v>
      </c>
      <c r="F630">
        <v>0</v>
      </c>
      <c r="G630">
        <v>2364</v>
      </c>
      <c r="H630">
        <v>1</v>
      </c>
      <c r="I630" t="s">
        <v>173</v>
      </c>
      <c r="J630">
        <v>1</v>
      </c>
      <c r="K630" s="6">
        <v>1.59</v>
      </c>
      <c r="L630" t="s">
        <v>174</v>
      </c>
      <c r="M630">
        <v>0</v>
      </c>
      <c r="N630" t="s">
        <v>175</v>
      </c>
      <c r="O630">
        <v>1</v>
      </c>
      <c r="P630">
        <v>0</v>
      </c>
      <c r="Q630" s="6">
        <v>42.4</v>
      </c>
      <c r="R630">
        <v>0</v>
      </c>
      <c r="S630" s="6">
        <v>0</v>
      </c>
      <c r="T630">
        <v>0</v>
      </c>
      <c r="U630" s="6">
        <v>784</v>
      </c>
      <c r="V630">
        <v>1</v>
      </c>
      <c r="W630">
        <v>0</v>
      </c>
      <c r="X630">
        <v>0</v>
      </c>
      <c r="Y630" s="6">
        <v>50.5</v>
      </c>
      <c r="Z630">
        <v>1E-3</v>
      </c>
      <c r="AA630">
        <v>3.1E-2</v>
      </c>
      <c r="AB630">
        <v>7.0000000000000007E-2</v>
      </c>
      <c r="AC630">
        <v>6</v>
      </c>
      <c r="AD630" s="6">
        <v>50</v>
      </c>
      <c r="AE630" s="6">
        <v>0</v>
      </c>
      <c r="AF630" s="6">
        <v>0</v>
      </c>
      <c r="AG630" s="6">
        <v>84.6</v>
      </c>
      <c r="AH630" s="6">
        <v>107.87</v>
      </c>
      <c r="AI630" s="6">
        <f t="shared" si="18"/>
        <v>23.27000000000001</v>
      </c>
      <c r="AJ630" s="5">
        <f t="shared" si="19"/>
        <v>0.21572262909057208</v>
      </c>
    </row>
    <row r="631" spans="1:36">
      <c r="A631" t="s">
        <v>266</v>
      </c>
      <c r="B631" t="s">
        <v>916</v>
      </c>
      <c r="C631" t="s">
        <v>73</v>
      </c>
      <c r="D631" t="s">
        <v>63</v>
      </c>
      <c r="E631" t="s">
        <v>55</v>
      </c>
      <c r="F631">
        <v>0</v>
      </c>
      <c r="G631">
        <v>2364</v>
      </c>
      <c r="H631">
        <v>1</v>
      </c>
      <c r="I631" t="s">
        <v>173</v>
      </c>
      <c r="J631">
        <v>1</v>
      </c>
      <c r="K631" s="6">
        <v>1.1299999999999999</v>
      </c>
      <c r="L631" t="s">
        <v>174</v>
      </c>
      <c r="M631">
        <v>0</v>
      </c>
      <c r="N631" t="s">
        <v>175</v>
      </c>
      <c r="O631">
        <v>1</v>
      </c>
      <c r="P631">
        <v>0</v>
      </c>
      <c r="Q631" s="6">
        <v>34.799999999999997</v>
      </c>
      <c r="R631">
        <v>0</v>
      </c>
      <c r="S631" s="6">
        <v>0</v>
      </c>
      <c r="T631">
        <v>0</v>
      </c>
      <c r="U631" s="6">
        <v>1369</v>
      </c>
      <c r="V631">
        <v>1</v>
      </c>
      <c r="W631">
        <v>0</v>
      </c>
      <c r="X631">
        <v>0</v>
      </c>
      <c r="Y631" s="6">
        <v>50.5</v>
      </c>
      <c r="Z631">
        <v>1E-3</v>
      </c>
      <c r="AA631">
        <v>3.1E-2</v>
      </c>
      <c r="AB631">
        <v>7.0000000000000007E-2</v>
      </c>
      <c r="AC631">
        <v>6</v>
      </c>
      <c r="AD631" s="6">
        <v>50</v>
      </c>
      <c r="AE631" s="6">
        <v>0</v>
      </c>
      <c r="AF631" s="6">
        <v>0</v>
      </c>
      <c r="AG631" s="6">
        <v>87.26</v>
      </c>
      <c r="AH631" s="6">
        <v>112.59</v>
      </c>
      <c r="AI631" s="6">
        <f t="shared" si="18"/>
        <v>25.33</v>
      </c>
      <c r="AJ631" s="5">
        <f t="shared" si="19"/>
        <v>0.22497557509547916</v>
      </c>
    </row>
    <row r="632" spans="1:36">
      <c r="A632" t="s">
        <v>579</v>
      </c>
      <c r="B632" t="s">
        <v>917</v>
      </c>
      <c r="C632" t="s">
        <v>73</v>
      </c>
      <c r="D632" t="s">
        <v>63</v>
      </c>
      <c r="E632" t="s">
        <v>55</v>
      </c>
      <c r="F632">
        <v>0</v>
      </c>
      <c r="G632">
        <v>2364</v>
      </c>
      <c r="H632">
        <v>1</v>
      </c>
      <c r="I632" t="s">
        <v>220</v>
      </c>
      <c r="J632">
        <v>2</v>
      </c>
      <c r="K632" s="6">
        <v>5.49</v>
      </c>
      <c r="L632" t="s">
        <v>174</v>
      </c>
      <c r="M632">
        <v>0</v>
      </c>
      <c r="N632" t="s">
        <v>187</v>
      </c>
      <c r="O632">
        <v>2</v>
      </c>
      <c r="P632">
        <v>0</v>
      </c>
      <c r="Q632" s="6">
        <v>71</v>
      </c>
      <c r="R632">
        <v>0</v>
      </c>
      <c r="S632" s="6">
        <v>0</v>
      </c>
      <c r="T632">
        <v>0</v>
      </c>
      <c r="U632" s="6">
        <v>1119</v>
      </c>
      <c r="V632">
        <v>1</v>
      </c>
      <c r="W632">
        <v>0</v>
      </c>
      <c r="X632">
        <v>0</v>
      </c>
      <c r="Y632" s="6">
        <v>50.5</v>
      </c>
      <c r="Z632">
        <v>1E-3</v>
      </c>
      <c r="AA632">
        <v>3.1E-2</v>
      </c>
      <c r="AB632">
        <v>7.0000000000000007E-2</v>
      </c>
      <c r="AC632">
        <v>6</v>
      </c>
      <c r="AD632" s="6">
        <v>50</v>
      </c>
      <c r="AE632" s="6">
        <v>0</v>
      </c>
      <c r="AF632" s="6">
        <v>0</v>
      </c>
      <c r="AG632" s="6">
        <v>105.97</v>
      </c>
      <c r="AH632" s="6">
        <v>133.94</v>
      </c>
      <c r="AI632" s="6">
        <f t="shared" si="18"/>
        <v>27.97</v>
      </c>
      <c r="AJ632" s="5">
        <f t="shared" si="19"/>
        <v>0.20882484694639392</v>
      </c>
    </row>
    <row r="633" spans="1:36">
      <c r="A633" t="s">
        <v>365</v>
      </c>
      <c r="B633" t="s">
        <v>918</v>
      </c>
      <c r="C633" t="s">
        <v>73</v>
      </c>
      <c r="D633" t="s">
        <v>63</v>
      </c>
      <c r="E633" t="s">
        <v>55</v>
      </c>
      <c r="F633">
        <v>0</v>
      </c>
      <c r="G633">
        <v>2364</v>
      </c>
      <c r="H633">
        <v>1</v>
      </c>
      <c r="I633" t="s">
        <v>173</v>
      </c>
      <c r="J633">
        <v>1</v>
      </c>
      <c r="K633" s="6">
        <v>1.97</v>
      </c>
      <c r="L633" t="s">
        <v>174</v>
      </c>
      <c r="M633">
        <v>0</v>
      </c>
      <c r="N633" t="s">
        <v>217</v>
      </c>
      <c r="O633">
        <v>4</v>
      </c>
      <c r="P633">
        <v>1</v>
      </c>
      <c r="Q633" s="6">
        <v>164.7</v>
      </c>
      <c r="R633">
        <v>0</v>
      </c>
      <c r="S633" s="6">
        <v>0</v>
      </c>
      <c r="T633">
        <v>0</v>
      </c>
      <c r="U633" s="6">
        <v>1056</v>
      </c>
      <c r="V633">
        <v>0</v>
      </c>
      <c r="W633">
        <v>0</v>
      </c>
      <c r="X633">
        <v>0</v>
      </c>
      <c r="Y633" s="6">
        <v>50.5</v>
      </c>
      <c r="Z633">
        <v>1E-3</v>
      </c>
      <c r="AA633">
        <v>3.1E-2</v>
      </c>
      <c r="AB633">
        <v>7.0000000000000007E-2</v>
      </c>
      <c r="AC633">
        <v>6</v>
      </c>
      <c r="AD633" s="6">
        <v>50</v>
      </c>
      <c r="AE633" s="6">
        <v>0</v>
      </c>
      <c r="AF633" s="6">
        <v>0</v>
      </c>
      <c r="AG633" s="6">
        <v>100.49</v>
      </c>
      <c r="AH633" s="6">
        <v>130.30000000000001</v>
      </c>
      <c r="AI633" s="6">
        <f t="shared" si="18"/>
        <v>29.810000000000016</v>
      </c>
      <c r="AJ633" s="5">
        <f t="shared" si="19"/>
        <v>0.22877973906369925</v>
      </c>
    </row>
    <row r="634" spans="1:36">
      <c r="A634" t="s">
        <v>469</v>
      </c>
      <c r="B634" t="s">
        <v>919</v>
      </c>
      <c r="C634" t="s">
        <v>73</v>
      </c>
      <c r="D634" t="s">
        <v>63</v>
      </c>
      <c r="E634" t="s">
        <v>55</v>
      </c>
      <c r="F634">
        <v>0</v>
      </c>
      <c r="G634">
        <v>2364</v>
      </c>
      <c r="H634">
        <v>1</v>
      </c>
      <c r="I634" t="s">
        <v>220</v>
      </c>
      <c r="J634">
        <v>2</v>
      </c>
      <c r="K634" s="6">
        <v>3.04</v>
      </c>
      <c r="L634" t="s">
        <v>174</v>
      </c>
      <c r="M634">
        <v>0</v>
      </c>
      <c r="N634" t="s">
        <v>187</v>
      </c>
      <c r="O634">
        <v>2</v>
      </c>
      <c r="P634">
        <v>0</v>
      </c>
      <c r="Q634" s="6">
        <v>51.8</v>
      </c>
      <c r="R634">
        <v>0</v>
      </c>
      <c r="S634" s="6">
        <v>0</v>
      </c>
      <c r="T634">
        <v>0</v>
      </c>
      <c r="U634" s="6">
        <v>4185</v>
      </c>
      <c r="V634">
        <v>0</v>
      </c>
      <c r="W634">
        <v>0</v>
      </c>
      <c r="X634">
        <v>0</v>
      </c>
      <c r="Y634" s="6">
        <v>50.5</v>
      </c>
      <c r="Z634">
        <v>1E-3</v>
      </c>
      <c r="AA634">
        <v>3.1E-2</v>
      </c>
      <c r="AB634">
        <v>7.0000000000000007E-2</v>
      </c>
      <c r="AC634">
        <v>6</v>
      </c>
      <c r="AD634" s="6">
        <v>50</v>
      </c>
      <c r="AE634" s="6">
        <v>0</v>
      </c>
      <c r="AF634" s="6">
        <v>0</v>
      </c>
      <c r="AG634" s="6">
        <v>58.34</v>
      </c>
      <c r="AH634" s="6">
        <v>75.069999999999993</v>
      </c>
      <c r="AI634" s="6">
        <f t="shared" si="18"/>
        <v>16.72999999999999</v>
      </c>
      <c r="AJ634" s="5">
        <f t="shared" si="19"/>
        <v>0.2228586652457705</v>
      </c>
    </row>
    <row r="635" spans="1:36">
      <c r="A635" t="s">
        <v>171</v>
      </c>
      <c r="B635" t="s">
        <v>920</v>
      </c>
      <c r="C635" t="s">
        <v>73</v>
      </c>
      <c r="D635" t="s">
        <v>63</v>
      </c>
      <c r="E635" t="s">
        <v>55</v>
      </c>
      <c r="F635">
        <v>0</v>
      </c>
      <c r="G635">
        <v>2364</v>
      </c>
      <c r="H635">
        <v>1</v>
      </c>
      <c r="I635" t="s">
        <v>173</v>
      </c>
      <c r="J635">
        <v>1</v>
      </c>
      <c r="K635" s="6">
        <v>2.1800000000000002</v>
      </c>
      <c r="L635" t="s">
        <v>174</v>
      </c>
      <c r="M635">
        <v>0</v>
      </c>
      <c r="N635" t="s">
        <v>182</v>
      </c>
      <c r="O635">
        <v>3</v>
      </c>
      <c r="P635">
        <v>0</v>
      </c>
      <c r="Q635" s="6">
        <v>83.3</v>
      </c>
      <c r="R635">
        <v>0</v>
      </c>
      <c r="S635" s="6">
        <v>0</v>
      </c>
      <c r="T635">
        <v>0</v>
      </c>
      <c r="U635" s="6">
        <v>494</v>
      </c>
      <c r="V635">
        <v>0</v>
      </c>
      <c r="W635">
        <v>0</v>
      </c>
      <c r="X635">
        <v>0</v>
      </c>
      <c r="Y635" s="6">
        <v>50.5</v>
      </c>
      <c r="Z635">
        <v>1E-3</v>
      </c>
      <c r="AA635">
        <v>3.1E-2</v>
      </c>
      <c r="AB635">
        <v>7.0000000000000007E-2</v>
      </c>
      <c r="AC635">
        <v>6</v>
      </c>
      <c r="AD635" s="6">
        <v>50</v>
      </c>
      <c r="AE635" s="6">
        <v>0</v>
      </c>
      <c r="AF635" s="6">
        <v>0</v>
      </c>
      <c r="AG635" s="6">
        <v>62.4</v>
      </c>
      <c r="AH635" s="6">
        <v>82.42</v>
      </c>
      <c r="AI635" s="6">
        <f t="shared" si="18"/>
        <v>20.020000000000003</v>
      </c>
      <c r="AJ635" s="5">
        <f t="shared" si="19"/>
        <v>0.24290220820189279</v>
      </c>
    </row>
    <row r="636" spans="1:36">
      <c r="A636" t="s">
        <v>481</v>
      </c>
      <c r="B636" t="s">
        <v>921</v>
      </c>
      <c r="C636" t="s">
        <v>73</v>
      </c>
      <c r="D636" t="s">
        <v>63</v>
      </c>
      <c r="E636" t="s">
        <v>55</v>
      </c>
      <c r="F636">
        <v>0</v>
      </c>
      <c r="G636">
        <v>2364</v>
      </c>
      <c r="H636">
        <v>1</v>
      </c>
      <c r="I636" t="s">
        <v>173</v>
      </c>
      <c r="J636">
        <v>1</v>
      </c>
      <c r="K636" s="6">
        <v>1.28</v>
      </c>
      <c r="L636" t="s">
        <v>174</v>
      </c>
      <c r="M636">
        <v>0</v>
      </c>
      <c r="N636" t="s">
        <v>175</v>
      </c>
      <c r="O636">
        <v>1</v>
      </c>
      <c r="P636">
        <v>0</v>
      </c>
      <c r="Q636" s="6">
        <v>42.2</v>
      </c>
      <c r="R636">
        <v>0</v>
      </c>
      <c r="S636" s="6">
        <v>0</v>
      </c>
      <c r="T636">
        <v>0</v>
      </c>
      <c r="U636" s="6">
        <v>1129</v>
      </c>
      <c r="V636">
        <v>1</v>
      </c>
      <c r="W636">
        <v>0</v>
      </c>
      <c r="X636">
        <v>0</v>
      </c>
      <c r="Y636" s="6">
        <v>50.5</v>
      </c>
      <c r="Z636">
        <v>1E-3</v>
      </c>
      <c r="AA636">
        <v>3.1E-2</v>
      </c>
      <c r="AB636">
        <v>7.0000000000000007E-2</v>
      </c>
      <c r="AC636">
        <v>6</v>
      </c>
      <c r="AD636" s="6">
        <v>50</v>
      </c>
      <c r="AE636" s="6">
        <v>0</v>
      </c>
      <c r="AF636" s="6">
        <v>0</v>
      </c>
      <c r="AG636" s="6">
        <v>96.74</v>
      </c>
      <c r="AH636" s="6">
        <v>123.28</v>
      </c>
      <c r="AI636" s="6">
        <f t="shared" si="18"/>
        <v>26.540000000000006</v>
      </c>
      <c r="AJ636" s="5">
        <f t="shared" si="19"/>
        <v>0.21528228423101886</v>
      </c>
    </row>
    <row r="637" spans="1:36">
      <c r="A637" t="s">
        <v>488</v>
      </c>
      <c r="B637" t="s">
        <v>922</v>
      </c>
      <c r="C637" t="s">
        <v>73</v>
      </c>
      <c r="D637" t="s">
        <v>63</v>
      </c>
      <c r="E637" t="s">
        <v>55</v>
      </c>
      <c r="F637">
        <v>0</v>
      </c>
      <c r="G637">
        <v>2364</v>
      </c>
      <c r="H637">
        <v>1</v>
      </c>
      <c r="I637" t="s">
        <v>173</v>
      </c>
      <c r="J637">
        <v>1</v>
      </c>
      <c r="K637" s="6">
        <v>1.01</v>
      </c>
      <c r="L637" t="s">
        <v>174</v>
      </c>
      <c r="M637">
        <v>0</v>
      </c>
      <c r="N637" t="s">
        <v>175</v>
      </c>
      <c r="O637">
        <v>1</v>
      </c>
      <c r="P637">
        <v>0</v>
      </c>
      <c r="Q637" s="6">
        <v>34.9</v>
      </c>
      <c r="R637">
        <v>0</v>
      </c>
      <c r="S637" s="6">
        <v>0</v>
      </c>
      <c r="T637">
        <v>0</v>
      </c>
      <c r="U637" s="6">
        <v>2361</v>
      </c>
      <c r="V637">
        <v>0</v>
      </c>
      <c r="W637">
        <v>0</v>
      </c>
      <c r="X637">
        <v>0</v>
      </c>
      <c r="Y637" s="6">
        <v>50.5</v>
      </c>
      <c r="Z637">
        <v>1E-3</v>
      </c>
      <c r="AA637">
        <v>3.1E-2</v>
      </c>
      <c r="AB637">
        <v>7.0000000000000007E-2</v>
      </c>
      <c r="AC637">
        <v>6</v>
      </c>
      <c r="AD637" s="6">
        <v>50</v>
      </c>
      <c r="AE637" s="6">
        <v>0</v>
      </c>
      <c r="AF637" s="6">
        <v>0</v>
      </c>
      <c r="AG637" s="6">
        <v>52.24</v>
      </c>
      <c r="AH637" s="6">
        <v>69.47</v>
      </c>
      <c r="AI637" s="6">
        <f t="shared" si="18"/>
        <v>17.229999999999997</v>
      </c>
      <c r="AJ637" s="5">
        <f t="shared" si="19"/>
        <v>0.24802072837195907</v>
      </c>
    </row>
    <row r="638" spans="1:36">
      <c r="A638" t="s">
        <v>384</v>
      </c>
      <c r="B638" t="s">
        <v>923</v>
      </c>
      <c r="C638" t="s">
        <v>73</v>
      </c>
      <c r="D638" t="s">
        <v>63</v>
      </c>
      <c r="E638" t="s">
        <v>55</v>
      </c>
      <c r="F638">
        <v>0</v>
      </c>
      <c r="G638">
        <v>2364</v>
      </c>
      <c r="H638">
        <v>1</v>
      </c>
      <c r="I638" t="s">
        <v>173</v>
      </c>
      <c r="J638">
        <v>1</v>
      </c>
      <c r="K638" s="6">
        <v>2.38</v>
      </c>
      <c r="L638" t="s">
        <v>200</v>
      </c>
      <c r="M638">
        <v>1</v>
      </c>
      <c r="N638" t="s">
        <v>175</v>
      </c>
      <c r="O638">
        <v>1</v>
      </c>
      <c r="P638">
        <v>0</v>
      </c>
      <c r="Q638" s="6">
        <v>31.8</v>
      </c>
      <c r="R638">
        <v>1</v>
      </c>
      <c r="S638" s="6">
        <v>2346</v>
      </c>
      <c r="T638">
        <v>0</v>
      </c>
      <c r="U638" s="6">
        <v>625</v>
      </c>
      <c r="V638">
        <v>0</v>
      </c>
      <c r="W638">
        <v>0</v>
      </c>
      <c r="X638">
        <v>0</v>
      </c>
      <c r="Y638" s="6">
        <v>50.5</v>
      </c>
      <c r="Z638">
        <v>1E-3</v>
      </c>
      <c r="AA638">
        <v>3.1E-2</v>
      </c>
      <c r="AB638">
        <v>7.0000000000000007E-2</v>
      </c>
      <c r="AC638">
        <v>6</v>
      </c>
      <c r="AD638" s="6">
        <v>99</v>
      </c>
      <c r="AE638" s="6">
        <v>40</v>
      </c>
      <c r="AF638" s="6">
        <v>0</v>
      </c>
      <c r="AG638" s="6">
        <v>78.709999999999994</v>
      </c>
      <c r="AH638" s="6">
        <v>101.43</v>
      </c>
      <c r="AI638" s="6">
        <f t="shared" si="18"/>
        <v>22.720000000000013</v>
      </c>
      <c r="AJ638" s="5">
        <f t="shared" si="19"/>
        <v>0.22399684511485765</v>
      </c>
    </row>
    <row r="639" spans="1:36">
      <c r="A639" t="s">
        <v>192</v>
      </c>
      <c r="B639" t="s">
        <v>924</v>
      </c>
      <c r="C639" t="s">
        <v>73</v>
      </c>
      <c r="D639" t="s">
        <v>63</v>
      </c>
      <c r="E639" t="s">
        <v>55</v>
      </c>
      <c r="F639">
        <v>0</v>
      </c>
      <c r="G639">
        <v>2364</v>
      </c>
      <c r="H639">
        <v>1</v>
      </c>
      <c r="I639" t="s">
        <v>173</v>
      </c>
      <c r="J639">
        <v>1</v>
      </c>
      <c r="K639" s="6">
        <v>1.64</v>
      </c>
      <c r="L639" t="s">
        <v>174</v>
      </c>
      <c r="M639">
        <v>0</v>
      </c>
      <c r="N639" t="s">
        <v>187</v>
      </c>
      <c r="O639">
        <v>2</v>
      </c>
      <c r="P639">
        <v>0</v>
      </c>
      <c r="Q639" s="6">
        <v>46.2</v>
      </c>
      <c r="R639">
        <v>1</v>
      </c>
      <c r="S639" s="6">
        <v>1556</v>
      </c>
      <c r="T639">
        <v>0</v>
      </c>
      <c r="U639" s="6">
        <v>1182</v>
      </c>
      <c r="V639">
        <v>0</v>
      </c>
      <c r="W639">
        <v>0</v>
      </c>
      <c r="X639">
        <v>0</v>
      </c>
      <c r="Y639" s="6">
        <v>50.5</v>
      </c>
      <c r="Z639">
        <v>1E-3</v>
      </c>
      <c r="AA639">
        <v>3.1E-2</v>
      </c>
      <c r="AB639">
        <v>7.0000000000000007E-2</v>
      </c>
      <c r="AC639">
        <v>6</v>
      </c>
      <c r="AD639" s="6">
        <v>50</v>
      </c>
      <c r="AE639" s="6">
        <v>25</v>
      </c>
      <c r="AF639" s="6">
        <v>0</v>
      </c>
      <c r="AG639" s="6">
        <v>56.43</v>
      </c>
      <c r="AH639" s="6">
        <v>73.819999999999993</v>
      </c>
      <c r="AI639" s="6">
        <f t="shared" si="18"/>
        <v>17.389999999999993</v>
      </c>
      <c r="AJ639" s="5">
        <f t="shared" si="19"/>
        <v>0.23557301544296932</v>
      </c>
    </row>
    <row r="640" spans="1:36">
      <c r="A640" t="s">
        <v>501</v>
      </c>
      <c r="B640" t="s">
        <v>925</v>
      </c>
      <c r="C640" t="s">
        <v>73</v>
      </c>
      <c r="D640" t="s">
        <v>63</v>
      </c>
      <c r="E640" t="s">
        <v>55</v>
      </c>
      <c r="F640">
        <v>0</v>
      </c>
      <c r="G640">
        <v>2364</v>
      </c>
      <c r="H640">
        <v>1</v>
      </c>
      <c r="I640" t="s">
        <v>173</v>
      </c>
      <c r="J640">
        <v>1</v>
      </c>
      <c r="K640" s="6">
        <v>1.64</v>
      </c>
      <c r="L640" t="s">
        <v>174</v>
      </c>
      <c r="M640">
        <v>0</v>
      </c>
      <c r="N640" t="s">
        <v>272</v>
      </c>
      <c r="O640">
        <v>5</v>
      </c>
      <c r="P640">
        <v>1</v>
      </c>
      <c r="Q640" s="6">
        <v>290.8</v>
      </c>
      <c r="R640">
        <v>0</v>
      </c>
      <c r="S640" s="6">
        <v>0</v>
      </c>
      <c r="T640">
        <v>0</v>
      </c>
      <c r="U640" s="6">
        <v>830</v>
      </c>
      <c r="V640">
        <v>0</v>
      </c>
      <c r="W640">
        <v>0</v>
      </c>
      <c r="X640">
        <v>0</v>
      </c>
      <c r="Y640" s="6">
        <v>50.5</v>
      </c>
      <c r="Z640">
        <v>1E-3</v>
      </c>
      <c r="AA640">
        <v>3.1E-2</v>
      </c>
      <c r="AB640">
        <v>7.0000000000000007E-2</v>
      </c>
      <c r="AC640">
        <v>6</v>
      </c>
      <c r="AD640" s="6">
        <v>50</v>
      </c>
      <c r="AE640" s="6">
        <v>0</v>
      </c>
      <c r="AF640" s="6">
        <v>0</v>
      </c>
      <c r="AG640" s="6">
        <v>151.26</v>
      </c>
      <c r="AH640" s="6">
        <v>189.17</v>
      </c>
      <c r="AI640" s="6">
        <f t="shared" si="18"/>
        <v>37.909999999999997</v>
      </c>
      <c r="AJ640" s="5">
        <f t="shared" si="19"/>
        <v>0.20040175503515356</v>
      </c>
    </row>
    <row r="641" spans="1:36">
      <c r="A641" t="s">
        <v>188</v>
      </c>
      <c r="B641" t="s">
        <v>926</v>
      </c>
      <c r="C641" t="s">
        <v>73</v>
      </c>
      <c r="D641" t="s">
        <v>63</v>
      </c>
      <c r="E641" t="s">
        <v>55</v>
      </c>
      <c r="F641">
        <v>0</v>
      </c>
      <c r="G641">
        <v>2364</v>
      </c>
      <c r="H641">
        <v>1</v>
      </c>
      <c r="I641" t="s">
        <v>173</v>
      </c>
      <c r="J641">
        <v>1</v>
      </c>
      <c r="K641" s="6">
        <v>2.2000000000000002</v>
      </c>
      <c r="L641" t="s">
        <v>174</v>
      </c>
      <c r="M641">
        <v>0</v>
      </c>
      <c r="N641" t="s">
        <v>175</v>
      </c>
      <c r="O641">
        <v>1</v>
      </c>
      <c r="P641">
        <v>0</v>
      </c>
      <c r="Q641" s="6">
        <v>24.5</v>
      </c>
      <c r="R641">
        <v>1</v>
      </c>
      <c r="S641" s="6">
        <v>527</v>
      </c>
      <c r="T641">
        <v>0</v>
      </c>
      <c r="U641" s="6">
        <v>692</v>
      </c>
      <c r="V641">
        <v>0</v>
      </c>
      <c r="W641">
        <v>0</v>
      </c>
      <c r="X641">
        <v>0</v>
      </c>
      <c r="Y641" s="6">
        <v>50.5</v>
      </c>
      <c r="Z641">
        <v>1E-3</v>
      </c>
      <c r="AA641">
        <v>3.1E-2</v>
      </c>
      <c r="AB641">
        <v>7.0000000000000007E-2</v>
      </c>
      <c r="AC641">
        <v>6</v>
      </c>
      <c r="AD641" s="6">
        <v>50</v>
      </c>
      <c r="AE641" s="6">
        <v>25</v>
      </c>
      <c r="AF641" s="6">
        <v>0</v>
      </c>
      <c r="AG641" s="6">
        <v>52.32</v>
      </c>
      <c r="AH641" s="6">
        <v>67.66</v>
      </c>
      <c r="AI641" s="6">
        <f t="shared" si="18"/>
        <v>15.339999999999996</v>
      </c>
      <c r="AJ641" s="5">
        <f t="shared" si="19"/>
        <v>0.2267218445167011</v>
      </c>
    </row>
    <row r="642" spans="1:36">
      <c r="A642" t="s">
        <v>247</v>
      </c>
      <c r="B642" t="s">
        <v>927</v>
      </c>
      <c r="C642" t="s">
        <v>73</v>
      </c>
      <c r="D642" t="s">
        <v>63</v>
      </c>
      <c r="E642" t="s">
        <v>55</v>
      </c>
      <c r="F642">
        <v>0</v>
      </c>
      <c r="G642">
        <v>2364</v>
      </c>
      <c r="H642">
        <v>1</v>
      </c>
      <c r="I642" t="s">
        <v>173</v>
      </c>
      <c r="J642">
        <v>1</v>
      </c>
      <c r="K642" s="6">
        <v>1.38</v>
      </c>
      <c r="L642" t="s">
        <v>174</v>
      </c>
      <c r="M642">
        <v>0</v>
      </c>
      <c r="N642" t="s">
        <v>187</v>
      </c>
      <c r="O642">
        <v>2</v>
      </c>
      <c r="P642">
        <v>0</v>
      </c>
      <c r="Q642" s="6">
        <v>31.4</v>
      </c>
      <c r="R642">
        <v>0</v>
      </c>
      <c r="S642" s="6">
        <v>0</v>
      </c>
      <c r="T642">
        <v>0</v>
      </c>
      <c r="U642" s="6">
        <v>553</v>
      </c>
      <c r="V642">
        <v>0</v>
      </c>
      <c r="W642">
        <v>0</v>
      </c>
      <c r="X642">
        <v>0</v>
      </c>
      <c r="Y642" s="6">
        <v>50.5</v>
      </c>
      <c r="Z642">
        <v>1E-3</v>
      </c>
      <c r="AA642">
        <v>3.1E-2</v>
      </c>
      <c r="AB642">
        <v>7.0000000000000007E-2</v>
      </c>
      <c r="AC642">
        <v>6</v>
      </c>
      <c r="AD642" s="6">
        <v>50</v>
      </c>
      <c r="AE642" s="6">
        <v>0</v>
      </c>
      <c r="AF642" s="6">
        <v>0</v>
      </c>
      <c r="AG642" s="6">
        <v>53.72</v>
      </c>
      <c r="AH642" s="6">
        <v>70.03</v>
      </c>
      <c r="AI642" s="6">
        <f t="shared" ref="AI642:AI705" si="20">AH642-AG642</f>
        <v>16.310000000000002</v>
      </c>
      <c r="AJ642" s="5">
        <f t="shared" ref="AJ642:AJ705" si="21">IFERROR(AI642/AH642,0)</f>
        <v>0.232900185634728</v>
      </c>
    </row>
    <row r="643" spans="1:36">
      <c r="A643" t="s">
        <v>212</v>
      </c>
      <c r="B643" t="s">
        <v>928</v>
      </c>
      <c r="C643" t="s">
        <v>73</v>
      </c>
      <c r="D643" t="s">
        <v>63</v>
      </c>
      <c r="E643" t="s">
        <v>55</v>
      </c>
      <c r="F643">
        <v>0</v>
      </c>
      <c r="G643">
        <v>2364</v>
      </c>
      <c r="H643">
        <v>1</v>
      </c>
      <c r="I643" t="s">
        <v>173</v>
      </c>
      <c r="J643">
        <v>1</v>
      </c>
      <c r="K643" s="6">
        <v>1.25</v>
      </c>
      <c r="L643" t="s">
        <v>174</v>
      </c>
      <c r="M643">
        <v>0</v>
      </c>
      <c r="N643" t="s">
        <v>175</v>
      </c>
      <c r="O643">
        <v>1</v>
      </c>
      <c r="P643">
        <v>0</v>
      </c>
      <c r="Q643" s="6">
        <v>52.5</v>
      </c>
      <c r="R643">
        <v>0</v>
      </c>
      <c r="S643" s="6">
        <v>0</v>
      </c>
      <c r="T643">
        <v>0</v>
      </c>
      <c r="U643" s="6">
        <v>1350</v>
      </c>
      <c r="V643">
        <v>0</v>
      </c>
      <c r="W643">
        <v>0</v>
      </c>
      <c r="X643">
        <v>0</v>
      </c>
      <c r="Y643" s="6">
        <v>50.5</v>
      </c>
      <c r="Z643">
        <v>1E-3</v>
      </c>
      <c r="AA643">
        <v>3.1E-2</v>
      </c>
      <c r="AB643">
        <v>7.0000000000000007E-2</v>
      </c>
      <c r="AC643">
        <v>6</v>
      </c>
      <c r="AD643" s="6">
        <v>50</v>
      </c>
      <c r="AE643" s="6">
        <v>0</v>
      </c>
      <c r="AF643" s="6">
        <v>0</v>
      </c>
      <c r="AG643" s="6">
        <v>50.27</v>
      </c>
      <c r="AH643" s="6">
        <v>64.83</v>
      </c>
      <c r="AI643" s="6">
        <f t="shared" si="20"/>
        <v>14.559999999999995</v>
      </c>
      <c r="AJ643" s="5">
        <f t="shared" si="21"/>
        <v>0.22458738238469839</v>
      </c>
    </row>
    <row r="644" spans="1:36">
      <c r="A644" t="s">
        <v>183</v>
      </c>
      <c r="B644" t="s">
        <v>929</v>
      </c>
      <c r="C644" t="s">
        <v>73</v>
      </c>
      <c r="D644" t="s">
        <v>63</v>
      </c>
      <c r="E644" t="s">
        <v>55</v>
      </c>
      <c r="F644">
        <v>0</v>
      </c>
      <c r="G644">
        <v>2364</v>
      </c>
      <c r="H644">
        <v>1</v>
      </c>
      <c r="I644" t="s">
        <v>220</v>
      </c>
      <c r="J644">
        <v>2</v>
      </c>
      <c r="K644" s="6">
        <v>4.04</v>
      </c>
      <c r="L644" t="s">
        <v>174</v>
      </c>
      <c r="M644">
        <v>0</v>
      </c>
      <c r="N644" t="s">
        <v>182</v>
      </c>
      <c r="O644">
        <v>3</v>
      </c>
      <c r="P644">
        <v>0</v>
      </c>
      <c r="Q644" s="6">
        <v>94.8</v>
      </c>
      <c r="R644">
        <v>0</v>
      </c>
      <c r="S644" s="6">
        <v>0</v>
      </c>
      <c r="T644">
        <v>0</v>
      </c>
      <c r="U644" s="6">
        <v>897</v>
      </c>
      <c r="V644">
        <v>0</v>
      </c>
      <c r="W644">
        <v>0</v>
      </c>
      <c r="X644">
        <v>0</v>
      </c>
      <c r="Y644" s="6">
        <v>50.5</v>
      </c>
      <c r="Z644">
        <v>1E-3</v>
      </c>
      <c r="AA644">
        <v>3.1E-2</v>
      </c>
      <c r="AB644">
        <v>7.0000000000000007E-2</v>
      </c>
      <c r="AC644">
        <v>6</v>
      </c>
      <c r="AD644" s="6">
        <v>50</v>
      </c>
      <c r="AE644" s="6">
        <v>0</v>
      </c>
      <c r="AF644" s="6">
        <v>0</v>
      </c>
      <c r="AG644" s="6">
        <v>66.489999999999995</v>
      </c>
      <c r="AH644" s="6">
        <v>83.88</v>
      </c>
      <c r="AI644" s="6">
        <f t="shared" si="20"/>
        <v>17.39</v>
      </c>
      <c r="AJ644" s="5">
        <f t="shared" si="21"/>
        <v>0.20731998092513115</v>
      </c>
    </row>
    <row r="645" spans="1:36">
      <c r="A645" t="s">
        <v>288</v>
      </c>
      <c r="B645" t="s">
        <v>930</v>
      </c>
      <c r="C645" t="s">
        <v>73</v>
      </c>
      <c r="D645" t="s">
        <v>63</v>
      </c>
      <c r="E645" t="s">
        <v>55</v>
      </c>
      <c r="F645">
        <v>0</v>
      </c>
      <c r="G645">
        <v>2364</v>
      </c>
      <c r="H645">
        <v>1</v>
      </c>
      <c r="I645" t="s">
        <v>173</v>
      </c>
      <c r="J645">
        <v>1</v>
      </c>
      <c r="K645" s="6">
        <v>2.38</v>
      </c>
      <c r="L645" t="s">
        <v>174</v>
      </c>
      <c r="M645">
        <v>0</v>
      </c>
      <c r="N645" t="s">
        <v>175</v>
      </c>
      <c r="O645">
        <v>1</v>
      </c>
      <c r="P645">
        <v>0</v>
      </c>
      <c r="Q645" s="6">
        <v>10.6</v>
      </c>
      <c r="R645">
        <v>1</v>
      </c>
      <c r="S645" s="6">
        <v>893</v>
      </c>
      <c r="T645">
        <v>0</v>
      </c>
      <c r="U645" s="6">
        <v>2472</v>
      </c>
      <c r="V645">
        <v>0</v>
      </c>
      <c r="W645">
        <v>0</v>
      </c>
      <c r="X645">
        <v>0</v>
      </c>
      <c r="Y645" s="6">
        <v>50.5</v>
      </c>
      <c r="Z645">
        <v>1E-3</v>
      </c>
      <c r="AA645">
        <v>3.1E-2</v>
      </c>
      <c r="AB645">
        <v>7.0000000000000007E-2</v>
      </c>
      <c r="AC645">
        <v>6</v>
      </c>
      <c r="AD645" s="6">
        <v>50</v>
      </c>
      <c r="AE645" s="6">
        <v>25</v>
      </c>
      <c r="AF645" s="6">
        <v>0</v>
      </c>
      <c r="AG645" s="6">
        <v>46.37</v>
      </c>
      <c r="AH645" s="6">
        <v>61.18</v>
      </c>
      <c r="AI645" s="6">
        <f t="shared" si="20"/>
        <v>14.810000000000002</v>
      </c>
      <c r="AJ645" s="5">
        <f t="shared" si="21"/>
        <v>0.24207257273618835</v>
      </c>
    </row>
    <row r="646" spans="1:36">
      <c r="A646" t="s">
        <v>478</v>
      </c>
      <c r="B646" t="s">
        <v>931</v>
      </c>
      <c r="C646" t="s">
        <v>73</v>
      </c>
      <c r="D646" t="s">
        <v>63</v>
      </c>
      <c r="E646" t="s">
        <v>55</v>
      </c>
      <c r="F646">
        <v>0</v>
      </c>
      <c r="G646">
        <v>2364</v>
      </c>
      <c r="H646">
        <v>1</v>
      </c>
      <c r="I646" t="s">
        <v>173</v>
      </c>
      <c r="J646">
        <v>1</v>
      </c>
      <c r="K646" s="6">
        <v>1.1499999999999999</v>
      </c>
      <c r="L646" t="s">
        <v>174</v>
      </c>
      <c r="M646">
        <v>0</v>
      </c>
      <c r="N646" t="s">
        <v>182</v>
      </c>
      <c r="O646">
        <v>3</v>
      </c>
      <c r="P646">
        <v>0</v>
      </c>
      <c r="Q646" s="6">
        <v>93.1</v>
      </c>
      <c r="R646">
        <v>1</v>
      </c>
      <c r="S646" s="6">
        <v>2350</v>
      </c>
      <c r="T646">
        <v>0</v>
      </c>
      <c r="U646" s="6">
        <v>5553</v>
      </c>
      <c r="V646">
        <v>0</v>
      </c>
      <c r="W646">
        <v>0</v>
      </c>
      <c r="X646">
        <v>0</v>
      </c>
      <c r="Y646" s="6">
        <v>50.5</v>
      </c>
      <c r="Z646">
        <v>1E-3</v>
      </c>
      <c r="AA646">
        <v>3.1E-2</v>
      </c>
      <c r="AB646">
        <v>7.0000000000000007E-2</v>
      </c>
      <c r="AC646">
        <v>6</v>
      </c>
      <c r="AD646" s="6">
        <v>50</v>
      </c>
      <c r="AE646" s="6">
        <v>40</v>
      </c>
      <c r="AF646" s="6">
        <v>0</v>
      </c>
      <c r="AG646" s="6">
        <v>70.87</v>
      </c>
      <c r="AH646" s="6">
        <v>91.26</v>
      </c>
      <c r="AI646" s="6">
        <f t="shared" si="20"/>
        <v>20.39</v>
      </c>
      <c r="AJ646" s="5">
        <f t="shared" si="21"/>
        <v>0.22342756958141574</v>
      </c>
    </row>
    <row r="647" spans="1:36">
      <c r="A647" t="s">
        <v>284</v>
      </c>
      <c r="B647" t="s">
        <v>932</v>
      </c>
      <c r="C647" t="s">
        <v>73</v>
      </c>
      <c r="D647" t="s">
        <v>63</v>
      </c>
      <c r="E647" t="s">
        <v>55</v>
      </c>
      <c r="F647">
        <v>0</v>
      </c>
      <c r="G647">
        <v>2364</v>
      </c>
      <c r="H647">
        <v>1</v>
      </c>
      <c r="I647" t="s">
        <v>173</v>
      </c>
      <c r="J647">
        <v>1</v>
      </c>
      <c r="K647" s="6">
        <v>1.31</v>
      </c>
      <c r="L647" t="s">
        <v>174</v>
      </c>
      <c r="M647">
        <v>0</v>
      </c>
      <c r="N647" t="s">
        <v>187</v>
      </c>
      <c r="O647">
        <v>2</v>
      </c>
      <c r="P647">
        <v>0</v>
      </c>
      <c r="Q647" s="6">
        <v>53</v>
      </c>
      <c r="R647">
        <v>1</v>
      </c>
      <c r="S647" s="6">
        <v>733</v>
      </c>
      <c r="T647">
        <v>0</v>
      </c>
      <c r="U647" s="6">
        <v>1546</v>
      </c>
      <c r="V647">
        <v>0</v>
      </c>
      <c r="W647">
        <v>0</v>
      </c>
      <c r="X647">
        <v>0</v>
      </c>
      <c r="Y647" s="6">
        <v>50.5</v>
      </c>
      <c r="Z647">
        <v>1E-3</v>
      </c>
      <c r="AA647">
        <v>3.1E-2</v>
      </c>
      <c r="AB647">
        <v>7.0000000000000007E-2</v>
      </c>
      <c r="AC647">
        <v>6</v>
      </c>
      <c r="AD647" s="6">
        <v>50</v>
      </c>
      <c r="AE647" s="6">
        <v>25</v>
      </c>
      <c r="AF647" s="6">
        <v>0</v>
      </c>
      <c r="AG647" s="6">
        <v>59.11</v>
      </c>
      <c r="AH647" s="6">
        <v>78.7</v>
      </c>
      <c r="AI647" s="6">
        <f t="shared" si="20"/>
        <v>19.590000000000003</v>
      </c>
      <c r="AJ647" s="5">
        <f t="shared" si="21"/>
        <v>0.24891994917407881</v>
      </c>
    </row>
    <row r="648" spans="1:36">
      <c r="A648" t="s">
        <v>512</v>
      </c>
      <c r="B648" t="s">
        <v>933</v>
      </c>
      <c r="C648" t="s">
        <v>73</v>
      </c>
      <c r="D648" t="s">
        <v>63</v>
      </c>
      <c r="E648" t="s">
        <v>55</v>
      </c>
      <c r="F648">
        <v>0</v>
      </c>
      <c r="G648">
        <v>2364</v>
      </c>
      <c r="H648">
        <v>1</v>
      </c>
      <c r="I648" t="s">
        <v>173</v>
      </c>
      <c r="J648">
        <v>1</v>
      </c>
      <c r="K648" s="6">
        <v>1.27</v>
      </c>
      <c r="L648" t="s">
        <v>174</v>
      </c>
      <c r="M648">
        <v>0</v>
      </c>
      <c r="N648" t="s">
        <v>182</v>
      </c>
      <c r="O648">
        <v>3</v>
      </c>
      <c r="P648">
        <v>0</v>
      </c>
      <c r="Q648" s="6">
        <v>87.6</v>
      </c>
      <c r="R648">
        <v>0</v>
      </c>
      <c r="S648" s="6">
        <v>0</v>
      </c>
      <c r="T648">
        <v>0</v>
      </c>
      <c r="U648" s="6">
        <v>510</v>
      </c>
      <c r="V648">
        <v>0</v>
      </c>
      <c r="W648">
        <v>0</v>
      </c>
      <c r="X648">
        <v>0</v>
      </c>
      <c r="Y648" s="6">
        <v>50.5</v>
      </c>
      <c r="Z648">
        <v>1E-3</v>
      </c>
      <c r="AA648">
        <v>3.1E-2</v>
      </c>
      <c r="AB648">
        <v>7.0000000000000007E-2</v>
      </c>
      <c r="AC648">
        <v>6</v>
      </c>
      <c r="AD648" s="6">
        <v>50</v>
      </c>
      <c r="AE648" s="6">
        <v>0</v>
      </c>
      <c r="AF648" s="6">
        <v>0</v>
      </c>
      <c r="AG648" s="6">
        <v>60.26</v>
      </c>
      <c r="AH648" s="6">
        <v>78.53</v>
      </c>
      <c r="AI648" s="6">
        <f t="shared" si="20"/>
        <v>18.270000000000003</v>
      </c>
      <c r="AJ648" s="5">
        <f t="shared" si="21"/>
        <v>0.23264994269705849</v>
      </c>
    </row>
    <row r="649" spans="1:36">
      <c r="A649" t="s">
        <v>253</v>
      </c>
      <c r="B649" t="s">
        <v>934</v>
      </c>
      <c r="C649" t="s">
        <v>73</v>
      </c>
      <c r="D649" t="s">
        <v>63</v>
      </c>
      <c r="E649" t="s">
        <v>55</v>
      </c>
      <c r="F649">
        <v>0</v>
      </c>
      <c r="G649">
        <v>2364</v>
      </c>
      <c r="H649">
        <v>1</v>
      </c>
      <c r="I649" t="s">
        <v>173</v>
      </c>
      <c r="J649">
        <v>1</v>
      </c>
      <c r="K649" s="6">
        <v>1.02</v>
      </c>
      <c r="L649" t="s">
        <v>174</v>
      </c>
      <c r="M649">
        <v>0</v>
      </c>
      <c r="N649" t="s">
        <v>187</v>
      </c>
      <c r="O649">
        <v>2</v>
      </c>
      <c r="P649">
        <v>0</v>
      </c>
      <c r="Q649" s="6">
        <v>60.4</v>
      </c>
      <c r="R649">
        <v>0</v>
      </c>
      <c r="S649" s="6">
        <v>0</v>
      </c>
      <c r="T649">
        <v>0</v>
      </c>
      <c r="U649" s="6">
        <v>1830</v>
      </c>
      <c r="V649">
        <v>0</v>
      </c>
      <c r="W649">
        <v>0</v>
      </c>
      <c r="X649">
        <v>0</v>
      </c>
      <c r="Y649" s="6">
        <v>50.5</v>
      </c>
      <c r="Z649">
        <v>1E-3</v>
      </c>
      <c r="AA649">
        <v>3.1E-2</v>
      </c>
      <c r="AB649">
        <v>7.0000000000000007E-2</v>
      </c>
      <c r="AC649">
        <v>6</v>
      </c>
      <c r="AD649" s="6">
        <v>50</v>
      </c>
      <c r="AE649" s="6">
        <v>0</v>
      </c>
      <c r="AF649" s="6">
        <v>0</v>
      </c>
      <c r="AG649" s="6">
        <v>52.8</v>
      </c>
      <c r="AH649" s="6">
        <v>66.27</v>
      </c>
      <c r="AI649" s="6">
        <f t="shared" si="20"/>
        <v>13.469999999999999</v>
      </c>
      <c r="AJ649" s="5">
        <f t="shared" si="21"/>
        <v>0.2032593933906745</v>
      </c>
    </row>
    <row r="650" spans="1:36">
      <c r="A650" t="s">
        <v>198</v>
      </c>
      <c r="B650" t="s">
        <v>935</v>
      </c>
      <c r="C650" t="s">
        <v>73</v>
      </c>
      <c r="D650" t="s">
        <v>63</v>
      </c>
      <c r="E650" t="s">
        <v>55</v>
      </c>
      <c r="F650">
        <v>0</v>
      </c>
      <c r="G650">
        <v>2364</v>
      </c>
      <c r="H650">
        <v>1</v>
      </c>
      <c r="I650" t="s">
        <v>173</v>
      </c>
      <c r="J650">
        <v>1</v>
      </c>
      <c r="K650" s="6">
        <v>3.12</v>
      </c>
      <c r="L650" t="s">
        <v>174</v>
      </c>
      <c r="M650">
        <v>0</v>
      </c>
      <c r="N650" t="s">
        <v>182</v>
      </c>
      <c r="O650">
        <v>3</v>
      </c>
      <c r="P650">
        <v>0</v>
      </c>
      <c r="Q650" s="6">
        <v>127.9</v>
      </c>
      <c r="R650">
        <v>1</v>
      </c>
      <c r="S650" s="6">
        <v>4403</v>
      </c>
      <c r="T650">
        <v>0</v>
      </c>
      <c r="U650" s="6">
        <v>1321</v>
      </c>
      <c r="V650">
        <v>0</v>
      </c>
      <c r="W650">
        <v>0</v>
      </c>
      <c r="X650">
        <v>0</v>
      </c>
      <c r="Y650" s="6">
        <v>50.5</v>
      </c>
      <c r="Z650">
        <v>1E-3</v>
      </c>
      <c r="AA650">
        <v>3.1E-2</v>
      </c>
      <c r="AB650">
        <v>7.0000000000000007E-2</v>
      </c>
      <c r="AC650">
        <v>6</v>
      </c>
      <c r="AD650" s="6">
        <v>50</v>
      </c>
      <c r="AE650" s="6">
        <v>40</v>
      </c>
      <c r="AF650" s="6">
        <v>0</v>
      </c>
      <c r="AG650" s="6">
        <v>74.150000000000006</v>
      </c>
      <c r="AH650" s="6">
        <v>92.73</v>
      </c>
      <c r="AI650" s="6">
        <f t="shared" si="20"/>
        <v>18.579999999999998</v>
      </c>
      <c r="AJ650" s="5">
        <f t="shared" si="21"/>
        <v>0.20036665588267008</v>
      </c>
    </row>
    <row r="651" spans="1:36">
      <c r="A651" t="s">
        <v>303</v>
      </c>
      <c r="B651" t="s">
        <v>936</v>
      </c>
      <c r="C651" t="s">
        <v>73</v>
      </c>
      <c r="D651" t="s">
        <v>63</v>
      </c>
      <c r="E651" t="s">
        <v>55</v>
      </c>
      <c r="F651">
        <v>0</v>
      </c>
      <c r="G651">
        <v>2364</v>
      </c>
      <c r="H651">
        <v>1</v>
      </c>
      <c r="I651" t="s">
        <v>173</v>
      </c>
      <c r="J651">
        <v>1</v>
      </c>
      <c r="K651" s="6">
        <v>2.35</v>
      </c>
      <c r="L651" t="s">
        <v>174</v>
      </c>
      <c r="M651">
        <v>0</v>
      </c>
      <c r="N651" t="s">
        <v>187</v>
      </c>
      <c r="O651">
        <v>2</v>
      </c>
      <c r="P651">
        <v>0</v>
      </c>
      <c r="Q651" s="6">
        <v>42.2</v>
      </c>
      <c r="R651">
        <v>0</v>
      </c>
      <c r="S651" s="6">
        <v>0</v>
      </c>
      <c r="T651">
        <v>0</v>
      </c>
      <c r="U651" s="6">
        <v>1071</v>
      </c>
      <c r="V651">
        <v>0</v>
      </c>
      <c r="W651">
        <v>0</v>
      </c>
      <c r="X651">
        <v>0</v>
      </c>
      <c r="Y651" s="6">
        <v>50.5</v>
      </c>
      <c r="Z651">
        <v>1E-3</v>
      </c>
      <c r="AA651">
        <v>3.1E-2</v>
      </c>
      <c r="AB651">
        <v>7.0000000000000007E-2</v>
      </c>
      <c r="AC651">
        <v>6</v>
      </c>
      <c r="AD651" s="6">
        <v>50</v>
      </c>
      <c r="AE651" s="6">
        <v>0</v>
      </c>
      <c r="AF651" s="6">
        <v>0</v>
      </c>
      <c r="AG651" s="6">
        <v>50.9</v>
      </c>
      <c r="AH651" s="6">
        <v>64.47</v>
      </c>
      <c r="AI651" s="6">
        <f t="shared" si="20"/>
        <v>13.57</v>
      </c>
      <c r="AJ651" s="5">
        <f t="shared" si="21"/>
        <v>0.21048549713044828</v>
      </c>
    </row>
    <row r="652" spans="1:36">
      <c r="A652" t="s">
        <v>372</v>
      </c>
      <c r="B652" t="s">
        <v>937</v>
      </c>
      <c r="C652" t="s">
        <v>73</v>
      </c>
      <c r="D652" t="s">
        <v>63</v>
      </c>
      <c r="E652" t="s">
        <v>55</v>
      </c>
      <c r="F652">
        <v>0</v>
      </c>
      <c r="G652">
        <v>2364</v>
      </c>
      <c r="H652">
        <v>1</v>
      </c>
      <c r="I652" t="s">
        <v>173</v>
      </c>
      <c r="J652">
        <v>1</v>
      </c>
      <c r="K652" s="6">
        <v>2.02</v>
      </c>
      <c r="L652" t="s">
        <v>174</v>
      </c>
      <c r="M652">
        <v>0</v>
      </c>
      <c r="N652" t="s">
        <v>182</v>
      </c>
      <c r="O652">
        <v>3</v>
      </c>
      <c r="P652">
        <v>0</v>
      </c>
      <c r="Q652" s="6">
        <v>56.8</v>
      </c>
      <c r="R652">
        <v>0</v>
      </c>
      <c r="S652" s="6">
        <v>0</v>
      </c>
      <c r="T652">
        <v>0</v>
      </c>
      <c r="U652" s="6">
        <v>3116</v>
      </c>
      <c r="V652">
        <v>0</v>
      </c>
      <c r="W652">
        <v>0</v>
      </c>
      <c r="X652">
        <v>0</v>
      </c>
      <c r="Y652" s="6">
        <v>50.5</v>
      </c>
      <c r="Z652">
        <v>1E-3</v>
      </c>
      <c r="AA652">
        <v>3.1E-2</v>
      </c>
      <c r="AB652">
        <v>7.0000000000000007E-2</v>
      </c>
      <c r="AC652">
        <v>6</v>
      </c>
      <c r="AD652" s="6">
        <v>50</v>
      </c>
      <c r="AE652" s="6">
        <v>0</v>
      </c>
      <c r="AF652" s="6">
        <v>0</v>
      </c>
      <c r="AG652" s="6">
        <v>58.65</v>
      </c>
      <c r="AH652" s="6">
        <v>74.22</v>
      </c>
      <c r="AI652" s="6">
        <f t="shared" si="20"/>
        <v>15.57</v>
      </c>
      <c r="AJ652" s="5">
        <f t="shared" si="21"/>
        <v>0.20978172999191594</v>
      </c>
    </row>
    <row r="653" spans="1:36">
      <c r="A653" t="s">
        <v>284</v>
      </c>
      <c r="B653" t="s">
        <v>938</v>
      </c>
      <c r="C653" t="s">
        <v>73</v>
      </c>
      <c r="D653" t="s">
        <v>63</v>
      </c>
      <c r="E653" t="s">
        <v>55</v>
      </c>
      <c r="F653">
        <v>0</v>
      </c>
      <c r="G653">
        <v>2364</v>
      </c>
      <c r="H653">
        <v>1</v>
      </c>
      <c r="I653" t="s">
        <v>173</v>
      </c>
      <c r="J653">
        <v>1</v>
      </c>
      <c r="K653" s="6">
        <v>1.5</v>
      </c>
      <c r="L653" t="s">
        <v>174</v>
      </c>
      <c r="M653">
        <v>0</v>
      </c>
      <c r="N653" t="s">
        <v>187</v>
      </c>
      <c r="O653">
        <v>2</v>
      </c>
      <c r="P653">
        <v>0</v>
      </c>
      <c r="Q653" s="6">
        <v>50</v>
      </c>
      <c r="R653">
        <v>0</v>
      </c>
      <c r="S653" s="6">
        <v>0</v>
      </c>
      <c r="T653">
        <v>0</v>
      </c>
      <c r="U653" s="6">
        <v>605</v>
      </c>
      <c r="V653">
        <v>0</v>
      </c>
      <c r="W653">
        <v>0</v>
      </c>
      <c r="X653">
        <v>0</v>
      </c>
      <c r="Y653" s="6">
        <v>50.5</v>
      </c>
      <c r="Z653">
        <v>1E-3</v>
      </c>
      <c r="AA653">
        <v>3.1E-2</v>
      </c>
      <c r="AB653">
        <v>7.0000000000000007E-2</v>
      </c>
      <c r="AC653">
        <v>6</v>
      </c>
      <c r="AD653" s="6">
        <v>50</v>
      </c>
      <c r="AE653" s="6">
        <v>0</v>
      </c>
      <c r="AF653" s="6">
        <v>0</v>
      </c>
      <c r="AG653" s="6">
        <v>53.33</v>
      </c>
      <c r="AH653" s="6">
        <v>70.5</v>
      </c>
      <c r="AI653" s="6">
        <f t="shared" si="20"/>
        <v>17.170000000000002</v>
      </c>
      <c r="AJ653" s="5">
        <f t="shared" si="21"/>
        <v>0.24354609929078017</v>
      </c>
    </row>
    <row r="654" spans="1:36">
      <c r="A654" t="s">
        <v>176</v>
      </c>
      <c r="B654" t="s">
        <v>939</v>
      </c>
      <c r="C654" t="s">
        <v>73</v>
      </c>
      <c r="D654" t="s">
        <v>63</v>
      </c>
      <c r="E654" t="s">
        <v>55</v>
      </c>
      <c r="F654">
        <v>0</v>
      </c>
      <c r="G654">
        <v>2364</v>
      </c>
      <c r="H654">
        <v>1</v>
      </c>
      <c r="I654" t="s">
        <v>173</v>
      </c>
      <c r="J654">
        <v>1</v>
      </c>
      <c r="K654" s="6">
        <v>2.4</v>
      </c>
      <c r="L654" t="s">
        <v>174</v>
      </c>
      <c r="M654">
        <v>0</v>
      </c>
      <c r="N654" t="s">
        <v>187</v>
      </c>
      <c r="O654">
        <v>2</v>
      </c>
      <c r="P654">
        <v>0</v>
      </c>
      <c r="Q654" s="6">
        <v>45.5</v>
      </c>
      <c r="R654">
        <v>0</v>
      </c>
      <c r="S654" s="6">
        <v>0</v>
      </c>
      <c r="T654">
        <v>0</v>
      </c>
      <c r="U654" s="6">
        <v>436</v>
      </c>
      <c r="V654">
        <v>0</v>
      </c>
      <c r="W654">
        <v>0</v>
      </c>
      <c r="X654">
        <v>0</v>
      </c>
      <c r="Y654" s="6">
        <v>50.5</v>
      </c>
      <c r="Z654">
        <v>1E-3</v>
      </c>
      <c r="AA654">
        <v>3.1E-2</v>
      </c>
      <c r="AB654">
        <v>7.0000000000000007E-2</v>
      </c>
      <c r="AC654">
        <v>6</v>
      </c>
      <c r="AD654" s="6">
        <v>50</v>
      </c>
      <c r="AE654" s="6">
        <v>0</v>
      </c>
      <c r="AF654" s="6">
        <v>0</v>
      </c>
      <c r="AG654" s="6">
        <v>49.91</v>
      </c>
      <c r="AH654" s="6">
        <v>66.099999999999994</v>
      </c>
      <c r="AI654" s="6">
        <f t="shared" si="20"/>
        <v>16.189999999999998</v>
      </c>
      <c r="AJ654" s="5">
        <f t="shared" si="21"/>
        <v>0.24493192133131617</v>
      </c>
    </row>
    <row r="655" spans="1:36">
      <c r="A655" t="s">
        <v>691</v>
      </c>
      <c r="B655" t="s">
        <v>940</v>
      </c>
      <c r="C655" t="s">
        <v>73</v>
      </c>
      <c r="D655" t="s">
        <v>63</v>
      </c>
      <c r="E655" t="s">
        <v>55</v>
      </c>
      <c r="F655">
        <v>0</v>
      </c>
      <c r="G655">
        <v>2364</v>
      </c>
      <c r="H655">
        <v>1</v>
      </c>
      <c r="I655" t="s">
        <v>173</v>
      </c>
      <c r="J655">
        <v>1</v>
      </c>
      <c r="K655" s="6">
        <v>1.97</v>
      </c>
      <c r="L655" t="s">
        <v>174</v>
      </c>
      <c r="M655">
        <v>0</v>
      </c>
      <c r="N655" t="s">
        <v>217</v>
      </c>
      <c r="O655">
        <v>4</v>
      </c>
      <c r="P655">
        <v>1</v>
      </c>
      <c r="Q655" s="6">
        <v>171.3</v>
      </c>
      <c r="R655">
        <v>1</v>
      </c>
      <c r="S655" s="6">
        <v>5087</v>
      </c>
      <c r="T655">
        <v>0</v>
      </c>
      <c r="U655" s="6">
        <v>1776</v>
      </c>
      <c r="V655">
        <v>0</v>
      </c>
      <c r="W655">
        <v>0</v>
      </c>
      <c r="X655">
        <v>0</v>
      </c>
      <c r="Y655" s="6">
        <v>50.5</v>
      </c>
      <c r="Z655">
        <v>1E-3</v>
      </c>
      <c r="AA655">
        <v>3.1E-2</v>
      </c>
      <c r="AB655">
        <v>7.0000000000000007E-2</v>
      </c>
      <c r="AC655">
        <v>6</v>
      </c>
      <c r="AD655" s="6">
        <v>50</v>
      </c>
      <c r="AE655" s="6">
        <v>50</v>
      </c>
      <c r="AF655" s="6">
        <v>0</v>
      </c>
      <c r="AG655" s="6">
        <v>103.47</v>
      </c>
      <c r="AH655" s="6">
        <v>130.97</v>
      </c>
      <c r="AI655" s="6">
        <f t="shared" si="20"/>
        <v>27.5</v>
      </c>
      <c r="AJ655" s="5">
        <f t="shared" si="21"/>
        <v>0.2099717492555547</v>
      </c>
    </row>
    <row r="656" spans="1:36">
      <c r="A656" t="s">
        <v>345</v>
      </c>
      <c r="B656" t="s">
        <v>941</v>
      </c>
      <c r="C656" t="s">
        <v>73</v>
      </c>
      <c r="D656" t="s">
        <v>63</v>
      </c>
      <c r="E656" t="s">
        <v>55</v>
      </c>
      <c r="F656">
        <v>0</v>
      </c>
      <c r="G656">
        <v>2364</v>
      </c>
      <c r="H656">
        <v>1</v>
      </c>
      <c r="I656" t="s">
        <v>173</v>
      </c>
      <c r="J656">
        <v>1</v>
      </c>
      <c r="K656" s="6">
        <v>0.94</v>
      </c>
      <c r="L656" t="s">
        <v>174</v>
      </c>
      <c r="M656">
        <v>0</v>
      </c>
      <c r="N656" t="s">
        <v>175</v>
      </c>
      <c r="O656">
        <v>1</v>
      </c>
      <c r="P656">
        <v>0</v>
      </c>
      <c r="Q656" s="6">
        <v>29.5</v>
      </c>
      <c r="R656">
        <v>0</v>
      </c>
      <c r="S656" s="6">
        <v>0</v>
      </c>
      <c r="T656">
        <v>0</v>
      </c>
      <c r="U656" s="6">
        <v>1017</v>
      </c>
      <c r="V656">
        <v>0</v>
      </c>
      <c r="W656">
        <v>0</v>
      </c>
      <c r="X656">
        <v>0</v>
      </c>
      <c r="Y656" s="6">
        <v>50.5</v>
      </c>
      <c r="Z656">
        <v>1E-3</v>
      </c>
      <c r="AA656">
        <v>3.1E-2</v>
      </c>
      <c r="AB656">
        <v>7.0000000000000007E-2</v>
      </c>
      <c r="AC656">
        <v>6</v>
      </c>
      <c r="AD656" s="6">
        <v>50</v>
      </c>
      <c r="AE656" s="6">
        <v>0</v>
      </c>
      <c r="AF656" s="6">
        <v>0</v>
      </c>
      <c r="AG656" s="6">
        <v>46.66</v>
      </c>
      <c r="AH656" s="6">
        <v>61.56</v>
      </c>
      <c r="AI656" s="6">
        <f t="shared" si="20"/>
        <v>14.900000000000006</v>
      </c>
      <c r="AJ656" s="5">
        <f t="shared" si="21"/>
        <v>0.24204028589993509</v>
      </c>
    </row>
    <row r="657" spans="1:36">
      <c r="A657" t="s">
        <v>303</v>
      </c>
      <c r="B657" t="s">
        <v>942</v>
      </c>
      <c r="C657" t="s">
        <v>73</v>
      </c>
      <c r="D657" t="s">
        <v>63</v>
      </c>
      <c r="E657" t="s">
        <v>55</v>
      </c>
      <c r="F657">
        <v>0</v>
      </c>
      <c r="G657">
        <v>2364</v>
      </c>
      <c r="H657">
        <v>1</v>
      </c>
      <c r="I657" t="s">
        <v>173</v>
      </c>
      <c r="J657">
        <v>1</v>
      </c>
      <c r="K657" s="6">
        <v>1.42</v>
      </c>
      <c r="L657" t="s">
        <v>174</v>
      </c>
      <c r="M657">
        <v>0</v>
      </c>
      <c r="N657" t="s">
        <v>182</v>
      </c>
      <c r="O657">
        <v>3</v>
      </c>
      <c r="P657">
        <v>0</v>
      </c>
      <c r="Q657" s="6">
        <v>80.900000000000006</v>
      </c>
      <c r="R657">
        <v>0</v>
      </c>
      <c r="S657" s="6">
        <v>0</v>
      </c>
      <c r="T657">
        <v>0</v>
      </c>
      <c r="U657" s="6">
        <v>834</v>
      </c>
      <c r="V657">
        <v>0</v>
      </c>
      <c r="W657">
        <v>0</v>
      </c>
      <c r="X657">
        <v>0</v>
      </c>
      <c r="Y657" s="6">
        <v>50.5</v>
      </c>
      <c r="Z657">
        <v>1E-3</v>
      </c>
      <c r="AA657">
        <v>3.1E-2</v>
      </c>
      <c r="AB657">
        <v>7.0000000000000007E-2</v>
      </c>
      <c r="AC657">
        <v>6</v>
      </c>
      <c r="AD657" s="6">
        <v>50</v>
      </c>
      <c r="AE657" s="6">
        <v>0</v>
      </c>
      <c r="AF657" s="6">
        <v>0</v>
      </c>
      <c r="AG657" s="6">
        <v>61.7</v>
      </c>
      <c r="AH657" s="6">
        <v>82.03</v>
      </c>
      <c r="AI657" s="6">
        <f t="shared" si="20"/>
        <v>20.329999999999998</v>
      </c>
      <c r="AJ657" s="5">
        <f t="shared" si="21"/>
        <v>0.24783615750335242</v>
      </c>
    </row>
    <row r="658" spans="1:36">
      <c r="A658" t="s">
        <v>353</v>
      </c>
      <c r="B658" t="s">
        <v>943</v>
      </c>
      <c r="C658" t="s">
        <v>73</v>
      </c>
      <c r="D658" t="s">
        <v>63</v>
      </c>
      <c r="E658" t="s">
        <v>55</v>
      </c>
      <c r="F658">
        <v>0</v>
      </c>
      <c r="G658">
        <v>2364</v>
      </c>
      <c r="H658">
        <v>1</v>
      </c>
      <c r="I658" t="s">
        <v>173</v>
      </c>
      <c r="J658">
        <v>1</v>
      </c>
      <c r="K658" s="6">
        <v>2.0299999999999998</v>
      </c>
      <c r="L658" t="s">
        <v>174</v>
      </c>
      <c r="M658">
        <v>0</v>
      </c>
      <c r="N658" t="s">
        <v>175</v>
      </c>
      <c r="O658">
        <v>1</v>
      </c>
      <c r="P658">
        <v>0</v>
      </c>
      <c r="Q658" s="6">
        <v>41.6</v>
      </c>
      <c r="R658">
        <v>0</v>
      </c>
      <c r="S658" s="6">
        <v>0</v>
      </c>
      <c r="T658">
        <v>0</v>
      </c>
      <c r="U658" s="6">
        <v>1300</v>
      </c>
      <c r="V658">
        <v>0</v>
      </c>
      <c r="W658">
        <v>0</v>
      </c>
      <c r="X658">
        <v>0</v>
      </c>
      <c r="Y658" s="6">
        <v>50.5</v>
      </c>
      <c r="Z658">
        <v>1E-3</v>
      </c>
      <c r="AA658">
        <v>3.1E-2</v>
      </c>
      <c r="AB658">
        <v>7.0000000000000007E-2</v>
      </c>
      <c r="AC658">
        <v>6</v>
      </c>
      <c r="AD658" s="6">
        <v>50</v>
      </c>
      <c r="AE658" s="6">
        <v>0</v>
      </c>
      <c r="AF658" s="6">
        <v>0</v>
      </c>
      <c r="AG658" s="6">
        <v>49.91</v>
      </c>
      <c r="AH658" s="6">
        <v>65.260000000000005</v>
      </c>
      <c r="AI658" s="6">
        <f t="shared" si="20"/>
        <v>15.350000000000009</v>
      </c>
      <c r="AJ658" s="5">
        <f t="shared" si="21"/>
        <v>0.2352129941771377</v>
      </c>
    </row>
    <row r="659" spans="1:36">
      <c r="A659" t="s">
        <v>330</v>
      </c>
      <c r="B659" t="s">
        <v>944</v>
      </c>
      <c r="C659" t="s">
        <v>73</v>
      </c>
      <c r="D659" t="s">
        <v>63</v>
      </c>
      <c r="E659" t="s">
        <v>55</v>
      </c>
      <c r="F659">
        <v>0</v>
      </c>
      <c r="G659">
        <v>2364</v>
      </c>
      <c r="H659">
        <v>1</v>
      </c>
      <c r="I659" t="s">
        <v>173</v>
      </c>
      <c r="J659">
        <v>1</v>
      </c>
      <c r="K659" s="6">
        <v>0.99</v>
      </c>
      <c r="L659" t="s">
        <v>174</v>
      </c>
      <c r="M659">
        <v>0</v>
      </c>
      <c r="N659" t="s">
        <v>187</v>
      </c>
      <c r="O659">
        <v>2</v>
      </c>
      <c r="P659">
        <v>0</v>
      </c>
      <c r="Q659" s="6">
        <v>47.9</v>
      </c>
      <c r="R659">
        <v>1</v>
      </c>
      <c r="S659" s="6">
        <v>2917</v>
      </c>
      <c r="T659">
        <v>0</v>
      </c>
      <c r="U659" s="6">
        <v>968</v>
      </c>
      <c r="V659">
        <v>0</v>
      </c>
      <c r="W659">
        <v>0</v>
      </c>
      <c r="X659">
        <v>0</v>
      </c>
      <c r="Y659" s="6">
        <v>50.5</v>
      </c>
      <c r="Z659">
        <v>1E-3</v>
      </c>
      <c r="AA659">
        <v>3.1E-2</v>
      </c>
      <c r="AB659">
        <v>7.0000000000000007E-2</v>
      </c>
      <c r="AC659">
        <v>6</v>
      </c>
      <c r="AD659" s="6">
        <v>50</v>
      </c>
      <c r="AE659" s="6">
        <v>40</v>
      </c>
      <c r="AF659" s="6">
        <v>0</v>
      </c>
      <c r="AG659" s="6">
        <v>63.6</v>
      </c>
      <c r="AH659" s="6">
        <v>79.760000000000005</v>
      </c>
      <c r="AI659" s="6">
        <f t="shared" si="20"/>
        <v>16.160000000000004</v>
      </c>
      <c r="AJ659" s="5">
        <f t="shared" si="21"/>
        <v>0.20260782347041126</v>
      </c>
    </row>
    <row r="660" spans="1:36">
      <c r="A660" t="s">
        <v>693</v>
      </c>
      <c r="B660" t="s">
        <v>945</v>
      </c>
      <c r="C660" t="s">
        <v>73</v>
      </c>
      <c r="D660" t="s">
        <v>63</v>
      </c>
      <c r="E660" t="s">
        <v>55</v>
      </c>
      <c r="F660">
        <v>0</v>
      </c>
      <c r="G660">
        <v>2364</v>
      </c>
      <c r="H660">
        <v>1</v>
      </c>
      <c r="I660" t="s">
        <v>173</v>
      </c>
      <c r="J660">
        <v>1</v>
      </c>
      <c r="K660" s="6">
        <v>1.9</v>
      </c>
      <c r="L660" t="s">
        <v>174</v>
      </c>
      <c r="M660">
        <v>0</v>
      </c>
      <c r="N660" t="s">
        <v>182</v>
      </c>
      <c r="O660">
        <v>3</v>
      </c>
      <c r="P660">
        <v>0</v>
      </c>
      <c r="Q660" s="6">
        <v>77.7</v>
      </c>
      <c r="R660">
        <v>0</v>
      </c>
      <c r="S660" s="6">
        <v>0</v>
      </c>
      <c r="T660">
        <v>0</v>
      </c>
      <c r="U660" s="6">
        <v>862</v>
      </c>
      <c r="V660">
        <v>1</v>
      </c>
      <c r="W660">
        <v>0</v>
      </c>
      <c r="X660">
        <v>0</v>
      </c>
      <c r="Y660" s="6">
        <v>50.5</v>
      </c>
      <c r="Z660">
        <v>1E-3</v>
      </c>
      <c r="AA660">
        <v>3.1E-2</v>
      </c>
      <c r="AB660">
        <v>7.0000000000000007E-2</v>
      </c>
      <c r="AC660">
        <v>6</v>
      </c>
      <c r="AD660" s="6">
        <v>50</v>
      </c>
      <c r="AE660" s="6">
        <v>0</v>
      </c>
      <c r="AF660" s="6">
        <v>0</v>
      </c>
      <c r="AG660" s="6">
        <v>103.74</v>
      </c>
      <c r="AH660" s="6">
        <v>130.32</v>
      </c>
      <c r="AI660" s="6">
        <f t="shared" si="20"/>
        <v>26.58</v>
      </c>
      <c r="AJ660" s="5">
        <f t="shared" si="21"/>
        <v>0.20395948434622468</v>
      </c>
    </row>
    <row r="661" spans="1:36">
      <c r="A661" t="s">
        <v>179</v>
      </c>
      <c r="B661" t="s">
        <v>946</v>
      </c>
      <c r="C661" t="s">
        <v>73</v>
      </c>
      <c r="D661" t="s">
        <v>63</v>
      </c>
      <c r="E661" t="s">
        <v>55</v>
      </c>
      <c r="F661">
        <v>0</v>
      </c>
      <c r="G661">
        <v>2364</v>
      </c>
      <c r="H661">
        <v>1</v>
      </c>
      <c r="I661" t="s">
        <v>173</v>
      </c>
      <c r="J661">
        <v>1</v>
      </c>
      <c r="K661" s="6">
        <v>2.13</v>
      </c>
      <c r="L661" t="s">
        <v>174</v>
      </c>
      <c r="M661">
        <v>0</v>
      </c>
      <c r="N661" t="s">
        <v>175</v>
      </c>
      <c r="O661">
        <v>1</v>
      </c>
      <c r="P661">
        <v>0</v>
      </c>
      <c r="Q661" s="6">
        <v>28.9</v>
      </c>
      <c r="R661">
        <v>0</v>
      </c>
      <c r="S661" s="6">
        <v>0</v>
      </c>
      <c r="T661">
        <v>0</v>
      </c>
      <c r="U661" s="6">
        <v>1091</v>
      </c>
      <c r="V661">
        <v>0</v>
      </c>
      <c r="W661">
        <v>0</v>
      </c>
      <c r="X661">
        <v>1</v>
      </c>
      <c r="Y661" s="6">
        <v>50.5</v>
      </c>
      <c r="Z661">
        <v>1E-3</v>
      </c>
      <c r="AA661">
        <v>3.1E-2</v>
      </c>
      <c r="AB661">
        <v>7.0000000000000007E-2</v>
      </c>
      <c r="AC661">
        <v>6</v>
      </c>
      <c r="AD661" s="6">
        <v>50</v>
      </c>
      <c r="AE661" s="6">
        <v>0</v>
      </c>
      <c r="AF661" s="6">
        <v>0</v>
      </c>
      <c r="AG661" s="6">
        <v>42.18</v>
      </c>
      <c r="AH661" s="6">
        <v>56.21</v>
      </c>
      <c r="AI661" s="6">
        <f t="shared" si="20"/>
        <v>14.030000000000001</v>
      </c>
      <c r="AJ661" s="5">
        <f t="shared" si="21"/>
        <v>0.24959971535314002</v>
      </c>
    </row>
    <row r="662" spans="1:36">
      <c r="A662" t="s">
        <v>255</v>
      </c>
      <c r="B662" t="s">
        <v>947</v>
      </c>
      <c r="C662" t="s">
        <v>73</v>
      </c>
      <c r="D662" t="s">
        <v>63</v>
      </c>
      <c r="E662" t="s">
        <v>55</v>
      </c>
      <c r="F662">
        <v>0</v>
      </c>
      <c r="G662">
        <v>2364</v>
      </c>
      <c r="H662">
        <v>1</v>
      </c>
      <c r="I662" t="s">
        <v>220</v>
      </c>
      <c r="J662">
        <v>2</v>
      </c>
      <c r="K662" s="6">
        <v>6.99</v>
      </c>
      <c r="L662" t="s">
        <v>174</v>
      </c>
      <c r="M662">
        <v>0</v>
      </c>
      <c r="N662" t="s">
        <v>175</v>
      </c>
      <c r="O662">
        <v>1</v>
      </c>
      <c r="P662">
        <v>0</v>
      </c>
      <c r="Q662" s="6">
        <v>54.9</v>
      </c>
      <c r="R662">
        <v>0</v>
      </c>
      <c r="S662" s="6">
        <v>0</v>
      </c>
      <c r="T662">
        <v>0</v>
      </c>
      <c r="U662" s="6">
        <v>756</v>
      </c>
      <c r="V662">
        <v>1</v>
      </c>
      <c r="W662">
        <v>0</v>
      </c>
      <c r="X662">
        <v>0</v>
      </c>
      <c r="Y662" s="6">
        <v>50.5</v>
      </c>
      <c r="Z662">
        <v>1E-3</v>
      </c>
      <c r="AA662">
        <v>3.1E-2</v>
      </c>
      <c r="AB662">
        <v>7.0000000000000007E-2</v>
      </c>
      <c r="AC662">
        <v>6</v>
      </c>
      <c r="AD662" s="6">
        <v>50</v>
      </c>
      <c r="AE662" s="6">
        <v>0</v>
      </c>
      <c r="AF662" s="6">
        <v>0</v>
      </c>
      <c r="AG662" s="6">
        <v>98.31</v>
      </c>
      <c r="AH662" s="6">
        <v>127.37</v>
      </c>
      <c r="AI662" s="6">
        <f t="shared" si="20"/>
        <v>29.060000000000002</v>
      </c>
      <c r="AJ662" s="5">
        <f t="shared" si="21"/>
        <v>0.22815419643558138</v>
      </c>
    </row>
    <row r="663" spans="1:36">
      <c r="A663" t="s">
        <v>266</v>
      </c>
      <c r="B663" t="s">
        <v>948</v>
      </c>
      <c r="C663" t="s">
        <v>73</v>
      </c>
      <c r="D663" t="s">
        <v>63</v>
      </c>
      <c r="E663" t="s">
        <v>55</v>
      </c>
      <c r="F663">
        <v>0</v>
      </c>
      <c r="G663">
        <v>2364</v>
      </c>
      <c r="H663">
        <v>1</v>
      </c>
      <c r="I663" t="s">
        <v>173</v>
      </c>
      <c r="J663">
        <v>1</v>
      </c>
      <c r="K663" s="6">
        <v>1.4</v>
      </c>
      <c r="L663" t="s">
        <v>174</v>
      </c>
      <c r="M663">
        <v>0</v>
      </c>
      <c r="N663" t="s">
        <v>175</v>
      </c>
      <c r="O663">
        <v>1</v>
      </c>
      <c r="P663">
        <v>0</v>
      </c>
      <c r="Q663" s="6">
        <v>33.799999999999997</v>
      </c>
      <c r="R663">
        <v>0</v>
      </c>
      <c r="S663" s="6">
        <v>0</v>
      </c>
      <c r="T663">
        <v>0</v>
      </c>
      <c r="U663" s="6">
        <v>1741</v>
      </c>
      <c r="V663">
        <v>0</v>
      </c>
      <c r="W663">
        <v>0</v>
      </c>
      <c r="X663">
        <v>0</v>
      </c>
      <c r="Y663" s="6">
        <v>50.5</v>
      </c>
      <c r="Z663">
        <v>1E-3</v>
      </c>
      <c r="AA663">
        <v>3.1E-2</v>
      </c>
      <c r="AB663">
        <v>7.0000000000000007E-2</v>
      </c>
      <c r="AC663">
        <v>6</v>
      </c>
      <c r="AD663" s="6">
        <v>50</v>
      </c>
      <c r="AE663" s="6">
        <v>0</v>
      </c>
      <c r="AF663" s="6">
        <v>0</v>
      </c>
      <c r="AG663" s="6">
        <v>42.23</v>
      </c>
      <c r="AH663" s="6">
        <v>54.28</v>
      </c>
      <c r="AI663" s="6">
        <f t="shared" si="20"/>
        <v>12.050000000000004</v>
      </c>
      <c r="AJ663" s="5">
        <f t="shared" si="21"/>
        <v>0.22199705232129704</v>
      </c>
    </row>
    <row r="664" spans="1:36">
      <c r="A664" t="s">
        <v>288</v>
      </c>
      <c r="B664" t="s">
        <v>949</v>
      </c>
      <c r="C664" t="s">
        <v>73</v>
      </c>
      <c r="D664" t="s">
        <v>63</v>
      </c>
      <c r="E664" t="s">
        <v>55</v>
      </c>
      <c r="F664">
        <v>0</v>
      </c>
      <c r="G664">
        <v>2364</v>
      </c>
      <c r="H664">
        <v>1</v>
      </c>
      <c r="I664" t="s">
        <v>173</v>
      </c>
      <c r="J664">
        <v>1</v>
      </c>
      <c r="K664" s="6">
        <v>2.31</v>
      </c>
      <c r="L664" t="s">
        <v>174</v>
      </c>
      <c r="M664">
        <v>0</v>
      </c>
      <c r="N664" t="s">
        <v>187</v>
      </c>
      <c r="O664">
        <v>2</v>
      </c>
      <c r="P664">
        <v>0</v>
      </c>
      <c r="Q664" s="6">
        <v>61.7</v>
      </c>
      <c r="R664">
        <v>0</v>
      </c>
      <c r="S664" s="6">
        <v>0</v>
      </c>
      <c r="T664">
        <v>0</v>
      </c>
      <c r="U664" s="6">
        <v>802</v>
      </c>
      <c r="V664">
        <v>0</v>
      </c>
      <c r="W664">
        <v>0</v>
      </c>
      <c r="X664">
        <v>0</v>
      </c>
      <c r="Y664" s="6">
        <v>50.5</v>
      </c>
      <c r="Z664">
        <v>1E-3</v>
      </c>
      <c r="AA664">
        <v>3.1E-2</v>
      </c>
      <c r="AB664">
        <v>7.0000000000000007E-2</v>
      </c>
      <c r="AC664">
        <v>6</v>
      </c>
      <c r="AD664" s="6">
        <v>50</v>
      </c>
      <c r="AE664" s="6">
        <v>0</v>
      </c>
      <c r="AF664" s="6">
        <v>0</v>
      </c>
      <c r="AG664" s="6">
        <v>56.68</v>
      </c>
      <c r="AH664" s="6">
        <v>74.31</v>
      </c>
      <c r="AI664" s="6">
        <f t="shared" si="20"/>
        <v>17.630000000000003</v>
      </c>
      <c r="AJ664" s="5">
        <f t="shared" si="21"/>
        <v>0.23724936078589695</v>
      </c>
    </row>
    <row r="665" spans="1:36">
      <c r="A665" t="s">
        <v>288</v>
      </c>
      <c r="B665" t="s">
        <v>950</v>
      </c>
      <c r="C665" t="s">
        <v>73</v>
      </c>
      <c r="D665" t="s">
        <v>63</v>
      </c>
      <c r="E665" t="s">
        <v>55</v>
      </c>
      <c r="F665">
        <v>0</v>
      </c>
      <c r="G665">
        <v>2364</v>
      </c>
      <c r="H665">
        <v>1</v>
      </c>
      <c r="I665" t="s">
        <v>173</v>
      </c>
      <c r="J665">
        <v>1</v>
      </c>
      <c r="K665" s="6">
        <v>2.2400000000000002</v>
      </c>
      <c r="L665" t="s">
        <v>174</v>
      </c>
      <c r="M665">
        <v>0</v>
      </c>
      <c r="N665" t="s">
        <v>175</v>
      </c>
      <c r="O665">
        <v>1</v>
      </c>
      <c r="P665">
        <v>0</v>
      </c>
      <c r="Q665" s="6">
        <v>37.9</v>
      </c>
      <c r="R665">
        <v>0</v>
      </c>
      <c r="S665" s="6">
        <v>0</v>
      </c>
      <c r="T665">
        <v>0</v>
      </c>
      <c r="U665" s="6">
        <v>679</v>
      </c>
      <c r="V665">
        <v>0</v>
      </c>
      <c r="W665">
        <v>0</v>
      </c>
      <c r="X665">
        <v>0</v>
      </c>
      <c r="Y665" s="6">
        <v>50.5</v>
      </c>
      <c r="Z665">
        <v>1E-3</v>
      </c>
      <c r="AA665">
        <v>3.1E-2</v>
      </c>
      <c r="AB665">
        <v>7.0000000000000007E-2</v>
      </c>
      <c r="AC665">
        <v>6</v>
      </c>
      <c r="AD665" s="6">
        <v>50</v>
      </c>
      <c r="AE665" s="6">
        <v>0</v>
      </c>
      <c r="AF665" s="6">
        <v>0</v>
      </c>
      <c r="AG665" s="6">
        <v>51.07</v>
      </c>
      <c r="AH665" s="6">
        <v>66.73</v>
      </c>
      <c r="AI665" s="6">
        <f t="shared" si="20"/>
        <v>15.660000000000004</v>
      </c>
      <c r="AJ665" s="5">
        <f t="shared" si="21"/>
        <v>0.23467705679604381</v>
      </c>
    </row>
    <row r="666" spans="1:36">
      <c r="A666" t="s">
        <v>206</v>
      </c>
      <c r="B666" t="s">
        <v>951</v>
      </c>
      <c r="C666" t="s">
        <v>73</v>
      </c>
      <c r="D666" t="s">
        <v>63</v>
      </c>
      <c r="E666" t="s">
        <v>55</v>
      </c>
      <c r="F666">
        <v>0</v>
      </c>
      <c r="G666">
        <v>2364</v>
      </c>
      <c r="H666">
        <v>1</v>
      </c>
      <c r="I666" t="s">
        <v>220</v>
      </c>
      <c r="J666">
        <v>2</v>
      </c>
      <c r="K666" s="6">
        <v>4.04</v>
      </c>
      <c r="L666" t="s">
        <v>174</v>
      </c>
      <c r="M666">
        <v>0</v>
      </c>
      <c r="N666" t="s">
        <v>182</v>
      </c>
      <c r="O666">
        <v>3</v>
      </c>
      <c r="P666">
        <v>0</v>
      </c>
      <c r="Q666" s="6">
        <v>74</v>
      </c>
      <c r="R666">
        <v>1</v>
      </c>
      <c r="S666" s="6">
        <v>875</v>
      </c>
      <c r="T666">
        <v>0</v>
      </c>
      <c r="U666" s="6">
        <v>649</v>
      </c>
      <c r="V666">
        <v>0</v>
      </c>
      <c r="W666">
        <v>0</v>
      </c>
      <c r="X666">
        <v>0</v>
      </c>
      <c r="Y666" s="6">
        <v>50.5</v>
      </c>
      <c r="Z666">
        <v>1E-3</v>
      </c>
      <c r="AA666">
        <v>3.1E-2</v>
      </c>
      <c r="AB666">
        <v>7.0000000000000007E-2</v>
      </c>
      <c r="AC666">
        <v>6</v>
      </c>
      <c r="AD666" s="6">
        <v>50</v>
      </c>
      <c r="AE666" s="6">
        <v>25</v>
      </c>
      <c r="AF666" s="6">
        <v>0</v>
      </c>
      <c r="AG666" s="6">
        <v>73.19</v>
      </c>
      <c r="AH666" s="6">
        <v>95.43</v>
      </c>
      <c r="AI666" s="6">
        <f t="shared" si="20"/>
        <v>22.240000000000009</v>
      </c>
      <c r="AJ666" s="5">
        <f t="shared" si="21"/>
        <v>0.23305040343707437</v>
      </c>
    </row>
    <row r="667" spans="1:36">
      <c r="A667" t="s">
        <v>423</v>
      </c>
      <c r="B667" t="s">
        <v>952</v>
      </c>
      <c r="C667" t="s">
        <v>73</v>
      </c>
      <c r="D667" t="s">
        <v>63</v>
      </c>
      <c r="E667" t="s">
        <v>55</v>
      </c>
      <c r="F667">
        <v>0</v>
      </c>
      <c r="G667">
        <v>2364</v>
      </c>
      <c r="H667">
        <v>1</v>
      </c>
      <c r="I667" t="s">
        <v>173</v>
      </c>
      <c r="J667">
        <v>1</v>
      </c>
      <c r="K667" s="6">
        <v>2.15</v>
      </c>
      <c r="L667" t="s">
        <v>174</v>
      </c>
      <c r="M667">
        <v>0</v>
      </c>
      <c r="N667" t="s">
        <v>187</v>
      </c>
      <c r="O667">
        <v>2</v>
      </c>
      <c r="P667">
        <v>0</v>
      </c>
      <c r="Q667" s="6">
        <v>58.5</v>
      </c>
      <c r="R667">
        <v>0</v>
      </c>
      <c r="S667" s="6">
        <v>0</v>
      </c>
      <c r="T667">
        <v>0</v>
      </c>
      <c r="U667" s="6">
        <v>1010</v>
      </c>
      <c r="V667">
        <v>0</v>
      </c>
      <c r="W667">
        <v>0</v>
      </c>
      <c r="X667">
        <v>0</v>
      </c>
      <c r="Y667" s="6">
        <v>50.5</v>
      </c>
      <c r="Z667">
        <v>1E-3</v>
      </c>
      <c r="AA667">
        <v>3.1E-2</v>
      </c>
      <c r="AB667">
        <v>7.0000000000000007E-2</v>
      </c>
      <c r="AC667">
        <v>6</v>
      </c>
      <c r="AD667" s="6">
        <v>50</v>
      </c>
      <c r="AE667" s="6">
        <v>0</v>
      </c>
      <c r="AF667" s="6">
        <v>0</v>
      </c>
      <c r="AG667" s="6">
        <v>58.48</v>
      </c>
      <c r="AH667" s="6">
        <v>75.91</v>
      </c>
      <c r="AI667" s="6">
        <f t="shared" si="20"/>
        <v>17.43</v>
      </c>
      <c r="AJ667" s="5">
        <f t="shared" si="21"/>
        <v>0.22961401659860362</v>
      </c>
    </row>
    <row r="668" spans="1:36">
      <c r="A668" t="s">
        <v>230</v>
      </c>
      <c r="B668" t="s">
        <v>953</v>
      </c>
      <c r="C668" t="s">
        <v>73</v>
      </c>
      <c r="D668" t="s">
        <v>63</v>
      </c>
      <c r="E668" t="s">
        <v>55</v>
      </c>
      <c r="F668">
        <v>0</v>
      </c>
      <c r="G668">
        <v>2364</v>
      </c>
      <c r="H668">
        <v>1</v>
      </c>
      <c r="I668" t="s">
        <v>173</v>
      </c>
      <c r="J668">
        <v>1</v>
      </c>
      <c r="K668" s="6">
        <v>1.08</v>
      </c>
      <c r="L668" t="s">
        <v>174</v>
      </c>
      <c r="M668">
        <v>0</v>
      </c>
      <c r="N668" t="s">
        <v>175</v>
      </c>
      <c r="O668">
        <v>1</v>
      </c>
      <c r="P668">
        <v>0</v>
      </c>
      <c r="Q668" s="6">
        <v>33.299999999999997</v>
      </c>
      <c r="R668">
        <v>0</v>
      </c>
      <c r="S668" s="6">
        <v>0</v>
      </c>
      <c r="T668">
        <v>0</v>
      </c>
      <c r="U668" s="6">
        <v>2545</v>
      </c>
      <c r="V668">
        <v>1</v>
      </c>
      <c r="W668">
        <v>0</v>
      </c>
      <c r="X668">
        <v>0</v>
      </c>
      <c r="Y668" s="6">
        <v>50.5</v>
      </c>
      <c r="Z668">
        <v>1E-3</v>
      </c>
      <c r="AA668">
        <v>3.1E-2</v>
      </c>
      <c r="AB668">
        <v>7.0000000000000007E-2</v>
      </c>
      <c r="AC668">
        <v>6</v>
      </c>
      <c r="AD668" s="6">
        <v>50</v>
      </c>
      <c r="AE668" s="6">
        <v>0</v>
      </c>
      <c r="AF668" s="6">
        <v>0</v>
      </c>
      <c r="AG668" s="6">
        <v>89.41</v>
      </c>
      <c r="AH668" s="6">
        <v>115.9</v>
      </c>
      <c r="AI668" s="6">
        <f t="shared" si="20"/>
        <v>26.490000000000009</v>
      </c>
      <c r="AJ668" s="5">
        <f t="shared" si="21"/>
        <v>0.22855910267471966</v>
      </c>
    </row>
    <row r="669" spans="1:36">
      <c r="A669" t="s">
        <v>223</v>
      </c>
      <c r="B669" t="s">
        <v>954</v>
      </c>
      <c r="C669" t="s">
        <v>73</v>
      </c>
      <c r="D669" t="s">
        <v>63</v>
      </c>
      <c r="E669" t="s">
        <v>55</v>
      </c>
      <c r="F669">
        <v>0</v>
      </c>
      <c r="G669">
        <v>2364</v>
      </c>
      <c r="H669">
        <v>1</v>
      </c>
      <c r="I669" t="s">
        <v>173</v>
      </c>
      <c r="J669">
        <v>1</v>
      </c>
      <c r="K669" s="6">
        <v>2.0499999999999998</v>
      </c>
      <c r="L669" t="s">
        <v>174</v>
      </c>
      <c r="M669">
        <v>0</v>
      </c>
      <c r="N669" t="s">
        <v>182</v>
      </c>
      <c r="O669">
        <v>3</v>
      </c>
      <c r="P669">
        <v>0</v>
      </c>
      <c r="Q669" s="6">
        <v>114.9</v>
      </c>
      <c r="R669">
        <v>0</v>
      </c>
      <c r="S669" s="6">
        <v>0</v>
      </c>
      <c r="T669">
        <v>0</v>
      </c>
      <c r="U669" s="6">
        <v>1042</v>
      </c>
      <c r="V669">
        <v>0</v>
      </c>
      <c r="W669">
        <v>0</v>
      </c>
      <c r="X669">
        <v>0</v>
      </c>
      <c r="Y669" s="6">
        <v>50.5</v>
      </c>
      <c r="Z669">
        <v>1E-3</v>
      </c>
      <c r="AA669">
        <v>3.1E-2</v>
      </c>
      <c r="AB669">
        <v>7.0000000000000007E-2</v>
      </c>
      <c r="AC669">
        <v>6</v>
      </c>
      <c r="AD669" s="6">
        <v>50</v>
      </c>
      <c r="AE669" s="6">
        <v>0</v>
      </c>
      <c r="AF669" s="6">
        <v>0</v>
      </c>
      <c r="AG669" s="6">
        <v>62.35</v>
      </c>
      <c r="AH669" s="6">
        <v>82.08</v>
      </c>
      <c r="AI669" s="6">
        <f t="shared" si="20"/>
        <v>19.729999999999997</v>
      </c>
      <c r="AJ669" s="5">
        <f t="shared" si="21"/>
        <v>0.24037524366471733</v>
      </c>
    </row>
    <row r="670" spans="1:36">
      <c r="A670" t="s">
        <v>512</v>
      </c>
      <c r="B670" t="s">
        <v>955</v>
      </c>
      <c r="C670" t="s">
        <v>73</v>
      </c>
      <c r="D670" t="s">
        <v>63</v>
      </c>
      <c r="E670" t="s">
        <v>55</v>
      </c>
      <c r="F670">
        <v>0</v>
      </c>
      <c r="G670">
        <v>2364</v>
      </c>
      <c r="H670">
        <v>1</v>
      </c>
      <c r="I670" t="s">
        <v>173</v>
      </c>
      <c r="J670">
        <v>1</v>
      </c>
      <c r="K670" s="6">
        <v>1.33</v>
      </c>
      <c r="L670" t="s">
        <v>174</v>
      </c>
      <c r="M670">
        <v>0</v>
      </c>
      <c r="N670" t="s">
        <v>175</v>
      </c>
      <c r="O670">
        <v>1</v>
      </c>
      <c r="P670">
        <v>0</v>
      </c>
      <c r="Q670" s="6">
        <v>38</v>
      </c>
      <c r="R670">
        <v>1</v>
      </c>
      <c r="S670" s="6">
        <v>370</v>
      </c>
      <c r="T670">
        <v>0</v>
      </c>
      <c r="U670" s="6">
        <v>1059</v>
      </c>
      <c r="V670">
        <v>0</v>
      </c>
      <c r="W670">
        <v>0</v>
      </c>
      <c r="X670">
        <v>0</v>
      </c>
      <c r="Y670" s="6">
        <v>50.5</v>
      </c>
      <c r="Z670">
        <v>1E-3</v>
      </c>
      <c r="AA670">
        <v>3.1E-2</v>
      </c>
      <c r="AB670">
        <v>7.0000000000000007E-2</v>
      </c>
      <c r="AC670">
        <v>6</v>
      </c>
      <c r="AD670" s="6">
        <v>50</v>
      </c>
      <c r="AE670" s="6">
        <v>25</v>
      </c>
      <c r="AF670" s="6">
        <v>0</v>
      </c>
      <c r="AG670" s="6">
        <v>54.92</v>
      </c>
      <c r="AH670" s="6">
        <v>72.47</v>
      </c>
      <c r="AI670" s="6">
        <f t="shared" si="20"/>
        <v>17.549999999999997</v>
      </c>
      <c r="AJ670" s="5">
        <f t="shared" si="21"/>
        <v>0.24216917345108316</v>
      </c>
    </row>
    <row r="671" spans="1:36">
      <c r="A671" t="s">
        <v>328</v>
      </c>
      <c r="B671" t="s">
        <v>956</v>
      </c>
      <c r="C671" t="s">
        <v>73</v>
      </c>
      <c r="D671" t="s">
        <v>63</v>
      </c>
      <c r="E671" t="s">
        <v>55</v>
      </c>
      <c r="F671">
        <v>0</v>
      </c>
      <c r="G671">
        <v>2364</v>
      </c>
      <c r="H671">
        <v>1</v>
      </c>
      <c r="I671" t="s">
        <v>173</v>
      </c>
      <c r="J671">
        <v>1</v>
      </c>
      <c r="K671" s="6">
        <v>1.38</v>
      </c>
      <c r="L671" t="s">
        <v>174</v>
      </c>
      <c r="M671">
        <v>0</v>
      </c>
      <c r="N671" t="s">
        <v>175</v>
      </c>
      <c r="O671">
        <v>1</v>
      </c>
      <c r="P671">
        <v>0</v>
      </c>
      <c r="Q671" s="6">
        <v>41.7</v>
      </c>
      <c r="R671">
        <v>0</v>
      </c>
      <c r="S671" s="6">
        <v>0</v>
      </c>
      <c r="T671">
        <v>0</v>
      </c>
      <c r="U671" s="6">
        <v>487</v>
      </c>
      <c r="V671">
        <v>0</v>
      </c>
      <c r="W671">
        <v>0</v>
      </c>
      <c r="X671">
        <v>0</v>
      </c>
      <c r="Y671" s="6">
        <v>50.5</v>
      </c>
      <c r="Z671">
        <v>1E-3</v>
      </c>
      <c r="AA671">
        <v>3.1E-2</v>
      </c>
      <c r="AB671">
        <v>7.0000000000000007E-2</v>
      </c>
      <c r="AC671">
        <v>6</v>
      </c>
      <c r="AD671" s="6">
        <v>50</v>
      </c>
      <c r="AE671" s="6">
        <v>0</v>
      </c>
      <c r="AF671" s="6">
        <v>0</v>
      </c>
      <c r="AG671" s="6">
        <v>47.13</v>
      </c>
      <c r="AH671" s="6">
        <v>58.99</v>
      </c>
      <c r="AI671" s="6">
        <f t="shared" si="20"/>
        <v>11.86</v>
      </c>
      <c r="AJ671" s="5">
        <f t="shared" si="21"/>
        <v>0.20105102559755889</v>
      </c>
    </row>
    <row r="672" spans="1:36">
      <c r="A672" t="s">
        <v>311</v>
      </c>
      <c r="B672" t="s">
        <v>957</v>
      </c>
      <c r="C672" t="s">
        <v>73</v>
      </c>
      <c r="D672" t="s">
        <v>63</v>
      </c>
      <c r="E672" t="s">
        <v>55</v>
      </c>
      <c r="F672">
        <v>0</v>
      </c>
      <c r="G672">
        <v>2364</v>
      </c>
      <c r="H672">
        <v>1</v>
      </c>
      <c r="I672" t="s">
        <v>173</v>
      </c>
      <c r="J672">
        <v>1</v>
      </c>
      <c r="K672" s="6">
        <v>2.23</v>
      </c>
      <c r="L672" t="s">
        <v>174</v>
      </c>
      <c r="M672">
        <v>0</v>
      </c>
      <c r="N672" t="s">
        <v>175</v>
      </c>
      <c r="O672">
        <v>1</v>
      </c>
      <c r="P672">
        <v>1</v>
      </c>
      <c r="Q672" s="6">
        <v>39.799999999999997</v>
      </c>
      <c r="R672">
        <v>0</v>
      </c>
      <c r="S672" s="6">
        <v>0</v>
      </c>
      <c r="T672">
        <v>0</v>
      </c>
      <c r="U672" s="6">
        <v>916</v>
      </c>
      <c r="V672">
        <v>0</v>
      </c>
      <c r="W672">
        <v>0</v>
      </c>
      <c r="X672">
        <v>0</v>
      </c>
      <c r="Y672" s="6">
        <v>50.5</v>
      </c>
      <c r="Z672">
        <v>1E-3</v>
      </c>
      <c r="AA672">
        <v>3.1E-2</v>
      </c>
      <c r="AB672">
        <v>7.0000000000000007E-2</v>
      </c>
      <c r="AC672">
        <v>6</v>
      </c>
      <c r="AD672" s="6">
        <v>50</v>
      </c>
      <c r="AE672" s="6">
        <v>0</v>
      </c>
      <c r="AF672" s="6">
        <v>0</v>
      </c>
      <c r="AG672" s="6">
        <v>67.69</v>
      </c>
      <c r="AH672" s="6">
        <v>88.55</v>
      </c>
      <c r="AI672" s="6">
        <f t="shared" si="20"/>
        <v>20.86</v>
      </c>
      <c r="AJ672" s="5">
        <f t="shared" si="21"/>
        <v>0.23557312252964427</v>
      </c>
    </row>
    <row r="673" spans="1:36">
      <c r="A673" t="s">
        <v>362</v>
      </c>
      <c r="B673" t="s">
        <v>958</v>
      </c>
      <c r="C673" t="s">
        <v>73</v>
      </c>
      <c r="D673" t="s">
        <v>63</v>
      </c>
      <c r="E673" t="s">
        <v>55</v>
      </c>
      <c r="F673">
        <v>0</v>
      </c>
      <c r="G673">
        <v>2364</v>
      </c>
      <c r="H673">
        <v>1</v>
      </c>
      <c r="I673" t="s">
        <v>173</v>
      </c>
      <c r="J673">
        <v>1</v>
      </c>
      <c r="K673" s="6">
        <v>2.0299999999999998</v>
      </c>
      <c r="L673" t="s">
        <v>174</v>
      </c>
      <c r="M673">
        <v>0</v>
      </c>
      <c r="N673" t="s">
        <v>182</v>
      </c>
      <c r="O673">
        <v>3</v>
      </c>
      <c r="P673">
        <v>0</v>
      </c>
      <c r="Q673" s="6">
        <v>90.3</v>
      </c>
      <c r="R673">
        <v>0</v>
      </c>
      <c r="S673" s="6">
        <v>0</v>
      </c>
      <c r="T673">
        <v>0</v>
      </c>
      <c r="U673" s="6">
        <v>385</v>
      </c>
      <c r="V673">
        <v>0</v>
      </c>
      <c r="W673">
        <v>0</v>
      </c>
      <c r="X673">
        <v>1</v>
      </c>
      <c r="Y673" s="6">
        <v>50.5</v>
      </c>
      <c r="Z673">
        <v>1E-3</v>
      </c>
      <c r="AA673">
        <v>3.1E-2</v>
      </c>
      <c r="AB673">
        <v>7.0000000000000007E-2</v>
      </c>
      <c r="AC673">
        <v>6</v>
      </c>
      <c r="AD673" s="6">
        <v>50</v>
      </c>
      <c r="AE673" s="6">
        <v>0</v>
      </c>
      <c r="AF673" s="6">
        <v>0</v>
      </c>
      <c r="AG673" s="6">
        <v>60.95</v>
      </c>
      <c r="AH673" s="6">
        <v>76.3</v>
      </c>
      <c r="AI673" s="6">
        <f t="shared" si="20"/>
        <v>15.349999999999994</v>
      </c>
      <c r="AJ673" s="5">
        <f t="shared" si="21"/>
        <v>0.20117955439056351</v>
      </c>
    </row>
    <row r="674" spans="1:36">
      <c r="A674" t="s">
        <v>478</v>
      </c>
      <c r="B674" t="s">
        <v>959</v>
      </c>
      <c r="C674" t="s">
        <v>73</v>
      </c>
      <c r="D674" t="s">
        <v>63</v>
      </c>
      <c r="E674" t="s">
        <v>55</v>
      </c>
      <c r="F674">
        <v>0</v>
      </c>
      <c r="G674">
        <v>2364</v>
      </c>
      <c r="H674">
        <v>1</v>
      </c>
      <c r="I674" t="s">
        <v>173</v>
      </c>
      <c r="J674">
        <v>1</v>
      </c>
      <c r="K674" s="6">
        <v>1.62</v>
      </c>
      <c r="L674" t="s">
        <v>174</v>
      </c>
      <c r="M674">
        <v>0</v>
      </c>
      <c r="N674" t="s">
        <v>217</v>
      </c>
      <c r="O674">
        <v>4</v>
      </c>
      <c r="P674">
        <v>1</v>
      </c>
      <c r="Q674" s="6">
        <v>162.19999999999999</v>
      </c>
      <c r="R674">
        <v>0</v>
      </c>
      <c r="S674" s="6">
        <v>0</v>
      </c>
      <c r="T674">
        <v>0</v>
      </c>
      <c r="U674" s="6">
        <v>1364</v>
      </c>
      <c r="V674">
        <v>0</v>
      </c>
      <c r="W674">
        <v>0</v>
      </c>
      <c r="X674">
        <v>0</v>
      </c>
      <c r="Y674" s="6">
        <v>50.5</v>
      </c>
      <c r="Z674">
        <v>1E-3</v>
      </c>
      <c r="AA674">
        <v>3.1E-2</v>
      </c>
      <c r="AB674">
        <v>7.0000000000000007E-2</v>
      </c>
      <c r="AC674">
        <v>6</v>
      </c>
      <c r="AD674" s="6">
        <v>50</v>
      </c>
      <c r="AE674" s="6">
        <v>0</v>
      </c>
      <c r="AF674" s="6">
        <v>0</v>
      </c>
      <c r="AG674" s="6">
        <v>96.26</v>
      </c>
      <c r="AH674" s="6">
        <v>121.52</v>
      </c>
      <c r="AI674" s="6">
        <f t="shared" si="20"/>
        <v>25.259999999999991</v>
      </c>
      <c r="AJ674" s="5">
        <f t="shared" si="21"/>
        <v>0.20786701777485181</v>
      </c>
    </row>
    <row r="675" spans="1:36">
      <c r="A675" t="s">
        <v>261</v>
      </c>
      <c r="B675" t="s">
        <v>960</v>
      </c>
      <c r="C675" t="s">
        <v>73</v>
      </c>
      <c r="D675" t="s">
        <v>63</v>
      </c>
      <c r="E675" t="s">
        <v>55</v>
      </c>
      <c r="F675">
        <v>0</v>
      </c>
      <c r="G675">
        <v>2364</v>
      </c>
      <c r="H675">
        <v>1</v>
      </c>
      <c r="I675" t="s">
        <v>173</v>
      </c>
      <c r="J675">
        <v>1</v>
      </c>
      <c r="K675" s="6">
        <v>1.59</v>
      </c>
      <c r="L675" t="s">
        <v>174</v>
      </c>
      <c r="M675">
        <v>0</v>
      </c>
      <c r="N675" t="s">
        <v>175</v>
      </c>
      <c r="O675">
        <v>1</v>
      </c>
      <c r="P675">
        <v>0</v>
      </c>
      <c r="Q675" s="6">
        <v>41.7</v>
      </c>
      <c r="R675">
        <v>0</v>
      </c>
      <c r="S675" s="6">
        <v>0</v>
      </c>
      <c r="T675">
        <v>0</v>
      </c>
      <c r="U675" s="6">
        <v>871</v>
      </c>
      <c r="V675">
        <v>0</v>
      </c>
      <c r="W675">
        <v>1</v>
      </c>
      <c r="X675">
        <v>0</v>
      </c>
      <c r="Y675" s="6">
        <v>50.5</v>
      </c>
      <c r="Z675">
        <v>1E-3</v>
      </c>
      <c r="AA675">
        <v>3.1E-2</v>
      </c>
      <c r="AB675">
        <v>7.0000000000000007E-2</v>
      </c>
      <c r="AC675">
        <v>6</v>
      </c>
      <c r="AD675" s="6">
        <v>50</v>
      </c>
      <c r="AE675" s="6">
        <v>0</v>
      </c>
      <c r="AF675" s="6">
        <v>0</v>
      </c>
      <c r="AG675" s="6">
        <v>79.03</v>
      </c>
      <c r="AH675" s="6">
        <v>103.3</v>
      </c>
      <c r="AI675" s="6">
        <f t="shared" si="20"/>
        <v>24.269999999999996</v>
      </c>
      <c r="AJ675" s="5">
        <f t="shared" si="21"/>
        <v>0.23494675701839299</v>
      </c>
    </row>
    <row r="676" spans="1:36">
      <c r="A676" t="s">
        <v>478</v>
      </c>
      <c r="B676" t="s">
        <v>961</v>
      </c>
      <c r="C676" t="s">
        <v>73</v>
      </c>
      <c r="D676" t="s">
        <v>63</v>
      </c>
      <c r="E676" t="s">
        <v>55</v>
      </c>
      <c r="F676">
        <v>0</v>
      </c>
      <c r="G676">
        <v>2364</v>
      </c>
      <c r="H676">
        <v>1</v>
      </c>
      <c r="I676" t="s">
        <v>173</v>
      </c>
      <c r="J676">
        <v>1</v>
      </c>
      <c r="K676" s="6">
        <v>0.78</v>
      </c>
      <c r="L676" t="s">
        <v>174</v>
      </c>
      <c r="M676">
        <v>0</v>
      </c>
      <c r="N676" t="s">
        <v>187</v>
      </c>
      <c r="O676">
        <v>2</v>
      </c>
      <c r="P676">
        <v>0</v>
      </c>
      <c r="Q676" s="6">
        <v>65.3</v>
      </c>
      <c r="R676">
        <v>0</v>
      </c>
      <c r="S676" s="6">
        <v>0</v>
      </c>
      <c r="T676">
        <v>0</v>
      </c>
      <c r="U676" s="6">
        <v>614</v>
      </c>
      <c r="V676">
        <v>0</v>
      </c>
      <c r="W676">
        <v>0</v>
      </c>
      <c r="X676">
        <v>0</v>
      </c>
      <c r="Y676" s="6">
        <v>50.5</v>
      </c>
      <c r="Z676">
        <v>1E-3</v>
      </c>
      <c r="AA676">
        <v>3.1E-2</v>
      </c>
      <c r="AB676">
        <v>7.0000000000000007E-2</v>
      </c>
      <c r="AC676">
        <v>6</v>
      </c>
      <c r="AD676" s="6">
        <v>50</v>
      </c>
      <c r="AE676" s="6">
        <v>0</v>
      </c>
      <c r="AF676" s="6">
        <v>0</v>
      </c>
      <c r="AG676" s="6">
        <v>60.5</v>
      </c>
      <c r="AH676" s="6">
        <v>78.73</v>
      </c>
      <c r="AI676" s="6">
        <f t="shared" si="20"/>
        <v>18.230000000000004</v>
      </c>
      <c r="AJ676" s="5">
        <f t="shared" si="21"/>
        <v>0.23155087006223807</v>
      </c>
    </row>
    <row r="677" spans="1:36">
      <c r="A677" t="s">
        <v>208</v>
      </c>
      <c r="B677" t="s">
        <v>962</v>
      </c>
      <c r="C677" t="s">
        <v>73</v>
      </c>
      <c r="D677" t="s">
        <v>63</v>
      </c>
      <c r="E677" t="s">
        <v>55</v>
      </c>
      <c r="F677">
        <v>0</v>
      </c>
      <c r="G677">
        <v>2364</v>
      </c>
      <c r="H677">
        <v>1</v>
      </c>
      <c r="I677" t="s">
        <v>173</v>
      </c>
      <c r="J677">
        <v>1</v>
      </c>
      <c r="K677" s="6">
        <v>1.32</v>
      </c>
      <c r="L677" t="s">
        <v>174</v>
      </c>
      <c r="M677">
        <v>0</v>
      </c>
      <c r="N677" t="s">
        <v>272</v>
      </c>
      <c r="O677">
        <v>5</v>
      </c>
      <c r="P677">
        <v>1</v>
      </c>
      <c r="Q677" s="6">
        <v>274.7</v>
      </c>
      <c r="R677">
        <v>0</v>
      </c>
      <c r="S677" s="6">
        <v>0</v>
      </c>
      <c r="T677">
        <v>0</v>
      </c>
      <c r="U677" s="6">
        <v>3040</v>
      </c>
      <c r="V677">
        <v>0</v>
      </c>
      <c r="W677">
        <v>0</v>
      </c>
      <c r="X677">
        <v>0</v>
      </c>
      <c r="Y677" s="6">
        <v>50.5</v>
      </c>
      <c r="Z677">
        <v>1E-3</v>
      </c>
      <c r="AA677">
        <v>3.1E-2</v>
      </c>
      <c r="AB677">
        <v>7.0000000000000007E-2</v>
      </c>
      <c r="AC677">
        <v>6</v>
      </c>
      <c r="AD677" s="6">
        <v>50</v>
      </c>
      <c r="AE677" s="6">
        <v>0</v>
      </c>
      <c r="AF677" s="6">
        <v>0</v>
      </c>
      <c r="AG677" s="6">
        <v>138.69999999999999</v>
      </c>
      <c r="AH677" s="6">
        <v>177.21</v>
      </c>
      <c r="AI677" s="6">
        <f t="shared" si="20"/>
        <v>38.510000000000019</v>
      </c>
      <c r="AJ677" s="5">
        <f t="shared" si="21"/>
        <v>0.21731279273178725</v>
      </c>
    </row>
    <row r="678" spans="1:36">
      <c r="A678" t="s">
        <v>286</v>
      </c>
      <c r="B678" t="s">
        <v>963</v>
      </c>
      <c r="C678" t="s">
        <v>73</v>
      </c>
      <c r="D678" t="s">
        <v>63</v>
      </c>
      <c r="E678" t="s">
        <v>55</v>
      </c>
      <c r="F678">
        <v>0</v>
      </c>
      <c r="G678">
        <v>2364</v>
      </c>
      <c r="H678">
        <v>1</v>
      </c>
      <c r="I678" t="s">
        <v>173</v>
      </c>
      <c r="J678">
        <v>1</v>
      </c>
      <c r="K678" s="6">
        <v>1.8</v>
      </c>
      <c r="L678" t="s">
        <v>174</v>
      </c>
      <c r="M678">
        <v>0</v>
      </c>
      <c r="N678" t="s">
        <v>182</v>
      </c>
      <c r="O678">
        <v>3</v>
      </c>
      <c r="P678">
        <v>0</v>
      </c>
      <c r="Q678" s="6">
        <v>120.3</v>
      </c>
      <c r="R678">
        <v>1</v>
      </c>
      <c r="S678" s="6">
        <v>823</v>
      </c>
      <c r="T678">
        <v>0</v>
      </c>
      <c r="U678" s="6">
        <v>1584</v>
      </c>
      <c r="V678">
        <v>0</v>
      </c>
      <c r="W678">
        <v>0</v>
      </c>
      <c r="X678">
        <v>0</v>
      </c>
      <c r="Y678" s="6">
        <v>50.5</v>
      </c>
      <c r="Z678">
        <v>1E-3</v>
      </c>
      <c r="AA678">
        <v>3.1E-2</v>
      </c>
      <c r="AB678">
        <v>7.0000000000000007E-2</v>
      </c>
      <c r="AC678">
        <v>6</v>
      </c>
      <c r="AD678" s="6">
        <v>50</v>
      </c>
      <c r="AE678" s="6">
        <v>25</v>
      </c>
      <c r="AF678" s="6">
        <v>0</v>
      </c>
      <c r="AG678" s="6">
        <v>64.02</v>
      </c>
      <c r="AH678" s="6">
        <v>83.32</v>
      </c>
      <c r="AI678" s="6">
        <f t="shared" si="20"/>
        <v>19.299999999999997</v>
      </c>
      <c r="AJ678" s="5">
        <f t="shared" si="21"/>
        <v>0.23163706192990877</v>
      </c>
    </row>
    <row r="679" spans="1:36">
      <c r="A679" t="s">
        <v>212</v>
      </c>
      <c r="B679" t="s">
        <v>964</v>
      </c>
      <c r="C679" t="s">
        <v>73</v>
      </c>
      <c r="D679" t="s">
        <v>63</v>
      </c>
      <c r="E679" t="s">
        <v>55</v>
      </c>
      <c r="F679">
        <v>0</v>
      </c>
      <c r="G679">
        <v>2364</v>
      </c>
      <c r="H679">
        <v>1</v>
      </c>
      <c r="I679" t="s">
        <v>173</v>
      </c>
      <c r="J679">
        <v>1</v>
      </c>
      <c r="K679" s="6">
        <v>1.76</v>
      </c>
      <c r="L679" t="s">
        <v>174</v>
      </c>
      <c r="M679">
        <v>0</v>
      </c>
      <c r="N679" t="s">
        <v>217</v>
      </c>
      <c r="O679">
        <v>4</v>
      </c>
      <c r="P679">
        <v>1</v>
      </c>
      <c r="Q679" s="6">
        <v>117.2</v>
      </c>
      <c r="R679">
        <v>0</v>
      </c>
      <c r="S679" s="6">
        <v>0</v>
      </c>
      <c r="T679">
        <v>0</v>
      </c>
      <c r="U679" s="6">
        <v>914</v>
      </c>
      <c r="V679">
        <v>0</v>
      </c>
      <c r="W679">
        <v>0</v>
      </c>
      <c r="X679">
        <v>0</v>
      </c>
      <c r="Y679" s="6">
        <v>50.5</v>
      </c>
      <c r="Z679">
        <v>1E-3</v>
      </c>
      <c r="AA679">
        <v>3.1E-2</v>
      </c>
      <c r="AB679">
        <v>7.0000000000000007E-2</v>
      </c>
      <c r="AC679">
        <v>6</v>
      </c>
      <c r="AD679" s="6">
        <v>50</v>
      </c>
      <c r="AE679" s="6">
        <v>0</v>
      </c>
      <c r="AF679" s="6">
        <v>0</v>
      </c>
      <c r="AG679" s="6">
        <v>97.52</v>
      </c>
      <c r="AH679" s="6">
        <v>124.17</v>
      </c>
      <c r="AI679" s="6">
        <f t="shared" si="20"/>
        <v>26.650000000000006</v>
      </c>
      <c r="AJ679" s="5">
        <f t="shared" si="21"/>
        <v>0.21462511073528232</v>
      </c>
    </row>
    <row r="680" spans="1:36">
      <c r="A680" t="s">
        <v>397</v>
      </c>
      <c r="B680" t="s">
        <v>965</v>
      </c>
      <c r="C680" t="s">
        <v>73</v>
      </c>
      <c r="D680" t="s">
        <v>63</v>
      </c>
      <c r="E680" t="s">
        <v>55</v>
      </c>
      <c r="F680">
        <v>0</v>
      </c>
      <c r="G680">
        <v>2364</v>
      </c>
      <c r="H680">
        <v>1</v>
      </c>
      <c r="I680" t="s">
        <v>173</v>
      </c>
      <c r="J680">
        <v>1</v>
      </c>
      <c r="K680" s="6">
        <v>1.06</v>
      </c>
      <c r="L680" t="s">
        <v>174</v>
      </c>
      <c r="M680">
        <v>0</v>
      </c>
      <c r="N680" t="s">
        <v>175</v>
      </c>
      <c r="O680">
        <v>1</v>
      </c>
      <c r="P680">
        <v>0</v>
      </c>
      <c r="Q680" s="6">
        <v>42.8</v>
      </c>
      <c r="R680">
        <v>0</v>
      </c>
      <c r="S680" s="6">
        <v>0</v>
      </c>
      <c r="T680">
        <v>0</v>
      </c>
      <c r="U680" s="6">
        <v>911</v>
      </c>
      <c r="V680">
        <v>0</v>
      </c>
      <c r="W680">
        <v>0</v>
      </c>
      <c r="X680">
        <v>0</v>
      </c>
      <c r="Y680" s="6">
        <v>50.5</v>
      </c>
      <c r="Z680">
        <v>1E-3</v>
      </c>
      <c r="AA680">
        <v>3.1E-2</v>
      </c>
      <c r="AB680">
        <v>7.0000000000000007E-2</v>
      </c>
      <c r="AC680">
        <v>6</v>
      </c>
      <c r="AD680" s="6">
        <v>50</v>
      </c>
      <c r="AE680" s="6">
        <v>0</v>
      </c>
      <c r="AF680" s="6">
        <v>0</v>
      </c>
      <c r="AG680" s="6">
        <v>45.55</v>
      </c>
      <c r="AH680" s="6">
        <v>58.81</v>
      </c>
      <c r="AI680" s="6">
        <f t="shared" si="20"/>
        <v>13.260000000000005</v>
      </c>
      <c r="AJ680" s="5">
        <f t="shared" si="21"/>
        <v>0.22547185852746141</v>
      </c>
    </row>
    <row r="681" spans="1:36">
      <c r="A681" t="s">
        <v>602</v>
      </c>
      <c r="B681" t="s">
        <v>966</v>
      </c>
      <c r="C681" t="s">
        <v>73</v>
      </c>
      <c r="D681" t="s">
        <v>63</v>
      </c>
      <c r="E681" t="s">
        <v>55</v>
      </c>
      <c r="F681">
        <v>0</v>
      </c>
      <c r="G681">
        <v>2364</v>
      </c>
      <c r="H681">
        <v>1</v>
      </c>
      <c r="I681" t="s">
        <v>181</v>
      </c>
      <c r="J681">
        <v>3</v>
      </c>
      <c r="K681" s="6">
        <v>8.41</v>
      </c>
      <c r="L681" t="s">
        <v>174</v>
      </c>
      <c r="M681">
        <v>0</v>
      </c>
      <c r="N681" t="s">
        <v>175</v>
      </c>
      <c r="O681">
        <v>1</v>
      </c>
      <c r="P681">
        <v>0</v>
      </c>
      <c r="Q681" s="6">
        <v>39.9</v>
      </c>
      <c r="R681">
        <v>1</v>
      </c>
      <c r="S681" s="6">
        <v>1727</v>
      </c>
      <c r="T681">
        <v>0</v>
      </c>
      <c r="U681" s="6">
        <v>659</v>
      </c>
      <c r="V681">
        <v>0</v>
      </c>
      <c r="W681">
        <v>0</v>
      </c>
      <c r="X681">
        <v>0</v>
      </c>
      <c r="Y681" s="6">
        <v>50.5</v>
      </c>
      <c r="Z681">
        <v>1E-3</v>
      </c>
      <c r="AA681">
        <v>3.1E-2</v>
      </c>
      <c r="AB681">
        <v>7.0000000000000007E-2</v>
      </c>
      <c r="AC681">
        <v>6</v>
      </c>
      <c r="AD681" s="6">
        <v>60</v>
      </c>
      <c r="AE681" s="6">
        <v>25</v>
      </c>
      <c r="AF681" s="6">
        <v>0</v>
      </c>
      <c r="AG681" s="6">
        <v>99.96</v>
      </c>
      <c r="AH681" s="6">
        <v>126.55</v>
      </c>
      <c r="AI681" s="6">
        <f t="shared" si="20"/>
        <v>26.590000000000003</v>
      </c>
      <c r="AJ681" s="5">
        <f t="shared" si="21"/>
        <v>0.21011457921770055</v>
      </c>
    </row>
    <row r="682" spans="1:36">
      <c r="A682" t="s">
        <v>521</v>
      </c>
      <c r="B682" t="s">
        <v>967</v>
      </c>
      <c r="C682" t="s">
        <v>73</v>
      </c>
      <c r="D682" t="s">
        <v>63</v>
      </c>
      <c r="E682" t="s">
        <v>55</v>
      </c>
      <c r="F682">
        <v>0</v>
      </c>
      <c r="G682">
        <v>2364</v>
      </c>
      <c r="H682">
        <v>1</v>
      </c>
      <c r="I682" t="s">
        <v>173</v>
      </c>
      <c r="J682">
        <v>1</v>
      </c>
      <c r="K682" s="6">
        <v>2.04</v>
      </c>
      <c r="L682" t="s">
        <v>174</v>
      </c>
      <c r="M682">
        <v>0</v>
      </c>
      <c r="N682" t="s">
        <v>182</v>
      </c>
      <c r="O682">
        <v>3</v>
      </c>
      <c r="P682">
        <v>0</v>
      </c>
      <c r="Q682" s="6">
        <v>106.4</v>
      </c>
      <c r="R682">
        <v>1</v>
      </c>
      <c r="S682" s="6">
        <v>740</v>
      </c>
      <c r="T682">
        <v>0</v>
      </c>
      <c r="U682" s="6">
        <v>820</v>
      </c>
      <c r="V682">
        <v>0</v>
      </c>
      <c r="W682">
        <v>0</v>
      </c>
      <c r="X682">
        <v>0</v>
      </c>
      <c r="Y682" s="6">
        <v>50.5</v>
      </c>
      <c r="Z682">
        <v>1E-3</v>
      </c>
      <c r="AA682">
        <v>3.1E-2</v>
      </c>
      <c r="AB682">
        <v>7.0000000000000007E-2</v>
      </c>
      <c r="AC682">
        <v>6</v>
      </c>
      <c r="AD682" s="6">
        <v>50</v>
      </c>
      <c r="AE682" s="6">
        <v>25</v>
      </c>
      <c r="AF682" s="6">
        <v>0</v>
      </c>
      <c r="AG682" s="6">
        <v>70.83</v>
      </c>
      <c r="AH682" s="6">
        <v>90.68</v>
      </c>
      <c r="AI682" s="6">
        <f t="shared" si="20"/>
        <v>19.850000000000009</v>
      </c>
      <c r="AJ682" s="5">
        <f t="shared" si="21"/>
        <v>0.21890163211292465</v>
      </c>
    </row>
    <row r="683" spans="1:36">
      <c r="A683" t="s">
        <v>512</v>
      </c>
      <c r="B683" t="s">
        <v>968</v>
      </c>
      <c r="C683" t="s">
        <v>73</v>
      </c>
      <c r="D683" t="s">
        <v>63</v>
      </c>
      <c r="E683" t="s">
        <v>55</v>
      </c>
      <c r="F683">
        <v>0</v>
      </c>
      <c r="G683">
        <v>2364</v>
      </c>
      <c r="H683">
        <v>1</v>
      </c>
      <c r="I683" t="s">
        <v>173</v>
      </c>
      <c r="J683">
        <v>1</v>
      </c>
      <c r="K683" s="6">
        <v>2.84</v>
      </c>
      <c r="L683" t="s">
        <v>174</v>
      </c>
      <c r="M683">
        <v>0</v>
      </c>
      <c r="N683" t="s">
        <v>175</v>
      </c>
      <c r="O683">
        <v>1</v>
      </c>
      <c r="P683">
        <v>0</v>
      </c>
      <c r="Q683" s="6">
        <v>43.9</v>
      </c>
      <c r="R683">
        <v>0</v>
      </c>
      <c r="S683" s="6">
        <v>0</v>
      </c>
      <c r="T683">
        <v>0</v>
      </c>
      <c r="U683" s="6">
        <v>1694</v>
      </c>
      <c r="V683">
        <v>0</v>
      </c>
      <c r="W683">
        <v>0</v>
      </c>
      <c r="X683">
        <v>0</v>
      </c>
      <c r="Y683" s="6">
        <v>50.5</v>
      </c>
      <c r="Z683">
        <v>1E-3</v>
      </c>
      <c r="AA683">
        <v>3.1E-2</v>
      </c>
      <c r="AB683">
        <v>7.0000000000000007E-2</v>
      </c>
      <c r="AC683">
        <v>6</v>
      </c>
      <c r="AD683" s="6">
        <v>50</v>
      </c>
      <c r="AE683" s="6">
        <v>0</v>
      </c>
      <c r="AF683" s="6">
        <v>0</v>
      </c>
      <c r="AG683" s="6">
        <v>60.25</v>
      </c>
      <c r="AH683" s="6">
        <v>78.73</v>
      </c>
      <c r="AI683" s="6">
        <f t="shared" si="20"/>
        <v>18.480000000000004</v>
      </c>
      <c r="AJ683" s="5">
        <f t="shared" si="21"/>
        <v>0.23472627969008006</v>
      </c>
    </row>
    <row r="684" spans="1:36">
      <c r="A684" t="s">
        <v>245</v>
      </c>
      <c r="B684" t="s">
        <v>969</v>
      </c>
      <c r="C684" t="s">
        <v>75</v>
      </c>
      <c r="D684" t="s">
        <v>77</v>
      </c>
      <c r="E684" t="s">
        <v>55</v>
      </c>
      <c r="F684">
        <v>0</v>
      </c>
      <c r="G684">
        <v>2470</v>
      </c>
      <c r="H684">
        <v>1</v>
      </c>
      <c r="I684" t="s">
        <v>220</v>
      </c>
      <c r="J684">
        <v>2</v>
      </c>
      <c r="K684" s="6">
        <v>4.33</v>
      </c>
      <c r="L684" t="s">
        <v>174</v>
      </c>
      <c r="M684">
        <v>0</v>
      </c>
      <c r="N684" t="s">
        <v>217</v>
      </c>
      <c r="O684">
        <v>4</v>
      </c>
      <c r="P684">
        <v>1</v>
      </c>
      <c r="Q684" s="6">
        <v>212.3</v>
      </c>
      <c r="R684">
        <v>0</v>
      </c>
      <c r="S684" s="6">
        <v>0</v>
      </c>
      <c r="T684">
        <v>0</v>
      </c>
      <c r="U684" s="6">
        <v>3852</v>
      </c>
      <c r="V684">
        <v>0</v>
      </c>
      <c r="W684">
        <v>0</v>
      </c>
      <c r="X684">
        <v>0</v>
      </c>
      <c r="Y684" s="6">
        <v>45.3</v>
      </c>
      <c r="Z684">
        <v>4.7E-2</v>
      </c>
      <c r="AA684">
        <v>0.11</v>
      </c>
      <c r="AB684">
        <v>4.8000000000000001E-2</v>
      </c>
      <c r="AC684">
        <v>6</v>
      </c>
      <c r="AD684" s="6">
        <v>50</v>
      </c>
      <c r="AE684" s="6">
        <v>0</v>
      </c>
      <c r="AF684" s="6">
        <v>0</v>
      </c>
      <c r="AG684" s="6">
        <v>104.62</v>
      </c>
      <c r="AH684" s="6">
        <v>130.9</v>
      </c>
      <c r="AI684" s="6">
        <f t="shared" si="20"/>
        <v>26.28</v>
      </c>
      <c r="AJ684" s="5">
        <f t="shared" si="21"/>
        <v>0.20076394194041253</v>
      </c>
    </row>
    <row r="685" spans="1:36">
      <c r="A685" t="s">
        <v>381</v>
      </c>
      <c r="B685" t="s">
        <v>970</v>
      </c>
      <c r="C685" t="s">
        <v>75</v>
      </c>
      <c r="D685" t="s">
        <v>77</v>
      </c>
      <c r="E685" t="s">
        <v>55</v>
      </c>
      <c r="F685">
        <v>0</v>
      </c>
      <c r="G685">
        <v>2470</v>
      </c>
      <c r="H685">
        <v>1</v>
      </c>
      <c r="I685" t="s">
        <v>220</v>
      </c>
      <c r="J685">
        <v>2</v>
      </c>
      <c r="K685" s="6">
        <v>5.15</v>
      </c>
      <c r="L685" t="s">
        <v>174</v>
      </c>
      <c r="M685">
        <v>0</v>
      </c>
      <c r="N685" t="s">
        <v>175</v>
      </c>
      <c r="O685">
        <v>1</v>
      </c>
      <c r="P685">
        <v>0</v>
      </c>
      <c r="Q685" s="6">
        <v>39.5</v>
      </c>
      <c r="R685">
        <v>0</v>
      </c>
      <c r="S685" s="6">
        <v>0</v>
      </c>
      <c r="T685">
        <v>0</v>
      </c>
      <c r="U685" s="6">
        <v>1392</v>
      </c>
      <c r="V685">
        <v>0</v>
      </c>
      <c r="W685">
        <v>0</v>
      </c>
      <c r="X685">
        <v>0</v>
      </c>
      <c r="Y685" s="6">
        <v>45.3</v>
      </c>
      <c r="Z685">
        <v>4.7E-2</v>
      </c>
      <c r="AA685">
        <v>0.11</v>
      </c>
      <c r="AB685">
        <v>4.8000000000000001E-2</v>
      </c>
      <c r="AC685">
        <v>6</v>
      </c>
      <c r="AD685" s="6">
        <v>50</v>
      </c>
      <c r="AE685" s="6">
        <v>0</v>
      </c>
      <c r="AF685" s="6">
        <v>0</v>
      </c>
      <c r="AG685" s="6">
        <v>66.22</v>
      </c>
      <c r="AH685" s="6">
        <v>83.09</v>
      </c>
      <c r="AI685" s="6">
        <f t="shared" si="20"/>
        <v>16.870000000000005</v>
      </c>
      <c r="AJ685" s="5">
        <f t="shared" si="21"/>
        <v>0.20303285593934292</v>
      </c>
    </row>
    <row r="686" spans="1:36">
      <c r="A686" t="s">
        <v>240</v>
      </c>
      <c r="B686" t="s">
        <v>971</v>
      </c>
      <c r="C686" t="s">
        <v>75</v>
      </c>
      <c r="D686" t="s">
        <v>77</v>
      </c>
      <c r="E686" t="s">
        <v>55</v>
      </c>
      <c r="F686">
        <v>0</v>
      </c>
      <c r="G686">
        <v>2470</v>
      </c>
      <c r="H686">
        <v>1</v>
      </c>
      <c r="I686" t="s">
        <v>173</v>
      </c>
      <c r="J686">
        <v>1</v>
      </c>
      <c r="K686" s="6">
        <v>2.46</v>
      </c>
      <c r="L686" t="s">
        <v>174</v>
      </c>
      <c r="M686">
        <v>0</v>
      </c>
      <c r="N686" t="s">
        <v>175</v>
      </c>
      <c r="O686">
        <v>1</v>
      </c>
      <c r="P686">
        <v>0</v>
      </c>
      <c r="Q686" s="6">
        <v>36.1</v>
      </c>
      <c r="R686">
        <v>1</v>
      </c>
      <c r="S686" s="6">
        <v>1096</v>
      </c>
      <c r="T686">
        <v>0</v>
      </c>
      <c r="U686" s="6">
        <v>1951</v>
      </c>
      <c r="V686">
        <v>0</v>
      </c>
      <c r="W686">
        <v>0</v>
      </c>
      <c r="X686">
        <v>0</v>
      </c>
      <c r="Y686" s="6">
        <v>45.3</v>
      </c>
      <c r="Z686">
        <v>4.7E-2</v>
      </c>
      <c r="AA686">
        <v>0.11</v>
      </c>
      <c r="AB686">
        <v>4.8000000000000001E-2</v>
      </c>
      <c r="AC686">
        <v>6</v>
      </c>
      <c r="AD686" s="6">
        <v>50</v>
      </c>
      <c r="AE686" s="6">
        <v>25</v>
      </c>
      <c r="AF686" s="6">
        <v>0</v>
      </c>
      <c r="AG686" s="6">
        <v>49.24</v>
      </c>
      <c r="AH686" s="6">
        <v>65.11</v>
      </c>
      <c r="AI686" s="6">
        <f t="shared" si="20"/>
        <v>15.869999999999997</v>
      </c>
      <c r="AJ686" s="5">
        <f t="shared" si="21"/>
        <v>0.2437413607740746</v>
      </c>
    </row>
    <row r="687" spans="1:36">
      <c r="A687" t="s">
        <v>528</v>
      </c>
      <c r="B687" t="s">
        <v>972</v>
      </c>
      <c r="C687" t="s">
        <v>75</v>
      </c>
      <c r="D687" t="s">
        <v>77</v>
      </c>
      <c r="E687" t="s">
        <v>55</v>
      </c>
      <c r="F687">
        <v>0</v>
      </c>
      <c r="G687">
        <v>2470</v>
      </c>
      <c r="H687">
        <v>1</v>
      </c>
      <c r="I687" t="s">
        <v>173</v>
      </c>
      <c r="J687">
        <v>1</v>
      </c>
      <c r="K687" s="6">
        <v>1.08</v>
      </c>
      <c r="L687" t="s">
        <v>174</v>
      </c>
      <c r="M687">
        <v>0</v>
      </c>
      <c r="N687" t="s">
        <v>175</v>
      </c>
      <c r="O687">
        <v>1</v>
      </c>
      <c r="P687">
        <v>0</v>
      </c>
      <c r="Q687" s="6">
        <v>22.6</v>
      </c>
      <c r="R687">
        <v>1</v>
      </c>
      <c r="S687" s="6">
        <v>884</v>
      </c>
      <c r="T687">
        <v>0</v>
      </c>
      <c r="U687" s="6">
        <v>1186</v>
      </c>
      <c r="V687">
        <v>0</v>
      </c>
      <c r="W687">
        <v>0</v>
      </c>
      <c r="X687">
        <v>0</v>
      </c>
      <c r="Y687" s="6">
        <v>45.3</v>
      </c>
      <c r="Z687">
        <v>4.7E-2</v>
      </c>
      <c r="AA687">
        <v>0.11</v>
      </c>
      <c r="AB687">
        <v>4.8000000000000001E-2</v>
      </c>
      <c r="AC687">
        <v>6</v>
      </c>
      <c r="AD687" s="6">
        <v>50</v>
      </c>
      <c r="AE687" s="6">
        <v>25</v>
      </c>
      <c r="AF687" s="6">
        <v>0</v>
      </c>
      <c r="AG687" s="6">
        <v>56.88</v>
      </c>
      <c r="AH687" s="6">
        <v>71.489999999999995</v>
      </c>
      <c r="AI687" s="6">
        <f t="shared" si="20"/>
        <v>14.609999999999992</v>
      </c>
      <c r="AJ687" s="5">
        <f t="shared" si="21"/>
        <v>0.2043642467477968</v>
      </c>
    </row>
    <row r="688" spans="1:36">
      <c r="A688" t="s">
        <v>236</v>
      </c>
      <c r="B688" t="s">
        <v>973</v>
      </c>
      <c r="C688" t="s">
        <v>75</v>
      </c>
      <c r="D688" t="s">
        <v>77</v>
      </c>
      <c r="E688" t="s">
        <v>55</v>
      </c>
      <c r="F688">
        <v>0</v>
      </c>
      <c r="G688">
        <v>2470</v>
      </c>
      <c r="H688">
        <v>1</v>
      </c>
      <c r="I688" t="s">
        <v>178</v>
      </c>
      <c r="J688">
        <v>4</v>
      </c>
      <c r="K688" s="6">
        <v>9.98</v>
      </c>
      <c r="L688" t="s">
        <v>174</v>
      </c>
      <c r="M688">
        <v>0</v>
      </c>
      <c r="N688" t="s">
        <v>217</v>
      </c>
      <c r="O688">
        <v>4</v>
      </c>
      <c r="P688">
        <v>1</v>
      </c>
      <c r="Q688" s="6">
        <v>125.4</v>
      </c>
      <c r="R688">
        <v>1</v>
      </c>
      <c r="S688" s="6">
        <v>481</v>
      </c>
      <c r="T688">
        <v>0</v>
      </c>
      <c r="U688" s="6">
        <v>3588</v>
      </c>
      <c r="V688">
        <v>0</v>
      </c>
      <c r="W688">
        <v>0</v>
      </c>
      <c r="X688">
        <v>0</v>
      </c>
      <c r="Y688" s="6">
        <v>45.3</v>
      </c>
      <c r="Z688">
        <v>4.7E-2</v>
      </c>
      <c r="AA688">
        <v>0.11</v>
      </c>
      <c r="AB688">
        <v>4.8000000000000001E-2</v>
      </c>
      <c r="AC688">
        <v>6</v>
      </c>
      <c r="AD688" s="6">
        <v>65</v>
      </c>
      <c r="AE688" s="6">
        <v>25</v>
      </c>
      <c r="AF688" s="6">
        <v>0</v>
      </c>
      <c r="AG688" s="6">
        <v>167.77</v>
      </c>
      <c r="AH688" s="6">
        <v>214.24</v>
      </c>
      <c r="AI688" s="6">
        <f t="shared" si="20"/>
        <v>46.47</v>
      </c>
      <c r="AJ688" s="5">
        <f t="shared" si="21"/>
        <v>0.21690627333831217</v>
      </c>
    </row>
    <row r="689" spans="1:36">
      <c r="A689" t="s">
        <v>201</v>
      </c>
      <c r="B689" t="s">
        <v>974</v>
      </c>
      <c r="C689" t="s">
        <v>75</v>
      </c>
      <c r="D689" t="s">
        <v>77</v>
      </c>
      <c r="E689" t="s">
        <v>55</v>
      </c>
      <c r="F689">
        <v>0</v>
      </c>
      <c r="G689">
        <v>2470</v>
      </c>
      <c r="H689">
        <v>1</v>
      </c>
      <c r="I689" t="s">
        <v>173</v>
      </c>
      <c r="J689">
        <v>1</v>
      </c>
      <c r="K689" s="6">
        <v>1.76</v>
      </c>
      <c r="L689" t="s">
        <v>174</v>
      </c>
      <c r="M689">
        <v>0</v>
      </c>
      <c r="N689" t="s">
        <v>272</v>
      </c>
      <c r="O689">
        <v>5</v>
      </c>
      <c r="P689">
        <v>1</v>
      </c>
      <c r="Q689" s="6">
        <v>332.6</v>
      </c>
      <c r="R689">
        <v>1</v>
      </c>
      <c r="S689" s="6">
        <v>1411</v>
      </c>
      <c r="T689">
        <v>0</v>
      </c>
      <c r="U689" s="6">
        <v>1931</v>
      </c>
      <c r="V689">
        <v>0</v>
      </c>
      <c r="W689">
        <v>0</v>
      </c>
      <c r="X689">
        <v>0</v>
      </c>
      <c r="Y689" s="6">
        <v>45.3</v>
      </c>
      <c r="Z689">
        <v>4.7E-2</v>
      </c>
      <c r="AA689">
        <v>0.11</v>
      </c>
      <c r="AB689">
        <v>4.8000000000000001E-2</v>
      </c>
      <c r="AC689">
        <v>6</v>
      </c>
      <c r="AD689" s="6">
        <v>50</v>
      </c>
      <c r="AE689" s="6">
        <v>25</v>
      </c>
      <c r="AF689" s="6">
        <v>0</v>
      </c>
      <c r="AG689" s="6">
        <v>152.74</v>
      </c>
      <c r="AH689" s="6">
        <v>191.72</v>
      </c>
      <c r="AI689" s="6">
        <f t="shared" si="20"/>
        <v>38.97999999999999</v>
      </c>
      <c r="AJ689" s="5">
        <f t="shared" si="21"/>
        <v>0.20331733778426866</v>
      </c>
    </row>
    <row r="690" spans="1:36">
      <c r="A690" t="s">
        <v>403</v>
      </c>
      <c r="B690" t="s">
        <v>975</v>
      </c>
      <c r="C690" t="s">
        <v>75</v>
      </c>
      <c r="D690" t="s">
        <v>77</v>
      </c>
      <c r="E690" t="s">
        <v>55</v>
      </c>
      <c r="F690">
        <v>0</v>
      </c>
      <c r="G690">
        <v>2470</v>
      </c>
      <c r="H690">
        <v>1</v>
      </c>
      <c r="I690" t="s">
        <v>220</v>
      </c>
      <c r="J690">
        <v>2</v>
      </c>
      <c r="K690" s="6">
        <v>4.25</v>
      </c>
      <c r="L690" t="s">
        <v>174</v>
      </c>
      <c r="M690">
        <v>0</v>
      </c>
      <c r="N690" t="s">
        <v>217</v>
      </c>
      <c r="O690">
        <v>4</v>
      </c>
      <c r="P690">
        <v>1</v>
      </c>
      <c r="Q690" s="6">
        <v>130.80000000000001</v>
      </c>
      <c r="R690">
        <v>1</v>
      </c>
      <c r="S690" s="6">
        <v>764</v>
      </c>
      <c r="T690">
        <v>0</v>
      </c>
      <c r="U690" s="6">
        <v>1511</v>
      </c>
      <c r="V690">
        <v>0</v>
      </c>
      <c r="W690">
        <v>0</v>
      </c>
      <c r="X690">
        <v>0</v>
      </c>
      <c r="Y690" s="6">
        <v>45.3</v>
      </c>
      <c r="Z690">
        <v>4.7E-2</v>
      </c>
      <c r="AA690">
        <v>0.11</v>
      </c>
      <c r="AB690">
        <v>4.8000000000000001E-2</v>
      </c>
      <c r="AC690">
        <v>6</v>
      </c>
      <c r="AD690" s="6">
        <v>50</v>
      </c>
      <c r="AE690" s="6">
        <v>25</v>
      </c>
      <c r="AF690" s="6">
        <v>0</v>
      </c>
      <c r="AG690" s="6">
        <v>111.86</v>
      </c>
      <c r="AH690" s="6">
        <v>140.87</v>
      </c>
      <c r="AI690" s="6">
        <f t="shared" si="20"/>
        <v>29.010000000000005</v>
      </c>
      <c r="AJ690" s="5">
        <f t="shared" si="21"/>
        <v>0.20593454958472354</v>
      </c>
    </row>
    <row r="691" spans="1:36">
      <c r="A691" t="s">
        <v>434</v>
      </c>
      <c r="B691" t="s">
        <v>976</v>
      </c>
      <c r="C691" t="s">
        <v>75</v>
      </c>
      <c r="D691" t="s">
        <v>77</v>
      </c>
      <c r="E691" t="s">
        <v>55</v>
      </c>
      <c r="F691">
        <v>0</v>
      </c>
      <c r="G691">
        <v>2470</v>
      </c>
      <c r="H691">
        <v>1</v>
      </c>
      <c r="I691" t="s">
        <v>173</v>
      </c>
      <c r="J691">
        <v>1</v>
      </c>
      <c r="K691" s="6">
        <v>1.67</v>
      </c>
      <c r="L691" t="s">
        <v>174</v>
      </c>
      <c r="M691">
        <v>0</v>
      </c>
      <c r="N691" t="s">
        <v>187</v>
      </c>
      <c r="O691">
        <v>2</v>
      </c>
      <c r="P691">
        <v>0</v>
      </c>
      <c r="Q691" s="6">
        <v>49.8</v>
      </c>
      <c r="R691">
        <v>0</v>
      </c>
      <c r="S691" s="6">
        <v>0</v>
      </c>
      <c r="T691">
        <v>0</v>
      </c>
      <c r="U691" s="6">
        <v>3034</v>
      </c>
      <c r="V691">
        <v>0</v>
      </c>
      <c r="W691">
        <v>0</v>
      </c>
      <c r="X691">
        <v>0</v>
      </c>
      <c r="Y691" s="6">
        <v>45.3</v>
      </c>
      <c r="Z691">
        <v>4.7E-2</v>
      </c>
      <c r="AA691">
        <v>0.11</v>
      </c>
      <c r="AB691">
        <v>4.8000000000000001E-2</v>
      </c>
      <c r="AC691">
        <v>6</v>
      </c>
      <c r="AD691" s="6">
        <v>50</v>
      </c>
      <c r="AE691" s="6">
        <v>0</v>
      </c>
      <c r="AF691" s="6">
        <v>0</v>
      </c>
      <c r="AG691" s="6">
        <v>55.6</v>
      </c>
      <c r="AH691" s="6">
        <v>70.819999999999993</v>
      </c>
      <c r="AI691" s="6">
        <f t="shared" si="20"/>
        <v>15.219999999999992</v>
      </c>
      <c r="AJ691" s="5">
        <f t="shared" si="21"/>
        <v>0.21491104207850881</v>
      </c>
    </row>
    <row r="692" spans="1:36">
      <c r="A692" t="s">
        <v>323</v>
      </c>
      <c r="B692" t="s">
        <v>977</v>
      </c>
      <c r="C692" t="s">
        <v>75</v>
      </c>
      <c r="D692" t="s">
        <v>77</v>
      </c>
      <c r="E692" t="s">
        <v>55</v>
      </c>
      <c r="F692">
        <v>0</v>
      </c>
      <c r="G692">
        <v>2470</v>
      </c>
      <c r="H692">
        <v>1</v>
      </c>
      <c r="I692" t="s">
        <v>220</v>
      </c>
      <c r="J692">
        <v>2</v>
      </c>
      <c r="K692" s="6">
        <v>3.88</v>
      </c>
      <c r="L692" t="s">
        <v>174</v>
      </c>
      <c r="M692">
        <v>0</v>
      </c>
      <c r="N692" t="s">
        <v>175</v>
      </c>
      <c r="O692">
        <v>1</v>
      </c>
      <c r="P692">
        <v>0</v>
      </c>
      <c r="Q692" s="6">
        <v>46.9</v>
      </c>
      <c r="R692">
        <v>0</v>
      </c>
      <c r="S692" s="6">
        <v>0</v>
      </c>
      <c r="T692">
        <v>0</v>
      </c>
      <c r="U692" s="6">
        <v>4518</v>
      </c>
      <c r="V692">
        <v>1</v>
      </c>
      <c r="W692">
        <v>0</v>
      </c>
      <c r="X692">
        <v>0</v>
      </c>
      <c r="Y692" s="6">
        <v>45.3</v>
      </c>
      <c r="Z692">
        <v>4.7E-2</v>
      </c>
      <c r="AA692">
        <v>0.11</v>
      </c>
      <c r="AB692">
        <v>4.8000000000000001E-2</v>
      </c>
      <c r="AC692">
        <v>6</v>
      </c>
      <c r="AD692" s="6">
        <v>50</v>
      </c>
      <c r="AE692" s="6">
        <v>0</v>
      </c>
      <c r="AF692" s="6">
        <v>0</v>
      </c>
      <c r="AG692" s="6">
        <v>104.01</v>
      </c>
      <c r="AH692" s="6">
        <v>134.13999999999999</v>
      </c>
      <c r="AI692" s="6">
        <f t="shared" si="20"/>
        <v>30.129999999999981</v>
      </c>
      <c r="AJ692" s="5">
        <f t="shared" si="21"/>
        <v>0.22461607275980308</v>
      </c>
    </row>
    <row r="693" spans="1:36">
      <c r="A693" t="s">
        <v>303</v>
      </c>
      <c r="B693" t="s">
        <v>978</v>
      </c>
      <c r="C693" t="s">
        <v>75</v>
      </c>
      <c r="D693" t="s">
        <v>77</v>
      </c>
      <c r="E693" t="s">
        <v>55</v>
      </c>
      <c r="F693">
        <v>0</v>
      </c>
      <c r="G693">
        <v>2470</v>
      </c>
      <c r="H693">
        <v>1</v>
      </c>
      <c r="I693" t="s">
        <v>178</v>
      </c>
      <c r="J693">
        <v>4</v>
      </c>
      <c r="K693" s="6">
        <v>15.34</v>
      </c>
      <c r="L693" t="s">
        <v>174</v>
      </c>
      <c r="M693">
        <v>0</v>
      </c>
      <c r="N693" t="s">
        <v>182</v>
      </c>
      <c r="O693">
        <v>3</v>
      </c>
      <c r="P693">
        <v>0</v>
      </c>
      <c r="Q693" s="6">
        <v>110.5</v>
      </c>
      <c r="R693">
        <v>1</v>
      </c>
      <c r="S693" s="6">
        <v>1147</v>
      </c>
      <c r="T693">
        <v>0</v>
      </c>
      <c r="U693" s="6">
        <v>1477</v>
      </c>
      <c r="V693">
        <v>0</v>
      </c>
      <c r="W693">
        <v>0</v>
      </c>
      <c r="X693">
        <v>0</v>
      </c>
      <c r="Y693" s="6">
        <v>45.3</v>
      </c>
      <c r="Z693">
        <v>4.7E-2</v>
      </c>
      <c r="AA693">
        <v>0.11</v>
      </c>
      <c r="AB693">
        <v>4.8000000000000001E-2</v>
      </c>
      <c r="AC693">
        <v>6</v>
      </c>
      <c r="AD693" s="6">
        <v>65</v>
      </c>
      <c r="AE693" s="6">
        <v>25</v>
      </c>
      <c r="AF693" s="6">
        <v>0</v>
      </c>
      <c r="AG693" s="6">
        <v>141.13999999999999</v>
      </c>
      <c r="AH693" s="6">
        <v>178.98</v>
      </c>
      <c r="AI693" s="6">
        <f t="shared" si="20"/>
        <v>37.840000000000003</v>
      </c>
      <c r="AJ693" s="5">
        <f t="shared" si="21"/>
        <v>0.21142027042127615</v>
      </c>
    </row>
    <row r="694" spans="1:36">
      <c r="A694" t="s">
        <v>249</v>
      </c>
      <c r="B694" t="s">
        <v>979</v>
      </c>
      <c r="C694" t="s">
        <v>75</v>
      </c>
      <c r="D694" t="s">
        <v>77</v>
      </c>
      <c r="E694" t="s">
        <v>55</v>
      </c>
      <c r="F694">
        <v>0</v>
      </c>
      <c r="G694">
        <v>2470</v>
      </c>
      <c r="H694">
        <v>1</v>
      </c>
      <c r="I694" t="s">
        <v>220</v>
      </c>
      <c r="J694">
        <v>2</v>
      </c>
      <c r="K694" s="6">
        <v>5.94</v>
      </c>
      <c r="L694" t="s">
        <v>200</v>
      </c>
      <c r="M694">
        <v>1</v>
      </c>
      <c r="N694" t="s">
        <v>187</v>
      </c>
      <c r="O694">
        <v>2</v>
      </c>
      <c r="P694">
        <v>0</v>
      </c>
      <c r="Q694" s="6">
        <v>41.2</v>
      </c>
      <c r="R694">
        <v>0</v>
      </c>
      <c r="S694" s="6">
        <v>0</v>
      </c>
      <c r="T694">
        <v>0</v>
      </c>
      <c r="U694" s="6">
        <v>4794</v>
      </c>
      <c r="V694">
        <v>0</v>
      </c>
      <c r="W694">
        <v>0</v>
      </c>
      <c r="X694">
        <v>0</v>
      </c>
      <c r="Y694" s="6">
        <v>45.3</v>
      </c>
      <c r="Z694">
        <v>4.7E-2</v>
      </c>
      <c r="AA694">
        <v>0.11</v>
      </c>
      <c r="AB694">
        <v>4.8000000000000001E-2</v>
      </c>
      <c r="AC694">
        <v>6</v>
      </c>
      <c r="AD694" s="6">
        <v>119</v>
      </c>
      <c r="AE694" s="6">
        <v>0</v>
      </c>
      <c r="AF694" s="6">
        <v>0</v>
      </c>
      <c r="AG694" s="6">
        <v>99.7</v>
      </c>
      <c r="AH694" s="6">
        <v>129.43</v>
      </c>
      <c r="AI694" s="6">
        <f t="shared" si="20"/>
        <v>29.730000000000004</v>
      </c>
      <c r="AJ694" s="5">
        <f t="shared" si="21"/>
        <v>0.22969945144093334</v>
      </c>
    </row>
    <row r="695" spans="1:36">
      <c r="A695" t="s">
        <v>291</v>
      </c>
      <c r="B695" t="s">
        <v>980</v>
      </c>
      <c r="C695" t="s">
        <v>75</v>
      </c>
      <c r="D695" t="s">
        <v>77</v>
      </c>
      <c r="E695" t="s">
        <v>55</v>
      </c>
      <c r="F695">
        <v>0</v>
      </c>
      <c r="G695">
        <v>2470</v>
      </c>
      <c r="H695">
        <v>1</v>
      </c>
      <c r="I695" t="s">
        <v>220</v>
      </c>
      <c r="J695">
        <v>2</v>
      </c>
      <c r="K695" s="6">
        <v>2.69</v>
      </c>
      <c r="L695" t="s">
        <v>174</v>
      </c>
      <c r="M695">
        <v>0</v>
      </c>
      <c r="N695" t="s">
        <v>182</v>
      </c>
      <c r="O695">
        <v>3</v>
      </c>
      <c r="P695">
        <v>0</v>
      </c>
      <c r="Q695" s="6">
        <v>64.3</v>
      </c>
      <c r="R695">
        <v>0</v>
      </c>
      <c r="S695" s="6">
        <v>0</v>
      </c>
      <c r="T695">
        <v>0</v>
      </c>
      <c r="U695" s="6">
        <v>1847</v>
      </c>
      <c r="V695">
        <v>0</v>
      </c>
      <c r="W695">
        <v>0</v>
      </c>
      <c r="X695">
        <v>0</v>
      </c>
      <c r="Y695" s="6">
        <v>45.3</v>
      </c>
      <c r="Z695">
        <v>4.7E-2</v>
      </c>
      <c r="AA695">
        <v>0.11</v>
      </c>
      <c r="AB695">
        <v>4.8000000000000001E-2</v>
      </c>
      <c r="AC695">
        <v>6</v>
      </c>
      <c r="AD695" s="6">
        <v>50</v>
      </c>
      <c r="AE695" s="6">
        <v>0</v>
      </c>
      <c r="AF695" s="6">
        <v>0</v>
      </c>
      <c r="AG695" s="6">
        <v>62.26</v>
      </c>
      <c r="AH695" s="6">
        <v>82.73</v>
      </c>
      <c r="AI695" s="6">
        <f t="shared" si="20"/>
        <v>20.470000000000006</v>
      </c>
      <c r="AJ695" s="5">
        <f t="shared" si="21"/>
        <v>0.24743140336032884</v>
      </c>
    </row>
    <row r="696" spans="1:36">
      <c r="A696" t="s">
        <v>602</v>
      </c>
      <c r="B696" t="s">
        <v>981</v>
      </c>
      <c r="C696" t="s">
        <v>75</v>
      </c>
      <c r="D696" t="s">
        <v>77</v>
      </c>
      <c r="E696" t="s">
        <v>55</v>
      </c>
      <c r="F696">
        <v>0</v>
      </c>
      <c r="G696">
        <v>2470</v>
      </c>
      <c r="H696">
        <v>1</v>
      </c>
      <c r="I696" t="s">
        <v>220</v>
      </c>
      <c r="J696">
        <v>2</v>
      </c>
      <c r="K696" s="6">
        <v>2.83</v>
      </c>
      <c r="L696" t="s">
        <v>174</v>
      </c>
      <c r="M696">
        <v>0</v>
      </c>
      <c r="N696" t="s">
        <v>175</v>
      </c>
      <c r="O696">
        <v>1</v>
      </c>
      <c r="P696">
        <v>1</v>
      </c>
      <c r="Q696" s="6">
        <v>19.899999999999999</v>
      </c>
      <c r="R696">
        <v>1</v>
      </c>
      <c r="S696" s="6">
        <v>6566</v>
      </c>
      <c r="T696">
        <v>0</v>
      </c>
      <c r="U696" s="6">
        <v>2603</v>
      </c>
      <c r="V696">
        <v>0</v>
      </c>
      <c r="W696">
        <v>0</v>
      </c>
      <c r="X696">
        <v>0</v>
      </c>
      <c r="Y696" s="6">
        <v>45.3</v>
      </c>
      <c r="Z696">
        <v>4.7E-2</v>
      </c>
      <c r="AA696">
        <v>0.11</v>
      </c>
      <c r="AB696">
        <v>4.8000000000000001E-2</v>
      </c>
      <c r="AC696">
        <v>6</v>
      </c>
      <c r="AD696" s="6">
        <v>50</v>
      </c>
      <c r="AE696" s="6">
        <v>50</v>
      </c>
      <c r="AF696" s="6">
        <v>0</v>
      </c>
      <c r="AG696" s="6">
        <v>80.7</v>
      </c>
      <c r="AH696" s="6">
        <v>103.64</v>
      </c>
      <c r="AI696" s="6">
        <f t="shared" si="20"/>
        <v>22.939999999999998</v>
      </c>
      <c r="AJ696" s="5">
        <f t="shared" si="21"/>
        <v>0.22134311076804319</v>
      </c>
    </row>
    <row r="697" spans="1:36">
      <c r="A697" t="s">
        <v>183</v>
      </c>
      <c r="B697" t="s">
        <v>982</v>
      </c>
      <c r="C697" t="s">
        <v>75</v>
      </c>
      <c r="D697" t="s">
        <v>77</v>
      </c>
      <c r="E697" t="s">
        <v>55</v>
      </c>
      <c r="F697">
        <v>0</v>
      </c>
      <c r="G697">
        <v>2470</v>
      </c>
      <c r="H697">
        <v>1</v>
      </c>
      <c r="I697" t="s">
        <v>173</v>
      </c>
      <c r="J697">
        <v>1</v>
      </c>
      <c r="K697" s="6">
        <v>1.54</v>
      </c>
      <c r="L697" t="s">
        <v>174</v>
      </c>
      <c r="M697">
        <v>0</v>
      </c>
      <c r="N697" t="s">
        <v>187</v>
      </c>
      <c r="O697">
        <v>2</v>
      </c>
      <c r="P697">
        <v>0</v>
      </c>
      <c r="Q697" s="6">
        <v>38.9</v>
      </c>
      <c r="R697">
        <v>0</v>
      </c>
      <c r="S697" s="6">
        <v>0</v>
      </c>
      <c r="T697">
        <v>0</v>
      </c>
      <c r="U697" s="6">
        <v>3772</v>
      </c>
      <c r="V697">
        <v>0</v>
      </c>
      <c r="W697">
        <v>0</v>
      </c>
      <c r="X697">
        <v>0</v>
      </c>
      <c r="Y697" s="6">
        <v>45.3</v>
      </c>
      <c r="Z697">
        <v>4.7E-2</v>
      </c>
      <c r="AA697">
        <v>0.11</v>
      </c>
      <c r="AB697">
        <v>4.8000000000000001E-2</v>
      </c>
      <c r="AC697">
        <v>6</v>
      </c>
      <c r="AD697" s="6">
        <v>50</v>
      </c>
      <c r="AE697" s="6">
        <v>0</v>
      </c>
      <c r="AF697" s="6">
        <v>0</v>
      </c>
      <c r="AG697" s="6">
        <v>53.09</v>
      </c>
      <c r="AH697" s="6">
        <v>69.31</v>
      </c>
      <c r="AI697" s="6">
        <f t="shared" si="20"/>
        <v>16.22</v>
      </c>
      <c r="AJ697" s="5">
        <f t="shared" si="21"/>
        <v>0.23402106478141679</v>
      </c>
    </row>
    <row r="698" spans="1:36">
      <c r="A698" t="s">
        <v>179</v>
      </c>
      <c r="B698" t="s">
        <v>983</v>
      </c>
      <c r="C698" t="s">
        <v>75</v>
      </c>
      <c r="D698" t="s">
        <v>77</v>
      </c>
      <c r="E698" t="s">
        <v>55</v>
      </c>
      <c r="F698">
        <v>0</v>
      </c>
      <c r="G698">
        <v>2470</v>
      </c>
      <c r="H698">
        <v>1</v>
      </c>
      <c r="I698" t="s">
        <v>220</v>
      </c>
      <c r="J698">
        <v>2</v>
      </c>
      <c r="K698" s="6">
        <v>4.0999999999999996</v>
      </c>
      <c r="L698" t="s">
        <v>174</v>
      </c>
      <c r="M698">
        <v>0</v>
      </c>
      <c r="N698" t="s">
        <v>217</v>
      </c>
      <c r="O698">
        <v>4</v>
      </c>
      <c r="P698">
        <v>1</v>
      </c>
      <c r="Q698" s="6">
        <v>138.30000000000001</v>
      </c>
      <c r="R698">
        <v>1</v>
      </c>
      <c r="S698" s="6">
        <v>1063</v>
      </c>
      <c r="T698">
        <v>0</v>
      </c>
      <c r="U698" s="6">
        <v>3553</v>
      </c>
      <c r="V698">
        <v>0</v>
      </c>
      <c r="W698">
        <v>0</v>
      </c>
      <c r="X698">
        <v>0</v>
      </c>
      <c r="Y698" s="6">
        <v>45.3</v>
      </c>
      <c r="Z698">
        <v>4.7E-2</v>
      </c>
      <c r="AA698">
        <v>0.11</v>
      </c>
      <c r="AB698">
        <v>4.8000000000000001E-2</v>
      </c>
      <c r="AC698">
        <v>6</v>
      </c>
      <c r="AD698" s="6">
        <v>50</v>
      </c>
      <c r="AE698" s="6">
        <v>25</v>
      </c>
      <c r="AF698" s="6">
        <v>0</v>
      </c>
      <c r="AG698" s="6">
        <v>113.36</v>
      </c>
      <c r="AH698" s="6">
        <v>145.91999999999999</v>
      </c>
      <c r="AI698" s="6">
        <f t="shared" si="20"/>
        <v>32.559999999999988</v>
      </c>
      <c r="AJ698" s="5">
        <f t="shared" si="21"/>
        <v>0.22313596491228063</v>
      </c>
    </row>
    <row r="699" spans="1:36">
      <c r="A699" t="s">
        <v>218</v>
      </c>
      <c r="B699" t="s">
        <v>984</v>
      </c>
      <c r="C699" t="s">
        <v>75</v>
      </c>
      <c r="D699" t="s">
        <v>77</v>
      </c>
      <c r="E699" t="s">
        <v>55</v>
      </c>
      <c r="F699">
        <v>0</v>
      </c>
      <c r="G699">
        <v>2470</v>
      </c>
      <c r="H699">
        <v>1</v>
      </c>
      <c r="I699" t="s">
        <v>220</v>
      </c>
      <c r="J699">
        <v>2</v>
      </c>
      <c r="K699" s="6">
        <v>4.9000000000000004</v>
      </c>
      <c r="L699" t="s">
        <v>174</v>
      </c>
      <c r="M699">
        <v>0</v>
      </c>
      <c r="N699" t="s">
        <v>182</v>
      </c>
      <c r="O699">
        <v>3</v>
      </c>
      <c r="P699">
        <v>0</v>
      </c>
      <c r="Q699" s="6">
        <v>101.6</v>
      </c>
      <c r="R699">
        <v>1</v>
      </c>
      <c r="S699" s="6">
        <v>1021</v>
      </c>
      <c r="T699">
        <v>0</v>
      </c>
      <c r="U699" s="6">
        <v>4273</v>
      </c>
      <c r="V699">
        <v>0</v>
      </c>
      <c r="W699">
        <v>0</v>
      </c>
      <c r="X699">
        <v>0</v>
      </c>
      <c r="Y699" s="6">
        <v>45.3</v>
      </c>
      <c r="Z699">
        <v>4.7E-2</v>
      </c>
      <c r="AA699">
        <v>0.11</v>
      </c>
      <c r="AB699">
        <v>4.8000000000000001E-2</v>
      </c>
      <c r="AC699">
        <v>6</v>
      </c>
      <c r="AD699" s="6">
        <v>50</v>
      </c>
      <c r="AE699" s="6">
        <v>25</v>
      </c>
      <c r="AF699" s="6">
        <v>0</v>
      </c>
      <c r="AG699" s="6">
        <v>81.98</v>
      </c>
      <c r="AH699" s="6">
        <v>103.29</v>
      </c>
      <c r="AI699" s="6">
        <f t="shared" si="20"/>
        <v>21.310000000000002</v>
      </c>
      <c r="AJ699" s="5">
        <f t="shared" si="21"/>
        <v>0.20631232452318715</v>
      </c>
    </row>
    <row r="700" spans="1:36">
      <c r="A700" t="s">
        <v>306</v>
      </c>
      <c r="B700" t="s">
        <v>985</v>
      </c>
      <c r="C700" t="s">
        <v>75</v>
      </c>
      <c r="D700" t="s">
        <v>77</v>
      </c>
      <c r="E700" t="s">
        <v>55</v>
      </c>
      <c r="F700">
        <v>0</v>
      </c>
      <c r="G700">
        <v>2470</v>
      </c>
      <c r="H700">
        <v>1</v>
      </c>
      <c r="I700" t="s">
        <v>220</v>
      </c>
      <c r="J700">
        <v>2</v>
      </c>
      <c r="K700" s="6">
        <v>1.05</v>
      </c>
      <c r="L700" t="s">
        <v>174</v>
      </c>
      <c r="M700">
        <v>0</v>
      </c>
      <c r="N700" t="s">
        <v>175</v>
      </c>
      <c r="O700">
        <v>1</v>
      </c>
      <c r="P700">
        <v>0</v>
      </c>
      <c r="Q700" s="6">
        <v>49.9</v>
      </c>
      <c r="R700">
        <v>1</v>
      </c>
      <c r="S700" s="6">
        <v>605</v>
      </c>
      <c r="T700">
        <v>0</v>
      </c>
      <c r="U700" s="6">
        <v>3265</v>
      </c>
      <c r="V700">
        <v>0</v>
      </c>
      <c r="W700">
        <v>1</v>
      </c>
      <c r="X700">
        <v>0</v>
      </c>
      <c r="Y700" s="6">
        <v>45.3</v>
      </c>
      <c r="Z700">
        <v>4.7E-2</v>
      </c>
      <c r="AA700">
        <v>0.11</v>
      </c>
      <c r="AB700">
        <v>4.8000000000000001E-2</v>
      </c>
      <c r="AC700">
        <v>6</v>
      </c>
      <c r="AD700" s="6">
        <v>50</v>
      </c>
      <c r="AE700" s="6">
        <v>25</v>
      </c>
      <c r="AF700" s="6">
        <v>0</v>
      </c>
      <c r="AG700" s="6">
        <v>89.19</v>
      </c>
      <c r="AH700" s="6">
        <v>115.39</v>
      </c>
      <c r="AI700" s="6">
        <f t="shared" si="20"/>
        <v>26.200000000000003</v>
      </c>
      <c r="AJ700" s="5">
        <f t="shared" si="21"/>
        <v>0.22705607071669992</v>
      </c>
    </row>
    <row r="701" spans="1:36">
      <c r="A701" t="s">
        <v>255</v>
      </c>
      <c r="B701" t="s">
        <v>986</v>
      </c>
      <c r="C701" t="s">
        <v>75</v>
      </c>
      <c r="D701" t="s">
        <v>77</v>
      </c>
      <c r="E701" t="s">
        <v>55</v>
      </c>
      <c r="F701">
        <v>0</v>
      </c>
      <c r="G701">
        <v>2470</v>
      </c>
      <c r="H701">
        <v>1</v>
      </c>
      <c r="I701" t="s">
        <v>173</v>
      </c>
      <c r="J701">
        <v>1</v>
      </c>
      <c r="K701" s="6">
        <v>1.85</v>
      </c>
      <c r="L701" t="s">
        <v>174</v>
      </c>
      <c r="M701">
        <v>0</v>
      </c>
      <c r="N701" t="s">
        <v>187</v>
      </c>
      <c r="O701">
        <v>2</v>
      </c>
      <c r="P701">
        <v>0</v>
      </c>
      <c r="Q701" s="6">
        <v>58.6</v>
      </c>
      <c r="R701">
        <v>1</v>
      </c>
      <c r="S701" s="6">
        <v>1909</v>
      </c>
      <c r="T701">
        <v>0</v>
      </c>
      <c r="U701" s="6">
        <v>2781</v>
      </c>
      <c r="V701">
        <v>0</v>
      </c>
      <c r="W701">
        <v>0</v>
      </c>
      <c r="X701">
        <v>0</v>
      </c>
      <c r="Y701" s="6">
        <v>45.3</v>
      </c>
      <c r="Z701">
        <v>4.7E-2</v>
      </c>
      <c r="AA701">
        <v>0.11</v>
      </c>
      <c r="AB701">
        <v>4.8000000000000001E-2</v>
      </c>
      <c r="AC701">
        <v>6</v>
      </c>
      <c r="AD701" s="6">
        <v>50</v>
      </c>
      <c r="AE701" s="6">
        <v>25</v>
      </c>
      <c r="AF701" s="6">
        <v>0</v>
      </c>
      <c r="AG701" s="6">
        <v>56.73</v>
      </c>
      <c r="AH701" s="6">
        <v>71.17</v>
      </c>
      <c r="AI701" s="6">
        <f t="shared" si="20"/>
        <v>14.440000000000005</v>
      </c>
      <c r="AJ701" s="5">
        <f t="shared" si="21"/>
        <v>0.2028944780103977</v>
      </c>
    </row>
    <row r="702" spans="1:36">
      <c r="A702" t="s">
        <v>306</v>
      </c>
      <c r="B702" t="s">
        <v>987</v>
      </c>
      <c r="C702" t="s">
        <v>75</v>
      </c>
      <c r="D702" t="s">
        <v>77</v>
      </c>
      <c r="E702" t="s">
        <v>55</v>
      </c>
      <c r="F702">
        <v>0</v>
      </c>
      <c r="G702">
        <v>2470</v>
      </c>
      <c r="H702">
        <v>1</v>
      </c>
      <c r="I702" t="s">
        <v>220</v>
      </c>
      <c r="J702">
        <v>2</v>
      </c>
      <c r="K702" s="6">
        <v>4.33</v>
      </c>
      <c r="L702" t="s">
        <v>174</v>
      </c>
      <c r="M702">
        <v>0</v>
      </c>
      <c r="N702" t="s">
        <v>182</v>
      </c>
      <c r="O702">
        <v>3</v>
      </c>
      <c r="P702">
        <v>0</v>
      </c>
      <c r="Q702" s="6">
        <v>85.1</v>
      </c>
      <c r="R702">
        <v>0</v>
      </c>
      <c r="S702" s="6">
        <v>0</v>
      </c>
      <c r="T702">
        <v>0</v>
      </c>
      <c r="U702" s="6">
        <v>1120</v>
      </c>
      <c r="V702">
        <v>0</v>
      </c>
      <c r="W702">
        <v>0</v>
      </c>
      <c r="X702">
        <v>0</v>
      </c>
      <c r="Y702" s="6">
        <v>45.3</v>
      </c>
      <c r="Z702">
        <v>4.7E-2</v>
      </c>
      <c r="AA702">
        <v>0.11</v>
      </c>
      <c r="AB702">
        <v>4.8000000000000001E-2</v>
      </c>
      <c r="AC702">
        <v>6</v>
      </c>
      <c r="AD702" s="6">
        <v>50</v>
      </c>
      <c r="AE702" s="6">
        <v>0</v>
      </c>
      <c r="AF702" s="6">
        <v>0</v>
      </c>
      <c r="AG702" s="6">
        <v>75.349999999999994</v>
      </c>
      <c r="AH702" s="6">
        <v>94.68</v>
      </c>
      <c r="AI702" s="6">
        <f t="shared" si="20"/>
        <v>19.330000000000013</v>
      </c>
      <c r="AJ702" s="5">
        <f t="shared" si="21"/>
        <v>0.20416138572032119</v>
      </c>
    </row>
    <row r="703" spans="1:36">
      <c r="A703" t="s">
        <v>403</v>
      </c>
      <c r="B703" t="s">
        <v>988</v>
      </c>
      <c r="C703" t="s">
        <v>75</v>
      </c>
      <c r="D703" t="s">
        <v>77</v>
      </c>
      <c r="E703" t="s">
        <v>55</v>
      </c>
      <c r="F703">
        <v>0</v>
      </c>
      <c r="G703">
        <v>2470</v>
      </c>
      <c r="H703">
        <v>1</v>
      </c>
      <c r="I703" t="s">
        <v>220</v>
      </c>
      <c r="J703">
        <v>2</v>
      </c>
      <c r="K703" s="6">
        <v>4.67</v>
      </c>
      <c r="L703" t="s">
        <v>174</v>
      </c>
      <c r="M703">
        <v>0</v>
      </c>
      <c r="N703" t="s">
        <v>187</v>
      </c>
      <c r="O703">
        <v>2</v>
      </c>
      <c r="P703">
        <v>0</v>
      </c>
      <c r="Q703" s="6">
        <v>66.8</v>
      </c>
      <c r="R703">
        <v>1</v>
      </c>
      <c r="S703" s="6">
        <v>2875</v>
      </c>
      <c r="T703">
        <v>0</v>
      </c>
      <c r="U703" s="6">
        <v>3546</v>
      </c>
      <c r="V703">
        <v>0</v>
      </c>
      <c r="W703">
        <v>0</v>
      </c>
      <c r="X703">
        <v>0</v>
      </c>
      <c r="Y703" s="6">
        <v>45.3</v>
      </c>
      <c r="Z703">
        <v>4.7E-2</v>
      </c>
      <c r="AA703">
        <v>0.11</v>
      </c>
      <c r="AB703">
        <v>4.8000000000000001E-2</v>
      </c>
      <c r="AC703">
        <v>6</v>
      </c>
      <c r="AD703" s="6">
        <v>50</v>
      </c>
      <c r="AE703" s="6">
        <v>40</v>
      </c>
      <c r="AF703" s="6">
        <v>0</v>
      </c>
      <c r="AG703" s="6">
        <v>64.069999999999993</v>
      </c>
      <c r="AH703" s="6">
        <v>82.63</v>
      </c>
      <c r="AI703" s="6">
        <f t="shared" si="20"/>
        <v>18.560000000000002</v>
      </c>
      <c r="AJ703" s="5">
        <f t="shared" si="21"/>
        <v>0.22461575698898709</v>
      </c>
    </row>
    <row r="704" spans="1:36">
      <c r="A704" t="s">
        <v>223</v>
      </c>
      <c r="B704" t="s">
        <v>989</v>
      </c>
      <c r="C704" t="s">
        <v>75</v>
      </c>
      <c r="D704" t="s">
        <v>77</v>
      </c>
      <c r="E704" t="s">
        <v>55</v>
      </c>
      <c r="F704">
        <v>0</v>
      </c>
      <c r="G704">
        <v>2470</v>
      </c>
      <c r="H704">
        <v>1</v>
      </c>
      <c r="I704" t="s">
        <v>220</v>
      </c>
      <c r="J704">
        <v>2</v>
      </c>
      <c r="K704" s="6">
        <v>4.84</v>
      </c>
      <c r="L704" t="s">
        <v>174</v>
      </c>
      <c r="M704">
        <v>0</v>
      </c>
      <c r="N704" t="s">
        <v>182</v>
      </c>
      <c r="O704">
        <v>3</v>
      </c>
      <c r="P704">
        <v>0</v>
      </c>
      <c r="Q704" s="6">
        <v>101.7</v>
      </c>
      <c r="R704">
        <v>1</v>
      </c>
      <c r="S704" s="6">
        <v>1567</v>
      </c>
      <c r="T704">
        <v>0</v>
      </c>
      <c r="U704" s="6">
        <v>852</v>
      </c>
      <c r="V704">
        <v>0</v>
      </c>
      <c r="W704">
        <v>0</v>
      </c>
      <c r="X704">
        <v>0</v>
      </c>
      <c r="Y704" s="6">
        <v>45.3</v>
      </c>
      <c r="Z704">
        <v>4.7E-2</v>
      </c>
      <c r="AA704">
        <v>0.11</v>
      </c>
      <c r="AB704">
        <v>4.8000000000000001E-2</v>
      </c>
      <c r="AC704">
        <v>6</v>
      </c>
      <c r="AD704" s="6">
        <v>50</v>
      </c>
      <c r="AE704" s="6">
        <v>25</v>
      </c>
      <c r="AF704" s="6">
        <v>0</v>
      </c>
      <c r="AG704" s="6">
        <v>75.06</v>
      </c>
      <c r="AH704" s="6">
        <v>94.36</v>
      </c>
      <c r="AI704" s="6">
        <f t="shared" si="20"/>
        <v>19.299999999999997</v>
      </c>
      <c r="AJ704" s="5">
        <f t="shared" si="21"/>
        <v>0.20453582026282321</v>
      </c>
    </row>
    <row r="705" spans="1:36">
      <c r="A705" t="s">
        <v>411</v>
      </c>
      <c r="B705" t="s">
        <v>990</v>
      </c>
      <c r="C705" t="s">
        <v>75</v>
      </c>
      <c r="D705" t="s">
        <v>77</v>
      </c>
      <c r="E705" t="s">
        <v>55</v>
      </c>
      <c r="F705">
        <v>0</v>
      </c>
      <c r="G705">
        <v>2470</v>
      </c>
      <c r="H705">
        <v>1</v>
      </c>
      <c r="I705" t="s">
        <v>220</v>
      </c>
      <c r="J705">
        <v>2</v>
      </c>
      <c r="K705" s="6">
        <v>2.82</v>
      </c>
      <c r="L705" t="s">
        <v>174</v>
      </c>
      <c r="M705">
        <v>0</v>
      </c>
      <c r="N705" t="s">
        <v>187</v>
      </c>
      <c r="O705">
        <v>2</v>
      </c>
      <c r="P705">
        <v>0</v>
      </c>
      <c r="Q705" s="6">
        <v>62.6</v>
      </c>
      <c r="R705">
        <v>1</v>
      </c>
      <c r="S705" s="6">
        <v>1597</v>
      </c>
      <c r="T705">
        <v>0</v>
      </c>
      <c r="U705" s="6">
        <v>2255</v>
      </c>
      <c r="V705">
        <v>0</v>
      </c>
      <c r="W705">
        <v>0</v>
      </c>
      <c r="X705">
        <v>0</v>
      </c>
      <c r="Y705" s="6">
        <v>45.3</v>
      </c>
      <c r="Z705">
        <v>4.7E-2</v>
      </c>
      <c r="AA705">
        <v>0.11</v>
      </c>
      <c r="AB705">
        <v>4.8000000000000001E-2</v>
      </c>
      <c r="AC705">
        <v>6</v>
      </c>
      <c r="AD705" s="6">
        <v>50</v>
      </c>
      <c r="AE705" s="6">
        <v>25</v>
      </c>
      <c r="AF705" s="6">
        <v>0</v>
      </c>
      <c r="AG705" s="6">
        <v>61.58</v>
      </c>
      <c r="AH705" s="6">
        <v>80.3</v>
      </c>
      <c r="AI705" s="6">
        <f t="shared" si="20"/>
        <v>18.72</v>
      </c>
      <c r="AJ705" s="5">
        <f t="shared" si="21"/>
        <v>0.23312577833125778</v>
      </c>
    </row>
    <row r="706" spans="1:36">
      <c r="A706" t="s">
        <v>284</v>
      </c>
      <c r="B706" t="s">
        <v>991</v>
      </c>
      <c r="C706" t="s">
        <v>75</v>
      </c>
      <c r="D706" t="s">
        <v>77</v>
      </c>
      <c r="E706" t="s">
        <v>55</v>
      </c>
      <c r="F706">
        <v>0</v>
      </c>
      <c r="G706">
        <v>2470</v>
      </c>
      <c r="H706">
        <v>1</v>
      </c>
      <c r="I706" t="s">
        <v>220</v>
      </c>
      <c r="J706">
        <v>2</v>
      </c>
      <c r="K706" s="6">
        <v>3.07</v>
      </c>
      <c r="L706" t="s">
        <v>174</v>
      </c>
      <c r="M706">
        <v>0</v>
      </c>
      <c r="N706" t="s">
        <v>175</v>
      </c>
      <c r="O706">
        <v>1</v>
      </c>
      <c r="P706">
        <v>0</v>
      </c>
      <c r="Q706" s="6">
        <v>47.6</v>
      </c>
      <c r="R706">
        <v>0</v>
      </c>
      <c r="S706" s="6">
        <v>0</v>
      </c>
      <c r="T706">
        <v>0</v>
      </c>
      <c r="U706" s="6">
        <v>1575</v>
      </c>
      <c r="V706">
        <v>1</v>
      </c>
      <c r="W706">
        <v>0</v>
      </c>
      <c r="X706">
        <v>1</v>
      </c>
      <c r="Y706" s="6">
        <v>45.3</v>
      </c>
      <c r="Z706">
        <v>4.7E-2</v>
      </c>
      <c r="AA706">
        <v>0.11</v>
      </c>
      <c r="AB706">
        <v>4.8000000000000001E-2</v>
      </c>
      <c r="AC706">
        <v>6</v>
      </c>
      <c r="AD706" s="6">
        <v>50</v>
      </c>
      <c r="AE706" s="6">
        <v>0</v>
      </c>
      <c r="AF706" s="6">
        <v>0</v>
      </c>
      <c r="AG706" s="6">
        <v>95.01</v>
      </c>
      <c r="AH706" s="6">
        <v>123.13</v>
      </c>
      <c r="AI706" s="6">
        <f t="shared" ref="AI706:AI769" si="22">AH706-AG706</f>
        <v>28.11999999999999</v>
      </c>
      <c r="AJ706" s="5">
        <f t="shared" ref="AJ706:AJ769" si="23">IFERROR(AI706/AH706,0)</f>
        <v>0.22837651262892869</v>
      </c>
    </row>
    <row r="707" spans="1:36">
      <c r="A707" t="s">
        <v>208</v>
      </c>
      <c r="B707" t="s">
        <v>992</v>
      </c>
      <c r="C707" t="s">
        <v>75</v>
      </c>
      <c r="D707" t="s">
        <v>77</v>
      </c>
      <c r="E707" t="s">
        <v>55</v>
      </c>
      <c r="F707">
        <v>0</v>
      </c>
      <c r="G707">
        <v>2470</v>
      </c>
      <c r="H707">
        <v>1</v>
      </c>
      <c r="I707" t="s">
        <v>220</v>
      </c>
      <c r="J707">
        <v>2</v>
      </c>
      <c r="K707" s="6">
        <v>2.04</v>
      </c>
      <c r="L707" t="s">
        <v>174</v>
      </c>
      <c r="M707">
        <v>0</v>
      </c>
      <c r="N707" t="s">
        <v>175</v>
      </c>
      <c r="O707">
        <v>1</v>
      </c>
      <c r="P707">
        <v>0</v>
      </c>
      <c r="Q707" s="6">
        <v>24.7</v>
      </c>
      <c r="R707">
        <v>0</v>
      </c>
      <c r="S707" s="6">
        <v>0</v>
      </c>
      <c r="T707">
        <v>0</v>
      </c>
      <c r="U707" s="6">
        <v>2586</v>
      </c>
      <c r="V707">
        <v>0</v>
      </c>
      <c r="W707">
        <v>0</v>
      </c>
      <c r="X707">
        <v>0</v>
      </c>
      <c r="Y707" s="6">
        <v>45.3</v>
      </c>
      <c r="Z707">
        <v>4.7E-2</v>
      </c>
      <c r="AA707">
        <v>0.11</v>
      </c>
      <c r="AB707">
        <v>4.8000000000000001E-2</v>
      </c>
      <c r="AC707">
        <v>6</v>
      </c>
      <c r="AD707" s="6">
        <v>50</v>
      </c>
      <c r="AE707" s="6">
        <v>0</v>
      </c>
      <c r="AF707" s="6">
        <v>0</v>
      </c>
      <c r="AG707" s="6">
        <v>55.97</v>
      </c>
      <c r="AH707" s="6">
        <v>74.540000000000006</v>
      </c>
      <c r="AI707" s="6">
        <f t="shared" si="22"/>
        <v>18.570000000000007</v>
      </c>
      <c r="AJ707" s="5">
        <f t="shared" si="23"/>
        <v>0.24912798497451041</v>
      </c>
    </row>
    <row r="708" spans="1:36">
      <c r="A708" t="s">
        <v>401</v>
      </c>
      <c r="B708" t="s">
        <v>993</v>
      </c>
      <c r="C708" t="s">
        <v>75</v>
      </c>
      <c r="D708" t="s">
        <v>77</v>
      </c>
      <c r="E708" t="s">
        <v>55</v>
      </c>
      <c r="F708">
        <v>0</v>
      </c>
      <c r="G708">
        <v>2470</v>
      </c>
      <c r="H708">
        <v>1</v>
      </c>
      <c r="I708" t="s">
        <v>220</v>
      </c>
      <c r="J708">
        <v>2</v>
      </c>
      <c r="K708" s="6">
        <v>4.1500000000000004</v>
      </c>
      <c r="L708" t="s">
        <v>174</v>
      </c>
      <c r="M708">
        <v>0</v>
      </c>
      <c r="N708" t="s">
        <v>182</v>
      </c>
      <c r="O708">
        <v>3</v>
      </c>
      <c r="P708">
        <v>0</v>
      </c>
      <c r="Q708" s="6">
        <v>130.9</v>
      </c>
      <c r="R708">
        <v>1</v>
      </c>
      <c r="S708" s="6">
        <v>1205</v>
      </c>
      <c r="T708">
        <v>0</v>
      </c>
      <c r="U708" s="6">
        <v>1376</v>
      </c>
      <c r="V708">
        <v>0</v>
      </c>
      <c r="W708">
        <v>0</v>
      </c>
      <c r="X708">
        <v>0</v>
      </c>
      <c r="Y708" s="6">
        <v>45.3</v>
      </c>
      <c r="Z708">
        <v>4.7E-2</v>
      </c>
      <c r="AA708">
        <v>0.11</v>
      </c>
      <c r="AB708">
        <v>4.8000000000000001E-2</v>
      </c>
      <c r="AC708">
        <v>6</v>
      </c>
      <c r="AD708" s="6">
        <v>50</v>
      </c>
      <c r="AE708" s="6">
        <v>25</v>
      </c>
      <c r="AF708" s="6">
        <v>0</v>
      </c>
      <c r="AG708" s="6">
        <v>72.209999999999994</v>
      </c>
      <c r="AH708" s="6">
        <v>91.98</v>
      </c>
      <c r="AI708" s="6">
        <f t="shared" si="22"/>
        <v>19.77000000000001</v>
      </c>
      <c r="AJ708" s="5">
        <f t="shared" si="23"/>
        <v>0.21493803000652326</v>
      </c>
    </row>
    <row r="709" spans="1:36">
      <c r="A709" t="s">
        <v>188</v>
      </c>
      <c r="B709" t="s">
        <v>994</v>
      </c>
      <c r="C709" t="s">
        <v>75</v>
      </c>
      <c r="D709" t="s">
        <v>77</v>
      </c>
      <c r="E709" t="s">
        <v>55</v>
      </c>
      <c r="F709">
        <v>0</v>
      </c>
      <c r="G709">
        <v>2470</v>
      </c>
      <c r="H709">
        <v>1</v>
      </c>
      <c r="I709" t="s">
        <v>220</v>
      </c>
      <c r="J709">
        <v>2</v>
      </c>
      <c r="K709" s="6">
        <v>4.3899999999999997</v>
      </c>
      <c r="L709" t="s">
        <v>174</v>
      </c>
      <c r="M709">
        <v>0</v>
      </c>
      <c r="N709" t="s">
        <v>182</v>
      </c>
      <c r="O709">
        <v>3</v>
      </c>
      <c r="P709">
        <v>0</v>
      </c>
      <c r="Q709" s="6">
        <v>76.5</v>
      </c>
      <c r="R709">
        <v>1</v>
      </c>
      <c r="S709" s="6">
        <v>801</v>
      </c>
      <c r="T709">
        <v>0</v>
      </c>
      <c r="U709" s="6">
        <v>1162</v>
      </c>
      <c r="V709">
        <v>1</v>
      </c>
      <c r="W709">
        <v>0</v>
      </c>
      <c r="X709">
        <v>0</v>
      </c>
      <c r="Y709" s="6">
        <v>45.3</v>
      </c>
      <c r="Z709">
        <v>4.7E-2</v>
      </c>
      <c r="AA709">
        <v>0.11</v>
      </c>
      <c r="AB709">
        <v>4.8000000000000001E-2</v>
      </c>
      <c r="AC709">
        <v>6</v>
      </c>
      <c r="AD709" s="6">
        <v>50</v>
      </c>
      <c r="AE709" s="6">
        <v>25</v>
      </c>
      <c r="AF709" s="6">
        <v>0</v>
      </c>
      <c r="AG709" s="6">
        <v>112.35</v>
      </c>
      <c r="AH709" s="6">
        <v>141.91</v>
      </c>
      <c r="AI709" s="6">
        <f t="shared" si="22"/>
        <v>29.560000000000002</v>
      </c>
      <c r="AJ709" s="5">
        <f t="shared" si="23"/>
        <v>0.20830103586780355</v>
      </c>
    </row>
    <row r="710" spans="1:36">
      <c r="A710" t="s">
        <v>206</v>
      </c>
      <c r="B710" t="s">
        <v>995</v>
      </c>
      <c r="C710" t="s">
        <v>75</v>
      </c>
      <c r="D710" t="s">
        <v>77</v>
      </c>
      <c r="E710" t="s">
        <v>55</v>
      </c>
      <c r="F710">
        <v>0</v>
      </c>
      <c r="G710">
        <v>2470</v>
      </c>
      <c r="H710">
        <v>1</v>
      </c>
      <c r="I710" t="s">
        <v>181</v>
      </c>
      <c r="J710">
        <v>3</v>
      </c>
      <c r="K710" s="6">
        <v>10.29</v>
      </c>
      <c r="L710" t="s">
        <v>174</v>
      </c>
      <c r="M710">
        <v>0</v>
      </c>
      <c r="N710" t="s">
        <v>175</v>
      </c>
      <c r="O710">
        <v>1</v>
      </c>
      <c r="P710">
        <v>0</v>
      </c>
      <c r="Q710" s="6">
        <v>26.8</v>
      </c>
      <c r="R710">
        <v>0</v>
      </c>
      <c r="S710" s="6">
        <v>0</v>
      </c>
      <c r="T710">
        <v>0</v>
      </c>
      <c r="U710" s="6">
        <v>2789</v>
      </c>
      <c r="V710">
        <v>0</v>
      </c>
      <c r="W710">
        <v>0</v>
      </c>
      <c r="X710">
        <v>0</v>
      </c>
      <c r="Y710" s="6">
        <v>45.3</v>
      </c>
      <c r="Z710">
        <v>4.7E-2</v>
      </c>
      <c r="AA710">
        <v>0.11</v>
      </c>
      <c r="AB710">
        <v>4.8000000000000001E-2</v>
      </c>
      <c r="AC710">
        <v>6</v>
      </c>
      <c r="AD710" s="6">
        <v>60</v>
      </c>
      <c r="AE710" s="6">
        <v>0</v>
      </c>
      <c r="AF710" s="6">
        <v>0</v>
      </c>
      <c r="AG710" s="6">
        <v>96.29</v>
      </c>
      <c r="AH710" s="6">
        <v>123.31</v>
      </c>
      <c r="AI710" s="6">
        <f t="shared" si="22"/>
        <v>27.019999999999996</v>
      </c>
      <c r="AJ710" s="5">
        <f t="shared" si="23"/>
        <v>0.21912253669613166</v>
      </c>
    </row>
    <row r="711" spans="1:36">
      <c r="A711" t="s">
        <v>579</v>
      </c>
      <c r="B711" t="s">
        <v>996</v>
      </c>
      <c r="C711" t="s">
        <v>75</v>
      </c>
      <c r="D711" t="s">
        <v>77</v>
      </c>
      <c r="E711" t="s">
        <v>55</v>
      </c>
      <c r="F711">
        <v>0</v>
      </c>
      <c r="G711">
        <v>2470</v>
      </c>
      <c r="H711">
        <v>1</v>
      </c>
      <c r="I711" t="s">
        <v>220</v>
      </c>
      <c r="J711">
        <v>2</v>
      </c>
      <c r="K711" s="6">
        <v>6.32</v>
      </c>
      <c r="L711" t="s">
        <v>174</v>
      </c>
      <c r="M711">
        <v>0</v>
      </c>
      <c r="N711" t="s">
        <v>182</v>
      </c>
      <c r="O711">
        <v>3</v>
      </c>
      <c r="P711">
        <v>0</v>
      </c>
      <c r="Q711" s="6">
        <v>105.2</v>
      </c>
      <c r="R711">
        <v>1</v>
      </c>
      <c r="S711" s="6">
        <v>778</v>
      </c>
      <c r="T711">
        <v>0</v>
      </c>
      <c r="U711" s="6">
        <v>1900</v>
      </c>
      <c r="V711">
        <v>0</v>
      </c>
      <c r="W711">
        <v>0</v>
      </c>
      <c r="X711">
        <v>0</v>
      </c>
      <c r="Y711" s="6">
        <v>45.3</v>
      </c>
      <c r="Z711">
        <v>4.7E-2</v>
      </c>
      <c r="AA711">
        <v>0.11</v>
      </c>
      <c r="AB711">
        <v>4.8000000000000001E-2</v>
      </c>
      <c r="AC711">
        <v>6</v>
      </c>
      <c r="AD711" s="6">
        <v>50</v>
      </c>
      <c r="AE711" s="6">
        <v>25</v>
      </c>
      <c r="AF711" s="6">
        <v>0</v>
      </c>
      <c r="AG711" s="6">
        <v>83.07</v>
      </c>
      <c r="AH711" s="6">
        <v>105.99</v>
      </c>
      <c r="AI711" s="6">
        <f t="shared" si="22"/>
        <v>22.92</v>
      </c>
      <c r="AJ711" s="5">
        <f t="shared" si="23"/>
        <v>0.21624681573733373</v>
      </c>
    </row>
    <row r="712" spans="1:36">
      <c r="A712" t="s">
        <v>391</v>
      </c>
      <c r="B712" t="s">
        <v>997</v>
      </c>
      <c r="C712" t="s">
        <v>75</v>
      </c>
      <c r="D712" t="s">
        <v>77</v>
      </c>
      <c r="E712" t="s">
        <v>55</v>
      </c>
      <c r="F712">
        <v>0</v>
      </c>
      <c r="G712">
        <v>2470</v>
      </c>
      <c r="H712">
        <v>1</v>
      </c>
      <c r="I712" t="s">
        <v>173</v>
      </c>
      <c r="J712">
        <v>1</v>
      </c>
      <c r="K712" s="6">
        <v>1.78</v>
      </c>
      <c r="L712" t="s">
        <v>174</v>
      </c>
      <c r="M712">
        <v>0</v>
      </c>
      <c r="N712" t="s">
        <v>175</v>
      </c>
      <c r="O712">
        <v>1</v>
      </c>
      <c r="P712">
        <v>0</v>
      </c>
      <c r="Q712" s="6">
        <v>35.5</v>
      </c>
      <c r="R712">
        <v>0</v>
      </c>
      <c r="S712" s="6">
        <v>0</v>
      </c>
      <c r="T712">
        <v>0</v>
      </c>
      <c r="U712" s="6">
        <v>5179</v>
      </c>
      <c r="V712">
        <v>0</v>
      </c>
      <c r="W712">
        <v>0</v>
      </c>
      <c r="X712">
        <v>0</v>
      </c>
      <c r="Y712" s="6">
        <v>45.3</v>
      </c>
      <c r="Z712">
        <v>4.7E-2</v>
      </c>
      <c r="AA712">
        <v>0.11</v>
      </c>
      <c r="AB712">
        <v>4.8000000000000001E-2</v>
      </c>
      <c r="AC712">
        <v>6</v>
      </c>
      <c r="AD712" s="6">
        <v>50</v>
      </c>
      <c r="AE712" s="6">
        <v>0</v>
      </c>
      <c r="AF712" s="6">
        <v>0</v>
      </c>
      <c r="AG712" s="6">
        <v>49.25</v>
      </c>
      <c r="AH712" s="6">
        <v>65.34</v>
      </c>
      <c r="AI712" s="6">
        <f t="shared" si="22"/>
        <v>16.090000000000003</v>
      </c>
      <c r="AJ712" s="5">
        <f t="shared" si="23"/>
        <v>0.24625038261401902</v>
      </c>
    </row>
    <row r="713" spans="1:36">
      <c r="A713" t="s">
        <v>411</v>
      </c>
      <c r="B713" t="s">
        <v>998</v>
      </c>
      <c r="C713" t="s">
        <v>75</v>
      </c>
      <c r="D713" t="s">
        <v>77</v>
      </c>
      <c r="E713" t="s">
        <v>55</v>
      </c>
      <c r="F713">
        <v>0</v>
      </c>
      <c r="G713">
        <v>2470</v>
      </c>
      <c r="H713">
        <v>1</v>
      </c>
      <c r="I713" t="s">
        <v>220</v>
      </c>
      <c r="J713">
        <v>2</v>
      </c>
      <c r="K713" s="6">
        <v>2.33</v>
      </c>
      <c r="L713" t="s">
        <v>174</v>
      </c>
      <c r="M713">
        <v>0</v>
      </c>
      <c r="N713" t="s">
        <v>182</v>
      </c>
      <c r="O713">
        <v>3</v>
      </c>
      <c r="P713">
        <v>1</v>
      </c>
      <c r="Q713" s="6">
        <v>120.6</v>
      </c>
      <c r="R713">
        <v>1</v>
      </c>
      <c r="S713" s="6">
        <v>2217</v>
      </c>
      <c r="T713">
        <v>0</v>
      </c>
      <c r="U713" s="6">
        <v>1781</v>
      </c>
      <c r="V713">
        <v>0</v>
      </c>
      <c r="W713">
        <v>0</v>
      </c>
      <c r="X713">
        <v>0</v>
      </c>
      <c r="Y713" s="6">
        <v>45.3</v>
      </c>
      <c r="Z713">
        <v>4.7E-2</v>
      </c>
      <c r="AA713">
        <v>0.11</v>
      </c>
      <c r="AB713">
        <v>4.8000000000000001E-2</v>
      </c>
      <c r="AC713">
        <v>6</v>
      </c>
      <c r="AD713" s="6">
        <v>50</v>
      </c>
      <c r="AE713" s="6">
        <v>40</v>
      </c>
      <c r="AF713" s="6">
        <v>0</v>
      </c>
      <c r="AG713" s="6">
        <v>100.88</v>
      </c>
      <c r="AH713" s="6">
        <v>127.78</v>
      </c>
      <c r="AI713" s="6">
        <f t="shared" si="22"/>
        <v>26.900000000000006</v>
      </c>
      <c r="AJ713" s="5">
        <f t="shared" si="23"/>
        <v>0.21051807794647054</v>
      </c>
    </row>
    <row r="714" spans="1:36">
      <c r="A714" t="s">
        <v>279</v>
      </c>
      <c r="B714" t="s">
        <v>999</v>
      </c>
      <c r="C714" t="s">
        <v>75</v>
      </c>
      <c r="D714" t="s">
        <v>77</v>
      </c>
      <c r="E714" t="s">
        <v>55</v>
      </c>
      <c r="F714">
        <v>0</v>
      </c>
      <c r="G714">
        <v>2470</v>
      </c>
      <c r="H714">
        <v>1</v>
      </c>
      <c r="I714" t="s">
        <v>173</v>
      </c>
      <c r="J714">
        <v>1</v>
      </c>
      <c r="K714" s="6">
        <v>0.57999999999999996</v>
      </c>
      <c r="L714" t="s">
        <v>174</v>
      </c>
      <c r="M714">
        <v>0</v>
      </c>
      <c r="N714" t="s">
        <v>187</v>
      </c>
      <c r="O714">
        <v>2</v>
      </c>
      <c r="P714">
        <v>1</v>
      </c>
      <c r="Q714" s="6">
        <v>55</v>
      </c>
      <c r="R714">
        <v>0</v>
      </c>
      <c r="S714" s="6">
        <v>0</v>
      </c>
      <c r="T714">
        <v>0</v>
      </c>
      <c r="U714" s="6">
        <v>1965</v>
      </c>
      <c r="V714">
        <v>0</v>
      </c>
      <c r="W714">
        <v>0</v>
      </c>
      <c r="X714">
        <v>0</v>
      </c>
      <c r="Y714" s="6">
        <v>45.3</v>
      </c>
      <c r="Z714">
        <v>4.7E-2</v>
      </c>
      <c r="AA714">
        <v>0.11</v>
      </c>
      <c r="AB714">
        <v>4.8000000000000001E-2</v>
      </c>
      <c r="AC714">
        <v>6</v>
      </c>
      <c r="AD714" s="6">
        <v>50</v>
      </c>
      <c r="AE714" s="6">
        <v>0</v>
      </c>
      <c r="AF714" s="6">
        <v>0</v>
      </c>
      <c r="AG714" s="6">
        <v>86.4</v>
      </c>
      <c r="AH714" s="6">
        <v>109.46</v>
      </c>
      <c r="AI714" s="6">
        <f t="shared" si="22"/>
        <v>23.059999999999988</v>
      </c>
      <c r="AJ714" s="5">
        <f t="shared" si="23"/>
        <v>0.2106705645898044</v>
      </c>
    </row>
    <row r="715" spans="1:36">
      <c r="A715" t="s">
        <v>528</v>
      </c>
      <c r="B715" t="s">
        <v>1000</v>
      </c>
      <c r="C715" t="s">
        <v>75</v>
      </c>
      <c r="D715" t="s">
        <v>77</v>
      </c>
      <c r="E715" t="s">
        <v>55</v>
      </c>
      <c r="F715">
        <v>0</v>
      </c>
      <c r="G715">
        <v>2470</v>
      </c>
      <c r="H715">
        <v>1</v>
      </c>
      <c r="I715" t="s">
        <v>173</v>
      </c>
      <c r="J715">
        <v>1</v>
      </c>
      <c r="K715" s="6">
        <v>1.36</v>
      </c>
      <c r="L715" t="s">
        <v>174</v>
      </c>
      <c r="M715">
        <v>0</v>
      </c>
      <c r="N715" t="s">
        <v>187</v>
      </c>
      <c r="O715">
        <v>2</v>
      </c>
      <c r="P715">
        <v>0</v>
      </c>
      <c r="Q715" s="6">
        <v>42.3</v>
      </c>
      <c r="R715">
        <v>0</v>
      </c>
      <c r="S715" s="6">
        <v>0</v>
      </c>
      <c r="T715">
        <v>0</v>
      </c>
      <c r="U715" s="6">
        <v>2564</v>
      </c>
      <c r="V715">
        <v>0</v>
      </c>
      <c r="W715">
        <v>0</v>
      </c>
      <c r="X715">
        <v>1</v>
      </c>
      <c r="Y715" s="6">
        <v>45.3</v>
      </c>
      <c r="Z715">
        <v>4.7E-2</v>
      </c>
      <c r="AA715">
        <v>0.11</v>
      </c>
      <c r="AB715">
        <v>4.8000000000000001E-2</v>
      </c>
      <c r="AC715">
        <v>6</v>
      </c>
      <c r="AD715" s="6">
        <v>50</v>
      </c>
      <c r="AE715" s="6">
        <v>0</v>
      </c>
      <c r="AF715" s="6">
        <v>0</v>
      </c>
      <c r="AG715" s="6">
        <v>47.47</v>
      </c>
      <c r="AH715" s="6">
        <v>60.23</v>
      </c>
      <c r="AI715" s="6">
        <f t="shared" si="22"/>
        <v>12.759999999999998</v>
      </c>
      <c r="AJ715" s="5">
        <f t="shared" si="23"/>
        <v>0.21185455752947036</v>
      </c>
    </row>
    <row r="716" spans="1:36">
      <c r="A716" t="s">
        <v>323</v>
      </c>
      <c r="B716" t="s">
        <v>1001</v>
      </c>
      <c r="C716" t="s">
        <v>75</v>
      </c>
      <c r="D716" t="s">
        <v>77</v>
      </c>
      <c r="E716" t="s">
        <v>55</v>
      </c>
      <c r="F716">
        <v>0</v>
      </c>
      <c r="G716">
        <v>2470</v>
      </c>
      <c r="H716">
        <v>1</v>
      </c>
      <c r="I716" t="s">
        <v>173</v>
      </c>
      <c r="J716">
        <v>1</v>
      </c>
      <c r="K716" s="6">
        <v>2.27</v>
      </c>
      <c r="L716" t="s">
        <v>174</v>
      </c>
      <c r="M716">
        <v>0</v>
      </c>
      <c r="N716" t="s">
        <v>187</v>
      </c>
      <c r="O716">
        <v>2</v>
      </c>
      <c r="P716">
        <v>0</v>
      </c>
      <c r="Q716" s="6">
        <v>68.7</v>
      </c>
      <c r="R716">
        <v>1</v>
      </c>
      <c r="S716" s="6">
        <v>789</v>
      </c>
      <c r="T716">
        <v>0</v>
      </c>
      <c r="U716" s="6">
        <v>4250</v>
      </c>
      <c r="V716">
        <v>0</v>
      </c>
      <c r="W716">
        <v>0</v>
      </c>
      <c r="X716">
        <v>1</v>
      </c>
      <c r="Y716" s="6">
        <v>45.3</v>
      </c>
      <c r="Z716">
        <v>4.7E-2</v>
      </c>
      <c r="AA716">
        <v>0.11</v>
      </c>
      <c r="AB716">
        <v>4.8000000000000001E-2</v>
      </c>
      <c r="AC716">
        <v>6</v>
      </c>
      <c r="AD716" s="6">
        <v>50</v>
      </c>
      <c r="AE716" s="6">
        <v>25</v>
      </c>
      <c r="AF716" s="6">
        <v>0</v>
      </c>
      <c r="AG716" s="6">
        <v>65.87</v>
      </c>
      <c r="AH716" s="6">
        <v>84.69</v>
      </c>
      <c r="AI716" s="6">
        <f t="shared" si="22"/>
        <v>18.819999999999993</v>
      </c>
      <c r="AJ716" s="5">
        <f t="shared" si="23"/>
        <v>0.22222222222222215</v>
      </c>
    </row>
    <row r="717" spans="1:36">
      <c r="A717" t="s">
        <v>277</v>
      </c>
      <c r="B717" t="s">
        <v>1002</v>
      </c>
      <c r="C717" t="s">
        <v>75</v>
      </c>
      <c r="D717" t="s">
        <v>77</v>
      </c>
      <c r="E717" t="s">
        <v>55</v>
      </c>
      <c r="F717">
        <v>0</v>
      </c>
      <c r="G717">
        <v>2470</v>
      </c>
      <c r="H717">
        <v>1</v>
      </c>
      <c r="I717" t="s">
        <v>220</v>
      </c>
      <c r="J717">
        <v>2</v>
      </c>
      <c r="K717" s="6">
        <v>3.58</v>
      </c>
      <c r="L717" t="s">
        <v>174</v>
      </c>
      <c r="M717">
        <v>0</v>
      </c>
      <c r="N717" t="s">
        <v>187</v>
      </c>
      <c r="O717">
        <v>2</v>
      </c>
      <c r="P717">
        <v>0</v>
      </c>
      <c r="Q717" s="6">
        <v>68.8</v>
      </c>
      <c r="R717">
        <v>0</v>
      </c>
      <c r="S717" s="6">
        <v>0</v>
      </c>
      <c r="T717">
        <v>0</v>
      </c>
      <c r="U717" s="6">
        <v>1519</v>
      </c>
      <c r="V717">
        <v>0</v>
      </c>
      <c r="W717">
        <v>0</v>
      </c>
      <c r="X717">
        <v>0</v>
      </c>
      <c r="Y717" s="6">
        <v>45.3</v>
      </c>
      <c r="Z717">
        <v>4.7E-2</v>
      </c>
      <c r="AA717">
        <v>0.11</v>
      </c>
      <c r="AB717">
        <v>4.8000000000000001E-2</v>
      </c>
      <c r="AC717">
        <v>6</v>
      </c>
      <c r="AD717" s="6">
        <v>50</v>
      </c>
      <c r="AE717" s="6">
        <v>0</v>
      </c>
      <c r="AF717" s="6">
        <v>0</v>
      </c>
      <c r="AG717" s="6">
        <v>68.599999999999994</v>
      </c>
      <c r="AH717" s="6">
        <v>89.33</v>
      </c>
      <c r="AI717" s="6">
        <f t="shared" si="22"/>
        <v>20.730000000000004</v>
      </c>
      <c r="AJ717" s="5">
        <f t="shared" si="23"/>
        <v>0.23206089779469388</v>
      </c>
    </row>
    <row r="718" spans="1:36">
      <c r="A718" t="s">
        <v>188</v>
      </c>
      <c r="B718" t="s">
        <v>1003</v>
      </c>
      <c r="C718" t="s">
        <v>75</v>
      </c>
      <c r="D718" t="s">
        <v>77</v>
      </c>
      <c r="E718" t="s">
        <v>55</v>
      </c>
      <c r="F718">
        <v>0</v>
      </c>
      <c r="G718">
        <v>2470</v>
      </c>
      <c r="H718">
        <v>1</v>
      </c>
      <c r="I718" t="s">
        <v>173</v>
      </c>
      <c r="J718">
        <v>1</v>
      </c>
      <c r="K718" s="6">
        <v>1.82</v>
      </c>
      <c r="L718" t="s">
        <v>174</v>
      </c>
      <c r="M718">
        <v>0</v>
      </c>
      <c r="N718" t="s">
        <v>217</v>
      </c>
      <c r="O718">
        <v>4</v>
      </c>
      <c r="P718">
        <v>1</v>
      </c>
      <c r="Q718" s="6">
        <v>158.19999999999999</v>
      </c>
      <c r="R718">
        <v>1</v>
      </c>
      <c r="S718" s="6">
        <v>798</v>
      </c>
      <c r="T718">
        <v>0</v>
      </c>
      <c r="U718" s="6">
        <v>2622</v>
      </c>
      <c r="V718">
        <v>0</v>
      </c>
      <c r="W718">
        <v>0</v>
      </c>
      <c r="X718">
        <v>0</v>
      </c>
      <c r="Y718" s="6">
        <v>45.3</v>
      </c>
      <c r="Z718">
        <v>4.7E-2</v>
      </c>
      <c r="AA718">
        <v>0.11</v>
      </c>
      <c r="AB718">
        <v>4.8000000000000001E-2</v>
      </c>
      <c r="AC718">
        <v>6</v>
      </c>
      <c r="AD718" s="6">
        <v>50</v>
      </c>
      <c r="AE718" s="6">
        <v>25</v>
      </c>
      <c r="AF718" s="6">
        <v>0</v>
      </c>
      <c r="AG718" s="6">
        <v>98.93</v>
      </c>
      <c r="AH718" s="6">
        <v>126.6</v>
      </c>
      <c r="AI718" s="6">
        <f t="shared" si="22"/>
        <v>27.669999999999987</v>
      </c>
      <c r="AJ718" s="5">
        <f t="shared" si="23"/>
        <v>0.21856240126382298</v>
      </c>
    </row>
    <row r="719" spans="1:36">
      <c r="A719" t="s">
        <v>215</v>
      </c>
      <c r="B719" t="s">
        <v>1004</v>
      </c>
      <c r="C719" t="s">
        <v>75</v>
      </c>
      <c r="D719" t="s">
        <v>77</v>
      </c>
      <c r="E719" t="s">
        <v>55</v>
      </c>
      <c r="F719">
        <v>0</v>
      </c>
      <c r="G719">
        <v>2470</v>
      </c>
      <c r="H719">
        <v>1</v>
      </c>
      <c r="I719" t="s">
        <v>220</v>
      </c>
      <c r="J719">
        <v>2</v>
      </c>
      <c r="K719" s="6">
        <v>2.92</v>
      </c>
      <c r="L719" t="s">
        <v>174</v>
      </c>
      <c r="M719">
        <v>0</v>
      </c>
      <c r="N719" t="s">
        <v>175</v>
      </c>
      <c r="O719">
        <v>1</v>
      </c>
      <c r="P719">
        <v>1</v>
      </c>
      <c r="Q719" s="6">
        <v>13.1</v>
      </c>
      <c r="R719">
        <v>0</v>
      </c>
      <c r="S719" s="6">
        <v>0</v>
      </c>
      <c r="T719">
        <v>0</v>
      </c>
      <c r="U719" s="6">
        <v>1185</v>
      </c>
      <c r="V719">
        <v>0</v>
      </c>
      <c r="W719">
        <v>0</v>
      </c>
      <c r="X719">
        <v>0</v>
      </c>
      <c r="Y719" s="6">
        <v>45.3</v>
      </c>
      <c r="Z719">
        <v>4.7E-2</v>
      </c>
      <c r="AA719">
        <v>0.11</v>
      </c>
      <c r="AB719">
        <v>4.8000000000000001E-2</v>
      </c>
      <c r="AC719">
        <v>6</v>
      </c>
      <c r="AD719" s="6">
        <v>50</v>
      </c>
      <c r="AE719" s="6">
        <v>0</v>
      </c>
      <c r="AF719" s="6">
        <v>0</v>
      </c>
      <c r="AG719" s="6">
        <v>79.16</v>
      </c>
      <c r="AH719" s="6">
        <v>101.4</v>
      </c>
      <c r="AI719" s="6">
        <f t="shared" si="22"/>
        <v>22.240000000000009</v>
      </c>
      <c r="AJ719" s="5">
        <f t="shared" si="23"/>
        <v>0.21932938856015788</v>
      </c>
    </row>
    <row r="720" spans="1:36">
      <c r="A720" t="s">
        <v>481</v>
      </c>
      <c r="B720" t="s">
        <v>1005</v>
      </c>
      <c r="C720" t="s">
        <v>75</v>
      </c>
      <c r="D720" t="s">
        <v>77</v>
      </c>
      <c r="E720" t="s">
        <v>55</v>
      </c>
      <c r="F720">
        <v>0</v>
      </c>
      <c r="G720">
        <v>2470</v>
      </c>
      <c r="H720">
        <v>1</v>
      </c>
      <c r="I720" t="s">
        <v>178</v>
      </c>
      <c r="J720">
        <v>4</v>
      </c>
      <c r="K720" s="6">
        <v>16.760000000000002</v>
      </c>
      <c r="L720" t="s">
        <v>174</v>
      </c>
      <c r="M720">
        <v>0</v>
      </c>
      <c r="N720" t="s">
        <v>187</v>
      </c>
      <c r="O720">
        <v>2</v>
      </c>
      <c r="P720">
        <v>0</v>
      </c>
      <c r="Q720" s="6">
        <v>73</v>
      </c>
      <c r="R720">
        <v>1</v>
      </c>
      <c r="S720" s="6">
        <v>1110</v>
      </c>
      <c r="T720">
        <v>0</v>
      </c>
      <c r="U720" s="6">
        <v>1660</v>
      </c>
      <c r="V720">
        <v>0</v>
      </c>
      <c r="W720">
        <v>0</v>
      </c>
      <c r="X720">
        <v>0</v>
      </c>
      <c r="Y720" s="6">
        <v>45.3</v>
      </c>
      <c r="Z720">
        <v>4.7E-2</v>
      </c>
      <c r="AA720">
        <v>0.11</v>
      </c>
      <c r="AB720">
        <v>4.8000000000000001E-2</v>
      </c>
      <c r="AC720">
        <v>6</v>
      </c>
      <c r="AD720" s="6">
        <v>65</v>
      </c>
      <c r="AE720" s="6">
        <v>25</v>
      </c>
      <c r="AF720" s="6">
        <v>0</v>
      </c>
      <c r="AG720" s="6">
        <v>143.6</v>
      </c>
      <c r="AH720" s="6">
        <v>182.56</v>
      </c>
      <c r="AI720" s="6">
        <f t="shared" si="22"/>
        <v>38.960000000000008</v>
      </c>
      <c r="AJ720" s="5">
        <f t="shared" si="23"/>
        <v>0.21340929009640669</v>
      </c>
    </row>
    <row r="721" spans="1:36">
      <c r="A721" t="s">
        <v>230</v>
      </c>
      <c r="B721" t="s">
        <v>1006</v>
      </c>
      <c r="C721" t="s">
        <v>75</v>
      </c>
      <c r="D721" t="s">
        <v>77</v>
      </c>
      <c r="E721" t="s">
        <v>55</v>
      </c>
      <c r="F721">
        <v>0</v>
      </c>
      <c r="G721">
        <v>2470</v>
      </c>
      <c r="H721">
        <v>1</v>
      </c>
      <c r="I721" t="s">
        <v>220</v>
      </c>
      <c r="J721">
        <v>2</v>
      </c>
      <c r="K721" s="6">
        <v>2.08</v>
      </c>
      <c r="L721" t="s">
        <v>174</v>
      </c>
      <c r="M721">
        <v>0</v>
      </c>
      <c r="N721" t="s">
        <v>175</v>
      </c>
      <c r="O721">
        <v>1</v>
      </c>
      <c r="P721">
        <v>0</v>
      </c>
      <c r="Q721" s="6">
        <v>40.700000000000003</v>
      </c>
      <c r="R721">
        <v>1</v>
      </c>
      <c r="S721" s="6">
        <v>2250</v>
      </c>
      <c r="T721">
        <v>0</v>
      </c>
      <c r="U721" s="6">
        <v>3122</v>
      </c>
      <c r="V721">
        <v>0</v>
      </c>
      <c r="W721">
        <v>0</v>
      </c>
      <c r="X721">
        <v>0</v>
      </c>
      <c r="Y721" s="6">
        <v>45.3</v>
      </c>
      <c r="Z721">
        <v>4.7E-2</v>
      </c>
      <c r="AA721">
        <v>0.11</v>
      </c>
      <c r="AB721">
        <v>4.8000000000000001E-2</v>
      </c>
      <c r="AC721">
        <v>6</v>
      </c>
      <c r="AD721" s="6">
        <v>50</v>
      </c>
      <c r="AE721" s="6">
        <v>40</v>
      </c>
      <c r="AF721" s="6">
        <v>0</v>
      </c>
      <c r="AG721" s="6">
        <v>58.91</v>
      </c>
      <c r="AH721" s="6">
        <v>78.260000000000005</v>
      </c>
      <c r="AI721" s="6">
        <f t="shared" si="22"/>
        <v>19.350000000000009</v>
      </c>
      <c r="AJ721" s="5">
        <f t="shared" si="23"/>
        <v>0.24725274725274735</v>
      </c>
    </row>
    <row r="722" spans="1:36">
      <c r="A722" t="s">
        <v>381</v>
      </c>
      <c r="B722" t="s">
        <v>1007</v>
      </c>
      <c r="C722" t="s">
        <v>75</v>
      </c>
      <c r="D722" t="s">
        <v>77</v>
      </c>
      <c r="E722" t="s">
        <v>55</v>
      </c>
      <c r="F722">
        <v>0</v>
      </c>
      <c r="G722">
        <v>2470</v>
      </c>
      <c r="H722">
        <v>1</v>
      </c>
      <c r="I722" t="s">
        <v>220</v>
      </c>
      <c r="J722">
        <v>2</v>
      </c>
      <c r="K722" s="6">
        <v>2.4500000000000002</v>
      </c>
      <c r="L722" t="s">
        <v>174</v>
      </c>
      <c r="M722">
        <v>0</v>
      </c>
      <c r="N722" t="s">
        <v>175</v>
      </c>
      <c r="O722">
        <v>1</v>
      </c>
      <c r="P722">
        <v>0</v>
      </c>
      <c r="Q722" s="6">
        <v>26.2</v>
      </c>
      <c r="R722">
        <v>0</v>
      </c>
      <c r="S722" s="6">
        <v>0</v>
      </c>
      <c r="T722">
        <v>0</v>
      </c>
      <c r="U722" s="6">
        <v>973</v>
      </c>
      <c r="V722">
        <v>0</v>
      </c>
      <c r="W722">
        <v>0</v>
      </c>
      <c r="X722">
        <v>1</v>
      </c>
      <c r="Y722" s="6">
        <v>45.3</v>
      </c>
      <c r="Z722">
        <v>4.7E-2</v>
      </c>
      <c r="AA722">
        <v>0.11</v>
      </c>
      <c r="AB722">
        <v>4.8000000000000001E-2</v>
      </c>
      <c r="AC722">
        <v>6</v>
      </c>
      <c r="AD722" s="6">
        <v>50</v>
      </c>
      <c r="AE722" s="6">
        <v>0</v>
      </c>
      <c r="AF722" s="6">
        <v>0</v>
      </c>
      <c r="AG722" s="6">
        <v>57.67</v>
      </c>
      <c r="AH722" s="6">
        <v>76.62</v>
      </c>
      <c r="AI722" s="6">
        <f t="shared" si="22"/>
        <v>18.950000000000003</v>
      </c>
      <c r="AJ722" s="5">
        <f t="shared" si="23"/>
        <v>0.24732445836596192</v>
      </c>
    </row>
    <row r="723" spans="1:36">
      <c r="A723" t="s">
        <v>397</v>
      </c>
      <c r="B723" t="s">
        <v>1008</v>
      </c>
      <c r="C723" t="s">
        <v>75</v>
      </c>
      <c r="D723" t="s">
        <v>77</v>
      </c>
      <c r="E723" t="s">
        <v>55</v>
      </c>
      <c r="F723">
        <v>0</v>
      </c>
      <c r="G723">
        <v>2470</v>
      </c>
      <c r="H723">
        <v>1</v>
      </c>
      <c r="I723" t="s">
        <v>220</v>
      </c>
      <c r="J723">
        <v>2</v>
      </c>
      <c r="K723" s="6">
        <v>4.8</v>
      </c>
      <c r="L723" t="s">
        <v>174</v>
      </c>
      <c r="M723">
        <v>0</v>
      </c>
      <c r="N723" t="s">
        <v>187</v>
      </c>
      <c r="O723">
        <v>2</v>
      </c>
      <c r="P723">
        <v>0</v>
      </c>
      <c r="Q723" s="6">
        <v>80.900000000000006</v>
      </c>
      <c r="R723">
        <v>0</v>
      </c>
      <c r="S723" s="6">
        <v>0</v>
      </c>
      <c r="T723">
        <v>0</v>
      </c>
      <c r="U723" s="6">
        <v>858</v>
      </c>
      <c r="V723">
        <v>0</v>
      </c>
      <c r="W723">
        <v>0</v>
      </c>
      <c r="X723">
        <v>0</v>
      </c>
      <c r="Y723" s="6">
        <v>45.3</v>
      </c>
      <c r="Z723">
        <v>4.7E-2</v>
      </c>
      <c r="AA723">
        <v>0.11</v>
      </c>
      <c r="AB723">
        <v>4.8000000000000001E-2</v>
      </c>
      <c r="AC723">
        <v>6</v>
      </c>
      <c r="AD723" s="6">
        <v>50</v>
      </c>
      <c r="AE723" s="6">
        <v>0</v>
      </c>
      <c r="AF723" s="6">
        <v>0</v>
      </c>
      <c r="AG723" s="6">
        <v>71.680000000000007</v>
      </c>
      <c r="AH723" s="6">
        <v>90.34</v>
      </c>
      <c r="AI723" s="6">
        <f t="shared" si="22"/>
        <v>18.659999999999997</v>
      </c>
      <c r="AJ723" s="5">
        <f t="shared" si="23"/>
        <v>0.20655302191720162</v>
      </c>
    </row>
    <row r="724" spans="1:36">
      <c r="A724" t="s">
        <v>436</v>
      </c>
      <c r="B724" t="s">
        <v>1009</v>
      </c>
      <c r="C724" t="s">
        <v>75</v>
      </c>
      <c r="D724" t="s">
        <v>77</v>
      </c>
      <c r="E724" t="s">
        <v>55</v>
      </c>
      <c r="F724">
        <v>0</v>
      </c>
      <c r="G724">
        <v>2470</v>
      </c>
      <c r="H724">
        <v>1</v>
      </c>
      <c r="I724" t="s">
        <v>173</v>
      </c>
      <c r="J724">
        <v>1</v>
      </c>
      <c r="K724" s="6">
        <v>0.51</v>
      </c>
      <c r="L724" t="s">
        <v>174</v>
      </c>
      <c r="M724">
        <v>0</v>
      </c>
      <c r="N724" t="s">
        <v>175</v>
      </c>
      <c r="O724">
        <v>1</v>
      </c>
      <c r="P724">
        <v>0</v>
      </c>
      <c r="Q724" s="6">
        <v>39.5</v>
      </c>
      <c r="R724">
        <v>1</v>
      </c>
      <c r="S724" s="6">
        <v>649</v>
      </c>
      <c r="T724">
        <v>0</v>
      </c>
      <c r="U724" s="6">
        <v>2853</v>
      </c>
      <c r="V724">
        <v>1</v>
      </c>
      <c r="W724">
        <v>0</v>
      </c>
      <c r="X724">
        <v>0</v>
      </c>
      <c r="Y724" s="6">
        <v>45.3</v>
      </c>
      <c r="Z724">
        <v>4.7E-2</v>
      </c>
      <c r="AA724">
        <v>0.11</v>
      </c>
      <c r="AB724">
        <v>4.8000000000000001E-2</v>
      </c>
      <c r="AC724">
        <v>6</v>
      </c>
      <c r="AD724" s="6">
        <v>50</v>
      </c>
      <c r="AE724" s="6">
        <v>25</v>
      </c>
      <c r="AF724" s="6">
        <v>0</v>
      </c>
      <c r="AG724" s="6">
        <v>93.33</v>
      </c>
      <c r="AH724" s="6">
        <v>121.6</v>
      </c>
      <c r="AI724" s="6">
        <f t="shared" si="22"/>
        <v>28.269999999999996</v>
      </c>
      <c r="AJ724" s="5">
        <f t="shared" si="23"/>
        <v>0.23248355263157894</v>
      </c>
    </row>
    <row r="725" spans="1:36">
      <c r="A725" t="s">
        <v>635</v>
      </c>
      <c r="B725" t="s">
        <v>1010</v>
      </c>
      <c r="C725" t="s">
        <v>75</v>
      </c>
      <c r="D725" t="s">
        <v>77</v>
      </c>
      <c r="E725" t="s">
        <v>55</v>
      </c>
      <c r="F725">
        <v>0</v>
      </c>
      <c r="G725">
        <v>2470</v>
      </c>
      <c r="H725">
        <v>1</v>
      </c>
      <c r="I725" t="s">
        <v>173</v>
      </c>
      <c r="J725">
        <v>1</v>
      </c>
      <c r="K725" s="6">
        <v>1.95</v>
      </c>
      <c r="L725" t="s">
        <v>174</v>
      </c>
      <c r="M725">
        <v>0</v>
      </c>
      <c r="N725" t="s">
        <v>175</v>
      </c>
      <c r="O725">
        <v>1</v>
      </c>
      <c r="P725">
        <v>0</v>
      </c>
      <c r="Q725" s="6">
        <v>44.5</v>
      </c>
      <c r="R725">
        <v>0</v>
      </c>
      <c r="S725" s="6">
        <v>0</v>
      </c>
      <c r="T725">
        <v>0</v>
      </c>
      <c r="U725" s="6">
        <v>3173</v>
      </c>
      <c r="V725">
        <v>0</v>
      </c>
      <c r="W725">
        <v>0</v>
      </c>
      <c r="X725">
        <v>1</v>
      </c>
      <c r="Y725" s="6">
        <v>45.3</v>
      </c>
      <c r="Z725">
        <v>4.7E-2</v>
      </c>
      <c r="AA725">
        <v>0.11</v>
      </c>
      <c r="AB725">
        <v>4.8000000000000001E-2</v>
      </c>
      <c r="AC725">
        <v>6</v>
      </c>
      <c r="AD725" s="6">
        <v>50</v>
      </c>
      <c r="AE725" s="6">
        <v>0</v>
      </c>
      <c r="AF725" s="6">
        <v>0</v>
      </c>
      <c r="AG725" s="6">
        <v>43.09</v>
      </c>
      <c r="AH725" s="6">
        <v>56.92</v>
      </c>
      <c r="AI725" s="6">
        <f t="shared" si="22"/>
        <v>13.829999999999998</v>
      </c>
      <c r="AJ725" s="5">
        <f t="shared" si="23"/>
        <v>0.24297259311314121</v>
      </c>
    </row>
    <row r="726" spans="1:36">
      <c r="A726" t="s">
        <v>469</v>
      </c>
      <c r="B726" t="s">
        <v>1011</v>
      </c>
      <c r="C726" t="s">
        <v>75</v>
      </c>
      <c r="D726" t="s">
        <v>77</v>
      </c>
      <c r="E726" t="s">
        <v>55</v>
      </c>
      <c r="F726">
        <v>0</v>
      </c>
      <c r="G726">
        <v>2470</v>
      </c>
      <c r="H726">
        <v>1</v>
      </c>
      <c r="I726" t="s">
        <v>173</v>
      </c>
      <c r="J726">
        <v>1</v>
      </c>
      <c r="K726" s="6">
        <v>1.89</v>
      </c>
      <c r="L726" t="s">
        <v>174</v>
      </c>
      <c r="M726">
        <v>0</v>
      </c>
      <c r="N726" t="s">
        <v>187</v>
      </c>
      <c r="O726">
        <v>2</v>
      </c>
      <c r="P726">
        <v>0</v>
      </c>
      <c r="Q726" s="6">
        <v>55.2</v>
      </c>
      <c r="R726">
        <v>1</v>
      </c>
      <c r="S726" s="6">
        <v>2178</v>
      </c>
      <c r="T726">
        <v>0</v>
      </c>
      <c r="U726" s="6">
        <v>2776</v>
      </c>
      <c r="V726">
        <v>1</v>
      </c>
      <c r="W726">
        <v>0</v>
      </c>
      <c r="X726">
        <v>0</v>
      </c>
      <c r="Y726" s="6">
        <v>45.3</v>
      </c>
      <c r="Z726">
        <v>4.7E-2</v>
      </c>
      <c r="AA726">
        <v>0.11</v>
      </c>
      <c r="AB726">
        <v>4.8000000000000001E-2</v>
      </c>
      <c r="AC726">
        <v>6</v>
      </c>
      <c r="AD726" s="6">
        <v>50</v>
      </c>
      <c r="AE726" s="6">
        <v>40</v>
      </c>
      <c r="AF726" s="6">
        <v>0</v>
      </c>
      <c r="AG726" s="6">
        <v>91.17</v>
      </c>
      <c r="AH726" s="6">
        <v>116.23</v>
      </c>
      <c r="AI726" s="6">
        <f t="shared" si="22"/>
        <v>25.060000000000002</v>
      </c>
      <c r="AJ726" s="5">
        <f t="shared" si="23"/>
        <v>0.21560698614815454</v>
      </c>
    </row>
    <row r="727" spans="1:36">
      <c r="A727" t="s">
        <v>192</v>
      </c>
      <c r="B727" t="s">
        <v>1012</v>
      </c>
      <c r="C727" t="s">
        <v>75</v>
      </c>
      <c r="D727" t="s">
        <v>77</v>
      </c>
      <c r="E727" t="s">
        <v>55</v>
      </c>
      <c r="F727">
        <v>0</v>
      </c>
      <c r="G727">
        <v>2470</v>
      </c>
      <c r="H727">
        <v>1</v>
      </c>
      <c r="I727" t="s">
        <v>173</v>
      </c>
      <c r="J727">
        <v>1</v>
      </c>
      <c r="K727" s="6">
        <v>1.4</v>
      </c>
      <c r="L727" t="s">
        <v>174</v>
      </c>
      <c r="M727">
        <v>0</v>
      </c>
      <c r="N727" t="s">
        <v>175</v>
      </c>
      <c r="O727">
        <v>1</v>
      </c>
      <c r="P727">
        <v>0</v>
      </c>
      <c r="Q727" s="6">
        <v>37.799999999999997</v>
      </c>
      <c r="R727">
        <v>0</v>
      </c>
      <c r="S727" s="6">
        <v>0</v>
      </c>
      <c r="T727">
        <v>0</v>
      </c>
      <c r="U727" s="6">
        <v>3189</v>
      </c>
      <c r="V727">
        <v>0</v>
      </c>
      <c r="W727">
        <v>0</v>
      </c>
      <c r="X727">
        <v>0</v>
      </c>
      <c r="Y727" s="6">
        <v>45.3</v>
      </c>
      <c r="Z727">
        <v>4.7E-2</v>
      </c>
      <c r="AA727">
        <v>0.11</v>
      </c>
      <c r="AB727">
        <v>4.8000000000000001E-2</v>
      </c>
      <c r="AC727">
        <v>6</v>
      </c>
      <c r="AD727" s="6">
        <v>50</v>
      </c>
      <c r="AE727" s="6">
        <v>0</v>
      </c>
      <c r="AF727" s="6">
        <v>0</v>
      </c>
      <c r="AG727" s="6">
        <v>54.7</v>
      </c>
      <c r="AH727" s="6">
        <v>69.89</v>
      </c>
      <c r="AI727" s="6">
        <f t="shared" si="22"/>
        <v>15.189999999999998</v>
      </c>
      <c r="AJ727" s="5">
        <f t="shared" si="23"/>
        <v>0.21734153670052936</v>
      </c>
    </row>
    <row r="728" spans="1:36">
      <c r="A728" t="s">
        <v>517</v>
      </c>
      <c r="B728" t="s">
        <v>1013</v>
      </c>
      <c r="C728" t="s">
        <v>75</v>
      </c>
      <c r="D728" t="s">
        <v>77</v>
      </c>
      <c r="E728" t="s">
        <v>55</v>
      </c>
      <c r="F728">
        <v>0</v>
      </c>
      <c r="G728">
        <v>2470</v>
      </c>
      <c r="H728">
        <v>1</v>
      </c>
      <c r="I728" t="s">
        <v>173</v>
      </c>
      <c r="J728">
        <v>1</v>
      </c>
      <c r="K728" s="6">
        <v>1.45</v>
      </c>
      <c r="L728" t="s">
        <v>174</v>
      </c>
      <c r="M728">
        <v>0</v>
      </c>
      <c r="N728" t="s">
        <v>182</v>
      </c>
      <c r="O728">
        <v>3</v>
      </c>
      <c r="P728">
        <v>0</v>
      </c>
      <c r="Q728" s="6">
        <v>92.3</v>
      </c>
      <c r="R728">
        <v>1</v>
      </c>
      <c r="S728" s="6">
        <v>968</v>
      </c>
      <c r="T728">
        <v>0</v>
      </c>
      <c r="U728" s="6">
        <v>2317</v>
      </c>
      <c r="V728">
        <v>0</v>
      </c>
      <c r="W728">
        <v>0</v>
      </c>
      <c r="X728">
        <v>0</v>
      </c>
      <c r="Y728" s="6">
        <v>45.3</v>
      </c>
      <c r="Z728">
        <v>4.7E-2</v>
      </c>
      <c r="AA728">
        <v>0.11</v>
      </c>
      <c r="AB728">
        <v>4.8000000000000001E-2</v>
      </c>
      <c r="AC728">
        <v>6</v>
      </c>
      <c r="AD728" s="6">
        <v>50</v>
      </c>
      <c r="AE728" s="6">
        <v>25</v>
      </c>
      <c r="AF728" s="6">
        <v>0</v>
      </c>
      <c r="AG728" s="6">
        <v>68.209999999999994</v>
      </c>
      <c r="AH728" s="6">
        <v>85.32</v>
      </c>
      <c r="AI728" s="6">
        <f t="shared" si="22"/>
        <v>17.11</v>
      </c>
      <c r="AJ728" s="5">
        <f t="shared" si="23"/>
        <v>0.20053914674167839</v>
      </c>
    </row>
    <row r="729" spans="1:36">
      <c r="A729" t="s">
        <v>266</v>
      </c>
      <c r="B729" t="s">
        <v>1014</v>
      </c>
      <c r="C729" t="s">
        <v>75</v>
      </c>
      <c r="D729" t="s">
        <v>77</v>
      </c>
      <c r="E729" t="s">
        <v>55</v>
      </c>
      <c r="F729">
        <v>0</v>
      </c>
      <c r="G729">
        <v>2470</v>
      </c>
      <c r="H729">
        <v>1</v>
      </c>
      <c r="I729" t="s">
        <v>220</v>
      </c>
      <c r="J729">
        <v>2</v>
      </c>
      <c r="K729" s="6">
        <v>6.05</v>
      </c>
      <c r="L729" t="s">
        <v>174</v>
      </c>
      <c r="M729">
        <v>0</v>
      </c>
      <c r="N729" t="s">
        <v>175</v>
      </c>
      <c r="O729">
        <v>1</v>
      </c>
      <c r="P729">
        <v>0</v>
      </c>
      <c r="Q729" s="6">
        <v>32.700000000000003</v>
      </c>
      <c r="R729">
        <v>1</v>
      </c>
      <c r="S729" s="6">
        <v>3711</v>
      </c>
      <c r="T729">
        <v>0</v>
      </c>
      <c r="U729" s="6">
        <v>3806</v>
      </c>
      <c r="V729">
        <v>0</v>
      </c>
      <c r="W729">
        <v>0</v>
      </c>
      <c r="X729">
        <v>0</v>
      </c>
      <c r="Y729" s="6">
        <v>45.3</v>
      </c>
      <c r="Z729">
        <v>4.7E-2</v>
      </c>
      <c r="AA729">
        <v>0.11</v>
      </c>
      <c r="AB729">
        <v>4.8000000000000001E-2</v>
      </c>
      <c r="AC729">
        <v>6</v>
      </c>
      <c r="AD729" s="6">
        <v>50</v>
      </c>
      <c r="AE729" s="6">
        <v>40</v>
      </c>
      <c r="AF729" s="6">
        <v>0</v>
      </c>
      <c r="AG729" s="6">
        <v>67.239999999999995</v>
      </c>
      <c r="AH729" s="6">
        <v>84.7</v>
      </c>
      <c r="AI729" s="6">
        <f t="shared" si="22"/>
        <v>17.460000000000008</v>
      </c>
      <c r="AJ729" s="5">
        <f t="shared" si="23"/>
        <v>0.20613931523022441</v>
      </c>
    </row>
    <row r="730" spans="1:36">
      <c r="A730" t="s">
        <v>298</v>
      </c>
      <c r="B730" t="s">
        <v>1015</v>
      </c>
      <c r="C730" t="s">
        <v>75</v>
      </c>
      <c r="D730" t="s">
        <v>77</v>
      </c>
      <c r="E730" t="s">
        <v>55</v>
      </c>
      <c r="F730">
        <v>0</v>
      </c>
      <c r="G730">
        <v>2470</v>
      </c>
      <c r="H730">
        <v>1</v>
      </c>
      <c r="I730" t="s">
        <v>220</v>
      </c>
      <c r="J730">
        <v>2</v>
      </c>
      <c r="K730" s="6">
        <v>2.71</v>
      </c>
      <c r="L730" t="s">
        <v>174</v>
      </c>
      <c r="M730">
        <v>0</v>
      </c>
      <c r="N730" t="s">
        <v>175</v>
      </c>
      <c r="O730">
        <v>1</v>
      </c>
      <c r="P730">
        <v>0</v>
      </c>
      <c r="Q730" s="6">
        <v>49.3</v>
      </c>
      <c r="R730">
        <v>0</v>
      </c>
      <c r="S730" s="6">
        <v>0</v>
      </c>
      <c r="T730">
        <v>0</v>
      </c>
      <c r="U730" s="6">
        <v>5807</v>
      </c>
      <c r="V730">
        <v>0</v>
      </c>
      <c r="W730">
        <v>1</v>
      </c>
      <c r="X730">
        <v>0</v>
      </c>
      <c r="Y730" s="6">
        <v>45.3</v>
      </c>
      <c r="Z730">
        <v>4.7E-2</v>
      </c>
      <c r="AA730">
        <v>0.11</v>
      </c>
      <c r="AB730">
        <v>4.8000000000000001E-2</v>
      </c>
      <c r="AC730">
        <v>6</v>
      </c>
      <c r="AD730" s="6">
        <v>50</v>
      </c>
      <c r="AE730" s="6">
        <v>0</v>
      </c>
      <c r="AF730" s="6">
        <v>0</v>
      </c>
      <c r="AG730" s="6">
        <v>82.75</v>
      </c>
      <c r="AH730" s="6">
        <v>108.19</v>
      </c>
      <c r="AI730" s="6">
        <f t="shared" si="22"/>
        <v>25.439999999999998</v>
      </c>
      <c r="AJ730" s="5">
        <f t="shared" si="23"/>
        <v>0.23514188002588038</v>
      </c>
    </row>
    <row r="731" spans="1:36">
      <c r="A731" t="s">
        <v>238</v>
      </c>
      <c r="B731" t="s">
        <v>1016</v>
      </c>
      <c r="C731" t="s">
        <v>75</v>
      </c>
      <c r="D731" t="s">
        <v>77</v>
      </c>
      <c r="E731" t="s">
        <v>55</v>
      </c>
      <c r="F731">
        <v>0</v>
      </c>
      <c r="G731">
        <v>2470</v>
      </c>
      <c r="H731">
        <v>1</v>
      </c>
      <c r="I731" t="s">
        <v>220</v>
      </c>
      <c r="J731">
        <v>2</v>
      </c>
      <c r="K731" s="6">
        <v>3.83</v>
      </c>
      <c r="L731" t="s">
        <v>174</v>
      </c>
      <c r="M731">
        <v>0</v>
      </c>
      <c r="N731" t="s">
        <v>187</v>
      </c>
      <c r="O731">
        <v>2</v>
      </c>
      <c r="P731">
        <v>0</v>
      </c>
      <c r="Q731" s="6">
        <v>52</v>
      </c>
      <c r="R731">
        <v>0</v>
      </c>
      <c r="S731" s="6">
        <v>0</v>
      </c>
      <c r="T731">
        <v>0</v>
      </c>
      <c r="U731" s="6">
        <v>2155</v>
      </c>
      <c r="V731">
        <v>0</v>
      </c>
      <c r="W731">
        <v>0</v>
      </c>
      <c r="X731">
        <v>0</v>
      </c>
      <c r="Y731" s="6">
        <v>45.3</v>
      </c>
      <c r="Z731">
        <v>4.7E-2</v>
      </c>
      <c r="AA731">
        <v>0.11</v>
      </c>
      <c r="AB731">
        <v>4.8000000000000001E-2</v>
      </c>
      <c r="AC731">
        <v>6</v>
      </c>
      <c r="AD731" s="6">
        <v>50</v>
      </c>
      <c r="AE731" s="6">
        <v>0</v>
      </c>
      <c r="AF731" s="6">
        <v>0</v>
      </c>
      <c r="AG731" s="6">
        <v>72.61</v>
      </c>
      <c r="AH731" s="6">
        <v>91.87</v>
      </c>
      <c r="AI731" s="6">
        <f t="shared" si="22"/>
        <v>19.260000000000005</v>
      </c>
      <c r="AJ731" s="5">
        <f t="shared" si="23"/>
        <v>0.20964406226189186</v>
      </c>
    </row>
    <row r="732" spans="1:36">
      <c r="A732" t="s">
        <v>196</v>
      </c>
      <c r="B732" t="s">
        <v>1017</v>
      </c>
      <c r="C732" t="s">
        <v>75</v>
      </c>
      <c r="D732" t="s">
        <v>77</v>
      </c>
      <c r="E732" t="s">
        <v>55</v>
      </c>
      <c r="F732">
        <v>0</v>
      </c>
      <c r="G732">
        <v>2470</v>
      </c>
      <c r="H732">
        <v>1</v>
      </c>
      <c r="I732" t="s">
        <v>220</v>
      </c>
      <c r="J732">
        <v>2</v>
      </c>
      <c r="K732" s="6">
        <v>4.2699999999999996</v>
      </c>
      <c r="L732" t="s">
        <v>174</v>
      </c>
      <c r="M732">
        <v>0</v>
      </c>
      <c r="N732" t="s">
        <v>182</v>
      </c>
      <c r="O732">
        <v>3</v>
      </c>
      <c r="P732">
        <v>0</v>
      </c>
      <c r="Q732" s="6">
        <v>82.6</v>
      </c>
      <c r="R732">
        <v>1</v>
      </c>
      <c r="S732" s="6">
        <v>1100</v>
      </c>
      <c r="T732">
        <v>0</v>
      </c>
      <c r="U732" s="6">
        <v>575</v>
      </c>
      <c r="V732">
        <v>0</v>
      </c>
      <c r="W732">
        <v>0</v>
      </c>
      <c r="X732">
        <v>0</v>
      </c>
      <c r="Y732" s="6">
        <v>45.3</v>
      </c>
      <c r="Z732">
        <v>4.7E-2</v>
      </c>
      <c r="AA732">
        <v>0.11</v>
      </c>
      <c r="AB732">
        <v>4.8000000000000001E-2</v>
      </c>
      <c r="AC732">
        <v>6</v>
      </c>
      <c r="AD732" s="6">
        <v>50</v>
      </c>
      <c r="AE732" s="6">
        <v>25</v>
      </c>
      <c r="AF732" s="6">
        <v>0</v>
      </c>
      <c r="AG732" s="6">
        <v>74.16</v>
      </c>
      <c r="AH732" s="6">
        <v>97.1</v>
      </c>
      <c r="AI732" s="6">
        <f t="shared" si="22"/>
        <v>22.939999999999998</v>
      </c>
      <c r="AJ732" s="5">
        <f t="shared" si="23"/>
        <v>0.23625128733264675</v>
      </c>
    </row>
    <row r="733" spans="1:36">
      <c r="A733" t="s">
        <v>343</v>
      </c>
      <c r="B733" t="s">
        <v>1018</v>
      </c>
      <c r="C733" t="s">
        <v>75</v>
      </c>
      <c r="D733" t="s">
        <v>77</v>
      </c>
      <c r="E733" t="s">
        <v>55</v>
      </c>
      <c r="F733">
        <v>0</v>
      </c>
      <c r="G733">
        <v>2470</v>
      </c>
      <c r="H733">
        <v>1</v>
      </c>
      <c r="I733" t="s">
        <v>220</v>
      </c>
      <c r="J733">
        <v>2</v>
      </c>
      <c r="K733" s="6">
        <v>3.88</v>
      </c>
      <c r="L733" t="s">
        <v>200</v>
      </c>
      <c r="M733">
        <v>1</v>
      </c>
      <c r="N733" t="s">
        <v>187</v>
      </c>
      <c r="O733">
        <v>2</v>
      </c>
      <c r="P733">
        <v>0</v>
      </c>
      <c r="Q733" s="6">
        <v>68.3</v>
      </c>
      <c r="R733">
        <v>0</v>
      </c>
      <c r="S733" s="6">
        <v>0</v>
      </c>
      <c r="T733">
        <v>0</v>
      </c>
      <c r="U733" s="6">
        <v>3103</v>
      </c>
      <c r="V733">
        <v>0</v>
      </c>
      <c r="W733">
        <v>0</v>
      </c>
      <c r="X733">
        <v>0</v>
      </c>
      <c r="Y733" s="6">
        <v>45.3</v>
      </c>
      <c r="Z733">
        <v>4.7E-2</v>
      </c>
      <c r="AA733">
        <v>0.11</v>
      </c>
      <c r="AB733">
        <v>4.8000000000000001E-2</v>
      </c>
      <c r="AC733">
        <v>6</v>
      </c>
      <c r="AD733" s="6">
        <v>119</v>
      </c>
      <c r="AE733" s="6">
        <v>0</v>
      </c>
      <c r="AF733" s="6">
        <v>0</v>
      </c>
      <c r="AG733" s="6">
        <v>93.17</v>
      </c>
      <c r="AH733" s="6">
        <v>122.94</v>
      </c>
      <c r="AI733" s="6">
        <f t="shared" si="22"/>
        <v>29.769999999999996</v>
      </c>
      <c r="AJ733" s="5">
        <f t="shared" si="23"/>
        <v>0.24215064258988123</v>
      </c>
    </row>
    <row r="734" spans="1:36">
      <c r="A734" t="s">
        <v>188</v>
      </c>
      <c r="B734" t="s">
        <v>1019</v>
      </c>
      <c r="C734" t="s">
        <v>75</v>
      </c>
      <c r="D734" t="s">
        <v>77</v>
      </c>
      <c r="E734" t="s">
        <v>55</v>
      </c>
      <c r="F734">
        <v>0</v>
      </c>
      <c r="G734">
        <v>2470</v>
      </c>
      <c r="H734">
        <v>1</v>
      </c>
      <c r="I734" t="s">
        <v>220</v>
      </c>
      <c r="J734">
        <v>2</v>
      </c>
      <c r="K734" s="6">
        <v>4.95</v>
      </c>
      <c r="L734" t="s">
        <v>174</v>
      </c>
      <c r="M734">
        <v>0</v>
      </c>
      <c r="N734" t="s">
        <v>187</v>
      </c>
      <c r="O734">
        <v>2</v>
      </c>
      <c r="P734">
        <v>0</v>
      </c>
      <c r="Q734" s="6">
        <v>50.1</v>
      </c>
      <c r="R734">
        <v>0</v>
      </c>
      <c r="S734" s="6">
        <v>0</v>
      </c>
      <c r="T734">
        <v>0</v>
      </c>
      <c r="U734" s="6">
        <v>1885</v>
      </c>
      <c r="V734">
        <v>0</v>
      </c>
      <c r="W734">
        <v>0</v>
      </c>
      <c r="X734">
        <v>0</v>
      </c>
      <c r="Y734" s="6">
        <v>45.3</v>
      </c>
      <c r="Z734">
        <v>4.7E-2</v>
      </c>
      <c r="AA734">
        <v>0.11</v>
      </c>
      <c r="AB734">
        <v>4.8000000000000001E-2</v>
      </c>
      <c r="AC734">
        <v>6</v>
      </c>
      <c r="AD734" s="6">
        <v>50</v>
      </c>
      <c r="AE734" s="6">
        <v>0</v>
      </c>
      <c r="AF734" s="6">
        <v>0</v>
      </c>
      <c r="AG734" s="6">
        <v>65.52</v>
      </c>
      <c r="AH734" s="6">
        <v>85.95</v>
      </c>
      <c r="AI734" s="6">
        <f t="shared" si="22"/>
        <v>20.430000000000007</v>
      </c>
      <c r="AJ734" s="5">
        <f t="shared" si="23"/>
        <v>0.2376963350785341</v>
      </c>
    </row>
    <row r="735" spans="1:36">
      <c r="A735" t="s">
        <v>635</v>
      </c>
      <c r="B735" t="s">
        <v>1020</v>
      </c>
      <c r="C735" t="s">
        <v>75</v>
      </c>
      <c r="D735" t="s">
        <v>77</v>
      </c>
      <c r="E735" t="s">
        <v>55</v>
      </c>
      <c r="F735">
        <v>0</v>
      </c>
      <c r="G735">
        <v>2470</v>
      </c>
      <c r="H735">
        <v>1</v>
      </c>
      <c r="I735" t="s">
        <v>181</v>
      </c>
      <c r="J735">
        <v>3</v>
      </c>
      <c r="K735" s="6">
        <v>7</v>
      </c>
      <c r="L735" t="s">
        <v>174</v>
      </c>
      <c r="M735">
        <v>0</v>
      </c>
      <c r="N735" t="s">
        <v>175</v>
      </c>
      <c r="O735">
        <v>1</v>
      </c>
      <c r="P735">
        <v>1</v>
      </c>
      <c r="Q735" s="6">
        <v>41.1</v>
      </c>
      <c r="R735">
        <v>1</v>
      </c>
      <c r="S735" s="6">
        <v>952</v>
      </c>
      <c r="T735">
        <v>0</v>
      </c>
      <c r="U735" s="6">
        <v>3987</v>
      </c>
      <c r="V735">
        <v>0</v>
      </c>
      <c r="W735">
        <v>0</v>
      </c>
      <c r="X735">
        <v>0</v>
      </c>
      <c r="Y735" s="6">
        <v>45.3</v>
      </c>
      <c r="Z735">
        <v>4.7E-2</v>
      </c>
      <c r="AA735">
        <v>0.11</v>
      </c>
      <c r="AB735">
        <v>4.8000000000000001E-2</v>
      </c>
      <c r="AC735">
        <v>6</v>
      </c>
      <c r="AD735" s="6">
        <v>60</v>
      </c>
      <c r="AE735" s="6">
        <v>25</v>
      </c>
      <c r="AF735" s="6">
        <v>0</v>
      </c>
      <c r="AG735" s="6">
        <v>101.39</v>
      </c>
      <c r="AH735" s="6">
        <v>130.69999999999999</v>
      </c>
      <c r="AI735" s="6">
        <f t="shared" si="22"/>
        <v>29.309999999999988</v>
      </c>
      <c r="AJ735" s="5">
        <f t="shared" si="23"/>
        <v>0.22425401683244064</v>
      </c>
    </row>
    <row r="736" spans="1:36">
      <c r="A736" t="s">
        <v>579</v>
      </c>
      <c r="B736" t="s">
        <v>1021</v>
      </c>
      <c r="C736" t="s">
        <v>75</v>
      </c>
      <c r="D736" t="s">
        <v>77</v>
      </c>
      <c r="E736" t="s">
        <v>55</v>
      </c>
      <c r="F736">
        <v>0</v>
      </c>
      <c r="G736">
        <v>2470</v>
      </c>
      <c r="H736">
        <v>1</v>
      </c>
      <c r="I736" t="s">
        <v>220</v>
      </c>
      <c r="J736">
        <v>2</v>
      </c>
      <c r="K736" s="6">
        <v>3.2</v>
      </c>
      <c r="L736" t="s">
        <v>174</v>
      </c>
      <c r="M736">
        <v>0</v>
      </c>
      <c r="N736" t="s">
        <v>175</v>
      </c>
      <c r="O736">
        <v>1</v>
      </c>
      <c r="P736">
        <v>0</v>
      </c>
      <c r="Q736" s="6">
        <v>26.6</v>
      </c>
      <c r="R736">
        <v>1</v>
      </c>
      <c r="S736" s="6">
        <v>3882</v>
      </c>
      <c r="T736">
        <v>0</v>
      </c>
      <c r="U736" s="6">
        <v>2479</v>
      </c>
      <c r="V736">
        <v>0</v>
      </c>
      <c r="W736">
        <v>0</v>
      </c>
      <c r="X736">
        <v>0</v>
      </c>
      <c r="Y736" s="6">
        <v>45.3</v>
      </c>
      <c r="Z736">
        <v>4.7E-2</v>
      </c>
      <c r="AA736">
        <v>0.11</v>
      </c>
      <c r="AB736">
        <v>4.8000000000000001E-2</v>
      </c>
      <c r="AC736">
        <v>6</v>
      </c>
      <c r="AD736" s="6">
        <v>50</v>
      </c>
      <c r="AE736" s="6">
        <v>40</v>
      </c>
      <c r="AF736" s="6">
        <v>0</v>
      </c>
      <c r="AG736" s="6">
        <v>63.19</v>
      </c>
      <c r="AH736" s="6">
        <v>81.540000000000006</v>
      </c>
      <c r="AI736" s="6">
        <f t="shared" si="22"/>
        <v>18.350000000000009</v>
      </c>
      <c r="AJ736" s="5">
        <f t="shared" si="23"/>
        <v>0.2250429237184205</v>
      </c>
    </row>
    <row r="737" spans="1:36">
      <c r="A737" t="s">
        <v>291</v>
      </c>
      <c r="B737" t="s">
        <v>1022</v>
      </c>
      <c r="C737" t="s">
        <v>75</v>
      </c>
      <c r="D737" t="s">
        <v>77</v>
      </c>
      <c r="E737" t="s">
        <v>55</v>
      </c>
      <c r="F737">
        <v>0</v>
      </c>
      <c r="G737">
        <v>2470</v>
      </c>
      <c r="H737">
        <v>1</v>
      </c>
      <c r="I737" t="s">
        <v>173</v>
      </c>
      <c r="J737">
        <v>1</v>
      </c>
      <c r="K737" s="6">
        <v>1.62</v>
      </c>
      <c r="L737" t="s">
        <v>174</v>
      </c>
      <c r="M737">
        <v>0</v>
      </c>
      <c r="N737" t="s">
        <v>217</v>
      </c>
      <c r="O737">
        <v>4</v>
      </c>
      <c r="P737">
        <v>1</v>
      </c>
      <c r="Q737" s="6">
        <v>153.69999999999999</v>
      </c>
      <c r="R737">
        <v>0</v>
      </c>
      <c r="S737" s="6">
        <v>0</v>
      </c>
      <c r="T737">
        <v>0</v>
      </c>
      <c r="U737" s="6">
        <v>3746</v>
      </c>
      <c r="V737">
        <v>0</v>
      </c>
      <c r="W737">
        <v>0</v>
      </c>
      <c r="X737">
        <v>1</v>
      </c>
      <c r="Y737" s="6">
        <v>45.3</v>
      </c>
      <c r="Z737">
        <v>4.7E-2</v>
      </c>
      <c r="AA737">
        <v>0.11</v>
      </c>
      <c r="AB737">
        <v>4.8000000000000001E-2</v>
      </c>
      <c r="AC737">
        <v>6</v>
      </c>
      <c r="AD737" s="6">
        <v>50</v>
      </c>
      <c r="AE737" s="6">
        <v>0</v>
      </c>
      <c r="AF737" s="6">
        <v>0</v>
      </c>
      <c r="AG737" s="6">
        <v>88.78</v>
      </c>
      <c r="AH737" s="6">
        <v>114.25</v>
      </c>
      <c r="AI737" s="6">
        <f t="shared" si="22"/>
        <v>25.47</v>
      </c>
      <c r="AJ737" s="5">
        <f t="shared" si="23"/>
        <v>0.22293216630196935</v>
      </c>
    </row>
    <row r="738" spans="1:36">
      <c r="A738" t="s">
        <v>521</v>
      </c>
      <c r="B738" t="s">
        <v>1023</v>
      </c>
      <c r="C738" t="s">
        <v>75</v>
      </c>
      <c r="D738" t="s">
        <v>77</v>
      </c>
      <c r="E738" t="s">
        <v>55</v>
      </c>
      <c r="F738">
        <v>0</v>
      </c>
      <c r="G738">
        <v>2470</v>
      </c>
      <c r="H738">
        <v>1</v>
      </c>
      <c r="I738" t="s">
        <v>220</v>
      </c>
      <c r="J738">
        <v>2</v>
      </c>
      <c r="K738" s="6">
        <v>2.67</v>
      </c>
      <c r="L738" t="s">
        <v>174</v>
      </c>
      <c r="M738">
        <v>0</v>
      </c>
      <c r="N738" t="s">
        <v>182</v>
      </c>
      <c r="O738">
        <v>3</v>
      </c>
      <c r="P738">
        <v>0</v>
      </c>
      <c r="Q738" s="6">
        <v>116.2</v>
      </c>
      <c r="R738">
        <v>0</v>
      </c>
      <c r="S738" s="6">
        <v>0</v>
      </c>
      <c r="T738">
        <v>0</v>
      </c>
      <c r="U738" s="6">
        <v>755</v>
      </c>
      <c r="V738">
        <v>0</v>
      </c>
      <c r="W738">
        <v>0</v>
      </c>
      <c r="X738">
        <v>0</v>
      </c>
      <c r="Y738" s="6">
        <v>45.3</v>
      </c>
      <c r="Z738">
        <v>4.7E-2</v>
      </c>
      <c r="AA738">
        <v>0.11</v>
      </c>
      <c r="AB738">
        <v>4.8000000000000001E-2</v>
      </c>
      <c r="AC738">
        <v>6</v>
      </c>
      <c r="AD738" s="6">
        <v>50</v>
      </c>
      <c r="AE738" s="6">
        <v>0</v>
      </c>
      <c r="AF738" s="6">
        <v>0</v>
      </c>
      <c r="AG738" s="6">
        <v>71.900000000000006</v>
      </c>
      <c r="AH738" s="6">
        <v>93.77</v>
      </c>
      <c r="AI738" s="6">
        <f t="shared" si="22"/>
        <v>21.86999999999999</v>
      </c>
      <c r="AJ738" s="5">
        <f t="shared" si="23"/>
        <v>0.23323024421456748</v>
      </c>
    </row>
    <row r="739" spans="1:36">
      <c r="A739" t="s">
        <v>284</v>
      </c>
      <c r="B739" t="s">
        <v>1024</v>
      </c>
      <c r="C739" t="s">
        <v>75</v>
      </c>
      <c r="D739" t="s">
        <v>77</v>
      </c>
      <c r="E739" t="s">
        <v>55</v>
      </c>
      <c r="F739">
        <v>0</v>
      </c>
      <c r="G739">
        <v>2470</v>
      </c>
      <c r="H739">
        <v>1</v>
      </c>
      <c r="I739" t="s">
        <v>173</v>
      </c>
      <c r="J739">
        <v>1</v>
      </c>
      <c r="K739" s="6">
        <v>2.17</v>
      </c>
      <c r="L739" t="s">
        <v>174</v>
      </c>
      <c r="M739">
        <v>0</v>
      </c>
      <c r="N739" t="s">
        <v>187</v>
      </c>
      <c r="O739">
        <v>2</v>
      </c>
      <c r="P739">
        <v>1</v>
      </c>
      <c r="Q739" s="6">
        <v>61.4</v>
      </c>
      <c r="R739">
        <v>1</v>
      </c>
      <c r="S739" s="6">
        <v>5746</v>
      </c>
      <c r="T739">
        <v>0</v>
      </c>
      <c r="U739" s="6">
        <v>2948</v>
      </c>
      <c r="V739">
        <v>0</v>
      </c>
      <c r="W739">
        <v>0</v>
      </c>
      <c r="X739">
        <v>0</v>
      </c>
      <c r="Y739" s="6">
        <v>45.3</v>
      </c>
      <c r="Z739">
        <v>4.7E-2</v>
      </c>
      <c r="AA739">
        <v>0.11</v>
      </c>
      <c r="AB739">
        <v>4.8000000000000001E-2</v>
      </c>
      <c r="AC739">
        <v>6</v>
      </c>
      <c r="AD739" s="6">
        <v>50</v>
      </c>
      <c r="AE739" s="6">
        <v>50</v>
      </c>
      <c r="AF739" s="6">
        <v>0</v>
      </c>
      <c r="AG739" s="6">
        <v>82.23</v>
      </c>
      <c r="AH739" s="6">
        <v>107.78</v>
      </c>
      <c r="AI739" s="6">
        <f t="shared" si="22"/>
        <v>25.549999999999997</v>
      </c>
      <c r="AJ739" s="5">
        <f t="shared" si="23"/>
        <v>0.23705696789756908</v>
      </c>
    </row>
    <row r="740" spans="1:36">
      <c r="A740" t="s">
        <v>255</v>
      </c>
      <c r="B740" t="s">
        <v>1025</v>
      </c>
      <c r="C740" t="s">
        <v>75</v>
      </c>
      <c r="D740" t="s">
        <v>77</v>
      </c>
      <c r="E740" t="s">
        <v>55</v>
      </c>
      <c r="F740">
        <v>0</v>
      </c>
      <c r="G740">
        <v>2470</v>
      </c>
      <c r="H740">
        <v>1</v>
      </c>
      <c r="I740" t="s">
        <v>173</v>
      </c>
      <c r="J740">
        <v>1</v>
      </c>
      <c r="K740" s="6">
        <v>2.63</v>
      </c>
      <c r="L740" t="s">
        <v>174</v>
      </c>
      <c r="M740">
        <v>0</v>
      </c>
      <c r="N740" t="s">
        <v>187</v>
      </c>
      <c r="O740">
        <v>2</v>
      </c>
      <c r="P740">
        <v>0</v>
      </c>
      <c r="Q740" s="6">
        <v>33.200000000000003</v>
      </c>
      <c r="R740">
        <v>1</v>
      </c>
      <c r="S740" s="6">
        <v>421</v>
      </c>
      <c r="T740">
        <v>0</v>
      </c>
      <c r="U740" s="6">
        <v>7125</v>
      </c>
      <c r="V740">
        <v>0</v>
      </c>
      <c r="W740">
        <v>0</v>
      </c>
      <c r="X740">
        <v>0</v>
      </c>
      <c r="Y740" s="6">
        <v>45.3</v>
      </c>
      <c r="Z740">
        <v>4.7E-2</v>
      </c>
      <c r="AA740">
        <v>0.11</v>
      </c>
      <c r="AB740">
        <v>4.8000000000000001E-2</v>
      </c>
      <c r="AC740">
        <v>6</v>
      </c>
      <c r="AD740" s="6">
        <v>50</v>
      </c>
      <c r="AE740" s="6">
        <v>25</v>
      </c>
      <c r="AF740" s="6">
        <v>0</v>
      </c>
      <c r="AG740" s="6">
        <v>58.34</v>
      </c>
      <c r="AH740" s="6">
        <v>76.42</v>
      </c>
      <c r="AI740" s="6">
        <f t="shared" si="22"/>
        <v>18.079999999999998</v>
      </c>
      <c r="AJ740" s="5">
        <f t="shared" si="23"/>
        <v>0.23658728081654015</v>
      </c>
    </row>
    <row r="741" spans="1:36">
      <c r="A741" t="s">
        <v>311</v>
      </c>
      <c r="B741" t="s">
        <v>1026</v>
      </c>
      <c r="C741" t="s">
        <v>75</v>
      </c>
      <c r="D741" t="s">
        <v>77</v>
      </c>
      <c r="E741" t="s">
        <v>55</v>
      </c>
      <c r="F741">
        <v>0</v>
      </c>
      <c r="G741">
        <v>2470</v>
      </c>
      <c r="H741">
        <v>1</v>
      </c>
      <c r="I741" t="s">
        <v>173</v>
      </c>
      <c r="J741">
        <v>1</v>
      </c>
      <c r="K741" s="6">
        <v>1.36</v>
      </c>
      <c r="L741" t="s">
        <v>174</v>
      </c>
      <c r="M741">
        <v>0</v>
      </c>
      <c r="N741" t="s">
        <v>175</v>
      </c>
      <c r="O741">
        <v>1</v>
      </c>
      <c r="P741">
        <v>0</v>
      </c>
      <c r="Q741" s="6">
        <v>28.3</v>
      </c>
      <c r="R741">
        <v>0</v>
      </c>
      <c r="S741" s="6">
        <v>0</v>
      </c>
      <c r="T741">
        <v>0</v>
      </c>
      <c r="U741" s="6">
        <v>3211</v>
      </c>
      <c r="V741">
        <v>0</v>
      </c>
      <c r="W741">
        <v>1</v>
      </c>
      <c r="X741">
        <v>1</v>
      </c>
      <c r="Y741" s="6">
        <v>45.3</v>
      </c>
      <c r="Z741">
        <v>4.7E-2</v>
      </c>
      <c r="AA741">
        <v>0.11</v>
      </c>
      <c r="AB741">
        <v>4.8000000000000001E-2</v>
      </c>
      <c r="AC741">
        <v>6</v>
      </c>
      <c r="AD741" s="6">
        <v>50</v>
      </c>
      <c r="AE741" s="6">
        <v>0</v>
      </c>
      <c r="AF741" s="6">
        <v>0</v>
      </c>
      <c r="AG741" s="6">
        <v>76.650000000000006</v>
      </c>
      <c r="AH741" s="6">
        <v>96.08</v>
      </c>
      <c r="AI741" s="6">
        <f t="shared" si="22"/>
        <v>19.429999999999993</v>
      </c>
      <c r="AJ741" s="5">
        <f t="shared" si="23"/>
        <v>0.20222731057452115</v>
      </c>
    </row>
    <row r="742" spans="1:36">
      <c r="A742" t="s">
        <v>528</v>
      </c>
      <c r="B742" t="s">
        <v>1027</v>
      </c>
      <c r="C742" t="s">
        <v>75</v>
      </c>
      <c r="D742" t="s">
        <v>77</v>
      </c>
      <c r="E742" t="s">
        <v>55</v>
      </c>
      <c r="F742">
        <v>0</v>
      </c>
      <c r="G742">
        <v>2470</v>
      </c>
      <c r="H742">
        <v>1</v>
      </c>
      <c r="I742" t="s">
        <v>220</v>
      </c>
      <c r="J742">
        <v>2</v>
      </c>
      <c r="K742" s="6">
        <v>2.71</v>
      </c>
      <c r="L742" t="s">
        <v>174</v>
      </c>
      <c r="M742">
        <v>0</v>
      </c>
      <c r="N742" t="s">
        <v>175</v>
      </c>
      <c r="O742">
        <v>1</v>
      </c>
      <c r="P742">
        <v>0</v>
      </c>
      <c r="Q742" s="6">
        <v>21.8</v>
      </c>
      <c r="R742">
        <v>1</v>
      </c>
      <c r="S742" s="6">
        <v>4403</v>
      </c>
      <c r="T742">
        <v>0</v>
      </c>
      <c r="U742" s="6">
        <v>4089</v>
      </c>
      <c r="V742">
        <v>0</v>
      </c>
      <c r="W742">
        <v>1</v>
      </c>
      <c r="X742">
        <v>1</v>
      </c>
      <c r="Y742" s="6">
        <v>45.3</v>
      </c>
      <c r="Z742">
        <v>4.7E-2</v>
      </c>
      <c r="AA742">
        <v>0.11</v>
      </c>
      <c r="AB742">
        <v>4.8000000000000001E-2</v>
      </c>
      <c r="AC742">
        <v>6</v>
      </c>
      <c r="AD742" s="6">
        <v>50</v>
      </c>
      <c r="AE742" s="6">
        <v>40</v>
      </c>
      <c r="AF742" s="6">
        <v>0</v>
      </c>
      <c r="AG742" s="6">
        <v>83.81</v>
      </c>
      <c r="AH742" s="6">
        <v>106.73</v>
      </c>
      <c r="AI742" s="6">
        <f t="shared" si="22"/>
        <v>22.92</v>
      </c>
      <c r="AJ742" s="5">
        <f t="shared" si="23"/>
        <v>0.21474749367563009</v>
      </c>
    </row>
    <row r="743" spans="1:36">
      <c r="A743" t="s">
        <v>171</v>
      </c>
      <c r="B743" t="s">
        <v>1028</v>
      </c>
      <c r="C743" t="s">
        <v>75</v>
      </c>
      <c r="D743" t="s">
        <v>77</v>
      </c>
      <c r="E743" t="s">
        <v>55</v>
      </c>
      <c r="F743">
        <v>0</v>
      </c>
      <c r="G743">
        <v>2470</v>
      </c>
      <c r="H743">
        <v>1</v>
      </c>
      <c r="I743" t="s">
        <v>173</v>
      </c>
      <c r="J743">
        <v>1</v>
      </c>
      <c r="K743" s="6">
        <v>1.22</v>
      </c>
      <c r="L743" t="s">
        <v>174</v>
      </c>
      <c r="M743">
        <v>0</v>
      </c>
      <c r="N743" t="s">
        <v>175</v>
      </c>
      <c r="O743">
        <v>1</v>
      </c>
      <c r="P743">
        <v>1</v>
      </c>
      <c r="Q743" s="6">
        <v>26.1</v>
      </c>
      <c r="R743">
        <v>0</v>
      </c>
      <c r="S743" s="6">
        <v>0</v>
      </c>
      <c r="T743">
        <v>0</v>
      </c>
      <c r="U743" s="6">
        <v>4591</v>
      </c>
      <c r="V743">
        <v>0</v>
      </c>
      <c r="W743">
        <v>0</v>
      </c>
      <c r="X743">
        <v>0</v>
      </c>
      <c r="Y743" s="6">
        <v>45.3</v>
      </c>
      <c r="Z743">
        <v>4.7E-2</v>
      </c>
      <c r="AA743">
        <v>0.11</v>
      </c>
      <c r="AB743">
        <v>4.8000000000000001E-2</v>
      </c>
      <c r="AC743">
        <v>6</v>
      </c>
      <c r="AD743" s="6">
        <v>50</v>
      </c>
      <c r="AE743" s="6">
        <v>0</v>
      </c>
      <c r="AF743" s="6">
        <v>0</v>
      </c>
      <c r="AG743" s="6">
        <v>78.099999999999994</v>
      </c>
      <c r="AH743" s="6">
        <v>99.42</v>
      </c>
      <c r="AI743" s="6">
        <f t="shared" si="22"/>
        <v>21.320000000000007</v>
      </c>
      <c r="AJ743" s="5">
        <f t="shared" si="23"/>
        <v>0.21444377388855368</v>
      </c>
    </row>
    <row r="744" spans="1:36">
      <c r="A744" t="s">
        <v>319</v>
      </c>
      <c r="B744" t="s">
        <v>1029</v>
      </c>
      <c r="C744" t="s">
        <v>75</v>
      </c>
      <c r="D744" t="s">
        <v>77</v>
      </c>
      <c r="E744" t="s">
        <v>55</v>
      </c>
      <c r="F744">
        <v>0</v>
      </c>
      <c r="G744">
        <v>2470</v>
      </c>
      <c r="H744">
        <v>1</v>
      </c>
      <c r="I744" t="s">
        <v>173</v>
      </c>
      <c r="J744">
        <v>1</v>
      </c>
      <c r="K744" s="6">
        <v>1.84</v>
      </c>
      <c r="L744" t="s">
        <v>174</v>
      </c>
      <c r="M744">
        <v>0</v>
      </c>
      <c r="N744" t="s">
        <v>175</v>
      </c>
      <c r="O744">
        <v>1</v>
      </c>
      <c r="P744">
        <v>0</v>
      </c>
      <c r="Q744" s="6">
        <v>39.1</v>
      </c>
      <c r="R744">
        <v>1</v>
      </c>
      <c r="S744" s="6">
        <v>786</v>
      </c>
      <c r="T744">
        <v>0</v>
      </c>
      <c r="U744" s="6">
        <v>2951</v>
      </c>
      <c r="V744">
        <v>0</v>
      </c>
      <c r="W744">
        <v>0</v>
      </c>
      <c r="X744">
        <v>0</v>
      </c>
      <c r="Y744" s="6">
        <v>45.3</v>
      </c>
      <c r="Z744">
        <v>4.7E-2</v>
      </c>
      <c r="AA744">
        <v>0.11</v>
      </c>
      <c r="AB744">
        <v>4.8000000000000001E-2</v>
      </c>
      <c r="AC744">
        <v>6</v>
      </c>
      <c r="AD744" s="6">
        <v>50</v>
      </c>
      <c r="AE744" s="6">
        <v>25</v>
      </c>
      <c r="AF744" s="6">
        <v>0</v>
      </c>
      <c r="AG744" s="6">
        <v>43.64</v>
      </c>
      <c r="AH744" s="6">
        <v>55.63</v>
      </c>
      <c r="AI744" s="6">
        <f t="shared" si="22"/>
        <v>11.990000000000002</v>
      </c>
      <c r="AJ744" s="5">
        <f t="shared" si="23"/>
        <v>0.21553118820780157</v>
      </c>
    </row>
    <row r="745" spans="1:36">
      <c r="A745" t="s">
        <v>423</v>
      </c>
      <c r="B745" t="s">
        <v>1030</v>
      </c>
      <c r="C745" t="s">
        <v>75</v>
      </c>
      <c r="D745" t="s">
        <v>77</v>
      </c>
      <c r="E745" t="s">
        <v>55</v>
      </c>
      <c r="F745">
        <v>0</v>
      </c>
      <c r="G745">
        <v>2470</v>
      </c>
      <c r="H745">
        <v>1</v>
      </c>
      <c r="I745" t="s">
        <v>220</v>
      </c>
      <c r="J745">
        <v>2</v>
      </c>
      <c r="K745" s="6">
        <v>5.36</v>
      </c>
      <c r="L745" t="s">
        <v>174</v>
      </c>
      <c r="M745">
        <v>0</v>
      </c>
      <c r="N745" t="s">
        <v>187</v>
      </c>
      <c r="O745">
        <v>2</v>
      </c>
      <c r="P745">
        <v>0</v>
      </c>
      <c r="Q745" s="6">
        <v>51.1</v>
      </c>
      <c r="R745">
        <v>0</v>
      </c>
      <c r="S745" s="6">
        <v>0</v>
      </c>
      <c r="T745">
        <v>0</v>
      </c>
      <c r="U745" s="6">
        <v>1999</v>
      </c>
      <c r="V745">
        <v>0</v>
      </c>
      <c r="W745">
        <v>0</v>
      </c>
      <c r="X745">
        <v>0</v>
      </c>
      <c r="Y745" s="6">
        <v>45.3</v>
      </c>
      <c r="Z745">
        <v>4.7E-2</v>
      </c>
      <c r="AA745">
        <v>0.11</v>
      </c>
      <c r="AB745">
        <v>4.8000000000000001E-2</v>
      </c>
      <c r="AC745">
        <v>6</v>
      </c>
      <c r="AD745" s="6">
        <v>50</v>
      </c>
      <c r="AE745" s="6">
        <v>0</v>
      </c>
      <c r="AF745" s="6">
        <v>0</v>
      </c>
      <c r="AG745" s="6">
        <v>62.99</v>
      </c>
      <c r="AH745" s="6">
        <v>80.75</v>
      </c>
      <c r="AI745" s="6">
        <f t="shared" si="22"/>
        <v>17.759999999999998</v>
      </c>
      <c r="AJ745" s="5">
        <f t="shared" si="23"/>
        <v>0.21993808049535601</v>
      </c>
    </row>
    <row r="746" spans="1:36">
      <c r="A746" t="s">
        <v>206</v>
      </c>
      <c r="B746" t="s">
        <v>1031</v>
      </c>
      <c r="C746" t="s">
        <v>75</v>
      </c>
      <c r="D746" t="s">
        <v>77</v>
      </c>
      <c r="E746" t="s">
        <v>55</v>
      </c>
      <c r="F746">
        <v>0</v>
      </c>
      <c r="G746">
        <v>2470</v>
      </c>
      <c r="H746">
        <v>1</v>
      </c>
      <c r="I746" t="s">
        <v>220</v>
      </c>
      <c r="J746">
        <v>2</v>
      </c>
      <c r="K746" s="6">
        <v>4</v>
      </c>
      <c r="L746" t="s">
        <v>174</v>
      </c>
      <c r="M746">
        <v>0</v>
      </c>
      <c r="N746" t="s">
        <v>175</v>
      </c>
      <c r="O746">
        <v>1</v>
      </c>
      <c r="P746">
        <v>0</v>
      </c>
      <c r="Q746" s="6">
        <v>35.1</v>
      </c>
      <c r="R746">
        <v>1</v>
      </c>
      <c r="S746" s="6">
        <v>1487</v>
      </c>
      <c r="T746">
        <v>0</v>
      </c>
      <c r="U746" s="6">
        <v>2298</v>
      </c>
      <c r="V746">
        <v>0</v>
      </c>
      <c r="W746">
        <v>0</v>
      </c>
      <c r="X746">
        <v>0</v>
      </c>
      <c r="Y746" s="6">
        <v>45.3</v>
      </c>
      <c r="Z746">
        <v>4.7E-2</v>
      </c>
      <c r="AA746">
        <v>0.11</v>
      </c>
      <c r="AB746">
        <v>4.8000000000000001E-2</v>
      </c>
      <c r="AC746">
        <v>6</v>
      </c>
      <c r="AD746" s="6">
        <v>50</v>
      </c>
      <c r="AE746" s="6">
        <v>25</v>
      </c>
      <c r="AF746" s="6">
        <v>0</v>
      </c>
      <c r="AG746" s="6">
        <v>64.34</v>
      </c>
      <c r="AH746" s="6">
        <v>81.52</v>
      </c>
      <c r="AI746" s="6">
        <f t="shared" si="22"/>
        <v>17.179999999999993</v>
      </c>
      <c r="AJ746" s="5">
        <f t="shared" si="23"/>
        <v>0.21074582924435714</v>
      </c>
    </row>
    <row r="747" spans="1:36">
      <c r="A747" t="s">
        <v>198</v>
      </c>
      <c r="B747" t="s">
        <v>1032</v>
      </c>
      <c r="C747" t="s">
        <v>75</v>
      </c>
      <c r="D747" t="s">
        <v>77</v>
      </c>
      <c r="E747" t="s">
        <v>55</v>
      </c>
      <c r="F747">
        <v>0</v>
      </c>
      <c r="G747">
        <v>2470</v>
      </c>
      <c r="H747">
        <v>1</v>
      </c>
      <c r="I747" t="s">
        <v>220</v>
      </c>
      <c r="J747">
        <v>2</v>
      </c>
      <c r="K747" s="6">
        <v>3.36</v>
      </c>
      <c r="L747" t="s">
        <v>174</v>
      </c>
      <c r="M747">
        <v>0</v>
      </c>
      <c r="N747" t="s">
        <v>182</v>
      </c>
      <c r="O747">
        <v>3</v>
      </c>
      <c r="P747">
        <v>0</v>
      </c>
      <c r="Q747" s="6">
        <v>81.900000000000006</v>
      </c>
      <c r="R747">
        <v>1</v>
      </c>
      <c r="S747" s="6">
        <v>6574</v>
      </c>
      <c r="T747">
        <v>0</v>
      </c>
      <c r="U747" s="6">
        <v>1178</v>
      </c>
      <c r="V747">
        <v>0</v>
      </c>
      <c r="W747">
        <v>0</v>
      </c>
      <c r="X747">
        <v>0</v>
      </c>
      <c r="Y747" s="6">
        <v>45.3</v>
      </c>
      <c r="Z747">
        <v>4.7E-2</v>
      </c>
      <c r="AA747">
        <v>0.11</v>
      </c>
      <c r="AB747">
        <v>4.8000000000000001E-2</v>
      </c>
      <c r="AC747">
        <v>6</v>
      </c>
      <c r="AD747" s="6">
        <v>50</v>
      </c>
      <c r="AE747" s="6">
        <v>50</v>
      </c>
      <c r="AF747" s="6">
        <v>0</v>
      </c>
      <c r="AG747" s="6">
        <v>72.53</v>
      </c>
      <c r="AH747" s="6">
        <v>95.17</v>
      </c>
      <c r="AI747" s="6">
        <f t="shared" si="22"/>
        <v>22.64</v>
      </c>
      <c r="AJ747" s="5">
        <f t="shared" si="23"/>
        <v>0.23789009141536199</v>
      </c>
    </row>
    <row r="748" spans="1:36">
      <c r="A748" t="s">
        <v>316</v>
      </c>
      <c r="B748" t="s">
        <v>1033</v>
      </c>
      <c r="C748" t="s">
        <v>75</v>
      </c>
      <c r="D748" t="s">
        <v>77</v>
      </c>
      <c r="E748" t="s">
        <v>55</v>
      </c>
      <c r="F748">
        <v>0</v>
      </c>
      <c r="G748">
        <v>2470</v>
      </c>
      <c r="H748">
        <v>1</v>
      </c>
      <c r="I748" t="s">
        <v>220</v>
      </c>
      <c r="J748">
        <v>2</v>
      </c>
      <c r="K748" s="6">
        <v>4.45</v>
      </c>
      <c r="L748" t="s">
        <v>174</v>
      </c>
      <c r="M748">
        <v>0</v>
      </c>
      <c r="N748" t="s">
        <v>175</v>
      </c>
      <c r="O748">
        <v>1</v>
      </c>
      <c r="P748">
        <v>0</v>
      </c>
      <c r="Q748" s="6">
        <v>37.200000000000003</v>
      </c>
      <c r="R748">
        <v>1</v>
      </c>
      <c r="S748" s="6">
        <v>2020</v>
      </c>
      <c r="T748">
        <v>0</v>
      </c>
      <c r="U748" s="6">
        <v>876</v>
      </c>
      <c r="V748">
        <v>0</v>
      </c>
      <c r="W748">
        <v>0</v>
      </c>
      <c r="X748">
        <v>1</v>
      </c>
      <c r="Y748" s="6">
        <v>45.3</v>
      </c>
      <c r="Z748">
        <v>4.7E-2</v>
      </c>
      <c r="AA748">
        <v>0.11</v>
      </c>
      <c r="AB748">
        <v>4.8000000000000001E-2</v>
      </c>
      <c r="AC748">
        <v>6</v>
      </c>
      <c r="AD748" s="6">
        <v>50</v>
      </c>
      <c r="AE748" s="6">
        <v>40</v>
      </c>
      <c r="AF748" s="6">
        <v>0</v>
      </c>
      <c r="AG748" s="6">
        <v>61.35</v>
      </c>
      <c r="AH748" s="6">
        <v>81.42</v>
      </c>
      <c r="AI748" s="6">
        <f t="shared" si="22"/>
        <v>20.07</v>
      </c>
      <c r="AJ748" s="5">
        <f t="shared" si="23"/>
        <v>0.24649963154016213</v>
      </c>
    </row>
    <row r="749" spans="1:36">
      <c r="A749" t="s">
        <v>338</v>
      </c>
      <c r="B749" t="s">
        <v>1034</v>
      </c>
      <c r="C749" t="s">
        <v>75</v>
      </c>
      <c r="D749" t="s">
        <v>77</v>
      </c>
      <c r="E749" t="s">
        <v>55</v>
      </c>
      <c r="F749">
        <v>0</v>
      </c>
      <c r="G749">
        <v>2470</v>
      </c>
      <c r="H749">
        <v>1</v>
      </c>
      <c r="I749" t="s">
        <v>220</v>
      </c>
      <c r="J749">
        <v>2</v>
      </c>
      <c r="K749" s="6">
        <v>3.36</v>
      </c>
      <c r="L749" t="s">
        <v>174</v>
      </c>
      <c r="M749">
        <v>0</v>
      </c>
      <c r="N749" t="s">
        <v>175</v>
      </c>
      <c r="O749">
        <v>1</v>
      </c>
      <c r="P749">
        <v>0</v>
      </c>
      <c r="Q749" s="6">
        <v>34.4</v>
      </c>
      <c r="R749">
        <v>0</v>
      </c>
      <c r="S749" s="6">
        <v>0</v>
      </c>
      <c r="T749">
        <v>0</v>
      </c>
      <c r="U749" s="6">
        <v>2762</v>
      </c>
      <c r="V749">
        <v>0</v>
      </c>
      <c r="W749">
        <v>1</v>
      </c>
      <c r="X749">
        <v>0</v>
      </c>
      <c r="Y749" s="6">
        <v>45.3</v>
      </c>
      <c r="Z749">
        <v>4.7E-2</v>
      </c>
      <c r="AA749">
        <v>0.11</v>
      </c>
      <c r="AB749">
        <v>4.8000000000000001E-2</v>
      </c>
      <c r="AC749">
        <v>6</v>
      </c>
      <c r="AD749" s="6">
        <v>50</v>
      </c>
      <c r="AE749" s="6">
        <v>0</v>
      </c>
      <c r="AF749" s="6">
        <v>0</v>
      </c>
      <c r="AG749" s="6">
        <v>78.42</v>
      </c>
      <c r="AH749" s="6">
        <v>100.08</v>
      </c>
      <c r="AI749" s="6">
        <f t="shared" si="22"/>
        <v>21.659999999999997</v>
      </c>
      <c r="AJ749" s="5">
        <f t="shared" si="23"/>
        <v>0.21642685851318941</v>
      </c>
    </row>
    <row r="750" spans="1:36">
      <c r="A750" t="s">
        <v>240</v>
      </c>
      <c r="B750" t="s">
        <v>1035</v>
      </c>
      <c r="C750" t="s">
        <v>75</v>
      </c>
      <c r="D750" t="s">
        <v>77</v>
      </c>
      <c r="E750" t="s">
        <v>55</v>
      </c>
      <c r="F750">
        <v>0</v>
      </c>
      <c r="G750">
        <v>2470</v>
      </c>
      <c r="H750">
        <v>1</v>
      </c>
      <c r="I750" t="s">
        <v>220</v>
      </c>
      <c r="J750">
        <v>2</v>
      </c>
      <c r="K750" s="6">
        <v>5.18</v>
      </c>
      <c r="L750" t="s">
        <v>174</v>
      </c>
      <c r="M750">
        <v>0</v>
      </c>
      <c r="N750" t="s">
        <v>175</v>
      </c>
      <c r="O750">
        <v>1</v>
      </c>
      <c r="P750">
        <v>0</v>
      </c>
      <c r="Q750" s="6">
        <v>39.9</v>
      </c>
      <c r="R750">
        <v>1</v>
      </c>
      <c r="S750" s="6">
        <v>1970</v>
      </c>
      <c r="T750">
        <v>0</v>
      </c>
      <c r="U750" s="6">
        <v>7472</v>
      </c>
      <c r="V750">
        <v>0</v>
      </c>
      <c r="W750">
        <v>0</v>
      </c>
      <c r="X750">
        <v>0</v>
      </c>
      <c r="Y750" s="6">
        <v>45.3</v>
      </c>
      <c r="Z750">
        <v>4.7E-2</v>
      </c>
      <c r="AA750">
        <v>0.11</v>
      </c>
      <c r="AB750">
        <v>4.8000000000000001E-2</v>
      </c>
      <c r="AC750">
        <v>6</v>
      </c>
      <c r="AD750" s="6">
        <v>50</v>
      </c>
      <c r="AE750" s="6">
        <v>25</v>
      </c>
      <c r="AF750" s="6">
        <v>0</v>
      </c>
      <c r="AG750" s="6">
        <v>64.2</v>
      </c>
      <c r="AH750" s="6">
        <v>83.98</v>
      </c>
      <c r="AI750" s="6">
        <f t="shared" si="22"/>
        <v>19.78</v>
      </c>
      <c r="AJ750" s="5">
        <f t="shared" si="23"/>
        <v>0.23553226958799714</v>
      </c>
    </row>
    <row r="751" spans="1:36">
      <c r="A751" t="s">
        <v>225</v>
      </c>
      <c r="B751" t="s">
        <v>1036</v>
      </c>
      <c r="C751" t="s">
        <v>75</v>
      </c>
      <c r="D751" t="s">
        <v>77</v>
      </c>
      <c r="E751" t="s">
        <v>55</v>
      </c>
      <c r="F751">
        <v>0</v>
      </c>
      <c r="G751">
        <v>2470</v>
      </c>
      <c r="H751">
        <v>1</v>
      </c>
      <c r="I751" t="s">
        <v>181</v>
      </c>
      <c r="J751">
        <v>3</v>
      </c>
      <c r="K751" s="6">
        <v>9.32</v>
      </c>
      <c r="L751" t="s">
        <v>174</v>
      </c>
      <c r="M751">
        <v>0</v>
      </c>
      <c r="N751" t="s">
        <v>187</v>
      </c>
      <c r="O751">
        <v>2</v>
      </c>
      <c r="P751">
        <v>0</v>
      </c>
      <c r="Q751" s="6">
        <v>39</v>
      </c>
      <c r="R751">
        <v>1</v>
      </c>
      <c r="S751" s="6">
        <v>383</v>
      </c>
      <c r="T751">
        <v>0</v>
      </c>
      <c r="U751" s="6">
        <v>1121</v>
      </c>
      <c r="V751">
        <v>0</v>
      </c>
      <c r="W751">
        <v>0</v>
      </c>
      <c r="X751">
        <v>0</v>
      </c>
      <c r="Y751" s="6">
        <v>45.3</v>
      </c>
      <c r="Z751">
        <v>4.7E-2</v>
      </c>
      <c r="AA751">
        <v>0.11</v>
      </c>
      <c r="AB751">
        <v>4.8000000000000001E-2</v>
      </c>
      <c r="AC751">
        <v>6</v>
      </c>
      <c r="AD751" s="6">
        <v>60</v>
      </c>
      <c r="AE751" s="6">
        <v>25</v>
      </c>
      <c r="AF751" s="6">
        <v>0</v>
      </c>
      <c r="AG751" s="6">
        <v>101.92</v>
      </c>
      <c r="AH751" s="6">
        <v>128.74</v>
      </c>
      <c r="AI751" s="6">
        <f t="shared" si="22"/>
        <v>26.820000000000007</v>
      </c>
      <c r="AJ751" s="5">
        <f t="shared" si="23"/>
        <v>0.20832686033866712</v>
      </c>
    </row>
    <row r="752" spans="1:36">
      <c r="A752" t="s">
        <v>258</v>
      </c>
      <c r="B752" t="s">
        <v>1037</v>
      </c>
      <c r="C752" t="s">
        <v>75</v>
      </c>
      <c r="D752" t="s">
        <v>77</v>
      </c>
      <c r="E752" t="s">
        <v>55</v>
      </c>
      <c r="F752">
        <v>0</v>
      </c>
      <c r="G752">
        <v>2470</v>
      </c>
      <c r="H752">
        <v>1</v>
      </c>
      <c r="I752" t="s">
        <v>173</v>
      </c>
      <c r="J752">
        <v>1</v>
      </c>
      <c r="K752" s="6">
        <v>2.36</v>
      </c>
      <c r="L752" t="s">
        <v>174</v>
      </c>
      <c r="M752">
        <v>0</v>
      </c>
      <c r="N752" t="s">
        <v>217</v>
      </c>
      <c r="O752">
        <v>4</v>
      </c>
      <c r="P752">
        <v>1</v>
      </c>
      <c r="Q752" s="6">
        <v>74</v>
      </c>
      <c r="R752">
        <v>0</v>
      </c>
      <c r="S752" s="6">
        <v>0</v>
      </c>
      <c r="T752">
        <v>0</v>
      </c>
      <c r="U752" s="6">
        <v>5201</v>
      </c>
      <c r="V752">
        <v>0</v>
      </c>
      <c r="W752">
        <v>0</v>
      </c>
      <c r="X752">
        <v>0</v>
      </c>
      <c r="Y752" s="6">
        <v>45.3</v>
      </c>
      <c r="Z752">
        <v>4.7E-2</v>
      </c>
      <c r="AA752">
        <v>0.11</v>
      </c>
      <c r="AB752">
        <v>4.8000000000000001E-2</v>
      </c>
      <c r="AC752">
        <v>6</v>
      </c>
      <c r="AD752" s="6">
        <v>50</v>
      </c>
      <c r="AE752" s="6">
        <v>0</v>
      </c>
      <c r="AF752" s="6">
        <v>0</v>
      </c>
      <c r="AG752" s="6">
        <v>98.18</v>
      </c>
      <c r="AH752" s="6">
        <v>127.22</v>
      </c>
      <c r="AI752" s="6">
        <f t="shared" si="22"/>
        <v>29.039999999999992</v>
      </c>
      <c r="AJ752" s="5">
        <f t="shared" si="23"/>
        <v>0.22826599591259231</v>
      </c>
    </row>
    <row r="753" spans="1:36">
      <c r="A753" t="s">
        <v>406</v>
      </c>
      <c r="B753" t="s">
        <v>1038</v>
      </c>
      <c r="C753" t="s">
        <v>75</v>
      </c>
      <c r="D753" t="s">
        <v>77</v>
      </c>
      <c r="E753" t="s">
        <v>55</v>
      </c>
      <c r="F753">
        <v>0</v>
      </c>
      <c r="G753">
        <v>2470</v>
      </c>
      <c r="H753">
        <v>1</v>
      </c>
      <c r="I753" t="s">
        <v>181</v>
      </c>
      <c r="J753">
        <v>3</v>
      </c>
      <c r="K753" s="6">
        <v>9.98</v>
      </c>
      <c r="L753" t="s">
        <v>174</v>
      </c>
      <c r="M753">
        <v>0</v>
      </c>
      <c r="N753" t="s">
        <v>175</v>
      </c>
      <c r="O753">
        <v>1</v>
      </c>
      <c r="P753">
        <v>0</v>
      </c>
      <c r="Q753" s="6">
        <v>33.4</v>
      </c>
      <c r="R753">
        <v>1</v>
      </c>
      <c r="S753" s="6">
        <v>2067</v>
      </c>
      <c r="T753">
        <v>0</v>
      </c>
      <c r="U753" s="6">
        <v>4183</v>
      </c>
      <c r="V753">
        <v>0</v>
      </c>
      <c r="W753">
        <v>0</v>
      </c>
      <c r="X753">
        <v>0</v>
      </c>
      <c r="Y753" s="6">
        <v>45.3</v>
      </c>
      <c r="Z753">
        <v>4.7E-2</v>
      </c>
      <c r="AA753">
        <v>0.11</v>
      </c>
      <c r="AB753">
        <v>4.8000000000000001E-2</v>
      </c>
      <c r="AC753">
        <v>6</v>
      </c>
      <c r="AD753" s="6">
        <v>60</v>
      </c>
      <c r="AE753" s="6">
        <v>40</v>
      </c>
      <c r="AF753" s="6">
        <v>0</v>
      </c>
      <c r="AG753" s="6">
        <v>100.68</v>
      </c>
      <c r="AH753" s="6">
        <v>126.66</v>
      </c>
      <c r="AI753" s="6">
        <f t="shared" si="22"/>
        <v>25.97999999999999</v>
      </c>
      <c r="AJ753" s="5">
        <f t="shared" si="23"/>
        <v>0.2051160587399336</v>
      </c>
    </row>
    <row r="754" spans="1:36">
      <c r="A754" t="s">
        <v>303</v>
      </c>
      <c r="B754" t="s">
        <v>1039</v>
      </c>
      <c r="C754" t="s">
        <v>75</v>
      </c>
      <c r="D754" t="s">
        <v>77</v>
      </c>
      <c r="E754" t="s">
        <v>55</v>
      </c>
      <c r="F754">
        <v>0</v>
      </c>
      <c r="G754">
        <v>2470</v>
      </c>
      <c r="H754">
        <v>1</v>
      </c>
      <c r="I754" t="s">
        <v>173</v>
      </c>
      <c r="J754">
        <v>1</v>
      </c>
      <c r="K754" s="6">
        <v>1.38</v>
      </c>
      <c r="L754" t="s">
        <v>174</v>
      </c>
      <c r="M754">
        <v>0</v>
      </c>
      <c r="N754" t="s">
        <v>187</v>
      </c>
      <c r="O754">
        <v>2</v>
      </c>
      <c r="P754">
        <v>0</v>
      </c>
      <c r="Q754" s="6">
        <v>40.4</v>
      </c>
      <c r="R754">
        <v>1</v>
      </c>
      <c r="S754" s="6">
        <v>701</v>
      </c>
      <c r="T754">
        <v>0</v>
      </c>
      <c r="U754" s="6">
        <v>2470</v>
      </c>
      <c r="V754">
        <v>0</v>
      </c>
      <c r="W754">
        <v>0</v>
      </c>
      <c r="X754">
        <v>0</v>
      </c>
      <c r="Y754" s="6">
        <v>45.3</v>
      </c>
      <c r="Z754">
        <v>4.7E-2</v>
      </c>
      <c r="AA754">
        <v>0.11</v>
      </c>
      <c r="AB754">
        <v>4.8000000000000001E-2</v>
      </c>
      <c r="AC754">
        <v>6</v>
      </c>
      <c r="AD754" s="6">
        <v>50</v>
      </c>
      <c r="AE754" s="6">
        <v>25</v>
      </c>
      <c r="AF754" s="6">
        <v>0</v>
      </c>
      <c r="AG754" s="6">
        <v>56.25</v>
      </c>
      <c r="AH754" s="6">
        <v>72.81</v>
      </c>
      <c r="AI754" s="6">
        <f t="shared" si="22"/>
        <v>16.560000000000002</v>
      </c>
      <c r="AJ754" s="5">
        <f t="shared" si="23"/>
        <v>0.22744128553770088</v>
      </c>
    </row>
    <row r="755" spans="1:36">
      <c r="A755" t="s">
        <v>343</v>
      </c>
      <c r="B755" t="s">
        <v>1040</v>
      </c>
      <c r="C755" t="s">
        <v>75</v>
      </c>
      <c r="D755" t="s">
        <v>77</v>
      </c>
      <c r="E755" t="s">
        <v>55</v>
      </c>
      <c r="F755">
        <v>0</v>
      </c>
      <c r="G755">
        <v>2470</v>
      </c>
      <c r="H755">
        <v>1</v>
      </c>
      <c r="I755" t="s">
        <v>173</v>
      </c>
      <c r="J755">
        <v>1</v>
      </c>
      <c r="K755" s="6">
        <v>1.75</v>
      </c>
      <c r="L755" t="s">
        <v>174</v>
      </c>
      <c r="M755">
        <v>0</v>
      </c>
      <c r="N755" t="s">
        <v>175</v>
      </c>
      <c r="O755">
        <v>1</v>
      </c>
      <c r="P755">
        <v>0</v>
      </c>
      <c r="Q755" s="6">
        <v>21.6</v>
      </c>
      <c r="R755">
        <v>0</v>
      </c>
      <c r="S755" s="6">
        <v>0</v>
      </c>
      <c r="T755">
        <v>0</v>
      </c>
      <c r="U755" s="6">
        <v>2243</v>
      </c>
      <c r="V755">
        <v>0</v>
      </c>
      <c r="W755">
        <v>0</v>
      </c>
      <c r="X755">
        <v>0</v>
      </c>
      <c r="Y755" s="6">
        <v>45.3</v>
      </c>
      <c r="Z755">
        <v>4.7E-2</v>
      </c>
      <c r="AA755">
        <v>0.11</v>
      </c>
      <c r="AB755">
        <v>4.8000000000000001E-2</v>
      </c>
      <c r="AC755">
        <v>6</v>
      </c>
      <c r="AD755" s="6">
        <v>50</v>
      </c>
      <c r="AE755" s="6">
        <v>0</v>
      </c>
      <c r="AF755" s="6">
        <v>0</v>
      </c>
      <c r="AG755" s="6">
        <v>48.67</v>
      </c>
      <c r="AH755" s="6">
        <v>61.08</v>
      </c>
      <c r="AI755" s="6">
        <f t="shared" si="22"/>
        <v>12.409999999999997</v>
      </c>
      <c r="AJ755" s="5">
        <f t="shared" si="23"/>
        <v>0.20317616240995412</v>
      </c>
    </row>
    <row r="756" spans="1:36">
      <c r="A756" t="s">
        <v>311</v>
      </c>
      <c r="B756" t="s">
        <v>1041</v>
      </c>
      <c r="C756" t="s">
        <v>75</v>
      </c>
      <c r="D756" t="s">
        <v>77</v>
      </c>
      <c r="E756" t="s">
        <v>55</v>
      </c>
      <c r="F756">
        <v>0</v>
      </c>
      <c r="G756">
        <v>2470</v>
      </c>
      <c r="H756">
        <v>1</v>
      </c>
      <c r="I756" t="s">
        <v>220</v>
      </c>
      <c r="J756">
        <v>2</v>
      </c>
      <c r="K756" s="6">
        <v>4.12</v>
      </c>
      <c r="L756" t="s">
        <v>200</v>
      </c>
      <c r="M756">
        <v>1</v>
      </c>
      <c r="N756" t="s">
        <v>182</v>
      </c>
      <c r="O756">
        <v>3</v>
      </c>
      <c r="P756">
        <v>1</v>
      </c>
      <c r="Q756" s="6">
        <v>67.400000000000006</v>
      </c>
      <c r="R756">
        <v>0</v>
      </c>
      <c r="S756" s="6">
        <v>0</v>
      </c>
      <c r="T756">
        <v>0</v>
      </c>
      <c r="U756" s="6">
        <v>3616</v>
      </c>
      <c r="V756">
        <v>1</v>
      </c>
      <c r="W756">
        <v>0</v>
      </c>
      <c r="X756">
        <v>0</v>
      </c>
      <c r="Y756" s="6">
        <v>45.3</v>
      </c>
      <c r="Z756">
        <v>4.7E-2</v>
      </c>
      <c r="AA756">
        <v>0.11</v>
      </c>
      <c r="AB756">
        <v>4.8000000000000001E-2</v>
      </c>
      <c r="AC756">
        <v>6</v>
      </c>
      <c r="AD756" s="6">
        <v>119</v>
      </c>
      <c r="AE756" s="6">
        <v>0</v>
      </c>
      <c r="AF756" s="6">
        <v>0</v>
      </c>
      <c r="AG756" s="6">
        <v>195.15</v>
      </c>
      <c r="AH756" s="6">
        <v>248.42</v>
      </c>
      <c r="AI756" s="6">
        <f t="shared" si="22"/>
        <v>53.269999999999982</v>
      </c>
      <c r="AJ756" s="5">
        <f t="shared" si="23"/>
        <v>0.21443523065775696</v>
      </c>
    </row>
    <row r="757" spans="1:36">
      <c r="A757" t="s">
        <v>176</v>
      </c>
      <c r="B757" t="s">
        <v>1042</v>
      </c>
      <c r="C757" t="s">
        <v>75</v>
      </c>
      <c r="D757" t="s">
        <v>77</v>
      </c>
      <c r="E757" t="s">
        <v>55</v>
      </c>
      <c r="F757">
        <v>0</v>
      </c>
      <c r="G757">
        <v>2470</v>
      </c>
      <c r="H757">
        <v>1</v>
      </c>
      <c r="I757" t="s">
        <v>173</v>
      </c>
      <c r="J757">
        <v>1</v>
      </c>
      <c r="K757" s="6">
        <v>0.92</v>
      </c>
      <c r="L757" t="s">
        <v>174</v>
      </c>
      <c r="M757">
        <v>0</v>
      </c>
      <c r="N757" t="s">
        <v>182</v>
      </c>
      <c r="O757">
        <v>3</v>
      </c>
      <c r="P757">
        <v>0</v>
      </c>
      <c r="Q757" s="6">
        <v>97.6</v>
      </c>
      <c r="R757">
        <v>0</v>
      </c>
      <c r="S757" s="6">
        <v>0</v>
      </c>
      <c r="T757">
        <v>0</v>
      </c>
      <c r="U757" s="6">
        <v>2533</v>
      </c>
      <c r="V757">
        <v>0</v>
      </c>
      <c r="W757">
        <v>0</v>
      </c>
      <c r="X757">
        <v>0</v>
      </c>
      <c r="Y757" s="6">
        <v>45.3</v>
      </c>
      <c r="Z757">
        <v>4.7E-2</v>
      </c>
      <c r="AA757">
        <v>0.11</v>
      </c>
      <c r="AB757">
        <v>4.8000000000000001E-2</v>
      </c>
      <c r="AC757">
        <v>6</v>
      </c>
      <c r="AD757" s="6">
        <v>50</v>
      </c>
      <c r="AE757" s="6">
        <v>0</v>
      </c>
      <c r="AF757" s="6">
        <v>0</v>
      </c>
      <c r="AG757" s="6">
        <v>52.76</v>
      </c>
      <c r="AH757" s="6">
        <v>70.11</v>
      </c>
      <c r="AI757" s="6">
        <f t="shared" si="22"/>
        <v>17.350000000000001</v>
      </c>
      <c r="AJ757" s="5">
        <f t="shared" si="23"/>
        <v>0.24746826415632581</v>
      </c>
    </row>
    <row r="758" spans="1:36">
      <c r="A758" t="s">
        <v>300</v>
      </c>
      <c r="B758" t="s">
        <v>1043</v>
      </c>
      <c r="C758" t="s">
        <v>75</v>
      </c>
      <c r="D758" t="s">
        <v>77</v>
      </c>
      <c r="E758" t="s">
        <v>55</v>
      </c>
      <c r="F758">
        <v>0</v>
      </c>
      <c r="G758">
        <v>2470</v>
      </c>
      <c r="H758">
        <v>1</v>
      </c>
      <c r="I758" t="s">
        <v>220</v>
      </c>
      <c r="J758">
        <v>2</v>
      </c>
      <c r="K758" s="6">
        <v>3.15</v>
      </c>
      <c r="L758" t="s">
        <v>174</v>
      </c>
      <c r="M758">
        <v>0</v>
      </c>
      <c r="N758" t="s">
        <v>272</v>
      </c>
      <c r="O758">
        <v>5</v>
      </c>
      <c r="P758">
        <v>1</v>
      </c>
      <c r="Q758" s="6">
        <v>301.10000000000002</v>
      </c>
      <c r="R758">
        <v>1</v>
      </c>
      <c r="S758" s="6">
        <v>994</v>
      </c>
      <c r="T758">
        <v>0</v>
      </c>
      <c r="U758" s="6">
        <v>3269</v>
      </c>
      <c r="V758">
        <v>0</v>
      </c>
      <c r="W758">
        <v>0</v>
      </c>
      <c r="X758">
        <v>0</v>
      </c>
      <c r="Y758" s="6">
        <v>45.3</v>
      </c>
      <c r="Z758">
        <v>4.7E-2</v>
      </c>
      <c r="AA758">
        <v>0.11</v>
      </c>
      <c r="AB758">
        <v>4.8000000000000001E-2</v>
      </c>
      <c r="AC758">
        <v>6</v>
      </c>
      <c r="AD758" s="6">
        <v>50</v>
      </c>
      <c r="AE758" s="6">
        <v>25</v>
      </c>
      <c r="AF758" s="6">
        <v>0</v>
      </c>
      <c r="AG758" s="6">
        <v>157.57</v>
      </c>
      <c r="AH758" s="6">
        <v>201.2</v>
      </c>
      <c r="AI758" s="6">
        <f t="shared" si="22"/>
        <v>43.629999999999995</v>
      </c>
      <c r="AJ758" s="5">
        <f t="shared" si="23"/>
        <v>0.21684890656063618</v>
      </c>
    </row>
    <row r="759" spans="1:36">
      <c r="A759" t="s">
        <v>284</v>
      </c>
      <c r="B759" t="s">
        <v>1044</v>
      </c>
      <c r="C759" t="s">
        <v>75</v>
      </c>
      <c r="D759" t="s">
        <v>77</v>
      </c>
      <c r="E759" t="s">
        <v>55</v>
      </c>
      <c r="F759">
        <v>0</v>
      </c>
      <c r="G759">
        <v>2470</v>
      </c>
      <c r="H759">
        <v>1</v>
      </c>
      <c r="I759" t="s">
        <v>220</v>
      </c>
      <c r="J759">
        <v>2</v>
      </c>
      <c r="K759" s="6">
        <v>2.61</v>
      </c>
      <c r="L759" t="s">
        <v>174</v>
      </c>
      <c r="M759">
        <v>0</v>
      </c>
      <c r="N759" t="s">
        <v>272</v>
      </c>
      <c r="O759">
        <v>5</v>
      </c>
      <c r="P759">
        <v>1</v>
      </c>
      <c r="Q759" s="6">
        <v>183.4</v>
      </c>
      <c r="R759">
        <v>1</v>
      </c>
      <c r="S759" s="6">
        <v>2233</v>
      </c>
      <c r="T759">
        <v>0</v>
      </c>
      <c r="U759" s="6">
        <v>2552</v>
      </c>
      <c r="V759">
        <v>0</v>
      </c>
      <c r="W759">
        <v>0</v>
      </c>
      <c r="X759">
        <v>0</v>
      </c>
      <c r="Y759" s="6">
        <v>45.3</v>
      </c>
      <c r="Z759">
        <v>4.7E-2</v>
      </c>
      <c r="AA759">
        <v>0.11</v>
      </c>
      <c r="AB759">
        <v>4.8000000000000001E-2</v>
      </c>
      <c r="AC759">
        <v>6</v>
      </c>
      <c r="AD759" s="6">
        <v>50</v>
      </c>
      <c r="AE759" s="6">
        <v>40</v>
      </c>
      <c r="AF759" s="6">
        <v>0</v>
      </c>
      <c r="AG759" s="6">
        <v>157.69999999999999</v>
      </c>
      <c r="AH759" s="6">
        <v>198.04</v>
      </c>
      <c r="AI759" s="6">
        <f t="shared" si="22"/>
        <v>40.340000000000003</v>
      </c>
      <c r="AJ759" s="5">
        <f t="shared" si="23"/>
        <v>0.20369622298525553</v>
      </c>
    </row>
    <row r="760" spans="1:36">
      <c r="A760" t="s">
        <v>236</v>
      </c>
      <c r="B760" t="s">
        <v>1045</v>
      </c>
      <c r="C760" t="s">
        <v>75</v>
      </c>
      <c r="D760" t="s">
        <v>77</v>
      </c>
      <c r="E760" t="s">
        <v>55</v>
      </c>
      <c r="F760">
        <v>0</v>
      </c>
      <c r="G760">
        <v>2470</v>
      </c>
      <c r="H760">
        <v>1</v>
      </c>
      <c r="I760" t="s">
        <v>220</v>
      </c>
      <c r="J760">
        <v>2</v>
      </c>
      <c r="K760" s="6">
        <v>4.97</v>
      </c>
      <c r="L760" t="s">
        <v>174</v>
      </c>
      <c r="M760">
        <v>0</v>
      </c>
      <c r="N760" t="s">
        <v>175</v>
      </c>
      <c r="O760">
        <v>1</v>
      </c>
      <c r="P760">
        <v>1</v>
      </c>
      <c r="Q760" s="6">
        <v>50</v>
      </c>
      <c r="R760">
        <v>0</v>
      </c>
      <c r="S760" s="6">
        <v>0</v>
      </c>
      <c r="T760">
        <v>0</v>
      </c>
      <c r="U760" s="6">
        <v>4408</v>
      </c>
      <c r="V760">
        <v>0</v>
      </c>
      <c r="W760">
        <v>0</v>
      </c>
      <c r="X760">
        <v>0</v>
      </c>
      <c r="Y760" s="6">
        <v>45.3</v>
      </c>
      <c r="Z760">
        <v>4.7E-2</v>
      </c>
      <c r="AA760">
        <v>0.11</v>
      </c>
      <c r="AB760">
        <v>4.8000000000000001E-2</v>
      </c>
      <c r="AC760">
        <v>6</v>
      </c>
      <c r="AD760" s="6">
        <v>50</v>
      </c>
      <c r="AE760" s="6">
        <v>0</v>
      </c>
      <c r="AF760" s="6">
        <v>0</v>
      </c>
      <c r="AG760" s="6">
        <v>83.14</v>
      </c>
      <c r="AH760" s="6">
        <v>107.52</v>
      </c>
      <c r="AI760" s="6">
        <f t="shared" si="22"/>
        <v>24.379999999999995</v>
      </c>
      <c r="AJ760" s="5">
        <f t="shared" si="23"/>
        <v>0.22674851190476186</v>
      </c>
    </row>
    <row r="761" spans="1:36">
      <c r="A761" t="s">
        <v>230</v>
      </c>
      <c r="B761" t="s">
        <v>1046</v>
      </c>
      <c r="C761" t="s">
        <v>75</v>
      </c>
      <c r="D761" t="s">
        <v>77</v>
      </c>
      <c r="E761" t="s">
        <v>55</v>
      </c>
      <c r="F761">
        <v>0</v>
      </c>
      <c r="G761">
        <v>2470</v>
      </c>
      <c r="H761">
        <v>1</v>
      </c>
      <c r="I761" t="s">
        <v>220</v>
      </c>
      <c r="J761">
        <v>2</v>
      </c>
      <c r="K761" s="6">
        <v>5.84</v>
      </c>
      <c r="L761" t="s">
        <v>174</v>
      </c>
      <c r="M761">
        <v>0</v>
      </c>
      <c r="N761" t="s">
        <v>187</v>
      </c>
      <c r="O761">
        <v>2</v>
      </c>
      <c r="P761">
        <v>0</v>
      </c>
      <c r="Q761" s="6">
        <v>59.8</v>
      </c>
      <c r="R761">
        <v>1</v>
      </c>
      <c r="S761" s="6">
        <v>4525</v>
      </c>
      <c r="T761">
        <v>0</v>
      </c>
      <c r="U761" s="6">
        <v>3594</v>
      </c>
      <c r="V761">
        <v>0</v>
      </c>
      <c r="W761">
        <v>0</v>
      </c>
      <c r="X761">
        <v>0</v>
      </c>
      <c r="Y761" s="6">
        <v>45.3</v>
      </c>
      <c r="Z761">
        <v>4.7E-2</v>
      </c>
      <c r="AA761">
        <v>0.11</v>
      </c>
      <c r="AB761">
        <v>4.8000000000000001E-2</v>
      </c>
      <c r="AC761">
        <v>6</v>
      </c>
      <c r="AD761" s="6">
        <v>50</v>
      </c>
      <c r="AE761" s="6">
        <v>40</v>
      </c>
      <c r="AF761" s="6">
        <v>0</v>
      </c>
      <c r="AG761" s="6">
        <v>66.400000000000006</v>
      </c>
      <c r="AH761" s="6">
        <v>87.14</v>
      </c>
      <c r="AI761" s="6">
        <f t="shared" si="22"/>
        <v>20.739999999999995</v>
      </c>
      <c r="AJ761" s="5">
        <f t="shared" si="23"/>
        <v>0.23800780353454207</v>
      </c>
    </row>
    <row r="762" spans="1:36">
      <c r="A762" t="s">
        <v>253</v>
      </c>
      <c r="B762" t="s">
        <v>1047</v>
      </c>
      <c r="C762" t="s">
        <v>75</v>
      </c>
      <c r="D762" t="s">
        <v>77</v>
      </c>
      <c r="E762" t="s">
        <v>55</v>
      </c>
      <c r="F762">
        <v>0</v>
      </c>
      <c r="G762">
        <v>2470</v>
      </c>
      <c r="H762">
        <v>1</v>
      </c>
      <c r="I762" t="s">
        <v>220</v>
      </c>
      <c r="J762">
        <v>2</v>
      </c>
      <c r="K762" s="6">
        <v>4.3899999999999997</v>
      </c>
      <c r="L762" t="s">
        <v>174</v>
      </c>
      <c r="M762">
        <v>0</v>
      </c>
      <c r="N762" t="s">
        <v>175</v>
      </c>
      <c r="O762">
        <v>1</v>
      </c>
      <c r="P762">
        <v>0</v>
      </c>
      <c r="Q762" s="6">
        <v>52.4</v>
      </c>
      <c r="R762">
        <v>0</v>
      </c>
      <c r="S762" s="6">
        <v>0</v>
      </c>
      <c r="T762">
        <v>0</v>
      </c>
      <c r="U762" s="6">
        <v>1814</v>
      </c>
      <c r="V762">
        <v>0</v>
      </c>
      <c r="W762">
        <v>0</v>
      </c>
      <c r="X762">
        <v>0</v>
      </c>
      <c r="Y762" s="6">
        <v>45.3</v>
      </c>
      <c r="Z762">
        <v>4.7E-2</v>
      </c>
      <c r="AA762">
        <v>0.11</v>
      </c>
      <c r="AB762">
        <v>4.8000000000000001E-2</v>
      </c>
      <c r="AC762">
        <v>6</v>
      </c>
      <c r="AD762" s="6">
        <v>50</v>
      </c>
      <c r="AE762" s="6">
        <v>0</v>
      </c>
      <c r="AF762" s="6">
        <v>0</v>
      </c>
      <c r="AG762" s="6">
        <v>56.73</v>
      </c>
      <c r="AH762" s="6">
        <v>71.8</v>
      </c>
      <c r="AI762" s="6">
        <f t="shared" si="22"/>
        <v>15.07</v>
      </c>
      <c r="AJ762" s="5">
        <f t="shared" si="23"/>
        <v>0.20988857938718664</v>
      </c>
    </row>
    <row r="763" spans="1:36">
      <c r="A763" t="s">
        <v>247</v>
      </c>
      <c r="B763" t="s">
        <v>1048</v>
      </c>
      <c r="C763" t="s">
        <v>75</v>
      </c>
      <c r="D763" t="s">
        <v>77</v>
      </c>
      <c r="E763" t="s">
        <v>55</v>
      </c>
      <c r="F763">
        <v>0</v>
      </c>
      <c r="G763">
        <v>2470</v>
      </c>
      <c r="H763">
        <v>1</v>
      </c>
      <c r="I763" t="s">
        <v>220</v>
      </c>
      <c r="J763">
        <v>2</v>
      </c>
      <c r="K763" s="6">
        <v>4.05</v>
      </c>
      <c r="L763" t="s">
        <v>174</v>
      </c>
      <c r="M763">
        <v>0</v>
      </c>
      <c r="N763" t="s">
        <v>187</v>
      </c>
      <c r="O763">
        <v>2</v>
      </c>
      <c r="P763">
        <v>0</v>
      </c>
      <c r="Q763" s="6">
        <v>51.3</v>
      </c>
      <c r="R763">
        <v>0</v>
      </c>
      <c r="S763" s="6">
        <v>0</v>
      </c>
      <c r="T763">
        <v>0</v>
      </c>
      <c r="U763" s="6">
        <v>2371</v>
      </c>
      <c r="V763">
        <v>0</v>
      </c>
      <c r="W763">
        <v>0</v>
      </c>
      <c r="X763">
        <v>0</v>
      </c>
      <c r="Y763" s="6">
        <v>45.3</v>
      </c>
      <c r="Z763">
        <v>4.7E-2</v>
      </c>
      <c r="AA763">
        <v>0.11</v>
      </c>
      <c r="AB763">
        <v>4.8000000000000001E-2</v>
      </c>
      <c r="AC763">
        <v>6</v>
      </c>
      <c r="AD763" s="6">
        <v>50</v>
      </c>
      <c r="AE763" s="6">
        <v>0</v>
      </c>
      <c r="AF763" s="6">
        <v>0</v>
      </c>
      <c r="AG763" s="6">
        <v>58.4</v>
      </c>
      <c r="AH763" s="6">
        <v>73.69</v>
      </c>
      <c r="AI763" s="6">
        <f t="shared" si="22"/>
        <v>15.29</v>
      </c>
      <c r="AJ763" s="5">
        <f t="shared" si="23"/>
        <v>0.20749084000542814</v>
      </c>
    </row>
    <row r="764" spans="1:36">
      <c r="A764" t="s">
        <v>228</v>
      </c>
      <c r="B764" t="s">
        <v>1049</v>
      </c>
      <c r="C764" t="s">
        <v>75</v>
      </c>
      <c r="D764" t="s">
        <v>77</v>
      </c>
      <c r="E764" t="s">
        <v>55</v>
      </c>
      <c r="F764">
        <v>0</v>
      </c>
      <c r="G764">
        <v>2470</v>
      </c>
      <c r="H764">
        <v>1</v>
      </c>
      <c r="I764" t="s">
        <v>220</v>
      </c>
      <c r="J764">
        <v>2</v>
      </c>
      <c r="K764" s="6">
        <v>4.72</v>
      </c>
      <c r="L764" t="s">
        <v>174</v>
      </c>
      <c r="M764">
        <v>0</v>
      </c>
      <c r="N764" t="s">
        <v>182</v>
      </c>
      <c r="O764">
        <v>3</v>
      </c>
      <c r="P764">
        <v>0</v>
      </c>
      <c r="Q764" s="6">
        <v>106.7</v>
      </c>
      <c r="R764">
        <v>1</v>
      </c>
      <c r="S764" s="6">
        <v>2797</v>
      </c>
      <c r="T764">
        <v>0</v>
      </c>
      <c r="U764" s="6">
        <v>1822</v>
      </c>
      <c r="V764">
        <v>0</v>
      </c>
      <c r="W764">
        <v>0</v>
      </c>
      <c r="X764">
        <v>0</v>
      </c>
      <c r="Y764" s="6">
        <v>45.3</v>
      </c>
      <c r="Z764">
        <v>4.7E-2</v>
      </c>
      <c r="AA764">
        <v>0.11</v>
      </c>
      <c r="AB764">
        <v>4.8000000000000001E-2</v>
      </c>
      <c r="AC764">
        <v>6</v>
      </c>
      <c r="AD764" s="6">
        <v>50</v>
      </c>
      <c r="AE764" s="6">
        <v>40</v>
      </c>
      <c r="AF764" s="6">
        <v>0</v>
      </c>
      <c r="AG764" s="6">
        <v>79.489999999999995</v>
      </c>
      <c r="AH764" s="6">
        <v>99.56</v>
      </c>
      <c r="AI764" s="6">
        <f t="shared" si="22"/>
        <v>20.070000000000007</v>
      </c>
      <c r="AJ764" s="5">
        <f t="shared" si="23"/>
        <v>0.20158698272398562</v>
      </c>
    </row>
    <row r="765" spans="1:36">
      <c r="A765" t="s">
        <v>251</v>
      </c>
      <c r="B765" t="s">
        <v>1050</v>
      </c>
      <c r="C765" t="s">
        <v>75</v>
      </c>
      <c r="D765" t="s">
        <v>77</v>
      </c>
      <c r="E765" t="s">
        <v>55</v>
      </c>
      <c r="F765">
        <v>0</v>
      </c>
      <c r="G765">
        <v>2470</v>
      </c>
      <c r="H765">
        <v>1</v>
      </c>
      <c r="I765" t="s">
        <v>173</v>
      </c>
      <c r="J765">
        <v>1</v>
      </c>
      <c r="K765" s="6">
        <v>1.8</v>
      </c>
      <c r="L765" t="s">
        <v>174</v>
      </c>
      <c r="M765">
        <v>0</v>
      </c>
      <c r="N765" t="s">
        <v>175</v>
      </c>
      <c r="O765">
        <v>1</v>
      </c>
      <c r="P765">
        <v>0</v>
      </c>
      <c r="Q765" s="6">
        <v>35.4</v>
      </c>
      <c r="R765">
        <v>0</v>
      </c>
      <c r="S765" s="6">
        <v>0</v>
      </c>
      <c r="T765">
        <v>0</v>
      </c>
      <c r="U765" s="6">
        <v>1459</v>
      </c>
      <c r="V765">
        <v>0</v>
      </c>
      <c r="W765">
        <v>0</v>
      </c>
      <c r="X765">
        <v>1</v>
      </c>
      <c r="Y765" s="6">
        <v>45.3</v>
      </c>
      <c r="Z765">
        <v>4.7E-2</v>
      </c>
      <c r="AA765">
        <v>0.11</v>
      </c>
      <c r="AB765">
        <v>4.8000000000000001E-2</v>
      </c>
      <c r="AC765">
        <v>6</v>
      </c>
      <c r="AD765" s="6">
        <v>50</v>
      </c>
      <c r="AE765" s="6">
        <v>0</v>
      </c>
      <c r="AF765" s="6">
        <v>0</v>
      </c>
      <c r="AG765" s="6">
        <v>47.87</v>
      </c>
      <c r="AH765" s="6">
        <v>61.09</v>
      </c>
      <c r="AI765" s="6">
        <f t="shared" si="22"/>
        <v>13.220000000000006</v>
      </c>
      <c r="AJ765" s="5">
        <f t="shared" si="23"/>
        <v>0.2164020297921101</v>
      </c>
    </row>
    <row r="766" spans="1:36">
      <c r="A766" t="s">
        <v>765</v>
      </c>
      <c r="B766" t="s">
        <v>1051</v>
      </c>
      <c r="C766" t="s">
        <v>75</v>
      </c>
      <c r="D766" t="s">
        <v>77</v>
      </c>
      <c r="E766" t="s">
        <v>55</v>
      </c>
      <c r="F766">
        <v>0</v>
      </c>
      <c r="G766">
        <v>2470</v>
      </c>
      <c r="H766">
        <v>1</v>
      </c>
      <c r="I766" t="s">
        <v>220</v>
      </c>
      <c r="J766">
        <v>2</v>
      </c>
      <c r="K766" s="6">
        <v>4.6100000000000003</v>
      </c>
      <c r="L766" t="s">
        <v>174</v>
      </c>
      <c r="M766">
        <v>0</v>
      </c>
      <c r="N766" t="s">
        <v>175</v>
      </c>
      <c r="O766">
        <v>1</v>
      </c>
      <c r="P766">
        <v>0</v>
      </c>
      <c r="Q766" s="6">
        <v>23.4</v>
      </c>
      <c r="R766">
        <v>1</v>
      </c>
      <c r="S766" s="6">
        <v>2604</v>
      </c>
      <c r="T766">
        <v>0</v>
      </c>
      <c r="U766" s="6">
        <v>3669</v>
      </c>
      <c r="V766">
        <v>1</v>
      </c>
      <c r="W766">
        <v>0</v>
      </c>
      <c r="X766">
        <v>0</v>
      </c>
      <c r="Y766" s="6">
        <v>45.3</v>
      </c>
      <c r="Z766">
        <v>4.7E-2</v>
      </c>
      <c r="AA766">
        <v>0.11</v>
      </c>
      <c r="AB766">
        <v>4.8000000000000001E-2</v>
      </c>
      <c r="AC766">
        <v>6</v>
      </c>
      <c r="AD766" s="6">
        <v>50</v>
      </c>
      <c r="AE766" s="6">
        <v>40</v>
      </c>
      <c r="AF766" s="6">
        <v>0</v>
      </c>
      <c r="AG766" s="6">
        <v>104.88</v>
      </c>
      <c r="AH766" s="6">
        <v>135.15</v>
      </c>
      <c r="AI766" s="6">
        <f t="shared" si="22"/>
        <v>30.27000000000001</v>
      </c>
      <c r="AJ766" s="5">
        <f t="shared" si="23"/>
        <v>0.22397336293007775</v>
      </c>
    </row>
    <row r="767" spans="1:36">
      <c r="A767" t="s">
        <v>501</v>
      </c>
      <c r="B767" t="s">
        <v>1052</v>
      </c>
      <c r="C767" t="s">
        <v>75</v>
      </c>
      <c r="D767" t="s">
        <v>77</v>
      </c>
      <c r="E767" t="s">
        <v>55</v>
      </c>
      <c r="F767">
        <v>0</v>
      </c>
      <c r="G767">
        <v>2470</v>
      </c>
      <c r="H767">
        <v>1</v>
      </c>
      <c r="I767" t="s">
        <v>220</v>
      </c>
      <c r="J767">
        <v>2</v>
      </c>
      <c r="K767" s="6">
        <v>5.53</v>
      </c>
      <c r="L767" t="s">
        <v>174</v>
      </c>
      <c r="M767">
        <v>0</v>
      </c>
      <c r="N767" t="s">
        <v>175</v>
      </c>
      <c r="O767">
        <v>1</v>
      </c>
      <c r="P767">
        <v>1</v>
      </c>
      <c r="Q767" s="6">
        <v>29.6</v>
      </c>
      <c r="R767">
        <v>0</v>
      </c>
      <c r="S767" s="6">
        <v>0</v>
      </c>
      <c r="T767">
        <v>0</v>
      </c>
      <c r="U767" s="6">
        <v>1072</v>
      </c>
      <c r="V767">
        <v>0</v>
      </c>
      <c r="W767">
        <v>0</v>
      </c>
      <c r="X767">
        <v>0</v>
      </c>
      <c r="Y767" s="6">
        <v>45.3</v>
      </c>
      <c r="Z767">
        <v>4.7E-2</v>
      </c>
      <c r="AA767">
        <v>0.11</v>
      </c>
      <c r="AB767">
        <v>4.8000000000000001E-2</v>
      </c>
      <c r="AC767">
        <v>6</v>
      </c>
      <c r="AD767" s="6">
        <v>50</v>
      </c>
      <c r="AE767" s="6">
        <v>0</v>
      </c>
      <c r="AF767" s="6">
        <v>0</v>
      </c>
      <c r="AG767" s="6">
        <v>79.75</v>
      </c>
      <c r="AH767" s="6">
        <v>102.47</v>
      </c>
      <c r="AI767" s="6">
        <f t="shared" si="22"/>
        <v>22.72</v>
      </c>
      <c r="AJ767" s="5">
        <f t="shared" si="23"/>
        <v>0.22172343124817018</v>
      </c>
    </row>
    <row r="768" spans="1:36">
      <c r="A768" t="s">
        <v>258</v>
      </c>
      <c r="B768" t="s">
        <v>1053</v>
      </c>
      <c r="C768" t="s">
        <v>75</v>
      </c>
      <c r="D768" t="s">
        <v>77</v>
      </c>
      <c r="E768" t="s">
        <v>55</v>
      </c>
      <c r="F768">
        <v>0</v>
      </c>
      <c r="G768">
        <v>2470</v>
      </c>
      <c r="H768">
        <v>1</v>
      </c>
      <c r="I768" t="s">
        <v>178</v>
      </c>
      <c r="J768">
        <v>4</v>
      </c>
      <c r="K768" s="6">
        <v>11.91</v>
      </c>
      <c r="L768" t="s">
        <v>174</v>
      </c>
      <c r="M768">
        <v>0</v>
      </c>
      <c r="N768" t="s">
        <v>187</v>
      </c>
      <c r="O768">
        <v>2</v>
      </c>
      <c r="P768">
        <v>0</v>
      </c>
      <c r="Q768" s="6">
        <v>65</v>
      </c>
      <c r="R768">
        <v>0</v>
      </c>
      <c r="S768" s="6">
        <v>0</v>
      </c>
      <c r="T768">
        <v>0</v>
      </c>
      <c r="U768" s="6">
        <v>1447</v>
      </c>
      <c r="V768">
        <v>0</v>
      </c>
      <c r="W768">
        <v>0</v>
      </c>
      <c r="X768">
        <v>0</v>
      </c>
      <c r="Y768" s="6">
        <v>45.3</v>
      </c>
      <c r="Z768">
        <v>4.7E-2</v>
      </c>
      <c r="AA768">
        <v>0.11</v>
      </c>
      <c r="AB768">
        <v>4.8000000000000001E-2</v>
      </c>
      <c r="AC768">
        <v>6</v>
      </c>
      <c r="AD768" s="6">
        <v>65</v>
      </c>
      <c r="AE768" s="6">
        <v>0</v>
      </c>
      <c r="AF768" s="6">
        <v>0</v>
      </c>
      <c r="AG768" s="6">
        <v>124.46</v>
      </c>
      <c r="AH768" s="6">
        <v>157.71</v>
      </c>
      <c r="AI768" s="6">
        <f t="shared" si="22"/>
        <v>33.250000000000014</v>
      </c>
      <c r="AJ768" s="5">
        <f t="shared" si="23"/>
        <v>0.21083000443852648</v>
      </c>
    </row>
    <row r="769" spans="1:36">
      <c r="A769" t="s">
        <v>212</v>
      </c>
      <c r="B769" t="s">
        <v>1054</v>
      </c>
      <c r="C769" t="s">
        <v>75</v>
      </c>
      <c r="D769" t="s">
        <v>77</v>
      </c>
      <c r="E769" t="s">
        <v>55</v>
      </c>
      <c r="F769">
        <v>0</v>
      </c>
      <c r="G769">
        <v>2470</v>
      </c>
      <c r="H769">
        <v>1</v>
      </c>
      <c r="I769" t="s">
        <v>220</v>
      </c>
      <c r="J769">
        <v>2</v>
      </c>
      <c r="K769" s="6">
        <v>4.04</v>
      </c>
      <c r="L769" t="s">
        <v>174</v>
      </c>
      <c r="M769">
        <v>0</v>
      </c>
      <c r="N769" t="s">
        <v>217</v>
      </c>
      <c r="O769">
        <v>4</v>
      </c>
      <c r="P769">
        <v>1</v>
      </c>
      <c r="Q769" s="6">
        <v>151.30000000000001</v>
      </c>
      <c r="R769">
        <v>0</v>
      </c>
      <c r="S769" s="6">
        <v>0</v>
      </c>
      <c r="T769">
        <v>0</v>
      </c>
      <c r="U769" s="6">
        <v>1848</v>
      </c>
      <c r="V769">
        <v>0</v>
      </c>
      <c r="W769">
        <v>0</v>
      </c>
      <c r="X769">
        <v>0</v>
      </c>
      <c r="Y769" s="6">
        <v>45.3</v>
      </c>
      <c r="Z769">
        <v>4.7E-2</v>
      </c>
      <c r="AA769">
        <v>0.11</v>
      </c>
      <c r="AB769">
        <v>4.8000000000000001E-2</v>
      </c>
      <c r="AC769">
        <v>6</v>
      </c>
      <c r="AD769" s="6">
        <v>50</v>
      </c>
      <c r="AE769" s="6">
        <v>0</v>
      </c>
      <c r="AF769" s="6">
        <v>0</v>
      </c>
      <c r="AG769" s="6">
        <v>106.58</v>
      </c>
      <c r="AH769" s="6">
        <v>134.13</v>
      </c>
      <c r="AI769" s="6">
        <f t="shared" si="22"/>
        <v>27.549999999999997</v>
      </c>
      <c r="AJ769" s="5">
        <f t="shared" si="23"/>
        <v>0.20539774845299336</v>
      </c>
    </row>
    <row r="770" spans="1:36">
      <c r="A770" t="s">
        <v>403</v>
      </c>
      <c r="B770" t="s">
        <v>1055</v>
      </c>
      <c r="C770" t="s">
        <v>75</v>
      </c>
      <c r="D770" t="s">
        <v>77</v>
      </c>
      <c r="E770" t="s">
        <v>55</v>
      </c>
      <c r="F770">
        <v>0</v>
      </c>
      <c r="G770">
        <v>2470</v>
      </c>
      <c r="H770">
        <v>1</v>
      </c>
      <c r="I770" t="s">
        <v>220</v>
      </c>
      <c r="J770">
        <v>2</v>
      </c>
      <c r="K770" s="6">
        <v>5.15</v>
      </c>
      <c r="L770" t="s">
        <v>174</v>
      </c>
      <c r="M770">
        <v>0</v>
      </c>
      <c r="N770" t="s">
        <v>187</v>
      </c>
      <c r="O770">
        <v>2</v>
      </c>
      <c r="P770">
        <v>0</v>
      </c>
      <c r="Q770" s="6">
        <v>55.2</v>
      </c>
      <c r="R770">
        <v>0</v>
      </c>
      <c r="S770" s="6">
        <v>0</v>
      </c>
      <c r="T770">
        <v>0</v>
      </c>
      <c r="U770" s="6">
        <v>1833</v>
      </c>
      <c r="V770">
        <v>0</v>
      </c>
      <c r="W770">
        <v>0</v>
      </c>
      <c r="X770">
        <v>0</v>
      </c>
      <c r="Y770" s="6">
        <v>45.3</v>
      </c>
      <c r="Z770">
        <v>4.7E-2</v>
      </c>
      <c r="AA770">
        <v>0.11</v>
      </c>
      <c r="AB770">
        <v>4.8000000000000001E-2</v>
      </c>
      <c r="AC770">
        <v>6</v>
      </c>
      <c r="AD770" s="6">
        <v>50</v>
      </c>
      <c r="AE770" s="6">
        <v>0</v>
      </c>
      <c r="AF770" s="6">
        <v>0</v>
      </c>
      <c r="AG770" s="6">
        <v>66.3</v>
      </c>
      <c r="AH770" s="6">
        <v>85.69</v>
      </c>
      <c r="AI770" s="6">
        <f t="shared" ref="AI770:AI833" si="24">AH770-AG770</f>
        <v>19.39</v>
      </c>
      <c r="AJ770" s="5">
        <f t="shared" ref="AJ770:AJ833" si="25">IFERROR(AI770/AH770,0)</f>
        <v>0.22628077955420703</v>
      </c>
    </row>
    <row r="771" spans="1:36">
      <c r="A771" t="s">
        <v>245</v>
      </c>
      <c r="B771" t="s">
        <v>1056</v>
      </c>
      <c r="C771" t="s">
        <v>75</v>
      </c>
      <c r="D771" t="s">
        <v>77</v>
      </c>
      <c r="E771" t="s">
        <v>55</v>
      </c>
      <c r="F771">
        <v>0</v>
      </c>
      <c r="G771">
        <v>2470</v>
      </c>
      <c r="H771">
        <v>1</v>
      </c>
      <c r="I771" t="s">
        <v>220</v>
      </c>
      <c r="J771">
        <v>2</v>
      </c>
      <c r="K771" s="6">
        <v>5.99</v>
      </c>
      <c r="L771" t="s">
        <v>174</v>
      </c>
      <c r="M771">
        <v>0</v>
      </c>
      <c r="N771" t="s">
        <v>187</v>
      </c>
      <c r="O771">
        <v>2</v>
      </c>
      <c r="P771">
        <v>0</v>
      </c>
      <c r="Q771" s="6">
        <v>57.5</v>
      </c>
      <c r="R771">
        <v>1</v>
      </c>
      <c r="S771" s="6">
        <v>1542</v>
      </c>
      <c r="T771">
        <v>0</v>
      </c>
      <c r="U771" s="6">
        <v>1117</v>
      </c>
      <c r="V771">
        <v>0</v>
      </c>
      <c r="W771">
        <v>0</v>
      </c>
      <c r="X771">
        <v>0</v>
      </c>
      <c r="Y771" s="6">
        <v>45.3</v>
      </c>
      <c r="Z771">
        <v>4.7E-2</v>
      </c>
      <c r="AA771">
        <v>0.11</v>
      </c>
      <c r="AB771">
        <v>4.8000000000000001E-2</v>
      </c>
      <c r="AC771">
        <v>6</v>
      </c>
      <c r="AD771" s="6">
        <v>50</v>
      </c>
      <c r="AE771" s="6">
        <v>25</v>
      </c>
      <c r="AF771" s="6">
        <v>0</v>
      </c>
      <c r="AG771" s="6">
        <v>65.900000000000006</v>
      </c>
      <c r="AH771" s="6">
        <v>85.8</v>
      </c>
      <c r="AI771" s="6">
        <f t="shared" si="24"/>
        <v>19.899999999999991</v>
      </c>
      <c r="AJ771" s="5">
        <f t="shared" si="25"/>
        <v>0.23193473193473185</v>
      </c>
    </row>
    <row r="772" spans="1:36">
      <c r="A772" t="s">
        <v>397</v>
      </c>
      <c r="B772" t="s">
        <v>1057</v>
      </c>
      <c r="C772" t="s">
        <v>75</v>
      </c>
      <c r="D772" t="s">
        <v>77</v>
      </c>
      <c r="E772" t="s">
        <v>55</v>
      </c>
      <c r="F772">
        <v>0</v>
      </c>
      <c r="G772">
        <v>2470</v>
      </c>
      <c r="H772">
        <v>1</v>
      </c>
      <c r="I772" t="s">
        <v>220</v>
      </c>
      <c r="J772">
        <v>2</v>
      </c>
      <c r="K772" s="6">
        <v>3.42</v>
      </c>
      <c r="L772" t="s">
        <v>174</v>
      </c>
      <c r="M772">
        <v>0</v>
      </c>
      <c r="N772" t="s">
        <v>175</v>
      </c>
      <c r="O772">
        <v>1</v>
      </c>
      <c r="P772">
        <v>0</v>
      </c>
      <c r="Q772" s="6">
        <v>27.7</v>
      </c>
      <c r="R772">
        <v>0</v>
      </c>
      <c r="S772" s="6">
        <v>0</v>
      </c>
      <c r="T772">
        <v>0</v>
      </c>
      <c r="U772" s="6">
        <v>4929</v>
      </c>
      <c r="V772">
        <v>1</v>
      </c>
      <c r="W772">
        <v>0</v>
      </c>
      <c r="X772">
        <v>0</v>
      </c>
      <c r="Y772" s="6">
        <v>45.3</v>
      </c>
      <c r="Z772">
        <v>4.7E-2</v>
      </c>
      <c r="AA772">
        <v>0.11</v>
      </c>
      <c r="AB772">
        <v>4.8000000000000001E-2</v>
      </c>
      <c r="AC772">
        <v>6</v>
      </c>
      <c r="AD772" s="6">
        <v>50</v>
      </c>
      <c r="AE772" s="6">
        <v>0</v>
      </c>
      <c r="AF772" s="6">
        <v>0</v>
      </c>
      <c r="AG772" s="6">
        <v>94.71</v>
      </c>
      <c r="AH772" s="6">
        <v>119.32</v>
      </c>
      <c r="AI772" s="6">
        <f t="shared" si="24"/>
        <v>24.61</v>
      </c>
      <c r="AJ772" s="5">
        <f t="shared" si="25"/>
        <v>0.2062520952061683</v>
      </c>
    </row>
    <row r="773" spans="1:36">
      <c r="A773" t="s">
        <v>459</v>
      </c>
      <c r="B773" t="s">
        <v>1058</v>
      </c>
      <c r="C773" t="s">
        <v>75</v>
      </c>
      <c r="D773" t="s">
        <v>77</v>
      </c>
      <c r="E773" t="s">
        <v>55</v>
      </c>
      <c r="F773">
        <v>0</v>
      </c>
      <c r="G773">
        <v>2470</v>
      </c>
      <c r="H773">
        <v>1</v>
      </c>
      <c r="I773" t="s">
        <v>220</v>
      </c>
      <c r="J773">
        <v>2</v>
      </c>
      <c r="K773" s="6">
        <v>3.85</v>
      </c>
      <c r="L773" t="s">
        <v>174</v>
      </c>
      <c r="M773">
        <v>0</v>
      </c>
      <c r="N773" t="s">
        <v>175</v>
      </c>
      <c r="O773">
        <v>1</v>
      </c>
      <c r="P773">
        <v>0</v>
      </c>
      <c r="Q773" s="6">
        <v>26.4</v>
      </c>
      <c r="R773">
        <v>1</v>
      </c>
      <c r="S773" s="6">
        <v>3238</v>
      </c>
      <c r="T773">
        <v>0</v>
      </c>
      <c r="U773" s="6">
        <v>3393</v>
      </c>
      <c r="V773">
        <v>0</v>
      </c>
      <c r="W773">
        <v>0</v>
      </c>
      <c r="X773">
        <v>0</v>
      </c>
      <c r="Y773" s="6">
        <v>45.3</v>
      </c>
      <c r="Z773">
        <v>4.7E-2</v>
      </c>
      <c r="AA773">
        <v>0.11</v>
      </c>
      <c r="AB773">
        <v>4.8000000000000001E-2</v>
      </c>
      <c r="AC773">
        <v>6</v>
      </c>
      <c r="AD773" s="6">
        <v>50</v>
      </c>
      <c r="AE773" s="6">
        <v>40</v>
      </c>
      <c r="AF773" s="6">
        <v>0</v>
      </c>
      <c r="AG773" s="6">
        <v>69.010000000000005</v>
      </c>
      <c r="AH773" s="6">
        <v>90.83</v>
      </c>
      <c r="AI773" s="6">
        <f t="shared" si="24"/>
        <v>21.819999999999993</v>
      </c>
      <c r="AJ773" s="5">
        <f t="shared" si="25"/>
        <v>0.24022899922932944</v>
      </c>
    </row>
    <row r="774" spans="1:36">
      <c r="A774" t="s">
        <v>251</v>
      </c>
      <c r="B774" t="s">
        <v>1059</v>
      </c>
      <c r="C774" t="s">
        <v>75</v>
      </c>
      <c r="D774" t="s">
        <v>77</v>
      </c>
      <c r="E774" t="s">
        <v>55</v>
      </c>
      <c r="F774">
        <v>0</v>
      </c>
      <c r="G774">
        <v>2470</v>
      </c>
      <c r="H774">
        <v>1</v>
      </c>
      <c r="I774" t="s">
        <v>173</v>
      </c>
      <c r="J774">
        <v>1</v>
      </c>
      <c r="K774" s="6">
        <v>1.69</v>
      </c>
      <c r="L774" t="s">
        <v>174</v>
      </c>
      <c r="M774">
        <v>0</v>
      </c>
      <c r="N774" t="s">
        <v>187</v>
      </c>
      <c r="O774">
        <v>2</v>
      </c>
      <c r="P774">
        <v>0</v>
      </c>
      <c r="Q774" s="6">
        <v>78.3</v>
      </c>
      <c r="R774">
        <v>1</v>
      </c>
      <c r="S774" s="6">
        <v>1020</v>
      </c>
      <c r="T774">
        <v>0</v>
      </c>
      <c r="U774" s="6">
        <v>6455</v>
      </c>
      <c r="V774">
        <v>0</v>
      </c>
      <c r="W774">
        <v>0</v>
      </c>
      <c r="X774">
        <v>0</v>
      </c>
      <c r="Y774" s="6">
        <v>45.3</v>
      </c>
      <c r="Z774">
        <v>4.7E-2</v>
      </c>
      <c r="AA774">
        <v>0.11</v>
      </c>
      <c r="AB774">
        <v>4.8000000000000001E-2</v>
      </c>
      <c r="AC774">
        <v>6</v>
      </c>
      <c r="AD774" s="6">
        <v>50</v>
      </c>
      <c r="AE774" s="6">
        <v>25</v>
      </c>
      <c r="AF774" s="6">
        <v>0</v>
      </c>
      <c r="AG774" s="6">
        <v>54.29</v>
      </c>
      <c r="AH774" s="6">
        <v>69.98</v>
      </c>
      <c r="AI774" s="6">
        <f t="shared" si="24"/>
        <v>15.690000000000005</v>
      </c>
      <c r="AJ774" s="5">
        <f t="shared" si="25"/>
        <v>0.22420691626178915</v>
      </c>
    </row>
    <row r="775" spans="1:36">
      <c r="A775" t="s">
        <v>303</v>
      </c>
      <c r="B775" t="s">
        <v>1060</v>
      </c>
      <c r="C775" t="s">
        <v>75</v>
      </c>
      <c r="D775" t="s">
        <v>77</v>
      </c>
      <c r="E775" t="s">
        <v>55</v>
      </c>
      <c r="F775">
        <v>0</v>
      </c>
      <c r="G775">
        <v>2470</v>
      </c>
      <c r="H775">
        <v>1</v>
      </c>
      <c r="I775" t="s">
        <v>220</v>
      </c>
      <c r="J775">
        <v>2</v>
      </c>
      <c r="K775" s="6">
        <v>4.05</v>
      </c>
      <c r="L775" t="s">
        <v>174</v>
      </c>
      <c r="M775">
        <v>0</v>
      </c>
      <c r="N775" t="s">
        <v>217</v>
      </c>
      <c r="O775">
        <v>4</v>
      </c>
      <c r="P775">
        <v>1</v>
      </c>
      <c r="Q775" s="6">
        <v>121.7</v>
      </c>
      <c r="R775">
        <v>1</v>
      </c>
      <c r="S775" s="6">
        <v>4996</v>
      </c>
      <c r="T775">
        <v>0</v>
      </c>
      <c r="U775" s="6">
        <v>2978</v>
      </c>
      <c r="V775">
        <v>0</v>
      </c>
      <c r="W775">
        <v>0</v>
      </c>
      <c r="X775">
        <v>0</v>
      </c>
      <c r="Y775" s="6">
        <v>45.3</v>
      </c>
      <c r="Z775">
        <v>4.7E-2</v>
      </c>
      <c r="AA775">
        <v>0.11</v>
      </c>
      <c r="AB775">
        <v>4.8000000000000001E-2</v>
      </c>
      <c r="AC775">
        <v>6</v>
      </c>
      <c r="AD775" s="6">
        <v>50</v>
      </c>
      <c r="AE775" s="6">
        <v>40</v>
      </c>
      <c r="AF775" s="6">
        <v>0</v>
      </c>
      <c r="AG775" s="6">
        <v>121.01</v>
      </c>
      <c r="AH775" s="6">
        <v>154.55000000000001</v>
      </c>
      <c r="AI775" s="6">
        <f t="shared" si="24"/>
        <v>33.540000000000006</v>
      </c>
      <c r="AJ775" s="5">
        <f t="shared" si="25"/>
        <v>0.21701714655451312</v>
      </c>
    </row>
    <row r="776" spans="1:36">
      <c r="A776" t="s">
        <v>488</v>
      </c>
      <c r="B776" t="s">
        <v>1061</v>
      </c>
      <c r="C776" t="s">
        <v>75</v>
      </c>
      <c r="D776" t="s">
        <v>77</v>
      </c>
      <c r="E776" t="s">
        <v>55</v>
      </c>
      <c r="F776">
        <v>0</v>
      </c>
      <c r="G776">
        <v>2470</v>
      </c>
      <c r="H776">
        <v>1</v>
      </c>
      <c r="I776" t="s">
        <v>173</v>
      </c>
      <c r="J776">
        <v>1</v>
      </c>
      <c r="K776" s="6">
        <v>1.93</v>
      </c>
      <c r="L776" t="s">
        <v>174</v>
      </c>
      <c r="M776">
        <v>0</v>
      </c>
      <c r="N776" t="s">
        <v>175</v>
      </c>
      <c r="O776">
        <v>1</v>
      </c>
      <c r="P776">
        <v>0</v>
      </c>
      <c r="Q776" s="6">
        <v>46.4</v>
      </c>
      <c r="R776">
        <v>1</v>
      </c>
      <c r="S776" s="6">
        <v>418</v>
      </c>
      <c r="T776">
        <v>0</v>
      </c>
      <c r="U776" s="6">
        <v>1286</v>
      </c>
      <c r="V776">
        <v>0</v>
      </c>
      <c r="W776">
        <v>0</v>
      </c>
      <c r="X776">
        <v>0</v>
      </c>
      <c r="Y776" s="6">
        <v>45.3</v>
      </c>
      <c r="Z776">
        <v>4.7E-2</v>
      </c>
      <c r="AA776">
        <v>0.11</v>
      </c>
      <c r="AB776">
        <v>4.8000000000000001E-2</v>
      </c>
      <c r="AC776">
        <v>6</v>
      </c>
      <c r="AD776" s="6">
        <v>50</v>
      </c>
      <c r="AE776" s="6">
        <v>25</v>
      </c>
      <c r="AF776" s="6">
        <v>0</v>
      </c>
      <c r="AG776" s="6">
        <v>53.84</v>
      </c>
      <c r="AH776" s="6">
        <v>70.09</v>
      </c>
      <c r="AI776" s="6">
        <f t="shared" si="24"/>
        <v>16.25</v>
      </c>
      <c r="AJ776" s="5">
        <f t="shared" si="25"/>
        <v>0.23184477100870307</v>
      </c>
    </row>
    <row r="777" spans="1:36">
      <c r="A777" t="s">
        <v>176</v>
      </c>
      <c r="B777" t="s">
        <v>1062</v>
      </c>
      <c r="C777" t="s">
        <v>75</v>
      </c>
      <c r="D777" t="s">
        <v>77</v>
      </c>
      <c r="E777" t="s">
        <v>55</v>
      </c>
      <c r="F777">
        <v>0</v>
      </c>
      <c r="G777">
        <v>2470</v>
      </c>
      <c r="H777">
        <v>1</v>
      </c>
      <c r="I777" t="s">
        <v>220</v>
      </c>
      <c r="J777">
        <v>2</v>
      </c>
      <c r="K777" s="6">
        <v>4.5999999999999996</v>
      </c>
      <c r="L777" t="s">
        <v>174</v>
      </c>
      <c r="M777">
        <v>0</v>
      </c>
      <c r="N777" t="s">
        <v>175</v>
      </c>
      <c r="O777">
        <v>1</v>
      </c>
      <c r="P777">
        <v>0</v>
      </c>
      <c r="Q777" s="6">
        <v>31.6</v>
      </c>
      <c r="R777">
        <v>1</v>
      </c>
      <c r="S777" s="6">
        <v>892</v>
      </c>
      <c r="T777">
        <v>0</v>
      </c>
      <c r="U777" s="6">
        <v>2270</v>
      </c>
      <c r="V777">
        <v>0</v>
      </c>
      <c r="W777">
        <v>0</v>
      </c>
      <c r="X777">
        <v>0</v>
      </c>
      <c r="Y777" s="6">
        <v>45.3</v>
      </c>
      <c r="Z777">
        <v>4.7E-2</v>
      </c>
      <c r="AA777">
        <v>0.11</v>
      </c>
      <c r="AB777">
        <v>4.8000000000000001E-2</v>
      </c>
      <c r="AC777">
        <v>6</v>
      </c>
      <c r="AD777" s="6">
        <v>50</v>
      </c>
      <c r="AE777" s="6">
        <v>25</v>
      </c>
      <c r="AF777" s="6">
        <v>0</v>
      </c>
      <c r="AG777" s="6">
        <v>64.05</v>
      </c>
      <c r="AH777" s="6">
        <v>84.18</v>
      </c>
      <c r="AI777" s="6">
        <f t="shared" si="24"/>
        <v>20.13000000000001</v>
      </c>
      <c r="AJ777" s="5">
        <f t="shared" si="25"/>
        <v>0.23913043478260879</v>
      </c>
    </row>
    <row r="778" spans="1:36">
      <c r="A778" t="s">
        <v>247</v>
      </c>
      <c r="B778" t="s">
        <v>1063</v>
      </c>
      <c r="C778" t="s">
        <v>75</v>
      </c>
      <c r="D778" t="s">
        <v>77</v>
      </c>
      <c r="E778" t="s">
        <v>55</v>
      </c>
      <c r="F778">
        <v>0</v>
      </c>
      <c r="G778">
        <v>2470</v>
      </c>
      <c r="H778">
        <v>1</v>
      </c>
      <c r="I778" t="s">
        <v>220</v>
      </c>
      <c r="J778">
        <v>2</v>
      </c>
      <c r="K778" s="6">
        <v>4.12</v>
      </c>
      <c r="L778" t="s">
        <v>174</v>
      </c>
      <c r="M778">
        <v>0</v>
      </c>
      <c r="N778" t="s">
        <v>182</v>
      </c>
      <c r="O778">
        <v>3</v>
      </c>
      <c r="P778">
        <v>0</v>
      </c>
      <c r="Q778" s="6">
        <v>104.3</v>
      </c>
      <c r="R778">
        <v>1</v>
      </c>
      <c r="S778" s="6">
        <v>937</v>
      </c>
      <c r="T778">
        <v>0</v>
      </c>
      <c r="U778" s="6">
        <v>1080</v>
      </c>
      <c r="V778">
        <v>0</v>
      </c>
      <c r="W778">
        <v>0</v>
      </c>
      <c r="X778">
        <v>0</v>
      </c>
      <c r="Y778" s="6">
        <v>45.3</v>
      </c>
      <c r="Z778">
        <v>4.7E-2</v>
      </c>
      <c r="AA778">
        <v>0.11</v>
      </c>
      <c r="AB778">
        <v>4.8000000000000001E-2</v>
      </c>
      <c r="AC778">
        <v>6</v>
      </c>
      <c r="AD778" s="6">
        <v>50</v>
      </c>
      <c r="AE778" s="6">
        <v>25</v>
      </c>
      <c r="AF778" s="6">
        <v>0</v>
      </c>
      <c r="AG778" s="6">
        <v>75.48</v>
      </c>
      <c r="AH778" s="6">
        <v>95.77</v>
      </c>
      <c r="AI778" s="6">
        <f t="shared" si="24"/>
        <v>20.289999999999992</v>
      </c>
      <c r="AJ778" s="5">
        <f t="shared" si="25"/>
        <v>0.21186175211444078</v>
      </c>
    </row>
    <row r="779" spans="1:36">
      <c r="A779" t="s">
        <v>360</v>
      </c>
      <c r="B779" t="s">
        <v>1064</v>
      </c>
      <c r="C779" t="s">
        <v>75</v>
      </c>
      <c r="D779" t="s">
        <v>77</v>
      </c>
      <c r="E779" t="s">
        <v>55</v>
      </c>
      <c r="F779">
        <v>0</v>
      </c>
      <c r="G779">
        <v>2470</v>
      </c>
      <c r="H779">
        <v>1</v>
      </c>
      <c r="I779" t="s">
        <v>173</v>
      </c>
      <c r="J779">
        <v>1</v>
      </c>
      <c r="K779" s="6">
        <v>2.0299999999999998</v>
      </c>
      <c r="L779" t="s">
        <v>174</v>
      </c>
      <c r="M779">
        <v>0</v>
      </c>
      <c r="N779" t="s">
        <v>175</v>
      </c>
      <c r="O779">
        <v>1</v>
      </c>
      <c r="P779">
        <v>0</v>
      </c>
      <c r="Q779" s="6">
        <v>36.299999999999997</v>
      </c>
      <c r="R779">
        <v>0</v>
      </c>
      <c r="S779" s="6">
        <v>0</v>
      </c>
      <c r="T779">
        <v>0</v>
      </c>
      <c r="U779" s="6">
        <v>748</v>
      </c>
      <c r="V779">
        <v>0</v>
      </c>
      <c r="W779">
        <v>0</v>
      </c>
      <c r="X779">
        <v>0</v>
      </c>
      <c r="Y779" s="6">
        <v>45.3</v>
      </c>
      <c r="Z779">
        <v>4.7E-2</v>
      </c>
      <c r="AA779">
        <v>0.11</v>
      </c>
      <c r="AB779">
        <v>4.8000000000000001E-2</v>
      </c>
      <c r="AC779">
        <v>6</v>
      </c>
      <c r="AD779" s="6">
        <v>50</v>
      </c>
      <c r="AE779" s="6">
        <v>0</v>
      </c>
      <c r="AF779" s="6">
        <v>0</v>
      </c>
      <c r="AG779" s="6">
        <v>51.83</v>
      </c>
      <c r="AH779" s="6">
        <v>68.58</v>
      </c>
      <c r="AI779" s="6">
        <f t="shared" si="24"/>
        <v>16.75</v>
      </c>
      <c r="AJ779" s="5">
        <f t="shared" si="25"/>
        <v>0.2442403032954214</v>
      </c>
    </row>
    <row r="780" spans="1:36">
      <c r="A780" t="s">
        <v>362</v>
      </c>
      <c r="B780" t="s">
        <v>1065</v>
      </c>
      <c r="C780" t="s">
        <v>78</v>
      </c>
      <c r="D780" t="s">
        <v>77</v>
      </c>
      <c r="E780" t="s">
        <v>55</v>
      </c>
      <c r="F780">
        <v>0</v>
      </c>
      <c r="G780">
        <v>1583</v>
      </c>
      <c r="H780">
        <v>1</v>
      </c>
      <c r="I780" t="s">
        <v>220</v>
      </c>
      <c r="J780">
        <v>2</v>
      </c>
      <c r="K780" s="6">
        <v>3.94</v>
      </c>
      <c r="L780" t="s">
        <v>174</v>
      </c>
      <c r="M780">
        <v>0</v>
      </c>
      <c r="N780" t="s">
        <v>175</v>
      </c>
      <c r="O780">
        <v>1</v>
      </c>
      <c r="P780">
        <v>0</v>
      </c>
      <c r="Q780" s="6">
        <v>43.1</v>
      </c>
      <c r="R780">
        <v>0</v>
      </c>
      <c r="S780" s="6">
        <v>0</v>
      </c>
      <c r="T780">
        <v>0</v>
      </c>
      <c r="U780" s="6">
        <v>3764</v>
      </c>
      <c r="V780">
        <v>0</v>
      </c>
      <c r="W780">
        <v>0</v>
      </c>
      <c r="X780">
        <v>0</v>
      </c>
      <c r="Y780" s="6">
        <v>44.5</v>
      </c>
      <c r="Z780">
        <v>0.105</v>
      </c>
      <c r="AA780">
        <v>8.7999999999999995E-2</v>
      </c>
      <c r="AB780">
        <v>0.11600000000000001</v>
      </c>
      <c r="AC780">
        <v>6</v>
      </c>
      <c r="AD780" s="6">
        <v>50</v>
      </c>
      <c r="AE780" s="6">
        <v>0</v>
      </c>
      <c r="AF780" s="6">
        <v>0</v>
      </c>
      <c r="AG780" s="6">
        <v>55.47</v>
      </c>
      <c r="AH780" s="6">
        <v>70.3</v>
      </c>
      <c r="AI780" s="6">
        <f t="shared" si="24"/>
        <v>14.829999999999998</v>
      </c>
      <c r="AJ780" s="5">
        <f t="shared" si="25"/>
        <v>0.21095305832147937</v>
      </c>
    </row>
    <row r="781" spans="1:36">
      <c r="A781" t="s">
        <v>245</v>
      </c>
      <c r="B781" t="s">
        <v>1066</v>
      </c>
      <c r="C781" t="s">
        <v>78</v>
      </c>
      <c r="D781" t="s">
        <v>77</v>
      </c>
      <c r="E781" t="s">
        <v>55</v>
      </c>
      <c r="F781">
        <v>0</v>
      </c>
      <c r="G781">
        <v>1583</v>
      </c>
      <c r="H781">
        <v>1</v>
      </c>
      <c r="I781" t="s">
        <v>173</v>
      </c>
      <c r="J781">
        <v>1</v>
      </c>
      <c r="K781" s="6">
        <v>1.1299999999999999</v>
      </c>
      <c r="L781" t="s">
        <v>200</v>
      </c>
      <c r="M781">
        <v>1</v>
      </c>
      <c r="N781" t="s">
        <v>182</v>
      </c>
      <c r="O781">
        <v>3</v>
      </c>
      <c r="P781">
        <v>0</v>
      </c>
      <c r="Q781" s="6">
        <v>80.2</v>
      </c>
      <c r="R781">
        <v>0</v>
      </c>
      <c r="S781" s="6">
        <v>0</v>
      </c>
      <c r="T781">
        <v>0</v>
      </c>
      <c r="U781" s="6">
        <v>3218</v>
      </c>
      <c r="V781">
        <v>0</v>
      </c>
      <c r="W781">
        <v>0</v>
      </c>
      <c r="X781">
        <v>0</v>
      </c>
      <c r="Y781" s="6">
        <v>44.5</v>
      </c>
      <c r="Z781">
        <v>0.105</v>
      </c>
      <c r="AA781">
        <v>8.7999999999999995E-2</v>
      </c>
      <c r="AB781">
        <v>0.11600000000000001</v>
      </c>
      <c r="AC781">
        <v>6</v>
      </c>
      <c r="AD781" s="6">
        <v>99</v>
      </c>
      <c r="AE781" s="6">
        <v>0</v>
      </c>
      <c r="AF781" s="6">
        <v>0</v>
      </c>
      <c r="AG781" s="6">
        <v>86.6</v>
      </c>
      <c r="AH781" s="6">
        <v>110.34</v>
      </c>
      <c r="AI781" s="6">
        <f t="shared" si="24"/>
        <v>23.740000000000009</v>
      </c>
      <c r="AJ781" s="5">
        <f t="shared" si="25"/>
        <v>0.21515316295087919</v>
      </c>
    </row>
    <row r="782" spans="1:36">
      <c r="A782" t="s">
        <v>277</v>
      </c>
      <c r="B782" t="s">
        <v>1067</v>
      </c>
      <c r="C782" t="s">
        <v>78</v>
      </c>
      <c r="D782" t="s">
        <v>77</v>
      </c>
      <c r="E782" t="s">
        <v>55</v>
      </c>
      <c r="F782">
        <v>0</v>
      </c>
      <c r="G782">
        <v>1583</v>
      </c>
      <c r="H782">
        <v>1</v>
      </c>
      <c r="I782" t="s">
        <v>173</v>
      </c>
      <c r="J782">
        <v>1</v>
      </c>
      <c r="K782" s="6">
        <v>2.25</v>
      </c>
      <c r="L782" t="s">
        <v>174</v>
      </c>
      <c r="M782">
        <v>0</v>
      </c>
      <c r="N782" t="s">
        <v>175</v>
      </c>
      <c r="O782">
        <v>1</v>
      </c>
      <c r="P782">
        <v>0</v>
      </c>
      <c r="Q782" s="6">
        <v>33.299999999999997</v>
      </c>
      <c r="R782">
        <v>0</v>
      </c>
      <c r="S782" s="6">
        <v>0</v>
      </c>
      <c r="T782">
        <v>0</v>
      </c>
      <c r="U782" s="6">
        <v>1245</v>
      </c>
      <c r="V782">
        <v>1</v>
      </c>
      <c r="W782">
        <v>0</v>
      </c>
      <c r="X782">
        <v>0</v>
      </c>
      <c r="Y782" s="6">
        <v>44.5</v>
      </c>
      <c r="Z782">
        <v>0.105</v>
      </c>
      <c r="AA782">
        <v>8.7999999999999995E-2</v>
      </c>
      <c r="AB782">
        <v>0.11600000000000001</v>
      </c>
      <c r="AC782">
        <v>6</v>
      </c>
      <c r="AD782" s="6">
        <v>50</v>
      </c>
      <c r="AE782" s="6">
        <v>0</v>
      </c>
      <c r="AF782" s="6">
        <v>0</v>
      </c>
      <c r="AG782" s="6">
        <v>94.27</v>
      </c>
      <c r="AH782" s="6">
        <v>121.77</v>
      </c>
      <c r="AI782" s="6">
        <f t="shared" si="24"/>
        <v>27.5</v>
      </c>
      <c r="AJ782" s="5">
        <f t="shared" si="25"/>
        <v>0.22583559168925024</v>
      </c>
    </row>
    <row r="783" spans="1:36">
      <c r="A783" t="s">
        <v>188</v>
      </c>
      <c r="B783" t="s">
        <v>1068</v>
      </c>
      <c r="C783" t="s">
        <v>78</v>
      </c>
      <c r="D783" t="s">
        <v>77</v>
      </c>
      <c r="E783" t="s">
        <v>55</v>
      </c>
      <c r="F783">
        <v>0</v>
      </c>
      <c r="G783">
        <v>1583</v>
      </c>
      <c r="H783">
        <v>1</v>
      </c>
      <c r="I783" t="s">
        <v>181</v>
      </c>
      <c r="J783">
        <v>3</v>
      </c>
      <c r="K783" s="6">
        <v>3.15</v>
      </c>
      <c r="L783" t="s">
        <v>200</v>
      </c>
      <c r="M783">
        <v>1</v>
      </c>
      <c r="N783" t="s">
        <v>175</v>
      </c>
      <c r="O783">
        <v>1</v>
      </c>
      <c r="P783">
        <v>0</v>
      </c>
      <c r="Q783" s="6">
        <v>42.1</v>
      </c>
      <c r="R783">
        <v>0</v>
      </c>
      <c r="S783" s="6">
        <v>0</v>
      </c>
      <c r="T783">
        <v>0</v>
      </c>
      <c r="U783" s="6">
        <v>2087</v>
      </c>
      <c r="V783">
        <v>0</v>
      </c>
      <c r="W783">
        <v>0</v>
      </c>
      <c r="X783">
        <v>0</v>
      </c>
      <c r="Y783" s="6">
        <v>44.5</v>
      </c>
      <c r="Z783">
        <v>0.105</v>
      </c>
      <c r="AA783">
        <v>8.7999999999999995E-2</v>
      </c>
      <c r="AB783">
        <v>0.11600000000000001</v>
      </c>
      <c r="AC783">
        <v>6</v>
      </c>
      <c r="AD783" s="6">
        <v>139</v>
      </c>
      <c r="AE783" s="6">
        <v>0</v>
      </c>
      <c r="AF783" s="6">
        <v>0</v>
      </c>
      <c r="AG783" s="6">
        <v>100.84</v>
      </c>
      <c r="AH783" s="6">
        <v>139.51</v>
      </c>
      <c r="AI783" s="6">
        <f t="shared" si="24"/>
        <v>38.669999999999987</v>
      </c>
      <c r="AJ783" s="5">
        <f t="shared" si="25"/>
        <v>0.27718443122356812</v>
      </c>
    </row>
    <row r="784" spans="1:36">
      <c r="A784" t="s">
        <v>206</v>
      </c>
      <c r="B784" t="s">
        <v>1069</v>
      </c>
      <c r="C784" t="s">
        <v>78</v>
      </c>
      <c r="D784" t="s">
        <v>77</v>
      </c>
      <c r="E784" t="s">
        <v>55</v>
      </c>
      <c r="F784">
        <v>0</v>
      </c>
      <c r="G784">
        <v>1583</v>
      </c>
      <c r="H784">
        <v>1</v>
      </c>
      <c r="I784" t="s">
        <v>173</v>
      </c>
      <c r="J784">
        <v>1</v>
      </c>
      <c r="K784" s="6">
        <v>1.76</v>
      </c>
      <c r="L784" t="s">
        <v>200</v>
      </c>
      <c r="M784">
        <v>1</v>
      </c>
      <c r="N784" t="s">
        <v>187</v>
      </c>
      <c r="O784">
        <v>2</v>
      </c>
      <c r="P784">
        <v>0</v>
      </c>
      <c r="Q784" s="6">
        <v>30.5</v>
      </c>
      <c r="R784">
        <v>0</v>
      </c>
      <c r="S784" s="6">
        <v>0</v>
      </c>
      <c r="T784">
        <v>0</v>
      </c>
      <c r="U784" s="6">
        <v>1207</v>
      </c>
      <c r="V784">
        <v>0</v>
      </c>
      <c r="W784">
        <v>0</v>
      </c>
      <c r="X784">
        <v>0</v>
      </c>
      <c r="Y784" s="6">
        <v>44.5</v>
      </c>
      <c r="Z784">
        <v>0.105</v>
      </c>
      <c r="AA784">
        <v>8.7999999999999995E-2</v>
      </c>
      <c r="AB784">
        <v>0.11600000000000001</v>
      </c>
      <c r="AC784">
        <v>6</v>
      </c>
      <c r="AD784" s="6">
        <v>99</v>
      </c>
      <c r="AE784" s="6">
        <v>0</v>
      </c>
      <c r="AF784" s="6">
        <v>0</v>
      </c>
      <c r="AG784" s="6">
        <v>81.53</v>
      </c>
      <c r="AH784" s="6">
        <v>102.52</v>
      </c>
      <c r="AI784" s="6">
        <f t="shared" si="24"/>
        <v>20.989999999999995</v>
      </c>
      <c r="AJ784" s="5">
        <f t="shared" si="25"/>
        <v>0.20474053843152551</v>
      </c>
    </row>
    <row r="785" spans="1:36">
      <c r="A785" t="s">
        <v>179</v>
      </c>
      <c r="B785" t="s">
        <v>1070</v>
      </c>
      <c r="C785" t="s">
        <v>78</v>
      </c>
      <c r="D785" t="s">
        <v>77</v>
      </c>
      <c r="E785" t="s">
        <v>55</v>
      </c>
      <c r="F785">
        <v>0</v>
      </c>
      <c r="G785">
        <v>1583</v>
      </c>
      <c r="H785">
        <v>1</v>
      </c>
      <c r="I785" t="s">
        <v>173</v>
      </c>
      <c r="J785">
        <v>1</v>
      </c>
      <c r="K785" s="6">
        <v>1.76</v>
      </c>
      <c r="L785" t="s">
        <v>174</v>
      </c>
      <c r="M785">
        <v>0</v>
      </c>
      <c r="N785" t="s">
        <v>217</v>
      </c>
      <c r="O785">
        <v>4</v>
      </c>
      <c r="P785">
        <v>1</v>
      </c>
      <c r="Q785" s="6">
        <v>133.4</v>
      </c>
      <c r="R785">
        <v>1</v>
      </c>
      <c r="S785" s="6">
        <v>1276</v>
      </c>
      <c r="T785">
        <v>0</v>
      </c>
      <c r="U785" s="6">
        <v>2421</v>
      </c>
      <c r="V785">
        <v>0</v>
      </c>
      <c r="W785">
        <v>0</v>
      </c>
      <c r="X785">
        <v>0</v>
      </c>
      <c r="Y785" s="6">
        <v>44.5</v>
      </c>
      <c r="Z785">
        <v>0.105</v>
      </c>
      <c r="AA785">
        <v>8.7999999999999995E-2</v>
      </c>
      <c r="AB785">
        <v>0.11600000000000001</v>
      </c>
      <c r="AC785">
        <v>6</v>
      </c>
      <c r="AD785" s="6">
        <v>50</v>
      </c>
      <c r="AE785" s="6">
        <v>25</v>
      </c>
      <c r="AF785" s="6">
        <v>0</v>
      </c>
      <c r="AG785" s="6">
        <v>104.6</v>
      </c>
      <c r="AH785" s="6">
        <v>132.33000000000001</v>
      </c>
      <c r="AI785" s="6">
        <f t="shared" si="24"/>
        <v>27.730000000000018</v>
      </c>
      <c r="AJ785" s="5">
        <f t="shared" si="25"/>
        <v>0.20955187788105506</v>
      </c>
    </row>
    <row r="786" spans="1:36">
      <c r="A786" t="s">
        <v>330</v>
      </c>
      <c r="B786" t="s">
        <v>1071</v>
      </c>
      <c r="C786" t="s">
        <v>78</v>
      </c>
      <c r="D786" t="s">
        <v>77</v>
      </c>
      <c r="E786" t="s">
        <v>55</v>
      </c>
      <c r="F786">
        <v>0</v>
      </c>
      <c r="G786">
        <v>1583</v>
      </c>
      <c r="H786">
        <v>1</v>
      </c>
      <c r="I786" t="s">
        <v>181</v>
      </c>
      <c r="J786">
        <v>3</v>
      </c>
      <c r="K786" s="6">
        <v>6.81</v>
      </c>
      <c r="L786" t="s">
        <v>174</v>
      </c>
      <c r="M786">
        <v>0</v>
      </c>
      <c r="N786" t="s">
        <v>182</v>
      </c>
      <c r="O786">
        <v>3</v>
      </c>
      <c r="P786">
        <v>1</v>
      </c>
      <c r="Q786" s="6">
        <v>123.8</v>
      </c>
      <c r="R786">
        <v>0</v>
      </c>
      <c r="S786" s="6">
        <v>0</v>
      </c>
      <c r="T786">
        <v>0</v>
      </c>
      <c r="U786" s="6">
        <v>1969</v>
      </c>
      <c r="V786">
        <v>0</v>
      </c>
      <c r="W786">
        <v>0</v>
      </c>
      <c r="X786">
        <v>0</v>
      </c>
      <c r="Y786" s="6">
        <v>44.5</v>
      </c>
      <c r="Z786">
        <v>0.105</v>
      </c>
      <c r="AA786">
        <v>8.7999999999999995E-2</v>
      </c>
      <c r="AB786">
        <v>0.11600000000000001</v>
      </c>
      <c r="AC786">
        <v>6</v>
      </c>
      <c r="AD786" s="6">
        <v>60</v>
      </c>
      <c r="AE786" s="6">
        <v>0</v>
      </c>
      <c r="AF786" s="6">
        <v>0</v>
      </c>
      <c r="AG786" s="6">
        <v>114.94</v>
      </c>
      <c r="AH786" s="6">
        <v>148.63</v>
      </c>
      <c r="AI786" s="6">
        <f t="shared" si="24"/>
        <v>33.69</v>
      </c>
      <c r="AJ786" s="5">
        <f t="shared" si="25"/>
        <v>0.22667025499562671</v>
      </c>
    </row>
    <row r="787" spans="1:36">
      <c r="A787" t="s">
        <v>208</v>
      </c>
      <c r="B787" t="s">
        <v>1072</v>
      </c>
      <c r="C787" t="s">
        <v>78</v>
      </c>
      <c r="D787" t="s">
        <v>77</v>
      </c>
      <c r="E787" t="s">
        <v>55</v>
      </c>
      <c r="F787">
        <v>0</v>
      </c>
      <c r="G787">
        <v>1583</v>
      </c>
      <c r="H787">
        <v>1</v>
      </c>
      <c r="I787" t="s">
        <v>173</v>
      </c>
      <c r="J787">
        <v>1</v>
      </c>
      <c r="K787" s="6">
        <v>2.0699999999999998</v>
      </c>
      <c r="L787" t="s">
        <v>174</v>
      </c>
      <c r="M787">
        <v>0</v>
      </c>
      <c r="N787" t="s">
        <v>187</v>
      </c>
      <c r="O787">
        <v>2</v>
      </c>
      <c r="P787">
        <v>1</v>
      </c>
      <c r="Q787" s="6">
        <v>54.7</v>
      </c>
      <c r="R787">
        <v>0</v>
      </c>
      <c r="S787" s="6">
        <v>0</v>
      </c>
      <c r="T787">
        <v>0</v>
      </c>
      <c r="U787" s="6">
        <v>1893</v>
      </c>
      <c r="V787">
        <v>0</v>
      </c>
      <c r="W787">
        <v>0</v>
      </c>
      <c r="X787">
        <v>0</v>
      </c>
      <c r="Y787" s="6">
        <v>44.5</v>
      </c>
      <c r="Z787">
        <v>0.105</v>
      </c>
      <c r="AA787">
        <v>8.7999999999999995E-2</v>
      </c>
      <c r="AB787">
        <v>0.11600000000000001</v>
      </c>
      <c r="AC787">
        <v>6</v>
      </c>
      <c r="AD787" s="6">
        <v>50</v>
      </c>
      <c r="AE787" s="6">
        <v>0</v>
      </c>
      <c r="AF787" s="6">
        <v>0</v>
      </c>
      <c r="AG787" s="6">
        <v>76.88</v>
      </c>
      <c r="AH787" s="6">
        <v>100.44</v>
      </c>
      <c r="AI787" s="6">
        <f t="shared" si="24"/>
        <v>23.560000000000002</v>
      </c>
      <c r="AJ787" s="5">
        <f t="shared" si="25"/>
        <v>0.23456790123456792</v>
      </c>
    </row>
    <row r="788" spans="1:36">
      <c r="A788" t="s">
        <v>469</v>
      </c>
      <c r="B788" t="s">
        <v>1073</v>
      </c>
      <c r="C788" t="s">
        <v>78</v>
      </c>
      <c r="D788" t="s">
        <v>77</v>
      </c>
      <c r="E788" t="s">
        <v>55</v>
      </c>
      <c r="F788">
        <v>0</v>
      </c>
      <c r="G788">
        <v>1583</v>
      </c>
      <c r="H788">
        <v>1</v>
      </c>
      <c r="I788" t="s">
        <v>173</v>
      </c>
      <c r="J788">
        <v>1</v>
      </c>
      <c r="K788" s="6">
        <v>3.15</v>
      </c>
      <c r="L788" t="s">
        <v>200</v>
      </c>
      <c r="M788">
        <v>1</v>
      </c>
      <c r="N788" t="s">
        <v>187</v>
      </c>
      <c r="O788">
        <v>2</v>
      </c>
      <c r="P788">
        <v>0</v>
      </c>
      <c r="Q788" s="6">
        <v>44.2</v>
      </c>
      <c r="R788">
        <v>0</v>
      </c>
      <c r="S788" s="6">
        <v>0</v>
      </c>
      <c r="T788">
        <v>0</v>
      </c>
      <c r="U788" s="6">
        <v>2916</v>
      </c>
      <c r="V788">
        <v>0</v>
      </c>
      <c r="W788">
        <v>0</v>
      </c>
      <c r="X788">
        <v>0</v>
      </c>
      <c r="Y788" s="6">
        <v>44.5</v>
      </c>
      <c r="Z788">
        <v>0.105</v>
      </c>
      <c r="AA788">
        <v>8.7999999999999995E-2</v>
      </c>
      <c r="AB788">
        <v>0.11600000000000001</v>
      </c>
      <c r="AC788">
        <v>6</v>
      </c>
      <c r="AD788" s="6">
        <v>99</v>
      </c>
      <c r="AE788" s="6">
        <v>0</v>
      </c>
      <c r="AF788" s="6">
        <v>0</v>
      </c>
      <c r="AG788" s="6">
        <v>82.22</v>
      </c>
      <c r="AH788" s="6">
        <v>107.46</v>
      </c>
      <c r="AI788" s="6">
        <f t="shared" si="24"/>
        <v>25.239999999999995</v>
      </c>
      <c r="AJ788" s="5">
        <f t="shared" si="25"/>
        <v>0.23487809417457656</v>
      </c>
    </row>
    <row r="789" spans="1:36">
      <c r="A789" t="s">
        <v>365</v>
      </c>
      <c r="B789" t="s">
        <v>1074</v>
      </c>
      <c r="C789" t="s">
        <v>78</v>
      </c>
      <c r="D789" t="s">
        <v>77</v>
      </c>
      <c r="E789" t="s">
        <v>55</v>
      </c>
      <c r="F789">
        <v>0</v>
      </c>
      <c r="G789">
        <v>1583</v>
      </c>
      <c r="H789">
        <v>1</v>
      </c>
      <c r="I789" t="s">
        <v>173</v>
      </c>
      <c r="J789">
        <v>1</v>
      </c>
      <c r="K789" s="6">
        <v>0.91</v>
      </c>
      <c r="L789" t="s">
        <v>174</v>
      </c>
      <c r="M789">
        <v>0</v>
      </c>
      <c r="N789" t="s">
        <v>187</v>
      </c>
      <c r="O789">
        <v>2</v>
      </c>
      <c r="P789">
        <v>0</v>
      </c>
      <c r="Q789" s="6">
        <v>59</v>
      </c>
      <c r="R789">
        <v>0</v>
      </c>
      <c r="S789" s="6">
        <v>0</v>
      </c>
      <c r="T789">
        <v>0</v>
      </c>
      <c r="U789" s="6">
        <v>969</v>
      </c>
      <c r="V789">
        <v>0</v>
      </c>
      <c r="W789">
        <v>0</v>
      </c>
      <c r="X789">
        <v>0</v>
      </c>
      <c r="Y789" s="6">
        <v>44.5</v>
      </c>
      <c r="Z789">
        <v>0.105</v>
      </c>
      <c r="AA789">
        <v>8.7999999999999995E-2</v>
      </c>
      <c r="AB789">
        <v>0.11600000000000001</v>
      </c>
      <c r="AC789">
        <v>6</v>
      </c>
      <c r="AD789" s="6">
        <v>50</v>
      </c>
      <c r="AE789" s="6">
        <v>0</v>
      </c>
      <c r="AF789" s="6">
        <v>0</v>
      </c>
      <c r="AG789" s="6">
        <v>63.15</v>
      </c>
      <c r="AH789" s="6">
        <v>82.32</v>
      </c>
      <c r="AI789" s="6">
        <f t="shared" si="24"/>
        <v>19.169999999999995</v>
      </c>
      <c r="AJ789" s="5">
        <f t="shared" si="25"/>
        <v>0.23287172011661803</v>
      </c>
    </row>
    <row r="790" spans="1:36">
      <c r="A790" t="s">
        <v>208</v>
      </c>
      <c r="B790" t="s">
        <v>1075</v>
      </c>
      <c r="C790" t="s">
        <v>78</v>
      </c>
      <c r="D790" t="s">
        <v>77</v>
      </c>
      <c r="E790" t="s">
        <v>55</v>
      </c>
      <c r="F790">
        <v>0</v>
      </c>
      <c r="G790">
        <v>1583</v>
      </c>
      <c r="H790">
        <v>1</v>
      </c>
      <c r="I790" t="s">
        <v>181</v>
      </c>
      <c r="J790">
        <v>3</v>
      </c>
      <c r="K790" s="6">
        <v>8.6199999999999992</v>
      </c>
      <c r="L790" t="s">
        <v>174</v>
      </c>
      <c r="M790">
        <v>0</v>
      </c>
      <c r="N790" t="s">
        <v>175</v>
      </c>
      <c r="O790">
        <v>1</v>
      </c>
      <c r="P790">
        <v>0</v>
      </c>
      <c r="Q790" s="6">
        <v>57.4</v>
      </c>
      <c r="R790">
        <v>0</v>
      </c>
      <c r="S790" s="6">
        <v>0</v>
      </c>
      <c r="T790">
        <v>0</v>
      </c>
      <c r="U790" s="6">
        <v>3008</v>
      </c>
      <c r="V790">
        <v>0</v>
      </c>
      <c r="W790">
        <v>0</v>
      </c>
      <c r="X790">
        <v>0</v>
      </c>
      <c r="Y790" s="6">
        <v>44.5</v>
      </c>
      <c r="Z790">
        <v>0.105</v>
      </c>
      <c r="AA790">
        <v>8.7999999999999995E-2</v>
      </c>
      <c r="AB790">
        <v>0.11600000000000001</v>
      </c>
      <c r="AC790">
        <v>6</v>
      </c>
      <c r="AD790" s="6">
        <v>60</v>
      </c>
      <c r="AE790" s="6">
        <v>0</v>
      </c>
      <c r="AF790" s="6">
        <v>0</v>
      </c>
      <c r="AG790" s="6">
        <v>99.22</v>
      </c>
      <c r="AH790" s="6">
        <v>128.03</v>
      </c>
      <c r="AI790" s="6">
        <f t="shared" si="24"/>
        <v>28.810000000000002</v>
      </c>
      <c r="AJ790" s="5">
        <f t="shared" si="25"/>
        <v>0.22502538467546671</v>
      </c>
    </row>
    <row r="791" spans="1:36">
      <c r="A791" t="s">
        <v>212</v>
      </c>
      <c r="B791" t="s">
        <v>1076</v>
      </c>
      <c r="C791" t="s">
        <v>78</v>
      </c>
      <c r="D791" t="s">
        <v>77</v>
      </c>
      <c r="E791" t="s">
        <v>55</v>
      </c>
      <c r="F791">
        <v>0</v>
      </c>
      <c r="G791">
        <v>1583</v>
      </c>
      <c r="H791">
        <v>1</v>
      </c>
      <c r="I791" t="s">
        <v>181</v>
      </c>
      <c r="J791">
        <v>3</v>
      </c>
      <c r="K791" s="6">
        <v>1.57</v>
      </c>
      <c r="L791" t="s">
        <v>174</v>
      </c>
      <c r="M791">
        <v>0</v>
      </c>
      <c r="N791" t="s">
        <v>187</v>
      </c>
      <c r="O791">
        <v>2</v>
      </c>
      <c r="P791">
        <v>0</v>
      </c>
      <c r="Q791" s="6">
        <v>67.599999999999994</v>
      </c>
      <c r="R791">
        <v>0</v>
      </c>
      <c r="S791" s="6">
        <v>0</v>
      </c>
      <c r="T791">
        <v>0</v>
      </c>
      <c r="U791" s="6">
        <v>3653</v>
      </c>
      <c r="V791">
        <v>0</v>
      </c>
      <c r="W791">
        <v>0</v>
      </c>
      <c r="X791">
        <v>0</v>
      </c>
      <c r="Y791" s="6">
        <v>44.5</v>
      </c>
      <c r="Z791">
        <v>0.105</v>
      </c>
      <c r="AA791">
        <v>8.7999999999999995E-2</v>
      </c>
      <c r="AB791">
        <v>0.11600000000000001</v>
      </c>
      <c r="AC791">
        <v>6</v>
      </c>
      <c r="AD791" s="6">
        <v>60</v>
      </c>
      <c r="AE791" s="6">
        <v>0</v>
      </c>
      <c r="AF791" s="6">
        <v>0</v>
      </c>
      <c r="AG791" s="6">
        <v>77.52</v>
      </c>
      <c r="AH791" s="6">
        <v>98.55</v>
      </c>
      <c r="AI791" s="6">
        <f t="shared" si="24"/>
        <v>21.03</v>
      </c>
      <c r="AJ791" s="5">
        <f t="shared" si="25"/>
        <v>0.21339421613394219</v>
      </c>
    </row>
    <row r="792" spans="1:36">
      <c r="A792" t="s">
        <v>284</v>
      </c>
      <c r="B792" t="s">
        <v>1077</v>
      </c>
      <c r="C792" t="s">
        <v>78</v>
      </c>
      <c r="D792" t="s">
        <v>77</v>
      </c>
      <c r="E792" t="s">
        <v>55</v>
      </c>
      <c r="F792">
        <v>0</v>
      </c>
      <c r="G792">
        <v>1583</v>
      </c>
      <c r="H792">
        <v>1</v>
      </c>
      <c r="I792" t="s">
        <v>220</v>
      </c>
      <c r="J792">
        <v>2</v>
      </c>
      <c r="K792" s="6">
        <v>4.3</v>
      </c>
      <c r="L792" t="s">
        <v>174</v>
      </c>
      <c r="M792">
        <v>0</v>
      </c>
      <c r="N792" t="s">
        <v>182</v>
      </c>
      <c r="O792">
        <v>3</v>
      </c>
      <c r="P792">
        <v>0</v>
      </c>
      <c r="Q792" s="6">
        <v>72.5</v>
      </c>
      <c r="R792">
        <v>0</v>
      </c>
      <c r="S792" s="6">
        <v>0</v>
      </c>
      <c r="T792">
        <v>0</v>
      </c>
      <c r="U792" s="6">
        <v>1410</v>
      </c>
      <c r="V792">
        <v>0</v>
      </c>
      <c r="W792">
        <v>0</v>
      </c>
      <c r="X792">
        <v>0</v>
      </c>
      <c r="Y792" s="6">
        <v>44.5</v>
      </c>
      <c r="Z792">
        <v>0.105</v>
      </c>
      <c r="AA792">
        <v>8.7999999999999995E-2</v>
      </c>
      <c r="AB792">
        <v>0.11600000000000001</v>
      </c>
      <c r="AC792">
        <v>6</v>
      </c>
      <c r="AD792" s="6">
        <v>50</v>
      </c>
      <c r="AE792" s="6">
        <v>0</v>
      </c>
      <c r="AF792" s="6">
        <v>0</v>
      </c>
      <c r="AG792" s="6">
        <v>62.18</v>
      </c>
      <c r="AH792" s="6">
        <v>80.290000000000006</v>
      </c>
      <c r="AI792" s="6">
        <f t="shared" si="24"/>
        <v>18.110000000000007</v>
      </c>
      <c r="AJ792" s="5">
        <f t="shared" si="25"/>
        <v>0.22555735458961271</v>
      </c>
    </row>
    <row r="793" spans="1:36">
      <c r="A793" t="s">
        <v>240</v>
      </c>
      <c r="B793" t="s">
        <v>1078</v>
      </c>
      <c r="C793" t="s">
        <v>78</v>
      </c>
      <c r="D793" t="s">
        <v>77</v>
      </c>
      <c r="E793" t="s">
        <v>55</v>
      </c>
      <c r="F793">
        <v>0</v>
      </c>
      <c r="G793">
        <v>1583</v>
      </c>
      <c r="H793">
        <v>1</v>
      </c>
      <c r="I793" t="s">
        <v>220</v>
      </c>
      <c r="J793">
        <v>2</v>
      </c>
      <c r="K793" s="6">
        <v>3.19</v>
      </c>
      <c r="L793" t="s">
        <v>174</v>
      </c>
      <c r="M793">
        <v>0</v>
      </c>
      <c r="N793" t="s">
        <v>182</v>
      </c>
      <c r="O793">
        <v>3</v>
      </c>
      <c r="P793">
        <v>0</v>
      </c>
      <c r="Q793" s="6">
        <v>46.8</v>
      </c>
      <c r="R793">
        <v>0</v>
      </c>
      <c r="S793" s="6">
        <v>0</v>
      </c>
      <c r="T793">
        <v>0</v>
      </c>
      <c r="U793" s="6">
        <v>4036</v>
      </c>
      <c r="V793">
        <v>0</v>
      </c>
      <c r="W793">
        <v>0</v>
      </c>
      <c r="X793">
        <v>0</v>
      </c>
      <c r="Y793" s="6">
        <v>44.5</v>
      </c>
      <c r="Z793">
        <v>0.105</v>
      </c>
      <c r="AA793">
        <v>8.7999999999999995E-2</v>
      </c>
      <c r="AB793">
        <v>0.11600000000000001</v>
      </c>
      <c r="AC793">
        <v>6</v>
      </c>
      <c r="AD793" s="6">
        <v>50</v>
      </c>
      <c r="AE793" s="6">
        <v>0</v>
      </c>
      <c r="AF793" s="6">
        <v>0</v>
      </c>
      <c r="AG793" s="6">
        <v>70.67</v>
      </c>
      <c r="AH793" s="6">
        <v>90.95</v>
      </c>
      <c r="AI793" s="6">
        <f t="shared" si="24"/>
        <v>20.28</v>
      </c>
      <c r="AJ793" s="5">
        <f t="shared" si="25"/>
        <v>0.22297965915338097</v>
      </c>
    </row>
    <row r="794" spans="1:36">
      <c r="A794" t="s">
        <v>236</v>
      </c>
      <c r="B794" t="s">
        <v>1079</v>
      </c>
      <c r="C794" t="s">
        <v>78</v>
      </c>
      <c r="D794" t="s">
        <v>77</v>
      </c>
      <c r="E794" t="s">
        <v>55</v>
      </c>
      <c r="F794">
        <v>0</v>
      </c>
      <c r="G794">
        <v>1583</v>
      </c>
      <c r="H794">
        <v>1</v>
      </c>
      <c r="I794" t="s">
        <v>173</v>
      </c>
      <c r="J794">
        <v>1</v>
      </c>
      <c r="K794" s="6">
        <v>2.56</v>
      </c>
      <c r="L794" t="s">
        <v>174</v>
      </c>
      <c r="M794">
        <v>0</v>
      </c>
      <c r="N794" t="s">
        <v>182</v>
      </c>
      <c r="O794">
        <v>3</v>
      </c>
      <c r="P794">
        <v>0</v>
      </c>
      <c r="Q794" s="6">
        <v>106.5</v>
      </c>
      <c r="R794">
        <v>0</v>
      </c>
      <c r="S794" s="6">
        <v>0</v>
      </c>
      <c r="T794">
        <v>0</v>
      </c>
      <c r="U794" s="6">
        <v>1821</v>
      </c>
      <c r="V794">
        <v>0</v>
      </c>
      <c r="W794">
        <v>0</v>
      </c>
      <c r="X794">
        <v>0</v>
      </c>
      <c r="Y794" s="6">
        <v>44.5</v>
      </c>
      <c r="Z794">
        <v>0.105</v>
      </c>
      <c r="AA794">
        <v>8.7999999999999995E-2</v>
      </c>
      <c r="AB794">
        <v>0.11600000000000001</v>
      </c>
      <c r="AC794">
        <v>6</v>
      </c>
      <c r="AD794" s="6">
        <v>50</v>
      </c>
      <c r="AE794" s="6">
        <v>0</v>
      </c>
      <c r="AF794" s="6">
        <v>0</v>
      </c>
      <c r="AG794" s="6">
        <v>63.8</v>
      </c>
      <c r="AH794" s="6">
        <v>80.37</v>
      </c>
      <c r="AI794" s="6">
        <f t="shared" si="24"/>
        <v>16.570000000000007</v>
      </c>
      <c r="AJ794" s="5">
        <f t="shared" si="25"/>
        <v>0.20617145701132272</v>
      </c>
    </row>
    <row r="795" spans="1:36">
      <c r="A795" t="s">
        <v>269</v>
      </c>
      <c r="B795" t="s">
        <v>1080</v>
      </c>
      <c r="C795" t="s">
        <v>78</v>
      </c>
      <c r="D795" t="s">
        <v>77</v>
      </c>
      <c r="E795" t="s">
        <v>55</v>
      </c>
      <c r="F795">
        <v>0</v>
      </c>
      <c r="G795">
        <v>1583</v>
      </c>
      <c r="H795">
        <v>1</v>
      </c>
      <c r="I795" t="s">
        <v>181</v>
      </c>
      <c r="J795">
        <v>3</v>
      </c>
      <c r="K795" s="6">
        <v>6.53</v>
      </c>
      <c r="L795" t="s">
        <v>174</v>
      </c>
      <c r="M795">
        <v>0</v>
      </c>
      <c r="N795" t="s">
        <v>272</v>
      </c>
      <c r="O795">
        <v>5</v>
      </c>
      <c r="P795">
        <v>1</v>
      </c>
      <c r="Q795" s="6">
        <v>289.10000000000002</v>
      </c>
      <c r="R795">
        <v>0</v>
      </c>
      <c r="S795" s="6">
        <v>0</v>
      </c>
      <c r="T795">
        <v>0</v>
      </c>
      <c r="U795" s="6">
        <v>6352</v>
      </c>
      <c r="V795">
        <v>0</v>
      </c>
      <c r="W795">
        <v>0</v>
      </c>
      <c r="X795">
        <v>0</v>
      </c>
      <c r="Y795" s="6">
        <v>44.5</v>
      </c>
      <c r="Z795">
        <v>0.105</v>
      </c>
      <c r="AA795">
        <v>8.7999999999999995E-2</v>
      </c>
      <c r="AB795">
        <v>0.11600000000000001</v>
      </c>
      <c r="AC795">
        <v>6</v>
      </c>
      <c r="AD795" s="6">
        <v>60</v>
      </c>
      <c r="AE795" s="6">
        <v>0</v>
      </c>
      <c r="AF795" s="6">
        <v>0</v>
      </c>
      <c r="AG795" s="6">
        <v>176</v>
      </c>
      <c r="AH795" s="6">
        <v>224.37</v>
      </c>
      <c r="AI795" s="6">
        <f t="shared" si="24"/>
        <v>48.370000000000005</v>
      </c>
      <c r="AJ795" s="5">
        <f t="shared" si="25"/>
        <v>0.21558140571377638</v>
      </c>
    </row>
    <row r="796" spans="1:36">
      <c r="A796" t="s">
        <v>537</v>
      </c>
      <c r="B796" t="s">
        <v>1081</v>
      </c>
      <c r="C796" t="s">
        <v>78</v>
      </c>
      <c r="D796" t="s">
        <v>77</v>
      </c>
      <c r="E796" t="s">
        <v>55</v>
      </c>
      <c r="F796">
        <v>0</v>
      </c>
      <c r="G796">
        <v>1583</v>
      </c>
      <c r="H796">
        <v>1</v>
      </c>
      <c r="I796" t="s">
        <v>181</v>
      </c>
      <c r="J796">
        <v>3</v>
      </c>
      <c r="K796" s="6">
        <v>3.36</v>
      </c>
      <c r="L796" t="s">
        <v>174</v>
      </c>
      <c r="M796">
        <v>0</v>
      </c>
      <c r="N796" t="s">
        <v>182</v>
      </c>
      <c r="O796">
        <v>3</v>
      </c>
      <c r="P796">
        <v>0</v>
      </c>
      <c r="Q796" s="6">
        <v>93.6</v>
      </c>
      <c r="R796">
        <v>0</v>
      </c>
      <c r="S796" s="6">
        <v>0</v>
      </c>
      <c r="T796">
        <v>0</v>
      </c>
      <c r="U796" s="6">
        <v>1407</v>
      </c>
      <c r="V796">
        <v>0</v>
      </c>
      <c r="W796">
        <v>0</v>
      </c>
      <c r="X796">
        <v>0</v>
      </c>
      <c r="Y796" s="6">
        <v>44.5</v>
      </c>
      <c r="Z796">
        <v>0.105</v>
      </c>
      <c r="AA796">
        <v>8.7999999999999995E-2</v>
      </c>
      <c r="AB796">
        <v>0.11600000000000001</v>
      </c>
      <c r="AC796">
        <v>6</v>
      </c>
      <c r="AD796" s="6">
        <v>60</v>
      </c>
      <c r="AE796" s="6">
        <v>0</v>
      </c>
      <c r="AF796" s="6">
        <v>0</v>
      </c>
      <c r="AG796" s="6">
        <v>79.03</v>
      </c>
      <c r="AH796" s="6">
        <v>103.59</v>
      </c>
      <c r="AI796" s="6">
        <f t="shared" si="24"/>
        <v>24.560000000000002</v>
      </c>
      <c r="AJ796" s="5">
        <f t="shared" si="25"/>
        <v>0.23708852205811373</v>
      </c>
    </row>
    <row r="797" spans="1:36">
      <c r="A797" t="s">
        <v>279</v>
      </c>
      <c r="B797" t="s">
        <v>1082</v>
      </c>
      <c r="C797" t="s">
        <v>78</v>
      </c>
      <c r="D797" t="s">
        <v>77</v>
      </c>
      <c r="E797" t="s">
        <v>55</v>
      </c>
      <c r="F797">
        <v>0</v>
      </c>
      <c r="G797">
        <v>1583</v>
      </c>
      <c r="H797">
        <v>1</v>
      </c>
      <c r="I797" t="s">
        <v>173</v>
      </c>
      <c r="J797">
        <v>1</v>
      </c>
      <c r="K797" s="6">
        <v>2.0099999999999998</v>
      </c>
      <c r="L797" t="s">
        <v>174</v>
      </c>
      <c r="M797">
        <v>0</v>
      </c>
      <c r="N797" t="s">
        <v>175</v>
      </c>
      <c r="O797">
        <v>1</v>
      </c>
      <c r="P797">
        <v>0</v>
      </c>
      <c r="Q797" s="6">
        <v>47</v>
      </c>
      <c r="R797">
        <v>0</v>
      </c>
      <c r="S797" s="6">
        <v>0</v>
      </c>
      <c r="T797">
        <v>0</v>
      </c>
      <c r="U797" s="6">
        <v>4028</v>
      </c>
      <c r="V797">
        <v>0</v>
      </c>
      <c r="W797">
        <v>0</v>
      </c>
      <c r="X797">
        <v>0</v>
      </c>
      <c r="Y797" s="6">
        <v>44.5</v>
      </c>
      <c r="Z797">
        <v>0.105</v>
      </c>
      <c r="AA797">
        <v>8.7999999999999995E-2</v>
      </c>
      <c r="AB797">
        <v>0.11600000000000001</v>
      </c>
      <c r="AC797">
        <v>6</v>
      </c>
      <c r="AD797" s="6">
        <v>50</v>
      </c>
      <c r="AE797" s="6">
        <v>0</v>
      </c>
      <c r="AF797" s="6">
        <v>0</v>
      </c>
      <c r="AG797" s="6">
        <v>50.09</v>
      </c>
      <c r="AH797" s="6">
        <v>65.87</v>
      </c>
      <c r="AI797" s="6">
        <f t="shared" si="24"/>
        <v>15.780000000000001</v>
      </c>
      <c r="AJ797" s="5">
        <f t="shared" si="25"/>
        <v>0.23956277516320024</v>
      </c>
    </row>
    <row r="798" spans="1:36">
      <c r="A798" t="s">
        <v>171</v>
      </c>
      <c r="B798" t="s">
        <v>1083</v>
      </c>
      <c r="C798" t="s">
        <v>78</v>
      </c>
      <c r="D798" t="s">
        <v>77</v>
      </c>
      <c r="E798" t="s">
        <v>55</v>
      </c>
      <c r="F798">
        <v>0</v>
      </c>
      <c r="G798">
        <v>1583</v>
      </c>
      <c r="H798">
        <v>1</v>
      </c>
      <c r="I798" t="s">
        <v>173</v>
      </c>
      <c r="J798">
        <v>1</v>
      </c>
      <c r="K798" s="6">
        <v>1.04</v>
      </c>
      <c r="L798" t="s">
        <v>174</v>
      </c>
      <c r="M798">
        <v>0</v>
      </c>
      <c r="N798" t="s">
        <v>187</v>
      </c>
      <c r="O798">
        <v>2</v>
      </c>
      <c r="P798">
        <v>0</v>
      </c>
      <c r="Q798" s="6">
        <v>63.4</v>
      </c>
      <c r="R798">
        <v>0</v>
      </c>
      <c r="S798" s="6">
        <v>0</v>
      </c>
      <c r="T798">
        <v>0</v>
      </c>
      <c r="U798" s="6">
        <v>1967</v>
      </c>
      <c r="V798">
        <v>0</v>
      </c>
      <c r="W798">
        <v>0</v>
      </c>
      <c r="X798">
        <v>0</v>
      </c>
      <c r="Y798" s="6">
        <v>44.5</v>
      </c>
      <c r="Z798">
        <v>0.105</v>
      </c>
      <c r="AA798">
        <v>8.7999999999999995E-2</v>
      </c>
      <c r="AB798">
        <v>0.11600000000000001</v>
      </c>
      <c r="AC798">
        <v>6</v>
      </c>
      <c r="AD798" s="6">
        <v>50</v>
      </c>
      <c r="AE798" s="6">
        <v>0</v>
      </c>
      <c r="AF798" s="6">
        <v>0</v>
      </c>
      <c r="AG798" s="6">
        <v>60.22</v>
      </c>
      <c r="AH798" s="6">
        <v>77.61</v>
      </c>
      <c r="AI798" s="6">
        <f t="shared" si="24"/>
        <v>17.39</v>
      </c>
      <c r="AJ798" s="5">
        <f t="shared" si="25"/>
        <v>0.22406906326504317</v>
      </c>
    </row>
    <row r="799" spans="1:36">
      <c r="A799" t="s">
        <v>316</v>
      </c>
      <c r="B799" t="s">
        <v>1084</v>
      </c>
      <c r="C799" t="s">
        <v>78</v>
      </c>
      <c r="D799" t="s">
        <v>77</v>
      </c>
      <c r="E799" t="s">
        <v>55</v>
      </c>
      <c r="F799">
        <v>0</v>
      </c>
      <c r="G799">
        <v>1583</v>
      </c>
      <c r="H799">
        <v>1</v>
      </c>
      <c r="I799" t="s">
        <v>181</v>
      </c>
      <c r="J799">
        <v>3</v>
      </c>
      <c r="K799" s="6">
        <v>10.130000000000001</v>
      </c>
      <c r="L799" t="s">
        <v>174</v>
      </c>
      <c r="M799">
        <v>0</v>
      </c>
      <c r="N799" t="s">
        <v>175</v>
      </c>
      <c r="O799">
        <v>1</v>
      </c>
      <c r="P799">
        <v>0</v>
      </c>
      <c r="Q799" s="6">
        <v>39.6</v>
      </c>
      <c r="R799">
        <v>0</v>
      </c>
      <c r="S799" s="6">
        <v>0</v>
      </c>
      <c r="T799">
        <v>0</v>
      </c>
      <c r="U799" s="6">
        <v>3724</v>
      </c>
      <c r="V799">
        <v>0</v>
      </c>
      <c r="W799">
        <v>0</v>
      </c>
      <c r="X799">
        <v>0</v>
      </c>
      <c r="Y799" s="6">
        <v>44.5</v>
      </c>
      <c r="Z799">
        <v>0.105</v>
      </c>
      <c r="AA799">
        <v>8.7999999999999995E-2</v>
      </c>
      <c r="AB799">
        <v>0.11600000000000001</v>
      </c>
      <c r="AC799">
        <v>6</v>
      </c>
      <c r="AD799" s="6">
        <v>60</v>
      </c>
      <c r="AE799" s="6">
        <v>0</v>
      </c>
      <c r="AF799" s="6">
        <v>0</v>
      </c>
      <c r="AG799" s="6">
        <v>93.12</v>
      </c>
      <c r="AH799" s="6">
        <v>118.06</v>
      </c>
      <c r="AI799" s="6">
        <f t="shared" si="24"/>
        <v>24.939999999999998</v>
      </c>
      <c r="AJ799" s="5">
        <f t="shared" si="25"/>
        <v>0.21124851770286293</v>
      </c>
    </row>
    <row r="800" spans="1:36">
      <c r="A800" t="s">
        <v>288</v>
      </c>
      <c r="B800" t="s">
        <v>1085</v>
      </c>
      <c r="C800" t="s">
        <v>78</v>
      </c>
      <c r="D800" t="s">
        <v>77</v>
      </c>
      <c r="E800" t="s">
        <v>55</v>
      </c>
      <c r="F800">
        <v>0</v>
      </c>
      <c r="G800">
        <v>1583</v>
      </c>
      <c r="H800">
        <v>1</v>
      </c>
      <c r="I800" t="s">
        <v>173</v>
      </c>
      <c r="J800">
        <v>1</v>
      </c>
      <c r="K800" s="6">
        <v>1.83</v>
      </c>
      <c r="L800" t="s">
        <v>174</v>
      </c>
      <c r="M800">
        <v>0</v>
      </c>
      <c r="N800" t="s">
        <v>175</v>
      </c>
      <c r="O800">
        <v>1</v>
      </c>
      <c r="P800">
        <v>0</v>
      </c>
      <c r="Q800" s="6">
        <v>58.6</v>
      </c>
      <c r="R800">
        <v>1</v>
      </c>
      <c r="S800" s="6">
        <v>2370</v>
      </c>
      <c r="T800">
        <v>0</v>
      </c>
      <c r="U800" s="6">
        <v>3746</v>
      </c>
      <c r="V800">
        <v>0</v>
      </c>
      <c r="W800">
        <v>0</v>
      </c>
      <c r="X800">
        <v>0</v>
      </c>
      <c r="Y800" s="6">
        <v>44.5</v>
      </c>
      <c r="Z800">
        <v>0.105</v>
      </c>
      <c r="AA800">
        <v>8.7999999999999995E-2</v>
      </c>
      <c r="AB800">
        <v>0.11600000000000001</v>
      </c>
      <c r="AC800">
        <v>6</v>
      </c>
      <c r="AD800" s="6">
        <v>50</v>
      </c>
      <c r="AE800" s="6">
        <v>40</v>
      </c>
      <c r="AF800" s="6">
        <v>0</v>
      </c>
      <c r="AG800" s="6">
        <v>53.4</v>
      </c>
      <c r="AH800" s="6">
        <v>68.069999999999993</v>
      </c>
      <c r="AI800" s="6">
        <f t="shared" si="24"/>
        <v>14.669999999999995</v>
      </c>
      <c r="AJ800" s="5">
        <f t="shared" si="25"/>
        <v>0.21551344204495368</v>
      </c>
    </row>
    <row r="801" spans="1:36">
      <c r="A801" t="s">
        <v>303</v>
      </c>
      <c r="B801" t="s">
        <v>1086</v>
      </c>
      <c r="C801" t="s">
        <v>78</v>
      </c>
      <c r="D801" t="s">
        <v>77</v>
      </c>
      <c r="E801" t="s">
        <v>55</v>
      </c>
      <c r="F801">
        <v>0</v>
      </c>
      <c r="G801">
        <v>1583</v>
      </c>
      <c r="H801">
        <v>1</v>
      </c>
      <c r="I801" t="s">
        <v>181</v>
      </c>
      <c r="J801">
        <v>3</v>
      </c>
      <c r="K801" s="6">
        <v>6.43</v>
      </c>
      <c r="L801" t="s">
        <v>174</v>
      </c>
      <c r="M801">
        <v>0</v>
      </c>
      <c r="N801" t="s">
        <v>175</v>
      </c>
      <c r="O801">
        <v>1</v>
      </c>
      <c r="P801">
        <v>0</v>
      </c>
      <c r="Q801" s="6">
        <v>34.700000000000003</v>
      </c>
      <c r="R801">
        <v>0</v>
      </c>
      <c r="S801" s="6">
        <v>0</v>
      </c>
      <c r="T801">
        <v>0</v>
      </c>
      <c r="U801" s="6">
        <v>490</v>
      </c>
      <c r="V801">
        <v>0</v>
      </c>
      <c r="W801">
        <v>0</v>
      </c>
      <c r="X801">
        <v>0</v>
      </c>
      <c r="Y801" s="6">
        <v>44.5</v>
      </c>
      <c r="Z801">
        <v>0.105</v>
      </c>
      <c r="AA801">
        <v>8.7999999999999995E-2</v>
      </c>
      <c r="AB801">
        <v>0.11600000000000001</v>
      </c>
      <c r="AC801">
        <v>6</v>
      </c>
      <c r="AD801" s="6">
        <v>60</v>
      </c>
      <c r="AE801" s="6">
        <v>0</v>
      </c>
      <c r="AF801" s="6">
        <v>0</v>
      </c>
      <c r="AG801" s="6">
        <v>76.92</v>
      </c>
      <c r="AH801" s="6">
        <v>96.66</v>
      </c>
      <c r="AI801" s="6">
        <f t="shared" si="24"/>
        <v>19.739999999999995</v>
      </c>
      <c r="AJ801" s="5">
        <f t="shared" si="25"/>
        <v>0.20422098075729356</v>
      </c>
    </row>
    <row r="802" spans="1:36">
      <c r="A802" t="s">
        <v>501</v>
      </c>
      <c r="B802" t="s">
        <v>1087</v>
      </c>
      <c r="C802" t="s">
        <v>78</v>
      </c>
      <c r="D802" t="s">
        <v>77</v>
      </c>
      <c r="E802" t="s">
        <v>55</v>
      </c>
      <c r="F802">
        <v>0</v>
      </c>
      <c r="G802">
        <v>1583</v>
      </c>
      <c r="H802">
        <v>1</v>
      </c>
      <c r="I802" t="s">
        <v>181</v>
      </c>
      <c r="J802">
        <v>3</v>
      </c>
      <c r="K802" s="6">
        <v>7.52</v>
      </c>
      <c r="L802" t="s">
        <v>174</v>
      </c>
      <c r="M802">
        <v>0</v>
      </c>
      <c r="N802" t="s">
        <v>182</v>
      </c>
      <c r="O802">
        <v>3</v>
      </c>
      <c r="P802">
        <v>0</v>
      </c>
      <c r="Q802" s="6">
        <v>122.3</v>
      </c>
      <c r="R802">
        <v>0</v>
      </c>
      <c r="S802" s="6">
        <v>0</v>
      </c>
      <c r="T802">
        <v>0</v>
      </c>
      <c r="U802" s="6">
        <v>3637</v>
      </c>
      <c r="V802">
        <v>0</v>
      </c>
      <c r="W802">
        <v>0</v>
      </c>
      <c r="X802">
        <v>0</v>
      </c>
      <c r="Y802" s="6">
        <v>44.5</v>
      </c>
      <c r="Z802">
        <v>0.105</v>
      </c>
      <c r="AA802">
        <v>8.7999999999999995E-2</v>
      </c>
      <c r="AB802">
        <v>0.11600000000000001</v>
      </c>
      <c r="AC802">
        <v>6</v>
      </c>
      <c r="AD802" s="6">
        <v>60</v>
      </c>
      <c r="AE802" s="6">
        <v>0</v>
      </c>
      <c r="AF802" s="6">
        <v>0</v>
      </c>
      <c r="AG802" s="6">
        <v>88.8</v>
      </c>
      <c r="AH802" s="6">
        <v>113.92</v>
      </c>
      <c r="AI802" s="6">
        <f t="shared" si="24"/>
        <v>25.120000000000005</v>
      </c>
      <c r="AJ802" s="5">
        <f t="shared" si="25"/>
        <v>0.22050561797752813</v>
      </c>
    </row>
    <row r="803" spans="1:36">
      <c r="A803" t="s">
        <v>243</v>
      </c>
      <c r="B803" t="s">
        <v>1088</v>
      </c>
      <c r="C803" t="s">
        <v>78</v>
      </c>
      <c r="D803" t="s">
        <v>77</v>
      </c>
      <c r="E803" t="s">
        <v>55</v>
      </c>
      <c r="F803">
        <v>0</v>
      </c>
      <c r="G803">
        <v>1583</v>
      </c>
      <c r="H803">
        <v>1</v>
      </c>
      <c r="I803" t="s">
        <v>173</v>
      </c>
      <c r="J803">
        <v>1</v>
      </c>
      <c r="K803" s="6">
        <v>2.16</v>
      </c>
      <c r="L803" t="s">
        <v>174</v>
      </c>
      <c r="M803">
        <v>0</v>
      </c>
      <c r="N803" t="s">
        <v>175</v>
      </c>
      <c r="O803">
        <v>1</v>
      </c>
      <c r="P803">
        <v>0</v>
      </c>
      <c r="Q803" s="6">
        <v>31.5</v>
      </c>
      <c r="R803">
        <v>0</v>
      </c>
      <c r="S803" s="6">
        <v>0</v>
      </c>
      <c r="T803">
        <v>0</v>
      </c>
      <c r="U803" s="6">
        <v>1952</v>
      </c>
      <c r="V803">
        <v>0</v>
      </c>
      <c r="W803">
        <v>0</v>
      </c>
      <c r="X803">
        <v>0</v>
      </c>
      <c r="Y803" s="6">
        <v>44.5</v>
      </c>
      <c r="Z803">
        <v>0.105</v>
      </c>
      <c r="AA803">
        <v>8.7999999999999995E-2</v>
      </c>
      <c r="AB803">
        <v>0.11600000000000001</v>
      </c>
      <c r="AC803">
        <v>6</v>
      </c>
      <c r="AD803" s="6">
        <v>50</v>
      </c>
      <c r="AE803" s="6">
        <v>0</v>
      </c>
      <c r="AF803" s="6">
        <v>0</v>
      </c>
      <c r="AG803" s="6">
        <v>49.8</v>
      </c>
      <c r="AH803" s="6">
        <v>66.510000000000005</v>
      </c>
      <c r="AI803" s="6">
        <f t="shared" si="24"/>
        <v>16.710000000000008</v>
      </c>
      <c r="AJ803" s="5">
        <f t="shared" si="25"/>
        <v>0.25124041497519178</v>
      </c>
    </row>
    <row r="804" spans="1:36">
      <c r="A804" t="s">
        <v>225</v>
      </c>
      <c r="B804" t="s">
        <v>1089</v>
      </c>
      <c r="C804" t="s">
        <v>78</v>
      </c>
      <c r="D804" t="s">
        <v>77</v>
      </c>
      <c r="E804" t="s">
        <v>55</v>
      </c>
      <c r="F804">
        <v>0</v>
      </c>
      <c r="G804">
        <v>1583</v>
      </c>
      <c r="H804">
        <v>1</v>
      </c>
      <c r="I804" t="s">
        <v>181</v>
      </c>
      <c r="J804">
        <v>3</v>
      </c>
      <c r="K804" s="6">
        <v>10.37</v>
      </c>
      <c r="L804" t="s">
        <v>174</v>
      </c>
      <c r="M804">
        <v>0</v>
      </c>
      <c r="N804" t="s">
        <v>175</v>
      </c>
      <c r="O804">
        <v>1</v>
      </c>
      <c r="P804">
        <v>0</v>
      </c>
      <c r="Q804" s="6">
        <v>25.8</v>
      </c>
      <c r="R804">
        <v>0</v>
      </c>
      <c r="S804" s="6">
        <v>0</v>
      </c>
      <c r="T804">
        <v>0</v>
      </c>
      <c r="U804" s="6">
        <v>1090</v>
      </c>
      <c r="V804">
        <v>1</v>
      </c>
      <c r="W804">
        <v>0</v>
      </c>
      <c r="X804">
        <v>0</v>
      </c>
      <c r="Y804" s="6">
        <v>44.5</v>
      </c>
      <c r="Z804">
        <v>0.105</v>
      </c>
      <c r="AA804">
        <v>8.7999999999999995E-2</v>
      </c>
      <c r="AB804">
        <v>0.11600000000000001</v>
      </c>
      <c r="AC804">
        <v>6</v>
      </c>
      <c r="AD804" s="6">
        <v>60</v>
      </c>
      <c r="AE804" s="6">
        <v>0</v>
      </c>
      <c r="AF804" s="6">
        <v>0</v>
      </c>
      <c r="AG804" s="6">
        <v>130.88999999999999</v>
      </c>
      <c r="AH804" s="6">
        <v>168.49</v>
      </c>
      <c r="AI804" s="6">
        <f t="shared" si="24"/>
        <v>37.600000000000023</v>
      </c>
      <c r="AJ804" s="5">
        <f t="shared" si="25"/>
        <v>0.22315864442993663</v>
      </c>
    </row>
    <row r="805" spans="1:36">
      <c r="A805" t="s">
        <v>457</v>
      </c>
      <c r="B805" t="s">
        <v>1090</v>
      </c>
      <c r="C805" t="s">
        <v>78</v>
      </c>
      <c r="D805" t="s">
        <v>77</v>
      </c>
      <c r="E805" t="s">
        <v>55</v>
      </c>
      <c r="F805">
        <v>0</v>
      </c>
      <c r="G805">
        <v>1583</v>
      </c>
      <c r="H805">
        <v>1</v>
      </c>
      <c r="I805" t="s">
        <v>220</v>
      </c>
      <c r="J805">
        <v>2</v>
      </c>
      <c r="K805" s="6">
        <v>4.5999999999999996</v>
      </c>
      <c r="L805" t="s">
        <v>174</v>
      </c>
      <c r="M805">
        <v>0</v>
      </c>
      <c r="N805" t="s">
        <v>175</v>
      </c>
      <c r="O805">
        <v>1</v>
      </c>
      <c r="P805">
        <v>1</v>
      </c>
      <c r="Q805" s="6">
        <v>53.3</v>
      </c>
      <c r="R805">
        <v>0</v>
      </c>
      <c r="S805" s="6">
        <v>0</v>
      </c>
      <c r="T805">
        <v>0</v>
      </c>
      <c r="U805" s="6">
        <v>2102</v>
      </c>
      <c r="V805">
        <v>0</v>
      </c>
      <c r="W805">
        <v>0</v>
      </c>
      <c r="X805">
        <v>0</v>
      </c>
      <c r="Y805" s="6">
        <v>44.5</v>
      </c>
      <c r="Z805">
        <v>0.105</v>
      </c>
      <c r="AA805">
        <v>8.7999999999999995E-2</v>
      </c>
      <c r="AB805">
        <v>0.11600000000000001</v>
      </c>
      <c r="AC805">
        <v>6</v>
      </c>
      <c r="AD805" s="6">
        <v>50</v>
      </c>
      <c r="AE805" s="6">
        <v>0</v>
      </c>
      <c r="AF805" s="6">
        <v>0</v>
      </c>
      <c r="AG805" s="6">
        <v>87.36</v>
      </c>
      <c r="AH805" s="6">
        <v>112.38</v>
      </c>
      <c r="AI805" s="6">
        <f t="shared" si="24"/>
        <v>25.019999999999996</v>
      </c>
      <c r="AJ805" s="5">
        <f t="shared" si="25"/>
        <v>0.22263747997864386</v>
      </c>
    </row>
    <row r="806" spans="1:36">
      <c r="A806" t="s">
        <v>391</v>
      </c>
      <c r="B806" t="s">
        <v>1091</v>
      </c>
      <c r="C806" t="s">
        <v>78</v>
      </c>
      <c r="D806" t="s">
        <v>77</v>
      </c>
      <c r="E806" t="s">
        <v>55</v>
      </c>
      <c r="F806">
        <v>0</v>
      </c>
      <c r="G806">
        <v>1583</v>
      </c>
      <c r="H806">
        <v>1</v>
      </c>
      <c r="I806" t="s">
        <v>181</v>
      </c>
      <c r="J806">
        <v>3</v>
      </c>
      <c r="K806" s="6">
        <v>11.54</v>
      </c>
      <c r="L806" t="s">
        <v>174</v>
      </c>
      <c r="M806">
        <v>0</v>
      </c>
      <c r="N806" t="s">
        <v>175</v>
      </c>
      <c r="O806">
        <v>1</v>
      </c>
      <c r="P806">
        <v>0</v>
      </c>
      <c r="Q806" s="6">
        <v>44.3</v>
      </c>
      <c r="R806">
        <v>0</v>
      </c>
      <c r="S806" s="6">
        <v>0</v>
      </c>
      <c r="T806">
        <v>0</v>
      </c>
      <c r="U806" s="6">
        <v>1452</v>
      </c>
      <c r="V806">
        <v>0</v>
      </c>
      <c r="W806">
        <v>0</v>
      </c>
      <c r="X806">
        <v>0</v>
      </c>
      <c r="Y806" s="6">
        <v>44.5</v>
      </c>
      <c r="Z806">
        <v>0.105</v>
      </c>
      <c r="AA806">
        <v>8.7999999999999995E-2</v>
      </c>
      <c r="AB806">
        <v>0.11600000000000001</v>
      </c>
      <c r="AC806">
        <v>6</v>
      </c>
      <c r="AD806" s="6">
        <v>60</v>
      </c>
      <c r="AE806" s="6">
        <v>0</v>
      </c>
      <c r="AF806" s="6">
        <v>0</v>
      </c>
      <c r="AG806" s="6">
        <v>103.98</v>
      </c>
      <c r="AH806" s="6">
        <v>134.12</v>
      </c>
      <c r="AI806" s="6">
        <f t="shared" si="24"/>
        <v>30.14</v>
      </c>
      <c r="AJ806" s="5">
        <f t="shared" si="25"/>
        <v>0.22472412764688338</v>
      </c>
    </row>
    <row r="807" spans="1:36">
      <c r="A807" t="s">
        <v>238</v>
      </c>
      <c r="B807" t="s">
        <v>1092</v>
      </c>
      <c r="C807" t="s">
        <v>78</v>
      </c>
      <c r="D807" t="s">
        <v>77</v>
      </c>
      <c r="E807" t="s">
        <v>55</v>
      </c>
      <c r="F807">
        <v>0</v>
      </c>
      <c r="G807">
        <v>1583</v>
      </c>
      <c r="H807">
        <v>1</v>
      </c>
      <c r="I807" t="s">
        <v>181</v>
      </c>
      <c r="J807">
        <v>3</v>
      </c>
      <c r="K807" s="6">
        <v>8.0500000000000007</v>
      </c>
      <c r="L807" t="s">
        <v>174</v>
      </c>
      <c r="M807">
        <v>0</v>
      </c>
      <c r="N807" t="s">
        <v>182</v>
      </c>
      <c r="O807">
        <v>3</v>
      </c>
      <c r="P807">
        <v>0</v>
      </c>
      <c r="Q807" s="6">
        <v>90.3</v>
      </c>
      <c r="R807">
        <v>0</v>
      </c>
      <c r="S807" s="6">
        <v>0</v>
      </c>
      <c r="T807">
        <v>0</v>
      </c>
      <c r="U807" s="6">
        <v>1205</v>
      </c>
      <c r="V807">
        <v>0</v>
      </c>
      <c r="W807">
        <v>0</v>
      </c>
      <c r="X807">
        <v>0</v>
      </c>
      <c r="Y807" s="6">
        <v>44.5</v>
      </c>
      <c r="Z807">
        <v>0.105</v>
      </c>
      <c r="AA807">
        <v>8.7999999999999995E-2</v>
      </c>
      <c r="AB807">
        <v>0.11600000000000001</v>
      </c>
      <c r="AC807">
        <v>6</v>
      </c>
      <c r="AD807" s="6">
        <v>60</v>
      </c>
      <c r="AE807" s="6">
        <v>0</v>
      </c>
      <c r="AF807" s="6">
        <v>0</v>
      </c>
      <c r="AG807" s="6">
        <v>106.26</v>
      </c>
      <c r="AH807" s="6">
        <v>134.41999999999999</v>
      </c>
      <c r="AI807" s="6">
        <f t="shared" si="24"/>
        <v>28.159999999999982</v>
      </c>
      <c r="AJ807" s="5">
        <f t="shared" si="25"/>
        <v>0.20949263502454982</v>
      </c>
    </row>
    <row r="808" spans="1:36">
      <c r="A808" t="s">
        <v>215</v>
      </c>
      <c r="B808" t="s">
        <v>1093</v>
      </c>
      <c r="C808" t="s">
        <v>78</v>
      </c>
      <c r="D808" t="s">
        <v>77</v>
      </c>
      <c r="E808" t="s">
        <v>55</v>
      </c>
      <c r="F808">
        <v>0</v>
      </c>
      <c r="G808">
        <v>1583</v>
      </c>
      <c r="H808">
        <v>1</v>
      </c>
      <c r="I808" t="s">
        <v>181</v>
      </c>
      <c r="J808">
        <v>3</v>
      </c>
      <c r="K808" s="6">
        <v>12.84</v>
      </c>
      <c r="L808" t="s">
        <v>174</v>
      </c>
      <c r="M808">
        <v>0</v>
      </c>
      <c r="N808" t="s">
        <v>187</v>
      </c>
      <c r="O808">
        <v>2</v>
      </c>
      <c r="P808">
        <v>0</v>
      </c>
      <c r="Q808" s="6">
        <v>48.5</v>
      </c>
      <c r="R808">
        <v>0</v>
      </c>
      <c r="S808" s="6">
        <v>0</v>
      </c>
      <c r="T808">
        <v>0</v>
      </c>
      <c r="U808" s="6">
        <v>3795</v>
      </c>
      <c r="V808">
        <v>1</v>
      </c>
      <c r="W808">
        <v>0</v>
      </c>
      <c r="X808">
        <v>0</v>
      </c>
      <c r="Y808" s="6">
        <v>44.5</v>
      </c>
      <c r="Z808">
        <v>0.105</v>
      </c>
      <c r="AA808">
        <v>8.7999999999999995E-2</v>
      </c>
      <c r="AB808">
        <v>0.11600000000000001</v>
      </c>
      <c r="AC808">
        <v>6</v>
      </c>
      <c r="AD808" s="6">
        <v>60</v>
      </c>
      <c r="AE808" s="6">
        <v>0</v>
      </c>
      <c r="AF808" s="6">
        <v>0</v>
      </c>
      <c r="AG808" s="6">
        <v>146.82</v>
      </c>
      <c r="AH808" s="6">
        <v>183.79</v>
      </c>
      <c r="AI808" s="6">
        <f t="shared" si="24"/>
        <v>36.97</v>
      </c>
      <c r="AJ808" s="5">
        <f t="shared" si="25"/>
        <v>0.20115349039664834</v>
      </c>
    </row>
    <row r="809" spans="1:36">
      <c r="A809" t="s">
        <v>431</v>
      </c>
      <c r="B809" t="s">
        <v>1094</v>
      </c>
      <c r="C809" t="s">
        <v>78</v>
      </c>
      <c r="D809" t="s">
        <v>77</v>
      </c>
      <c r="E809" t="s">
        <v>55</v>
      </c>
      <c r="F809">
        <v>0</v>
      </c>
      <c r="G809">
        <v>1583</v>
      </c>
      <c r="H809">
        <v>1</v>
      </c>
      <c r="I809" t="s">
        <v>181</v>
      </c>
      <c r="J809">
        <v>3</v>
      </c>
      <c r="K809" s="6">
        <v>8.42</v>
      </c>
      <c r="L809" t="s">
        <v>200</v>
      </c>
      <c r="M809">
        <v>1</v>
      </c>
      <c r="N809" t="s">
        <v>175</v>
      </c>
      <c r="O809">
        <v>1</v>
      </c>
      <c r="P809">
        <v>0</v>
      </c>
      <c r="Q809" s="6">
        <v>37.4</v>
      </c>
      <c r="R809">
        <v>1</v>
      </c>
      <c r="S809" s="6">
        <v>2929</v>
      </c>
      <c r="T809">
        <v>0</v>
      </c>
      <c r="U809" s="6">
        <v>1580</v>
      </c>
      <c r="V809">
        <v>0</v>
      </c>
      <c r="W809">
        <v>0</v>
      </c>
      <c r="X809">
        <v>0</v>
      </c>
      <c r="Y809" s="6">
        <v>44.5</v>
      </c>
      <c r="Z809">
        <v>0.105</v>
      </c>
      <c r="AA809">
        <v>8.7999999999999995E-2</v>
      </c>
      <c r="AB809">
        <v>0.11600000000000001</v>
      </c>
      <c r="AC809">
        <v>6</v>
      </c>
      <c r="AD809" s="6">
        <v>139</v>
      </c>
      <c r="AE809" s="6">
        <v>40</v>
      </c>
      <c r="AF809" s="6">
        <v>0</v>
      </c>
      <c r="AG809" s="6">
        <v>120.51</v>
      </c>
      <c r="AH809" s="6">
        <v>154</v>
      </c>
      <c r="AI809" s="6">
        <f t="shared" si="24"/>
        <v>33.489999999999995</v>
      </c>
      <c r="AJ809" s="5">
        <f t="shared" si="25"/>
        <v>0.21746753246753242</v>
      </c>
    </row>
    <row r="810" spans="1:36">
      <c r="A810" t="s">
        <v>348</v>
      </c>
      <c r="B810" t="s">
        <v>1095</v>
      </c>
      <c r="C810" t="s">
        <v>78</v>
      </c>
      <c r="D810" t="s">
        <v>77</v>
      </c>
      <c r="E810" t="s">
        <v>55</v>
      </c>
      <c r="F810">
        <v>0</v>
      </c>
      <c r="G810">
        <v>1583</v>
      </c>
      <c r="H810">
        <v>1</v>
      </c>
      <c r="I810" t="s">
        <v>173</v>
      </c>
      <c r="J810">
        <v>1</v>
      </c>
      <c r="K810" s="6">
        <v>1.85</v>
      </c>
      <c r="L810" t="s">
        <v>174</v>
      </c>
      <c r="M810">
        <v>0</v>
      </c>
      <c r="N810" t="s">
        <v>182</v>
      </c>
      <c r="O810">
        <v>3</v>
      </c>
      <c r="P810">
        <v>0</v>
      </c>
      <c r="Q810" s="6">
        <v>68.599999999999994</v>
      </c>
      <c r="R810">
        <v>0</v>
      </c>
      <c r="S810" s="6">
        <v>0</v>
      </c>
      <c r="T810">
        <v>0</v>
      </c>
      <c r="U810" s="6">
        <v>3558</v>
      </c>
      <c r="V810">
        <v>0</v>
      </c>
      <c r="W810">
        <v>0</v>
      </c>
      <c r="X810">
        <v>0</v>
      </c>
      <c r="Y810" s="6">
        <v>44.5</v>
      </c>
      <c r="Z810">
        <v>0.105</v>
      </c>
      <c r="AA810">
        <v>8.7999999999999995E-2</v>
      </c>
      <c r="AB810">
        <v>0.11600000000000001</v>
      </c>
      <c r="AC810">
        <v>6</v>
      </c>
      <c r="AD810" s="6">
        <v>50</v>
      </c>
      <c r="AE810" s="6">
        <v>0</v>
      </c>
      <c r="AF810" s="6">
        <v>0</v>
      </c>
      <c r="AG810" s="6">
        <v>61.41</v>
      </c>
      <c r="AH810" s="6">
        <v>77.930000000000007</v>
      </c>
      <c r="AI810" s="6">
        <f t="shared" si="24"/>
        <v>16.52000000000001</v>
      </c>
      <c r="AJ810" s="5">
        <f t="shared" si="25"/>
        <v>0.21198511484665736</v>
      </c>
    </row>
    <row r="811" spans="1:36">
      <c r="A811" t="s">
        <v>284</v>
      </c>
      <c r="B811" t="s">
        <v>1096</v>
      </c>
      <c r="C811" t="s">
        <v>78</v>
      </c>
      <c r="D811" t="s">
        <v>77</v>
      </c>
      <c r="E811" t="s">
        <v>55</v>
      </c>
      <c r="F811">
        <v>0</v>
      </c>
      <c r="G811">
        <v>1583</v>
      </c>
      <c r="H811">
        <v>1</v>
      </c>
      <c r="I811" t="s">
        <v>173</v>
      </c>
      <c r="J811">
        <v>1</v>
      </c>
      <c r="K811" s="6">
        <v>1.67</v>
      </c>
      <c r="L811" t="s">
        <v>174</v>
      </c>
      <c r="M811">
        <v>0</v>
      </c>
      <c r="N811" t="s">
        <v>175</v>
      </c>
      <c r="O811">
        <v>1</v>
      </c>
      <c r="P811">
        <v>1</v>
      </c>
      <c r="Q811" s="6">
        <v>47.3</v>
      </c>
      <c r="R811">
        <v>0</v>
      </c>
      <c r="S811" s="6">
        <v>0</v>
      </c>
      <c r="T811">
        <v>0</v>
      </c>
      <c r="U811" s="6">
        <v>2144</v>
      </c>
      <c r="V811">
        <v>0</v>
      </c>
      <c r="W811">
        <v>0</v>
      </c>
      <c r="X811">
        <v>0</v>
      </c>
      <c r="Y811" s="6">
        <v>44.5</v>
      </c>
      <c r="Z811">
        <v>0.105</v>
      </c>
      <c r="AA811">
        <v>8.7999999999999995E-2</v>
      </c>
      <c r="AB811">
        <v>0.11600000000000001</v>
      </c>
      <c r="AC811">
        <v>6</v>
      </c>
      <c r="AD811" s="6">
        <v>50</v>
      </c>
      <c r="AE811" s="6">
        <v>0</v>
      </c>
      <c r="AF811" s="6">
        <v>0</v>
      </c>
      <c r="AG811" s="6">
        <v>79.27</v>
      </c>
      <c r="AH811" s="6">
        <v>103.65</v>
      </c>
      <c r="AI811" s="6">
        <f t="shared" si="24"/>
        <v>24.38000000000001</v>
      </c>
      <c r="AJ811" s="5">
        <f t="shared" si="25"/>
        <v>0.23521466473709607</v>
      </c>
    </row>
    <row r="812" spans="1:36">
      <c r="A812" t="s">
        <v>251</v>
      </c>
      <c r="B812" t="s">
        <v>1097</v>
      </c>
      <c r="C812" t="s">
        <v>78</v>
      </c>
      <c r="D812" t="s">
        <v>77</v>
      </c>
      <c r="E812" t="s">
        <v>55</v>
      </c>
      <c r="F812">
        <v>0</v>
      </c>
      <c r="G812">
        <v>1583</v>
      </c>
      <c r="H812">
        <v>1</v>
      </c>
      <c r="I812" t="s">
        <v>173</v>
      </c>
      <c r="J812">
        <v>1</v>
      </c>
      <c r="K812" s="6">
        <v>1.37</v>
      </c>
      <c r="L812" t="s">
        <v>174</v>
      </c>
      <c r="M812">
        <v>0</v>
      </c>
      <c r="N812" t="s">
        <v>187</v>
      </c>
      <c r="O812">
        <v>2</v>
      </c>
      <c r="P812">
        <v>1</v>
      </c>
      <c r="Q812" s="6">
        <v>36</v>
      </c>
      <c r="R812">
        <v>0</v>
      </c>
      <c r="S812" s="6">
        <v>0</v>
      </c>
      <c r="T812">
        <v>0</v>
      </c>
      <c r="U812" s="6">
        <v>1303</v>
      </c>
      <c r="V812">
        <v>0</v>
      </c>
      <c r="W812">
        <v>0</v>
      </c>
      <c r="X812">
        <v>0</v>
      </c>
      <c r="Y812" s="6">
        <v>44.5</v>
      </c>
      <c r="Z812">
        <v>0.105</v>
      </c>
      <c r="AA812">
        <v>8.7999999999999995E-2</v>
      </c>
      <c r="AB812">
        <v>0.11600000000000001</v>
      </c>
      <c r="AC812">
        <v>6</v>
      </c>
      <c r="AD812" s="6">
        <v>50</v>
      </c>
      <c r="AE812" s="6">
        <v>0</v>
      </c>
      <c r="AF812" s="6">
        <v>0</v>
      </c>
      <c r="AG812" s="6">
        <v>70.650000000000006</v>
      </c>
      <c r="AH812" s="6">
        <v>88.32</v>
      </c>
      <c r="AI812" s="6">
        <f t="shared" si="24"/>
        <v>17.669999999999987</v>
      </c>
      <c r="AJ812" s="5">
        <f t="shared" si="25"/>
        <v>0.20006793478260856</v>
      </c>
    </row>
    <row r="813" spans="1:36">
      <c r="A813" t="s">
        <v>215</v>
      </c>
      <c r="B813" t="s">
        <v>1098</v>
      </c>
      <c r="C813" t="s">
        <v>78</v>
      </c>
      <c r="D813" t="s">
        <v>77</v>
      </c>
      <c r="E813" t="s">
        <v>55</v>
      </c>
      <c r="F813">
        <v>0</v>
      </c>
      <c r="G813">
        <v>1583</v>
      </c>
      <c r="H813">
        <v>1</v>
      </c>
      <c r="I813" t="s">
        <v>173</v>
      </c>
      <c r="J813">
        <v>1</v>
      </c>
      <c r="K813" s="6">
        <v>2.14</v>
      </c>
      <c r="L813" t="s">
        <v>174</v>
      </c>
      <c r="M813">
        <v>0</v>
      </c>
      <c r="N813" t="s">
        <v>182</v>
      </c>
      <c r="O813">
        <v>3</v>
      </c>
      <c r="P813">
        <v>0</v>
      </c>
      <c r="Q813" s="6">
        <v>131.4</v>
      </c>
      <c r="R813">
        <v>0</v>
      </c>
      <c r="S813" s="6">
        <v>0</v>
      </c>
      <c r="T813">
        <v>0</v>
      </c>
      <c r="U813" s="6">
        <v>2590</v>
      </c>
      <c r="V813">
        <v>0</v>
      </c>
      <c r="W813">
        <v>0</v>
      </c>
      <c r="X813">
        <v>0</v>
      </c>
      <c r="Y813" s="6">
        <v>44.5</v>
      </c>
      <c r="Z813">
        <v>0.105</v>
      </c>
      <c r="AA813">
        <v>8.7999999999999995E-2</v>
      </c>
      <c r="AB813">
        <v>0.11600000000000001</v>
      </c>
      <c r="AC813">
        <v>6</v>
      </c>
      <c r="AD813" s="6">
        <v>50</v>
      </c>
      <c r="AE813" s="6">
        <v>0</v>
      </c>
      <c r="AF813" s="6">
        <v>0</v>
      </c>
      <c r="AG813" s="6">
        <v>55.73</v>
      </c>
      <c r="AH813" s="6">
        <v>70.91</v>
      </c>
      <c r="AI813" s="6">
        <f t="shared" si="24"/>
        <v>15.18</v>
      </c>
      <c r="AJ813" s="5">
        <f t="shared" si="25"/>
        <v>0.21407417853617261</v>
      </c>
    </row>
    <row r="814" spans="1:36">
      <c r="A814" t="s">
        <v>179</v>
      </c>
      <c r="B814" t="s">
        <v>1099</v>
      </c>
      <c r="C814" t="s">
        <v>78</v>
      </c>
      <c r="D814" t="s">
        <v>77</v>
      </c>
      <c r="E814" t="s">
        <v>55</v>
      </c>
      <c r="F814">
        <v>0</v>
      </c>
      <c r="G814">
        <v>1583</v>
      </c>
      <c r="H814">
        <v>1</v>
      </c>
      <c r="I814" t="s">
        <v>220</v>
      </c>
      <c r="J814">
        <v>2</v>
      </c>
      <c r="K814" s="6">
        <v>2.2599999999999998</v>
      </c>
      <c r="L814" t="s">
        <v>174</v>
      </c>
      <c r="M814">
        <v>0</v>
      </c>
      <c r="N814" t="s">
        <v>182</v>
      </c>
      <c r="O814">
        <v>3</v>
      </c>
      <c r="P814">
        <v>0</v>
      </c>
      <c r="Q814" s="6">
        <v>86.6</v>
      </c>
      <c r="R814">
        <v>0</v>
      </c>
      <c r="S814" s="6">
        <v>0</v>
      </c>
      <c r="T814">
        <v>0</v>
      </c>
      <c r="U814" s="6">
        <v>3058</v>
      </c>
      <c r="V814">
        <v>1</v>
      </c>
      <c r="W814">
        <v>0</v>
      </c>
      <c r="X814">
        <v>0</v>
      </c>
      <c r="Y814" s="6">
        <v>44.5</v>
      </c>
      <c r="Z814">
        <v>0.105</v>
      </c>
      <c r="AA814">
        <v>8.7999999999999995E-2</v>
      </c>
      <c r="AB814">
        <v>0.11600000000000001</v>
      </c>
      <c r="AC814">
        <v>6</v>
      </c>
      <c r="AD814" s="6">
        <v>50</v>
      </c>
      <c r="AE814" s="6">
        <v>0</v>
      </c>
      <c r="AF814" s="6">
        <v>0</v>
      </c>
      <c r="AG814" s="6">
        <v>110.5</v>
      </c>
      <c r="AH814" s="6">
        <v>138.77000000000001</v>
      </c>
      <c r="AI814" s="6">
        <f t="shared" si="24"/>
        <v>28.27000000000001</v>
      </c>
      <c r="AJ814" s="5">
        <f t="shared" si="25"/>
        <v>0.20371838293579309</v>
      </c>
    </row>
    <row r="815" spans="1:36">
      <c r="A815" t="s">
        <v>403</v>
      </c>
      <c r="B815" t="s">
        <v>1100</v>
      </c>
      <c r="C815" t="s">
        <v>78</v>
      </c>
      <c r="D815" t="s">
        <v>77</v>
      </c>
      <c r="E815" t="s">
        <v>55</v>
      </c>
      <c r="F815">
        <v>0</v>
      </c>
      <c r="G815">
        <v>1583</v>
      </c>
      <c r="H815">
        <v>1</v>
      </c>
      <c r="I815" t="s">
        <v>181</v>
      </c>
      <c r="J815">
        <v>3</v>
      </c>
      <c r="K815" s="6">
        <v>7.59</v>
      </c>
      <c r="L815" t="s">
        <v>174</v>
      </c>
      <c r="M815">
        <v>0</v>
      </c>
      <c r="N815" t="s">
        <v>175</v>
      </c>
      <c r="O815">
        <v>1</v>
      </c>
      <c r="P815">
        <v>0</v>
      </c>
      <c r="Q815" s="6">
        <v>29.4</v>
      </c>
      <c r="R815">
        <v>0</v>
      </c>
      <c r="S815" s="6">
        <v>0</v>
      </c>
      <c r="T815">
        <v>0</v>
      </c>
      <c r="U815" s="6">
        <v>982</v>
      </c>
      <c r="V815">
        <v>1</v>
      </c>
      <c r="W815">
        <v>0</v>
      </c>
      <c r="X815">
        <v>0</v>
      </c>
      <c r="Y815" s="6">
        <v>44.5</v>
      </c>
      <c r="Z815">
        <v>0.105</v>
      </c>
      <c r="AA815">
        <v>8.7999999999999995E-2</v>
      </c>
      <c r="AB815">
        <v>0.11600000000000001</v>
      </c>
      <c r="AC815">
        <v>6</v>
      </c>
      <c r="AD815" s="6">
        <v>60</v>
      </c>
      <c r="AE815" s="6">
        <v>0</v>
      </c>
      <c r="AF815" s="6">
        <v>0</v>
      </c>
      <c r="AG815" s="6">
        <v>115.59</v>
      </c>
      <c r="AH815" s="6">
        <v>144.79</v>
      </c>
      <c r="AI815" s="6">
        <f t="shared" si="24"/>
        <v>29.199999999999989</v>
      </c>
      <c r="AJ815" s="5">
        <f t="shared" si="25"/>
        <v>0.20167138614545196</v>
      </c>
    </row>
    <row r="816" spans="1:36">
      <c r="A816" t="s">
        <v>316</v>
      </c>
      <c r="B816" t="s">
        <v>1101</v>
      </c>
      <c r="C816" t="s">
        <v>78</v>
      </c>
      <c r="D816" t="s">
        <v>77</v>
      </c>
      <c r="E816" t="s">
        <v>55</v>
      </c>
      <c r="F816">
        <v>0</v>
      </c>
      <c r="G816">
        <v>1583</v>
      </c>
      <c r="H816">
        <v>1</v>
      </c>
      <c r="I816" t="s">
        <v>173</v>
      </c>
      <c r="J816">
        <v>1</v>
      </c>
      <c r="K816" s="6">
        <v>2</v>
      </c>
      <c r="L816" t="s">
        <v>174</v>
      </c>
      <c r="M816">
        <v>0</v>
      </c>
      <c r="N816" t="s">
        <v>217</v>
      </c>
      <c r="O816">
        <v>4</v>
      </c>
      <c r="P816">
        <v>1</v>
      </c>
      <c r="Q816" s="6">
        <v>122.7</v>
      </c>
      <c r="R816">
        <v>0</v>
      </c>
      <c r="S816" s="6">
        <v>0</v>
      </c>
      <c r="T816">
        <v>0</v>
      </c>
      <c r="U816" s="6">
        <v>2289</v>
      </c>
      <c r="V816">
        <v>0</v>
      </c>
      <c r="W816">
        <v>0</v>
      </c>
      <c r="X816">
        <v>0</v>
      </c>
      <c r="Y816" s="6">
        <v>44.5</v>
      </c>
      <c r="Z816">
        <v>0.105</v>
      </c>
      <c r="AA816">
        <v>8.7999999999999995E-2</v>
      </c>
      <c r="AB816">
        <v>0.11600000000000001</v>
      </c>
      <c r="AC816">
        <v>6</v>
      </c>
      <c r="AD816" s="6">
        <v>50</v>
      </c>
      <c r="AE816" s="6">
        <v>0</v>
      </c>
      <c r="AF816" s="6">
        <v>0</v>
      </c>
      <c r="AG816" s="6">
        <v>101.05</v>
      </c>
      <c r="AH816" s="6">
        <v>126.8</v>
      </c>
      <c r="AI816" s="6">
        <f t="shared" si="24"/>
        <v>25.75</v>
      </c>
      <c r="AJ816" s="5">
        <f t="shared" si="25"/>
        <v>0.20307570977917982</v>
      </c>
    </row>
    <row r="817" spans="1:36">
      <c r="A817" t="s">
        <v>431</v>
      </c>
      <c r="B817" t="s">
        <v>1102</v>
      </c>
      <c r="C817" t="s">
        <v>78</v>
      </c>
      <c r="D817" t="s">
        <v>77</v>
      </c>
      <c r="E817" t="s">
        <v>55</v>
      </c>
      <c r="F817">
        <v>0</v>
      </c>
      <c r="G817">
        <v>1583</v>
      </c>
      <c r="H817">
        <v>1</v>
      </c>
      <c r="I817" t="s">
        <v>173</v>
      </c>
      <c r="J817">
        <v>1</v>
      </c>
      <c r="K817" s="6">
        <v>1.37</v>
      </c>
      <c r="L817" t="s">
        <v>174</v>
      </c>
      <c r="M817">
        <v>0</v>
      </c>
      <c r="N817" t="s">
        <v>187</v>
      </c>
      <c r="O817">
        <v>2</v>
      </c>
      <c r="P817">
        <v>0</v>
      </c>
      <c r="Q817" s="6">
        <v>47.3</v>
      </c>
      <c r="R817">
        <v>0</v>
      </c>
      <c r="S817" s="6">
        <v>0</v>
      </c>
      <c r="T817">
        <v>0</v>
      </c>
      <c r="U817" s="6">
        <v>2710</v>
      </c>
      <c r="V817">
        <v>0</v>
      </c>
      <c r="W817">
        <v>0</v>
      </c>
      <c r="X817">
        <v>0</v>
      </c>
      <c r="Y817" s="6">
        <v>44.5</v>
      </c>
      <c r="Z817">
        <v>0.105</v>
      </c>
      <c r="AA817">
        <v>8.7999999999999995E-2</v>
      </c>
      <c r="AB817">
        <v>0.11600000000000001</v>
      </c>
      <c r="AC817">
        <v>6</v>
      </c>
      <c r="AD817" s="6">
        <v>50</v>
      </c>
      <c r="AE817" s="6">
        <v>0</v>
      </c>
      <c r="AF817" s="6">
        <v>0</v>
      </c>
      <c r="AG817" s="6">
        <v>47.85</v>
      </c>
      <c r="AH817" s="6">
        <v>63.15</v>
      </c>
      <c r="AI817" s="6">
        <f t="shared" si="24"/>
        <v>15.299999999999997</v>
      </c>
      <c r="AJ817" s="5">
        <f t="shared" si="25"/>
        <v>0.24228028503562943</v>
      </c>
    </row>
    <row r="818" spans="1:36">
      <c r="A818" t="s">
        <v>194</v>
      </c>
      <c r="B818" t="s">
        <v>1103</v>
      </c>
      <c r="C818" t="s">
        <v>78</v>
      </c>
      <c r="D818" t="s">
        <v>77</v>
      </c>
      <c r="E818" t="s">
        <v>55</v>
      </c>
      <c r="F818">
        <v>0</v>
      </c>
      <c r="G818">
        <v>1583</v>
      </c>
      <c r="H818">
        <v>1</v>
      </c>
      <c r="I818" t="s">
        <v>181</v>
      </c>
      <c r="J818">
        <v>3</v>
      </c>
      <c r="K818" s="6">
        <v>8.73</v>
      </c>
      <c r="L818" t="s">
        <v>174</v>
      </c>
      <c r="M818">
        <v>0</v>
      </c>
      <c r="N818" t="s">
        <v>182</v>
      </c>
      <c r="O818">
        <v>3</v>
      </c>
      <c r="P818">
        <v>0</v>
      </c>
      <c r="Q818" s="6">
        <v>43</v>
      </c>
      <c r="R818">
        <v>0</v>
      </c>
      <c r="S818" s="6">
        <v>0</v>
      </c>
      <c r="T818">
        <v>0</v>
      </c>
      <c r="U818" s="6">
        <v>1487</v>
      </c>
      <c r="V818">
        <v>0</v>
      </c>
      <c r="W818">
        <v>0</v>
      </c>
      <c r="X818">
        <v>0</v>
      </c>
      <c r="Y818" s="6">
        <v>44.5</v>
      </c>
      <c r="Z818">
        <v>0.105</v>
      </c>
      <c r="AA818">
        <v>8.7999999999999995E-2</v>
      </c>
      <c r="AB818">
        <v>0.11600000000000001</v>
      </c>
      <c r="AC818">
        <v>6</v>
      </c>
      <c r="AD818" s="6">
        <v>60</v>
      </c>
      <c r="AE818" s="6">
        <v>0</v>
      </c>
      <c r="AF818" s="6">
        <v>0</v>
      </c>
      <c r="AG818" s="6">
        <v>93.02</v>
      </c>
      <c r="AH818" s="6">
        <v>120.02</v>
      </c>
      <c r="AI818" s="6">
        <f t="shared" si="24"/>
        <v>27</v>
      </c>
      <c r="AJ818" s="5">
        <f t="shared" si="25"/>
        <v>0.22496250624895853</v>
      </c>
    </row>
    <row r="819" spans="1:36">
      <c r="A819" t="s">
        <v>360</v>
      </c>
      <c r="B819" t="s">
        <v>1104</v>
      </c>
      <c r="C819" t="s">
        <v>78</v>
      </c>
      <c r="D819" t="s">
        <v>77</v>
      </c>
      <c r="E819" t="s">
        <v>55</v>
      </c>
      <c r="F819">
        <v>0</v>
      </c>
      <c r="G819">
        <v>1583</v>
      </c>
      <c r="H819">
        <v>1</v>
      </c>
      <c r="I819" t="s">
        <v>181</v>
      </c>
      <c r="J819">
        <v>3</v>
      </c>
      <c r="K819" s="6">
        <v>11.04</v>
      </c>
      <c r="L819" t="s">
        <v>174</v>
      </c>
      <c r="M819">
        <v>0</v>
      </c>
      <c r="N819" t="s">
        <v>182</v>
      </c>
      <c r="O819">
        <v>3</v>
      </c>
      <c r="P819">
        <v>0</v>
      </c>
      <c r="Q819" s="6">
        <v>86.7</v>
      </c>
      <c r="R819">
        <v>0</v>
      </c>
      <c r="S819" s="6">
        <v>0</v>
      </c>
      <c r="T819">
        <v>0</v>
      </c>
      <c r="U819" s="6">
        <v>609</v>
      </c>
      <c r="V819">
        <v>0</v>
      </c>
      <c r="W819">
        <v>0</v>
      </c>
      <c r="X819">
        <v>0</v>
      </c>
      <c r="Y819" s="6">
        <v>44.5</v>
      </c>
      <c r="Z819">
        <v>0.105</v>
      </c>
      <c r="AA819">
        <v>8.7999999999999995E-2</v>
      </c>
      <c r="AB819">
        <v>0.11600000000000001</v>
      </c>
      <c r="AC819">
        <v>6</v>
      </c>
      <c r="AD819" s="6">
        <v>60</v>
      </c>
      <c r="AE819" s="6">
        <v>0</v>
      </c>
      <c r="AF819" s="6">
        <v>0</v>
      </c>
      <c r="AG819" s="6">
        <v>110.07</v>
      </c>
      <c r="AH819" s="6">
        <v>139.13999999999999</v>
      </c>
      <c r="AI819" s="6">
        <f t="shared" si="24"/>
        <v>29.069999999999993</v>
      </c>
      <c r="AJ819" s="5">
        <f t="shared" si="25"/>
        <v>0.20892626131953426</v>
      </c>
    </row>
    <row r="820" spans="1:36">
      <c r="A820" t="s">
        <v>393</v>
      </c>
      <c r="B820" t="s">
        <v>1105</v>
      </c>
      <c r="C820" t="s">
        <v>78</v>
      </c>
      <c r="D820" t="s">
        <v>77</v>
      </c>
      <c r="E820" t="s">
        <v>55</v>
      </c>
      <c r="F820">
        <v>0</v>
      </c>
      <c r="G820">
        <v>1583</v>
      </c>
      <c r="H820">
        <v>1</v>
      </c>
      <c r="I820" t="s">
        <v>173</v>
      </c>
      <c r="J820">
        <v>1</v>
      </c>
      <c r="K820" s="6">
        <v>2.25</v>
      </c>
      <c r="L820" t="s">
        <v>174</v>
      </c>
      <c r="M820">
        <v>0</v>
      </c>
      <c r="N820" t="s">
        <v>182</v>
      </c>
      <c r="O820">
        <v>3</v>
      </c>
      <c r="P820">
        <v>0</v>
      </c>
      <c r="Q820" s="6">
        <v>99.3</v>
      </c>
      <c r="R820">
        <v>0</v>
      </c>
      <c r="S820" s="6">
        <v>0</v>
      </c>
      <c r="T820">
        <v>0</v>
      </c>
      <c r="U820" s="6">
        <v>1845</v>
      </c>
      <c r="V820">
        <v>0</v>
      </c>
      <c r="W820">
        <v>0</v>
      </c>
      <c r="X820">
        <v>0</v>
      </c>
      <c r="Y820" s="6">
        <v>44.5</v>
      </c>
      <c r="Z820">
        <v>0.105</v>
      </c>
      <c r="AA820">
        <v>8.7999999999999995E-2</v>
      </c>
      <c r="AB820">
        <v>0.11600000000000001</v>
      </c>
      <c r="AC820">
        <v>6</v>
      </c>
      <c r="AD820" s="6">
        <v>50</v>
      </c>
      <c r="AE820" s="6">
        <v>0</v>
      </c>
      <c r="AF820" s="6">
        <v>0</v>
      </c>
      <c r="AG820" s="6">
        <v>62.96</v>
      </c>
      <c r="AH820" s="6">
        <v>79.39</v>
      </c>
      <c r="AI820" s="6">
        <f t="shared" si="24"/>
        <v>16.43</v>
      </c>
      <c r="AJ820" s="5">
        <f t="shared" si="25"/>
        <v>0.20695301675273964</v>
      </c>
    </row>
    <row r="821" spans="1:36">
      <c r="A821" t="s">
        <v>230</v>
      </c>
      <c r="B821" t="s">
        <v>1106</v>
      </c>
      <c r="C821" t="s">
        <v>78</v>
      </c>
      <c r="D821" t="s">
        <v>77</v>
      </c>
      <c r="E821" t="s">
        <v>55</v>
      </c>
      <c r="F821">
        <v>0</v>
      </c>
      <c r="G821">
        <v>1583</v>
      </c>
      <c r="H821">
        <v>1</v>
      </c>
      <c r="I821" t="s">
        <v>173</v>
      </c>
      <c r="J821">
        <v>1</v>
      </c>
      <c r="K821" s="6">
        <v>2.0099999999999998</v>
      </c>
      <c r="L821" t="s">
        <v>174</v>
      </c>
      <c r="M821">
        <v>0</v>
      </c>
      <c r="N821" t="s">
        <v>182</v>
      </c>
      <c r="O821">
        <v>3</v>
      </c>
      <c r="P821">
        <v>0</v>
      </c>
      <c r="Q821" s="6">
        <v>155.1</v>
      </c>
      <c r="R821">
        <v>0</v>
      </c>
      <c r="S821" s="6">
        <v>0</v>
      </c>
      <c r="T821">
        <v>0</v>
      </c>
      <c r="U821" s="6">
        <v>3267</v>
      </c>
      <c r="V821">
        <v>0</v>
      </c>
      <c r="W821">
        <v>0</v>
      </c>
      <c r="X821">
        <v>1</v>
      </c>
      <c r="Y821" s="6">
        <v>44.5</v>
      </c>
      <c r="Z821">
        <v>0.105</v>
      </c>
      <c r="AA821">
        <v>8.7999999999999995E-2</v>
      </c>
      <c r="AB821">
        <v>0.11600000000000001</v>
      </c>
      <c r="AC821">
        <v>6</v>
      </c>
      <c r="AD821" s="6">
        <v>50</v>
      </c>
      <c r="AE821" s="6">
        <v>0</v>
      </c>
      <c r="AF821" s="6">
        <v>0</v>
      </c>
      <c r="AG821" s="6">
        <v>61.64</v>
      </c>
      <c r="AH821" s="6">
        <v>80.099999999999994</v>
      </c>
      <c r="AI821" s="6">
        <f t="shared" si="24"/>
        <v>18.459999999999994</v>
      </c>
      <c r="AJ821" s="5">
        <f t="shared" si="25"/>
        <v>0.23046192259675399</v>
      </c>
    </row>
    <row r="822" spans="1:36">
      <c r="A822" t="s">
        <v>501</v>
      </c>
      <c r="B822" t="s">
        <v>1107</v>
      </c>
      <c r="C822" t="s">
        <v>78</v>
      </c>
      <c r="D822" t="s">
        <v>77</v>
      </c>
      <c r="E822" t="s">
        <v>55</v>
      </c>
      <c r="F822">
        <v>0</v>
      </c>
      <c r="G822">
        <v>1583</v>
      </c>
      <c r="H822">
        <v>1</v>
      </c>
      <c r="I822" t="s">
        <v>173</v>
      </c>
      <c r="J822">
        <v>1</v>
      </c>
      <c r="K822" s="6">
        <v>1.2</v>
      </c>
      <c r="L822" t="s">
        <v>174</v>
      </c>
      <c r="M822">
        <v>0</v>
      </c>
      <c r="N822" t="s">
        <v>187</v>
      </c>
      <c r="O822">
        <v>2</v>
      </c>
      <c r="P822">
        <v>0</v>
      </c>
      <c r="Q822" s="6">
        <v>39.6</v>
      </c>
      <c r="R822">
        <v>0</v>
      </c>
      <c r="S822" s="6">
        <v>0</v>
      </c>
      <c r="T822">
        <v>0</v>
      </c>
      <c r="U822" s="6">
        <v>3171</v>
      </c>
      <c r="V822">
        <v>0</v>
      </c>
      <c r="W822">
        <v>0</v>
      </c>
      <c r="X822">
        <v>0</v>
      </c>
      <c r="Y822" s="6">
        <v>44.5</v>
      </c>
      <c r="Z822">
        <v>0.105</v>
      </c>
      <c r="AA822">
        <v>8.7999999999999995E-2</v>
      </c>
      <c r="AB822">
        <v>0.11600000000000001</v>
      </c>
      <c r="AC822">
        <v>6</v>
      </c>
      <c r="AD822" s="6">
        <v>50</v>
      </c>
      <c r="AE822" s="6">
        <v>0</v>
      </c>
      <c r="AF822" s="6">
        <v>0</v>
      </c>
      <c r="AG822" s="6">
        <v>56.2</v>
      </c>
      <c r="AH822" s="6">
        <v>70.84</v>
      </c>
      <c r="AI822" s="6">
        <f t="shared" si="24"/>
        <v>14.64</v>
      </c>
      <c r="AJ822" s="5">
        <f t="shared" si="25"/>
        <v>0.20666290231507622</v>
      </c>
    </row>
    <row r="823" spans="1:36">
      <c r="A823" t="s">
        <v>434</v>
      </c>
      <c r="B823" t="s">
        <v>1108</v>
      </c>
      <c r="C823" t="s">
        <v>78</v>
      </c>
      <c r="D823" t="s">
        <v>77</v>
      </c>
      <c r="E823" t="s">
        <v>55</v>
      </c>
      <c r="F823">
        <v>0</v>
      </c>
      <c r="G823">
        <v>1583</v>
      </c>
      <c r="H823">
        <v>1</v>
      </c>
      <c r="I823" t="s">
        <v>173</v>
      </c>
      <c r="J823">
        <v>1</v>
      </c>
      <c r="K823" s="6">
        <v>1.93</v>
      </c>
      <c r="L823" t="s">
        <v>174</v>
      </c>
      <c r="M823">
        <v>0</v>
      </c>
      <c r="N823" t="s">
        <v>187</v>
      </c>
      <c r="O823">
        <v>2</v>
      </c>
      <c r="P823">
        <v>1</v>
      </c>
      <c r="Q823" s="6">
        <v>61.6</v>
      </c>
      <c r="R823">
        <v>0</v>
      </c>
      <c r="S823" s="6">
        <v>0</v>
      </c>
      <c r="T823">
        <v>0</v>
      </c>
      <c r="U823" s="6">
        <v>2541</v>
      </c>
      <c r="V823">
        <v>0</v>
      </c>
      <c r="W823">
        <v>0</v>
      </c>
      <c r="X823">
        <v>0</v>
      </c>
      <c r="Y823" s="6">
        <v>44.5</v>
      </c>
      <c r="Z823">
        <v>0.105</v>
      </c>
      <c r="AA823">
        <v>8.7999999999999995E-2</v>
      </c>
      <c r="AB823">
        <v>0.11600000000000001</v>
      </c>
      <c r="AC823">
        <v>6</v>
      </c>
      <c r="AD823" s="6">
        <v>50</v>
      </c>
      <c r="AE823" s="6">
        <v>0</v>
      </c>
      <c r="AF823" s="6">
        <v>0</v>
      </c>
      <c r="AG823" s="6">
        <v>79.58</v>
      </c>
      <c r="AH823" s="6">
        <v>102.84</v>
      </c>
      <c r="AI823" s="6">
        <f t="shared" si="24"/>
        <v>23.260000000000005</v>
      </c>
      <c r="AJ823" s="5">
        <f t="shared" si="25"/>
        <v>0.22617658498638665</v>
      </c>
    </row>
    <row r="824" spans="1:36">
      <c r="A824" t="s">
        <v>512</v>
      </c>
      <c r="B824" t="s">
        <v>1109</v>
      </c>
      <c r="C824" t="s">
        <v>78</v>
      </c>
      <c r="D824" t="s">
        <v>77</v>
      </c>
      <c r="E824" t="s">
        <v>55</v>
      </c>
      <c r="F824">
        <v>0</v>
      </c>
      <c r="G824">
        <v>1583</v>
      </c>
      <c r="H824">
        <v>1</v>
      </c>
      <c r="I824" t="s">
        <v>173</v>
      </c>
      <c r="J824">
        <v>1</v>
      </c>
      <c r="K824" s="6">
        <v>1.77</v>
      </c>
      <c r="L824" t="s">
        <v>174</v>
      </c>
      <c r="M824">
        <v>0</v>
      </c>
      <c r="N824" t="s">
        <v>182</v>
      </c>
      <c r="O824">
        <v>3</v>
      </c>
      <c r="P824">
        <v>0</v>
      </c>
      <c r="Q824" s="6">
        <v>47.7</v>
      </c>
      <c r="R824">
        <v>0</v>
      </c>
      <c r="S824" s="6">
        <v>0</v>
      </c>
      <c r="T824">
        <v>0</v>
      </c>
      <c r="U824" s="6">
        <v>2768</v>
      </c>
      <c r="V824">
        <v>0</v>
      </c>
      <c r="W824">
        <v>0</v>
      </c>
      <c r="X824">
        <v>0</v>
      </c>
      <c r="Y824" s="6">
        <v>44.5</v>
      </c>
      <c r="Z824">
        <v>0.105</v>
      </c>
      <c r="AA824">
        <v>8.7999999999999995E-2</v>
      </c>
      <c r="AB824">
        <v>0.11600000000000001</v>
      </c>
      <c r="AC824">
        <v>6</v>
      </c>
      <c r="AD824" s="6">
        <v>50</v>
      </c>
      <c r="AE824" s="6">
        <v>0</v>
      </c>
      <c r="AF824" s="6">
        <v>0</v>
      </c>
      <c r="AG824" s="6">
        <v>62.45</v>
      </c>
      <c r="AH824" s="6">
        <v>79.69</v>
      </c>
      <c r="AI824" s="6">
        <f t="shared" si="24"/>
        <v>17.239999999999995</v>
      </c>
      <c r="AJ824" s="5">
        <f t="shared" si="25"/>
        <v>0.21633831095495037</v>
      </c>
    </row>
    <row r="825" spans="1:36">
      <c r="A825" t="s">
        <v>319</v>
      </c>
      <c r="B825" t="s">
        <v>1110</v>
      </c>
      <c r="C825" t="s">
        <v>78</v>
      </c>
      <c r="D825" t="s">
        <v>77</v>
      </c>
      <c r="E825" t="s">
        <v>55</v>
      </c>
      <c r="F825">
        <v>0</v>
      </c>
      <c r="G825">
        <v>1583</v>
      </c>
      <c r="H825">
        <v>1</v>
      </c>
      <c r="I825" t="s">
        <v>220</v>
      </c>
      <c r="J825">
        <v>2</v>
      </c>
      <c r="K825" s="6">
        <v>3.03</v>
      </c>
      <c r="L825" t="s">
        <v>200</v>
      </c>
      <c r="M825">
        <v>1</v>
      </c>
      <c r="N825" t="s">
        <v>187</v>
      </c>
      <c r="O825">
        <v>2</v>
      </c>
      <c r="P825">
        <v>0</v>
      </c>
      <c r="Q825" s="6">
        <v>80.2</v>
      </c>
      <c r="R825">
        <v>0</v>
      </c>
      <c r="S825" s="6">
        <v>0</v>
      </c>
      <c r="T825">
        <v>0</v>
      </c>
      <c r="U825" s="6">
        <v>4879</v>
      </c>
      <c r="V825">
        <v>0</v>
      </c>
      <c r="W825">
        <v>0</v>
      </c>
      <c r="X825">
        <v>0</v>
      </c>
      <c r="Y825" s="6">
        <v>44.5</v>
      </c>
      <c r="Z825">
        <v>0.105</v>
      </c>
      <c r="AA825">
        <v>8.7999999999999995E-2</v>
      </c>
      <c r="AB825">
        <v>0.11600000000000001</v>
      </c>
      <c r="AC825">
        <v>6</v>
      </c>
      <c r="AD825" s="6">
        <v>119</v>
      </c>
      <c r="AE825" s="6">
        <v>0</v>
      </c>
      <c r="AF825" s="6">
        <v>0</v>
      </c>
      <c r="AG825" s="6">
        <v>87.79</v>
      </c>
      <c r="AH825" s="6">
        <v>120.83</v>
      </c>
      <c r="AI825" s="6">
        <f t="shared" si="24"/>
        <v>33.039999999999992</v>
      </c>
      <c r="AJ825" s="5">
        <f t="shared" si="25"/>
        <v>0.27344202598692374</v>
      </c>
    </row>
    <row r="826" spans="1:36">
      <c r="A826" t="s">
        <v>269</v>
      </c>
      <c r="B826" t="s">
        <v>1111</v>
      </c>
      <c r="C826" t="s">
        <v>78</v>
      </c>
      <c r="D826" t="s">
        <v>77</v>
      </c>
      <c r="E826" t="s">
        <v>55</v>
      </c>
      <c r="F826">
        <v>0</v>
      </c>
      <c r="G826">
        <v>1583</v>
      </c>
      <c r="H826">
        <v>1</v>
      </c>
      <c r="I826" t="s">
        <v>181</v>
      </c>
      <c r="J826">
        <v>3</v>
      </c>
      <c r="K826" s="6">
        <v>6.78</v>
      </c>
      <c r="L826" t="s">
        <v>174</v>
      </c>
      <c r="M826">
        <v>0</v>
      </c>
      <c r="N826" t="s">
        <v>175</v>
      </c>
      <c r="O826">
        <v>1</v>
      </c>
      <c r="P826">
        <v>0</v>
      </c>
      <c r="Q826" s="6">
        <v>50.7</v>
      </c>
      <c r="R826">
        <v>0</v>
      </c>
      <c r="S826" s="6">
        <v>0</v>
      </c>
      <c r="T826">
        <v>0</v>
      </c>
      <c r="U826" s="6">
        <v>389</v>
      </c>
      <c r="V826">
        <v>0</v>
      </c>
      <c r="W826">
        <v>0</v>
      </c>
      <c r="X826">
        <v>0</v>
      </c>
      <c r="Y826" s="6">
        <v>44.5</v>
      </c>
      <c r="Z826">
        <v>0.105</v>
      </c>
      <c r="AA826">
        <v>8.7999999999999995E-2</v>
      </c>
      <c r="AB826">
        <v>0.11600000000000001</v>
      </c>
      <c r="AC826">
        <v>6</v>
      </c>
      <c r="AD826" s="6">
        <v>60</v>
      </c>
      <c r="AE826" s="6">
        <v>0</v>
      </c>
      <c r="AF826" s="6">
        <v>0</v>
      </c>
      <c r="AG826" s="6">
        <v>77.86</v>
      </c>
      <c r="AH826" s="6">
        <v>100.79</v>
      </c>
      <c r="AI826" s="6">
        <f t="shared" si="24"/>
        <v>22.930000000000007</v>
      </c>
      <c r="AJ826" s="5">
        <f t="shared" si="25"/>
        <v>0.22750272844528233</v>
      </c>
    </row>
    <row r="827" spans="1:36">
      <c r="A827" t="s">
        <v>223</v>
      </c>
      <c r="B827" t="s">
        <v>1112</v>
      </c>
      <c r="C827" t="s">
        <v>78</v>
      </c>
      <c r="D827" t="s">
        <v>77</v>
      </c>
      <c r="E827" t="s">
        <v>55</v>
      </c>
      <c r="F827">
        <v>0</v>
      </c>
      <c r="G827">
        <v>1583</v>
      </c>
      <c r="H827">
        <v>1</v>
      </c>
      <c r="I827" t="s">
        <v>181</v>
      </c>
      <c r="J827">
        <v>3</v>
      </c>
      <c r="K827" s="6">
        <v>11.88</v>
      </c>
      <c r="L827" t="s">
        <v>174</v>
      </c>
      <c r="M827">
        <v>0</v>
      </c>
      <c r="N827" t="s">
        <v>187</v>
      </c>
      <c r="O827">
        <v>2</v>
      </c>
      <c r="P827">
        <v>0</v>
      </c>
      <c r="Q827" s="6">
        <v>57.1</v>
      </c>
      <c r="R827">
        <v>0</v>
      </c>
      <c r="S827" s="6">
        <v>0</v>
      </c>
      <c r="T827">
        <v>0</v>
      </c>
      <c r="U827" s="6">
        <v>1820</v>
      </c>
      <c r="V827">
        <v>0</v>
      </c>
      <c r="W827">
        <v>0</v>
      </c>
      <c r="X827">
        <v>0</v>
      </c>
      <c r="Y827" s="6">
        <v>44.5</v>
      </c>
      <c r="Z827">
        <v>0.105</v>
      </c>
      <c r="AA827">
        <v>8.7999999999999995E-2</v>
      </c>
      <c r="AB827">
        <v>0.11600000000000001</v>
      </c>
      <c r="AC827">
        <v>6</v>
      </c>
      <c r="AD827" s="6">
        <v>60</v>
      </c>
      <c r="AE827" s="6">
        <v>0</v>
      </c>
      <c r="AF827" s="6">
        <v>0</v>
      </c>
      <c r="AG827" s="6">
        <v>109.51</v>
      </c>
      <c r="AH827" s="6">
        <v>140.36000000000001</v>
      </c>
      <c r="AI827" s="6">
        <f t="shared" si="24"/>
        <v>30.850000000000009</v>
      </c>
      <c r="AJ827" s="5">
        <f t="shared" si="25"/>
        <v>0.2197919635223711</v>
      </c>
    </row>
    <row r="828" spans="1:36">
      <c r="A828" t="s">
        <v>528</v>
      </c>
      <c r="B828" t="s">
        <v>1113</v>
      </c>
      <c r="C828" t="s">
        <v>78</v>
      </c>
      <c r="D828" t="s">
        <v>77</v>
      </c>
      <c r="E828" t="s">
        <v>55</v>
      </c>
      <c r="F828">
        <v>0</v>
      </c>
      <c r="G828">
        <v>1583</v>
      </c>
      <c r="H828">
        <v>1</v>
      </c>
      <c r="I828" t="s">
        <v>173</v>
      </c>
      <c r="J828">
        <v>1</v>
      </c>
      <c r="K828" s="6">
        <v>2.34</v>
      </c>
      <c r="L828" t="s">
        <v>174</v>
      </c>
      <c r="M828">
        <v>0</v>
      </c>
      <c r="N828" t="s">
        <v>272</v>
      </c>
      <c r="O828">
        <v>5</v>
      </c>
      <c r="P828">
        <v>1</v>
      </c>
      <c r="Q828" s="6">
        <v>305.2</v>
      </c>
      <c r="R828">
        <v>0</v>
      </c>
      <c r="S828" s="6">
        <v>0</v>
      </c>
      <c r="T828">
        <v>0</v>
      </c>
      <c r="U828" s="6">
        <v>2123</v>
      </c>
      <c r="V828">
        <v>0</v>
      </c>
      <c r="W828">
        <v>0</v>
      </c>
      <c r="X828">
        <v>0</v>
      </c>
      <c r="Y828" s="6">
        <v>44.5</v>
      </c>
      <c r="Z828">
        <v>0.105</v>
      </c>
      <c r="AA828">
        <v>8.7999999999999995E-2</v>
      </c>
      <c r="AB828">
        <v>0.11600000000000001</v>
      </c>
      <c r="AC828">
        <v>6</v>
      </c>
      <c r="AD828" s="6">
        <v>50</v>
      </c>
      <c r="AE828" s="6">
        <v>0</v>
      </c>
      <c r="AF828" s="6">
        <v>0</v>
      </c>
      <c r="AG828" s="6">
        <v>153.80000000000001</v>
      </c>
      <c r="AH828" s="6">
        <v>195.64</v>
      </c>
      <c r="AI828" s="6">
        <f t="shared" si="24"/>
        <v>41.839999999999975</v>
      </c>
      <c r="AJ828" s="5">
        <f t="shared" si="25"/>
        <v>0.21386219586996513</v>
      </c>
    </row>
    <row r="829" spans="1:36">
      <c r="A829" t="s">
        <v>293</v>
      </c>
      <c r="B829" t="s">
        <v>1114</v>
      </c>
      <c r="C829" t="s">
        <v>78</v>
      </c>
      <c r="D829" t="s">
        <v>77</v>
      </c>
      <c r="E829" t="s">
        <v>55</v>
      </c>
      <c r="F829">
        <v>0</v>
      </c>
      <c r="G829">
        <v>1583</v>
      </c>
      <c r="H829">
        <v>1</v>
      </c>
      <c r="I829" t="s">
        <v>173</v>
      </c>
      <c r="J829">
        <v>1</v>
      </c>
      <c r="K829" s="6">
        <v>2.2999999999999998</v>
      </c>
      <c r="L829" t="s">
        <v>174</v>
      </c>
      <c r="M829">
        <v>0</v>
      </c>
      <c r="N829" t="s">
        <v>217</v>
      </c>
      <c r="O829">
        <v>4</v>
      </c>
      <c r="P829">
        <v>1</v>
      </c>
      <c r="Q829" s="6">
        <v>136.80000000000001</v>
      </c>
      <c r="R829">
        <v>1</v>
      </c>
      <c r="S829" s="6">
        <v>926</v>
      </c>
      <c r="T829">
        <v>0</v>
      </c>
      <c r="U829" s="6">
        <v>1252</v>
      </c>
      <c r="V829">
        <v>0</v>
      </c>
      <c r="W829">
        <v>0</v>
      </c>
      <c r="X829">
        <v>0</v>
      </c>
      <c r="Y829" s="6">
        <v>44.5</v>
      </c>
      <c r="Z829">
        <v>0.105</v>
      </c>
      <c r="AA829">
        <v>8.7999999999999995E-2</v>
      </c>
      <c r="AB829">
        <v>0.11600000000000001</v>
      </c>
      <c r="AC829">
        <v>6</v>
      </c>
      <c r="AD829" s="6">
        <v>50</v>
      </c>
      <c r="AE829" s="6">
        <v>25</v>
      </c>
      <c r="AF829" s="6">
        <v>0</v>
      </c>
      <c r="AG829" s="6">
        <v>104.58</v>
      </c>
      <c r="AH829" s="6">
        <v>132.78</v>
      </c>
      <c r="AI829" s="6">
        <f t="shared" si="24"/>
        <v>28.200000000000003</v>
      </c>
      <c r="AJ829" s="5">
        <f t="shared" si="25"/>
        <v>0.21238138273836424</v>
      </c>
    </row>
    <row r="830" spans="1:36">
      <c r="A830" t="s">
        <v>602</v>
      </c>
      <c r="B830" t="s">
        <v>1115</v>
      </c>
      <c r="C830" t="s">
        <v>78</v>
      </c>
      <c r="D830" t="s">
        <v>77</v>
      </c>
      <c r="E830" t="s">
        <v>55</v>
      </c>
      <c r="F830">
        <v>0</v>
      </c>
      <c r="G830">
        <v>1583</v>
      </c>
      <c r="H830">
        <v>1</v>
      </c>
      <c r="I830" t="s">
        <v>173</v>
      </c>
      <c r="J830">
        <v>1</v>
      </c>
      <c r="K830" s="6">
        <v>2.41</v>
      </c>
      <c r="L830" t="s">
        <v>174</v>
      </c>
      <c r="M830">
        <v>0</v>
      </c>
      <c r="N830" t="s">
        <v>175</v>
      </c>
      <c r="O830">
        <v>1</v>
      </c>
      <c r="P830">
        <v>0</v>
      </c>
      <c r="Q830" s="6">
        <v>40.9</v>
      </c>
      <c r="R830">
        <v>1</v>
      </c>
      <c r="S830" s="6">
        <v>510</v>
      </c>
      <c r="T830">
        <v>0</v>
      </c>
      <c r="U830" s="6">
        <v>3133</v>
      </c>
      <c r="V830">
        <v>0</v>
      </c>
      <c r="W830">
        <v>0</v>
      </c>
      <c r="X830">
        <v>0</v>
      </c>
      <c r="Y830" s="6">
        <v>44.5</v>
      </c>
      <c r="Z830">
        <v>0.105</v>
      </c>
      <c r="AA830">
        <v>8.7999999999999995E-2</v>
      </c>
      <c r="AB830">
        <v>0.11600000000000001</v>
      </c>
      <c r="AC830">
        <v>6</v>
      </c>
      <c r="AD830" s="6">
        <v>50</v>
      </c>
      <c r="AE830" s="6">
        <v>25</v>
      </c>
      <c r="AF830" s="6">
        <v>0</v>
      </c>
      <c r="AG830" s="6">
        <v>55.35</v>
      </c>
      <c r="AH830" s="6">
        <v>69.44</v>
      </c>
      <c r="AI830" s="6">
        <f t="shared" si="24"/>
        <v>14.089999999999996</v>
      </c>
      <c r="AJ830" s="5">
        <f t="shared" si="25"/>
        <v>0.20290898617511516</v>
      </c>
    </row>
    <row r="831" spans="1:36">
      <c r="A831" t="s">
        <v>521</v>
      </c>
      <c r="B831" t="s">
        <v>1116</v>
      </c>
      <c r="C831" t="s">
        <v>78</v>
      </c>
      <c r="D831" t="s">
        <v>77</v>
      </c>
      <c r="E831" t="s">
        <v>55</v>
      </c>
      <c r="F831">
        <v>0</v>
      </c>
      <c r="G831">
        <v>1583</v>
      </c>
      <c r="H831">
        <v>1</v>
      </c>
      <c r="I831" t="s">
        <v>173</v>
      </c>
      <c r="J831">
        <v>1</v>
      </c>
      <c r="K831" s="6">
        <v>0.88</v>
      </c>
      <c r="L831" t="s">
        <v>174</v>
      </c>
      <c r="M831">
        <v>0</v>
      </c>
      <c r="N831" t="s">
        <v>217</v>
      </c>
      <c r="O831">
        <v>4</v>
      </c>
      <c r="P831">
        <v>1</v>
      </c>
      <c r="Q831" s="6">
        <v>139.30000000000001</v>
      </c>
      <c r="R831">
        <v>0</v>
      </c>
      <c r="S831" s="6">
        <v>0</v>
      </c>
      <c r="T831">
        <v>0</v>
      </c>
      <c r="U831" s="6">
        <v>1936</v>
      </c>
      <c r="V831">
        <v>0</v>
      </c>
      <c r="W831">
        <v>0</v>
      </c>
      <c r="X831">
        <v>0</v>
      </c>
      <c r="Y831" s="6">
        <v>44.5</v>
      </c>
      <c r="Z831">
        <v>0.105</v>
      </c>
      <c r="AA831">
        <v>8.7999999999999995E-2</v>
      </c>
      <c r="AB831">
        <v>0.11600000000000001</v>
      </c>
      <c r="AC831">
        <v>6</v>
      </c>
      <c r="AD831" s="6">
        <v>50</v>
      </c>
      <c r="AE831" s="6">
        <v>0</v>
      </c>
      <c r="AF831" s="6">
        <v>0</v>
      </c>
      <c r="AG831" s="6">
        <v>95.7</v>
      </c>
      <c r="AH831" s="6">
        <v>121.04</v>
      </c>
      <c r="AI831" s="6">
        <f t="shared" si="24"/>
        <v>25.340000000000003</v>
      </c>
      <c r="AJ831" s="5">
        <f t="shared" si="25"/>
        <v>0.20935228023793789</v>
      </c>
    </row>
    <row r="832" spans="1:36">
      <c r="A832" t="s">
        <v>247</v>
      </c>
      <c r="B832" t="s">
        <v>1117</v>
      </c>
      <c r="C832" t="s">
        <v>78</v>
      </c>
      <c r="D832" t="s">
        <v>77</v>
      </c>
      <c r="E832" t="s">
        <v>55</v>
      </c>
      <c r="F832">
        <v>0</v>
      </c>
      <c r="G832">
        <v>1583</v>
      </c>
      <c r="H832">
        <v>1</v>
      </c>
      <c r="I832" t="s">
        <v>220</v>
      </c>
      <c r="J832">
        <v>2</v>
      </c>
      <c r="K832" s="6">
        <v>3.25</v>
      </c>
      <c r="L832" t="s">
        <v>174</v>
      </c>
      <c r="M832">
        <v>0</v>
      </c>
      <c r="N832" t="s">
        <v>182</v>
      </c>
      <c r="O832">
        <v>3</v>
      </c>
      <c r="P832">
        <v>0</v>
      </c>
      <c r="Q832" s="6">
        <v>123.9</v>
      </c>
      <c r="R832">
        <v>0</v>
      </c>
      <c r="S832" s="6">
        <v>0</v>
      </c>
      <c r="T832">
        <v>0</v>
      </c>
      <c r="U832" s="6">
        <v>968</v>
      </c>
      <c r="V832">
        <v>0</v>
      </c>
      <c r="W832">
        <v>0</v>
      </c>
      <c r="X832">
        <v>0</v>
      </c>
      <c r="Y832" s="6">
        <v>44.5</v>
      </c>
      <c r="Z832">
        <v>0.105</v>
      </c>
      <c r="AA832">
        <v>8.7999999999999995E-2</v>
      </c>
      <c r="AB832">
        <v>0.11600000000000001</v>
      </c>
      <c r="AC832">
        <v>6</v>
      </c>
      <c r="AD832" s="6">
        <v>50</v>
      </c>
      <c r="AE832" s="6">
        <v>0</v>
      </c>
      <c r="AF832" s="6">
        <v>0</v>
      </c>
      <c r="AG832" s="6">
        <v>73.59</v>
      </c>
      <c r="AH832" s="6">
        <v>95.6</v>
      </c>
      <c r="AI832" s="6">
        <f t="shared" si="24"/>
        <v>22.009999999999991</v>
      </c>
      <c r="AJ832" s="5">
        <f t="shared" si="25"/>
        <v>0.23023012552301247</v>
      </c>
    </row>
    <row r="833" spans="1:36">
      <c r="A833" t="s">
        <v>319</v>
      </c>
      <c r="B833" t="s">
        <v>1118</v>
      </c>
      <c r="C833" t="s">
        <v>78</v>
      </c>
      <c r="D833" t="s">
        <v>77</v>
      </c>
      <c r="E833" t="s">
        <v>55</v>
      </c>
      <c r="F833">
        <v>0</v>
      </c>
      <c r="G833">
        <v>1583</v>
      </c>
      <c r="H833">
        <v>1</v>
      </c>
      <c r="I833" t="s">
        <v>173</v>
      </c>
      <c r="J833">
        <v>1</v>
      </c>
      <c r="K833" s="6">
        <v>2.82</v>
      </c>
      <c r="L833" t="s">
        <v>200</v>
      </c>
      <c r="M833">
        <v>1</v>
      </c>
      <c r="N833" t="s">
        <v>182</v>
      </c>
      <c r="O833">
        <v>3</v>
      </c>
      <c r="P833">
        <v>0</v>
      </c>
      <c r="Q833" s="6">
        <v>60.7</v>
      </c>
      <c r="R833">
        <v>0</v>
      </c>
      <c r="S833" s="6">
        <v>0</v>
      </c>
      <c r="T833">
        <v>0</v>
      </c>
      <c r="U833" s="6">
        <v>1520</v>
      </c>
      <c r="V833">
        <v>0</v>
      </c>
      <c r="W833">
        <v>0</v>
      </c>
      <c r="X833">
        <v>0</v>
      </c>
      <c r="Y833" s="6">
        <v>44.5</v>
      </c>
      <c r="Z833">
        <v>0.105</v>
      </c>
      <c r="AA833">
        <v>8.7999999999999995E-2</v>
      </c>
      <c r="AB833">
        <v>0.11600000000000001</v>
      </c>
      <c r="AC833">
        <v>6</v>
      </c>
      <c r="AD833" s="6">
        <v>99</v>
      </c>
      <c r="AE833" s="6">
        <v>0</v>
      </c>
      <c r="AF833" s="6">
        <v>0</v>
      </c>
      <c r="AG833" s="6">
        <v>97.14</v>
      </c>
      <c r="AH833" s="6">
        <v>123.15</v>
      </c>
      <c r="AI833" s="6">
        <f t="shared" si="24"/>
        <v>26.010000000000005</v>
      </c>
      <c r="AJ833" s="5">
        <f t="shared" si="25"/>
        <v>0.21120584652862368</v>
      </c>
    </row>
    <row r="834" spans="1:36">
      <c r="A834" t="s">
        <v>176</v>
      </c>
      <c r="B834" t="s">
        <v>1119</v>
      </c>
      <c r="C834" t="s">
        <v>78</v>
      </c>
      <c r="D834" t="s">
        <v>77</v>
      </c>
      <c r="E834" t="s">
        <v>55</v>
      </c>
      <c r="F834">
        <v>0</v>
      </c>
      <c r="G834">
        <v>1583</v>
      </c>
      <c r="H834">
        <v>1</v>
      </c>
      <c r="I834" t="s">
        <v>220</v>
      </c>
      <c r="J834">
        <v>2</v>
      </c>
      <c r="K834" s="6">
        <v>2.95</v>
      </c>
      <c r="L834" t="s">
        <v>174</v>
      </c>
      <c r="M834">
        <v>0</v>
      </c>
      <c r="N834" t="s">
        <v>182</v>
      </c>
      <c r="O834">
        <v>3</v>
      </c>
      <c r="P834">
        <v>0</v>
      </c>
      <c r="Q834" s="6">
        <v>107</v>
      </c>
      <c r="R834">
        <v>0</v>
      </c>
      <c r="S834" s="6">
        <v>0</v>
      </c>
      <c r="T834">
        <v>0</v>
      </c>
      <c r="U834" s="6">
        <v>5648</v>
      </c>
      <c r="V834">
        <v>0</v>
      </c>
      <c r="W834">
        <v>0</v>
      </c>
      <c r="X834">
        <v>0</v>
      </c>
      <c r="Y834" s="6">
        <v>44.5</v>
      </c>
      <c r="Z834">
        <v>0.105</v>
      </c>
      <c r="AA834">
        <v>8.7999999999999995E-2</v>
      </c>
      <c r="AB834">
        <v>0.11600000000000001</v>
      </c>
      <c r="AC834">
        <v>6</v>
      </c>
      <c r="AD834" s="6">
        <v>50</v>
      </c>
      <c r="AE834" s="6">
        <v>0</v>
      </c>
      <c r="AF834" s="6">
        <v>0</v>
      </c>
      <c r="AG834" s="6">
        <v>65.680000000000007</v>
      </c>
      <c r="AH834" s="6">
        <v>86.44</v>
      </c>
      <c r="AI834" s="6">
        <f t="shared" ref="AI834:AI897" si="26">AH834-AG834</f>
        <v>20.759999999999991</v>
      </c>
      <c r="AJ834" s="5">
        <f t="shared" ref="AJ834:AJ897" si="27">IFERROR(AI834/AH834,0)</f>
        <v>0.24016658954187867</v>
      </c>
    </row>
    <row r="835" spans="1:36">
      <c r="A835" t="s">
        <v>293</v>
      </c>
      <c r="B835" t="s">
        <v>1120</v>
      </c>
      <c r="C835" t="s">
        <v>78</v>
      </c>
      <c r="D835" t="s">
        <v>77</v>
      </c>
      <c r="E835" t="s">
        <v>55</v>
      </c>
      <c r="F835">
        <v>0</v>
      </c>
      <c r="G835">
        <v>1583</v>
      </c>
      <c r="H835">
        <v>1</v>
      </c>
      <c r="I835" t="s">
        <v>173</v>
      </c>
      <c r="J835">
        <v>1</v>
      </c>
      <c r="K835" s="6">
        <v>2.16</v>
      </c>
      <c r="L835" t="s">
        <v>174</v>
      </c>
      <c r="M835">
        <v>0</v>
      </c>
      <c r="N835" t="s">
        <v>175</v>
      </c>
      <c r="O835">
        <v>1</v>
      </c>
      <c r="P835">
        <v>0</v>
      </c>
      <c r="Q835" s="6">
        <v>49.8</v>
      </c>
      <c r="R835">
        <v>1</v>
      </c>
      <c r="S835" s="6">
        <v>901</v>
      </c>
      <c r="T835">
        <v>0</v>
      </c>
      <c r="U835" s="6">
        <v>2499</v>
      </c>
      <c r="V835">
        <v>1</v>
      </c>
      <c r="W835">
        <v>0</v>
      </c>
      <c r="X835">
        <v>0</v>
      </c>
      <c r="Y835" s="6">
        <v>44.5</v>
      </c>
      <c r="Z835">
        <v>0.105</v>
      </c>
      <c r="AA835">
        <v>8.7999999999999995E-2</v>
      </c>
      <c r="AB835">
        <v>0.11600000000000001</v>
      </c>
      <c r="AC835">
        <v>6</v>
      </c>
      <c r="AD835" s="6">
        <v>50</v>
      </c>
      <c r="AE835" s="6">
        <v>25</v>
      </c>
      <c r="AF835" s="6">
        <v>0</v>
      </c>
      <c r="AG835" s="6">
        <v>95.85</v>
      </c>
      <c r="AH835" s="6">
        <v>120.39</v>
      </c>
      <c r="AI835" s="6">
        <f t="shared" si="26"/>
        <v>24.540000000000006</v>
      </c>
      <c r="AJ835" s="5">
        <f t="shared" si="27"/>
        <v>0.20383752803388991</v>
      </c>
    </row>
    <row r="836" spans="1:36">
      <c r="A836" t="s">
        <v>218</v>
      </c>
      <c r="B836" t="s">
        <v>1121</v>
      </c>
      <c r="C836" t="s">
        <v>78</v>
      </c>
      <c r="D836" t="s">
        <v>77</v>
      </c>
      <c r="E836" t="s">
        <v>55</v>
      </c>
      <c r="F836">
        <v>0</v>
      </c>
      <c r="G836">
        <v>1583</v>
      </c>
      <c r="H836">
        <v>1</v>
      </c>
      <c r="I836" t="s">
        <v>173</v>
      </c>
      <c r="J836">
        <v>1</v>
      </c>
      <c r="K836" s="6">
        <v>1.81</v>
      </c>
      <c r="L836" t="s">
        <v>174</v>
      </c>
      <c r="M836">
        <v>0</v>
      </c>
      <c r="N836" t="s">
        <v>182</v>
      </c>
      <c r="O836">
        <v>3</v>
      </c>
      <c r="P836">
        <v>0</v>
      </c>
      <c r="Q836" s="6">
        <v>93.9</v>
      </c>
      <c r="R836">
        <v>0</v>
      </c>
      <c r="S836" s="6">
        <v>0</v>
      </c>
      <c r="T836">
        <v>0</v>
      </c>
      <c r="U836" s="6">
        <v>1632</v>
      </c>
      <c r="V836">
        <v>0</v>
      </c>
      <c r="W836">
        <v>0</v>
      </c>
      <c r="X836">
        <v>0</v>
      </c>
      <c r="Y836" s="6">
        <v>44.5</v>
      </c>
      <c r="Z836">
        <v>0.105</v>
      </c>
      <c r="AA836">
        <v>8.7999999999999995E-2</v>
      </c>
      <c r="AB836">
        <v>0.11600000000000001</v>
      </c>
      <c r="AC836">
        <v>6</v>
      </c>
      <c r="AD836" s="6">
        <v>50</v>
      </c>
      <c r="AE836" s="6">
        <v>0</v>
      </c>
      <c r="AF836" s="6">
        <v>0</v>
      </c>
      <c r="AG836" s="6">
        <v>58.05</v>
      </c>
      <c r="AH836" s="6">
        <v>75.400000000000006</v>
      </c>
      <c r="AI836" s="6">
        <f t="shared" si="26"/>
        <v>17.350000000000009</v>
      </c>
      <c r="AJ836" s="5">
        <f t="shared" si="27"/>
        <v>0.23010610079575605</v>
      </c>
    </row>
    <row r="837" spans="1:36">
      <c r="A837" t="s">
        <v>190</v>
      </c>
      <c r="B837" t="s">
        <v>1122</v>
      </c>
      <c r="C837" t="s">
        <v>78</v>
      </c>
      <c r="D837" t="s">
        <v>77</v>
      </c>
      <c r="E837" t="s">
        <v>55</v>
      </c>
      <c r="F837">
        <v>0</v>
      </c>
      <c r="G837">
        <v>1583</v>
      </c>
      <c r="H837">
        <v>1</v>
      </c>
      <c r="I837" t="s">
        <v>173</v>
      </c>
      <c r="J837">
        <v>1</v>
      </c>
      <c r="K837" s="6">
        <v>1.48</v>
      </c>
      <c r="L837" t="s">
        <v>174</v>
      </c>
      <c r="M837">
        <v>0</v>
      </c>
      <c r="N837" t="s">
        <v>217</v>
      </c>
      <c r="O837">
        <v>4</v>
      </c>
      <c r="P837">
        <v>1</v>
      </c>
      <c r="Q837" s="6">
        <v>136.69999999999999</v>
      </c>
      <c r="R837">
        <v>0</v>
      </c>
      <c r="S837" s="6">
        <v>0</v>
      </c>
      <c r="T837">
        <v>0</v>
      </c>
      <c r="U837" s="6">
        <v>5293</v>
      </c>
      <c r="V837">
        <v>0</v>
      </c>
      <c r="W837">
        <v>0</v>
      </c>
      <c r="X837">
        <v>1</v>
      </c>
      <c r="Y837" s="6">
        <v>44.5</v>
      </c>
      <c r="Z837">
        <v>0.105</v>
      </c>
      <c r="AA837">
        <v>8.7999999999999995E-2</v>
      </c>
      <c r="AB837">
        <v>0.11600000000000001</v>
      </c>
      <c r="AC837">
        <v>6</v>
      </c>
      <c r="AD837" s="6">
        <v>50</v>
      </c>
      <c r="AE837" s="6">
        <v>0</v>
      </c>
      <c r="AF837" s="6">
        <v>0</v>
      </c>
      <c r="AG837" s="6">
        <v>89.55</v>
      </c>
      <c r="AH837" s="6">
        <v>116.45</v>
      </c>
      <c r="AI837" s="6">
        <f t="shared" si="26"/>
        <v>26.900000000000006</v>
      </c>
      <c r="AJ837" s="5">
        <f t="shared" si="27"/>
        <v>0.23100042936882786</v>
      </c>
    </row>
    <row r="838" spans="1:36">
      <c r="A838" t="s">
        <v>478</v>
      </c>
      <c r="B838" t="s">
        <v>1123</v>
      </c>
      <c r="C838" t="s">
        <v>78</v>
      </c>
      <c r="D838" t="s">
        <v>77</v>
      </c>
      <c r="E838" t="s">
        <v>55</v>
      </c>
      <c r="F838">
        <v>0</v>
      </c>
      <c r="G838">
        <v>1583</v>
      </c>
      <c r="H838">
        <v>1</v>
      </c>
      <c r="I838" t="s">
        <v>173</v>
      </c>
      <c r="J838">
        <v>1</v>
      </c>
      <c r="K838" s="6">
        <v>1.34</v>
      </c>
      <c r="L838" t="s">
        <v>174</v>
      </c>
      <c r="M838">
        <v>0</v>
      </c>
      <c r="N838" t="s">
        <v>187</v>
      </c>
      <c r="O838">
        <v>2</v>
      </c>
      <c r="P838">
        <v>0</v>
      </c>
      <c r="Q838" s="6">
        <v>22.1</v>
      </c>
      <c r="R838">
        <v>0</v>
      </c>
      <c r="S838" s="6">
        <v>0</v>
      </c>
      <c r="T838">
        <v>0</v>
      </c>
      <c r="U838" s="6">
        <v>1320</v>
      </c>
      <c r="V838">
        <v>1</v>
      </c>
      <c r="W838">
        <v>0</v>
      </c>
      <c r="X838">
        <v>0</v>
      </c>
      <c r="Y838" s="6">
        <v>44.5</v>
      </c>
      <c r="Z838">
        <v>0.105</v>
      </c>
      <c r="AA838">
        <v>8.7999999999999995E-2</v>
      </c>
      <c r="AB838">
        <v>0.11600000000000001</v>
      </c>
      <c r="AC838">
        <v>6</v>
      </c>
      <c r="AD838" s="6">
        <v>50</v>
      </c>
      <c r="AE838" s="6">
        <v>0</v>
      </c>
      <c r="AF838" s="6">
        <v>0</v>
      </c>
      <c r="AG838" s="6">
        <v>90.62</v>
      </c>
      <c r="AH838" s="6">
        <v>114.18</v>
      </c>
      <c r="AI838" s="6">
        <f t="shared" si="26"/>
        <v>23.560000000000002</v>
      </c>
      <c r="AJ838" s="5">
        <f t="shared" si="27"/>
        <v>0.20634086530040288</v>
      </c>
    </row>
    <row r="839" spans="1:36">
      <c r="A839" t="s">
        <v>210</v>
      </c>
      <c r="B839" t="s">
        <v>1124</v>
      </c>
      <c r="C839" t="s">
        <v>78</v>
      </c>
      <c r="D839" t="s">
        <v>77</v>
      </c>
      <c r="E839" t="s">
        <v>55</v>
      </c>
      <c r="F839">
        <v>0</v>
      </c>
      <c r="G839">
        <v>1583</v>
      </c>
      <c r="H839">
        <v>1</v>
      </c>
      <c r="I839" t="s">
        <v>173</v>
      </c>
      <c r="J839">
        <v>1</v>
      </c>
      <c r="K839" s="6">
        <v>1.41</v>
      </c>
      <c r="L839" t="s">
        <v>200</v>
      </c>
      <c r="M839">
        <v>1</v>
      </c>
      <c r="N839" t="s">
        <v>187</v>
      </c>
      <c r="O839">
        <v>2</v>
      </c>
      <c r="P839">
        <v>1</v>
      </c>
      <c r="Q839" s="6">
        <v>56</v>
      </c>
      <c r="R839">
        <v>0</v>
      </c>
      <c r="S839" s="6">
        <v>0</v>
      </c>
      <c r="T839">
        <v>0</v>
      </c>
      <c r="U839" s="6">
        <v>2560</v>
      </c>
      <c r="V839">
        <v>0</v>
      </c>
      <c r="W839">
        <v>0</v>
      </c>
      <c r="X839">
        <v>0</v>
      </c>
      <c r="Y839" s="6">
        <v>44.5</v>
      </c>
      <c r="Z839">
        <v>0.105</v>
      </c>
      <c r="AA839">
        <v>8.7999999999999995E-2</v>
      </c>
      <c r="AB839">
        <v>0.11600000000000001</v>
      </c>
      <c r="AC839">
        <v>6</v>
      </c>
      <c r="AD839" s="6">
        <v>99</v>
      </c>
      <c r="AE839" s="6">
        <v>0</v>
      </c>
      <c r="AF839" s="6">
        <v>0</v>
      </c>
      <c r="AG839" s="6">
        <v>124.21</v>
      </c>
      <c r="AH839" s="6">
        <v>159.38</v>
      </c>
      <c r="AI839" s="6">
        <f t="shared" si="26"/>
        <v>35.17</v>
      </c>
      <c r="AJ839" s="5">
        <f t="shared" si="27"/>
        <v>0.22066758689923455</v>
      </c>
    </row>
    <row r="840" spans="1:36">
      <c r="A840" t="s">
        <v>183</v>
      </c>
      <c r="B840" t="s">
        <v>1125</v>
      </c>
      <c r="C840" t="s">
        <v>78</v>
      </c>
      <c r="D840" t="s">
        <v>77</v>
      </c>
      <c r="E840" t="s">
        <v>55</v>
      </c>
      <c r="F840">
        <v>0</v>
      </c>
      <c r="G840">
        <v>1583</v>
      </c>
      <c r="H840">
        <v>1</v>
      </c>
      <c r="I840" t="s">
        <v>173</v>
      </c>
      <c r="J840">
        <v>1</v>
      </c>
      <c r="K840" s="6">
        <v>1.88</v>
      </c>
      <c r="L840" t="s">
        <v>174</v>
      </c>
      <c r="M840">
        <v>0</v>
      </c>
      <c r="N840" t="s">
        <v>175</v>
      </c>
      <c r="O840">
        <v>1</v>
      </c>
      <c r="P840">
        <v>0</v>
      </c>
      <c r="Q840" s="6">
        <v>42.8</v>
      </c>
      <c r="R840">
        <v>0</v>
      </c>
      <c r="S840" s="6">
        <v>0</v>
      </c>
      <c r="T840">
        <v>0</v>
      </c>
      <c r="U840" s="6">
        <v>1542</v>
      </c>
      <c r="V840">
        <v>0</v>
      </c>
      <c r="W840">
        <v>0</v>
      </c>
      <c r="X840">
        <v>0</v>
      </c>
      <c r="Y840" s="6">
        <v>44.5</v>
      </c>
      <c r="Z840">
        <v>0.105</v>
      </c>
      <c r="AA840">
        <v>8.7999999999999995E-2</v>
      </c>
      <c r="AB840">
        <v>0.11600000000000001</v>
      </c>
      <c r="AC840">
        <v>6</v>
      </c>
      <c r="AD840" s="6">
        <v>50</v>
      </c>
      <c r="AE840" s="6">
        <v>0</v>
      </c>
      <c r="AF840" s="6">
        <v>0</v>
      </c>
      <c r="AG840" s="6">
        <v>39.11</v>
      </c>
      <c r="AH840" s="6">
        <v>54.44</v>
      </c>
      <c r="AI840" s="6">
        <f t="shared" si="26"/>
        <v>15.329999999999998</v>
      </c>
      <c r="AJ840" s="5">
        <f t="shared" si="27"/>
        <v>0.28159441587068329</v>
      </c>
    </row>
    <row r="841" spans="1:36">
      <c r="A841" t="s">
        <v>381</v>
      </c>
      <c r="B841" t="s">
        <v>1126</v>
      </c>
      <c r="C841" t="s">
        <v>78</v>
      </c>
      <c r="D841" t="s">
        <v>77</v>
      </c>
      <c r="E841" t="s">
        <v>55</v>
      </c>
      <c r="F841">
        <v>0</v>
      </c>
      <c r="G841">
        <v>1583</v>
      </c>
      <c r="H841">
        <v>1</v>
      </c>
      <c r="I841" t="s">
        <v>173</v>
      </c>
      <c r="J841">
        <v>1</v>
      </c>
      <c r="K841" s="6">
        <v>1.38</v>
      </c>
      <c r="L841" t="s">
        <v>174</v>
      </c>
      <c r="M841">
        <v>0</v>
      </c>
      <c r="N841" t="s">
        <v>175</v>
      </c>
      <c r="O841">
        <v>1</v>
      </c>
      <c r="P841">
        <v>0</v>
      </c>
      <c r="Q841" s="6">
        <v>26.7</v>
      </c>
      <c r="R841">
        <v>0</v>
      </c>
      <c r="S841" s="6">
        <v>0</v>
      </c>
      <c r="T841">
        <v>0</v>
      </c>
      <c r="U841" s="6">
        <v>958</v>
      </c>
      <c r="V841">
        <v>0</v>
      </c>
      <c r="W841">
        <v>0</v>
      </c>
      <c r="X841">
        <v>0</v>
      </c>
      <c r="Y841" s="6">
        <v>44.5</v>
      </c>
      <c r="Z841">
        <v>0.105</v>
      </c>
      <c r="AA841">
        <v>8.7999999999999995E-2</v>
      </c>
      <c r="AB841">
        <v>0.11600000000000001</v>
      </c>
      <c r="AC841">
        <v>6</v>
      </c>
      <c r="AD841" s="6">
        <v>50</v>
      </c>
      <c r="AE841" s="6">
        <v>0</v>
      </c>
      <c r="AF841" s="6">
        <v>0</v>
      </c>
      <c r="AG841" s="6">
        <v>45.81</v>
      </c>
      <c r="AH841" s="6">
        <v>57.71</v>
      </c>
      <c r="AI841" s="6">
        <f t="shared" si="26"/>
        <v>11.899999999999999</v>
      </c>
      <c r="AJ841" s="5">
        <f t="shared" si="27"/>
        <v>0.20620343094784263</v>
      </c>
    </row>
    <row r="842" spans="1:36">
      <c r="A842" t="s">
        <v>459</v>
      </c>
      <c r="B842" t="s">
        <v>1127</v>
      </c>
      <c r="C842" t="s">
        <v>78</v>
      </c>
      <c r="D842" t="s">
        <v>77</v>
      </c>
      <c r="E842" t="s">
        <v>55</v>
      </c>
      <c r="F842">
        <v>0</v>
      </c>
      <c r="G842">
        <v>1583</v>
      </c>
      <c r="H842">
        <v>1</v>
      </c>
      <c r="I842" t="s">
        <v>173</v>
      </c>
      <c r="J842">
        <v>1</v>
      </c>
      <c r="K842" s="6">
        <v>1.38</v>
      </c>
      <c r="L842" t="s">
        <v>174</v>
      </c>
      <c r="M842">
        <v>0</v>
      </c>
      <c r="N842" t="s">
        <v>175</v>
      </c>
      <c r="O842">
        <v>1</v>
      </c>
      <c r="P842">
        <v>0</v>
      </c>
      <c r="Q842" s="6">
        <v>34.6</v>
      </c>
      <c r="R842">
        <v>0</v>
      </c>
      <c r="S842" s="6">
        <v>0</v>
      </c>
      <c r="T842">
        <v>0</v>
      </c>
      <c r="U842" s="6">
        <v>2120</v>
      </c>
      <c r="V842">
        <v>0</v>
      </c>
      <c r="W842">
        <v>0</v>
      </c>
      <c r="X842">
        <v>0</v>
      </c>
      <c r="Y842" s="6">
        <v>44.5</v>
      </c>
      <c r="Z842">
        <v>0.105</v>
      </c>
      <c r="AA842">
        <v>8.7999999999999995E-2</v>
      </c>
      <c r="AB842">
        <v>0.11600000000000001</v>
      </c>
      <c r="AC842">
        <v>6</v>
      </c>
      <c r="AD842" s="6">
        <v>50</v>
      </c>
      <c r="AE842" s="6">
        <v>0</v>
      </c>
      <c r="AF842" s="6">
        <v>0</v>
      </c>
      <c r="AG842" s="6">
        <v>56.93</v>
      </c>
      <c r="AH842" s="6">
        <v>71.62</v>
      </c>
      <c r="AI842" s="6">
        <f t="shared" si="26"/>
        <v>14.690000000000005</v>
      </c>
      <c r="AJ842" s="5">
        <f t="shared" si="27"/>
        <v>0.20511030438425026</v>
      </c>
    </row>
    <row r="843" spans="1:36">
      <c r="A843" t="s">
        <v>431</v>
      </c>
      <c r="B843" t="s">
        <v>1128</v>
      </c>
      <c r="C843" t="s">
        <v>78</v>
      </c>
      <c r="D843" t="s">
        <v>77</v>
      </c>
      <c r="E843" t="s">
        <v>55</v>
      </c>
      <c r="F843">
        <v>0</v>
      </c>
      <c r="G843">
        <v>1583</v>
      </c>
      <c r="H843">
        <v>1</v>
      </c>
      <c r="I843" t="s">
        <v>181</v>
      </c>
      <c r="J843">
        <v>3</v>
      </c>
      <c r="K843" s="6">
        <v>8.9600000000000009</v>
      </c>
      <c r="L843" t="s">
        <v>174</v>
      </c>
      <c r="M843">
        <v>0</v>
      </c>
      <c r="N843" t="s">
        <v>187</v>
      </c>
      <c r="O843">
        <v>2</v>
      </c>
      <c r="P843">
        <v>0</v>
      </c>
      <c r="Q843" s="6">
        <v>48.5</v>
      </c>
      <c r="R843">
        <v>0</v>
      </c>
      <c r="S843" s="6">
        <v>0</v>
      </c>
      <c r="T843">
        <v>0</v>
      </c>
      <c r="U843" s="6">
        <v>1606</v>
      </c>
      <c r="V843">
        <v>0</v>
      </c>
      <c r="W843">
        <v>0</v>
      </c>
      <c r="X843">
        <v>0</v>
      </c>
      <c r="Y843" s="6">
        <v>44.5</v>
      </c>
      <c r="Z843">
        <v>0.105</v>
      </c>
      <c r="AA843">
        <v>8.7999999999999995E-2</v>
      </c>
      <c r="AB843">
        <v>0.11600000000000001</v>
      </c>
      <c r="AC843">
        <v>6</v>
      </c>
      <c r="AD843" s="6">
        <v>60</v>
      </c>
      <c r="AE843" s="6">
        <v>0</v>
      </c>
      <c r="AF843" s="6">
        <v>0</v>
      </c>
      <c r="AG843" s="6">
        <v>96.02</v>
      </c>
      <c r="AH843" s="6">
        <v>120.64</v>
      </c>
      <c r="AI843" s="6">
        <f t="shared" si="26"/>
        <v>24.620000000000005</v>
      </c>
      <c r="AJ843" s="5">
        <f t="shared" si="27"/>
        <v>0.20407824933687008</v>
      </c>
    </row>
    <row r="844" spans="1:36">
      <c r="A844" t="s">
        <v>255</v>
      </c>
      <c r="B844" t="s">
        <v>1129</v>
      </c>
      <c r="C844" t="s">
        <v>78</v>
      </c>
      <c r="D844" t="s">
        <v>77</v>
      </c>
      <c r="E844" t="s">
        <v>55</v>
      </c>
      <c r="F844">
        <v>0</v>
      </c>
      <c r="G844">
        <v>1583</v>
      </c>
      <c r="H844">
        <v>1</v>
      </c>
      <c r="I844" t="s">
        <v>173</v>
      </c>
      <c r="J844">
        <v>1</v>
      </c>
      <c r="K844" s="6">
        <v>2.1800000000000002</v>
      </c>
      <c r="L844" t="s">
        <v>174</v>
      </c>
      <c r="M844">
        <v>0</v>
      </c>
      <c r="N844" t="s">
        <v>272</v>
      </c>
      <c r="O844">
        <v>5</v>
      </c>
      <c r="P844">
        <v>1</v>
      </c>
      <c r="Q844" s="6">
        <v>129.4</v>
      </c>
      <c r="R844">
        <v>1</v>
      </c>
      <c r="S844" s="6">
        <v>1197</v>
      </c>
      <c r="T844">
        <v>0</v>
      </c>
      <c r="U844" s="6">
        <v>2043</v>
      </c>
      <c r="V844">
        <v>0</v>
      </c>
      <c r="W844">
        <v>0</v>
      </c>
      <c r="X844">
        <v>0</v>
      </c>
      <c r="Y844" s="6">
        <v>44.5</v>
      </c>
      <c r="Z844">
        <v>0.105</v>
      </c>
      <c r="AA844">
        <v>8.7999999999999995E-2</v>
      </c>
      <c r="AB844">
        <v>0.11600000000000001</v>
      </c>
      <c r="AC844">
        <v>6</v>
      </c>
      <c r="AD844" s="6">
        <v>50</v>
      </c>
      <c r="AE844" s="6">
        <v>25</v>
      </c>
      <c r="AF844" s="6">
        <v>0</v>
      </c>
      <c r="AG844" s="6">
        <v>148.72999999999999</v>
      </c>
      <c r="AH844" s="6">
        <v>188.58</v>
      </c>
      <c r="AI844" s="6">
        <f t="shared" si="26"/>
        <v>39.850000000000023</v>
      </c>
      <c r="AJ844" s="5">
        <f t="shared" si="27"/>
        <v>0.21131615229610787</v>
      </c>
    </row>
    <row r="845" spans="1:36">
      <c r="A845" t="s">
        <v>436</v>
      </c>
      <c r="B845" t="s">
        <v>1130</v>
      </c>
      <c r="C845" t="s">
        <v>78</v>
      </c>
      <c r="D845" t="s">
        <v>77</v>
      </c>
      <c r="E845" t="s">
        <v>55</v>
      </c>
      <c r="F845">
        <v>0</v>
      </c>
      <c r="G845">
        <v>1583</v>
      </c>
      <c r="H845">
        <v>1</v>
      </c>
      <c r="I845" t="s">
        <v>173</v>
      </c>
      <c r="J845">
        <v>1</v>
      </c>
      <c r="K845" s="6">
        <v>2.63</v>
      </c>
      <c r="L845" t="s">
        <v>174</v>
      </c>
      <c r="M845">
        <v>0</v>
      </c>
      <c r="N845" t="s">
        <v>187</v>
      </c>
      <c r="O845">
        <v>2</v>
      </c>
      <c r="P845">
        <v>0</v>
      </c>
      <c r="Q845" s="6">
        <v>66.3</v>
      </c>
      <c r="R845">
        <v>0</v>
      </c>
      <c r="S845" s="6">
        <v>0</v>
      </c>
      <c r="T845">
        <v>0</v>
      </c>
      <c r="U845" s="6">
        <v>977</v>
      </c>
      <c r="V845">
        <v>0</v>
      </c>
      <c r="W845">
        <v>0</v>
      </c>
      <c r="X845">
        <v>0</v>
      </c>
      <c r="Y845" s="6">
        <v>44.5</v>
      </c>
      <c r="Z845">
        <v>0.105</v>
      </c>
      <c r="AA845">
        <v>8.7999999999999995E-2</v>
      </c>
      <c r="AB845">
        <v>0.11600000000000001</v>
      </c>
      <c r="AC845">
        <v>6</v>
      </c>
      <c r="AD845" s="6">
        <v>50</v>
      </c>
      <c r="AE845" s="6">
        <v>0</v>
      </c>
      <c r="AF845" s="6">
        <v>0</v>
      </c>
      <c r="AG845" s="6">
        <v>53.39</v>
      </c>
      <c r="AH845" s="6">
        <v>71.61</v>
      </c>
      <c r="AI845" s="6">
        <f t="shared" si="26"/>
        <v>18.22</v>
      </c>
      <c r="AJ845" s="5">
        <f t="shared" si="27"/>
        <v>0.25443373830470606</v>
      </c>
    </row>
    <row r="846" spans="1:36">
      <c r="A846" t="s">
        <v>212</v>
      </c>
      <c r="B846" t="s">
        <v>1131</v>
      </c>
      <c r="C846" t="s">
        <v>78</v>
      </c>
      <c r="D846" t="s">
        <v>77</v>
      </c>
      <c r="E846" t="s">
        <v>55</v>
      </c>
      <c r="F846">
        <v>0</v>
      </c>
      <c r="G846">
        <v>1583</v>
      </c>
      <c r="H846">
        <v>1</v>
      </c>
      <c r="I846" t="s">
        <v>220</v>
      </c>
      <c r="J846">
        <v>2</v>
      </c>
      <c r="K846" s="6">
        <v>3.82</v>
      </c>
      <c r="L846" t="s">
        <v>174</v>
      </c>
      <c r="M846">
        <v>0</v>
      </c>
      <c r="N846" t="s">
        <v>182</v>
      </c>
      <c r="O846">
        <v>3</v>
      </c>
      <c r="P846">
        <v>0</v>
      </c>
      <c r="Q846" s="6">
        <v>73</v>
      </c>
      <c r="R846">
        <v>0</v>
      </c>
      <c r="S846" s="6">
        <v>0</v>
      </c>
      <c r="T846">
        <v>0</v>
      </c>
      <c r="U846" s="6">
        <v>1100</v>
      </c>
      <c r="V846">
        <v>0</v>
      </c>
      <c r="W846">
        <v>0</v>
      </c>
      <c r="X846">
        <v>0</v>
      </c>
      <c r="Y846" s="6">
        <v>44.5</v>
      </c>
      <c r="Z846">
        <v>0.105</v>
      </c>
      <c r="AA846">
        <v>8.7999999999999995E-2</v>
      </c>
      <c r="AB846">
        <v>0.11600000000000001</v>
      </c>
      <c r="AC846">
        <v>6</v>
      </c>
      <c r="AD846" s="6">
        <v>50</v>
      </c>
      <c r="AE846" s="6">
        <v>0</v>
      </c>
      <c r="AF846" s="6">
        <v>0</v>
      </c>
      <c r="AG846" s="6">
        <v>65.75</v>
      </c>
      <c r="AH846" s="6">
        <v>84.19</v>
      </c>
      <c r="AI846" s="6">
        <f t="shared" si="26"/>
        <v>18.439999999999998</v>
      </c>
      <c r="AJ846" s="5">
        <f t="shared" si="27"/>
        <v>0.21902838816961631</v>
      </c>
    </row>
    <row r="847" spans="1:36">
      <c r="A847" t="s">
        <v>436</v>
      </c>
      <c r="B847" t="s">
        <v>1132</v>
      </c>
      <c r="C847" t="s">
        <v>78</v>
      </c>
      <c r="D847" t="s">
        <v>77</v>
      </c>
      <c r="E847" t="s">
        <v>55</v>
      </c>
      <c r="F847">
        <v>0</v>
      </c>
      <c r="G847">
        <v>1583</v>
      </c>
      <c r="H847">
        <v>1</v>
      </c>
      <c r="I847" t="s">
        <v>181</v>
      </c>
      <c r="J847">
        <v>3</v>
      </c>
      <c r="K847" s="6">
        <v>11.38</v>
      </c>
      <c r="L847" t="s">
        <v>174</v>
      </c>
      <c r="M847">
        <v>0</v>
      </c>
      <c r="N847" t="s">
        <v>175</v>
      </c>
      <c r="O847">
        <v>1</v>
      </c>
      <c r="P847">
        <v>0</v>
      </c>
      <c r="Q847" s="6">
        <v>36.799999999999997</v>
      </c>
      <c r="R847">
        <v>1</v>
      </c>
      <c r="S847" s="6">
        <v>7454</v>
      </c>
      <c r="T847">
        <v>0</v>
      </c>
      <c r="U847" s="6">
        <v>2154</v>
      </c>
      <c r="V847">
        <v>1</v>
      </c>
      <c r="W847">
        <v>0</v>
      </c>
      <c r="X847">
        <v>0</v>
      </c>
      <c r="Y847" s="6">
        <v>44.5</v>
      </c>
      <c r="Z847">
        <v>0.105</v>
      </c>
      <c r="AA847">
        <v>8.7999999999999995E-2</v>
      </c>
      <c r="AB847">
        <v>0.11600000000000001</v>
      </c>
      <c r="AC847">
        <v>6</v>
      </c>
      <c r="AD847" s="6">
        <v>60</v>
      </c>
      <c r="AE847" s="6">
        <v>50</v>
      </c>
      <c r="AF847" s="6">
        <v>0</v>
      </c>
      <c r="AG847" s="6">
        <v>148.53</v>
      </c>
      <c r="AH847" s="6">
        <v>188.09</v>
      </c>
      <c r="AI847" s="6">
        <f t="shared" si="26"/>
        <v>39.56</v>
      </c>
      <c r="AJ847" s="5">
        <f t="shared" si="27"/>
        <v>0.21032484448934022</v>
      </c>
    </row>
    <row r="848" spans="1:36">
      <c r="A848" t="s">
        <v>362</v>
      </c>
      <c r="B848" t="s">
        <v>1133</v>
      </c>
      <c r="C848" t="s">
        <v>78</v>
      </c>
      <c r="D848" t="s">
        <v>77</v>
      </c>
      <c r="E848" t="s">
        <v>55</v>
      </c>
      <c r="F848">
        <v>0</v>
      </c>
      <c r="G848">
        <v>1583</v>
      </c>
      <c r="H848">
        <v>1</v>
      </c>
      <c r="I848" t="s">
        <v>173</v>
      </c>
      <c r="J848">
        <v>1</v>
      </c>
      <c r="K848" s="6">
        <v>2.2000000000000002</v>
      </c>
      <c r="L848" t="s">
        <v>174</v>
      </c>
      <c r="M848">
        <v>0</v>
      </c>
      <c r="N848" t="s">
        <v>187</v>
      </c>
      <c r="O848">
        <v>2</v>
      </c>
      <c r="P848">
        <v>0</v>
      </c>
      <c r="Q848" s="6">
        <v>37.1</v>
      </c>
      <c r="R848">
        <v>0</v>
      </c>
      <c r="S848" s="6">
        <v>0</v>
      </c>
      <c r="T848">
        <v>0</v>
      </c>
      <c r="U848" s="6">
        <v>6293</v>
      </c>
      <c r="V848">
        <v>0</v>
      </c>
      <c r="W848">
        <v>0</v>
      </c>
      <c r="X848">
        <v>0</v>
      </c>
      <c r="Y848" s="6">
        <v>44.5</v>
      </c>
      <c r="Z848">
        <v>0.105</v>
      </c>
      <c r="AA848">
        <v>8.7999999999999995E-2</v>
      </c>
      <c r="AB848">
        <v>0.11600000000000001</v>
      </c>
      <c r="AC848">
        <v>6</v>
      </c>
      <c r="AD848" s="6">
        <v>50</v>
      </c>
      <c r="AE848" s="6">
        <v>0</v>
      </c>
      <c r="AF848" s="6">
        <v>0</v>
      </c>
      <c r="AG848" s="6">
        <v>53.37</v>
      </c>
      <c r="AH848" s="6">
        <v>67.599999999999994</v>
      </c>
      <c r="AI848" s="6">
        <f t="shared" si="26"/>
        <v>14.229999999999997</v>
      </c>
      <c r="AJ848" s="5">
        <f t="shared" si="27"/>
        <v>0.21050295857988163</v>
      </c>
    </row>
    <row r="849" spans="1:36">
      <c r="A849" t="s">
        <v>274</v>
      </c>
      <c r="B849" t="s">
        <v>1134</v>
      </c>
      <c r="C849" t="s">
        <v>78</v>
      </c>
      <c r="D849" t="s">
        <v>77</v>
      </c>
      <c r="E849" t="s">
        <v>55</v>
      </c>
      <c r="F849">
        <v>0</v>
      </c>
      <c r="G849">
        <v>1583</v>
      </c>
      <c r="H849">
        <v>1</v>
      </c>
      <c r="I849" t="s">
        <v>173</v>
      </c>
      <c r="J849">
        <v>1</v>
      </c>
      <c r="K849" s="6">
        <v>1.41</v>
      </c>
      <c r="L849" t="s">
        <v>174</v>
      </c>
      <c r="M849">
        <v>0</v>
      </c>
      <c r="N849" t="s">
        <v>175</v>
      </c>
      <c r="O849">
        <v>1</v>
      </c>
      <c r="P849">
        <v>0</v>
      </c>
      <c r="Q849" s="6">
        <v>28.6</v>
      </c>
      <c r="R849">
        <v>0</v>
      </c>
      <c r="S849" s="6">
        <v>0</v>
      </c>
      <c r="T849">
        <v>0</v>
      </c>
      <c r="U849" s="6">
        <v>689</v>
      </c>
      <c r="V849">
        <v>0</v>
      </c>
      <c r="W849">
        <v>0</v>
      </c>
      <c r="X849">
        <v>0</v>
      </c>
      <c r="Y849" s="6">
        <v>44.5</v>
      </c>
      <c r="Z849">
        <v>0.105</v>
      </c>
      <c r="AA849">
        <v>8.7999999999999995E-2</v>
      </c>
      <c r="AB849">
        <v>0.11600000000000001</v>
      </c>
      <c r="AC849">
        <v>6</v>
      </c>
      <c r="AD849" s="6">
        <v>50</v>
      </c>
      <c r="AE849" s="6">
        <v>0</v>
      </c>
      <c r="AF849" s="6">
        <v>0</v>
      </c>
      <c r="AG849" s="6">
        <v>49.51</v>
      </c>
      <c r="AH849" s="6">
        <v>64.489999999999995</v>
      </c>
      <c r="AI849" s="6">
        <f t="shared" si="26"/>
        <v>14.979999999999997</v>
      </c>
      <c r="AJ849" s="5">
        <f t="shared" si="27"/>
        <v>0.23228407505039539</v>
      </c>
    </row>
    <row r="850" spans="1:36">
      <c r="A850" t="s">
        <v>291</v>
      </c>
      <c r="B850" t="s">
        <v>1135</v>
      </c>
      <c r="C850" t="s">
        <v>78</v>
      </c>
      <c r="D850" t="s">
        <v>77</v>
      </c>
      <c r="E850" t="s">
        <v>55</v>
      </c>
      <c r="F850">
        <v>0</v>
      </c>
      <c r="G850">
        <v>1583</v>
      </c>
      <c r="H850">
        <v>1</v>
      </c>
      <c r="I850" t="s">
        <v>173</v>
      </c>
      <c r="J850">
        <v>1</v>
      </c>
      <c r="K850" s="6">
        <v>1.7</v>
      </c>
      <c r="L850" t="s">
        <v>174</v>
      </c>
      <c r="M850">
        <v>0</v>
      </c>
      <c r="N850" t="s">
        <v>175</v>
      </c>
      <c r="O850">
        <v>1</v>
      </c>
      <c r="P850">
        <v>0</v>
      </c>
      <c r="Q850" s="6">
        <v>38.5</v>
      </c>
      <c r="R850">
        <v>0</v>
      </c>
      <c r="S850" s="6">
        <v>0</v>
      </c>
      <c r="T850">
        <v>0</v>
      </c>
      <c r="U850" s="6">
        <v>654</v>
      </c>
      <c r="V850">
        <v>0</v>
      </c>
      <c r="W850">
        <v>0</v>
      </c>
      <c r="X850">
        <v>0</v>
      </c>
      <c r="Y850" s="6">
        <v>44.5</v>
      </c>
      <c r="Z850">
        <v>0.105</v>
      </c>
      <c r="AA850">
        <v>8.7999999999999995E-2</v>
      </c>
      <c r="AB850">
        <v>0.11600000000000001</v>
      </c>
      <c r="AC850">
        <v>6</v>
      </c>
      <c r="AD850" s="6">
        <v>50</v>
      </c>
      <c r="AE850" s="6">
        <v>0</v>
      </c>
      <c r="AF850" s="6">
        <v>0</v>
      </c>
      <c r="AG850" s="6">
        <v>46.02</v>
      </c>
      <c r="AH850" s="6">
        <v>58.78</v>
      </c>
      <c r="AI850" s="6">
        <f t="shared" si="26"/>
        <v>12.759999999999998</v>
      </c>
      <c r="AJ850" s="5">
        <f t="shared" si="27"/>
        <v>0.21708063967335825</v>
      </c>
    </row>
    <row r="851" spans="1:36">
      <c r="A851" t="s">
        <v>375</v>
      </c>
      <c r="B851" t="s">
        <v>1136</v>
      </c>
      <c r="C851" t="s">
        <v>78</v>
      </c>
      <c r="D851" t="s">
        <v>77</v>
      </c>
      <c r="E851" t="s">
        <v>55</v>
      </c>
      <c r="F851">
        <v>0</v>
      </c>
      <c r="G851">
        <v>1583</v>
      </c>
      <c r="H851">
        <v>1</v>
      </c>
      <c r="I851" t="s">
        <v>173</v>
      </c>
      <c r="J851">
        <v>1</v>
      </c>
      <c r="K851" s="6">
        <v>2.25</v>
      </c>
      <c r="L851" t="s">
        <v>174</v>
      </c>
      <c r="M851">
        <v>0</v>
      </c>
      <c r="N851" t="s">
        <v>217</v>
      </c>
      <c r="O851">
        <v>4</v>
      </c>
      <c r="P851">
        <v>1</v>
      </c>
      <c r="Q851" s="6">
        <v>172.7</v>
      </c>
      <c r="R851">
        <v>0</v>
      </c>
      <c r="S851" s="6">
        <v>0</v>
      </c>
      <c r="T851">
        <v>0</v>
      </c>
      <c r="U851" s="6">
        <v>1087</v>
      </c>
      <c r="V851">
        <v>0</v>
      </c>
      <c r="W851">
        <v>0</v>
      </c>
      <c r="X851">
        <v>0</v>
      </c>
      <c r="Y851" s="6">
        <v>44.5</v>
      </c>
      <c r="Z851">
        <v>0.105</v>
      </c>
      <c r="AA851">
        <v>8.7999999999999995E-2</v>
      </c>
      <c r="AB851">
        <v>0.11600000000000001</v>
      </c>
      <c r="AC851">
        <v>6</v>
      </c>
      <c r="AD851" s="6">
        <v>50</v>
      </c>
      <c r="AE851" s="6">
        <v>0</v>
      </c>
      <c r="AF851" s="6">
        <v>0</v>
      </c>
      <c r="AG851" s="6">
        <v>98.41</v>
      </c>
      <c r="AH851" s="6">
        <v>125.73</v>
      </c>
      <c r="AI851" s="6">
        <f t="shared" si="26"/>
        <v>27.320000000000007</v>
      </c>
      <c r="AJ851" s="5">
        <f t="shared" si="27"/>
        <v>0.21729102044062679</v>
      </c>
    </row>
    <row r="852" spans="1:36">
      <c r="A852" t="s">
        <v>208</v>
      </c>
      <c r="B852" t="s">
        <v>1137</v>
      </c>
      <c r="C852" t="s">
        <v>78</v>
      </c>
      <c r="D852" t="s">
        <v>77</v>
      </c>
      <c r="E852" t="s">
        <v>55</v>
      </c>
      <c r="F852">
        <v>0</v>
      </c>
      <c r="G852">
        <v>1583</v>
      </c>
      <c r="H852">
        <v>1</v>
      </c>
      <c r="I852" t="s">
        <v>173</v>
      </c>
      <c r="J852">
        <v>1</v>
      </c>
      <c r="K852" s="6">
        <v>2.39</v>
      </c>
      <c r="L852" t="s">
        <v>174</v>
      </c>
      <c r="M852">
        <v>0</v>
      </c>
      <c r="N852" t="s">
        <v>217</v>
      </c>
      <c r="O852">
        <v>4</v>
      </c>
      <c r="P852">
        <v>1</v>
      </c>
      <c r="Q852" s="6">
        <v>166.7</v>
      </c>
      <c r="R852">
        <v>1</v>
      </c>
      <c r="S852" s="6">
        <v>3768</v>
      </c>
      <c r="T852">
        <v>0</v>
      </c>
      <c r="U852" s="6">
        <v>1409</v>
      </c>
      <c r="V852">
        <v>0</v>
      </c>
      <c r="W852">
        <v>0</v>
      </c>
      <c r="X852">
        <v>0</v>
      </c>
      <c r="Y852" s="6">
        <v>44.5</v>
      </c>
      <c r="Z852">
        <v>0.105</v>
      </c>
      <c r="AA852">
        <v>8.7999999999999995E-2</v>
      </c>
      <c r="AB852">
        <v>0.11600000000000001</v>
      </c>
      <c r="AC852">
        <v>6</v>
      </c>
      <c r="AD852" s="6">
        <v>50</v>
      </c>
      <c r="AE852" s="6">
        <v>40</v>
      </c>
      <c r="AF852" s="6">
        <v>0</v>
      </c>
      <c r="AG852" s="6">
        <v>107.25</v>
      </c>
      <c r="AH852" s="6">
        <v>135.13999999999999</v>
      </c>
      <c r="AI852" s="6">
        <f t="shared" si="26"/>
        <v>27.889999999999986</v>
      </c>
      <c r="AJ852" s="5">
        <f t="shared" si="27"/>
        <v>0.20637857037146654</v>
      </c>
    </row>
    <row r="853" spans="1:36">
      <c r="A853" t="s">
        <v>221</v>
      </c>
      <c r="B853" t="s">
        <v>1138</v>
      </c>
      <c r="C853" t="s">
        <v>78</v>
      </c>
      <c r="D853" t="s">
        <v>77</v>
      </c>
      <c r="E853" t="s">
        <v>55</v>
      </c>
      <c r="F853">
        <v>0</v>
      </c>
      <c r="G853">
        <v>1583</v>
      </c>
      <c r="H853">
        <v>1</v>
      </c>
      <c r="I853" t="s">
        <v>173</v>
      </c>
      <c r="J853">
        <v>1</v>
      </c>
      <c r="K853" s="6">
        <v>1.67</v>
      </c>
      <c r="L853" t="s">
        <v>174</v>
      </c>
      <c r="M853">
        <v>0</v>
      </c>
      <c r="N853" t="s">
        <v>175</v>
      </c>
      <c r="O853">
        <v>1</v>
      </c>
      <c r="P853">
        <v>0</v>
      </c>
      <c r="Q853" s="6">
        <v>31.4</v>
      </c>
      <c r="R853">
        <v>0</v>
      </c>
      <c r="S853" s="6">
        <v>0</v>
      </c>
      <c r="T853">
        <v>0</v>
      </c>
      <c r="U853" s="6">
        <v>1851</v>
      </c>
      <c r="V853">
        <v>0</v>
      </c>
      <c r="W853">
        <v>0</v>
      </c>
      <c r="X853">
        <v>0</v>
      </c>
      <c r="Y853" s="6">
        <v>44.5</v>
      </c>
      <c r="Z853">
        <v>0.105</v>
      </c>
      <c r="AA853">
        <v>8.7999999999999995E-2</v>
      </c>
      <c r="AB853">
        <v>0.11600000000000001</v>
      </c>
      <c r="AC853">
        <v>6</v>
      </c>
      <c r="AD853" s="6">
        <v>50</v>
      </c>
      <c r="AE853" s="6">
        <v>0</v>
      </c>
      <c r="AF853" s="6">
        <v>0</v>
      </c>
      <c r="AG853" s="6">
        <v>48.3</v>
      </c>
      <c r="AH853" s="6">
        <v>62.61</v>
      </c>
      <c r="AI853" s="6">
        <f t="shared" si="26"/>
        <v>14.310000000000002</v>
      </c>
      <c r="AJ853" s="5">
        <f t="shared" si="27"/>
        <v>0.22855773838045046</v>
      </c>
    </row>
    <row r="854" spans="1:36">
      <c r="A854" t="s">
        <v>517</v>
      </c>
      <c r="B854" t="s">
        <v>1139</v>
      </c>
      <c r="C854" t="s">
        <v>78</v>
      </c>
      <c r="D854" t="s">
        <v>77</v>
      </c>
      <c r="E854" t="s">
        <v>55</v>
      </c>
      <c r="F854">
        <v>0</v>
      </c>
      <c r="G854">
        <v>1583</v>
      </c>
      <c r="H854">
        <v>1</v>
      </c>
      <c r="I854" t="s">
        <v>173</v>
      </c>
      <c r="J854">
        <v>1</v>
      </c>
      <c r="K854" s="6">
        <v>1.56</v>
      </c>
      <c r="L854" t="s">
        <v>174</v>
      </c>
      <c r="M854">
        <v>0</v>
      </c>
      <c r="N854" t="s">
        <v>175</v>
      </c>
      <c r="O854">
        <v>1</v>
      </c>
      <c r="P854">
        <v>0</v>
      </c>
      <c r="Q854" s="6">
        <v>35.299999999999997</v>
      </c>
      <c r="R854">
        <v>0</v>
      </c>
      <c r="S854" s="6">
        <v>0</v>
      </c>
      <c r="T854">
        <v>0</v>
      </c>
      <c r="U854" s="6">
        <v>462</v>
      </c>
      <c r="V854">
        <v>0</v>
      </c>
      <c r="W854">
        <v>0</v>
      </c>
      <c r="X854">
        <v>0</v>
      </c>
      <c r="Y854" s="6">
        <v>44.5</v>
      </c>
      <c r="Z854">
        <v>0.105</v>
      </c>
      <c r="AA854">
        <v>8.7999999999999995E-2</v>
      </c>
      <c r="AB854">
        <v>0.11600000000000001</v>
      </c>
      <c r="AC854">
        <v>6</v>
      </c>
      <c r="AD854" s="6">
        <v>50</v>
      </c>
      <c r="AE854" s="6">
        <v>0</v>
      </c>
      <c r="AF854" s="6">
        <v>0</v>
      </c>
      <c r="AG854" s="6">
        <v>45.29</v>
      </c>
      <c r="AH854" s="6">
        <v>59.47</v>
      </c>
      <c r="AI854" s="6">
        <f t="shared" si="26"/>
        <v>14.18</v>
      </c>
      <c r="AJ854" s="5">
        <f t="shared" si="27"/>
        <v>0.23843954935261477</v>
      </c>
    </row>
    <row r="855" spans="1:36">
      <c r="A855" t="s">
        <v>403</v>
      </c>
      <c r="B855" t="s">
        <v>1140</v>
      </c>
      <c r="C855" t="s">
        <v>78</v>
      </c>
      <c r="D855" t="s">
        <v>77</v>
      </c>
      <c r="E855" t="s">
        <v>55</v>
      </c>
      <c r="F855">
        <v>0</v>
      </c>
      <c r="G855">
        <v>1583</v>
      </c>
      <c r="H855">
        <v>1</v>
      </c>
      <c r="I855" t="s">
        <v>181</v>
      </c>
      <c r="J855">
        <v>3</v>
      </c>
      <c r="K855" s="6">
        <v>10.050000000000001</v>
      </c>
      <c r="L855" t="s">
        <v>174</v>
      </c>
      <c r="M855">
        <v>0</v>
      </c>
      <c r="N855" t="s">
        <v>182</v>
      </c>
      <c r="O855">
        <v>3</v>
      </c>
      <c r="P855">
        <v>0</v>
      </c>
      <c r="Q855" s="6">
        <v>134.4</v>
      </c>
      <c r="R855">
        <v>0</v>
      </c>
      <c r="S855" s="6">
        <v>0</v>
      </c>
      <c r="T855">
        <v>0</v>
      </c>
      <c r="U855" s="6">
        <v>1621</v>
      </c>
      <c r="V855">
        <v>0</v>
      </c>
      <c r="W855">
        <v>0</v>
      </c>
      <c r="X855">
        <v>0</v>
      </c>
      <c r="Y855" s="6">
        <v>44.5</v>
      </c>
      <c r="Z855">
        <v>0.105</v>
      </c>
      <c r="AA855">
        <v>8.7999999999999995E-2</v>
      </c>
      <c r="AB855">
        <v>0.11600000000000001</v>
      </c>
      <c r="AC855">
        <v>6</v>
      </c>
      <c r="AD855" s="6">
        <v>60</v>
      </c>
      <c r="AE855" s="6">
        <v>0</v>
      </c>
      <c r="AF855" s="6">
        <v>0</v>
      </c>
      <c r="AG855" s="6">
        <v>106.92</v>
      </c>
      <c r="AH855" s="6">
        <v>137.93</v>
      </c>
      <c r="AI855" s="6">
        <f t="shared" si="26"/>
        <v>31.010000000000005</v>
      </c>
      <c r="AJ855" s="5">
        <f t="shared" si="27"/>
        <v>0.22482418618139638</v>
      </c>
    </row>
    <row r="856" spans="1:36">
      <c r="A856" t="s">
        <v>323</v>
      </c>
      <c r="B856" t="s">
        <v>1141</v>
      </c>
      <c r="C856" t="s">
        <v>78</v>
      </c>
      <c r="D856" t="s">
        <v>77</v>
      </c>
      <c r="E856" t="s">
        <v>55</v>
      </c>
      <c r="F856">
        <v>0</v>
      </c>
      <c r="G856">
        <v>1583</v>
      </c>
      <c r="H856">
        <v>1</v>
      </c>
      <c r="I856" t="s">
        <v>181</v>
      </c>
      <c r="J856">
        <v>3</v>
      </c>
      <c r="K856" s="6">
        <v>8.07</v>
      </c>
      <c r="L856" t="s">
        <v>174</v>
      </c>
      <c r="M856">
        <v>0</v>
      </c>
      <c r="N856" t="s">
        <v>182</v>
      </c>
      <c r="O856">
        <v>3</v>
      </c>
      <c r="P856">
        <v>1</v>
      </c>
      <c r="Q856" s="6">
        <v>138.4</v>
      </c>
      <c r="R856">
        <v>0</v>
      </c>
      <c r="S856" s="6">
        <v>0</v>
      </c>
      <c r="T856">
        <v>0</v>
      </c>
      <c r="U856" s="6">
        <v>1919</v>
      </c>
      <c r="V856">
        <v>0</v>
      </c>
      <c r="W856">
        <v>0</v>
      </c>
      <c r="X856">
        <v>0</v>
      </c>
      <c r="Y856" s="6">
        <v>44.5</v>
      </c>
      <c r="Z856">
        <v>0.105</v>
      </c>
      <c r="AA856">
        <v>8.7999999999999995E-2</v>
      </c>
      <c r="AB856">
        <v>0.11600000000000001</v>
      </c>
      <c r="AC856">
        <v>6</v>
      </c>
      <c r="AD856" s="6">
        <v>60</v>
      </c>
      <c r="AE856" s="6">
        <v>0</v>
      </c>
      <c r="AF856" s="6">
        <v>0</v>
      </c>
      <c r="AG856" s="6">
        <v>125.99</v>
      </c>
      <c r="AH856" s="6">
        <v>160.41999999999999</v>
      </c>
      <c r="AI856" s="6">
        <f t="shared" si="26"/>
        <v>34.429999999999993</v>
      </c>
      <c r="AJ856" s="5">
        <f t="shared" si="27"/>
        <v>0.2146241117067697</v>
      </c>
    </row>
    <row r="857" spans="1:36">
      <c r="A857" t="s">
        <v>384</v>
      </c>
      <c r="B857" t="s">
        <v>1142</v>
      </c>
      <c r="C857" t="s">
        <v>78</v>
      </c>
      <c r="D857" t="s">
        <v>77</v>
      </c>
      <c r="E857" t="s">
        <v>55</v>
      </c>
      <c r="F857">
        <v>0</v>
      </c>
      <c r="G857">
        <v>1583</v>
      </c>
      <c r="H857">
        <v>1</v>
      </c>
      <c r="I857" t="s">
        <v>173</v>
      </c>
      <c r="J857">
        <v>1</v>
      </c>
      <c r="K857" s="6">
        <v>2.4500000000000002</v>
      </c>
      <c r="L857" t="s">
        <v>174</v>
      </c>
      <c r="M857">
        <v>0</v>
      </c>
      <c r="N857" t="s">
        <v>175</v>
      </c>
      <c r="O857">
        <v>1</v>
      </c>
      <c r="P857">
        <v>0</v>
      </c>
      <c r="Q857" s="6">
        <v>54.3</v>
      </c>
      <c r="R857">
        <v>0</v>
      </c>
      <c r="S857" s="6">
        <v>0</v>
      </c>
      <c r="T857">
        <v>0</v>
      </c>
      <c r="U857" s="6">
        <v>855</v>
      </c>
      <c r="V857">
        <v>0</v>
      </c>
      <c r="W857">
        <v>0</v>
      </c>
      <c r="X857">
        <v>0</v>
      </c>
      <c r="Y857" s="6">
        <v>44.5</v>
      </c>
      <c r="Z857">
        <v>0.105</v>
      </c>
      <c r="AA857">
        <v>8.7999999999999995E-2</v>
      </c>
      <c r="AB857">
        <v>0.11600000000000001</v>
      </c>
      <c r="AC857">
        <v>6</v>
      </c>
      <c r="AD857" s="6">
        <v>50</v>
      </c>
      <c r="AE857" s="6">
        <v>0</v>
      </c>
      <c r="AF857" s="6">
        <v>0</v>
      </c>
      <c r="AG857" s="6">
        <v>50.13</v>
      </c>
      <c r="AH857" s="6">
        <v>66.069999999999993</v>
      </c>
      <c r="AI857" s="6">
        <f t="shared" si="26"/>
        <v>15.939999999999991</v>
      </c>
      <c r="AJ857" s="5">
        <f t="shared" si="27"/>
        <v>0.24125927047071277</v>
      </c>
    </row>
    <row r="858" spans="1:36">
      <c r="A858" t="s">
        <v>185</v>
      </c>
      <c r="B858" t="s">
        <v>1143</v>
      </c>
      <c r="C858" t="s">
        <v>78</v>
      </c>
      <c r="D858" t="s">
        <v>77</v>
      </c>
      <c r="E858" t="s">
        <v>55</v>
      </c>
      <c r="F858">
        <v>0</v>
      </c>
      <c r="G858">
        <v>1583</v>
      </c>
      <c r="H858">
        <v>1</v>
      </c>
      <c r="I858" t="s">
        <v>220</v>
      </c>
      <c r="J858">
        <v>2</v>
      </c>
      <c r="K858" s="6">
        <v>3.96</v>
      </c>
      <c r="L858" t="s">
        <v>174</v>
      </c>
      <c r="M858">
        <v>0</v>
      </c>
      <c r="N858" t="s">
        <v>182</v>
      </c>
      <c r="O858">
        <v>3</v>
      </c>
      <c r="P858">
        <v>0</v>
      </c>
      <c r="Q858" s="6">
        <v>100.7</v>
      </c>
      <c r="R858">
        <v>0</v>
      </c>
      <c r="S858" s="6">
        <v>0</v>
      </c>
      <c r="T858">
        <v>0</v>
      </c>
      <c r="U858" s="6">
        <v>3640</v>
      </c>
      <c r="V858">
        <v>0</v>
      </c>
      <c r="W858">
        <v>0</v>
      </c>
      <c r="X858">
        <v>0</v>
      </c>
      <c r="Y858" s="6">
        <v>44.5</v>
      </c>
      <c r="Z858">
        <v>0.105</v>
      </c>
      <c r="AA858">
        <v>8.7999999999999995E-2</v>
      </c>
      <c r="AB858">
        <v>0.11600000000000001</v>
      </c>
      <c r="AC858">
        <v>6</v>
      </c>
      <c r="AD858" s="6">
        <v>50</v>
      </c>
      <c r="AE858" s="6">
        <v>0</v>
      </c>
      <c r="AF858" s="6">
        <v>0</v>
      </c>
      <c r="AG858" s="6">
        <v>72.84</v>
      </c>
      <c r="AH858" s="6">
        <v>91.61</v>
      </c>
      <c r="AI858" s="6">
        <f t="shared" si="26"/>
        <v>18.769999999999996</v>
      </c>
      <c r="AJ858" s="5">
        <f t="shared" si="27"/>
        <v>0.20489029581923365</v>
      </c>
    </row>
    <row r="859" spans="1:36">
      <c r="A859" t="s">
        <v>293</v>
      </c>
      <c r="B859" t="s">
        <v>1144</v>
      </c>
      <c r="C859" t="s">
        <v>78</v>
      </c>
      <c r="D859" t="s">
        <v>77</v>
      </c>
      <c r="E859" t="s">
        <v>55</v>
      </c>
      <c r="F859">
        <v>0</v>
      </c>
      <c r="G859">
        <v>1583</v>
      </c>
      <c r="H859">
        <v>1</v>
      </c>
      <c r="I859" t="s">
        <v>173</v>
      </c>
      <c r="J859">
        <v>1</v>
      </c>
      <c r="K859" s="6">
        <v>1.82</v>
      </c>
      <c r="L859" t="s">
        <v>174</v>
      </c>
      <c r="M859">
        <v>0</v>
      </c>
      <c r="N859" t="s">
        <v>187</v>
      </c>
      <c r="O859">
        <v>2</v>
      </c>
      <c r="P859">
        <v>0</v>
      </c>
      <c r="Q859" s="6">
        <v>43.8</v>
      </c>
      <c r="R859">
        <v>0</v>
      </c>
      <c r="S859" s="6">
        <v>0</v>
      </c>
      <c r="T859">
        <v>0</v>
      </c>
      <c r="U859" s="6">
        <v>1072</v>
      </c>
      <c r="V859">
        <v>0</v>
      </c>
      <c r="W859">
        <v>0</v>
      </c>
      <c r="X859">
        <v>0</v>
      </c>
      <c r="Y859" s="6">
        <v>44.5</v>
      </c>
      <c r="Z859">
        <v>0.105</v>
      </c>
      <c r="AA859">
        <v>8.7999999999999995E-2</v>
      </c>
      <c r="AB859">
        <v>0.11600000000000001</v>
      </c>
      <c r="AC859">
        <v>6</v>
      </c>
      <c r="AD859" s="6">
        <v>50</v>
      </c>
      <c r="AE859" s="6">
        <v>0</v>
      </c>
      <c r="AF859" s="6">
        <v>0</v>
      </c>
      <c r="AG859" s="6">
        <v>57.02</v>
      </c>
      <c r="AH859" s="6">
        <v>72.73</v>
      </c>
      <c r="AI859" s="6">
        <f t="shared" si="26"/>
        <v>15.71</v>
      </c>
      <c r="AJ859" s="5">
        <f t="shared" si="27"/>
        <v>0.21600439983500619</v>
      </c>
    </row>
    <row r="860" spans="1:36">
      <c r="A860" t="s">
        <v>266</v>
      </c>
      <c r="B860" t="s">
        <v>1145</v>
      </c>
      <c r="C860" t="s">
        <v>78</v>
      </c>
      <c r="D860" t="s">
        <v>77</v>
      </c>
      <c r="E860" t="s">
        <v>55</v>
      </c>
      <c r="F860">
        <v>0</v>
      </c>
      <c r="G860">
        <v>1583</v>
      </c>
      <c r="H860">
        <v>1</v>
      </c>
      <c r="I860" t="s">
        <v>173</v>
      </c>
      <c r="J860">
        <v>1</v>
      </c>
      <c r="K860" s="6">
        <v>2.04</v>
      </c>
      <c r="L860" t="s">
        <v>174</v>
      </c>
      <c r="M860">
        <v>0</v>
      </c>
      <c r="N860" t="s">
        <v>175</v>
      </c>
      <c r="O860">
        <v>1</v>
      </c>
      <c r="P860">
        <v>0</v>
      </c>
      <c r="Q860" s="6">
        <v>29.1</v>
      </c>
      <c r="R860">
        <v>0</v>
      </c>
      <c r="S860" s="6">
        <v>0</v>
      </c>
      <c r="T860">
        <v>0</v>
      </c>
      <c r="U860" s="6">
        <v>1500</v>
      </c>
      <c r="V860">
        <v>0</v>
      </c>
      <c r="W860">
        <v>0</v>
      </c>
      <c r="X860">
        <v>0</v>
      </c>
      <c r="Y860" s="6">
        <v>44.5</v>
      </c>
      <c r="Z860">
        <v>0.105</v>
      </c>
      <c r="AA860">
        <v>8.7999999999999995E-2</v>
      </c>
      <c r="AB860">
        <v>0.11600000000000001</v>
      </c>
      <c r="AC860">
        <v>6</v>
      </c>
      <c r="AD860" s="6">
        <v>50</v>
      </c>
      <c r="AE860" s="6">
        <v>0</v>
      </c>
      <c r="AF860" s="6">
        <v>0</v>
      </c>
      <c r="AG860" s="6">
        <v>53.15</v>
      </c>
      <c r="AH860" s="6">
        <v>67.040000000000006</v>
      </c>
      <c r="AI860" s="6">
        <f t="shared" si="26"/>
        <v>13.890000000000008</v>
      </c>
      <c r="AJ860" s="5">
        <f t="shared" si="27"/>
        <v>0.20718973747016717</v>
      </c>
    </row>
    <row r="861" spans="1:36">
      <c r="A861" t="s">
        <v>240</v>
      </c>
      <c r="B861" t="s">
        <v>1146</v>
      </c>
      <c r="C861" t="s">
        <v>78</v>
      </c>
      <c r="D861" t="s">
        <v>77</v>
      </c>
      <c r="E861" t="s">
        <v>55</v>
      </c>
      <c r="F861">
        <v>0</v>
      </c>
      <c r="G861">
        <v>1583</v>
      </c>
      <c r="H861">
        <v>1</v>
      </c>
      <c r="I861" t="s">
        <v>220</v>
      </c>
      <c r="J861">
        <v>2</v>
      </c>
      <c r="K861" s="6">
        <v>2.36</v>
      </c>
      <c r="L861" t="s">
        <v>174</v>
      </c>
      <c r="M861">
        <v>0</v>
      </c>
      <c r="N861" t="s">
        <v>187</v>
      </c>
      <c r="O861">
        <v>2</v>
      </c>
      <c r="P861">
        <v>0</v>
      </c>
      <c r="Q861" s="6">
        <v>35.1</v>
      </c>
      <c r="R861">
        <v>0</v>
      </c>
      <c r="S861" s="6">
        <v>0</v>
      </c>
      <c r="T861">
        <v>0</v>
      </c>
      <c r="U861" s="6">
        <v>1427</v>
      </c>
      <c r="V861">
        <v>0</v>
      </c>
      <c r="W861">
        <v>0</v>
      </c>
      <c r="X861">
        <v>0</v>
      </c>
      <c r="Y861" s="6">
        <v>44.5</v>
      </c>
      <c r="Z861">
        <v>0.105</v>
      </c>
      <c r="AA861">
        <v>8.7999999999999995E-2</v>
      </c>
      <c r="AB861">
        <v>0.11600000000000001</v>
      </c>
      <c r="AC861">
        <v>6</v>
      </c>
      <c r="AD861" s="6">
        <v>50</v>
      </c>
      <c r="AE861" s="6">
        <v>0</v>
      </c>
      <c r="AF861" s="6">
        <v>0</v>
      </c>
      <c r="AG861" s="6">
        <v>61.1</v>
      </c>
      <c r="AH861" s="6">
        <v>76.930000000000007</v>
      </c>
      <c r="AI861" s="6">
        <f t="shared" si="26"/>
        <v>15.830000000000005</v>
      </c>
      <c r="AJ861" s="5">
        <f t="shared" si="27"/>
        <v>0.20577148056674904</v>
      </c>
    </row>
    <row r="862" spans="1:36">
      <c r="A862" t="s">
        <v>258</v>
      </c>
      <c r="B862" t="s">
        <v>1147</v>
      </c>
      <c r="C862" t="s">
        <v>78</v>
      </c>
      <c r="D862" t="s">
        <v>77</v>
      </c>
      <c r="E862" t="s">
        <v>55</v>
      </c>
      <c r="F862">
        <v>0</v>
      </c>
      <c r="G862">
        <v>1583</v>
      </c>
      <c r="H862">
        <v>1</v>
      </c>
      <c r="I862" t="s">
        <v>173</v>
      </c>
      <c r="J862">
        <v>1</v>
      </c>
      <c r="K862" s="6">
        <v>1.93</v>
      </c>
      <c r="L862" t="s">
        <v>174</v>
      </c>
      <c r="M862">
        <v>0</v>
      </c>
      <c r="N862" t="s">
        <v>187</v>
      </c>
      <c r="O862">
        <v>2</v>
      </c>
      <c r="P862">
        <v>0</v>
      </c>
      <c r="Q862" s="6">
        <v>84.3</v>
      </c>
      <c r="R862">
        <v>0</v>
      </c>
      <c r="S862" s="6">
        <v>0</v>
      </c>
      <c r="T862">
        <v>0</v>
      </c>
      <c r="U862" s="6">
        <v>2838</v>
      </c>
      <c r="V862">
        <v>0</v>
      </c>
      <c r="W862">
        <v>0</v>
      </c>
      <c r="X862">
        <v>0</v>
      </c>
      <c r="Y862" s="6">
        <v>44.5</v>
      </c>
      <c r="Z862">
        <v>0.105</v>
      </c>
      <c r="AA862">
        <v>8.7999999999999995E-2</v>
      </c>
      <c r="AB862">
        <v>0.11600000000000001</v>
      </c>
      <c r="AC862">
        <v>6</v>
      </c>
      <c r="AD862" s="6">
        <v>50</v>
      </c>
      <c r="AE862" s="6">
        <v>0</v>
      </c>
      <c r="AF862" s="6">
        <v>0</v>
      </c>
      <c r="AG862" s="6">
        <v>60.66</v>
      </c>
      <c r="AH862" s="6">
        <v>80.28</v>
      </c>
      <c r="AI862" s="6">
        <f t="shared" si="26"/>
        <v>19.620000000000005</v>
      </c>
      <c r="AJ862" s="5">
        <f t="shared" si="27"/>
        <v>0.24439461883408076</v>
      </c>
    </row>
    <row r="863" spans="1:36">
      <c r="A863" t="s">
        <v>372</v>
      </c>
      <c r="B863" t="s">
        <v>1148</v>
      </c>
      <c r="C863" t="s">
        <v>78</v>
      </c>
      <c r="D863" t="s">
        <v>77</v>
      </c>
      <c r="E863" t="s">
        <v>55</v>
      </c>
      <c r="F863">
        <v>0</v>
      </c>
      <c r="G863">
        <v>1583</v>
      </c>
      <c r="H863">
        <v>1</v>
      </c>
      <c r="I863" t="s">
        <v>181</v>
      </c>
      <c r="J863">
        <v>3</v>
      </c>
      <c r="K863" s="6">
        <v>7.14</v>
      </c>
      <c r="L863" t="s">
        <v>174</v>
      </c>
      <c r="M863">
        <v>0</v>
      </c>
      <c r="N863" t="s">
        <v>175</v>
      </c>
      <c r="O863">
        <v>1</v>
      </c>
      <c r="P863">
        <v>0</v>
      </c>
      <c r="Q863" s="6">
        <v>23.3</v>
      </c>
      <c r="R863">
        <v>0</v>
      </c>
      <c r="S863" s="6">
        <v>0</v>
      </c>
      <c r="T863">
        <v>0</v>
      </c>
      <c r="U863" s="6">
        <v>1759</v>
      </c>
      <c r="V863">
        <v>0</v>
      </c>
      <c r="W863">
        <v>0</v>
      </c>
      <c r="X863">
        <v>0</v>
      </c>
      <c r="Y863" s="6">
        <v>44.5</v>
      </c>
      <c r="Z863">
        <v>0.105</v>
      </c>
      <c r="AA863">
        <v>8.7999999999999995E-2</v>
      </c>
      <c r="AB863">
        <v>0.11600000000000001</v>
      </c>
      <c r="AC863">
        <v>6</v>
      </c>
      <c r="AD863" s="6">
        <v>60</v>
      </c>
      <c r="AE863" s="6">
        <v>0</v>
      </c>
      <c r="AF863" s="6">
        <v>0</v>
      </c>
      <c r="AG863" s="6">
        <v>78.97</v>
      </c>
      <c r="AH863" s="6">
        <v>103.05</v>
      </c>
      <c r="AI863" s="6">
        <f t="shared" si="26"/>
        <v>24.08</v>
      </c>
      <c r="AJ863" s="5">
        <f t="shared" si="27"/>
        <v>0.23367297428432798</v>
      </c>
    </row>
    <row r="864" spans="1:36">
      <c r="A864" t="s">
        <v>459</v>
      </c>
      <c r="B864" t="s">
        <v>1149</v>
      </c>
      <c r="C864" t="s">
        <v>78</v>
      </c>
      <c r="D864" t="s">
        <v>77</v>
      </c>
      <c r="E864" t="s">
        <v>55</v>
      </c>
      <c r="F864">
        <v>0</v>
      </c>
      <c r="G864">
        <v>1583</v>
      </c>
      <c r="H864">
        <v>1</v>
      </c>
      <c r="I864" t="s">
        <v>173</v>
      </c>
      <c r="J864">
        <v>1</v>
      </c>
      <c r="K864" s="6">
        <v>1.97</v>
      </c>
      <c r="L864" t="s">
        <v>174</v>
      </c>
      <c r="M864">
        <v>0</v>
      </c>
      <c r="N864" t="s">
        <v>187</v>
      </c>
      <c r="O864">
        <v>2</v>
      </c>
      <c r="P864">
        <v>0</v>
      </c>
      <c r="Q864" s="6">
        <v>60.5</v>
      </c>
      <c r="R864">
        <v>0</v>
      </c>
      <c r="S864" s="6">
        <v>0</v>
      </c>
      <c r="T864">
        <v>0</v>
      </c>
      <c r="U864" s="6">
        <v>1036</v>
      </c>
      <c r="V864">
        <v>0</v>
      </c>
      <c r="W864">
        <v>0</v>
      </c>
      <c r="X864">
        <v>0</v>
      </c>
      <c r="Y864" s="6">
        <v>44.5</v>
      </c>
      <c r="Z864">
        <v>0.105</v>
      </c>
      <c r="AA864">
        <v>8.7999999999999995E-2</v>
      </c>
      <c r="AB864">
        <v>0.11600000000000001</v>
      </c>
      <c r="AC864">
        <v>6</v>
      </c>
      <c r="AD864" s="6">
        <v>50</v>
      </c>
      <c r="AE864" s="6">
        <v>0</v>
      </c>
      <c r="AF864" s="6">
        <v>0</v>
      </c>
      <c r="AG864" s="6">
        <v>60.5</v>
      </c>
      <c r="AH864" s="6">
        <v>76.37</v>
      </c>
      <c r="AI864" s="6">
        <f t="shared" si="26"/>
        <v>15.870000000000005</v>
      </c>
      <c r="AJ864" s="5">
        <f t="shared" si="27"/>
        <v>0.20780411156213177</v>
      </c>
    </row>
    <row r="865" spans="1:36">
      <c r="A865" t="s">
        <v>635</v>
      </c>
      <c r="B865" t="s">
        <v>1150</v>
      </c>
      <c r="C865" t="s">
        <v>78</v>
      </c>
      <c r="D865" t="s">
        <v>77</v>
      </c>
      <c r="E865" t="s">
        <v>55</v>
      </c>
      <c r="F865">
        <v>0</v>
      </c>
      <c r="G865">
        <v>1583</v>
      </c>
      <c r="H865">
        <v>1</v>
      </c>
      <c r="I865" t="s">
        <v>173</v>
      </c>
      <c r="J865">
        <v>1</v>
      </c>
      <c r="K865" s="6">
        <v>2.2200000000000002</v>
      </c>
      <c r="L865" t="s">
        <v>174</v>
      </c>
      <c r="M865">
        <v>0</v>
      </c>
      <c r="N865" t="s">
        <v>175</v>
      </c>
      <c r="O865">
        <v>1</v>
      </c>
      <c r="P865">
        <v>0</v>
      </c>
      <c r="Q865" s="6">
        <v>32.9</v>
      </c>
      <c r="R865">
        <v>1</v>
      </c>
      <c r="S865" s="6">
        <v>477</v>
      </c>
      <c r="T865">
        <v>0</v>
      </c>
      <c r="U865" s="6">
        <v>3045</v>
      </c>
      <c r="V865">
        <v>0</v>
      </c>
      <c r="W865">
        <v>0</v>
      </c>
      <c r="X865">
        <v>0</v>
      </c>
      <c r="Y865" s="6">
        <v>44.5</v>
      </c>
      <c r="Z865">
        <v>0.105</v>
      </c>
      <c r="AA865">
        <v>8.7999999999999995E-2</v>
      </c>
      <c r="AB865">
        <v>0.11600000000000001</v>
      </c>
      <c r="AC865">
        <v>6</v>
      </c>
      <c r="AD865" s="6">
        <v>50</v>
      </c>
      <c r="AE865" s="6">
        <v>25</v>
      </c>
      <c r="AF865" s="6">
        <v>0</v>
      </c>
      <c r="AG865" s="6">
        <v>50.03</v>
      </c>
      <c r="AH865" s="6">
        <v>67.34</v>
      </c>
      <c r="AI865" s="6">
        <f t="shared" si="26"/>
        <v>17.310000000000002</v>
      </c>
      <c r="AJ865" s="5">
        <f t="shared" si="27"/>
        <v>0.25705375705375705</v>
      </c>
    </row>
    <row r="866" spans="1:36">
      <c r="A866" t="s">
        <v>266</v>
      </c>
      <c r="B866" t="s">
        <v>1151</v>
      </c>
      <c r="C866" t="s">
        <v>78</v>
      </c>
      <c r="D866" t="s">
        <v>77</v>
      </c>
      <c r="E866" t="s">
        <v>55</v>
      </c>
      <c r="F866">
        <v>0</v>
      </c>
      <c r="G866">
        <v>1583</v>
      </c>
      <c r="H866">
        <v>1</v>
      </c>
      <c r="I866" t="s">
        <v>181</v>
      </c>
      <c r="J866">
        <v>3</v>
      </c>
      <c r="K866" s="6">
        <v>3.48</v>
      </c>
      <c r="L866" t="s">
        <v>174</v>
      </c>
      <c r="M866">
        <v>0</v>
      </c>
      <c r="N866" t="s">
        <v>272</v>
      </c>
      <c r="O866">
        <v>5</v>
      </c>
      <c r="P866">
        <v>1</v>
      </c>
      <c r="Q866" s="6">
        <v>224.2</v>
      </c>
      <c r="R866">
        <v>0</v>
      </c>
      <c r="S866" s="6">
        <v>0</v>
      </c>
      <c r="T866">
        <v>0</v>
      </c>
      <c r="U866" s="6">
        <v>1201</v>
      </c>
      <c r="V866">
        <v>0</v>
      </c>
      <c r="W866">
        <v>0</v>
      </c>
      <c r="X866">
        <v>0</v>
      </c>
      <c r="Y866" s="6">
        <v>44.5</v>
      </c>
      <c r="Z866">
        <v>0.105</v>
      </c>
      <c r="AA866">
        <v>8.7999999999999995E-2</v>
      </c>
      <c r="AB866">
        <v>0.11600000000000001</v>
      </c>
      <c r="AC866">
        <v>6</v>
      </c>
      <c r="AD866" s="6">
        <v>60</v>
      </c>
      <c r="AE866" s="6">
        <v>0</v>
      </c>
      <c r="AF866" s="6">
        <v>0</v>
      </c>
      <c r="AG866" s="6">
        <v>161.72999999999999</v>
      </c>
      <c r="AH866" s="6">
        <v>203.25</v>
      </c>
      <c r="AI866" s="6">
        <f t="shared" si="26"/>
        <v>41.52000000000001</v>
      </c>
      <c r="AJ866" s="5">
        <f t="shared" si="27"/>
        <v>0.20428044280442809</v>
      </c>
    </row>
    <row r="867" spans="1:36">
      <c r="A867" t="s">
        <v>208</v>
      </c>
      <c r="B867" t="s">
        <v>1152</v>
      </c>
      <c r="C867" t="s">
        <v>78</v>
      </c>
      <c r="D867" t="s">
        <v>77</v>
      </c>
      <c r="E867" t="s">
        <v>55</v>
      </c>
      <c r="F867">
        <v>0</v>
      </c>
      <c r="G867">
        <v>1583</v>
      </c>
      <c r="H867">
        <v>1</v>
      </c>
      <c r="I867" t="s">
        <v>181</v>
      </c>
      <c r="J867">
        <v>3</v>
      </c>
      <c r="K867" s="6">
        <v>5.86</v>
      </c>
      <c r="L867" t="s">
        <v>200</v>
      </c>
      <c r="M867">
        <v>1</v>
      </c>
      <c r="N867" t="s">
        <v>175</v>
      </c>
      <c r="O867">
        <v>1</v>
      </c>
      <c r="P867">
        <v>0</v>
      </c>
      <c r="Q867" s="6">
        <v>29.1</v>
      </c>
      <c r="R867">
        <v>0</v>
      </c>
      <c r="S867" s="6">
        <v>0</v>
      </c>
      <c r="T867">
        <v>0</v>
      </c>
      <c r="U867" s="6">
        <v>3220</v>
      </c>
      <c r="V867">
        <v>0</v>
      </c>
      <c r="W867">
        <v>0</v>
      </c>
      <c r="X867">
        <v>0</v>
      </c>
      <c r="Y867" s="6">
        <v>44.5</v>
      </c>
      <c r="Z867">
        <v>0.105</v>
      </c>
      <c r="AA867">
        <v>8.7999999999999995E-2</v>
      </c>
      <c r="AB867">
        <v>0.11600000000000001</v>
      </c>
      <c r="AC867">
        <v>6</v>
      </c>
      <c r="AD867" s="6">
        <v>139</v>
      </c>
      <c r="AE867" s="6">
        <v>0</v>
      </c>
      <c r="AF867" s="6">
        <v>0</v>
      </c>
      <c r="AG867" s="6">
        <v>105.68</v>
      </c>
      <c r="AH867" s="6">
        <v>143.32</v>
      </c>
      <c r="AI867" s="6">
        <f t="shared" si="26"/>
        <v>37.639999999999986</v>
      </c>
      <c r="AJ867" s="5">
        <f t="shared" si="27"/>
        <v>0.26262908177504873</v>
      </c>
    </row>
    <row r="868" spans="1:36">
      <c r="A868" t="s">
        <v>233</v>
      </c>
      <c r="B868" t="s">
        <v>1153</v>
      </c>
      <c r="C868" t="s">
        <v>78</v>
      </c>
      <c r="D868" t="s">
        <v>77</v>
      </c>
      <c r="E868" t="s">
        <v>55</v>
      </c>
      <c r="F868">
        <v>0</v>
      </c>
      <c r="G868">
        <v>1583</v>
      </c>
      <c r="H868">
        <v>1</v>
      </c>
      <c r="I868" t="s">
        <v>220</v>
      </c>
      <c r="J868">
        <v>2</v>
      </c>
      <c r="K868" s="6">
        <v>3.58</v>
      </c>
      <c r="L868" t="s">
        <v>174</v>
      </c>
      <c r="M868">
        <v>0</v>
      </c>
      <c r="N868" t="s">
        <v>217</v>
      </c>
      <c r="O868">
        <v>4</v>
      </c>
      <c r="P868">
        <v>1</v>
      </c>
      <c r="Q868" s="6">
        <v>170.7</v>
      </c>
      <c r="R868">
        <v>0</v>
      </c>
      <c r="S868" s="6">
        <v>0</v>
      </c>
      <c r="T868">
        <v>0</v>
      </c>
      <c r="U868" s="6">
        <v>1956</v>
      </c>
      <c r="V868">
        <v>0</v>
      </c>
      <c r="W868">
        <v>0</v>
      </c>
      <c r="X868">
        <v>0</v>
      </c>
      <c r="Y868" s="6">
        <v>44.5</v>
      </c>
      <c r="Z868">
        <v>0.105</v>
      </c>
      <c r="AA868">
        <v>8.7999999999999995E-2</v>
      </c>
      <c r="AB868">
        <v>0.11600000000000001</v>
      </c>
      <c r="AC868">
        <v>6</v>
      </c>
      <c r="AD868" s="6">
        <v>50</v>
      </c>
      <c r="AE868" s="6">
        <v>0</v>
      </c>
      <c r="AF868" s="6">
        <v>0</v>
      </c>
      <c r="AG868" s="6">
        <v>107.76</v>
      </c>
      <c r="AH868" s="6">
        <v>138.62</v>
      </c>
      <c r="AI868" s="6">
        <f t="shared" si="26"/>
        <v>30.86</v>
      </c>
      <c r="AJ868" s="5">
        <f t="shared" si="27"/>
        <v>0.22262299812436875</v>
      </c>
    </row>
    <row r="869" spans="1:36">
      <c r="A869" t="s">
        <v>517</v>
      </c>
      <c r="B869" t="s">
        <v>1154</v>
      </c>
      <c r="C869" t="s">
        <v>78</v>
      </c>
      <c r="D869" t="s">
        <v>77</v>
      </c>
      <c r="E869" t="s">
        <v>55</v>
      </c>
      <c r="F869">
        <v>0</v>
      </c>
      <c r="G869">
        <v>1583</v>
      </c>
      <c r="H869">
        <v>1</v>
      </c>
      <c r="I869" t="s">
        <v>181</v>
      </c>
      <c r="J869">
        <v>3</v>
      </c>
      <c r="K869" s="6">
        <v>9</v>
      </c>
      <c r="L869" t="s">
        <v>174</v>
      </c>
      <c r="M869">
        <v>0</v>
      </c>
      <c r="N869" t="s">
        <v>187</v>
      </c>
      <c r="O869">
        <v>2</v>
      </c>
      <c r="P869">
        <v>0</v>
      </c>
      <c r="Q869" s="6">
        <v>54.8</v>
      </c>
      <c r="R869">
        <v>0</v>
      </c>
      <c r="S869" s="6">
        <v>0</v>
      </c>
      <c r="T869">
        <v>0</v>
      </c>
      <c r="U869" s="6">
        <v>1642</v>
      </c>
      <c r="V869">
        <v>0</v>
      </c>
      <c r="W869">
        <v>0</v>
      </c>
      <c r="X869">
        <v>0</v>
      </c>
      <c r="Y869" s="6">
        <v>44.5</v>
      </c>
      <c r="Z869">
        <v>0.105</v>
      </c>
      <c r="AA869">
        <v>8.7999999999999995E-2</v>
      </c>
      <c r="AB869">
        <v>0.11600000000000001</v>
      </c>
      <c r="AC869">
        <v>6</v>
      </c>
      <c r="AD869" s="6">
        <v>60</v>
      </c>
      <c r="AE869" s="6">
        <v>0</v>
      </c>
      <c r="AF869" s="6">
        <v>0</v>
      </c>
      <c r="AG869" s="6">
        <v>103.46</v>
      </c>
      <c r="AH869" s="6">
        <v>131.30000000000001</v>
      </c>
      <c r="AI869" s="6">
        <f t="shared" si="26"/>
        <v>27.840000000000018</v>
      </c>
      <c r="AJ869" s="5">
        <f t="shared" si="27"/>
        <v>0.21203351104341214</v>
      </c>
    </row>
    <row r="870" spans="1:36">
      <c r="A870" t="s">
        <v>238</v>
      </c>
      <c r="B870" t="s">
        <v>1155</v>
      </c>
      <c r="C870" t="s">
        <v>78</v>
      </c>
      <c r="D870" t="s">
        <v>77</v>
      </c>
      <c r="E870" t="s">
        <v>55</v>
      </c>
      <c r="F870">
        <v>0</v>
      </c>
      <c r="G870">
        <v>1583</v>
      </c>
      <c r="H870">
        <v>1</v>
      </c>
      <c r="I870" t="s">
        <v>173</v>
      </c>
      <c r="J870">
        <v>1</v>
      </c>
      <c r="K870" s="6">
        <v>1.77</v>
      </c>
      <c r="L870" t="s">
        <v>174</v>
      </c>
      <c r="M870">
        <v>0</v>
      </c>
      <c r="N870" t="s">
        <v>217</v>
      </c>
      <c r="O870">
        <v>4</v>
      </c>
      <c r="P870">
        <v>1</v>
      </c>
      <c r="Q870" s="6">
        <v>126.6</v>
      </c>
      <c r="R870">
        <v>1</v>
      </c>
      <c r="S870" s="6">
        <v>2307</v>
      </c>
      <c r="T870">
        <v>0</v>
      </c>
      <c r="U870" s="6">
        <v>3795</v>
      </c>
      <c r="V870">
        <v>0</v>
      </c>
      <c r="W870">
        <v>0</v>
      </c>
      <c r="X870">
        <v>1</v>
      </c>
      <c r="Y870" s="6">
        <v>44.5</v>
      </c>
      <c r="Z870">
        <v>0.105</v>
      </c>
      <c r="AA870">
        <v>8.7999999999999995E-2</v>
      </c>
      <c r="AB870">
        <v>0.11600000000000001</v>
      </c>
      <c r="AC870">
        <v>6</v>
      </c>
      <c r="AD870" s="6">
        <v>50</v>
      </c>
      <c r="AE870" s="6">
        <v>40</v>
      </c>
      <c r="AF870" s="6">
        <v>0</v>
      </c>
      <c r="AG870" s="6">
        <v>100.91</v>
      </c>
      <c r="AH870" s="6">
        <v>126.49</v>
      </c>
      <c r="AI870" s="6">
        <f t="shared" si="26"/>
        <v>25.58</v>
      </c>
      <c r="AJ870" s="5">
        <f t="shared" si="27"/>
        <v>0.20222942525100798</v>
      </c>
    </row>
    <row r="871" spans="1:36">
      <c r="A871" t="s">
        <v>212</v>
      </c>
      <c r="B871" t="s">
        <v>1156</v>
      </c>
      <c r="C871" t="s">
        <v>78</v>
      </c>
      <c r="D871" t="s">
        <v>77</v>
      </c>
      <c r="E871" t="s">
        <v>55</v>
      </c>
      <c r="F871">
        <v>0</v>
      </c>
      <c r="G871">
        <v>1583</v>
      </c>
      <c r="H871">
        <v>1</v>
      </c>
      <c r="I871" t="s">
        <v>181</v>
      </c>
      <c r="J871">
        <v>3</v>
      </c>
      <c r="K871" s="6">
        <v>9.76</v>
      </c>
      <c r="L871" t="s">
        <v>174</v>
      </c>
      <c r="M871">
        <v>0</v>
      </c>
      <c r="N871" t="s">
        <v>175</v>
      </c>
      <c r="O871">
        <v>1</v>
      </c>
      <c r="P871">
        <v>0</v>
      </c>
      <c r="Q871" s="6">
        <v>29.7</v>
      </c>
      <c r="R871">
        <v>0</v>
      </c>
      <c r="S871" s="6">
        <v>0</v>
      </c>
      <c r="T871">
        <v>0</v>
      </c>
      <c r="U871" s="6">
        <v>1115</v>
      </c>
      <c r="V871">
        <v>0</v>
      </c>
      <c r="W871">
        <v>0</v>
      </c>
      <c r="X871">
        <v>0</v>
      </c>
      <c r="Y871" s="6">
        <v>44.5</v>
      </c>
      <c r="Z871">
        <v>0.105</v>
      </c>
      <c r="AA871">
        <v>8.7999999999999995E-2</v>
      </c>
      <c r="AB871">
        <v>0.11600000000000001</v>
      </c>
      <c r="AC871">
        <v>6</v>
      </c>
      <c r="AD871" s="6">
        <v>60</v>
      </c>
      <c r="AE871" s="6">
        <v>0</v>
      </c>
      <c r="AF871" s="6">
        <v>0</v>
      </c>
      <c r="AG871" s="6">
        <v>94.32</v>
      </c>
      <c r="AH871" s="6">
        <v>122.85</v>
      </c>
      <c r="AI871" s="6">
        <f t="shared" si="26"/>
        <v>28.53</v>
      </c>
      <c r="AJ871" s="5">
        <f t="shared" si="27"/>
        <v>0.23223443223443224</v>
      </c>
    </row>
    <row r="872" spans="1:36">
      <c r="A872" t="s">
        <v>391</v>
      </c>
      <c r="B872" t="s">
        <v>1157</v>
      </c>
      <c r="C872" t="s">
        <v>80</v>
      </c>
      <c r="D872" t="s">
        <v>54</v>
      </c>
      <c r="E872" t="s">
        <v>69</v>
      </c>
      <c r="F872">
        <v>0</v>
      </c>
      <c r="G872">
        <v>902</v>
      </c>
      <c r="H872">
        <v>1</v>
      </c>
      <c r="I872" t="s">
        <v>173</v>
      </c>
      <c r="J872">
        <v>1</v>
      </c>
      <c r="K872" s="6">
        <v>1.53</v>
      </c>
      <c r="L872" t="s">
        <v>174</v>
      </c>
      <c r="M872">
        <v>0</v>
      </c>
      <c r="N872" t="s">
        <v>187</v>
      </c>
      <c r="O872">
        <v>2</v>
      </c>
      <c r="P872">
        <v>0</v>
      </c>
      <c r="Q872" s="6">
        <v>75.099999999999994</v>
      </c>
      <c r="R872">
        <v>0</v>
      </c>
      <c r="S872" s="6">
        <v>0</v>
      </c>
      <c r="T872">
        <v>0</v>
      </c>
      <c r="U872" s="6">
        <v>4358</v>
      </c>
      <c r="V872">
        <v>0</v>
      </c>
      <c r="W872">
        <v>0</v>
      </c>
      <c r="X872">
        <v>0</v>
      </c>
      <c r="Y872" s="6">
        <v>49.9</v>
      </c>
      <c r="Z872">
        <v>9.1999999999999998E-2</v>
      </c>
      <c r="AA872">
        <v>3.5999999999999997E-2</v>
      </c>
      <c r="AB872">
        <v>0.03</v>
      </c>
      <c r="AC872">
        <v>5</v>
      </c>
      <c r="AD872" s="6">
        <v>51</v>
      </c>
      <c r="AE872" s="6">
        <v>0</v>
      </c>
      <c r="AF872" s="6">
        <v>0</v>
      </c>
      <c r="AG872" s="6">
        <v>48.12</v>
      </c>
      <c r="AH872" s="6">
        <v>64.69</v>
      </c>
      <c r="AI872" s="6">
        <f t="shared" si="26"/>
        <v>16.57</v>
      </c>
      <c r="AJ872" s="5">
        <f t="shared" si="27"/>
        <v>0.25614469006028756</v>
      </c>
    </row>
    <row r="873" spans="1:36">
      <c r="A873" t="s">
        <v>298</v>
      </c>
      <c r="B873" t="s">
        <v>1158</v>
      </c>
      <c r="C873" t="s">
        <v>80</v>
      </c>
      <c r="D873" t="s">
        <v>54</v>
      </c>
      <c r="E873" t="s">
        <v>69</v>
      </c>
      <c r="F873">
        <v>0</v>
      </c>
      <c r="G873">
        <v>902</v>
      </c>
      <c r="H873">
        <v>1</v>
      </c>
      <c r="I873" t="s">
        <v>173</v>
      </c>
      <c r="J873">
        <v>1</v>
      </c>
      <c r="K873" s="6">
        <v>1.55</v>
      </c>
      <c r="L873" t="s">
        <v>174</v>
      </c>
      <c r="M873">
        <v>0</v>
      </c>
      <c r="N873" t="s">
        <v>175</v>
      </c>
      <c r="O873">
        <v>1</v>
      </c>
      <c r="P873">
        <v>0</v>
      </c>
      <c r="Q873" s="6">
        <v>46.8</v>
      </c>
      <c r="R873">
        <v>0</v>
      </c>
      <c r="S873" s="6">
        <v>0</v>
      </c>
      <c r="T873">
        <v>0</v>
      </c>
      <c r="U873" s="6">
        <v>3754</v>
      </c>
      <c r="V873">
        <v>0</v>
      </c>
      <c r="W873">
        <v>0</v>
      </c>
      <c r="X873">
        <v>0</v>
      </c>
      <c r="Y873" s="6">
        <v>49.9</v>
      </c>
      <c r="Z873">
        <v>9.1999999999999998E-2</v>
      </c>
      <c r="AA873">
        <v>3.5999999999999997E-2</v>
      </c>
      <c r="AB873">
        <v>0.03</v>
      </c>
      <c r="AC873">
        <v>5</v>
      </c>
      <c r="AD873" s="6">
        <v>51</v>
      </c>
      <c r="AE873" s="6">
        <v>0</v>
      </c>
      <c r="AF873" s="6">
        <v>0</v>
      </c>
      <c r="AG873" s="6">
        <v>49.85</v>
      </c>
      <c r="AH873" s="6">
        <v>65.510000000000005</v>
      </c>
      <c r="AI873" s="6">
        <f t="shared" si="26"/>
        <v>15.660000000000004</v>
      </c>
      <c r="AJ873" s="5">
        <f t="shared" si="27"/>
        <v>0.2390474736681423</v>
      </c>
    </row>
    <row r="874" spans="1:36">
      <c r="A874" t="s">
        <v>247</v>
      </c>
      <c r="B874" t="s">
        <v>1159</v>
      </c>
      <c r="C874" t="s">
        <v>80</v>
      </c>
      <c r="D874" t="s">
        <v>54</v>
      </c>
      <c r="E874" t="s">
        <v>69</v>
      </c>
      <c r="F874">
        <v>0</v>
      </c>
      <c r="G874">
        <v>902</v>
      </c>
      <c r="H874">
        <v>1</v>
      </c>
      <c r="I874" t="s">
        <v>173</v>
      </c>
      <c r="J874">
        <v>1</v>
      </c>
      <c r="K874" s="6">
        <v>1.77</v>
      </c>
      <c r="L874" t="s">
        <v>174</v>
      </c>
      <c r="M874">
        <v>0</v>
      </c>
      <c r="N874" t="s">
        <v>182</v>
      </c>
      <c r="O874">
        <v>3</v>
      </c>
      <c r="P874">
        <v>0</v>
      </c>
      <c r="Q874" s="6">
        <v>111.9</v>
      </c>
      <c r="R874">
        <v>0</v>
      </c>
      <c r="S874" s="6">
        <v>0</v>
      </c>
      <c r="T874">
        <v>0</v>
      </c>
      <c r="U874" s="6">
        <v>5700</v>
      </c>
      <c r="V874">
        <v>0</v>
      </c>
      <c r="W874">
        <v>0</v>
      </c>
      <c r="X874">
        <v>0</v>
      </c>
      <c r="Y874" s="6">
        <v>49.9</v>
      </c>
      <c r="Z874">
        <v>9.1999999999999998E-2</v>
      </c>
      <c r="AA874">
        <v>3.5999999999999997E-2</v>
      </c>
      <c r="AB874">
        <v>0.03</v>
      </c>
      <c r="AC874">
        <v>5</v>
      </c>
      <c r="AD874" s="6">
        <v>51</v>
      </c>
      <c r="AE874" s="6">
        <v>0</v>
      </c>
      <c r="AF874" s="6">
        <v>0</v>
      </c>
      <c r="AG874" s="6">
        <v>58.25</v>
      </c>
      <c r="AH874" s="6">
        <v>77.260000000000005</v>
      </c>
      <c r="AI874" s="6">
        <f t="shared" si="26"/>
        <v>19.010000000000005</v>
      </c>
      <c r="AJ874" s="5">
        <f t="shared" si="27"/>
        <v>0.24605229096557085</v>
      </c>
    </row>
    <row r="875" spans="1:36">
      <c r="A875" t="s">
        <v>185</v>
      </c>
      <c r="B875" t="s">
        <v>1160</v>
      </c>
      <c r="C875" t="s">
        <v>80</v>
      </c>
      <c r="D875" t="s">
        <v>54</v>
      </c>
      <c r="E875" t="s">
        <v>69</v>
      </c>
      <c r="F875">
        <v>0</v>
      </c>
      <c r="G875">
        <v>902</v>
      </c>
      <c r="H875">
        <v>1</v>
      </c>
      <c r="I875" t="s">
        <v>173</v>
      </c>
      <c r="J875">
        <v>1</v>
      </c>
      <c r="K875" s="6">
        <v>2.02</v>
      </c>
      <c r="L875" t="s">
        <v>174</v>
      </c>
      <c r="M875">
        <v>0</v>
      </c>
      <c r="N875" t="s">
        <v>175</v>
      </c>
      <c r="O875">
        <v>1</v>
      </c>
      <c r="P875">
        <v>0</v>
      </c>
      <c r="Q875" s="6">
        <v>44.3</v>
      </c>
      <c r="R875">
        <v>0</v>
      </c>
      <c r="S875" s="6">
        <v>0</v>
      </c>
      <c r="T875">
        <v>0</v>
      </c>
      <c r="U875" s="6">
        <v>1696</v>
      </c>
      <c r="V875">
        <v>0</v>
      </c>
      <c r="W875">
        <v>0</v>
      </c>
      <c r="X875">
        <v>0</v>
      </c>
      <c r="Y875" s="6">
        <v>49.9</v>
      </c>
      <c r="Z875">
        <v>9.1999999999999998E-2</v>
      </c>
      <c r="AA875">
        <v>3.5999999999999997E-2</v>
      </c>
      <c r="AB875">
        <v>0.03</v>
      </c>
      <c r="AC875">
        <v>5</v>
      </c>
      <c r="AD875" s="6">
        <v>51</v>
      </c>
      <c r="AE875" s="6">
        <v>0</v>
      </c>
      <c r="AF875" s="6">
        <v>0</v>
      </c>
      <c r="AG875" s="6">
        <v>53.43</v>
      </c>
      <c r="AH875" s="6">
        <v>70.319999999999993</v>
      </c>
      <c r="AI875" s="6">
        <f t="shared" si="26"/>
        <v>16.889999999999993</v>
      </c>
      <c r="AJ875" s="5">
        <f t="shared" si="27"/>
        <v>0.24018771331058014</v>
      </c>
    </row>
    <row r="876" spans="1:36">
      <c r="A876" t="s">
        <v>286</v>
      </c>
      <c r="B876" t="s">
        <v>1161</v>
      </c>
      <c r="C876" t="s">
        <v>80</v>
      </c>
      <c r="D876" t="s">
        <v>54</v>
      </c>
      <c r="E876" t="s">
        <v>69</v>
      </c>
      <c r="F876">
        <v>0</v>
      </c>
      <c r="G876">
        <v>902</v>
      </c>
      <c r="H876">
        <v>1</v>
      </c>
      <c r="I876" t="s">
        <v>173</v>
      </c>
      <c r="J876">
        <v>1</v>
      </c>
      <c r="K876" s="6">
        <v>2.6</v>
      </c>
      <c r="L876" t="s">
        <v>174</v>
      </c>
      <c r="M876">
        <v>0</v>
      </c>
      <c r="N876" t="s">
        <v>182</v>
      </c>
      <c r="O876">
        <v>3</v>
      </c>
      <c r="P876">
        <v>0</v>
      </c>
      <c r="Q876" s="6">
        <v>78.7</v>
      </c>
      <c r="R876">
        <v>0</v>
      </c>
      <c r="S876" s="6">
        <v>0</v>
      </c>
      <c r="T876">
        <v>0</v>
      </c>
      <c r="U876" s="6">
        <v>2064</v>
      </c>
      <c r="V876">
        <v>0</v>
      </c>
      <c r="W876">
        <v>0</v>
      </c>
      <c r="X876">
        <v>0</v>
      </c>
      <c r="Y876" s="6">
        <v>49.9</v>
      </c>
      <c r="Z876">
        <v>9.1999999999999998E-2</v>
      </c>
      <c r="AA876">
        <v>3.5999999999999997E-2</v>
      </c>
      <c r="AB876">
        <v>0.03</v>
      </c>
      <c r="AC876">
        <v>5</v>
      </c>
      <c r="AD876" s="6">
        <v>51</v>
      </c>
      <c r="AE876" s="6">
        <v>0</v>
      </c>
      <c r="AF876" s="6">
        <v>0</v>
      </c>
      <c r="AG876" s="6">
        <v>63.54</v>
      </c>
      <c r="AH876" s="6">
        <v>82.73</v>
      </c>
      <c r="AI876" s="6">
        <f t="shared" si="26"/>
        <v>19.190000000000005</v>
      </c>
      <c r="AJ876" s="5">
        <f t="shared" si="27"/>
        <v>0.23195938595430923</v>
      </c>
    </row>
    <row r="877" spans="1:36">
      <c r="A877" t="s">
        <v>266</v>
      </c>
      <c r="B877" t="s">
        <v>1162</v>
      </c>
      <c r="C877" t="s">
        <v>80</v>
      </c>
      <c r="D877" t="s">
        <v>54</v>
      </c>
      <c r="E877" t="s">
        <v>69</v>
      </c>
      <c r="F877">
        <v>0</v>
      </c>
      <c r="G877">
        <v>902</v>
      </c>
      <c r="H877">
        <v>1</v>
      </c>
      <c r="I877" t="s">
        <v>173</v>
      </c>
      <c r="J877">
        <v>1</v>
      </c>
      <c r="K877" s="6">
        <v>1.5</v>
      </c>
      <c r="L877" t="s">
        <v>200</v>
      </c>
      <c r="M877">
        <v>1</v>
      </c>
      <c r="N877" t="s">
        <v>182</v>
      </c>
      <c r="O877">
        <v>3</v>
      </c>
      <c r="P877">
        <v>0</v>
      </c>
      <c r="Q877" s="6">
        <v>121.9</v>
      </c>
      <c r="R877">
        <v>0</v>
      </c>
      <c r="S877" s="6">
        <v>0</v>
      </c>
      <c r="T877">
        <v>0</v>
      </c>
      <c r="U877" s="6">
        <v>1806</v>
      </c>
      <c r="V877">
        <v>0</v>
      </c>
      <c r="W877">
        <v>0</v>
      </c>
      <c r="X877">
        <v>0</v>
      </c>
      <c r="Y877" s="6">
        <v>49.9</v>
      </c>
      <c r="Z877">
        <v>9.1999999999999998E-2</v>
      </c>
      <c r="AA877">
        <v>3.5999999999999997E-2</v>
      </c>
      <c r="AB877">
        <v>0.03</v>
      </c>
      <c r="AC877">
        <v>5</v>
      </c>
      <c r="AD877" s="6">
        <v>100</v>
      </c>
      <c r="AE877" s="6">
        <v>0</v>
      </c>
      <c r="AF877" s="6">
        <v>0</v>
      </c>
      <c r="AG877" s="6">
        <v>90.99</v>
      </c>
      <c r="AH877" s="6">
        <v>114.6</v>
      </c>
      <c r="AI877" s="6">
        <f t="shared" si="26"/>
        <v>23.61</v>
      </c>
      <c r="AJ877" s="5">
        <f t="shared" si="27"/>
        <v>0.20602094240837696</v>
      </c>
    </row>
    <row r="878" spans="1:36">
      <c r="A878" t="s">
        <v>517</v>
      </c>
      <c r="B878" t="s">
        <v>1163</v>
      </c>
      <c r="C878" t="s">
        <v>80</v>
      </c>
      <c r="D878" t="s">
        <v>54</v>
      </c>
      <c r="E878" t="s">
        <v>69</v>
      </c>
      <c r="F878">
        <v>0</v>
      </c>
      <c r="G878">
        <v>902</v>
      </c>
      <c r="H878">
        <v>1</v>
      </c>
      <c r="I878" t="s">
        <v>173</v>
      </c>
      <c r="J878">
        <v>1</v>
      </c>
      <c r="K878" s="6">
        <v>1.25</v>
      </c>
      <c r="L878" t="s">
        <v>174</v>
      </c>
      <c r="M878">
        <v>0</v>
      </c>
      <c r="N878" t="s">
        <v>217</v>
      </c>
      <c r="O878">
        <v>4</v>
      </c>
      <c r="P878">
        <v>1</v>
      </c>
      <c r="Q878" s="6">
        <v>208.9</v>
      </c>
      <c r="R878">
        <v>0</v>
      </c>
      <c r="S878" s="6">
        <v>0</v>
      </c>
      <c r="T878">
        <v>0</v>
      </c>
      <c r="U878" s="6">
        <v>1400</v>
      </c>
      <c r="V878">
        <v>0</v>
      </c>
      <c r="W878">
        <v>0</v>
      </c>
      <c r="X878">
        <v>0</v>
      </c>
      <c r="Y878" s="6">
        <v>49.9</v>
      </c>
      <c r="Z878">
        <v>9.1999999999999998E-2</v>
      </c>
      <c r="AA878">
        <v>3.5999999999999997E-2</v>
      </c>
      <c r="AB878">
        <v>0.03</v>
      </c>
      <c r="AC878">
        <v>5</v>
      </c>
      <c r="AD878" s="6">
        <v>51</v>
      </c>
      <c r="AE878" s="6">
        <v>0</v>
      </c>
      <c r="AF878" s="6">
        <v>0</v>
      </c>
      <c r="AG878" s="6">
        <v>106.67</v>
      </c>
      <c r="AH878" s="6">
        <v>134.91</v>
      </c>
      <c r="AI878" s="6">
        <f t="shared" si="26"/>
        <v>28.239999999999995</v>
      </c>
      <c r="AJ878" s="5">
        <f t="shared" si="27"/>
        <v>0.20932473500852417</v>
      </c>
    </row>
    <row r="879" spans="1:36">
      <c r="A879" t="s">
        <v>204</v>
      </c>
      <c r="B879" t="s">
        <v>1164</v>
      </c>
      <c r="C879" t="s">
        <v>80</v>
      </c>
      <c r="D879" t="s">
        <v>54</v>
      </c>
      <c r="E879" t="s">
        <v>69</v>
      </c>
      <c r="F879">
        <v>0</v>
      </c>
      <c r="G879">
        <v>902</v>
      </c>
      <c r="H879">
        <v>1</v>
      </c>
      <c r="I879" t="s">
        <v>173</v>
      </c>
      <c r="J879">
        <v>1</v>
      </c>
      <c r="K879" s="6">
        <v>1.55</v>
      </c>
      <c r="L879" t="s">
        <v>174</v>
      </c>
      <c r="M879">
        <v>0</v>
      </c>
      <c r="N879" t="s">
        <v>175</v>
      </c>
      <c r="O879">
        <v>1</v>
      </c>
      <c r="P879">
        <v>0</v>
      </c>
      <c r="Q879" s="6">
        <v>28.2</v>
      </c>
      <c r="R879">
        <v>0</v>
      </c>
      <c r="S879" s="6">
        <v>0</v>
      </c>
      <c r="T879">
        <v>0</v>
      </c>
      <c r="U879" s="6">
        <v>4741</v>
      </c>
      <c r="V879">
        <v>0</v>
      </c>
      <c r="W879">
        <v>0</v>
      </c>
      <c r="X879">
        <v>0</v>
      </c>
      <c r="Y879" s="6">
        <v>49.9</v>
      </c>
      <c r="Z879">
        <v>9.1999999999999998E-2</v>
      </c>
      <c r="AA879">
        <v>3.5999999999999997E-2</v>
      </c>
      <c r="AB879">
        <v>0.03</v>
      </c>
      <c r="AC879">
        <v>5</v>
      </c>
      <c r="AD879" s="6">
        <v>51</v>
      </c>
      <c r="AE879" s="6">
        <v>0</v>
      </c>
      <c r="AF879" s="6">
        <v>0</v>
      </c>
      <c r="AG879" s="6">
        <v>50</v>
      </c>
      <c r="AH879" s="6">
        <v>67.36</v>
      </c>
      <c r="AI879" s="6">
        <f t="shared" si="26"/>
        <v>17.36</v>
      </c>
      <c r="AJ879" s="5">
        <f t="shared" si="27"/>
        <v>0.25771971496437052</v>
      </c>
    </row>
    <row r="880" spans="1:36">
      <c r="A880" t="s">
        <v>194</v>
      </c>
      <c r="B880" t="s">
        <v>1165</v>
      </c>
      <c r="C880" t="s">
        <v>80</v>
      </c>
      <c r="D880" t="s">
        <v>54</v>
      </c>
      <c r="E880" t="s">
        <v>69</v>
      </c>
      <c r="F880">
        <v>0</v>
      </c>
      <c r="G880">
        <v>902</v>
      </c>
      <c r="H880">
        <v>1</v>
      </c>
      <c r="I880" t="s">
        <v>173</v>
      </c>
      <c r="J880">
        <v>1</v>
      </c>
      <c r="K880" s="6">
        <v>1.53</v>
      </c>
      <c r="L880" t="s">
        <v>174</v>
      </c>
      <c r="M880">
        <v>0</v>
      </c>
      <c r="N880" t="s">
        <v>175</v>
      </c>
      <c r="O880">
        <v>1</v>
      </c>
      <c r="P880">
        <v>0</v>
      </c>
      <c r="Q880" s="6">
        <v>37.700000000000003</v>
      </c>
      <c r="R880">
        <v>0</v>
      </c>
      <c r="S880" s="6">
        <v>0</v>
      </c>
      <c r="T880">
        <v>0</v>
      </c>
      <c r="U880" s="6">
        <v>1173</v>
      </c>
      <c r="V880">
        <v>0</v>
      </c>
      <c r="W880">
        <v>0</v>
      </c>
      <c r="X880">
        <v>0</v>
      </c>
      <c r="Y880" s="6">
        <v>49.9</v>
      </c>
      <c r="Z880">
        <v>9.1999999999999998E-2</v>
      </c>
      <c r="AA880">
        <v>3.5999999999999997E-2</v>
      </c>
      <c r="AB880">
        <v>0.03</v>
      </c>
      <c r="AC880">
        <v>5</v>
      </c>
      <c r="AD880" s="6">
        <v>51</v>
      </c>
      <c r="AE880" s="6">
        <v>0</v>
      </c>
      <c r="AF880" s="6">
        <v>0</v>
      </c>
      <c r="AG880" s="6">
        <v>48.93</v>
      </c>
      <c r="AH880" s="6">
        <v>65.44</v>
      </c>
      <c r="AI880" s="6">
        <f t="shared" si="26"/>
        <v>16.509999999999998</v>
      </c>
      <c r="AJ880" s="5">
        <f t="shared" si="27"/>
        <v>0.2522921760391198</v>
      </c>
    </row>
    <row r="881" spans="1:36">
      <c r="A881" t="s">
        <v>212</v>
      </c>
      <c r="B881" t="s">
        <v>1166</v>
      </c>
      <c r="C881" t="s">
        <v>80</v>
      </c>
      <c r="D881" t="s">
        <v>54</v>
      </c>
      <c r="E881" t="s">
        <v>69</v>
      </c>
      <c r="F881">
        <v>0</v>
      </c>
      <c r="G881">
        <v>902</v>
      </c>
      <c r="H881">
        <v>1</v>
      </c>
      <c r="I881" t="s">
        <v>173</v>
      </c>
      <c r="J881">
        <v>1</v>
      </c>
      <c r="K881" s="6">
        <v>2.14</v>
      </c>
      <c r="L881" t="s">
        <v>174</v>
      </c>
      <c r="M881">
        <v>0</v>
      </c>
      <c r="N881" t="s">
        <v>182</v>
      </c>
      <c r="O881">
        <v>3</v>
      </c>
      <c r="P881">
        <v>0</v>
      </c>
      <c r="Q881" s="6">
        <v>111</v>
      </c>
      <c r="R881">
        <v>0</v>
      </c>
      <c r="S881" s="6">
        <v>0</v>
      </c>
      <c r="T881">
        <v>0</v>
      </c>
      <c r="U881" s="6">
        <v>3111</v>
      </c>
      <c r="V881">
        <v>0</v>
      </c>
      <c r="W881">
        <v>0</v>
      </c>
      <c r="X881">
        <v>0</v>
      </c>
      <c r="Y881" s="6">
        <v>49.9</v>
      </c>
      <c r="Z881">
        <v>9.1999999999999998E-2</v>
      </c>
      <c r="AA881">
        <v>3.5999999999999997E-2</v>
      </c>
      <c r="AB881">
        <v>0.03</v>
      </c>
      <c r="AC881">
        <v>5</v>
      </c>
      <c r="AD881" s="6">
        <v>51</v>
      </c>
      <c r="AE881" s="6">
        <v>0</v>
      </c>
      <c r="AF881" s="6">
        <v>0</v>
      </c>
      <c r="AG881" s="6">
        <v>58.79</v>
      </c>
      <c r="AH881" s="6">
        <v>73.959999999999994</v>
      </c>
      <c r="AI881" s="6">
        <f t="shared" si="26"/>
        <v>15.169999999999995</v>
      </c>
      <c r="AJ881" s="5">
        <f t="shared" si="27"/>
        <v>0.205110870740941</v>
      </c>
    </row>
    <row r="882" spans="1:36">
      <c r="A882" t="s">
        <v>372</v>
      </c>
      <c r="B882" t="s">
        <v>1167</v>
      </c>
      <c r="C882" t="s">
        <v>80</v>
      </c>
      <c r="D882" t="s">
        <v>54</v>
      </c>
      <c r="E882" t="s">
        <v>69</v>
      </c>
      <c r="F882">
        <v>0</v>
      </c>
      <c r="G882">
        <v>902</v>
      </c>
      <c r="H882">
        <v>1</v>
      </c>
      <c r="I882" t="s">
        <v>173</v>
      </c>
      <c r="J882">
        <v>1</v>
      </c>
      <c r="K882" s="6">
        <v>1.85</v>
      </c>
      <c r="L882" t="s">
        <v>200</v>
      </c>
      <c r="M882">
        <v>1</v>
      </c>
      <c r="N882" t="s">
        <v>187</v>
      </c>
      <c r="O882">
        <v>2</v>
      </c>
      <c r="P882">
        <v>0</v>
      </c>
      <c r="Q882" s="6">
        <v>64.5</v>
      </c>
      <c r="R882">
        <v>0</v>
      </c>
      <c r="S882" s="6">
        <v>0</v>
      </c>
      <c r="T882">
        <v>0</v>
      </c>
      <c r="U882" s="6">
        <v>3280</v>
      </c>
      <c r="V882">
        <v>1</v>
      </c>
      <c r="W882">
        <v>0</v>
      </c>
      <c r="X882">
        <v>0</v>
      </c>
      <c r="Y882" s="6">
        <v>49.9</v>
      </c>
      <c r="Z882">
        <v>9.1999999999999998E-2</v>
      </c>
      <c r="AA882">
        <v>3.5999999999999997E-2</v>
      </c>
      <c r="AB882">
        <v>0.03</v>
      </c>
      <c r="AC882">
        <v>5</v>
      </c>
      <c r="AD882" s="6">
        <v>100</v>
      </c>
      <c r="AE882" s="6">
        <v>0</v>
      </c>
      <c r="AF882" s="6">
        <v>0</v>
      </c>
      <c r="AG882" s="6">
        <v>132.09</v>
      </c>
      <c r="AH882" s="6">
        <v>165.73</v>
      </c>
      <c r="AI882" s="6">
        <f t="shared" si="26"/>
        <v>33.639999999999986</v>
      </c>
      <c r="AJ882" s="5">
        <f t="shared" si="27"/>
        <v>0.20298075182525788</v>
      </c>
    </row>
    <row r="883" spans="1:36">
      <c r="A883" t="s">
        <v>537</v>
      </c>
      <c r="B883" t="s">
        <v>1168</v>
      </c>
      <c r="C883" t="s">
        <v>80</v>
      </c>
      <c r="D883" t="s">
        <v>54</v>
      </c>
      <c r="E883" t="s">
        <v>69</v>
      </c>
      <c r="F883">
        <v>0</v>
      </c>
      <c r="G883">
        <v>902</v>
      </c>
      <c r="H883">
        <v>1</v>
      </c>
      <c r="I883" t="s">
        <v>181</v>
      </c>
      <c r="J883">
        <v>3</v>
      </c>
      <c r="K883" s="6">
        <v>6.99</v>
      </c>
      <c r="L883" t="s">
        <v>200</v>
      </c>
      <c r="M883">
        <v>1</v>
      </c>
      <c r="N883" t="s">
        <v>175</v>
      </c>
      <c r="O883">
        <v>1</v>
      </c>
      <c r="P883">
        <v>0</v>
      </c>
      <c r="Q883" s="6">
        <v>41.3</v>
      </c>
      <c r="R883">
        <v>0</v>
      </c>
      <c r="S883" s="6">
        <v>0</v>
      </c>
      <c r="T883">
        <v>0</v>
      </c>
      <c r="U883" s="6">
        <v>2340</v>
      </c>
      <c r="V883">
        <v>0</v>
      </c>
      <c r="W883">
        <v>0</v>
      </c>
      <c r="X883">
        <v>0</v>
      </c>
      <c r="Y883" s="6">
        <v>49.9</v>
      </c>
      <c r="Z883">
        <v>9.1999999999999998E-2</v>
      </c>
      <c r="AA883">
        <v>3.5999999999999997E-2</v>
      </c>
      <c r="AB883">
        <v>0.03</v>
      </c>
      <c r="AC883">
        <v>5</v>
      </c>
      <c r="AD883" s="6">
        <v>140</v>
      </c>
      <c r="AE883" s="6">
        <v>0</v>
      </c>
      <c r="AF883" s="6">
        <v>0</v>
      </c>
      <c r="AG883" s="6">
        <v>97.55</v>
      </c>
      <c r="AH883" s="6">
        <v>144.81</v>
      </c>
      <c r="AI883" s="6">
        <f t="shared" si="26"/>
        <v>47.260000000000005</v>
      </c>
      <c r="AJ883" s="5">
        <f t="shared" si="27"/>
        <v>0.32635867688695536</v>
      </c>
    </row>
    <row r="884" spans="1:36">
      <c r="A884" t="s">
        <v>469</v>
      </c>
      <c r="B884" t="s">
        <v>1169</v>
      </c>
      <c r="C884" t="s">
        <v>80</v>
      </c>
      <c r="D884" t="s">
        <v>54</v>
      </c>
      <c r="E884" t="s">
        <v>69</v>
      </c>
      <c r="F884">
        <v>0</v>
      </c>
      <c r="G884">
        <v>902</v>
      </c>
      <c r="H884">
        <v>1</v>
      </c>
      <c r="I884" t="s">
        <v>173</v>
      </c>
      <c r="J884">
        <v>1</v>
      </c>
      <c r="K884" s="6">
        <v>1.38</v>
      </c>
      <c r="L884" t="s">
        <v>174</v>
      </c>
      <c r="M884">
        <v>0</v>
      </c>
      <c r="N884" t="s">
        <v>187</v>
      </c>
      <c r="O884">
        <v>2</v>
      </c>
      <c r="P884">
        <v>0</v>
      </c>
      <c r="Q884" s="6">
        <v>49.4</v>
      </c>
      <c r="R884">
        <v>0</v>
      </c>
      <c r="S884" s="6">
        <v>0</v>
      </c>
      <c r="T884">
        <v>0</v>
      </c>
      <c r="U884" s="6">
        <v>1051</v>
      </c>
      <c r="V884">
        <v>0</v>
      </c>
      <c r="W884">
        <v>0</v>
      </c>
      <c r="X884">
        <v>0</v>
      </c>
      <c r="Y884" s="6">
        <v>49.9</v>
      </c>
      <c r="Z884">
        <v>9.1999999999999998E-2</v>
      </c>
      <c r="AA884">
        <v>3.5999999999999997E-2</v>
      </c>
      <c r="AB884">
        <v>0.03</v>
      </c>
      <c r="AC884">
        <v>5</v>
      </c>
      <c r="AD884" s="6">
        <v>51</v>
      </c>
      <c r="AE884" s="6">
        <v>0</v>
      </c>
      <c r="AF884" s="6">
        <v>0</v>
      </c>
      <c r="AG884" s="6">
        <v>57.18</v>
      </c>
      <c r="AH884" s="6">
        <v>75.44</v>
      </c>
      <c r="AI884" s="6">
        <f t="shared" si="26"/>
        <v>18.259999999999998</v>
      </c>
      <c r="AJ884" s="5">
        <f t="shared" si="27"/>
        <v>0.24204665959703073</v>
      </c>
    </row>
    <row r="885" spans="1:36">
      <c r="A885" t="s">
        <v>245</v>
      </c>
      <c r="B885" t="s">
        <v>1170</v>
      </c>
      <c r="C885" t="s">
        <v>80</v>
      </c>
      <c r="D885" t="s">
        <v>54</v>
      </c>
      <c r="E885" t="s">
        <v>69</v>
      </c>
      <c r="F885">
        <v>0</v>
      </c>
      <c r="G885">
        <v>902</v>
      </c>
      <c r="H885">
        <v>1</v>
      </c>
      <c r="I885" t="s">
        <v>173</v>
      </c>
      <c r="J885">
        <v>1</v>
      </c>
      <c r="K885" s="6">
        <v>0.54</v>
      </c>
      <c r="L885" t="s">
        <v>174</v>
      </c>
      <c r="M885">
        <v>0</v>
      </c>
      <c r="N885" t="s">
        <v>175</v>
      </c>
      <c r="O885">
        <v>1</v>
      </c>
      <c r="P885">
        <v>0</v>
      </c>
      <c r="Q885" s="6">
        <v>34.5</v>
      </c>
      <c r="R885">
        <v>0</v>
      </c>
      <c r="S885" s="6">
        <v>0</v>
      </c>
      <c r="T885">
        <v>0</v>
      </c>
      <c r="U885" s="6">
        <v>1603</v>
      </c>
      <c r="V885">
        <v>0</v>
      </c>
      <c r="W885">
        <v>0</v>
      </c>
      <c r="X885">
        <v>0</v>
      </c>
      <c r="Y885" s="6">
        <v>49.9</v>
      </c>
      <c r="Z885">
        <v>9.1999999999999998E-2</v>
      </c>
      <c r="AA885">
        <v>3.5999999999999997E-2</v>
      </c>
      <c r="AB885">
        <v>0.03</v>
      </c>
      <c r="AC885">
        <v>5</v>
      </c>
      <c r="AD885" s="6">
        <v>51</v>
      </c>
      <c r="AE885" s="6">
        <v>0</v>
      </c>
      <c r="AF885" s="6">
        <v>0</v>
      </c>
      <c r="AG885" s="6">
        <v>38.06</v>
      </c>
      <c r="AH885" s="6">
        <v>51.75</v>
      </c>
      <c r="AI885" s="6">
        <f t="shared" si="26"/>
        <v>13.689999999999998</v>
      </c>
      <c r="AJ885" s="5">
        <f t="shared" si="27"/>
        <v>0.26454106280193235</v>
      </c>
    </row>
    <row r="886" spans="1:36">
      <c r="A886" t="s">
        <v>201</v>
      </c>
      <c r="B886" t="s">
        <v>1171</v>
      </c>
      <c r="C886" t="s">
        <v>80</v>
      </c>
      <c r="D886" t="s">
        <v>54</v>
      </c>
      <c r="E886" t="s">
        <v>69</v>
      </c>
      <c r="F886">
        <v>0</v>
      </c>
      <c r="G886">
        <v>902</v>
      </c>
      <c r="H886">
        <v>1</v>
      </c>
      <c r="I886" t="s">
        <v>173</v>
      </c>
      <c r="J886">
        <v>1</v>
      </c>
      <c r="K886" s="6">
        <v>1.53</v>
      </c>
      <c r="L886" t="s">
        <v>174</v>
      </c>
      <c r="M886">
        <v>0</v>
      </c>
      <c r="N886" t="s">
        <v>217</v>
      </c>
      <c r="O886">
        <v>4</v>
      </c>
      <c r="P886">
        <v>1</v>
      </c>
      <c r="Q886" s="6">
        <v>187.9</v>
      </c>
      <c r="R886">
        <v>1</v>
      </c>
      <c r="S886" s="6">
        <v>3451</v>
      </c>
      <c r="T886">
        <v>0</v>
      </c>
      <c r="U886" s="6">
        <v>1259</v>
      </c>
      <c r="V886">
        <v>0</v>
      </c>
      <c r="W886">
        <v>0</v>
      </c>
      <c r="X886">
        <v>0</v>
      </c>
      <c r="Y886" s="6">
        <v>49.9</v>
      </c>
      <c r="Z886">
        <v>9.1999999999999998E-2</v>
      </c>
      <c r="AA886">
        <v>3.5999999999999997E-2</v>
      </c>
      <c r="AB886">
        <v>0.03</v>
      </c>
      <c r="AC886">
        <v>5</v>
      </c>
      <c r="AD886" s="6">
        <v>51</v>
      </c>
      <c r="AE886" s="6">
        <v>40</v>
      </c>
      <c r="AF886" s="6">
        <v>0</v>
      </c>
      <c r="AG886" s="6">
        <v>112.47</v>
      </c>
      <c r="AH886" s="6">
        <v>145.55000000000001</v>
      </c>
      <c r="AI886" s="6">
        <f t="shared" si="26"/>
        <v>33.080000000000013</v>
      </c>
      <c r="AJ886" s="5">
        <f t="shared" si="27"/>
        <v>0.22727585022329103</v>
      </c>
    </row>
    <row r="887" spans="1:36">
      <c r="A887" t="s">
        <v>185</v>
      </c>
      <c r="B887" t="s">
        <v>1172</v>
      </c>
      <c r="C887" t="s">
        <v>80</v>
      </c>
      <c r="D887" t="s">
        <v>54</v>
      </c>
      <c r="E887" t="s">
        <v>69</v>
      </c>
      <c r="F887">
        <v>0</v>
      </c>
      <c r="G887">
        <v>902</v>
      </c>
      <c r="H887">
        <v>1</v>
      </c>
      <c r="I887" t="s">
        <v>173</v>
      </c>
      <c r="J887">
        <v>1</v>
      </c>
      <c r="K887" s="6">
        <v>1.44</v>
      </c>
      <c r="L887" t="s">
        <v>174</v>
      </c>
      <c r="M887">
        <v>0</v>
      </c>
      <c r="N887" t="s">
        <v>175</v>
      </c>
      <c r="O887">
        <v>1</v>
      </c>
      <c r="P887">
        <v>0</v>
      </c>
      <c r="Q887" s="6">
        <v>28.9</v>
      </c>
      <c r="R887">
        <v>0</v>
      </c>
      <c r="S887" s="6">
        <v>0</v>
      </c>
      <c r="T887">
        <v>0</v>
      </c>
      <c r="U887" s="6">
        <v>1786</v>
      </c>
      <c r="V887">
        <v>0</v>
      </c>
      <c r="W887">
        <v>0</v>
      </c>
      <c r="X887">
        <v>0</v>
      </c>
      <c r="Y887" s="6">
        <v>49.9</v>
      </c>
      <c r="Z887">
        <v>9.1999999999999998E-2</v>
      </c>
      <c r="AA887">
        <v>3.5999999999999997E-2</v>
      </c>
      <c r="AB887">
        <v>0.03</v>
      </c>
      <c r="AC887">
        <v>5</v>
      </c>
      <c r="AD887" s="6">
        <v>51</v>
      </c>
      <c r="AE887" s="6">
        <v>0</v>
      </c>
      <c r="AF887" s="6">
        <v>0</v>
      </c>
      <c r="AG887" s="6">
        <v>46.94</v>
      </c>
      <c r="AH887" s="6">
        <v>62.71</v>
      </c>
      <c r="AI887" s="6">
        <f t="shared" si="26"/>
        <v>15.770000000000003</v>
      </c>
      <c r="AJ887" s="5">
        <f t="shared" si="27"/>
        <v>0.25147504385265512</v>
      </c>
    </row>
    <row r="888" spans="1:36">
      <c r="A888" t="s">
        <v>238</v>
      </c>
      <c r="B888" t="s">
        <v>1173</v>
      </c>
      <c r="C888" t="s">
        <v>80</v>
      </c>
      <c r="D888" t="s">
        <v>54</v>
      </c>
      <c r="E888" t="s">
        <v>69</v>
      </c>
      <c r="F888">
        <v>0</v>
      </c>
      <c r="G888">
        <v>902</v>
      </c>
      <c r="H888">
        <v>1</v>
      </c>
      <c r="I888" t="s">
        <v>173</v>
      </c>
      <c r="J888">
        <v>1</v>
      </c>
      <c r="K888" s="6">
        <v>2.4500000000000002</v>
      </c>
      <c r="L888" t="s">
        <v>174</v>
      </c>
      <c r="M888">
        <v>0</v>
      </c>
      <c r="N888" t="s">
        <v>175</v>
      </c>
      <c r="O888">
        <v>1</v>
      </c>
      <c r="P888">
        <v>0</v>
      </c>
      <c r="Q888" s="6">
        <v>38.4</v>
      </c>
      <c r="R888">
        <v>0</v>
      </c>
      <c r="S888" s="6">
        <v>0</v>
      </c>
      <c r="T888">
        <v>0</v>
      </c>
      <c r="U888" s="6">
        <v>4757</v>
      </c>
      <c r="V888">
        <v>0</v>
      </c>
      <c r="W888">
        <v>0</v>
      </c>
      <c r="X888">
        <v>0</v>
      </c>
      <c r="Y888" s="6">
        <v>49.9</v>
      </c>
      <c r="Z888">
        <v>9.1999999999999998E-2</v>
      </c>
      <c r="AA888">
        <v>3.5999999999999997E-2</v>
      </c>
      <c r="AB888">
        <v>0.03</v>
      </c>
      <c r="AC888">
        <v>5</v>
      </c>
      <c r="AD888" s="6">
        <v>51</v>
      </c>
      <c r="AE888" s="6">
        <v>0</v>
      </c>
      <c r="AF888" s="6">
        <v>0</v>
      </c>
      <c r="AG888" s="6">
        <v>52.81</v>
      </c>
      <c r="AH888" s="6">
        <v>67.22</v>
      </c>
      <c r="AI888" s="6">
        <f t="shared" si="26"/>
        <v>14.409999999999997</v>
      </c>
      <c r="AJ888" s="5">
        <f t="shared" si="27"/>
        <v>0.21437072299910737</v>
      </c>
    </row>
    <row r="889" spans="1:36">
      <c r="A889" t="s">
        <v>372</v>
      </c>
      <c r="B889" t="s">
        <v>1174</v>
      </c>
      <c r="C889" t="s">
        <v>80</v>
      </c>
      <c r="D889" t="s">
        <v>54</v>
      </c>
      <c r="E889" t="s">
        <v>69</v>
      </c>
      <c r="F889">
        <v>0</v>
      </c>
      <c r="G889">
        <v>902</v>
      </c>
      <c r="H889">
        <v>1</v>
      </c>
      <c r="I889" t="s">
        <v>173</v>
      </c>
      <c r="J889">
        <v>1</v>
      </c>
      <c r="K889" s="6">
        <v>2.29</v>
      </c>
      <c r="L889" t="s">
        <v>174</v>
      </c>
      <c r="M889">
        <v>0</v>
      </c>
      <c r="N889" t="s">
        <v>187</v>
      </c>
      <c r="O889">
        <v>2</v>
      </c>
      <c r="P889">
        <v>0</v>
      </c>
      <c r="Q889" s="6">
        <v>59.5</v>
      </c>
      <c r="R889">
        <v>0</v>
      </c>
      <c r="S889" s="6">
        <v>0</v>
      </c>
      <c r="T889">
        <v>0</v>
      </c>
      <c r="U889" s="6">
        <v>2802</v>
      </c>
      <c r="V889">
        <v>0</v>
      </c>
      <c r="W889">
        <v>0</v>
      </c>
      <c r="X889">
        <v>0</v>
      </c>
      <c r="Y889" s="6">
        <v>49.9</v>
      </c>
      <c r="Z889">
        <v>9.1999999999999998E-2</v>
      </c>
      <c r="AA889">
        <v>3.5999999999999997E-2</v>
      </c>
      <c r="AB889">
        <v>0.03</v>
      </c>
      <c r="AC889">
        <v>5</v>
      </c>
      <c r="AD889" s="6">
        <v>51</v>
      </c>
      <c r="AE889" s="6">
        <v>0</v>
      </c>
      <c r="AF889" s="6">
        <v>0</v>
      </c>
      <c r="AG889" s="6">
        <v>52.87</v>
      </c>
      <c r="AH889" s="6">
        <v>69.06</v>
      </c>
      <c r="AI889" s="6">
        <f t="shared" si="26"/>
        <v>16.190000000000005</v>
      </c>
      <c r="AJ889" s="5">
        <f t="shared" si="27"/>
        <v>0.23443382565884743</v>
      </c>
    </row>
    <row r="890" spans="1:36">
      <c r="A890" t="s">
        <v>277</v>
      </c>
      <c r="B890" t="s">
        <v>1175</v>
      </c>
      <c r="C890" t="s">
        <v>80</v>
      </c>
      <c r="D890" t="s">
        <v>54</v>
      </c>
      <c r="E890" t="s">
        <v>69</v>
      </c>
      <c r="F890">
        <v>0</v>
      </c>
      <c r="G890">
        <v>902</v>
      </c>
      <c r="H890">
        <v>1</v>
      </c>
      <c r="I890" t="s">
        <v>220</v>
      </c>
      <c r="J890">
        <v>2</v>
      </c>
      <c r="K890" s="6">
        <v>2.74</v>
      </c>
      <c r="L890" t="s">
        <v>174</v>
      </c>
      <c r="M890">
        <v>0</v>
      </c>
      <c r="N890" t="s">
        <v>182</v>
      </c>
      <c r="O890">
        <v>3</v>
      </c>
      <c r="P890">
        <v>1</v>
      </c>
      <c r="Q890" s="6">
        <v>106.6</v>
      </c>
      <c r="R890">
        <v>0</v>
      </c>
      <c r="S890" s="6">
        <v>0</v>
      </c>
      <c r="T890">
        <v>0</v>
      </c>
      <c r="U890" s="6">
        <v>3591</v>
      </c>
      <c r="V890">
        <v>0</v>
      </c>
      <c r="W890">
        <v>0</v>
      </c>
      <c r="X890">
        <v>0</v>
      </c>
      <c r="Y890" s="6">
        <v>49.9</v>
      </c>
      <c r="Z890">
        <v>9.1999999999999998E-2</v>
      </c>
      <c r="AA890">
        <v>3.5999999999999997E-2</v>
      </c>
      <c r="AB890">
        <v>0.03</v>
      </c>
      <c r="AC890">
        <v>5</v>
      </c>
      <c r="AD890" s="6">
        <v>51</v>
      </c>
      <c r="AE890" s="6">
        <v>0</v>
      </c>
      <c r="AF890" s="6">
        <v>0</v>
      </c>
      <c r="AG890" s="6">
        <v>96.98</v>
      </c>
      <c r="AH890" s="6">
        <v>125.69</v>
      </c>
      <c r="AI890" s="6">
        <f t="shared" si="26"/>
        <v>28.709999999999994</v>
      </c>
      <c r="AJ890" s="5">
        <f t="shared" si="27"/>
        <v>0.22841912642214968</v>
      </c>
    </row>
    <row r="891" spans="1:36">
      <c r="A891" t="s">
        <v>188</v>
      </c>
      <c r="B891" t="s">
        <v>1176</v>
      </c>
      <c r="C891" t="s">
        <v>80</v>
      </c>
      <c r="D891" t="s">
        <v>54</v>
      </c>
      <c r="E891" t="s">
        <v>69</v>
      </c>
      <c r="F891">
        <v>0</v>
      </c>
      <c r="G891">
        <v>902</v>
      </c>
      <c r="H891">
        <v>1</v>
      </c>
      <c r="I891" t="s">
        <v>181</v>
      </c>
      <c r="J891">
        <v>3</v>
      </c>
      <c r="K891" s="6">
        <v>10.38</v>
      </c>
      <c r="L891" t="s">
        <v>174</v>
      </c>
      <c r="M891">
        <v>0</v>
      </c>
      <c r="N891" t="s">
        <v>175</v>
      </c>
      <c r="O891">
        <v>1</v>
      </c>
      <c r="P891">
        <v>0</v>
      </c>
      <c r="Q891" s="6">
        <v>32.799999999999997</v>
      </c>
      <c r="R891">
        <v>0</v>
      </c>
      <c r="S891" s="6">
        <v>0</v>
      </c>
      <c r="T891">
        <v>0</v>
      </c>
      <c r="U891" s="6">
        <v>5487</v>
      </c>
      <c r="V891">
        <v>0</v>
      </c>
      <c r="W891">
        <v>0</v>
      </c>
      <c r="X891">
        <v>0</v>
      </c>
      <c r="Y891" s="6">
        <v>49.9</v>
      </c>
      <c r="Z891">
        <v>9.1999999999999998E-2</v>
      </c>
      <c r="AA891">
        <v>3.5999999999999997E-2</v>
      </c>
      <c r="AB891">
        <v>0.03</v>
      </c>
      <c r="AC891">
        <v>5</v>
      </c>
      <c r="AD891" s="6">
        <v>61</v>
      </c>
      <c r="AE891" s="6">
        <v>0</v>
      </c>
      <c r="AF891" s="6">
        <v>0</v>
      </c>
      <c r="AG891" s="6">
        <v>101.61</v>
      </c>
      <c r="AH891" s="6">
        <v>131.52000000000001</v>
      </c>
      <c r="AI891" s="6">
        <f t="shared" si="26"/>
        <v>29.910000000000011</v>
      </c>
      <c r="AJ891" s="5">
        <f t="shared" si="27"/>
        <v>0.22741788321167888</v>
      </c>
    </row>
    <row r="892" spans="1:36">
      <c r="A892" t="s">
        <v>194</v>
      </c>
      <c r="B892" t="s">
        <v>1177</v>
      </c>
      <c r="C892" t="s">
        <v>80</v>
      </c>
      <c r="D892" t="s">
        <v>54</v>
      </c>
      <c r="E892" t="s">
        <v>69</v>
      </c>
      <c r="F892">
        <v>0</v>
      </c>
      <c r="G892">
        <v>902</v>
      </c>
      <c r="H892">
        <v>1</v>
      </c>
      <c r="I892" t="s">
        <v>173</v>
      </c>
      <c r="J892">
        <v>1</v>
      </c>
      <c r="K892" s="6">
        <v>2.0699999999999998</v>
      </c>
      <c r="L892" t="s">
        <v>174</v>
      </c>
      <c r="M892">
        <v>0</v>
      </c>
      <c r="N892" t="s">
        <v>187</v>
      </c>
      <c r="O892">
        <v>2</v>
      </c>
      <c r="P892">
        <v>0</v>
      </c>
      <c r="Q892" s="6">
        <v>43.8</v>
      </c>
      <c r="R892">
        <v>0</v>
      </c>
      <c r="S892" s="6">
        <v>0</v>
      </c>
      <c r="T892">
        <v>0</v>
      </c>
      <c r="U892" s="6">
        <v>8066</v>
      </c>
      <c r="V892">
        <v>0</v>
      </c>
      <c r="W892">
        <v>0</v>
      </c>
      <c r="X892">
        <v>0</v>
      </c>
      <c r="Y892" s="6">
        <v>49.9</v>
      </c>
      <c r="Z892">
        <v>9.1999999999999998E-2</v>
      </c>
      <c r="AA892">
        <v>3.5999999999999997E-2</v>
      </c>
      <c r="AB892">
        <v>0.03</v>
      </c>
      <c r="AC892">
        <v>5</v>
      </c>
      <c r="AD892" s="6">
        <v>51</v>
      </c>
      <c r="AE892" s="6">
        <v>0</v>
      </c>
      <c r="AF892" s="6">
        <v>0</v>
      </c>
      <c r="AG892" s="6">
        <v>57.08</v>
      </c>
      <c r="AH892" s="6">
        <v>74.58</v>
      </c>
      <c r="AI892" s="6">
        <f t="shared" si="26"/>
        <v>17.5</v>
      </c>
      <c r="AJ892" s="5">
        <f t="shared" si="27"/>
        <v>0.23464735854116386</v>
      </c>
    </row>
    <row r="893" spans="1:36">
      <c r="A893" t="s">
        <v>517</v>
      </c>
      <c r="B893" t="s">
        <v>1178</v>
      </c>
      <c r="C893" t="s">
        <v>80</v>
      </c>
      <c r="D893" t="s">
        <v>54</v>
      </c>
      <c r="E893" t="s">
        <v>69</v>
      </c>
      <c r="F893">
        <v>0</v>
      </c>
      <c r="G893">
        <v>902</v>
      </c>
      <c r="H893">
        <v>1</v>
      </c>
      <c r="I893" t="s">
        <v>173</v>
      </c>
      <c r="J893">
        <v>1</v>
      </c>
      <c r="K893" s="6">
        <v>1.58</v>
      </c>
      <c r="L893" t="s">
        <v>174</v>
      </c>
      <c r="M893">
        <v>0</v>
      </c>
      <c r="N893" t="s">
        <v>175</v>
      </c>
      <c r="O893">
        <v>1</v>
      </c>
      <c r="P893">
        <v>0</v>
      </c>
      <c r="Q893" s="6">
        <v>42.4</v>
      </c>
      <c r="R893">
        <v>0</v>
      </c>
      <c r="S893" s="6">
        <v>0</v>
      </c>
      <c r="T893">
        <v>0</v>
      </c>
      <c r="U893" s="6">
        <v>966</v>
      </c>
      <c r="V893">
        <v>0</v>
      </c>
      <c r="W893">
        <v>0</v>
      </c>
      <c r="X893">
        <v>0</v>
      </c>
      <c r="Y893" s="6">
        <v>49.9</v>
      </c>
      <c r="Z893">
        <v>9.1999999999999998E-2</v>
      </c>
      <c r="AA893">
        <v>3.5999999999999997E-2</v>
      </c>
      <c r="AB893">
        <v>0.03</v>
      </c>
      <c r="AC893">
        <v>5</v>
      </c>
      <c r="AD893" s="6">
        <v>51</v>
      </c>
      <c r="AE893" s="6">
        <v>0</v>
      </c>
      <c r="AF893" s="6">
        <v>0</v>
      </c>
      <c r="AG893" s="6">
        <v>53.7</v>
      </c>
      <c r="AH893" s="6">
        <v>70.83</v>
      </c>
      <c r="AI893" s="6">
        <f t="shared" si="26"/>
        <v>17.129999999999995</v>
      </c>
      <c r="AJ893" s="5">
        <f t="shared" si="27"/>
        <v>0.24184667513765348</v>
      </c>
    </row>
    <row r="894" spans="1:36">
      <c r="A894" t="s">
        <v>274</v>
      </c>
      <c r="B894" t="s">
        <v>1179</v>
      </c>
      <c r="C894" t="s">
        <v>80</v>
      </c>
      <c r="D894" t="s">
        <v>54</v>
      </c>
      <c r="E894" t="s">
        <v>69</v>
      </c>
      <c r="F894">
        <v>0</v>
      </c>
      <c r="G894">
        <v>902</v>
      </c>
      <c r="H894">
        <v>1</v>
      </c>
      <c r="I894" t="s">
        <v>173</v>
      </c>
      <c r="J894">
        <v>1</v>
      </c>
      <c r="K894" s="6">
        <v>1.25</v>
      </c>
      <c r="L894" t="s">
        <v>174</v>
      </c>
      <c r="M894">
        <v>0</v>
      </c>
      <c r="N894" t="s">
        <v>175</v>
      </c>
      <c r="O894">
        <v>1</v>
      </c>
      <c r="P894">
        <v>0</v>
      </c>
      <c r="Q894" s="6">
        <v>30.6</v>
      </c>
      <c r="R894">
        <v>1</v>
      </c>
      <c r="S894" s="6">
        <v>300</v>
      </c>
      <c r="T894">
        <v>0</v>
      </c>
      <c r="U894" s="6">
        <v>1744</v>
      </c>
      <c r="V894">
        <v>1</v>
      </c>
      <c r="W894">
        <v>0</v>
      </c>
      <c r="X894">
        <v>0</v>
      </c>
      <c r="Y894" s="6">
        <v>49.9</v>
      </c>
      <c r="Z894">
        <v>9.1999999999999998E-2</v>
      </c>
      <c r="AA894">
        <v>3.5999999999999997E-2</v>
      </c>
      <c r="AB894">
        <v>0.03</v>
      </c>
      <c r="AC894">
        <v>5</v>
      </c>
      <c r="AD894" s="6">
        <v>51</v>
      </c>
      <c r="AE894" s="6">
        <v>25</v>
      </c>
      <c r="AF894" s="6">
        <v>0</v>
      </c>
      <c r="AG894" s="6">
        <v>93.2</v>
      </c>
      <c r="AH894" s="6">
        <v>116.77</v>
      </c>
      <c r="AI894" s="6">
        <f t="shared" si="26"/>
        <v>23.569999999999993</v>
      </c>
      <c r="AJ894" s="5">
        <f t="shared" si="27"/>
        <v>0.20184979018583535</v>
      </c>
    </row>
    <row r="895" spans="1:36">
      <c r="A895" t="s">
        <v>192</v>
      </c>
      <c r="B895" t="s">
        <v>1180</v>
      </c>
      <c r="C895" t="s">
        <v>80</v>
      </c>
      <c r="D895" t="s">
        <v>54</v>
      </c>
      <c r="E895" t="s">
        <v>69</v>
      </c>
      <c r="F895">
        <v>0</v>
      </c>
      <c r="G895">
        <v>902</v>
      </c>
      <c r="H895">
        <v>1</v>
      </c>
      <c r="I895" t="s">
        <v>173</v>
      </c>
      <c r="J895">
        <v>1</v>
      </c>
      <c r="K895" s="6">
        <v>2.08</v>
      </c>
      <c r="L895" t="s">
        <v>174</v>
      </c>
      <c r="M895">
        <v>0</v>
      </c>
      <c r="N895" t="s">
        <v>175</v>
      </c>
      <c r="O895">
        <v>1</v>
      </c>
      <c r="P895">
        <v>0</v>
      </c>
      <c r="Q895" s="6">
        <v>32.799999999999997</v>
      </c>
      <c r="R895">
        <v>1</v>
      </c>
      <c r="S895" s="6">
        <v>5189</v>
      </c>
      <c r="T895">
        <v>0</v>
      </c>
      <c r="U895" s="6">
        <v>8025</v>
      </c>
      <c r="V895">
        <v>0</v>
      </c>
      <c r="W895">
        <v>0</v>
      </c>
      <c r="X895">
        <v>0</v>
      </c>
      <c r="Y895" s="6">
        <v>49.9</v>
      </c>
      <c r="Z895">
        <v>9.1999999999999998E-2</v>
      </c>
      <c r="AA895">
        <v>3.5999999999999997E-2</v>
      </c>
      <c r="AB895">
        <v>0.03</v>
      </c>
      <c r="AC895">
        <v>5</v>
      </c>
      <c r="AD895" s="6">
        <v>51</v>
      </c>
      <c r="AE895" s="6">
        <v>80</v>
      </c>
      <c r="AF895" s="6">
        <v>0</v>
      </c>
      <c r="AG895" s="6">
        <v>50.69</v>
      </c>
      <c r="AH895" s="6">
        <v>66.099999999999994</v>
      </c>
      <c r="AI895" s="6">
        <f t="shared" si="26"/>
        <v>15.409999999999997</v>
      </c>
      <c r="AJ895" s="5">
        <f t="shared" si="27"/>
        <v>0.23313161875945534</v>
      </c>
    </row>
    <row r="896" spans="1:36">
      <c r="A896" t="s">
        <v>253</v>
      </c>
      <c r="B896" t="s">
        <v>1181</v>
      </c>
      <c r="C896" t="s">
        <v>80</v>
      </c>
      <c r="D896" t="s">
        <v>54</v>
      </c>
      <c r="E896" t="s">
        <v>69</v>
      </c>
      <c r="F896">
        <v>0</v>
      </c>
      <c r="G896">
        <v>902</v>
      </c>
      <c r="H896">
        <v>1</v>
      </c>
      <c r="I896" t="s">
        <v>173</v>
      </c>
      <c r="J896">
        <v>1</v>
      </c>
      <c r="K896" s="6">
        <v>1.82</v>
      </c>
      <c r="L896" t="s">
        <v>174</v>
      </c>
      <c r="M896">
        <v>0</v>
      </c>
      <c r="N896" t="s">
        <v>175</v>
      </c>
      <c r="O896">
        <v>1</v>
      </c>
      <c r="P896">
        <v>0</v>
      </c>
      <c r="Q896" s="6">
        <v>28.3</v>
      </c>
      <c r="R896">
        <v>0</v>
      </c>
      <c r="S896" s="6">
        <v>0</v>
      </c>
      <c r="T896">
        <v>0</v>
      </c>
      <c r="U896" s="6">
        <v>3018</v>
      </c>
      <c r="V896">
        <v>0</v>
      </c>
      <c r="W896">
        <v>0</v>
      </c>
      <c r="X896">
        <v>0</v>
      </c>
      <c r="Y896" s="6">
        <v>49.9</v>
      </c>
      <c r="Z896">
        <v>9.1999999999999998E-2</v>
      </c>
      <c r="AA896">
        <v>3.5999999999999997E-2</v>
      </c>
      <c r="AB896">
        <v>0.03</v>
      </c>
      <c r="AC896">
        <v>5</v>
      </c>
      <c r="AD896" s="6">
        <v>51</v>
      </c>
      <c r="AE896" s="6">
        <v>0</v>
      </c>
      <c r="AF896" s="6">
        <v>0</v>
      </c>
      <c r="AG896" s="6">
        <v>46.1</v>
      </c>
      <c r="AH896" s="6">
        <v>62.26</v>
      </c>
      <c r="AI896" s="6">
        <f t="shared" si="26"/>
        <v>16.159999999999997</v>
      </c>
      <c r="AJ896" s="5">
        <f t="shared" si="27"/>
        <v>0.25955669771924184</v>
      </c>
    </row>
    <row r="897" spans="1:36">
      <c r="A897" t="s">
        <v>188</v>
      </c>
      <c r="B897" t="s">
        <v>1182</v>
      </c>
      <c r="C897" t="s">
        <v>80</v>
      </c>
      <c r="D897" t="s">
        <v>54</v>
      </c>
      <c r="E897" t="s">
        <v>69</v>
      </c>
      <c r="F897">
        <v>0</v>
      </c>
      <c r="G897">
        <v>902</v>
      </c>
      <c r="H897">
        <v>1</v>
      </c>
      <c r="I897" t="s">
        <v>173</v>
      </c>
      <c r="J897">
        <v>1</v>
      </c>
      <c r="K897" s="6">
        <v>2.36</v>
      </c>
      <c r="L897" t="s">
        <v>174</v>
      </c>
      <c r="M897">
        <v>0</v>
      </c>
      <c r="N897" t="s">
        <v>175</v>
      </c>
      <c r="O897">
        <v>1</v>
      </c>
      <c r="P897">
        <v>1</v>
      </c>
      <c r="Q897" s="6">
        <v>38.1</v>
      </c>
      <c r="R897">
        <v>0</v>
      </c>
      <c r="S897" s="6">
        <v>0</v>
      </c>
      <c r="T897">
        <v>0</v>
      </c>
      <c r="U897" s="6">
        <v>6028</v>
      </c>
      <c r="V897">
        <v>0</v>
      </c>
      <c r="W897">
        <v>0</v>
      </c>
      <c r="X897">
        <v>0</v>
      </c>
      <c r="Y897" s="6">
        <v>49.9</v>
      </c>
      <c r="Z897">
        <v>9.1999999999999998E-2</v>
      </c>
      <c r="AA897">
        <v>3.5999999999999997E-2</v>
      </c>
      <c r="AB897">
        <v>0.03</v>
      </c>
      <c r="AC897">
        <v>5</v>
      </c>
      <c r="AD897" s="6">
        <v>51</v>
      </c>
      <c r="AE897" s="6">
        <v>0</v>
      </c>
      <c r="AF897" s="6">
        <v>0</v>
      </c>
      <c r="AG897" s="6">
        <v>69.84</v>
      </c>
      <c r="AH897" s="6">
        <v>89.13</v>
      </c>
      <c r="AI897" s="6">
        <f t="shared" si="26"/>
        <v>19.289999999999992</v>
      </c>
      <c r="AJ897" s="5">
        <f t="shared" si="27"/>
        <v>0.21642544597778518</v>
      </c>
    </row>
    <row r="898" spans="1:36">
      <c r="A898" t="s">
        <v>365</v>
      </c>
      <c r="B898" t="s">
        <v>1183</v>
      </c>
      <c r="C898" t="s">
        <v>80</v>
      </c>
      <c r="D898" t="s">
        <v>54</v>
      </c>
      <c r="E898" t="s">
        <v>69</v>
      </c>
      <c r="F898">
        <v>0</v>
      </c>
      <c r="G898">
        <v>902</v>
      </c>
      <c r="H898">
        <v>1</v>
      </c>
      <c r="I898" t="s">
        <v>173</v>
      </c>
      <c r="J898">
        <v>1</v>
      </c>
      <c r="K898" s="6">
        <v>2.6</v>
      </c>
      <c r="L898" t="s">
        <v>174</v>
      </c>
      <c r="M898">
        <v>0</v>
      </c>
      <c r="N898" t="s">
        <v>187</v>
      </c>
      <c r="O898">
        <v>2</v>
      </c>
      <c r="P898">
        <v>0</v>
      </c>
      <c r="Q898" s="6">
        <v>86.3</v>
      </c>
      <c r="R898">
        <v>0</v>
      </c>
      <c r="S898" s="6">
        <v>0</v>
      </c>
      <c r="T898">
        <v>0</v>
      </c>
      <c r="U898" s="6">
        <v>3052</v>
      </c>
      <c r="V898">
        <v>0</v>
      </c>
      <c r="W898">
        <v>0</v>
      </c>
      <c r="X898">
        <v>0</v>
      </c>
      <c r="Y898" s="6">
        <v>49.9</v>
      </c>
      <c r="Z898">
        <v>9.1999999999999998E-2</v>
      </c>
      <c r="AA898">
        <v>3.5999999999999997E-2</v>
      </c>
      <c r="AB898">
        <v>0.03</v>
      </c>
      <c r="AC898">
        <v>5</v>
      </c>
      <c r="AD898" s="6">
        <v>51</v>
      </c>
      <c r="AE898" s="6">
        <v>0</v>
      </c>
      <c r="AF898" s="6">
        <v>0</v>
      </c>
      <c r="AG898" s="6">
        <v>57.94</v>
      </c>
      <c r="AH898" s="6">
        <v>72.739999999999995</v>
      </c>
      <c r="AI898" s="6">
        <f t="shared" ref="AI898:AI961" si="28">AH898-AG898</f>
        <v>14.799999999999997</v>
      </c>
      <c r="AJ898" s="5">
        <f t="shared" ref="AJ898:AJ961" si="29">IFERROR(AI898/AH898,0)</f>
        <v>0.20346439373109704</v>
      </c>
    </row>
    <row r="899" spans="1:36">
      <c r="A899" t="s">
        <v>345</v>
      </c>
      <c r="B899" t="s">
        <v>1184</v>
      </c>
      <c r="C899" t="s">
        <v>80</v>
      </c>
      <c r="D899" t="s">
        <v>54</v>
      </c>
      <c r="E899" t="s">
        <v>69</v>
      </c>
      <c r="F899">
        <v>0</v>
      </c>
      <c r="G899">
        <v>902</v>
      </c>
      <c r="H899">
        <v>1</v>
      </c>
      <c r="I899" t="s">
        <v>220</v>
      </c>
      <c r="J899">
        <v>2</v>
      </c>
      <c r="K899" s="6">
        <v>3.64</v>
      </c>
      <c r="L899" t="s">
        <v>174</v>
      </c>
      <c r="M899">
        <v>0</v>
      </c>
      <c r="N899" t="s">
        <v>187</v>
      </c>
      <c r="O899">
        <v>2</v>
      </c>
      <c r="P899">
        <v>0</v>
      </c>
      <c r="Q899" s="6">
        <v>84</v>
      </c>
      <c r="R899">
        <v>0</v>
      </c>
      <c r="S899" s="6">
        <v>0</v>
      </c>
      <c r="T899">
        <v>0</v>
      </c>
      <c r="U899" s="6">
        <v>3685</v>
      </c>
      <c r="V899">
        <v>0</v>
      </c>
      <c r="W899">
        <v>0</v>
      </c>
      <c r="X899">
        <v>0</v>
      </c>
      <c r="Y899" s="6">
        <v>49.9</v>
      </c>
      <c r="Z899">
        <v>9.1999999999999998E-2</v>
      </c>
      <c r="AA899">
        <v>3.5999999999999997E-2</v>
      </c>
      <c r="AB899">
        <v>0.03</v>
      </c>
      <c r="AC899">
        <v>5</v>
      </c>
      <c r="AD899" s="6">
        <v>51</v>
      </c>
      <c r="AE899" s="6">
        <v>0</v>
      </c>
      <c r="AF899" s="6">
        <v>0</v>
      </c>
      <c r="AG899" s="6">
        <v>64.31</v>
      </c>
      <c r="AH899" s="6">
        <v>82.9</v>
      </c>
      <c r="AI899" s="6">
        <f t="shared" si="28"/>
        <v>18.590000000000003</v>
      </c>
      <c r="AJ899" s="5">
        <f t="shared" si="29"/>
        <v>0.22424607961399279</v>
      </c>
    </row>
    <row r="900" spans="1:36">
      <c r="A900" t="s">
        <v>291</v>
      </c>
      <c r="B900" t="s">
        <v>1185</v>
      </c>
      <c r="C900" t="s">
        <v>80</v>
      </c>
      <c r="D900" t="s">
        <v>54</v>
      </c>
      <c r="E900" t="s">
        <v>69</v>
      </c>
      <c r="F900">
        <v>0</v>
      </c>
      <c r="G900">
        <v>902</v>
      </c>
      <c r="H900">
        <v>1</v>
      </c>
      <c r="I900" t="s">
        <v>173</v>
      </c>
      <c r="J900">
        <v>1</v>
      </c>
      <c r="K900" s="6">
        <v>2.11</v>
      </c>
      <c r="L900" t="s">
        <v>174</v>
      </c>
      <c r="M900">
        <v>0</v>
      </c>
      <c r="N900" t="s">
        <v>187</v>
      </c>
      <c r="O900">
        <v>2</v>
      </c>
      <c r="P900">
        <v>0</v>
      </c>
      <c r="Q900" s="6">
        <v>75.900000000000006</v>
      </c>
      <c r="R900">
        <v>0</v>
      </c>
      <c r="S900" s="6">
        <v>0</v>
      </c>
      <c r="T900">
        <v>0</v>
      </c>
      <c r="U900" s="6">
        <v>4602</v>
      </c>
      <c r="V900">
        <v>0</v>
      </c>
      <c r="W900">
        <v>0</v>
      </c>
      <c r="X900">
        <v>0</v>
      </c>
      <c r="Y900" s="6">
        <v>49.9</v>
      </c>
      <c r="Z900">
        <v>9.1999999999999998E-2</v>
      </c>
      <c r="AA900">
        <v>3.5999999999999997E-2</v>
      </c>
      <c r="AB900">
        <v>0.03</v>
      </c>
      <c r="AC900">
        <v>5</v>
      </c>
      <c r="AD900" s="6">
        <v>51</v>
      </c>
      <c r="AE900" s="6">
        <v>0</v>
      </c>
      <c r="AF900" s="6">
        <v>0</v>
      </c>
      <c r="AG900" s="6">
        <v>57.35</v>
      </c>
      <c r="AH900" s="6">
        <v>75.34</v>
      </c>
      <c r="AI900" s="6">
        <f t="shared" si="28"/>
        <v>17.990000000000002</v>
      </c>
      <c r="AJ900" s="5">
        <f t="shared" si="29"/>
        <v>0.23878417839129282</v>
      </c>
    </row>
    <row r="901" spans="1:36">
      <c r="A901" t="s">
        <v>218</v>
      </c>
      <c r="B901" t="s">
        <v>1186</v>
      </c>
      <c r="C901" t="s">
        <v>80</v>
      </c>
      <c r="D901" t="s">
        <v>54</v>
      </c>
      <c r="E901" t="s">
        <v>69</v>
      </c>
      <c r="F901">
        <v>0</v>
      </c>
      <c r="G901">
        <v>902</v>
      </c>
      <c r="H901">
        <v>1</v>
      </c>
      <c r="I901" t="s">
        <v>173</v>
      </c>
      <c r="J901">
        <v>1</v>
      </c>
      <c r="K901" s="6">
        <v>1.47</v>
      </c>
      <c r="L901" t="s">
        <v>174</v>
      </c>
      <c r="M901">
        <v>0</v>
      </c>
      <c r="N901" t="s">
        <v>175</v>
      </c>
      <c r="O901">
        <v>1</v>
      </c>
      <c r="P901">
        <v>0</v>
      </c>
      <c r="Q901" s="6">
        <v>33.1</v>
      </c>
      <c r="R901">
        <v>0</v>
      </c>
      <c r="S901" s="6">
        <v>0</v>
      </c>
      <c r="T901">
        <v>0</v>
      </c>
      <c r="U901" s="6">
        <v>2723</v>
      </c>
      <c r="V901">
        <v>0</v>
      </c>
      <c r="W901">
        <v>0</v>
      </c>
      <c r="X901">
        <v>0</v>
      </c>
      <c r="Y901" s="6">
        <v>49.9</v>
      </c>
      <c r="Z901">
        <v>9.1999999999999998E-2</v>
      </c>
      <c r="AA901">
        <v>3.5999999999999997E-2</v>
      </c>
      <c r="AB901">
        <v>0.03</v>
      </c>
      <c r="AC901">
        <v>5</v>
      </c>
      <c r="AD901" s="6">
        <v>51</v>
      </c>
      <c r="AE901" s="6">
        <v>0</v>
      </c>
      <c r="AF901" s="6">
        <v>0</v>
      </c>
      <c r="AG901" s="6">
        <v>53.85</v>
      </c>
      <c r="AH901" s="6">
        <v>67.739999999999995</v>
      </c>
      <c r="AI901" s="6">
        <f t="shared" si="28"/>
        <v>13.889999999999993</v>
      </c>
      <c r="AJ901" s="5">
        <f t="shared" si="29"/>
        <v>0.2050487156775907</v>
      </c>
    </row>
    <row r="902" spans="1:36">
      <c r="A902" t="s">
        <v>303</v>
      </c>
      <c r="B902" t="s">
        <v>1187</v>
      </c>
      <c r="C902" t="s">
        <v>80</v>
      </c>
      <c r="D902" t="s">
        <v>54</v>
      </c>
      <c r="E902" t="s">
        <v>69</v>
      </c>
      <c r="F902">
        <v>0</v>
      </c>
      <c r="G902">
        <v>902</v>
      </c>
      <c r="H902">
        <v>1</v>
      </c>
      <c r="I902" t="s">
        <v>173</v>
      </c>
      <c r="J902">
        <v>1</v>
      </c>
      <c r="K902" s="6">
        <v>2.16</v>
      </c>
      <c r="L902" t="s">
        <v>174</v>
      </c>
      <c r="M902">
        <v>0</v>
      </c>
      <c r="N902" t="s">
        <v>187</v>
      </c>
      <c r="O902">
        <v>2</v>
      </c>
      <c r="P902">
        <v>0</v>
      </c>
      <c r="Q902" s="6">
        <v>51.6</v>
      </c>
      <c r="R902">
        <v>0</v>
      </c>
      <c r="S902" s="6">
        <v>0</v>
      </c>
      <c r="T902">
        <v>0</v>
      </c>
      <c r="U902" s="6">
        <v>3314</v>
      </c>
      <c r="V902">
        <v>0</v>
      </c>
      <c r="W902">
        <v>0</v>
      </c>
      <c r="X902">
        <v>0</v>
      </c>
      <c r="Y902" s="6">
        <v>49.9</v>
      </c>
      <c r="Z902">
        <v>9.1999999999999998E-2</v>
      </c>
      <c r="AA902">
        <v>3.5999999999999997E-2</v>
      </c>
      <c r="AB902">
        <v>0.03</v>
      </c>
      <c r="AC902">
        <v>5</v>
      </c>
      <c r="AD902" s="6">
        <v>51</v>
      </c>
      <c r="AE902" s="6">
        <v>0</v>
      </c>
      <c r="AF902" s="6">
        <v>0</v>
      </c>
      <c r="AG902" s="6">
        <v>56.88</v>
      </c>
      <c r="AH902" s="6">
        <v>74.69</v>
      </c>
      <c r="AI902" s="6">
        <f t="shared" si="28"/>
        <v>17.809999999999995</v>
      </c>
      <c r="AJ902" s="5">
        <f t="shared" si="29"/>
        <v>0.23845226938010439</v>
      </c>
    </row>
    <row r="903" spans="1:36">
      <c r="A903" t="s">
        <v>381</v>
      </c>
      <c r="B903" t="s">
        <v>1188</v>
      </c>
      <c r="C903" t="s">
        <v>80</v>
      </c>
      <c r="D903" t="s">
        <v>54</v>
      </c>
      <c r="E903" t="s">
        <v>69</v>
      </c>
      <c r="F903">
        <v>0</v>
      </c>
      <c r="G903">
        <v>902</v>
      </c>
      <c r="H903">
        <v>1</v>
      </c>
      <c r="I903" t="s">
        <v>173</v>
      </c>
      <c r="J903">
        <v>1</v>
      </c>
      <c r="K903" s="6">
        <v>2.04</v>
      </c>
      <c r="L903" t="s">
        <v>174</v>
      </c>
      <c r="M903">
        <v>0</v>
      </c>
      <c r="N903" t="s">
        <v>182</v>
      </c>
      <c r="O903">
        <v>3</v>
      </c>
      <c r="P903">
        <v>0</v>
      </c>
      <c r="Q903" s="6">
        <v>109.2</v>
      </c>
      <c r="R903">
        <v>1</v>
      </c>
      <c r="S903" s="6">
        <v>2734</v>
      </c>
      <c r="T903">
        <v>0</v>
      </c>
      <c r="U903" s="6">
        <v>5783</v>
      </c>
      <c r="V903">
        <v>0</v>
      </c>
      <c r="W903">
        <v>0</v>
      </c>
      <c r="X903">
        <v>0</v>
      </c>
      <c r="Y903" s="6">
        <v>49.9</v>
      </c>
      <c r="Z903">
        <v>9.1999999999999998E-2</v>
      </c>
      <c r="AA903">
        <v>3.5999999999999997E-2</v>
      </c>
      <c r="AB903">
        <v>0.03</v>
      </c>
      <c r="AC903">
        <v>5</v>
      </c>
      <c r="AD903" s="6">
        <v>51</v>
      </c>
      <c r="AE903" s="6">
        <v>40</v>
      </c>
      <c r="AF903" s="6">
        <v>0</v>
      </c>
      <c r="AG903" s="6">
        <v>55.9</v>
      </c>
      <c r="AH903" s="6">
        <v>72.28</v>
      </c>
      <c r="AI903" s="6">
        <f t="shared" si="28"/>
        <v>16.380000000000003</v>
      </c>
      <c r="AJ903" s="5">
        <f t="shared" si="29"/>
        <v>0.22661870503597126</v>
      </c>
    </row>
    <row r="904" spans="1:36">
      <c r="A904" t="s">
        <v>691</v>
      </c>
      <c r="B904" t="s">
        <v>1189</v>
      </c>
      <c r="C904" t="s">
        <v>80</v>
      </c>
      <c r="D904" t="s">
        <v>54</v>
      </c>
      <c r="E904" t="s">
        <v>69</v>
      </c>
      <c r="F904">
        <v>0</v>
      </c>
      <c r="G904">
        <v>902</v>
      </c>
      <c r="H904">
        <v>1</v>
      </c>
      <c r="I904" t="s">
        <v>181</v>
      </c>
      <c r="J904">
        <v>3</v>
      </c>
      <c r="K904" s="6">
        <v>6.06</v>
      </c>
      <c r="L904" t="s">
        <v>174</v>
      </c>
      <c r="M904">
        <v>0</v>
      </c>
      <c r="N904" t="s">
        <v>175</v>
      </c>
      <c r="O904">
        <v>1</v>
      </c>
      <c r="P904">
        <v>0</v>
      </c>
      <c r="Q904" s="6">
        <v>41.3</v>
      </c>
      <c r="R904">
        <v>0</v>
      </c>
      <c r="S904" s="6">
        <v>0</v>
      </c>
      <c r="T904">
        <v>0</v>
      </c>
      <c r="U904" s="6">
        <v>3009</v>
      </c>
      <c r="V904">
        <v>0</v>
      </c>
      <c r="W904">
        <v>0</v>
      </c>
      <c r="X904">
        <v>0</v>
      </c>
      <c r="Y904" s="6">
        <v>49.9</v>
      </c>
      <c r="Z904">
        <v>9.1999999999999998E-2</v>
      </c>
      <c r="AA904">
        <v>3.5999999999999997E-2</v>
      </c>
      <c r="AB904">
        <v>0.03</v>
      </c>
      <c r="AC904">
        <v>5</v>
      </c>
      <c r="AD904" s="6">
        <v>61</v>
      </c>
      <c r="AE904" s="6">
        <v>0</v>
      </c>
      <c r="AF904" s="6">
        <v>0</v>
      </c>
      <c r="AG904" s="6">
        <v>79.39</v>
      </c>
      <c r="AH904" s="6">
        <v>102.21</v>
      </c>
      <c r="AI904" s="6">
        <f t="shared" si="28"/>
        <v>22.819999999999993</v>
      </c>
      <c r="AJ904" s="5">
        <f t="shared" si="29"/>
        <v>0.22326582526171601</v>
      </c>
    </row>
    <row r="905" spans="1:36">
      <c r="A905" t="s">
        <v>245</v>
      </c>
      <c r="B905" t="s">
        <v>1190</v>
      </c>
      <c r="C905" t="s">
        <v>80</v>
      </c>
      <c r="D905" t="s">
        <v>54</v>
      </c>
      <c r="E905" t="s">
        <v>69</v>
      </c>
      <c r="F905">
        <v>0</v>
      </c>
      <c r="G905">
        <v>902</v>
      </c>
      <c r="H905">
        <v>1</v>
      </c>
      <c r="I905" t="s">
        <v>173</v>
      </c>
      <c r="J905">
        <v>1</v>
      </c>
      <c r="K905" s="6">
        <v>2.61</v>
      </c>
      <c r="L905" t="s">
        <v>174</v>
      </c>
      <c r="M905">
        <v>0</v>
      </c>
      <c r="N905" t="s">
        <v>182</v>
      </c>
      <c r="O905">
        <v>3</v>
      </c>
      <c r="P905">
        <v>0</v>
      </c>
      <c r="Q905" s="6">
        <v>107.8</v>
      </c>
      <c r="R905">
        <v>1</v>
      </c>
      <c r="S905" s="6">
        <v>1493</v>
      </c>
      <c r="T905">
        <v>0</v>
      </c>
      <c r="U905" s="6">
        <v>3754</v>
      </c>
      <c r="V905">
        <v>0</v>
      </c>
      <c r="W905">
        <v>0</v>
      </c>
      <c r="X905">
        <v>0</v>
      </c>
      <c r="Y905" s="6">
        <v>49.9</v>
      </c>
      <c r="Z905">
        <v>9.1999999999999998E-2</v>
      </c>
      <c r="AA905">
        <v>3.5999999999999997E-2</v>
      </c>
      <c r="AB905">
        <v>0.03</v>
      </c>
      <c r="AC905">
        <v>5</v>
      </c>
      <c r="AD905" s="6">
        <v>51</v>
      </c>
      <c r="AE905" s="6">
        <v>25</v>
      </c>
      <c r="AF905" s="6">
        <v>0</v>
      </c>
      <c r="AG905" s="6">
        <v>66.510000000000005</v>
      </c>
      <c r="AH905" s="6">
        <v>87.59</v>
      </c>
      <c r="AI905" s="6">
        <f t="shared" si="28"/>
        <v>21.08</v>
      </c>
      <c r="AJ905" s="5">
        <f t="shared" si="29"/>
        <v>0.240666742778856</v>
      </c>
    </row>
    <row r="906" spans="1:36">
      <c r="A906" t="s">
        <v>393</v>
      </c>
      <c r="B906" t="s">
        <v>1191</v>
      </c>
      <c r="C906" t="s">
        <v>80</v>
      </c>
      <c r="D906" t="s">
        <v>54</v>
      </c>
      <c r="E906" t="s">
        <v>69</v>
      </c>
      <c r="F906">
        <v>0</v>
      </c>
      <c r="G906">
        <v>902</v>
      </c>
      <c r="H906">
        <v>1</v>
      </c>
      <c r="I906" t="s">
        <v>220</v>
      </c>
      <c r="J906">
        <v>2</v>
      </c>
      <c r="K906" s="6">
        <v>3.55</v>
      </c>
      <c r="L906" t="s">
        <v>174</v>
      </c>
      <c r="M906">
        <v>0</v>
      </c>
      <c r="N906" t="s">
        <v>187</v>
      </c>
      <c r="O906">
        <v>2</v>
      </c>
      <c r="P906">
        <v>0</v>
      </c>
      <c r="Q906" s="6">
        <v>40.200000000000003</v>
      </c>
      <c r="R906">
        <v>0</v>
      </c>
      <c r="S906" s="6">
        <v>0</v>
      </c>
      <c r="T906">
        <v>0</v>
      </c>
      <c r="U906" s="6">
        <v>1521</v>
      </c>
      <c r="V906">
        <v>0</v>
      </c>
      <c r="W906">
        <v>0</v>
      </c>
      <c r="X906">
        <v>0</v>
      </c>
      <c r="Y906" s="6">
        <v>49.9</v>
      </c>
      <c r="Z906">
        <v>9.1999999999999998E-2</v>
      </c>
      <c r="AA906">
        <v>3.5999999999999997E-2</v>
      </c>
      <c r="AB906">
        <v>0.03</v>
      </c>
      <c r="AC906">
        <v>5</v>
      </c>
      <c r="AD906" s="6">
        <v>51</v>
      </c>
      <c r="AE906" s="6">
        <v>0</v>
      </c>
      <c r="AF906" s="6">
        <v>0</v>
      </c>
      <c r="AG906" s="6">
        <v>60.04</v>
      </c>
      <c r="AH906" s="6">
        <v>78.400000000000006</v>
      </c>
      <c r="AI906" s="6">
        <f t="shared" si="28"/>
        <v>18.360000000000007</v>
      </c>
      <c r="AJ906" s="5">
        <f t="shared" si="29"/>
        <v>0.23418367346938782</v>
      </c>
    </row>
    <row r="907" spans="1:36">
      <c r="A907" t="s">
        <v>293</v>
      </c>
      <c r="B907" t="s">
        <v>1192</v>
      </c>
      <c r="C907" t="s">
        <v>80</v>
      </c>
      <c r="D907" t="s">
        <v>54</v>
      </c>
      <c r="E907" t="s">
        <v>69</v>
      </c>
      <c r="F907">
        <v>0</v>
      </c>
      <c r="G907">
        <v>902</v>
      </c>
      <c r="H907">
        <v>1</v>
      </c>
      <c r="I907" t="s">
        <v>173</v>
      </c>
      <c r="J907">
        <v>1</v>
      </c>
      <c r="K907" s="6">
        <v>1.74</v>
      </c>
      <c r="L907" t="s">
        <v>174</v>
      </c>
      <c r="M907">
        <v>0</v>
      </c>
      <c r="N907" t="s">
        <v>217</v>
      </c>
      <c r="O907">
        <v>4</v>
      </c>
      <c r="P907">
        <v>1</v>
      </c>
      <c r="Q907" s="6">
        <v>123.9</v>
      </c>
      <c r="R907">
        <v>0</v>
      </c>
      <c r="S907" s="6">
        <v>0</v>
      </c>
      <c r="T907">
        <v>0</v>
      </c>
      <c r="U907" s="6">
        <v>3713</v>
      </c>
      <c r="V907">
        <v>0</v>
      </c>
      <c r="W907">
        <v>0</v>
      </c>
      <c r="X907">
        <v>0</v>
      </c>
      <c r="Y907" s="6">
        <v>49.9</v>
      </c>
      <c r="Z907">
        <v>9.1999999999999998E-2</v>
      </c>
      <c r="AA907">
        <v>3.5999999999999997E-2</v>
      </c>
      <c r="AB907">
        <v>0.03</v>
      </c>
      <c r="AC907">
        <v>5</v>
      </c>
      <c r="AD907" s="6">
        <v>51</v>
      </c>
      <c r="AE907" s="6">
        <v>0</v>
      </c>
      <c r="AF907" s="6">
        <v>0</v>
      </c>
      <c r="AG907" s="6">
        <v>100.7</v>
      </c>
      <c r="AH907" s="6">
        <v>128.88</v>
      </c>
      <c r="AI907" s="6">
        <f t="shared" si="28"/>
        <v>28.179999999999993</v>
      </c>
      <c r="AJ907" s="5">
        <f t="shared" si="29"/>
        <v>0.21865301055245184</v>
      </c>
    </row>
    <row r="908" spans="1:36">
      <c r="A908" t="s">
        <v>233</v>
      </c>
      <c r="B908" t="s">
        <v>1193</v>
      </c>
      <c r="C908" t="s">
        <v>80</v>
      </c>
      <c r="D908" t="s">
        <v>54</v>
      </c>
      <c r="E908" t="s">
        <v>69</v>
      </c>
      <c r="F908">
        <v>0</v>
      </c>
      <c r="G908">
        <v>902</v>
      </c>
      <c r="H908">
        <v>1</v>
      </c>
      <c r="I908" t="s">
        <v>173</v>
      </c>
      <c r="J908">
        <v>1</v>
      </c>
      <c r="K908" s="6">
        <v>1.07</v>
      </c>
      <c r="L908" t="s">
        <v>174</v>
      </c>
      <c r="M908">
        <v>0</v>
      </c>
      <c r="N908" t="s">
        <v>217</v>
      </c>
      <c r="O908">
        <v>4</v>
      </c>
      <c r="P908">
        <v>1</v>
      </c>
      <c r="Q908" s="6">
        <v>129.9</v>
      </c>
      <c r="R908">
        <v>0</v>
      </c>
      <c r="S908" s="6">
        <v>0</v>
      </c>
      <c r="T908">
        <v>0</v>
      </c>
      <c r="U908" s="6">
        <v>3448</v>
      </c>
      <c r="V908">
        <v>0</v>
      </c>
      <c r="W908">
        <v>0</v>
      </c>
      <c r="X908">
        <v>0</v>
      </c>
      <c r="Y908" s="6">
        <v>49.9</v>
      </c>
      <c r="Z908">
        <v>9.1999999999999998E-2</v>
      </c>
      <c r="AA908">
        <v>3.5999999999999997E-2</v>
      </c>
      <c r="AB908">
        <v>0.03</v>
      </c>
      <c r="AC908">
        <v>5</v>
      </c>
      <c r="AD908" s="6">
        <v>51</v>
      </c>
      <c r="AE908" s="6">
        <v>0</v>
      </c>
      <c r="AF908" s="6">
        <v>0</v>
      </c>
      <c r="AG908" s="6">
        <v>93.56</v>
      </c>
      <c r="AH908" s="6">
        <v>117.13</v>
      </c>
      <c r="AI908" s="6">
        <f t="shared" si="28"/>
        <v>23.569999999999993</v>
      </c>
      <c r="AJ908" s="5">
        <f t="shared" si="29"/>
        <v>0.20122940322718341</v>
      </c>
    </row>
    <row r="909" spans="1:36">
      <c r="A909" t="s">
        <v>230</v>
      </c>
      <c r="B909" t="s">
        <v>1194</v>
      </c>
      <c r="C909" t="s">
        <v>80</v>
      </c>
      <c r="D909" t="s">
        <v>54</v>
      </c>
      <c r="E909" t="s">
        <v>69</v>
      </c>
      <c r="F909">
        <v>0</v>
      </c>
      <c r="G909">
        <v>902</v>
      </c>
      <c r="H909">
        <v>1</v>
      </c>
      <c r="I909" t="s">
        <v>173</v>
      </c>
      <c r="J909">
        <v>1</v>
      </c>
      <c r="K909" s="6">
        <v>1.89</v>
      </c>
      <c r="L909" t="s">
        <v>174</v>
      </c>
      <c r="M909">
        <v>0</v>
      </c>
      <c r="N909" t="s">
        <v>187</v>
      </c>
      <c r="O909">
        <v>2</v>
      </c>
      <c r="P909">
        <v>0</v>
      </c>
      <c r="Q909" s="6">
        <v>56.1</v>
      </c>
      <c r="R909">
        <v>0</v>
      </c>
      <c r="S909" s="6">
        <v>0</v>
      </c>
      <c r="T909">
        <v>0</v>
      </c>
      <c r="U909" s="6">
        <v>1698</v>
      </c>
      <c r="V909">
        <v>0</v>
      </c>
      <c r="W909">
        <v>0</v>
      </c>
      <c r="X909">
        <v>0</v>
      </c>
      <c r="Y909" s="6">
        <v>49.9</v>
      </c>
      <c r="Z909">
        <v>9.1999999999999998E-2</v>
      </c>
      <c r="AA909">
        <v>3.5999999999999997E-2</v>
      </c>
      <c r="AB909">
        <v>0.03</v>
      </c>
      <c r="AC909">
        <v>5</v>
      </c>
      <c r="AD909" s="6">
        <v>51</v>
      </c>
      <c r="AE909" s="6">
        <v>0</v>
      </c>
      <c r="AF909" s="6">
        <v>0</v>
      </c>
      <c r="AG909" s="6">
        <v>51.13</v>
      </c>
      <c r="AH909" s="6">
        <v>65.12</v>
      </c>
      <c r="AI909" s="6">
        <f t="shared" si="28"/>
        <v>13.990000000000002</v>
      </c>
      <c r="AJ909" s="5">
        <f t="shared" si="29"/>
        <v>0.21483415233415235</v>
      </c>
    </row>
    <row r="910" spans="1:36">
      <c r="A910" t="s">
        <v>303</v>
      </c>
      <c r="B910" t="s">
        <v>1195</v>
      </c>
      <c r="C910" t="s">
        <v>80</v>
      </c>
      <c r="D910" t="s">
        <v>54</v>
      </c>
      <c r="E910" t="s">
        <v>69</v>
      </c>
      <c r="F910">
        <v>0</v>
      </c>
      <c r="G910">
        <v>902</v>
      </c>
      <c r="H910">
        <v>1</v>
      </c>
      <c r="I910" t="s">
        <v>220</v>
      </c>
      <c r="J910">
        <v>2</v>
      </c>
      <c r="K910" s="6">
        <v>4.6500000000000004</v>
      </c>
      <c r="L910" t="s">
        <v>174</v>
      </c>
      <c r="M910">
        <v>0</v>
      </c>
      <c r="N910" t="s">
        <v>182</v>
      </c>
      <c r="O910">
        <v>3</v>
      </c>
      <c r="P910">
        <v>0</v>
      </c>
      <c r="Q910" s="6">
        <v>73</v>
      </c>
      <c r="R910">
        <v>0</v>
      </c>
      <c r="S910" s="6">
        <v>0</v>
      </c>
      <c r="T910">
        <v>0</v>
      </c>
      <c r="U910" s="6">
        <v>2169</v>
      </c>
      <c r="V910">
        <v>0</v>
      </c>
      <c r="W910">
        <v>0</v>
      </c>
      <c r="X910">
        <v>0</v>
      </c>
      <c r="Y910" s="6">
        <v>49.9</v>
      </c>
      <c r="Z910">
        <v>9.1999999999999998E-2</v>
      </c>
      <c r="AA910">
        <v>3.5999999999999997E-2</v>
      </c>
      <c r="AB910">
        <v>0.03</v>
      </c>
      <c r="AC910">
        <v>5</v>
      </c>
      <c r="AD910" s="6">
        <v>51</v>
      </c>
      <c r="AE910" s="6">
        <v>0</v>
      </c>
      <c r="AF910" s="6">
        <v>0</v>
      </c>
      <c r="AG910" s="6">
        <v>69.709999999999994</v>
      </c>
      <c r="AH910" s="6">
        <v>91.87</v>
      </c>
      <c r="AI910" s="6">
        <f t="shared" si="28"/>
        <v>22.160000000000011</v>
      </c>
      <c r="AJ910" s="5">
        <f t="shared" si="29"/>
        <v>0.24121040600849036</v>
      </c>
    </row>
    <row r="911" spans="1:36">
      <c r="A911" t="s">
        <v>238</v>
      </c>
      <c r="B911" t="s">
        <v>1196</v>
      </c>
      <c r="C911" t="s">
        <v>80</v>
      </c>
      <c r="D911" t="s">
        <v>54</v>
      </c>
      <c r="E911" t="s">
        <v>69</v>
      </c>
      <c r="F911">
        <v>0</v>
      </c>
      <c r="G911">
        <v>902</v>
      </c>
      <c r="H911">
        <v>1</v>
      </c>
      <c r="I911" t="s">
        <v>173</v>
      </c>
      <c r="J911">
        <v>1</v>
      </c>
      <c r="K911" s="6">
        <v>1.75</v>
      </c>
      <c r="L911" t="s">
        <v>174</v>
      </c>
      <c r="M911">
        <v>0</v>
      </c>
      <c r="N911" t="s">
        <v>182</v>
      </c>
      <c r="O911">
        <v>3</v>
      </c>
      <c r="P911">
        <v>0</v>
      </c>
      <c r="Q911" s="6">
        <v>109.3</v>
      </c>
      <c r="R911">
        <v>0</v>
      </c>
      <c r="S911" s="6">
        <v>0</v>
      </c>
      <c r="T911">
        <v>0</v>
      </c>
      <c r="U911" s="6">
        <v>1834</v>
      </c>
      <c r="V911">
        <v>0</v>
      </c>
      <c r="W911">
        <v>0</v>
      </c>
      <c r="X911">
        <v>0</v>
      </c>
      <c r="Y911" s="6">
        <v>49.9</v>
      </c>
      <c r="Z911">
        <v>9.1999999999999998E-2</v>
      </c>
      <c r="AA911">
        <v>3.5999999999999997E-2</v>
      </c>
      <c r="AB911">
        <v>0.03</v>
      </c>
      <c r="AC911">
        <v>5</v>
      </c>
      <c r="AD911" s="6">
        <v>51</v>
      </c>
      <c r="AE911" s="6">
        <v>0</v>
      </c>
      <c r="AF911" s="6">
        <v>0</v>
      </c>
      <c r="AG911" s="6">
        <v>61.23</v>
      </c>
      <c r="AH911" s="6">
        <v>78.92</v>
      </c>
      <c r="AI911" s="6">
        <f t="shared" si="28"/>
        <v>17.690000000000005</v>
      </c>
      <c r="AJ911" s="5">
        <f t="shared" si="29"/>
        <v>0.2241510390268627</v>
      </c>
    </row>
    <row r="912" spans="1:36">
      <c r="A912" t="s">
        <v>457</v>
      </c>
      <c r="B912" t="s">
        <v>1197</v>
      </c>
      <c r="C912" t="s">
        <v>80</v>
      </c>
      <c r="D912" t="s">
        <v>54</v>
      </c>
      <c r="E912" t="s">
        <v>69</v>
      </c>
      <c r="F912">
        <v>0</v>
      </c>
      <c r="G912">
        <v>902</v>
      </c>
      <c r="H912">
        <v>1</v>
      </c>
      <c r="I912" t="s">
        <v>173</v>
      </c>
      <c r="J912">
        <v>1</v>
      </c>
      <c r="K912" s="6">
        <v>1</v>
      </c>
      <c r="L912" t="s">
        <v>174</v>
      </c>
      <c r="M912">
        <v>0</v>
      </c>
      <c r="N912" t="s">
        <v>175</v>
      </c>
      <c r="O912">
        <v>1</v>
      </c>
      <c r="P912">
        <v>0</v>
      </c>
      <c r="Q912" s="6">
        <v>36.700000000000003</v>
      </c>
      <c r="R912">
        <v>0</v>
      </c>
      <c r="S912" s="6">
        <v>0</v>
      </c>
      <c r="T912">
        <v>0</v>
      </c>
      <c r="U912" s="6">
        <v>2222</v>
      </c>
      <c r="V912">
        <v>0</v>
      </c>
      <c r="W912">
        <v>0</v>
      </c>
      <c r="X912">
        <v>0</v>
      </c>
      <c r="Y912" s="6">
        <v>49.9</v>
      </c>
      <c r="Z912">
        <v>9.1999999999999998E-2</v>
      </c>
      <c r="AA912">
        <v>3.5999999999999997E-2</v>
      </c>
      <c r="AB912">
        <v>0.03</v>
      </c>
      <c r="AC912">
        <v>5</v>
      </c>
      <c r="AD912" s="6">
        <v>51</v>
      </c>
      <c r="AE912" s="6">
        <v>0</v>
      </c>
      <c r="AF912" s="6">
        <v>0</v>
      </c>
      <c r="AG912" s="6">
        <v>56.37</v>
      </c>
      <c r="AH912" s="6">
        <v>75.03</v>
      </c>
      <c r="AI912" s="6">
        <f t="shared" si="28"/>
        <v>18.660000000000004</v>
      </c>
      <c r="AJ912" s="5">
        <f t="shared" si="29"/>
        <v>0.24870051979208321</v>
      </c>
    </row>
    <row r="913" spans="1:36">
      <c r="A913" t="s">
        <v>362</v>
      </c>
      <c r="B913" t="s">
        <v>1198</v>
      </c>
      <c r="C913" t="s">
        <v>80</v>
      </c>
      <c r="D913" t="s">
        <v>54</v>
      </c>
      <c r="E913" t="s">
        <v>69</v>
      </c>
      <c r="F913">
        <v>0</v>
      </c>
      <c r="G913">
        <v>902</v>
      </c>
      <c r="H913">
        <v>1</v>
      </c>
      <c r="I913" t="s">
        <v>181</v>
      </c>
      <c r="J913">
        <v>3</v>
      </c>
      <c r="K913" s="6">
        <v>5.94</v>
      </c>
      <c r="L913" t="s">
        <v>174</v>
      </c>
      <c r="M913">
        <v>0</v>
      </c>
      <c r="N913" t="s">
        <v>175</v>
      </c>
      <c r="O913">
        <v>1</v>
      </c>
      <c r="P913">
        <v>0</v>
      </c>
      <c r="Q913" s="6">
        <v>38.799999999999997</v>
      </c>
      <c r="R913">
        <v>0</v>
      </c>
      <c r="S913" s="6">
        <v>0</v>
      </c>
      <c r="T913">
        <v>0</v>
      </c>
      <c r="U913" s="6">
        <v>1214</v>
      </c>
      <c r="V913">
        <v>0</v>
      </c>
      <c r="W913">
        <v>0</v>
      </c>
      <c r="X913">
        <v>0</v>
      </c>
      <c r="Y913" s="6">
        <v>49.9</v>
      </c>
      <c r="Z913">
        <v>9.1999999999999998E-2</v>
      </c>
      <c r="AA913">
        <v>3.5999999999999997E-2</v>
      </c>
      <c r="AB913">
        <v>0.03</v>
      </c>
      <c r="AC913">
        <v>5</v>
      </c>
      <c r="AD913" s="6">
        <v>61</v>
      </c>
      <c r="AE913" s="6">
        <v>0</v>
      </c>
      <c r="AF913" s="6">
        <v>0</v>
      </c>
      <c r="AG913" s="6">
        <v>71.760000000000005</v>
      </c>
      <c r="AH913" s="6">
        <v>91.52</v>
      </c>
      <c r="AI913" s="6">
        <f t="shared" si="28"/>
        <v>19.759999999999991</v>
      </c>
      <c r="AJ913" s="5">
        <f t="shared" si="29"/>
        <v>0.21590909090909083</v>
      </c>
    </row>
    <row r="914" spans="1:36">
      <c r="A914" t="s">
        <v>362</v>
      </c>
      <c r="B914" t="s">
        <v>1199</v>
      </c>
      <c r="C914" t="s">
        <v>80</v>
      </c>
      <c r="D914" t="s">
        <v>54</v>
      </c>
      <c r="E914" t="s">
        <v>69</v>
      </c>
      <c r="F914">
        <v>0</v>
      </c>
      <c r="G914">
        <v>902</v>
      </c>
      <c r="H914">
        <v>1</v>
      </c>
      <c r="I914" t="s">
        <v>173</v>
      </c>
      <c r="J914">
        <v>1</v>
      </c>
      <c r="K914" s="6">
        <v>3.74</v>
      </c>
      <c r="L914" t="s">
        <v>174</v>
      </c>
      <c r="M914">
        <v>0</v>
      </c>
      <c r="N914" t="s">
        <v>175</v>
      </c>
      <c r="O914">
        <v>1</v>
      </c>
      <c r="P914">
        <v>0</v>
      </c>
      <c r="Q914" s="6">
        <v>41.1</v>
      </c>
      <c r="R914">
        <v>0</v>
      </c>
      <c r="S914" s="6">
        <v>0</v>
      </c>
      <c r="T914">
        <v>0</v>
      </c>
      <c r="U914" s="6">
        <v>3593</v>
      </c>
      <c r="V914">
        <v>0</v>
      </c>
      <c r="W914">
        <v>0</v>
      </c>
      <c r="X914">
        <v>0</v>
      </c>
      <c r="Y914" s="6">
        <v>49.9</v>
      </c>
      <c r="Z914">
        <v>9.1999999999999998E-2</v>
      </c>
      <c r="AA914">
        <v>3.5999999999999997E-2</v>
      </c>
      <c r="AB914">
        <v>0.03</v>
      </c>
      <c r="AC914">
        <v>5</v>
      </c>
      <c r="AD914" s="6">
        <v>51</v>
      </c>
      <c r="AE914" s="6">
        <v>0</v>
      </c>
      <c r="AF914" s="6">
        <v>0</v>
      </c>
      <c r="AG914" s="6">
        <v>54.1</v>
      </c>
      <c r="AH914" s="6">
        <v>70.599999999999994</v>
      </c>
      <c r="AI914" s="6">
        <f t="shared" si="28"/>
        <v>16.499999999999993</v>
      </c>
      <c r="AJ914" s="5">
        <f t="shared" si="29"/>
        <v>0.23371104815864013</v>
      </c>
    </row>
    <row r="915" spans="1:36">
      <c r="A915" t="s">
        <v>397</v>
      </c>
      <c r="B915" t="s">
        <v>1200</v>
      </c>
      <c r="C915" t="s">
        <v>80</v>
      </c>
      <c r="D915" t="s">
        <v>54</v>
      </c>
      <c r="E915" t="s">
        <v>69</v>
      </c>
      <c r="F915">
        <v>0</v>
      </c>
      <c r="G915">
        <v>902</v>
      </c>
      <c r="H915">
        <v>1</v>
      </c>
      <c r="I915" t="s">
        <v>173</v>
      </c>
      <c r="J915">
        <v>1</v>
      </c>
      <c r="K915" s="6">
        <v>1.31</v>
      </c>
      <c r="L915" t="s">
        <v>174</v>
      </c>
      <c r="M915">
        <v>0</v>
      </c>
      <c r="N915" t="s">
        <v>187</v>
      </c>
      <c r="O915">
        <v>2</v>
      </c>
      <c r="P915">
        <v>0</v>
      </c>
      <c r="Q915" s="6">
        <v>37.200000000000003</v>
      </c>
      <c r="R915">
        <v>0</v>
      </c>
      <c r="S915" s="6">
        <v>0</v>
      </c>
      <c r="T915">
        <v>0</v>
      </c>
      <c r="U915" s="6">
        <v>5206</v>
      </c>
      <c r="V915">
        <v>0</v>
      </c>
      <c r="W915">
        <v>0</v>
      </c>
      <c r="X915">
        <v>0</v>
      </c>
      <c r="Y915" s="6">
        <v>49.9</v>
      </c>
      <c r="Z915">
        <v>9.1999999999999998E-2</v>
      </c>
      <c r="AA915">
        <v>3.5999999999999997E-2</v>
      </c>
      <c r="AB915">
        <v>0.03</v>
      </c>
      <c r="AC915">
        <v>5</v>
      </c>
      <c r="AD915" s="6">
        <v>51</v>
      </c>
      <c r="AE915" s="6">
        <v>0</v>
      </c>
      <c r="AF915" s="6">
        <v>0</v>
      </c>
      <c r="AG915" s="6">
        <v>51.4</v>
      </c>
      <c r="AH915" s="6">
        <v>64.66</v>
      </c>
      <c r="AI915" s="6">
        <f t="shared" si="28"/>
        <v>13.259999999999998</v>
      </c>
      <c r="AJ915" s="5">
        <f t="shared" si="29"/>
        <v>0.20507268790596966</v>
      </c>
    </row>
    <row r="916" spans="1:36">
      <c r="A916" t="s">
        <v>481</v>
      </c>
      <c r="B916" t="s">
        <v>1201</v>
      </c>
      <c r="C916" t="s">
        <v>80</v>
      </c>
      <c r="D916" t="s">
        <v>54</v>
      </c>
      <c r="E916" t="s">
        <v>69</v>
      </c>
      <c r="F916">
        <v>0</v>
      </c>
      <c r="G916">
        <v>902</v>
      </c>
      <c r="H916">
        <v>1</v>
      </c>
      <c r="I916" t="s">
        <v>220</v>
      </c>
      <c r="J916">
        <v>2</v>
      </c>
      <c r="K916" s="6">
        <v>3.7</v>
      </c>
      <c r="L916" t="s">
        <v>174</v>
      </c>
      <c r="M916">
        <v>0</v>
      </c>
      <c r="N916" t="s">
        <v>187</v>
      </c>
      <c r="O916">
        <v>2</v>
      </c>
      <c r="P916">
        <v>0</v>
      </c>
      <c r="Q916" s="6">
        <v>53.8</v>
      </c>
      <c r="R916">
        <v>0</v>
      </c>
      <c r="S916" s="6">
        <v>0</v>
      </c>
      <c r="T916">
        <v>0</v>
      </c>
      <c r="U916" s="6">
        <v>2133</v>
      </c>
      <c r="V916">
        <v>0</v>
      </c>
      <c r="W916">
        <v>0</v>
      </c>
      <c r="X916">
        <v>0</v>
      </c>
      <c r="Y916" s="6">
        <v>49.9</v>
      </c>
      <c r="Z916">
        <v>9.1999999999999998E-2</v>
      </c>
      <c r="AA916">
        <v>3.5999999999999997E-2</v>
      </c>
      <c r="AB916">
        <v>0.03</v>
      </c>
      <c r="AC916">
        <v>5</v>
      </c>
      <c r="AD916" s="6">
        <v>51</v>
      </c>
      <c r="AE916" s="6">
        <v>0</v>
      </c>
      <c r="AF916" s="6">
        <v>0</v>
      </c>
      <c r="AG916" s="6">
        <v>61.18</v>
      </c>
      <c r="AH916" s="6">
        <v>76.66</v>
      </c>
      <c r="AI916" s="6">
        <f t="shared" si="28"/>
        <v>15.479999999999997</v>
      </c>
      <c r="AJ916" s="5">
        <f t="shared" si="29"/>
        <v>0.20193060266110094</v>
      </c>
    </row>
    <row r="917" spans="1:36">
      <c r="A917" t="s">
        <v>185</v>
      </c>
      <c r="B917" t="s">
        <v>1202</v>
      </c>
      <c r="C917" t="s">
        <v>80</v>
      </c>
      <c r="D917" t="s">
        <v>54</v>
      </c>
      <c r="E917" t="s">
        <v>69</v>
      </c>
      <c r="F917">
        <v>0</v>
      </c>
      <c r="G917">
        <v>902</v>
      </c>
      <c r="H917">
        <v>1</v>
      </c>
      <c r="I917" t="s">
        <v>220</v>
      </c>
      <c r="J917">
        <v>2</v>
      </c>
      <c r="K917" s="6">
        <v>2.98</v>
      </c>
      <c r="L917" t="s">
        <v>174</v>
      </c>
      <c r="M917">
        <v>0</v>
      </c>
      <c r="N917" t="s">
        <v>175</v>
      </c>
      <c r="O917">
        <v>1</v>
      </c>
      <c r="P917">
        <v>0</v>
      </c>
      <c r="Q917" s="6">
        <v>24.1</v>
      </c>
      <c r="R917">
        <v>0</v>
      </c>
      <c r="S917" s="6">
        <v>0</v>
      </c>
      <c r="T917">
        <v>0</v>
      </c>
      <c r="U917" s="6">
        <v>3357</v>
      </c>
      <c r="V917">
        <v>0</v>
      </c>
      <c r="W917">
        <v>0</v>
      </c>
      <c r="X917">
        <v>0</v>
      </c>
      <c r="Y917" s="6">
        <v>49.9</v>
      </c>
      <c r="Z917">
        <v>9.1999999999999998E-2</v>
      </c>
      <c r="AA917">
        <v>3.5999999999999997E-2</v>
      </c>
      <c r="AB917">
        <v>0.03</v>
      </c>
      <c r="AC917">
        <v>5</v>
      </c>
      <c r="AD917" s="6">
        <v>51</v>
      </c>
      <c r="AE917" s="6">
        <v>0</v>
      </c>
      <c r="AF917" s="6">
        <v>0</v>
      </c>
      <c r="AG917" s="6">
        <v>56.38</v>
      </c>
      <c r="AH917" s="6">
        <v>73.56</v>
      </c>
      <c r="AI917" s="6">
        <f t="shared" si="28"/>
        <v>17.18</v>
      </c>
      <c r="AJ917" s="5">
        <f t="shared" si="29"/>
        <v>0.23355084284937466</v>
      </c>
    </row>
    <row r="918" spans="1:36">
      <c r="A918" t="s">
        <v>269</v>
      </c>
      <c r="B918" t="s">
        <v>1203</v>
      </c>
      <c r="C918" t="s">
        <v>80</v>
      </c>
      <c r="D918" t="s">
        <v>54</v>
      </c>
      <c r="E918" t="s">
        <v>69</v>
      </c>
      <c r="F918">
        <v>0</v>
      </c>
      <c r="G918">
        <v>902</v>
      </c>
      <c r="H918">
        <v>1</v>
      </c>
      <c r="I918" t="s">
        <v>173</v>
      </c>
      <c r="J918">
        <v>1</v>
      </c>
      <c r="K918" s="6">
        <v>1.68</v>
      </c>
      <c r="L918" t="s">
        <v>174</v>
      </c>
      <c r="M918">
        <v>0</v>
      </c>
      <c r="N918" t="s">
        <v>182</v>
      </c>
      <c r="O918">
        <v>3</v>
      </c>
      <c r="P918">
        <v>0</v>
      </c>
      <c r="Q918" s="6">
        <v>89.5</v>
      </c>
      <c r="R918">
        <v>0</v>
      </c>
      <c r="S918" s="6">
        <v>0</v>
      </c>
      <c r="T918">
        <v>0</v>
      </c>
      <c r="U918" s="6">
        <v>1464</v>
      </c>
      <c r="V918">
        <v>0</v>
      </c>
      <c r="W918">
        <v>0</v>
      </c>
      <c r="X918">
        <v>0</v>
      </c>
      <c r="Y918" s="6">
        <v>49.9</v>
      </c>
      <c r="Z918">
        <v>9.1999999999999998E-2</v>
      </c>
      <c r="AA918">
        <v>3.5999999999999997E-2</v>
      </c>
      <c r="AB918">
        <v>0.03</v>
      </c>
      <c r="AC918">
        <v>5</v>
      </c>
      <c r="AD918" s="6">
        <v>51</v>
      </c>
      <c r="AE918" s="6">
        <v>0</v>
      </c>
      <c r="AF918" s="6">
        <v>0</v>
      </c>
      <c r="AG918" s="6">
        <v>60.14</v>
      </c>
      <c r="AH918" s="6">
        <v>78.27</v>
      </c>
      <c r="AI918" s="6">
        <f t="shared" si="28"/>
        <v>18.129999999999995</v>
      </c>
      <c r="AJ918" s="5">
        <f t="shared" si="29"/>
        <v>0.23163408713427874</v>
      </c>
    </row>
    <row r="919" spans="1:36">
      <c r="A919" t="s">
        <v>423</v>
      </c>
      <c r="B919" t="s">
        <v>1204</v>
      </c>
      <c r="C919" t="s">
        <v>80</v>
      </c>
      <c r="D919" t="s">
        <v>54</v>
      </c>
      <c r="E919" t="s">
        <v>69</v>
      </c>
      <c r="F919">
        <v>0</v>
      </c>
      <c r="G919">
        <v>902</v>
      </c>
      <c r="H919">
        <v>1</v>
      </c>
      <c r="I919" t="s">
        <v>173</v>
      </c>
      <c r="J919">
        <v>1</v>
      </c>
      <c r="K919" s="6">
        <v>2.5299999999999998</v>
      </c>
      <c r="L919" t="s">
        <v>174</v>
      </c>
      <c r="M919">
        <v>0</v>
      </c>
      <c r="N919" t="s">
        <v>175</v>
      </c>
      <c r="O919">
        <v>1</v>
      </c>
      <c r="P919">
        <v>0</v>
      </c>
      <c r="Q919" s="6">
        <v>37</v>
      </c>
      <c r="R919">
        <v>0</v>
      </c>
      <c r="S919" s="6">
        <v>0</v>
      </c>
      <c r="T919">
        <v>0</v>
      </c>
      <c r="U919" s="6">
        <v>3120</v>
      </c>
      <c r="V919">
        <v>0</v>
      </c>
      <c r="W919">
        <v>0</v>
      </c>
      <c r="X919">
        <v>0</v>
      </c>
      <c r="Y919" s="6">
        <v>49.9</v>
      </c>
      <c r="Z919">
        <v>9.1999999999999998E-2</v>
      </c>
      <c r="AA919">
        <v>3.5999999999999997E-2</v>
      </c>
      <c r="AB919">
        <v>0.03</v>
      </c>
      <c r="AC919">
        <v>5</v>
      </c>
      <c r="AD919" s="6">
        <v>51</v>
      </c>
      <c r="AE919" s="6">
        <v>0</v>
      </c>
      <c r="AF919" s="6">
        <v>0</v>
      </c>
      <c r="AG919" s="6">
        <v>46.96</v>
      </c>
      <c r="AH919" s="6">
        <v>61.95</v>
      </c>
      <c r="AI919" s="6">
        <f t="shared" si="28"/>
        <v>14.990000000000002</v>
      </c>
      <c r="AJ919" s="5">
        <f t="shared" si="29"/>
        <v>0.24196933010492336</v>
      </c>
    </row>
    <row r="920" spans="1:36">
      <c r="A920" t="s">
        <v>183</v>
      </c>
      <c r="B920" t="s">
        <v>1205</v>
      </c>
      <c r="C920" t="s">
        <v>80</v>
      </c>
      <c r="D920" t="s">
        <v>54</v>
      </c>
      <c r="E920" t="s">
        <v>69</v>
      </c>
      <c r="F920">
        <v>0</v>
      </c>
      <c r="G920">
        <v>902</v>
      </c>
      <c r="H920">
        <v>1</v>
      </c>
      <c r="I920" t="s">
        <v>173</v>
      </c>
      <c r="J920">
        <v>1</v>
      </c>
      <c r="K920" s="6">
        <v>0.71</v>
      </c>
      <c r="L920" t="s">
        <v>174</v>
      </c>
      <c r="M920">
        <v>0</v>
      </c>
      <c r="N920" t="s">
        <v>175</v>
      </c>
      <c r="O920">
        <v>1</v>
      </c>
      <c r="P920">
        <v>0</v>
      </c>
      <c r="Q920" s="6">
        <v>31.5</v>
      </c>
      <c r="R920">
        <v>1</v>
      </c>
      <c r="S920" s="6">
        <v>920</v>
      </c>
      <c r="T920">
        <v>0</v>
      </c>
      <c r="U920" s="6">
        <v>1093</v>
      </c>
      <c r="V920">
        <v>1</v>
      </c>
      <c r="W920">
        <v>0</v>
      </c>
      <c r="X920">
        <v>0</v>
      </c>
      <c r="Y920" s="6">
        <v>49.9</v>
      </c>
      <c r="Z920">
        <v>9.1999999999999998E-2</v>
      </c>
      <c r="AA920">
        <v>3.5999999999999997E-2</v>
      </c>
      <c r="AB920">
        <v>0.03</v>
      </c>
      <c r="AC920">
        <v>5</v>
      </c>
      <c r="AD920" s="6">
        <v>51</v>
      </c>
      <c r="AE920" s="6">
        <v>25</v>
      </c>
      <c r="AF920" s="6">
        <v>0</v>
      </c>
      <c r="AG920" s="6">
        <v>88.56</v>
      </c>
      <c r="AH920" s="6">
        <v>114.72</v>
      </c>
      <c r="AI920" s="6">
        <f t="shared" si="28"/>
        <v>26.159999999999997</v>
      </c>
      <c r="AJ920" s="5">
        <f t="shared" si="29"/>
        <v>0.22803347280334726</v>
      </c>
    </row>
    <row r="921" spans="1:36">
      <c r="A921" t="s">
        <v>296</v>
      </c>
      <c r="B921" t="s">
        <v>1206</v>
      </c>
      <c r="C921" t="s">
        <v>80</v>
      </c>
      <c r="D921" t="s">
        <v>54</v>
      </c>
      <c r="E921" t="s">
        <v>69</v>
      </c>
      <c r="F921">
        <v>0</v>
      </c>
      <c r="G921">
        <v>902</v>
      </c>
      <c r="H921">
        <v>1</v>
      </c>
      <c r="I921" t="s">
        <v>173</v>
      </c>
      <c r="J921">
        <v>1</v>
      </c>
      <c r="K921" s="6">
        <v>1.7</v>
      </c>
      <c r="L921" t="s">
        <v>174</v>
      </c>
      <c r="M921">
        <v>0</v>
      </c>
      <c r="N921" t="s">
        <v>175</v>
      </c>
      <c r="O921">
        <v>1</v>
      </c>
      <c r="P921">
        <v>0</v>
      </c>
      <c r="Q921" s="6">
        <v>33.9</v>
      </c>
      <c r="R921">
        <v>0</v>
      </c>
      <c r="S921" s="6">
        <v>0</v>
      </c>
      <c r="T921">
        <v>0</v>
      </c>
      <c r="U921" s="6">
        <v>2598</v>
      </c>
      <c r="V921">
        <v>0</v>
      </c>
      <c r="W921">
        <v>0</v>
      </c>
      <c r="X921">
        <v>0</v>
      </c>
      <c r="Y921" s="6">
        <v>49.9</v>
      </c>
      <c r="Z921">
        <v>9.1999999999999998E-2</v>
      </c>
      <c r="AA921">
        <v>3.5999999999999997E-2</v>
      </c>
      <c r="AB921">
        <v>0.03</v>
      </c>
      <c r="AC921">
        <v>5</v>
      </c>
      <c r="AD921" s="6">
        <v>51</v>
      </c>
      <c r="AE921" s="6">
        <v>0</v>
      </c>
      <c r="AF921" s="6">
        <v>0</v>
      </c>
      <c r="AG921" s="6">
        <v>52.33</v>
      </c>
      <c r="AH921" s="6">
        <v>69.16</v>
      </c>
      <c r="AI921" s="6">
        <f t="shared" si="28"/>
        <v>16.829999999999998</v>
      </c>
      <c r="AJ921" s="5">
        <f t="shared" si="29"/>
        <v>0.24334875650665122</v>
      </c>
    </row>
    <row r="922" spans="1:36">
      <c r="A922" t="s">
        <v>291</v>
      </c>
      <c r="B922" t="s">
        <v>1207</v>
      </c>
      <c r="C922" t="s">
        <v>80</v>
      </c>
      <c r="D922" t="s">
        <v>54</v>
      </c>
      <c r="E922" t="s">
        <v>69</v>
      </c>
      <c r="F922">
        <v>0</v>
      </c>
      <c r="G922">
        <v>902</v>
      </c>
      <c r="H922">
        <v>1</v>
      </c>
      <c r="I922" t="s">
        <v>173</v>
      </c>
      <c r="J922">
        <v>1</v>
      </c>
      <c r="K922" s="6">
        <v>1.58</v>
      </c>
      <c r="L922" t="s">
        <v>174</v>
      </c>
      <c r="M922">
        <v>0</v>
      </c>
      <c r="N922" t="s">
        <v>187</v>
      </c>
      <c r="O922">
        <v>2</v>
      </c>
      <c r="P922">
        <v>0</v>
      </c>
      <c r="Q922" s="6">
        <v>48.5</v>
      </c>
      <c r="R922">
        <v>0</v>
      </c>
      <c r="S922" s="6">
        <v>0</v>
      </c>
      <c r="T922">
        <v>0</v>
      </c>
      <c r="U922" s="6">
        <v>4794</v>
      </c>
      <c r="V922">
        <v>0</v>
      </c>
      <c r="W922">
        <v>0</v>
      </c>
      <c r="X922">
        <v>0</v>
      </c>
      <c r="Y922" s="6">
        <v>49.9</v>
      </c>
      <c r="Z922">
        <v>9.1999999999999998E-2</v>
      </c>
      <c r="AA922">
        <v>3.5999999999999997E-2</v>
      </c>
      <c r="AB922">
        <v>0.03</v>
      </c>
      <c r="AC922">
        <v>5</v>
      </c>
      <c r="AD922" s="6">
        <v>51</v>
      </c>
      <c r="AE922" s="6">
        <v>0</v>
      </c>
      <c r="AF922" s="6">
        <v>0</v>
      </c>
      <c r="AG922" s="6">
        <v>52.75</v>
      </c>
      <c r="AH922" s="6">
        <v>68.459999999999994</v>
      </c>
      <c r="AI922" s="6">
        <f t="shared" si="28"/>
        <v>15.709999999999994</v>
      </c>
      <c r="AJ922" s="5">
        <f t="shared" si="29"/>
        <v>0.22947706690037972</v>
      </c>
    </row>
    <row r="923" spans="1:36">
      <c r="A923" t="s">
        <v>296</v>
      </c>
      <c r="B923" t="s">
        <v>1208</v>
      </c>
      <c r="C923" t="s">
        <v>80</v>
      </c>
      <c r="D923" t="s">
        <v>54</v>
      </c>
      <c r="E923" t="s">
        <v>69</v>
      </c>
      <c r="F923">
        <v>0</v>
      </c>
      <c r="G923">
        <v>902</v>
      </c>
      <c r="H923">
        <v>1</v>
      </c>
      <c r="I923" t="s">
        <v>173</v>
      </c>
      <c r="J923">
        <v>1</v>
      </c>
      <c r="K923" s="6">
        <v>1.41</v>
      </c>
      <c r="L923" t="s">
        <v>174</v>
      </c>
      <c r="M923">
        <v>0</v>
      </c>
      <c r="N923" t="s">
        <v>217</v>
      </c>
      <c r="O923">
        <v>4</v>
      </c>
      <c r="P923">
        <v>1</v>
      </c>
      <c r="Q923" s="6">
        <v>117.7</v>
      </c>
      <c r="R923">
        <v>0</v>
      </c>
      <c r="S923" s="6">
        <v>0</v>
      </c>
      <c r="T923">
        <v>0</v>
      </c>
      <c r="U923" s="6">
        <v>5127</v>
      </c>
      <c r="V923">
        <v>0</v>
      </c>
      <c r="W923">
        <v>0</v>
      </c>
      <c r="X923">
        <v>0</v>
      </c>
      <c r="Y923" s="6">
        <v>49.9</v>
      </c>
      <c r="Z923">
        <v>9.1999999999999998E-2</v>
      </c>
      <c r="AA923">
        <v>3.5999999999999997E-2</v>
      </c>
      <c r="AB923">
        <v>0.03</v>
      </c>
      <c r="AC923">
        <v>5</v>
      </c>
      <c r="AD923" s="6">
        <v>51</v>
      </c>
      <c r="AE923" s="6">
        <v>0</v>
      </c>
      <c r="AF923" s="6">
        <v>0</v>
      </c>
      <c r="AG923" s="6">
        <v>99.29</v>
      </c>
      <c r="AH923" s="6">
        <v>128.97</v>
      </c>
      <c r="AI923" s="6">
        <f t="shared" si="28"/>
        <v>29.679999999999993</v>
      </c>
      <c r="AJ923" s="5">
        <f t="shared" si="29"/>
        <v>0.23013103822594397</v>
      </c>
    </row>
    <row r="924" spans="1:36">
      <c r="A924" t="s">
        <v>306</v>
      </c>
      <c r="B924" t="s">
        <v>1209</v>
      </c>
      <c r="C924" t="s">
        <v>80</v>
      </c>
      <c r="D924" t="s">
        <v>54</v>
      </c>
      <c r="E924" t="s">
        <v>69</v>
      </c>
      <c r="F924">
        <v>0</v>
      </c>
      <c r="G924">
        <v>902</v>
      </c>
      <c r="H924">
        <v>1</v>
      </c>
      <c r="I924" t="s">
        <v>181</v>
      </c>
      <c r="J924">
        <v>3</v>
      </c>
      <c r="K924" s="6">
        <v>8.49</v>
      </c>
      <c r="L924" t="s">
        <v>174</v>
      </c>
      <c r="M924">
        <v>0</v>
      </c>
      <c r="N924" t="s">
        <v>187</v>
      </c>
      <c r="O924">
        <v>2</v>
      </c>
      <c r="P924">
        <v>0</v>
      </c>
      <c r="Q924" s="6">
        <v>48.1</v>
      </c>
      <c r="R924">
        <v>0</v>
      </c>
      <c r="S924" s="6">
        <v>0</v>
      </c>
      <c r="T924">
        <v>0</v>
      </c>
      <c r="U924" s="6">
        <v>2143</v>
      </c>
      <c r="V924">
        <v>0</v>
      </c>
      <c r="W924">
        <v>0</v>
      </c>
      <c r="X924">
        <v>0</v>
      </c>
      <c r="Y924" s="6">
        <v>49.9</v>
      </c>
      <c r="Z924">
        <v>9.1999999999999998E-2</v>
      </c>
      <c r="AA924">
        <v>3.5999999999999997E-2</v>
      </c>
      <c r="AB924">
        <v>0.03</v>
      </c>
      <c r="AC924">
        <v>5</v>
      </c>
      <c r="AD924" s="6">
        <v>61</v>
      </c>
      <c r="AE924" s="6">
        <v>0</v>
      </c>
      <c r="AF924" s="6">
        <v>0</v>
      </c>
      <c r="AG924" s="6">
        <v>92.31</v>
      </c>
      <c r="AH924" s="6">
        <v>118.54</v>
      </c>
      <c r="AI924" s="6">
        <f t="shared" si="28"/>
        <v>26.230000000000004</v>
      </c>
      <c r="AJ924" s="5">
        <f t="shared" si="29"/>
        <v>0.2212755188122153</v>
      </c>
    </row>
    <row r="925" spans="1:36">
      <c r="A925" t="s">
        <v>401</v>
      </c>
      <c r="B925" t="s">
        <v>1210</v>
      </c>
      <c r="C925" t="s">
        <v>80</v>
      </c>
      <c r="D925" t="s">
        <v>54</v>
      </c>
      <c r="E925" t="s">
        <v>69</v>
      </c>
      <c r="F925">
        <v>0</v>
      </c>
      <c r="G925">
        <v>902</v>
      </c>
      <c r="H925">
        <v>1</v>
      </c>
      <c r="I925" t="s">
        <v>173</v>
      </c>
      <c r="J925">
        <v>1</v>
      </c>
      <c r="K925" s="6">
        <v>0.96</v>
      </c>
      <c r="L925" t="s">
        <v>174</v>
      </c>
      <c r="M925">
        <v>0</v>
      </c>
      <c r="N925" t="s">
        <v>182</v>
      </c>
      <c r="O925">
        <v>3</v>
      </c>
      <c r="P925">
        <v>0</v>
      </c>
      <c r="Q925" s="6">
        <v>70.2</v>
      </c>
      <c r="R925">
        <v>0</v>
      </c>
      <c r="S925" s="6">
        <v>0</v>
      </c>
      <c r="T925">
        <v>0</v>
      </c>
      <c r="U925" s="6">
        <v>2784</v>
      </c>
      <c r="V925">
        <v>0</v>
      </c>
      <c r="W925">
        <v>0</v>
      </c>
      <c r="X925">
        <v>0</v>
      </c>
      <c r="Y925" s="6">
        <v>49.9</v>
      </c>
      <c r="Z925">
        <v>9.1999999999999998E-2</v>
      </c>
      <c r="AA925">
        <v>3.5999999999999997E-2</v>
      </c>
      <c r="AB925">
        <v>0.03</v>
      </c>
      <c r="AC925">
        <v>5</v>
      </c>
      <c r="AD925" s="6">
        <v>51</v>
      </c>
      <c r="AE925" s="6">
        <v>0</v>
      </c>
      <c r="AF925" s="6">
        <v>0</v>
      </c>
      <c r="AG925" s="6">
        <v>53.61</v>
      </c>
      <c r="AH925" s="6">
        <v>69.44</v>
      </c>
      <c r="AI925" s="6">
        <f t="shared" si="28"/>
        <v>15.829999999999998</v>
      </c>
      <c r="AJ925" s="5">
        <f t="shared" si="29"/>
        <v>0.22796658986175114</v>
      </c>
    </row>
    <row r="926" spans="1:36">
      <c r="A926" t="s">
        <v>208</v>
      </c>
      <c r="B926" t="s">
        <v>1211</v>
      </c>
      <c r="C926" t="s">
        <v>80</v>
      </c>
      <c r="D926" t="s">
        <v>54</v>
      </c>
      <c r="E926" t="s">
        <v>69</v>
      </c>
      <c r="F926">
        <v>0</v>
      </c>
      <c r="G926">
        <v>902</v>
      </c>
      <c r="H926">
        <v>1</v>
      </c>
      <c r="I926" t="s">
        <v>220</v>
      </c>
      <c r="J926">
        <v>2</v>
      </c>
      <c r="K926" s="6">
        <v>5.68</v>
      </c>
      <c r="L926" t="s">
        <v>174</v>
      </c>
      <c r="M926">
        <v>0</v>
      </c>
      <c r="N926" t="s">
        <v>182</v>
      </c>
      <c r="O926">
        <v>3</v>
      </c>
      <c r="P926">
        <v>0</v>
      </c>
      <c r="Q926" s="6">
        <v>80</v>
      </c>
      <c r="R926">
        <v>0</v>
      </c>
      <c r="S926" s="6">
        <v>0</v>
      </c>
      <c r="T926">
        <v>0</v>
      </c>
      <c r="U926" s="6">
        <v>1295</v>
      </c>
      <c r="V926">
        <v>0</v>
      </c>
      <c r="W926">
        <v>0</v>
      </c>
      <c r="X926">
        <v>0</v>
      </c>
      <c r="Y926" s="6">
        <v>49.9</v>
      </c>
      <c r="Z926">
        <v>9.1999999999999998E-2</v>
      </c>
      <c r="AA926">
        <v>3.5999999999999997E-2</v>
      </c>
      <c r="AB926">
        <v>0.03</v>
      </c>
      <c r="AC926">
        <v>5</v>
      </c>
      <c r="AD926" s="6">
        <v>51</v>
      </c>
      <c r="AE926" s="6">
        <v>0</v>
      </c>
      <c r="AF926" s="6">
        <v>0</v>
      </c>
      <c r="AG926" s="6">
        <v>80.819999999999993</v>
      </c>
      <c r="AH926" s="6">
        <v>103.6</v>
      </c>
      <c r="AI926" s="6">
        <f t="shared" si="28"/>
        <v>22.78</v>
      </c>
      <c r="AJ926" s="5">
        <f t="shared" si="29"/>
        <v>0.21988416988416989</v>
      </c>
    </row>
    <row r="927" spans="1:36">
      <c r="A927" t="s">
        <v>521</v>
      </c>
      <c r="B927" t="s">
        <v>1212</v>
      </c>
      <c r="C927" t="s">
        <v>80</v>
      </c>
      <c r="D927" t="s">
        <v>54</v>
      </c>
      <c r="E927" t="s">
        <v>69</v>
      </c>
      <c r="F927">
        <v>0</v>
      </c>
      <c r="G927">
        <v>902</v>
      </c>
      <c r="H927">
        <v>1</v>
      </c>
      <c r="I927" t="s">
        <v>173</v>
      </c>
      <c r="J927">
        <v>1</v>
      </c>
      <c r="K927" s="6">
        <v>2.63</v>
      </c>
      <c r="L927" t="s">
        <v>174</v>
      </c>
      <c r="M927">
        <v>0</v>
      </c>
      <c r="N927" t="s">
        <v>217</v>
      </c>
      <c r="O927">
        <v>4</v>
      </c>
      <c r="P927">
        <v>1</v>
      </c>
      <c r="Q927" s="6">
        <v>208.5</v>
      </c>
      <c r="R927">
        <v>0</v>
      </c>
      <c r="S927" s="6">
        <v>0</v>
      </c>
      <c r="T927">
        <v>0</v>
      </c>
      <c r="U927" s="6">
        <v>1447</v>
      </c>
      <c r="V927">
        <v>0</v>
      </c>
      <c r="W927">
        <v>0</v>
      </c>
      <c r="X927">
        <v>0</v>
      </c>
      <c r="Y927" s="6">
        <v>49.9</v>
      </c>
      <c r="Z927">
        <v>9.1999999999999998E-2</v>
      </c>
      <c r="AA927">
        <v>3.5999999999999997E-2</v>
      </c>
      <c r="AB927">
        <v>0.03</v>
      </c>
      <c r="AC927">
        <v>5</v>
      </c>
      <c r="AD927" s="6">
        <v>51</v>
      </c>
      <c r="AE927" s="6">
        <v>0</v>
      </c>
      <c r="AF927" s="6">
        <v>0</v>
      </c>
      <c r="AG927" s="6">
        <v>101.5</v>
      </c>
      <c r="AH927" s="6">
        <v>130.76</v>
      </c>
      <c r="AI927" s="6">
        <f t="shared" si="28"/>
        <v>29.259999999999991</v>
      </c>
      <c r="AJ927" s="5">
        <f t="shared" si="29"/>
        <v>0.2237687366167023</v>
      </c>
    </row>
    <row r="928" spans="1:36">
      <c r="A928" t="s">
        <v>286</v>
      </c>
      <c r="B928" t="s">
        <v>1213</v>
      </c>
      <c r="C928" t="s">
        <v>80</v>
      </c>
      <c r="D928" t="s">
        <v>54</v>
      </c>
      <c r="E928" t="s">
        <v>69</v>
      </c>
      <c r="F928">
        <v>0</v>
      </c>
      <c r="G928">
        <v>902</v>
      </c>
      <c r="H928">
        <v>1</v>
      </c>
      <c r="I928" t="s">
        <v>173</v>
      </c>
      <c r="J928">
        <v>1</v>
      </c>
      <c r="K928" s="6">
        <v>1.66</v>
      </c>
      <c r="L928" t="s">
        <v>174</v>
      </c>
      <c r="M928">
        <v>0</v>
      </c>
      <c r="N928" t="s">
        <v>175</v>
      </c>
      <c r="O928">
        <v>1</v>
      </c>
      <c r="P928">
        <v>0</v>
      </c>
      <c r="Q928" s="6">
        <v>25.3</v>
      </c>
      <c r="R928">
        <v>0</v>
      </c>
      <c r="S928" s="6">
        <v>0</v>
      </c>
      <c r="T928">
        <v>0</v>
      </c>
      <c r="U928" s="6">
        <v>2198</v>
      </c>
      <c r="V928">
        <v>0</v>
      </c>
      <c r="W928">
        <v>0</v>
      </c>
      <c r="X928">
        <v>0</v>
      </c>
      <c r="Y928" s="6">
        <v>49.9</v>
      </c>
      <c r="Z928">
        <v>9.1999999999999998E-2</v>
      </c>
      <c r="AA928">
        <v>3.5999999999999997E-2</v>
      </c>
      <c r="AB928">
        <v>0.03</v>
      </c>
      <c r="AC928">
        <v>5</v>
      </c>
      <c r="AD928" s="6">
        <v>51</v>
      </c>
      <c r="AE928" s="6">
        <v>0</v>
      </c>
      <c r="AF928" s="6">
        <v>0</v>
      </c>
      <c r="AG928" s="6">
        <v>52.04</v>
      </c>
      <c r="AH928" s="6">
        <v>67.72</v>
      </c>
      <c r="AI928" s="6">
        <f t="shared" si="28"/>
        <v>15.68</v>
      </c>
      <c r="AJ928" s="5">
        <f t="shared" si="29"/>
        <v>0.23154164205552275</v>
      </c>
    </row>
    <row r="929" spans="1:36">
      <c r="A929" t="s">
        <v>223</v>
      </c>
      <c r="B929" t="s">
        <v>1214</v>
      </c>
      <c r="C929" t="s">
        <v>80</v>
      </c>
      <c r="D929" t="s">
        <v>54</v>
      </c>
      <c r="E929" t="s">
        <v>69</v>
      </c>
      <c r="F929">
        <v>0</v>
      </c>
      <c r="G929">
        <v>902</v>
      </c>
      <c r="H929">
        <v>1</v>
      </c>
      <c r="I929" t="s">
        <v>181</v>
      </c>
      <c r="J929">
        <v>3</v>
      </c>
      <c r="K929" s="6">
        <v>12.81</v>
      </c>
      <c r="L929" t="s">
        <v>174</v>
      </c>
      <c r="M929">
        <v>0</v>
      </c>
      <c r="N929" t="s">
        <v>187</v>
      </c>
      <c r="O929">
        <v>2</v>
      </c>
      <c r="P929">
        <v>0</v>
      </c>
      <c r="Q929" s="6">
        <v>73.5</v>
      </c>
      <c r="R929">
        <v>0</v>
      </c>
      <c r="S929" s="6">
        <v>0</v>
      </c>
      <c r="T929">
        <v>0</v>
      </c>
      <c r="U929" s="6">
        <v>3412</v>
      </c>
      <c r="V929">
        <v>0</v>
      </c>
      <c r="W929">
        <v>0</v>
      </c>
      <c r="X929">
        <v>0</v>
      </c>
      <c r="Y929" s="6">
        <v>49.9</v>
      </c>
      <c r="Z929">
        <v>9.1999999999999998E-2</v>
      </c>
      <c r="AA929">
        <v>3.5999999999999997E-2</v>
      </c>
      <c r="AB929">
        <v>0.03</v>
      </c>
      <c r="AC929">
        <v>5</v>
      </c>
      <c r="AD929" s="6">
        <v>61</v>
      </c>
      <c r="AE929" s="6">
        <v>0</v>
      </c>
      <c r="AF929" s="6">
        <v>0</v>
      </c>
      <c r="AG929" s="6">
        <v>107.38</v>
      </c>
      <c r="AH929" s="6">
        <v>138.28</v>
      </c>
      <c r="AI929" s="6">
        <f t="shared" si="28"/>
        <v>30.900000000000006</v>
      </c>
      <c r="AJ929" s="5">
        <f t="shared" si="29"/>
        <v>0.22345964709285512</v>
      </c>
    </row>
    <row r="930" spans="1:36">
      <c r="A930" t="s">
        <v>457</v>
      </c>
      <c r="B930" t="s">
        <v>1215</v>
      </c>
      <c r="C930" t="s">
        <v>80</v>
      </c>
      <c r="D930" t="s">
        <v>54</v>
      </c>
      <c r="E930" t="s">
        <v>69</v>
      </c>
      <c r="F930">
        <v>0</v>
      </c>
      <c r="G930">
        <v>902</v>
      </c>
      <c r="H930">
        <v>1</v>
      </c>
      <c r="I930" t="s">
        <v>173</v>
      </c>
      <c r="J930">
        <v>1</v>
      </c>
      <c r="K930" s="6">
        <v>0.94</v>
      </c>
      <c r="L930" t="s">
        <v>174</v>
      </c>
      <c r="M930">
        <v>0</v>
      </c>
      <c r="N930" t="s">
        <v>175</v>
      </c>
      <c r="O930">
        <v>1</v>
      </c>
      <c r="P930">
        <v>0</v>
      </c>
      <c r="Q930" s="6">
        <v>43.5</v>
      </c>
      <c r="R930">
        <v>0</v>
      </c>
      <c r="S930" s="6">
        <v>0</v>
      </c>
      <c r="T930">
        <v>0</v>
      </c>
      <c r="U930" s="6">
        <v>1362</v>
      </c>
      <c r="V930">
        <v>0</v>
      </c>
      <c r="W930">
        <v>0</v>
      </c>
      <c r="X930">
        <v>0</v>
      </c>
      <c r="Y930" s="6">
        <v>49.9</v>
      </c>
      <c r="Z930">
        <v>9.1999999999999998E-2</v>
      </c>
      <c r="AA930">
        <v>3.5999999999999997E-2</v>
      </c>
      <c r="AB930">
        <v>0.03</v>
      </c>
      <c r="AC930">
        <v>5</v>
      </c>
      <c r="AD930" s="6">
        <v>51</v>
      </c>
      <c r="AE930" s="6">
        <v>0</v>
      </c>
      <c r="AF930" s="6">
        <v>0</v>
      </c>
      <c r="AG930" s="6">
        <v>43.56</v>
      </c>
      <c r="AH930" s="6">
        <v>56.7</v>
      </c>
      <c r="AI930" s="6">
        <f t="shared" si="28"/>
        <v>13.14</v>
      </c>
      <c r="AJ930" s="5">
        <f t="shared" si="29"/>
        <v>0.23174603174603176</v>
      </c>
    </row>
    <row r="931" spans="1:36">
      <c r="A931" t="s">
        <v>225</v>
      </c>
      <c r="B931" t="s">
        <v>1216</v>
      </c>
      <c r="C931" t="s">
        <v>80</v>
      </c>
      <c r="D931" t="s">
        <v>54</v>
      </c>
      <c r="E931" t="s">
        <v>69</v>
      </c>
      <c r="F931">
        <v>0</v>
      </c>
      <c r="G931">
        <v>902</v>
      </c>
      <c r="H931">
        <v>1</v>
      </c>
      <c r="I931" t="s">
        <v>220</v>
      </c>
      <c r="J931">
        <v>2</v>
      </c>
      <c r="K931" s="6">
        <v>3.75</v>
      </c>
      <c r="L931" t="s">
        <v>174</v>
      </c>
      <c r="M931">
        <v>0</v>
      </c>
      <c r="N931" t="s">
        <v>187</v>
      </c>
      <c r="O931">
        <v>2</v>
      </c>
      <c r="P931">
        <v>0</v>
      </c>
      <c r="Q931" s="6">
        <v>56.8</v>
      </c>
      <c r="R931">
        <v>0</v>
      </c>
      <c r="S931" s="6">
        <v>0</v>
      </c>
      <c r="T931">
        <v>0</v>
      </c>
      <c r="U931" s="6">
        <v>2692</v>
      </c>
      <c r="V931">
        <v>1</v>
      </c>
      <c r="W931">
        <v>0</v>
      </c>
      <c r="X931">
        <v>0</v>
      </c>
      <c r="Y931" s="6">
        <v>49.9</v>
      </c>
      <c r="Z931">
        <v>9.1999999999999998E-2</v>
      </c>
      <c r="AA931">
        <v>3.5999999999999997E-2</v>
      </c>
      <c r="AB931">
        <v>0.03</v>
      </c>
      <c r="AC931">
        <v>5</v>
      </c>
      <c r="AD931" s="6">
        <v>51</v>
      </c>
      <c r="AE931" s="6">
        <v>0</v>
      </c>
      <c r="AF931" s="6">
        <v>0</v>
      </c>
      <c r="AG931" s="6">
        <v>113.25</v>
      </c>
      <c r="AH931" s="6">
        <v>144.91999999999999</v>
      </c>
      <c r="AI931" s="6">
        <f t="shared" si="28"/>
        <v>31.669999999999987</v>
      </c>
      <c r="AJ931" s="5">
        <f t="shared" si="29"/>
        <v>0.21853436378691685</v>
      </c>
    </row>
    <row r="932" spans="1:36">
      <c r="A932" t="s">
        <v>375</v>
      </c>
      <c r="B932" t="s">
        <v>1217</v>
      </c>
      <c r="C932" t="s">
        <v>80</v>
      </c>
      <c r="D932" t="s">
        <v>54</v>
      </c>
      <c r="E932" t="s">
        <v>69</v>
      </c>
      <c r="F932">
        <v>0</v>
      </c>
      <c r="G932">
        <v>902</v>
      </c>
      <c r="H932">
        <v>1</v>
      </c>
      <c r="I932" t="s">
        <v>173</v>
      </c>
      <c r="J932">
        <v>1</v>
      </c>
      <c r="K932" s="6">
        <v>1.86</v>
      </c>
      <c r="L932" t="s">
        <v>174</v>
      </c>
      <c r="M932">
        <v>0</v>
      </c>
      <c r="N932" t="s">
        <v>175</v>
      </c>
      <c r="O932">
        <v>1</v>
      </c>
      <c r="P932">
        <v>0</v>
      </c>
      <c r="Q932" s="6">
        <v>20.6</v>
      </c>
      <c r="R932">
        <v>0</v>
      </c>
      <c r="S932" s="6">
        <v>0</v>
      </c>
      <c r="T932">
        <v>0</v>
      </c>
      <c r="U932" s="6">
        <v>7594</v>
      </c>
      <c r="V932">
        <v>0</v>
      </c>
      <c r="W932">
        <v>0</v>
      </c>
      <c r="X932">
        <v>0</v>
      </c>
      <c r="Y932" s="6">
        <v>49.9</v>
      </c>
      <c r="Z932">
        <v>9.1999999999999998E-2</v>
      </c>
      <c r="AA932">
        <v>3.5999999999999997E-2</v>
      </c>
      <c r="AB932">
        <v>0.03</v>
      </c>
      <c r="AC932">
        <v>5</v>
      </c>
      <c r="AD932" s="6">
        <v>51</v>
      </c>
      <c r="AE932" s="6">
        <v>0</v>
      </c>
      <c r="AF932" s="6">
        <v>0</v>
      </c>
      <c r="AG932" s="6">
        <v>52.09</v>
      </c>
      <c r="AH932" s="6">
        <v>67.739999999999995</v>
      </c>
      <c r="AI932" s="6">
        <f t="shared" si="28"/>
        <v>15.649999999999991</v>
      </c>
      <c r="AJ932" s="5">
        <f t="shared" si="29"/>
        <v>0.23103041039267777</v>
      </c>
    </row>
    <row r="933" spans="1:36">
      <c r="A933" t="s">
        <v>253</v>
      </c>
      <c r="B933" t="s">
        <v>1218</v>
      </c>
      <c r="C933" t="s">
        <v>80</v>
      </c>
      <c r="D933" t="s">
        <v>54</v>
      </c>
      <c r="E933" t="s">
        <v>69</v>
      </c>
      <c r="F933">
        <v>0</v>
      </c>
      <c r="G933">
        <v>902</v>
      </c>
      <c r="H933">
        <v>1</v>
      </c>
      <c r="I933" t="s">
        <v>173</v>
      </c>
      <c r="J933">
        <v>1</v>
      </c>
      <c r="K933" s="6">
        <v>2.0699999999999998</v>
      </c>
      <c r="L933" t="s">
        <v>200</v>
      </c>
      <c r="M933">
        <v>1</v>
      </c>
      <c r="N933" t="s">
        <v>175</v>
      </c>
      <c r="O933">
        <v>1</v>
      </c>
      <c r="P933">
        <v>0</v>
      </c>
      <c r="Q933" s="6">
        <v>16.600000000000001</v>
      </c>
      <c r="R933">
        <v>0</v>
      </c>
      <c r="S933" s="6">
        <v>0</v>
      </c>
      <c r="T933">
        <v>0</v>
      </c>
      <c r="U933" s="6">
        <v>4751</v>
      </c>
      <c r="V933">
        <v>0</v>
      </c>
      <c r="W933">
        <v>0</v>
      </c>
      <c r="X933">
        <v>0</v>
      </c>
      <c r="Y933" s="6">
        <v>49.9</v>
      </c>
      <c r="Z933">
        <v>9.1999999999999998E-2</v>
      </c>
      <c r="AA933">
        <v>3.5999999999999997E-2</v>
      </c>
      <c r="AB933">
        <v>0.03</v>
      </c>
      <c r="AC933">
        <v>5</v>
      </c>
      <c r="AD933" s="6">
        <v>100</v>
      </c>
      <c r="AE933" s="6">
        <v>0</v>
      </c>
      <c r="AF933" s="6">
        <v>0</v>
      </c>
      <c r="AG933" s="6">
        <v>77.900000000000006</v>
      </c>
      <c r="AH933" s="6">
        <v>103.87</v>
      </c>
      <c r="AI933" s="6">
        <f t="shared" si="28"/>
        <v>25.97</v>
      </c>
      <c r="AJ933" s="5">
        <f t="shared" si="29"/>
        <v>0.25002406854722248</v>
      </c>
    </row>
    <row r="934" spans="1:36">
      <c r="A934" t="s">
        <v>298</v>
      </c>
      <c r="B934" t="s">
        <v>1219</v>
      </c>
      <c r="C934" t="s">
        <v>80</v>
      </c>
      <c r="D934" t="s">
        <v>54</v>
      </c>
      <c r="E934" t="s">
        <v>69</v>
      </c>
      <c r="F934">
        <v>0</v>
      </c>
      <c r="G934">
        <v>902</v>
      </c>
      <c r="H934">
        <v>1</v>
      </c>
      <c r="I934" t="s">
        <v>173</v>
      </c>
      <c r="J934">
        <v>1</v>
      </c>
      <c r="K934" s="6">
        <v>2.02</v>
      </c>
      <c r="L934" t="s">
        <v>174</v>
      </c>
      <c r="M934">
        <v>0</v>
      </c>
      <c r="N934" t="s">
        <v>175</v>
      </c>
      <c r="O934">
        <v>1</v>
      </c>
      <c r="P934">
        <v>0</v>
      </c>
      <c r="Q934" s="6">
        <v>43.7</v>
      </c>
      <c r="R934">
        <v>0</v>
      </c>
      <c r="S934" s="6">
        <v>0</v>
      </c>
      <c r="T934">
        <v>0</v>
      </c>
      <c r="U934" s="6">
        <v>2508</v>
      </c>
      <c r="V934">
        <v>0</v>
      </c>
      <c r="W934">
        <v>0</v>
      </c>
      <c r="X934">
        <v>0</v>
      </c>
      <c r="Y934" s="6">
        <v>49.9</v>
      </c>
      <c r="Z934">
        <v>9.1999999999999998E-2</v>
      </c>
      <c r="AA934">
        <v>3.5999999999999997E-2</v>
      </c>
      <c r="AB934">
        <v>0.03</v>
      </c>
      <c r="AC934">
        <v>5</v>
      </c>
      <c r="AD934" s="6">
        <v>51</v>
      </c>
      <c r="AE934" s="6">
        <v>0</v>
      </c>
      <c r="AF934" s="6">
        <v>0</v>
      </c>
      <c r="AG934" s="6">
        <v>42.77</v>
      </c>
      <c r="AH934" s="6">
        <v>56.7</v>
      </c>
      <c r="AI934" s="6">
        <f t="shared" si="28"/>
        <v>13.93</v>
      </c>
      <c r="AJ934" s="5">
        <f t="shared" si="29"/>
        <v>0.24567901234567899</v>
      </c>
    </row>
    <row r="935" spans="1:36">
      <c r="A935" t="s">
        <v>286</v>
      </c>
      <c r="B935" t="s">
        <v>1220</v>
      </c>
      <c r="C935" t="s">
        <v>80</v>
      </c>
      <c r="D935" t="s">
        <v>54</v>
      </c>
      <c r="E935" t="s">
        <v>69</v>
      </c>
      <c r="F935">
        <v>0</v>
      </c>
      <c r="G935">
        <v>902</v>
      </c>
      <c r="H935">
        <v>1</v>
      </c>
      <c r="I935" t="s">
        <v>173</v>
      </c>
      <c r="J935">
        <v>1</v>
      </c>
      <c r="K935" s="6">
        <v>2.4500000000000002</v>
      </c>
      <c r="L935" t="s">
        <v>174</v>
      </c>
      <c r="M935">
        <v>0</v>
      </c>
      <c r="N935" t="s">
        <v>175</v>
      </c>
      <c r="O935">
        <v>1</v>
      </c>
      <c r="P935">
        <v>0</v>
      </c>
      <c r="Q935" s="6">
        <v>28.4</v>
      </c>
      <c r="R935">
        <v>0</v>
      </c>
      <c r="S935" s="6">
        <v>0</v>
      </c>
      <c r="T935">
        <v>0</v>
      </c>
      <c r="U935" s="6">
        <v>2591</v>
      </c>
      <c r="V935">
        <v>0</v>
      </c>
      <c r="W935">
        <v>0</v>
      </c>
      <c r="X935">
        <v>0</v>
      </c>
      <c r="Y935" s="6">
        <v>49.9</v>
      </c>
      <c r="Z935">
        <v>9.1999999999999998E-2</v>
      </c>
      <c r="AA935">
        <v>3.5999999999999997E-2</v>
      </c>
      <c r="AB935">
        <v>0.03</v>
      </c>
      <c r="AC935">
        <v>5</v>
      </c>
      <c r="AD935" s="6">
        <v>51</v>
      </c>
      <c r="AE935" s="6">
        <v>0</v>
      </c>
      <c r="AF935" s="6">
        <v>0</v>
      </c>
      <c r="AG935" s="6">
        <v>52.73</v>
      </c>
      <c r="AH935" s="6">
        <v>67.040000000000006</v>
      </c>
      <c r="AI935" s="6">
        <f t="shared" si="28"/>
        <v>14.310000000000009</v>
      </c>
      <c r="AJ935" s="5">
        <f t="shared" si="29"/>
        <v>0.2134546539379476</v>
      </c>
    </row>
    <row r="936" spans="1:36">
      <c r="A936" t="s">
        <v>291</v>
      </c>
      <c r="B936" t="s">
        <v>1221</v>
      </c>
      <c r="C936" t="s">
        <v>80</v>
      </c>
      <c r="D936" t="s">
        <v>54</v>
      </c>
      <c r="E936" t="s">
        <v>69</v>
      </c>
      <c r="F936">
        <v>0</v>
      </c>
      <c r="G936">
        <v>902</v>
      </c>
      <c r="H936">
        <v>1</v>
      </c>
      <c r="I936" t="s">
        <v>181</v>
      </c>
      <c r="J936">
        <v>3</v>
      </c>
      <c r="K936" s="6">
        <v>9.25</v>
      </c>
      <c r="L936" t="s">
        <v>174</v>
      </c>
      <c r="M936">
        <v>0</v>
      </c>
      <c r="N936" t="s">
        <v>187</v>
      </c>
      <c r="O936">
        <v>2</v>
      </c>
      <c r="P936">
        <v>0</v>
      </c>
      <c r="Q936" s="6">
        <v>46</v>
      </c>
      <c r="R936">
        <v>1</v>
      </c>
      <c r="S936" s="6">
        <v>1011</v>
      </c>
      <c r="T936">
        <v>0</v>
      </c>
      <c r="U936" s="6">
        <v>1849</v>
      </c>
      <c r="V936">
        <v>0</v>
      </c>
      <c r="W936">
        <v>0</v>
      </c>
      <c r="X936">
        <v>0</v>
      </c>
      <c r="Y936" s="6">
        <v>49.9</v>
      </c>
      <c r="Z936">
        <v>9.1999999999999998E-2</v>
      </c>
      <c r="AA936">
        <v>3.5999999999999997E-2</v>
      </c>
      <c r="AB936">
        <v>0.03</v>
      </c>
      <c r="AC936">
        <v>5</v>
      </c>
      <c r="AD936" s="6">
        <v>61</v>
      </c>
      <c r="AE936" s="6">
        <v>25</v>
      </c>
      <c r="AF936" s="6">
        <v>0</v>
      </c>
      <c r="AG936" s="6">
        <v>102.97</v>
      </c>
      <c r="AH936" s="6">
        <v>132.05000000000001</v>
      </c>
      <c r="AI936" s="6">
        <f t="shared" si="28"/>
        <v>29.080000000000013</v>
      </c>
      <c r="AJ936" s="5">
        <f t="shared" si="29"/>
        <v>0.22021961378265817</v>
      </c>
    </row>
    <row r="937" spans="1:36">
      <c r="A937" t="s">
        <v>243</v>
      </c>
      <c r="B937" t="s">
        <v>1222</v>
      </c>
      <c r="C937" t="s">
        <v>80</v>
      </c>
      <c r="D937" t="s">
        <v>54</v>
      </c>
      <c r="E937" t="s">
        <v>69</v>
      </c>
      <c r="F937">
        <v>0</v>
      </c>
      <c r="G937">
        <v>902</v>
      </c>
      <c r="H937">
        <v>1</v>
      </c>
      <c r="I937" t="s">
        <v>220</v>
      </c>
      <c r="J937">
        <v>2</v>
      </c>
      <c r="K937" s="6">
        <v>3.33</v>
      </c>
      <c r="L937" t="s">
        <v>200</v>
      </c>
      <c r="M937">
        <v>1</v>
      </c>
      <c r="N937" t="s">
        <v>272</v>
      </c>
      <c r="O937">
        <v>5</v>
      </c>
      <c r="P937">
        <v>1</v>
      </c>
      <c r="Q937" s="6">
        <v>307.60000000000002</v>
      </c>
      <c r="R937">
        <v>0</v>
      </c>
      <c r="S937" s="6">
        <v>0</v>
      </c>
      <c r="T937">
        <v>0</v>
      </c>
      <c r="U937" s="6">
        <v>3250</v>
      </c>
      <c r="V937">
        <v>0</v>
      </c>
      <c r="W937">
        <v>0</v>
      </c>
      <c r="X937">
        <v>0</v>
      </c>
      <c r="Y937" s="6">
        <v>49.9</v>
      </c>
      <c r="Z937">
        <v>9.1999999999999998E-2</v>
      </c>
      <c r="AA937">
        <v>3.5999999999999997E-2</v>
      </c>
      <c r="AB937">
        <v>0.03</v>
      </c>
      <c r="AC937">
        <v>5</v>
      </c>
      <c r="AD937" s="6">
        <v>120</v>
      </c>
      <c r="AE937" s="6">
        <v>0</v>
      </c>
      <c r="AF937" s="6">
        <v>0</v>
      </c>
      <c r="AG937" s="6">
        <v>206.57</v>
      </c>
      <c r="AH937" s="6">
        <v>262.95999999999998</v>
      </c>
      <c r="AI937" s="6">
        <f t="shared" si="28"/>
        <v>56.389999999999986</v>
      </c>
      <c r="AJ937" s="5">
        <f t="shared" si="29"/>
        <v>0.21444326133252203</v>
      </c>
    </row>
    <row r="938" spans="1:36">
      <c r="A938" t="s">
        <v>306</v>
      </c>
      <c r="B938" t="s">
        <v>1223</v>
      </c>
      <c r="C938" t="s">
        <v>80</v>
      </c>
      <c r="D938" t="s">
        <v>54</v>
      </c>
      <c r="E938" t="s">
        <v>69</v>
      </c>
      <c r="F938">
        <v>0</v>
      </c>
      <c r="G938">
        <v>902</v>
      </c>
      <c r="H938">
        <v>1</v>
      </c>
      <c r="I938" t="s">
        <v>173</v>
      </c>
      <c r="J938">
        <v>1</v>
      </c>
      <c r="K938" s="6">
        <v>1.26</v>
      </c>
      <c r="L938" t="s">
        <v>174</v>
      </c>
      <c r="M938">
        <v>0</v>
      </c>
      <c r="N938" t="s">
        <v>187</v>
      </c>
      <c r="O938">
        <v>2</v>
      </c>
      <c r="P938">
        <v>0</v>
      </c>
      <c r="Q938" s="6">
        <v>48.4</v>
      </c>
      <c r="R938">
        <v>0</v>
      </c>
      <c r="S938" s="6">
        <v>0</v>
      </c>
      <c r="T938">
        <v>0</v>
      </c>
      <c r="U938" s="6">
        <v>3009</v>
      </c>
      <c r="V938">
        <v>0</v>
      </c>
      <c r="W938">
        <v>0</v>
      </c>
      <c r="X938">
        <v>0</v>
      </c>
      <c r="Y938" s="6">
        <v>49.9</v>
      </c>
      <c r="Z938">
        <v>9.1999999999999998E-2</v>
      </c>
      <c r="AA938">
        <v>3.5999999999999997E-2</v>
      </c>
      <c r="AB938">
        <v>0.03</v>
      </c>
      <c r="AC938">
        <v>5</v>
      </c>
      <c r="AD938" s="6">
        <v>51</v>
      </c>
      <c r="AE938" s="6">
        <v>0</v>
      </c>
      <c r="AF938" s="6">
        <v>0</v>
      </c>
      <c r="AG938" s="6">
        <v>56.7</v>
      </c>
      <c r="AH938" s="6">
        <v>72.290000000000006</v>
      </c>
      <c r="AI938" s="6">
        <f t="shared" si="28"/>
        <v>15.590000000000003</v>
      </c>
      <c r="AJ938" s="5">
        <f t="shared" si="29"/>
        <v>0.21565915064324254</v>
      </c>
    </row>
    <row r="939" spans="1:36">
      <c r="A939" t="s">
        <v>313</v>
      </c>
      <c r="B939" t="s">
        <v>1224</v>
      </c>
      <c r="C939" t="s">
        <v>80</v>
      </c>
      <c r="D939" t="s">
        <v>54</v>
      </c>
      <c r="E939" t="s">
        <v>69</v>
      </c>
      <c r="F939">
        <v>0</v>
      </c>
      <c r="G939">
        <v>902</v>
      </c>
      <c r="H939">
        <v>1</v>
      </c>
      <c r="I939" t="s">
        <v>173</v>
      </c>
      <c r="J939">
        <v>1</v>
      </c>
      <c r="K939" s="6">
        <v>2.06</v>
      </c>
      <c r="L939" t="s">
        <v>174</v>
      </c>
      <c r="M939">
        <v>0</v>
      </c>
      <c r="N939" t="s">
        <v>175</v>
      </c>
      <c r="O939">
        <v>1</v>
      </c>
      <c r="P939">
        <v>0</v>
      </c>
      <c r="Q939" s="6">
        <v>39.799999999999997</v>
      </c>
      <c r="R939">
        <v>0</v>
      </c>
      <c r="S939" s="6">
        <v>0</v>
      </c>
      <c r="T939">
        <v>0</v>
      </c>
      <c r="U939" s="6">
        <v>3561</v>
      </c>
      <c r="V939">
        <v>0</v>
      </c>
      <c r="W939">
        <v>0</v>
      </c>
      <c r="X939">
        <v>0</v>
      </c>
      <c r="Y939" s="6">
        <v>49.9</v>
      </c>
      <c r="Z939">
        <v>9.1999999999999998E-2</v>
      </c>
      <c r="AA939">
        <v>3.5999999999999997E-2</v>
      </c>
      <c r="AB939">
        <v>0.03</v>
      </c>
      <c r="AC939">
        <v>5</v>
      </c>
      <c r="AD939" s="6">
        <v>51</v>
      </c>
      <c r="AE939" s="6">
        <v>0</v>
      </c>
      <c r="AF939" s="6">
        <v>0</v>
      </c>
      <c r="AG939" s="6">
        <v>53.7</v>
      </c>
      <c r="AH939" s="6">
        <v>69.349999999999994</v>
      </c>
      <c r="AI939" s="6">
        <f t="shared" si="28"/>
        <v>15.649999999999991</v>
      </c>
      <c r="AJ939" s="5">
        <f t="shared" si="29"/>
        <v>0.22566690699351108</v>
      </c>
    </row>
    <row r="940" spans="1:36">
      <c r="A940" t="s">
        <v>230</v>
      </c>
      <c r="B940" t="s">
        <v>1225</v>
      </c>
      <c r="C940" t="s">
        <v>80</v>
      </c>
      <c r="D940" t="s">
        <v>54</v>
      </c>
      <c r="E940" t="s">
        <v>69</v>
      </c>
      <c r="F940">
        <v>0</v>
      </c>
      <c r="G940">
        <v>902</v>
      </c>
      <c r="H940">
        <v>1</v>
      </c>
      <c r="I940" t="s">
        <v>173</v>
      </c>
      <c r="J940">
        <v>1</v>
      </c>
      <c r="K940" s="6">
        <v>1.91</v>
      </c>
      <c r="L940" t="s">
        <v>174</v>
      </c>
      <c r="M940">
        <v>0</v>
      </c>
      <c r="N940" t="s">
        <v>187</v>
      </c>
      <c r="O940">
        <v>2</v>
      </c>
      <c r="P940">
        <v>0</v>
      </c>
      <c r="Q940" s="6">
        <v>56.4</v>
      </c>
      <c r="R940">
        <v>1</v>
      </c>
      <c r="S940" s="6">
        <v>471</v>
      </c>
      <c r="T940">
        <v>0</v>
      </c>
      <c r="U940" s="6">
        <v>2958</v>
      </c>
      <c r="V940">
        <v>0</v>
      </c>
      <c r="W940">
        <v>0</v>
      </c>
      <c r="X940">
        <v>0</v>
      </c>
      <c r="Y940" s="6">
        <v>49.9</v>
      </c>
      <c r="Z940">
        <v>9.1999999999999998E-2</v>
      </c>
      <c r="AA940">
        <v>3.5999999999999997E-2</v>
      </c>
      <c r="AB940">
        <v>0.03</v>
      </c>
      <c r="AC940">
        <v>5</v>
      </c>
      <c r="AD940" s="6">
        <v>51</v>
      </c>
      <c r="AE940" s="6">
        <v>25</v>
      </c>
      <c r="AF940" s="6">
        <v>0</v>
      </c>
      <c r="AG940" s="6">
        <v>57.15</v>
      </c>
      <c r="AH940" s="6">
        <v>71.62</v>
      </c>
      <c r="AI940" s="6">
        <f t="shared" si="28"/>
        <v>14.470000000000006</v>
      </c>
      <c r="AJ940" s="5">
        <f t="shared" si="29"/>
        <v>0.20203853672158623</v>
      </c>
    </row>
    <row r="941" spans="1:36">
      <c r="A941" t="s">
        <v>201</v>
      </c>
      <c r="B941" t="s">
        <v>1226</v>
      </c>
      <c r="C941" t="s">
        <v>80</v>
      </c>
      <c r="D941" t="s">
        <v>54</v>
      </c>
      <c r="E941" t="s">
        <v>69</v>
      </c>
      <c r="F941">
        <v>0</v>
      </c>
      <c r="G941">
        <v>902</v>
      </c>
      <c r="H941">
        <v>1</v>
      </c>
      <c r="I941" t="s">
        <v>181</v>
      </c>
      <c r="J941">
        <v>3</v>
      </c>
      <c r="K941" s="6">
        <v>9.1</v>
      </c>
      <c r="L941" t="s">
        <v>174</v>
      </c>
      <c r="M941">
        <v>0</v>
      </c>
      <c r="N941" t="s">
        <v>182</v>
      </c>
      <c r="O941">
        <v>3</v>
      </c>
      <c r="P941">
        <v>0</v>
      </c>
      <c r="Q941" s="6">
        <v>63.7</v>
      </c>
      <c r="R941">
        <v>0</v>
      </c>
      <c r="S941" s="6">
        <v>0</v>
      </c>
      <c r="T941">
        <v>0</v>
      </c>
      <c r="U941" s="6">
        <v>5997</v>
      </c>
      <c r="V941">
        <v>0</v>
      </c>
      <c r="W941">
        <v>0</v>
      </c>
      <c r="X941">
        <v>0</v>
      </c>
      <c r="Y941" s="6">
        <v>49.9</v>
      </c>
      <c r="Z941">
        <v>9.1999999999999998E-2</v>
      </c>
      <c r="AA941">
        <v>3.5999999999999997E-2</v>
      </c>
      <c r="AB941">
        <v>0.03</v>
      </c>
      <c r="AC941">
        <v>5</v>
      </c>
      <c r="AD941" s="6">
        <v>61</v>
      </c>
      <c r="AE941" s="6">
        <v>0</v>
      </c>
      <c r="AF941" s="6">
        <v>0</v>
      </c>
      <c r="AG941" s="6">
        <v>102.41</v>
      </c>
      <c r="AH941" s="6">
        <v>130.69999999999999</v>
      </c>
      <c r="AI941" s="6">
        <f t="shared" si="28"/>
        <v>28.289999999999992</v>
      </c>
      <c r="AJ941" s="5">
        <f t="shared" si="29"/>
        <v>0.21644988523335879</v>
      </c>
    </row>
    <row r="942" spans="1:36">
      <c r="A942" t="s">
        <v>521</v>
      </c>
      <c r="B942" t="s">
        <v>1227</v>
      </c>
      <c r="C942" t="s">
        <v>80</v>
      </c>
      <c r="D942" t="s">
        <v>54</v>
      </c>
      <c r="E942" t="s">
        <v>69</v>
      </c>
      <c r="F942">
        <v>0</v>
      </c>
      <c r="G942">
        <v>902</v>
      </c>
      <c r="H942">
        <v>1</v>
      </c>
      <c r="I942" t="s">
        <v>173</v>
      </c>
      <c r="J942">
        <v>1</v>
      </c>
      <c r="K942" s="6">
        <v>1.69</v>
      </c>
      <c r="L942" t="s">
        <v>174</v>
      </c>
      <c r="M942">
        <v>0</v>
      </c>
      <c r="N942" t="s">
        <v>175</v>
      </c>
      <c r="O942">
        <v>1</v>
      </c>
      <c r="P942">
        <v>0</v>
      </c>
      <c r="Q942" s="6">
        <v>26.9</v>
      </c>
      <c r="R942">
        <v>0</v>
      </c>
      <c r="S942" s="6">
        <v>0</v>
      </c>
      <c r="T942">
        <v>0</v>
      </c>
      <c r="U942" s="6">
        <v>2779</v>
      </c>
      <c r="V942">
        <v>0</v>
      </c>
      <c r="W942">
        <v>0</v>
      </c>
      <c r="X942">
        <v>0</v>
      </c>
      <c r="Y942" s="6">
        <v>49.9</v>
      </c>
      <c r="Z942">
        <v>9.1999999999999998E-2</v>
      </c>
      <c r="AA942">
        <v>3.5999999999999997E-2</v>
      </c>
      <c r="AB942">
        <v>0.03</v>
      </c>
      <c r="AC942">
        <v>5</v>
      </c>
      <c r="AD942" s="6">
        <v>51</v>
      </c>
      <c r="AE942" s="6">
        <v>0</v>
      </c>
      <c r="AF942" s="6">
        <v>0</v>
      </c>
      <c r="AG942" s="6">
        <v>44.62</v>
      </c>
      <c r="AH942" s="6">
        <v>56.42</v>
      </c>
      <c r="AI942" s="6">
        <f t="shared" si="28"/>
        <v>11.800000000000004</v>
      </c>
      <c r="AJ942" s="5">
        <f t="shared" si="29"/>
        <v>0.20914569301666083</v>
      </c>
    </row>
    <row r="943" spans="1:36">
      <c r="A943" t="s">
        <v>635</v>
      </c>
      <c r="B943" t="s">
        <v>1228</v>
      </c>
      <c r="C943" t="s">
        <v>80</v>
      </c>
      <c r="D943" t="s">
        <v>54</v>
      </c>
      <c r="E943" t="s">
        <v>69</v>
      </c>
      <c r="F943">
        <v>0</v>
      </c>
      <c r="G943">
        <v>902</v>
      </c>
      <c r="H943">
        <v>1</v>
      </c>
      <c r="I943" t="s">
        <v>181</v>
      </c>
      <c r="J943">
        <v>3</v>
      </c>
      <c r="K943" s="6">
        <v>10.06</v>
      </c>
      <c r="L943" t="s">
        <v>174</v>
      </c>
      <c r="M943">
        <v>0</v>
      </c>
      <c r="N943" t="s">
        <v>175</v>
      </c>
      <c r="O943">
        <v>1</v>
      </c>
      <c r="P943">
        <v>0</v>
      </c>
      <c r="Q943" s="6">
        <v>34.299999999999997</v>
      </c>
      <c r="R943">
        <v>0</v>
      </c>
      <c r="S943" s="6">
        <v>0</v>
      </c>
      <c r="T943">
        <v>0</v>
      </c>
      <c r="U943" s="6">
        <v>4877</v>
      </c>
      <c r="V943">
        <v>0</v>
      </c>
      <c r="W943">
        <v>0</v>
      </c>
      <c r="X943">
        <v>0</v>
      </c>
      <c r="Y943" s="6">
        <v>49.9</v>
      </c>
      <c r="Z943">
        <v>9.1999999999999998E-2</v>
      </c>
      <c r="AA943">
        <v>3.5999999999999997E-2</v>
      </c>
      <c r="AB943">
        <v>0.03</v>
      </c>
      <c r="AC943">
        <v>5</v>
      </c>
      <c r="AD943" s="6">
        <v>61</v>
      </c>
      <c r="AE943" s="6">
        <v>0</v>
      </c>
      <c r="AF943" s="6">
        <v>0</v>
      </c>
      <c r="AG943" s="6">
        <v>89.6</v>
      </c>
      <c r="AH943" s="6">
        <v>114.47</v>
      </c>
      <c r="AI943" s="6">
        <f t="shared" si="28"/>
        <v>24.870000000000005</v>
      </c>
      <c r="AJ943" s="5">
        <f t="shared" si="29"/>
        <v>0.21726216475932564</v>
      </c>
    </row>
    <row r="944" spans="1:36">
      <c r="A944" t="s">
        <v>384</v>
      </c>
      <c r="B944" t="s">
        <v>1229</v>
      </c>
      <c r="C944" t="s">
        <v>80</v>
      </c>
      <c r="D944" t="s">
        <v>54</v>
      </c>
      <c r="E944" t="s">
        <v>69</v>
      </c>
      <c r="F944">
        <v>0</v>
      </c>
      <c r="G944">
        <v>902</v>
      </c>
      <c r="H944">
        <v>1</v>
      </c>
      <c r="I944" t="s">
        <v>173</v>
      </c>
      <c r="J944">
        <v>1</v>
      </c>
      <c r="K944" s="6">
        <v>1.54</v>
      </c>
      <c r="L944" t="s">
        <v>174</v>
      </c>
      <c r="M944">
        <v>0</v>
      </c>
      <c r="N944" t="s">
        <v>272</v>
      </c>
      <c r="O944">
        <v>5</v>
      </c>
      <c r="P944">
        <v>1</v>
      </c>
      <c r="Q944" s="6">
        <v>197.7</v>
      </c>
      <c r="R944">
        <v>0</v>
      </c>
      <c r="S944" s="6">
        <v>0</v>
      </c>
      <c r="T944">
        <v>0</v>
      </c>
      <c r="U944" s="6">
        <v>3230</v>
      </c>
      <c r="V944">
        <v>0</v>
      </c>
      <c r="W944">
        <v>0</v>
      </c>
      <c r="X944">
        <v>0</v>
      </c>
      <c r="Y944" s="6">
        <v>49.9</v>
      </c>
      <c r="Z944">
        <v>9.1999999999999998E-2</v>
      </c>
      <c r="AA944">
        <v>3.5999999999999997E-2</v>
      </c>
      <c r="AB944">
        <v>0.03</v>
      </c>
      <c r="AC944">
        <v>5</v>
      </c>
      <c r="AD944" s="6">
        <v>51</v>
      </c>
      <c r="AE944" s="6">
        <v>0</v>
      </c>
      <c r="AF944" s="6">
        <v>0</v>
      </c>
      <c r="AG944" s="6">
        <v>143.63999999999999</v>
      </c>
      <c r="AH944" s="6">
        <v>181.37</v>
      </c>
      <c r="AI944" s="6">
        <f t="shared" si="28"/>
        <v>37.730000000000018</v>
      </c>
      <c r="AJ944" s="5">
        <f t="shared" si="29"/>
        <v>0.20802778849864925</v>
      </c>
    </row>
    <row r="945" spans="1:36">
      <c r="A945" t="s">
        <v>501</v>
      </c>
      <c r="B945" t="s">
        <v>1230</v>
      </c>
      <c r="C945" t="s">
        <v>80</v>
      </c>
      <c r="D945" t="s">
        <v>54</v>
      </c>
      <c r="E945" t="s">
        <v>69</v>
      </c>
      <c r="F945">
        <v>0</v>
      </c>
      <c r="G945">
        <v>902</v>
      </c>
      <c r="H945">
        <v>1</v>
      </c>
      <c r="I945" t="s">
        <v>220</v>
      </c>
      <c r="J945">
        <v>2</v>
      </c>
      <c r="K945" s="6">
        <v>1.85</v>
      </c>
      <c r="L945" t="s">
        <v>174</v>
      </c>
      <c r="M945">
        <v>0</v>
      </c>
      <c r="N945" t="s">
        <v>187</v>
      </c>
      <c r="O945">
        <v>2</v>
      </c>
      <c r="P945">
        <v>0</v>
      </c>
      <c r="Q945" s="6">
        <v>46.5</v>
      </c>
      <c r="R945">
        <v>0</v>
      </c>
      <c r="S945" s="6">
        <v>0</v>
      </c>
      <c r="T945">
        <v>0</v>
      </c>
      <c r="U945" s="6">
        <v>4685</v>
      </c>
      <c r="V945">
        <v>0</v>
      </c>
      <c r="W945">
        <v>0</v>
      </c>
      <c r="X945">
        <v>0</v>
      </c>
      <c r="Y945" s="6">
        <v>49.9</v>
      </c>
      <c r="Z945">
        <v>9.1999999999999998E-2</v>
      </c>
      <c r="AA945">
        <v>3.5999999999999997E-2</v>
      </c>
      <c r="AB945">
        <v>0.03</v>
      </c>
      <c r="AC945">
        <v>5</v>
      </c>
      <c r="AD945" s="6">
        <v>51</v>
      </c>
      <c r="AE945" s="6">
        <v>0</v>
      </c>
      <c r="AF945" s="6">
        <v>0</v>
      </c>
      <c r="AG945" s="6">
        <v>59.4</v>
      </c>
      <c r="AH945" s="6">
        <v>77.319999999999993</v>
      </c>
      <c r="AI945" s="6">
        <f t="shared" si="28"/>
        <v>17.919999999999995</v>
      </c>
      <c r="AJ945" s="5">
        <f t="shared" si="29"/>
        <v>0.23176409725814789</v>
      </c>
    </row>
    <row r="946" spans="1:36">
      <c r="A946" t="s">
        <v>293</v>
      </c>
      <c r="B946" t="s">
        <v>1231</v>
      </c>
      <c r="C946" t="s">
        <v>80</v>
      </c>
      <c r="D946" t="s">
        <v>54</v>
      </c>
      <c r="E946" t="s">
        <v>69</v>
      </c>
      <c r="F946">
        <v>0</v>
      </c>
      <c r="G946">
        <v>902</v>
      </c>
      <c r="H946">
        <v>1</v>
      </c>
      <c r="I946" t="s">
        <v>173</v>
      </c>
      <c r="J946">
        <v>1</v>
      </c>
      <c r="K946" s="6">
        <v>1.04</v>
      </c>
      <c r="L946" t="s">
        <v>174</v>
      </c>
      <c r="M946">
        <v>0</v>
      </c>
      <c r="N946" t="s">
        <v>187</v>
      </c>
      <c r="O946">
        <v>2</v>
      </c>
      <c r="P946">
        <v>0</v>
      </c>
      <c r="Q946" s="6">
        <v>49.8</v>
      </c>
      <c r="R946">
        <v>0</v>
      </c>
      <c r="S946" s="6">
        <v>0</v>
      </c>
      <c r="T946">
        <v>0</v>
      </c>
      <c r="U946" s="6">
        <v>2093</v>
      </c>
      <c r="V946">
        <v>0</v>
      </c>
      <c r="W946">
        <v>0</v>
      </c>
      <c r="X946">
        <v>0</v>
      </c>
      <c r="Y946" s="6">
        <v>49.9</v>
      </c>
      <c r="Z946">
        <v>9.1999999999999998E-2</v>
      </c>
      <c r="AA946">
        <v>3.5999999999999997E-2</v>
      </c>
      <c r="AB946">
        <v>0.03</v>
      </c>
      <c r="AC946">
        <v>5</v>
      </c>
      <c r="AD946" s="6">
        <v>51</v>
      </c>
      <c r="AE946" s="6">
        <v>0</v>
      </c>
      <c r="AF946" s="6">
        <v>0</v>
      </c>
      <c r="AG946" s="6">
        <v>54.66</v>
      </c>
      <c r="AH946" s="6">
        <v>72.45</v>
      </c>
      <c r="AI946" s="6">
        <f t="shared" si="28"/>
        <v>17.790000000000006</v>
      </c>
      <c r="AJ946" s="5">
        <f t="shared" si="29"/>
        <v>0.2455486542443065</v>
      </c>
    </row>
    <row r="947" spans="1:36">
      <c r="A947" t="s">
        <v>345</v>
      </c>
      <c r="B947" t="s">
        <v>1232</v>
      </c>
      <c r="C947" t="s">
        <v>80</v>
      </c>
      <c r="D947" t="s">
        <v>54</v>
      </c>
      <c r="E947" t="s">
        <v>69</v>
      </c>
      <c r="F947">
        <v>0</v>
      </c>
      <c r="G947">
        <v>902</v>
      </c>
      <c r="H947">
        <v>1</v>
      </c>
      <c r="I947" t="s">
        <v>220</v>
      </c>
      <c r="J947">
        <v>2</v>
      </c>
      <c r="K947" s="6">
        <v>2.5499999999999998</v>
      </c>
      <c r="L947" t="s">
        <v>200</v>
      </c>
      <c r="M947">
        <v>1</v>
      </c>
      <c r="N947" t="s">
        <v>175</v>
      </c>
      <c r="O947">
        <v>1</v>
      </c>
      <c r="P947">
        <v>0</v>
      </c>
      <c r="Q947" s="6">
        <v>23.2</v>
      </c>
      <c r="R947">
        <v>0</v>
      </c>
      <c r="S947" s="6">
        <v>0</v>
      </c>
      <c r="T947">
        <v>0</v>
      </c>
      <c r="U947" s="6">
        <v>4538</v>
      </c>
      <c r="V947">
        <v>0</v>
      </c>
      <c r="W947">
        <v>0</v>
      </c>
      <c r="X947">
        <v>0</v>
      </c>
      <c r="Y947" s="6">
        <v>49.9</v>
      </c>
      <c r="Z947">
        <v>9.1999999999999998E-2</v>
      </c>
      <c r="AA947">
        <v>3.5999999999999997E-2</v>
      </c>
      <c r="AB947">
        <v>0.03</v>
      </c>
      <c r="AC947">
        <v>5</v>
      </c>
      <c r="AD947" s="6">
        <v>120</v>
      </c>
      <c r="AE947" s="6">
        <v>0</v>
      </c>
      <c r="AF947" s="6">
        <v>0</v>
      </c>
      <c r="AG947" s="6">
        <v>88.96</v>
      </c>
      <c r="AH947" s="6">
        <v>122.67</v>
      </c>
      <c r="AI947" s="6">
        <f t="shared" si="28"/>
        <v>33.710000000000008</v>
      </c>
      <c r="AJ947" s="5">
        <f t="shared" si="29"/>
        <v>0.27480231515447956</v>
      </c>
    </row>
    <row r="948" spans="1:36">
      <c r="A948" t="s">
        <v>316</v>
      </c>
      <c r="B948" t="s">
        <v>1233</v>
      </c>
      <c r="C948" t="s">
        <v>80</v>
      </c>
      <c r="D948" t="s">
        <v>54</v>
      </c>
      <c r="E948" t="s">
        <v>69</v>
      </c>
      <c r="F948">
        <v>0</v>
      </c>
      <c r="G948">
        <v>902</v>
      </c>
      <c r="H948">
        <v>1</v>
      </c>
      <c r="I948" t="s">
        <v>181</v>
      </c>
      <c r="J948">
        <v>3</v>
      </c>
      <c r="K948" s="6">
        <v>7.51</v>
      </c>
      <c r="L948" t="s">
        <v>174</v>
      </c>
      <c r="M948">
        <v>0</v>
      </c>
      <c r="N948" t="s">
        <v>182</v>
      </c>
      <c r="O948">
        <v>3</v>
      </c>
      <c r="P948">
        <v>0</v>
      </c>
      <c r="Q948" s="6">
        <v>136.6</v>
      </c>
      <c r="R948">
        <v>0</v>
      </c>
      <c r="S948" s="6">
        <v>0</v>
      </c>
      <c r="T948">
        <v>0</v>
      </c>
      <c r="U948" s="6">
        <v>5628</v>
      </c>
      <c r="V948">
        <v>0</v>
      </c>
      <c r="W948">
        <v>0</v>
      </c>
      <c r="X948">
        <v>0</v>
      </c>
      <c r="Y948" s="6">
        <v>49.9</v>
      </c>
      <c r="Z948">
        <v>9.1999999999999998E-2</v>
      </c>
      <c r="AA948">
        <v>3.5999999999999997E-2</v>
      </c>
      <c r="AB948">
        <v>0.03</v>
      </c>
      <c r="AC948">
        <v>5</v>
      </c>
      <c r="AD948" s="6">
        <v>61</v>
      </c>
      <c r="AE948" s="6">
        <v>0</v>
      </c>
      <c r="AF948" s="6">
        <v>0</v>
      </c>
      <c r="AG948" s="6">
        <v>84.19</v>
      </c>
      <c r="AH948" s="6">
        <v>105.57</v>
      </c>
      <c r="AI948" s="6">
        <f t="shared" si="28"/>
        <v>21.379999999999995</v>
      </c>
      <c r="AJ948" s="5">
        <f t="shared" si="29"/>
        <v>0.20251965520507717</v>
      </c>
    </row>
    <row r="949" spans="1:36">
      <c r="A949" t="s">
        <v>258</v>
      </c>
      <c r="B949" t="s">
        <v>1234</v>
      </c>
      <c r="C949" t="s">
        <v>80</v>
      </c>
      <c r="D949" t="s">
        <v>54</v>
      </c>
      <c r="E949" t="s">
        <v>69</v>
      </c>
      <c r="F949">
        <v>0</v>
      </c>
      <c r="G949">
        <v>902</v>
      </c>
      <c r="H949">
        <v>1</v>
      </c>
      <c r="I949" t="s">
        <v>173</v>
      </c>
      <c r="J949">
        <v>1</v>
      </c>
      <c r="K949" s="6">
        <v>1.78</v>
      </c>
      <c r="L949" t="s">
        <v>174</v>
      </c>
      <c r="M949">
        <v>0</v>
      </c>
      <c r="N949" t="s">
        <v>175</v>
      </c>
      <c r="O949">
        <v>1</v>
      </c>
      <c r="P949">
        <v>0</v>
      </c>
      <c r="Q949" s="6">
        <v>17.8</v>
      </c>
      <c r="R949">
        <v>0</v>
      </c>
      <c r="S949" s="6">
        <v>0</v>
      </c>
      <c r="T949">
        <v>0</v>
      </c>
      <c r="U949" s="6">
        <v>5389</v>
      </c>
      <c r="V949">
        <v>0</v>
      </c>
      <c r="W949">
        <v>0</v>
      </c>
      <c r="X949">
        <v>0</v>
      </c>
      <c r="Y949" s="6">
        <v>49.9</v>
      </c>
      <c r="Z949">
        <v>9.1999999999999998E-2</v>
      </c>
      <c r="AA949">
        <v>3.5999999999999997E-2</v>
      </c>
      <c r="AB949">
        <v>0.03</v>
      </c>
      <c r="AC949">
        <v>5</v>
      </c>
      <c r="AD949" s="6">
        <v>51</v>
      </c>
      <c r="AE949" s="6">
        <v>0</v>
      </c>
      <c r="AF949" s="6">
        <v>0</v>
      </c>
      <c r="AG949" s="6">
        <v>48.58</v>
      </c>
      <c r="AH949" s="6">
        <v>62.11</v>
      </c>
      <c r="AI949" s="6">
        <f t="shared" si="28"/>
        <v>13.530000000000001</v>
      </c>
      <c r="AJ949" s="5">
        <f t="shared" si="29"/>
        <v>0.2178393173402029</v>
      </c>
    </row>
    <row r="950" spans="1:36">
      <c r="A950" t="s">
        <v>303</v>
      </c>
      <c r="B950" t="s">
        <v>1235</v>
      </c>
      <c r="C950" t="s">
        <v>80</v>
      </c>
      <c r="D950" t="s">
        <v>54</v>
      </c>
      <c r="E950" t="s">
        <v>69</v>
      </c>
      <c r="F950">
        <v>0</v>
      </c>
      <c r="G950">
        <v>902</v>
      </c>
      <c r="H950">
        <v>1</v>
      </c>
      <c r="I950" t="s">
        <v>173</v>
      </c>
      <c r="J950">
        <v>1</v>
      </c>
      <c r="K950" s="6">
        <v>2.2999999999999998</v>
      </c>
      <c r="L950" t="s">
        <v>174</v>
      </c>
      <c r="M950">
        <v>0</v>
      </c>
      <c r="N950" t="s">
        <v>187</v>
      </c>
      <c r="O950">
        <v>2</v>
      </c>
      <c r="P950">
        <v>0</v>
      </c>
      <c r="Q950" s="6">
        <v>54</v>
      </c>
      <c r="R950">
        <v>0</v>
      </c>
      <c r="S950" s="6">
        <v>0</v>
      </c>
      <c r="T950">
        <v>0</v>
      </c>
      <c r="U950" s="6">
        <v>2340</v>
      </c>
      <c r="V950">
        <v>0</v>
      </c>
      <c r="W950">
        <v>0</v>
      </c>
      <c r="X950">
        <v>0</v>
      </c>
      <c r="Y950" s="6">
        <v>49.9</v>
      </c>
      <c r="Z950">
        <v>9.1999999999999998E-2</v>
      </c>
      <c r="AA950">
        <v>3.5999999999999997E-2</v>
      </c>
      <c r="AB950">
        <v>0.03</v>
      </c>
      <c r="AC950">
        <v>5</v>
      </c>
      <c r="AD950" s="6">
        <v>51</v>
      </c>
      <c r="AE950" s="6">
        <v>0</v>
      </c>
      <c r="AF950" s="6">
        <v>0</v>
      </c>
      <c r="AG950" s="6">
        <v>45.29</v>
      </c>
      <c r="AH950" s="6">
        <v>57.61</v>
      </c>
      <c r="AI950" s="6">
        <f t="shared" si="28"/>
        <v>12.32</v>
      </c>
      <c r="AJ950" s="5">
        <f t="shared" si="29"/>
        <v>0.21385176184690158</v>
      </c>
    </row>
    <row r="951" spans="1:36">
      <c r="A951" t="s">
        <v>303</v>
      </c>
      <c r="B951" t="s">
        <v>1236</v>
      </c>
      <c r="C951" t="s">
        <v>80</v>
      </c>
      <c r="D951" t="s">
        <v>54</v>
      </c>
      <c r="E951" t="s">
        <v>69</v>
      </c>
      <c r="F951">
        <v>0</v>
      </c>
      <c r="G951">
        <v>902</v>
      </c>
      <c r="H951">
        <v>1</v>
      </c>
      <c r="I951" t="s">
        <v>173</v>
      </c>
      <c r="J951">
        <v>1</v>
      </c>
      <c r="K951" s="6">
        <v>2.11</v>
      </c>
      <c r="L951" t="s">
        <v>174</v>
      </c>
      <c r="M951">
        <v>0</v>
      </c>
      <c r="N951" t="s">
        <v>187</v>
      </c>
      <c r="O951">
        <v>2</v>
      </c>
      <c r="P951">
        <v>0</v>
      </c>
      <c r="Q951" s="6">
        <v>49.2</v>
      </c>
      <c r="R951">
        <v>1</v>
      </c>
      <c r="S951" s="6">
        <v>735</v>
      </c>
      <c r="T951">
        <v>0</v>
      </c>
      <c r="U951" s="6">
        <v>3696</v>
      </c>
      <c r="V951">
        <v>0</v>
      </c>
      <c r="W951">
        <v>0</v>
      </c>
      <c r="X951">
        <v>0</v>
      </c>
      <c r="Y951" s="6">
        <v>49.9</v>
      </c>
      <c r="Z951">
        <v>9.1999999999999998E-2</v>
      </c>
      <c r="AA951">
        <v>3.5999999999999997E-2</v>
      </c>
      <c r="AB951">
        <v>0.03</v>
      </c>
      <c r="AC951">
        <v>5</v>
      </c>
      <c r="AD951" s="6">
        <v>51</v>
      </c>
      <c r="AE951" s="6">
        <v>25</v>
      </c>
      <c r="AF951" s="6">
        <v>0</v>
      </c>
      <c r="AG951" s="6">
        <v>62.78</v>
      </c>
      <c r="AH951" s="6">
        <v>80.63</v>
      </c>
      <c r="AI951" s="6">
        <f t="shared" si="28"/>
        <v>17.849999999999994</v>
      </c>
      <c r="AJ951" s="5">
        <f t="shared" si="29"/>
        <v>0.2213816197445119</v>
      </c>
    </row>
    <row r="952" spans="1:36">
      <c r="A952" t="s">
        <v>488</v>
      </c>
      <c r="B952" t="s">
        <v>1237</v>
      </c>
      <c r="C952" t="s">
        <v>80</v>
      </c>
      <c r="D952" t="s">
        <v>54</v>
      </c>
      <c r="E952" t="s">
        <v>69</v>
      </c>
      <c r="F952">
        <v>0</v>
      </c>
      <c r="G952">
        <v>902</v>
      </c>
      <c r="H952">
        <v>1</v>
      </c>
      <c r="I952" t="s">
        <v>181</v>
      </c>
      <c r="J952">
        <v>3</v>
      </c>
      <c r="K952" s="6">
        <v>5.46</v>
      </c>
      <c r="L952" t="s">
        <v>200</v>
      </c>
      <c r="M952">
        <v>1</v>
      </c>
      <c r="N952" t="s">
        <v>175</v>
      </c>
      <c r="O952">
        <v>1</v>
      </c>
      <c r="P952">
        <v>0</v>
      </c>
      <c r="Q952" s="6">
        <v>39.5</v>
      </c>
      <c r="R952">
        <v>0</v>
      </c>
      <c r="S952" s="6">
        <v>0</v>
      </c>
      <c r="T952">
        <v>0</v>
      </c>
      <c r="U952" s="6">
        <v>2911</v>
      </c>
      <c r="V952">
        <v>0</v>
      </c>
      <c r="W952">
        <v>0</v>
      </c>
      <c r="X952">
        <v>0</v>
      </c>
      <c r="Y952" s="6">
        <v>49.9</v>
      </c>
      <c r="Z952">
        <v>9.1999999999999998E-2</v>
      </c>
      <c r="AA952">
        <v>3.5999999999999997E-2</v>
      </c>
      <c r="AB952">
        <v>0.03</v>
      </c>
      <c r="AC952">
        <v>5</v>
      </c>
      <c r="AD952" s="6">
        <v>140</v>
      </c>
      <c r="AE952" s="6">
        <v>0</v>
      </c>
      <c r="AF952" s="6">
        <v>0</v>
      </c>
      <c r="AG952" s="6">
        <v>106.36</v>
      </c>
      <c r="AH952" s="6">
        <v>143.19</v>
      </c>
      <c r="AI952" s="6">
        <f t="shared" si="28"/>
        <v>36.83</v>
      </c>
      <c r="AJ952" s="5">
        <f t="shared" si="29"/>
        <v>0.25721069907116417</v>
      </c>
    </row>
    <row r="953" spans="1:36">
      <c r="A953" t="s">
        <v>261</v>
      </c>
      <c r="B953" t="s">
        <v>1238</v>
      </c>
      <c r="C953" t="s">
        <v>80</v>
      </c>
      <c r="D953" t="s">
        <v>54</v>
      </c>
      <c r="E953" t="s">
        <v>69</v>
      </c>
      <c r="F953">
        <v>0</v>
      </c>
      <c r="G953">
        <v>902</v>
      </c>
      <c r="H953">
        <v>1</v>
      </c>
      <c r="I953" t="s">
        <v>173</v>
      </c>
      <c r="J953">
        <v>1</v>
      </c>
      <c r="K953" s="6">
        <v>2.5499999999999998</v>
      </c>
      <c r="L953" t="s">
        <v>174</v>
      </c>
      <c r="M953">
        <v>0</v>
      </c>
      <c r="N953" t="s">
        <v>217</v>
      </c>
      <c r="O953">
        <v>4</v>
      </c>
      <c r="P953">
        <v>1</v>
      </c>
      <c r="Q953" s="6">
        <v>219.9</v>
      </c>
      <c r="R953">
        <v>0</v>
      </c>
      <c r="S953" s="6">
        <v>0</v>
      </c>
      <c r="T953">
        <v>0</v>
      </c>
      <c r="U953" s="6">
        <v>2742</v>
      </c>
      <c r="V953">
        <v>1</v>
      </c>
      <c r="W953">
        <v>0</v>
      </c>
      <c r="X953">
        <v>0</v>
      </c>
      <c r="Y953" s="6">
        <v>49.9</v>
      </c>
      <c r="Z953">
        <v>9.1999999999999998E-2</v>
      </c>
      <c r="AA953">
        <v>3.5999999999999997E-2</v>
      </c>
      <c r="AB953">
        <v>0.03</v>
      </c>
      <c r="AC953">
        <v>5</v>
      </c>
      <c r="AD953" s="6">
        <v>51</v>
      </c>
      <c r="AE953" s="6">
        <v>0</v>
      </c>
      <c r="AF953" s="6">
        <v>0</v>
      </c>
      <c r="AG953" s="6">
        <v>159.28</v>
      </c>
      <c r="AH953" s="6">
        <v>202.12</v>
      </c>
      <c r="AI953" s="6">
        <f t="shared" si="28"/>
        <v>42.84</v>
      </c>
      <c r="AJ953" s="5">
        <f t="shared" si="29"/>
        <v>0.21195329507223432</v>
      </c>
    </row>
    <row r="954" spans="1:36">
      <c r="A954" t="s">
        <v>579</v>
      </c>
      <c r="B954" t="s">
        <v>1239</v>
      </c>
      <c r="C954" t="s">
        <v>80</v>
      </c>
      <c r="D954" t="s">
        <v>54</v>
      </c>
      <c r="E954" t="s">
        <v>69</v>
      </c>
      <c r="F954">
        <v>0</v>
      </c>
      <c r="G954">
        <v>902</v>
      </c>
      <c r="H954">
        <v>1</v>
      </c>
      <c r="I954" t="s">
        <v>173</v>
      </c>
      <c r="J954">
        <v>1</v>
      </c>
      <c r="K954" s="6">
        <v>1.37</v>
      </c>
      <c r="L954" t="s">
        <v>174</v>
      </c>
      <c r="M954">
        <v>0</v>
      </c>
      <c r="N954" t="s">
        <v>217</v>
      </c>
      <c r="O954">
        <v>4</v>
      </c>
      <c r="P954">
        <v>1</v>
      </c>
      <c r="Q954" s="6">
        <v>207.4</v>
      </c>
      <c r="R954">
        <v>0</v>
      </c>
      <c r="S954" s="6">
        <v>0</v>
      </c>
      <c r="T954">
        <v>0</v>
      </c>
      <c r="U954" s="6">
        <v>1771</v>
      </c>
      <c r="V954">
        <v>1</v>
      </c>
      <c r="W954">
        <v>0</v>
      </c>
      <c r="X954">
        <v>0</v>
      </c>
      <c r="Y954" s="6">
        <v>49.9</v>
      </c>
      <c r="Z954">
        <v>9.1999999999999998E-2</v>
      </c>
      <c r="AA954">
        <v>3.5999999999999997E-2</v>
      </c>
      <c r="AB954">
        <v>0.03</v>
      </c>
      <c r="AC954">
        <v>5</v>
      </c>
      <c r="AD954" s="6">
        <v>51</v>
      </c>
      <c r="AE954" s="6">
        <v>0</v>
      </c>
      <c r="AF954" s="6">
        <v>0</v>
      </c>
      <c r="AG954" s="6">
        <v>155.62</v>
      </c>
      <c r="AH954" s="6">
        <v>195.24</v>
      </c>
      <c r="AI954" s="6">
        <f t="shared" si="28"/>
        <v>39.620000000000005</v>
      </c>
      <c r="AJ954" s="5">
        <f t="shared" si="29"/>
        <v>0.20292972751485353</v>
      </c>
    </row>
    <row r="955" spans="1:36">
      <c r="A955" t="s">
        <v>266</v>
      </c>
      <c r="B955" t="s">
        <v>1240</v>
      </c>
      <c r="C955" t="s">
        <v>80</v>
      </c>
      <c r="D955" t="s">
        <v>54</v>
      </c>
      <c r="E955" t="s">
        <v>69</v>
      </c>
      <c r="F955">
        <v>0</v>
      </c>
      <c r="G955">
        <v>902</v>
      </c>
      <c r="H955">
        <v>1</v>
      </c>
      <c r="I955" t="s">
        <v>173</v>
      </c>
      <c r="J955">
        <v>1</v>
      </c>
      <c r="K955" s="6">
        <v>1.96</v>
      </c>
      <c r="L955" t="s">
        <v>174</v>
      </c>
      <c r="M955">
        <v>0</v>
      </c>
      <c r="N955" t="s">
        <v>187</v>
      </c>
      <c r="O955">
        <v>2</v>
      </c>
      <c r="P955">
        <v>0</v>
      </c>
      <c r="Q955" s="6">
        <v>57.1</v>
      </c>
      <c r="R955">
        <v>0</v>
      </c>
      <c r="S955" s="6">
        <v>0</v>
      </c>
      <c r="T955">
        <v>0</v>
      </c>
      <c r="U955" s="6">
        <v>1515</v>
      </c>
      <c r="V955">
        <v>0</v>
      </c>
      <c r="W955">
        <v>0</v>
      </c>
      <c r="X955">
        <v>0</v>
      </c>
      <c r="Y955" s="6">
        <v>49.9</v>
      </c>
      <c r="Z955">
        <v>9.1999999999999998E-2</v>
      </c>
      <c r="AA955">
        <v>3.5999999999999997E-2</v>
      </c>
      <c r="AB955">
        <v>0.03</v>
      </c>
      <c r="AC955">
        <v>5</v>
      </c>
      <c r="AD955" s="6">
        <v>51</v>
      </c>
      <c r="AE955" s="6">
        <v>0</v>
      </c>
      <c r="AF955" s="6">
        <v>0</v>
      </c>
      <c r="AG955" s="6">
        <v>48.84</v>
      </c>
      <c r="AH955" s="6">
        <v>64.92</v>
      </c>
      <c r="AI955" s="6">
        <f t="shared" si="28"/>
        <v>16.079999999999998</v>
      </c>
      <c r="AJ955" s="5">
        <f t="shared" si="29"/>
        <v>0.24768946395563768</v>
      </c>
    </row>
    <row r="956" spans="1:36">
      <c r="A956" t="s">
        <v>397</v>
      </c>
      <c r="B956" t="s">
        <v>1241</v>
      </c>
      <c r="C956" t="s">
        <v>80</v>
      </c>
      <c r="D956" t="s">
        <v>54</v>
      </c>
      <c r="E956" t="s">
        <v>69</v>
      </c>
      <c r="F956">
        <v>0</v>
      </c>
      <c r="G956">
        <v>902</v>
      </c>
      <c r="H956">
        <v>1</v>
      </c>
      <c r="I956" t="s">
        <v>173</v>
      </c>
      <c r="J956">
        <v>1</v>
      </c>
      <c r="K956" s="6">
        <v>1.75</v>
      </c>
      <c r="L956" t="s">
        <v>174</v>
      </c>
      <c r="M956">
        <v>0</v>
      </c>
      <c r="N956" t="s">
        <v>175</v>
      </c>
      <c r="O956">
        <v>1</v>
      </c>
      <c r="P956">
        <v>0</v>
      </c>
      <c r="Q956" s="6">
        <v>36.5</v>
      </c>
      <c r="R956">
        <v>0</v>
      </c>
      <c r="S956" s="6">
        <v>0</v>
      </c>
      <c r="T956">
        <v>0</v>
      </c>
      <c r="U956" s="6">
        <v>2517</v>
      </c>
      <c r="V956">
        <v>0</v>
      </c>
      <c r="W956">
        <v>0</v>
      </c>
      <c r="X956">
        <v>0</v>
      </c>
      <c r="Y956" s="6">
        <v>49.9</v>
      </c>
      <c r="Z956">
        <v>9.1999999999999998E-2</v>
      </c>
      <c r="AA956">
        <v>3.5999999999999997E-2</v>
      </c>
      <c r="AB956">
        <v>0.03</v>
      </c>
      <c r="AC956">
        <v>5</v>
      </c>
      <c r="AD956" s="6">
        <v>51</v>
      </c>
      <c r="AE956" s="6">
        <v>0</v>
      </c>
      <c r="AF956" s="6">
        <v>0</v>
      </c>
      <c r="AG956" s="6">
        <v>51.2</v>
      </c>
      <c r="AH956" s="6">
        <v>68.290000000000006</v>
      </c>
      <c r="AI956" s="6">
        <f t="shared" si="28"/>
        <v>17.090000000000003</v>
      </c>
      <c r="AJ956" s="5">
        <f t="shared" si="29"/>
        <v>0.25025626006735979</v>
      </c>
    </row>
    <row r="957" spans="1:36">
      <c r="A957" t="s">
        <v>602</v>
      </c>
      <c r="B957" t="s">
        <v>1242</v>
      </c>
      <c r="C957" t="s">
        <v>82</v>
      </c>
      <c r="D957" t="s">
        <v>72</v>
      </c>
      <c r="E957" t="s">
        <v>55</v>
      </c>
      <c r="F957">
        <v>0</v>
      </c>
      <c r="G957">
        <v>955</v>
      </c>
      <c r="H957">
        <v>1</v>
      </c>
      <c r="I957" t="s">
        <v>173</v>
      </c>
      <c r="J957">
        <v>1</v>
      </c>
      <c r="K957" s="6">
        <v>1.67</v>
      </c>
      <c r="L957" t="s">
        <v>174</v>
      </c>
      <c r="M957">
        <v>0</v>
      </c>
      <c r="N957" t="s">
        <v>187</v>
      </c>
      <c r="O957">
        <v>2</v>
      </c>
      <c r="P957">
        <v>0</v>
      </c>
      <c r="Q957" s="6">
        <v>34.4</v>
      </c>
      <c r="R957">
        <v>1</v>
      </c>
      <c r="S957" s="6">
        <v>923</v>
      </c>
      <c r="T957">
        <v>0</v>
      </c>
      <c r="U957" s="6">
        <v>2165</v>
      </c>
      <c r="V957">
        <v>0</v>
      </c>
      <c r="W957">
        <v>0</v>
      </c>
      <c r="X957">
        <v>0</v>
      </c>
      <c r="Y957" s="6">
        <v>32.299999999999997</v>
      </c>
      <c r="Z957">
        <v>3.5000000000000003E-2</v>
      </c>
      <c r="AA957">
        <v>8.5999999999999993E-2</v>
      </c>
      <c r="AB957">
        <v>2.1999999999999999E-2</v>
      </c>
      <c r="AC957">
        <v>5</v>
      </c>
      <c r="AD957" s="6">
        <v>51</v>
      </c>
      <c r="AE957" s="6">
        <v>25</v>
      </c>
      <c r="AF957" s="6">
        <v>0</v>
      </c>
      <c r="AG957" s="6">
        <v>56.34</v>
      </c>
      <c r="AH957" s="6">
        <v>73.010000000000005</v>
      </c>
      <c r="AI957" s="6">
        <f t="shared" si="28"/>
        <v>16.670000000000002</v>
      </c>
      <c r="AJ957" s="5">
        <f t="shared" si="29"/>
        <v>0.22832488700178058</v>
      </c>
    </row>
    <row r="958" spans="1:36">
      <c r="A958" t="s">
        <v>236</v>
      </c>
      <c r="B958" t="s">
        <v>1243</v>
      </c>
      <c r="C958" t="s">
        <v>82</v>
      </c>
      <c r="D958" t="s">
        <v>72</v>
      </c>
      <c r="E958" t="s">
        <v>55</v>
      </c>
      <c r="F958">
        <v>0</v>
      </c>
      <c r="G958">
        <v>955</v>
      </c>
      <c r="H958">
        <v>1</v>
      </c>
      <c r="I958" t="s">
        <v>181</v>
      </c>
      <c r="J958">
        <v>3</v>
      </c>
      <c r="K958" s="6">
        <v>10.08</v>
      </c>
      <c r="L958" t="s">
        <v>174</v>
      </c>
      <c r="M958">
        <v>0</v>
      </c>
      <c r="N958" t="s">
        <v>217</v>
      </c>
      <c r="O958">
        <v>4</v>
      </c>
      <c r="P958">
        <v>1</v>
      </c>
      <c r="Q958" s="6">
        <v>119.2</v>
      </c>
      <c r="R958">
        <v>1</v>
      </c>
      <c r="S958" s="6">
        <v>5712</v>
      </c>
      <c r="T958">
        <v>0</v>
      </c>
      <c r="U958" s="6">
        <v>5332</v>
      </c>
      <c r="V958">
        <v>0</v>
      </c>
      <c r="W958">
        <v>0</v>
      </c>
      <c r="X958">
        <v>0</v>
      </c>
      <c r="Y958" s="6">
        <v>32.299999999999997</v>
      </c>
      <c r="Z958">
        <v>3.5000000000000003E-2</v>
      </c>
      <c r="AA958">
        <v>8.5999999999999993E-2</v>
      </c>
      <c r="AB958">
        <v>2.1999999999999999E-2</v>
      </c>
      <c r="AC958">
        <v>5</v>
      </c>
      <c r="AD958" s="6">
        <v>61</v>
      </c>
      <c r="AE958" s="6">
        <v>80</v>
      </c>
      <c r="AF958" s="6">
        <v>0</v>
      </c>
      <c r="AG958" s="6">
        <v>144.31</v>
      </c>
      <c r="AH958" s="6">
        <v>181.59</v>
      </c>
      <c r="AI958" s="6">
        <f t="shared" si="28"/>
        <v>37.28</v>
      </c>
      <c r="AJ958" s="5">
        <f t="shared" si="29"/>
        <v>0.2052976485489289</v>
      </c>
    </row>
    <row r="959" spans="1:36">
      <c r="A959" t="s">
        <v>343</v>
      </c>
      <c r="B959" t="s">
        <v>1244</v>
      </c>
      <c r="C959" t="s">
        <v>82</v>
      </c>
      <c r="D959" t="s">
        <v>72</v>
      </c>
      <c r="E959" t="s">
        <v>55</v>
      </c>
      <c r="F959">
        <v>0</v>
      </c>
      <c r="G959">
        <v>955</v>
      </c>
      <c r="H959">
        <v>1</v>
      </c>
      <c r="I959" t="s">
        <v>173</v>
      </c>
      <c r="J959">
        <v>1</v>
      </c>
      <c r="K959" s="6">
        <v>2.37</v>
      </c>
      <c r="L959" t="s">
        <v>174</v>
      </c>
      <c r="M959">
        <v>0</v>
      </c>
      <c r="N959" t="s">
        <v>182</v>
      </c>
      <c r="O959">
        <v>3</v>
      </c>
      <c r="P959">
        <v>0</v>
      </c>
      <c r="Q959" s="6">
        <v>63.9</v>
      </c>
      <c r="R959">
        <v>0</v>
      </c>
      <c r="S959" s="6">
        <v>0</v>
      </c>
      <c r="T959">
        <v>0</v>
      </c>
      <c r="U959" s="6">
        <v>2814</v>
      </c>
      <c r="V959">
        <v>0</v>
      </c>
      <c r="W959">
        <v>0</v>
      </c>
      <c r="X959">
        <v>1</v>
      </c>
      <c r="Y959" s="6">
        <v>32.299999999999997</v>
      </c>
      <c r="Z959">
        <v>3.5000000000000003E-2</v>
      </c>
      <c r="AA959">
        <v>8.5999999999999993E-2</v>
      </c>
      <c r="AB959">
        <v>2.1999999999999999E-2</v>
      </c>
      <c r="AC959">
        <v>5</v>
      </c>
      <c r="AD959" s="6">
        <v>51</v>
      </c>
      <c r="AE959" s="6">
        <v>0</v>
      </c>
      <c r="AF959" s="6">
        <v>0</v>
      </c>
      <c r="AG959" s="6">
        <v>54.59</v>
      </c>
      <c r="AH959" s="6">
        <v>72.16</v>
      </c>
      <c r="AI959" s="6">
        <f t="shared" si="28"/>
        <v>17.569999999999993</v>
      </c>
      <c r="AJ959" s="5">
        <f t="shared" si="29"/>
        <v>0.2434866962305986</v>
      </c>
    </row>
    <row r="960" spans="1:36">
      <c r="A960" t="s">
        <v>494</v>
      </c>
      <c r="B960" t="s">
        <v>1245</v>
      </c>
      <c r="C960" t="s">
        <v>82</v>
      </c>
      <c r="D960" t="s">
        <v>72</v>
      </c>
      <c r="E960" t="s">
        <v>55</v>
      </c>
      <c r="F960">
        <v>0</v>
      </c>
      <c r="G960">
        <v>955</v>
      </c>
      <c r="H960">
        <v>1</v>
      </c>
      <c r="I960" t="s">
        <v>220</v>
      </c>
      <c r="J960">
        <v>2</v>
      </c>
      <c r="K960" s="6">
        <v>5</v>
      </c>
      <c r="L960" t="s">
        <v>174</v>
      </c>
      <c r="M960">
        <v>0</v>
      </c>
      <c r="N960" t="s">
        <v>175</v>
      </c>
      <c r="O960">
        <v>1</v>
      </c>
      <c r="P960">
        <v>0</v>
      </c>
      <c r="Q960" s="6">
        <v>37.799999999999997</v>
      </c>
      <c r="R960">
        <v>1</v>
      </c>
      <c r="S960" s="6">
        <v>790</v>
      </c>
      <c r="T960">
        <v>0</v>
      </c>
      <c r="U960" s="6">
        <v>2266</v>
      </c>
      <c r="V960">
        <v>0</v>
      </c>
      <c r="W960">
        <v>0</v>
      </c>
      <c r="X960">
        <v>0</v>
      </c>
      <c r="Y960" s="6">
        <v>32.299999999999997</v>
      </c>
      <c r="Z960">
        <v>3.5000000000000003E-2</v>
      </c>
      <c r="AA960">
        <v>8.5999999999999993E-2</v>
      </c>
      <c r="AB960">
        <v>2.1999999999999999E-2</v>
      </c>
      <c r="AC960">
        <v>5</v>
      </c>
      <c r="AD960" s="6">
        <v>51</v>
      </c>
      <c r="AE960" s="6">
        <v>25</v>
      </c>
      <c r="AF960" s="6">
        <v>0</v>
      </c>
      <c r="AG960" s="6">
        <v>65.819999999999993</v>
      </c>
      <c r="AH960" s="6">
        <v>83.72</v>
      </c>
      <c r="AI960" s="6">
        <f t="shared" si="28"/>
        <v>17.900000000000006</v>
      </c>
      <c r="AJ960" s="5">
        <f t="shared" si="29"/>
        <v>0.21380793119923561</v>
      </c>
    </row>
    <row r="961" spans="1:36">
      <c r="A961" t="s">
        <v>300</v>
      </c>
      <c r="B961" t="s">
        <v>1246</v>
      </c>
      <c r="C961" t="s">
        <v>82</v>
      </c>
      <c r="D961" t="s">
        <v>72</v>
      </c>
      <c r="E961" t="s">
        <v>55</v>
      </c>
      <c r="F961">
        <v>0</v>
      </c>
      <c r="G961">
        <v>955</v>
      </c>
      <c r="H961">
        <v>1.22</v>
      </c>
      <c r="I961" t="s">
        <v>173</v>
      </c>
      <c r="J961">
        <v>1</v>
      </c>
      <c r="K961" s="6">
        <v>1.85</v>
      </c>
      <c r="L961" t="s">
        <v>174</v>
      </c>
      <c r="M961">
        <v>0</v>
      </c>
      <c r="N961" t="s">
        <v>217</v>
      </c>
      <c r="O961">
        <v>4</v>
      </c>
      <c r="P961">
        <v>1</v>
      </c>
      <c r="Q961" s="6">
        <v>87.4</v>
      </c>
      <c r="R961">
        <v>1</v>
      </c>
      <c r="S961" s="6">
        <v>2073</v>
      </c>
      <c r="T961">
        <v>0</v>
      </c>
      <c r="U961" s="6">
        <v>924</v>
      </c>
      <c r="V961">
        <v>0</v>
      </c>
      <c r="W961">
        <v>0</v>
      </c>
      <c r="X961">
        <v>0</v>
      </c>
      <c r="Y961" s="6">
        <v>32.299999999999997</v>
      </c>
      <c r="Z961">
        <v>3.5000000000000003E-2</v>
      </c>
      <c r="AA961">
        <v>8.5999999999999993E-2</v>
      </c>
      <c r="AB961">
        <v>2.1999999999999999E-2</v>
      </c>
      <c r="AC961">
        <v>5</v>
      </c>
      <c r="AD961" s="6">
        <v>51</v>
      </c>
      <c r="AE961" s="6">
        <v>40</v>
      </c>
      <c r="AF961" s="6">
        <v>0</v>
      </c>
      <c r="AG961" s="6">
        <v>104.9</v>
      </c>
      <c r="AH961" s="6">
        <v>134.19999999999999</v>
      </c>
      <c r="AI961" s="6">
        <f t="shared" si="28"/>
        <v>29.299999999999983</v>
      </c>
      <c r="AJ961" s="5">
        <f t="shared" si="29"/>
        <v>0.21833084947839035</v>
      </c>
    </row>
    <row r="962" spans="1:36">
      <c r="A962" t="s">
        <v>206</v>
      </c>
      <c r="B962" t="s">
        <v>1247</v>
      </c>
      <c r="C962" t="s">
        <v>82</v>
      </c>
      <c r="D962" t="s">
        <v>72</v>
      </c>
      <c r="E962" t="s">
        <v>55</v>
      </c>
      <c r="F962">
        <v>0</v>
      </c>
      <c r="G962">
        <v>955</v>
      </c>
      <c r="H962">
        <v>1.22</v>
      </c>
      <c r="I962" t="s">
        <v>181</v>
      </c>
      <c r="J962">
        <v>3</v>
      </c>
      <c r="K962" s="6">
        <v>10.46</v>
      </c>
      <c r="L962" t="s">
        <v>200</v>
      </c>
      <c r="M962">
        <v>1</v>
      </c>
      <c r="N962" t="s">
        <v>182</v>
      </c>
      <c r="O962">
        <v>3</v>
      </c>
      <c r="P962">
        <v>0</v>
      </c>
      <c r="Q962" s="6">
        <v>127.1</v>
      </c>
      <c r="R962">
        <v>0</v>
      </c>
      <c r="S962" s="6">
        <v>0</v>
      </c>
      <c r="T962">
        <v>0</v>
      </c>
      <c r="U962" s="6">
        <v>1409</v>
      </c>
      <c r="V962">
        <v>0</v>
      </c>
      <c r="W962">
        <v>0</v>
      </c>
      <c r="X962">
        <v>0</v>
      </c>
      <c r="Y962" s="6">
        <v>32.299999999999997</v>
      </c>
      <c r="Z962">
        <v>3.5000000000000003E-2</v>
      </c>
      <c r="AA962">
        <v>8.5999999999999993E-2</v>
      </c>
      <c r="AB962">
        <v>2.1999999999999999E-2</v>
      </c>
      <c r="AC962">
        <v>5</v>
      </c>
      <c r="AD962" s="6">
        <v>140</v>
      </c>
      <c r="AE962" s="6">
        <v>0</v>
      </c>
      <c r="AF962" s="6">
        <v>0</v>
      </c>
      <c r="AG962" s="6">
        <v>149.36000000000001</v>
      </c>
      <c r="AH962" s="6">
        <v>186.93</v>
      </c>
      <c r="AI962" s="6">
        <f t="shared" ref="AI962:AI1025" si="30">AH962-AG962</f>
        <v>37.569999999999993</v>
      </c>
      <c r="AJ962" s="5">
        <f t="shared" ref="AJ962:AJ1025" si="31">IFERROR(AI962/AH962,0)</f>
        <v>0.20098432568341085</v>
      </c>
    </row>
    <row r="963" spans="1:36">
      <c r="A963" t="s">
        <v>436</v>
      </c>
      <c r="B963" t="s">
        <v>1248</v>
      </c>
      <c r="C963" t="s">
        <v>82</v>
      </c>
      <c r="D963" t="s">
        <v>72</v>
      </c>
      <c r="E963" t="s">
        <v>55</v>
      </c>
      <c r="F963">
        <v>0</v>
      </c>
      <c r="G963">
        <v>955</v>
      </c>
      <c r="H963">
        <v>1.22</v>
      </c>
      <c r="I963" t="s">
        <v>173</v>
      </c>
      <c r="J963">
        <v>1</v>
      </c>
      <c r="K963" s="6">
        <v>2.2999999999999998</v>
      </c>
      <c r="L963" t="s">
        <v>174</v>
      </c>
      <c r="M963">
        <v>0</v>
      </c>
      <c r="N963" t="s">
        <v>187</v>
      </c>
      <c r="O963">
        <v>2</v>
      </c>
      <c r="P963">
        <v>0</v>
      </c>
      <c r="Q963" s="6">
        <v>73.5</v>
      </c>
      <c r="R963">
        <v>1</v>
      </c>
      <c r="S963" s="6">
        <v>534</v>
      </c>
      <c r="T963">
        <v>0</v>
      </c>
      <c r="U963" s="6">
        <v>427</v>
      </c>
      <c r="V963">
        <v>0</v>
      </c>
      <c r="W963">
        <v>0</v>
      </c>
      <c r="X963">
        <v>0</v>
      </c>
      <c r="Y963" s="6">
        <v>32.299999999999997</v>
      </c>
      <c r="Z963">
        <v>3.5000000000000003E-2</v>
      </c>
      <c r="AA963">
        <v>8.5999999999999993E-2</v>
      </c>
      <c r="AB963">
        <v>2.1999999999999999E-2</v>
      </c>
      <c r="AC963">
        <v>5</v>
      </c>
      <c r="AD963" s="6">
        <v>51</v>
      </c>
      <c r="AE963" s="6">
        <v>25</v>
      </c>
      <c r="AF963" s="6">
        <v>0</v>
      </c>
      <c r="AG963" s="6">
        <v>69.08</v>
      </c>
      <c r="AH963" s="6">
        <v>88.18</v>
      </c>
      <c r="AI963" s="6">
        <f t="shared" si="30"/>
        <v>19.100000000000009</v>
      </c>
      <c r="AJ963" s="5">
        <f t="shared" si="31"/>
        <v>0.216602404173282</v>
      </c>
    </row>
    <row r="964" spans="1:36">
      <c r="A964" t="s">
        <v>194</v>
      </c>
      <c r="B964" t="s">
        <v>1249</v>
      </c>
      <c r="C964" t="s">
        <v>82</v>
      </c>
      <c r="D964" t="s">
        <v>72</v>
      </c>
      <c r="E964" t="s">
        <v>55</v>
      </c>
      <c r="F964">
        <v>0</v>
      </c>
      <c r="G964">
        <v>955</v>
      </c>
      <c r="H964">
        <v>1.22</v>
      </c>
      <c r="I964" t="s">
        <v>173</v>
      </c>
      <c r="J964">
        <v>1</v>
      </c>
      <c r="K964" s="6">
        <v>1.05</v>
      </c>
      <c r="L964" t="s">
        <v>174</v>
      </c>
      <c r="M964">
        <v>0</v>
      </c>
      <c r="N964" t="s">
        <v>175</v>
      </c>
      <c r="O964">
        <v>1</v>
      </c>
      <c r="P964">
        <v>0</v>
      </c>
      <c r="Q964" s="6">
        <v>35.700000000000003</v>
      </c>
      <c r="R964">
        <v>0</v>
      </c>
      <c r="S964" s="6">
        <v>0</v>
      </c>
      <c r="T964">
        <v>0</v>
      </c>
      <c r="U964" s="6">
        <v>1411</v>
      </c>
      <c r="V964">
        <v>0</v>
      </c>
      <c r="W964">
        <v>0</v>
      </c>
      <c r="X964">
        <v>0</v>
      </c>
      <c r="Y964" s="6">
        <v>32.299999999999997</v>
      </c>
      <c r="Z964">
        <v>3.5000000000000003E-2</v>
      </c>
      <c r="AA964">
        <v>8.5999999999999993E-2</v>
      </c>
      <c r="AB964">
        <v>2.1999999999999999E-2</v>
      </c>
      <c r="AC964">
        <v>5</v>
      </c>
      <c r="AD964" s="6">
        <v>51</v>
      </c>
      <c r="AE964" s="6">
        <v>0</v>
      </c>
      <c r="AF964" s="6">
        <v>0</v>
      </c>
      <c r="AG964" s="6">
        <v>49</v>
      </c>
      <c r="AH964" s="6">
        <v>61.58</v>
      </c>
      <c r="AI964" s="6">
        <f t="shared" si="30"/>
        <v>12.579999999999998</v>
      </c>
      <c r="AJ964" s="5">
        <f t="shared" si="31"/>
        <v>0.20428710620331275</v>
      </c>
    </row>
    <row r="965" spans="1:36">
      <c r="A965" t="s">
        <v>198</v>
      </c>
      <c r="B965" t="s">
        <v>1250</v>
      </c>
      <c r="C965" t="s">
        <v>82</v>
      </c>
      <c r="D965" t="s">
        <v>72</v>
      </c>
      <c r="E965" t="s">
        <v>55</v>
      </c>
      <c r="F965">
        <v>0</v>
      </c>
      <c r="G965">
        <v>955</v>
      </c>
      <c r="H965">
        <v>1</v>
      </c>
      <c r="I965" t="s">
        <v>220</v>
      </c>
      <c r="J965">
        <v>2</v>
      </c>
      <c r="K965" s="6">
        <v>3.64</v>
      </c>
      <c r="L965" t="s">
        <v>174</v>
      </c>
      <c r="M965">
        <v>0</v>
      </c>
      <c r="N965" t="s">
        <v>182</v>
      </c>
      <c r="O965">
        <v>3</v>
      </c>
      <c r="P965">
        <v>0</v>
      </c>
      <c r="Q965" s="6">
        <v>88.6</v>
      </c>
      <c r="R965">
        <v>0</v>
      </c>
      <c r="S965" s="6">
        <v>0</v>
      </c>
      <c r="T965">
        <v>0</v>
      </c>
      <c r="U965" s="6">
        <v>3250</v>
      </c>
      <c r="V965">
        <v>0</v>
      </c>
      <c r="W965">
        <v>0</v>
      </c>
      <c r="X965">
        <v>0</v>
      </c>
      <c r="Y965" s="6">
        <v>32.299999999999997</v>
      </c>
      <c r="Z965">
        <v>3.5000000000000003E-2</v>
      </c>
      <c r="AA965">
        <v>8.5999999999999993E-2</v>
      </c>
      <c r="AB965">
        <v>2.1999999999999999E-2</v>
      </c>
      <c r="AC965">
        <v>5</v>
      </c>
      <c r="AD965" s="6">
        <v>51</v>
      </c>
      <c r="AE965" s="6">
        <v>0</v>
      </c>
      <c r="AF965" s="6">
        <v>0</v>
      </c>
      <c r="AG965" s="6">
        <v>75.66</v>
      </c>
      <c r="AH965" s="6">
        <v>96.22</v>
      </c>
      <c r="AI965" s="6">
        <f t="shared" si="30"/>
        <v>20.560000000000002</v>
      </c>
      <c r="AJ965" s="5">
        <f t="shared" si="31"/>
        <v>0.21367699023072129</v>
      </c>
    </row>
    <row r="966" spans="1:36">
      <c r="A966" t="s">
        <v>306</v>
      </c>
      <c r="B966" t="s">
        <v>1251</v>
      </c>
      <c r="C966" t="s">
        <v>82</v>
      </c>
      <c r="D966" t="s">
        <v>72</v>
      </c>
      <c r="E966" t="s">
        <v>55</v>
      </c>
      <c r="F966">
        <v>0</v>
      </c>
      <c r="G966">
        <v>955</v>
      </c>
      <c r="H966">
        <v>1.22</v>
      </c>
      <c r="I966" t="s">
        <v>181</v>
      </c>
      <c r="J966">
        <v>3</v>
      </c>
      <c r="K966" s="6">
        <v>8.17</v>
      </c>
      <c r="L966" t="s">
        <v>174</v>
      </c>
      <c r="M966">
        <v>0</v>
      </c>
      <c r="N966" t="s">
        <v>182</v>
      </c>
      <c r="O966">
        <v>3</v>
      </c>
      <c r="P966">
        <v>1</v>
      </c>
      <c r="Q966" s="6">
        <v>109.1</v>
      </c>
      <c r="R966">
        <v>0</v>
      </c>
      <c r="S966" s="6">
        <v>0</v>
      </c>
      <c r="T966">
        <v>0</v>
      </c>
      <c r="U966" s="6">
        <v>2857</v>
      </c>
      <c r="V966">
        <v>0</v>
      </c>
      <c r="W966">
        <v>0</v>
      </c>
      <c r="X966">
        <v>0</v>
      </c>
      <c r="Y966" s="6">
        <v>32.299999999999997</v>
      </c>
      <c r="Z966">
        <v>3.5000000000000003E-2</v>
      </c>
      <c r="AA966">
        <v>8.5999999999999993E-2</v>
      </c>
      <c r="AB966">
        <v>2.1999999999999999E-2</v>
      </c>
      <c r="AC966">
        <v>5</v>
      </c>
      <c r="AD966" s="6">
        <v>61</v>
      </c>
      <c r="AE966" s="6">
        <v>0</v>
      </c>
      <c r="AF966" s="6">
        <v>0</v>
      </c>
      <c r="AG966" s="6">
        <v>133.04</v>
      </c>
      <c r="AH966" s="6">
        <v>171.03</v>
      </c>
      <c r="AI966" s="6">
        <f t="shared" si="30"/>
        <v>37.990000000000009</v>
      </c>
      <c r="AJ966" s="5">
        <f t="shared" si="31"/>
        <v>0.22212477343156176</v>
      </c>
    </row>
    <row r="967" spans="1:36">
      <c r="A967" t="s">
        <v>393</v>
      </c>
      <c r="B967" t="s">
        <v>1252</v>
      </c>
      <c r="C967" t="s">
        <v>82</v>
      </c>
      <c r="D967" t="s">
        <v>72</v>
      </c>
      <c r="E967" t="s">
        <v>55</v>
      </c>
      <c r="F967">
        <v>0</v>
      </c>
      <c r="G967">
        <v>955</v>
      </c>
      <c r="H967">
        <v>1.22</v>
      </c>
      <c r="I967" t="s">
        <v>220</v>
      </c>
      <c r="J967">
        <v>2</v>
      </c>
      <c r="K967" s="6">
        <v>3.81</v>
      </c>
      <c r="L967" t="s">
        <v>174</v>
      </c>
      <c r="M967">
        <v>0</v>
      </c>
      <c r="N967" t="s">
        <v>182</v>
      </c>
      <c r="O967">
        <v>3</v>
      </c>
      <c r="P967">
        <v>0</v>
      </c>
      <c r="Q967" s="6">
        <v>94</v>
      </c>
      <c r="R967">
        <v>0</v>
      </c>
      <c r="S967" s="6">
        <v>0</v>
      </c>
      <c r="T967">
        <v>0</v>
      </c>
      <c r="U967" s="6">
        <v>3459</v>
      </c>
      <c r="V967">
        <v>0</v>
      </c>
      <c r="W967">
        <v>0</v>
      </c>
      <c r="X967">
        <v>0</v>
      </c>
      <c r="Y967" s="6">
        <v>32.299999999999997</v>
      </c>
      <c r="Z967">
        <v>3.5000000000000003E-2</v>
      </c>
      <c r="AA967">
        <v>8.5999999999999993E-2</v>
      </c>
      <c r="AB967">
        <v>2.1999999999999999E-2</v>
      </c>
      <c r="AC967">
        <v>5</v>
      </c>
      <c r="AD967" s="6">
        <v>51</v>
      </c>
      <c r="AE967" s="6">
        <v>0</v>
      </c>
      <c r="AF967" s="6">
        <v>0</v>
      </c>
      <c r="AG967" s="6">
        <v>77.319999999999993</v>
      </c>
      <c r="AH967" s="6">
        <v>99.17</v>
      </c>
      <c r="AI967" s="6">
        <f t="shared" si="30"/>
        <v>21.850000000000009</v>
      </c>
      <c r="AJ967" s="5">
        <f t="shared" si="31"/>
        <v>0.22032872844610274</v>
      </c>
    </row>
    <row r="968" spans="1:36">
      <c r="A968" t="s">
        <v>365</v>
      </c>
      <c r="B968" t="s">
        <v>1253</v>
      </c>
      <c r="C968" t="s">
        <v>82</v>
      </c>
      <c r="D968" t="s">
        <v>72</v>
      </c>
      <c r="E968" t="s">
        <v>55</v>
      </c>
      <c r="F968">
        <v>0</v>
      </c>
      <c r="G968">
        <v>955</v>
      </c>
      <c r="H968">
        <v>1.22</v>
      </c>
      <c r="I968" t="s">
        <v>220</v>
      </c>
      <c r="J968">
        <v>2</v>
      </c>
      <c r="K968" s="6">
        <v>3</v>
      </c>
      <c r="L968" t="s">
        <v>174</v>
      </c>
      <c r="M968">
        <v>0</v>
      </c>
      <c r="N968" t="s">
        <v>217</v>
      </c>
      <c r="O968">
        <v>4</v>
      </c>
      <c r="P968">
        <v>1</v>
      </c>
      <c r="Q968" s="6">
        <v>151.5</v>
      </c>
      <c r="R968">
        <v>0</v>
      </c>
      <c r="S968" s="6">
        <v>0</v>
      </c>
      <c r="T968">
        <v>0</v>
      </c>
      <c r="U968" s="6">
        <v>1433</v>
      </c>
      <c r="V968">
        <v>0</v>
      </c>
      <c r="W968">
        <v>0</v>
      </c>
      <c r="X968">
        <v>0</v>
      </c>
      <c r="Y968" s="6">
        <v>32.299999999999997</v>
      </c>
      <c r="Z968">
        <v>3.5000000000000003E-2</v>
      </c>
      <c r="AA968">
        <v>8.5999999999999993E-2</v>
      </c>
      <c r="AB968">
        <v>2.1999999999999999E-2</v>
      </c>
      <c r="AC968">
        <v>5</v>
      </c>
      <c r="AD968" s="6">
        <v>51</v>
      </c>
      <c r="AE968" s="6">
        <v>0</v>
      </c>
      <c r="AF968" s="6">
        <v>0</v>
      </c>
      <c r="AG968" s="6">
        <v>116.05</v>
      </c>
      <c r="AH968" s="6">
        <v>149.21</v>
      </c>
      <c r="AI968" s="6">
        <f t="shared" si="30"/>
        <v>33.160000000000011</v>
      </c>
      <c r="AJ968" s="5">
        <f t="shared" si="31"/>
        <v>0.22223711547483418</v>
      </c>
    </row>
    <row r="969" spans="1:36">
      <c r="A969" t="s">
        <v>179</v>
      </c>
      <c r="B969" t="s">
        <v>1254</v>
      </c>
      <c r="C969" t="s">
        <v>82</v>
      </c>
      <c r="D969" t="s">
        <v>72</v>
      </c>
      <c r="E969" t="s">
        <v>55</v>
      </c>
      <c r="F969">
        <v>0</v>
      </c>
      <c r="G969">
        <v>955</v>
      </c>
      <c r="H969">
        <v>1</v>
      </c>
      <c r="I969" t="s">
        <v>173</v>
      </c>
      <c r="J969">
        <v>1</v>
      </c>
      <c r="K969" s="6">
        <v>2.5</v>
      </c>
      <c r="L969" t="s">
        <v>174</v>
      </c>
      <c r="M969">
        <v>0</v>
      </c>
      <c r="N969" t="s">
        <v>182</v>
      </c>
      <c r="O969">
        <v>3</v>
      </c>
      <c r="P969">
        <v>1</v>
      </c>
      <c r="Q969" s="6">
        <v>118.2</v>
      </c>
      <c r="R969">
        <v>0</v>
      </c>
      <c r="S969" s="6">
        <v>0</v>
      </c>
      <c r="T969">
        <v>0</v>
      </c>
      <c r="U969" s="6">
        <v>2534</v>
      </c>
      <c r="V969">
        <v>0</v>
      </c>
      <c r="W969">
        <v>0</v>
      </c>
      <c r="X969">
        <v>0</v>
      </c>
      <c r="Y969" s="6">
        <v>32.299999999999997</v>
      </c>
      <c r="Z969">
        <v>3.5000000000000003E-2</v>
      </c>
      <c r="AA969">
        <v>8.5999999999999993E-2</v>
      </c>
      <c r="AB969">
        <v>2.1999999999999999E-2</v>
      </c>
      <c r="AC969">
        <v>5</v>
      </c>
      <c r="AD969" s="6">
        <v>51</v>
      </c>
      <c r="AE969" s="6">
        <v>0</v>
      </c>
      <c r="AF969" s="6">
        <v>0</v>
      </c>
      <c r="AG969" s="6">
        <v>87.31</v>
      </c>
      <c r="AH969" s="6">
        <v>112.13</v>
      </c>
      <c r="AI969" s="6">
        <f t="shared" si="30"/>
        <v>24.819999999999993</v>
      </c>
      <c r="AJ969" s="5">
        <f t="shared" si="31"/>
        <v>0.22135021849638806</v>
      </c>
    </row>
    <row r="970" spans="1:36">
      <c r="A970" t="s">
        <v>311</v>
      </c>
      <c r="B970" t="s">
        <v>1255</v>
      </c>
      <c r="C970" t="s">
        <v>82</v>
      </c>
      <c r="D970" t="s">
        <v>72</v>
      </c>
      <c r="E970" t="s">
        <v>55</v>
      </c>
      <c r="F970">
        <v>0</v>
      </c>
      <c r="G970">
        <v>955</v>
      </c>
      <c r="H970">
        <v>1</v>
      </c>
      <c r="I970" t="s">
        <v>173</v>
      </c>
      <c r="J970">
        <v>1</v>
      </c>
      <c r="K970" s="6">
        <v>1.54</v>
      </c>
      <c r="L970" t="s">
        <v>174</v>
      </c>
      <c r="M970">
        <v>0</v>
      </c>
      <c r="N970" t="s">
        <v>175</v>
      </c>
      <c r="O970">
        <v>1</v>
      </c>
      <c r="P970">
        <v>0</v>
      </c>
      <c r="Q970" s="6">
        <v>49.8</v>
      </c>
      <c r="R970">
        <v>0</v>
      </c>
      <c r="S970" s="6">
        <v>0</v>
      </c>
      <c r="T970">
        <v>0</v>
      </c>
      <c r="U970" s="6">
        <v>1232</v>
      </c>
      <c r="V970">
        <v>0</v>
      </c>
      <c r="W970">
        <v>0</v>
      </c>
      <c r="X970">
        <v>0</v>
      </c>
      <c r="Y970" s="6">
        <v>32.299999999999997</v>
      </c>
      <c r="Z970">
        <v>3.5000000000000003E-2</v>
      </c>
      <c r="AA970">
        <v>8.5999999999999993E-2</v>
      </c>
      <c r="AB970">
        <v>2.1999999999999999E-2</v>
      </c>
      <c r="AC970">
        <v>5</v>
      </c>
      <c r="AD970" s="6">
        <v>51</v>
      </c>
      <c r="AE970" s="6">
        <v>0</v>
      </c>
      <c r="AF970" s="6">
        <v>0</v>
      </c>
      <c r="AG970" s="6">
        <v>53.51</v>
      </c>
      <c r="AH970" s="6">
        <v>71.14</v>
      </c>
      <c r="AI970" s="6">
        <f t="shared" si="30"/>
        <v>17.630000000000003</v>
      </c>
      <c r="AJ970" s="5">
        <f t="shared" si="31"/>
        <v>0.24782119763845942</v>
      </c>
    </row>
    <row r="971" spans="1:36">
      <c r="A971" t="s">
        <v>291</v>
      </c>
      <c r="B971" t="s">
        <v>1256</v>
      </c>
      <c r="C971" t="s">
        <v>82</v>
      </c>
      <c r="D971" t="s">
        <v>72</v>
      </c>
      <c r="E971" t="s">
        <v>55</v>
      </c>
      <c r="F971">
        <v>0</v>
      </c>
      <c r="G971">
        <v>955</v>
      </c>
      <c r="H971">
        <v>1.22</v>
      </c>
      <c r="I971" t="s">
        <v>181</v>
      </c>
      <c r="J971">
        <v>3</v>
      </c>
      <c r="K971" s="6">
        <v>5.1100000000000003</v>
      </c>
      <c r="L971" t="s">
        <v>174</v>
      </c>
      <c r="M971">
        <v>0</v>
      </c>
      <c r="N971" t="s">
        <v>182</v>
      </c>
      <c r="O971">
        <v>3</v>
      </c>
      <c r="P971">
        <v>0</v>
      </c>
      <c r="Q971" s="6">
        <v>67.5</v>
      </c>
      <c r="R971">
        <v>0</v>
      </c>
      <c r="S971" s="6">
        <v>0</v>
      </c>
      <c r="T971">
        <v>0</v>
      </c>
      <c r="U971" s="6">
        <v>1904</v>
      </c>
      <c r="V971">
        <v>0</v>
      </c>
      <c r="W971">
        <v>0</v>
      </c>
      <c r="X971">
        <v>0</v>
      </c>
      <c r="Y971" s="6">
        <v>32.299999999999997</v>
      </c>
      <c r="Z971">
        <v>3.5000000000000003E-2</v>
      </c>
      <c r="AA971">
        <v>8.5999999999999993E-2</v>
      </c>
      <c r="AB971">
        <v>2.1999999999999999E-2</v>
      </c>
      <c r="AC971">
        <v>5</v>
      </c>
      <c r="AD971" s="6">
        <v>61</v>
      </c>
      <c r="AE971" s="6">
        <v>0</v>
      </c>
      <c r="AF971" s="6">
        <v>0</v>
      </c>
      <c r="AG971" s="6">
        <v>90.59</v>
      </c>
      <c r="AH971" s="6">
        <v>116.48</v>
      </c>
      <c r="AI971" s="6">
        <f t="shared" si="30"/>
        <v>25.89</v>
      </c>
      <c r="AJ971" s="5">
        <f t="shared" si="31"/>
        <v>0.22226991758241757</v>
      </c>
    </row>
    <row r="972" spans="1:36">
      <c r="A972" t="s">
        <v>381</v>
      </c>
      <c r="B972" t="s">
        <v>1257</v>
      </c>
      <c r="C972" t="s">
        <v>82</v>
      </c>
      <c r="D972" t="s">
        <v>72</v>
      </c>
      <c r="E972" t="s">
        <v>55</v>
      </c>
      <c r="F972">
        <v>0</v>
      </c>
      <c r="G972">
        <v>955</v>
      </c>
      <c r="H972">
        <v>1</v>
      </c>
      <c r="I972" t="s">
        <v>178</v>
      </c>
      <c r="J972">
        <v>4</v>
      </c>
      <c r="K972" s="6">
        <v>7.1</v>
      </c>
      <c r="L972" t="s">
        <v>174</v>
      </c>
      <c r="M972">
        <v>0</v>
      </c>
      <c r="N972" t="s">
        <v>182</v>
      </c>
      <c r="O972">
        <v>3</v>
      </c>
      <c r="P972">
        <v>0</v>
      </c>
      <c r="Q972" s="6">
        <v>112.3</v>
      </c>
      <c r="R972">
        <v>0</v>
      </c>
      <c r="S972" s="6">
        <v>0</v>
      </c>
      <c r="T972">
        <v>0</v>
      </c>
      <c r="U972" s="6">
        <v>1424</v>
      </c>
      <c r="V972">
        <v>0</v>
      </c>
      <c r="W972">
        <v>0</v>
      </c>
      <c r="X972">
        <v>0</v>
      </c>
      <c r="Y972" s="6">
        <v>32.299999999999997</v>
      </c>
      <c r="Z972">
        <v>3.5000000000000003E-2</v>
      </c>
      <c r="AA972">
        <v>8.5999999999999993E-2</v>
      </c>
      <c r="AB972">
        <v>2.1999999999999999E-2</v>
      </c>
      <c r="AC972">
        <v>5</v>
      </c>
      <c r="AD972" s="6">
        <v>66</v>
      </c>
      <c r="AE972" s="6">
        <v>0</v>
      </c>
      <c r="AF972" s="6">
        <v>0</v>
      </c>
      <c r="AG972" s="6">
        <v>100.52</v>
      </c>
      <c r="AH972" s="6">
        <v>130.24</v>
      </c>
      <c r="AI972" s="6">
        <f t="shared" si="30"/>
        <v>29.720000000000013</v>
      </c>
      <c r="AJ972" s="5">
        <f t="shared" si="31"/>
        <v>0.22819410319410327</v>
      </c>
    </row>
    <row r="973" spans="1:36">
      <c r="A973" t="s">
        <v>406</v>
      </c>
      <c r="B973" t="s">
        <v>1258</v>
      </c>
      <c r="C973" t="s">
        <v>82</v>
      </c>
      <c r="D973" t="s">
        <v>72</v>
      </c>
      <c r="E973" t="s">
        <v>55</v>
      </c>
      <c r="F973">
        <v>0</v>
      </c>
      <c r="G973">
        <v>955</v>
      </c>
      <c r="H973">
        <v>1.22</v>
      </c>
      <c r="I973" t="s">
        <v>181</v>
      </c>
      <c r="J973">
        <v>3</v>
      </c>
      <c r="K973" s="6">
        <v>7.87</v>
      </c>
      <c r="L973" t="s">
        <v>174</v>
      </c>
      <c r="M973">
        <v>0</v>
      </c>
      <c r="N973" t="s">
        <v>175</v>
      </c>
      <c r="O973">
        <v>1</v>
      </c>
      <c r="P973">
        <v>0</v>
      </c>
      <c r="Q973" s="6">
        <v>20.100000000000001</v>
      </c>
      <c r="R973">
        <v>0</v>
      </c>
      <c r="S973" s="6">
        <v>0</v>
      </c>
      <c r="T973">
        <v>0</v>
      </c>
      <c r="U973" s="6">
        <v>1835</v>
      </c>
      <c r="V973">
        <v>0</v>
      </c>
      <c r="W973">
        <v>0</v>
      </c>
      <c r="X973">
        <v>0</v>
      </c>
      <c r="Y973" s="6">
        <v>32.299999999999997</v>
      </c>
      <c r="Z973">
        <v>3.5000000000000003E-2</v>
      </c>
      <c r="AA973">
        <v>8.5999999999999993E-2</v>
      </c>
      <c r="AB973">
        <v>2.1999999999999999E-2</v>
      </c>
      <c r="AC973">
        <v>5</v>
      </c>
      <c r="AD973" s="6">
        <v>61</v>
      </c>
      <c r="AE973" s="6">
        <v>0</v>
      </c>
      <c r="AF973" s="6">
        <v>0</v>
      </c>
      <c r="AG973" s="6">
        <v>83.82</v>
      </c>
      <c r="AH973" s="6">
        <v>105.38</v>
      </c>
      <c r="AI973" s="6">
        <f t="shared" si="30"/>
        <v>21.560000000000002</v>
      </c>
      <c r="AJ973" s="5">
        <f t="shared" si="31"/>
        <v>0.20459290187891443</v>
      </c>
    </row>
    <row r="974" spans="1:36">
      <c r="A974" t="s">
        <v>190</v>
      </c>
      <c r="B974" t="s">
        <v>1259</v>
      </c>
      <c r="C974" t="s">
        <v>82</v>
      </c>
      <c r="D974" t="s">
        <v>72</v>
      </c>
      <c r="E974" t="s">
        <v>55</v>
      </c>
      <c r="F974">
        <v>0</v>
      </c>
      <c r="G974">
        <v>955</v>
      </c>
      <c r="H974">
        <v>1.22</v>
      </c>
      <c r="I974" t="s">
        <v>220</v>
      </c>
      <c r="J974">
        <v>2</v>
      </c>
      <c r="K974" s="6">
        <v>3.89</v>
      </c>
      <c r="L974" t="s">
        <v>174</v>
      </c>
      <c r="M974">
        <v>0</v>
      </c>
      <c r="N974" t="s">
        <v>217</v>
      </c>
      <c r="O974">
        <v>4</v>
      </c>
      <c r="P974">
        <v>1</v>
      </c>
      <c r="Q974" s="6">
        <v>157.19999999999999</v>
      </c>
      <c r="R974">
        <v>0</v>
      </c>
      <c r="S974" s="6">
        <v>0</v>
      </c>
      <c r="T974">
        <v>0</v>
      </c>
      <c r="U974" s="6">
        <v>1862</v>
      </c>
      <c r="V974">
        <v>0</v>
      </c>
      <c r="W974">
        <v>0</v>
      </c>
      <c r="X974">
        <v>0</v>
      </c>
      <c r="Y974" s="6">
        <v>32.299999999999997</v>
      </c>
      <c r="Z974">
        <v>3.5000000000000003E-2</v>
      </c>
      <c r="AA974">
        <v>8.5999999999999993E-2</v>
      </c>
      <c r="AB974">
        <v>2.1999999999999999E-2</v>
      </c>
      <c r="AC974">
        <v>5</v>
      </c>
      <c r="AD974" s="6">
        <v>51</v>
      </c>
      <c r="AE974" s="6">
        <v>0</v>
      </c>
      <c r="AF974" s="6">
        <v>0</v>
      </c>
      <c r="AG974" s="6">
        <v>120.29</v>
      </c>
      <c r="AH974" s="6">
        <v>154.30000000000001</v>
      </c>
      <c r="AI974" s="6">
        <f t="shared" si="30"/>
        <v>34.010000000000005</v>
      </c>
      <c r="AJ974" s="5">
        <f t="shared" si="31"/>
        <v>0.22041477640959173</v>
      </c>
    </row>
    <row r="975" spans="1:36">
      <c r="A975" t="s">
        <v>284</v>
      </c>
      <c r="B975" t="s">
        <v>1260</v>
      </c>
      <c r="C975" t="s">
        <v>82</v>
      </c>
      <c r="D975" t="s">
        <v>72</v>
      </c>
      <c r="E975" t="s">
        <v>55</v>
      </c>
      <c r="F975">
        <v>0</v>
      </c>
      <c r="G975">
        <v>955</v>
      </c>
      <c r="H975">
        <v>1.22</v>
      </c>
      <c r="I975" t="s">
        <v>173</v>
      </c>
      <c r="J975">
        <v>1</v>
      </c>
      <c r="K975" s="6">
        <v>1.58</v>
      </c>
      <c r="L975" t="s">
        <v>174</v>
      </c>
      <c r="M975">
        <v>0</v>
      </c>
      <c r="N975" t="s">
        <v>182</v>
      </c>
      <c r="O975">
        <v>3</v>
      </c>
      <c r="P975">
        <v>0</v>
      </c>
      <c r="Q975" s="6">
        <v>87.3</v>
      </c>
      <c r="R975">
        <v>1</v>
      </c>
      <c r="S975" s="6">
        <v>1766</v>
      </c>
      <c r="T975">
        <v>0</v>
      </c>
      <c r="U975" s="6">
        <v>1008</v>
      </c>
      <c r="V975">
        <v>0</v>
      </c>
      <c r="W975">
        <v>0</v>
      </c>
      <c r="X975">
        <v>0</v>
      </c>
      <c r="Y975" s="6">
        <v>32.299999999999997</v>
      </c>
      <c r="Z975">
        <v>3.5000000000000003E-2</v>
      </c>
      <c r="AA975">
        <v>8.5999999999999993E-2</v>
      </c>
      <c r="AB975">
        <v>2.1999999999999999E-2</v>
      </c>
      <c r="AC975">
        <v>5</v>
      </c>
      <c r="AD975" s="6">
        <v>51</v>
      </c>
      <c r="AE975" s="6">
        <v>25</v>
      </c>
      <c r="AF975" s="6">
        <v>0</v>
      </c>
      <c r="AG975" s="6">
        <v>68.77</v>
      </c>
      <c r="AH975" s="6">
        <v>87.62</v>
      </c>
      <c r="AI975" s="6">
        <f t="shared" si="30"/>
        <v>18.850000000000009</v>
      </c>
      <c r="AJ975" s="5">
        <f t="shared" si="31"/>
        <v>0.2151335311572701</v>
      </c>
    </row>
    <row r="976" spans="1:36">
      <c r="A976" t="s">
        <v>355</v>
      </c>
      <c r="B976" t="s">
        <v>1261</v>
      </c>
      <c r="C976" t="s">
        <v>82</v>
      </c>
      <c r="D976" t="s">
        <v>72</v>
      </c>
      <c r="E976" t="s">
        <v>55</v>
      </c>
      <c r="F976">
        <v>0</v>
      </c>
      <c r="G976">
        <v>955</v>
      </c>
      <c r="H976">
        <v>1.22</v>
      </c>
      <c r="I976" t="s">
        <v>173</v>
      </c>
      <c r="J976">
        <v>1</v>
      </c>
      <c r="K976" s="6">
        <v>2.56</v>
      </c>
      <c r="L976" t="s">
        <v>174</v>
      </c>
      <c r="M976">
        <v>0</v>
      </c>
      <c r="N976" t="s">
        <v>175</v>
      </c>
      <c r="O976">
        <v>1</v>
      </c>
      <c r="P976">
        <v>0</v>
      </c>
      <c r="Q976" s="6">
        <v>24.2</v>
      </c>
      <c r="R976">
        <v>0</v>
      </c>
      <c r="S976" s="6">
        <v>0</v>
      </c>
      <c r="T976">
        <v>0</v>
      </c>
      <c r="U976" s="6">
        <v>4181</v>
      </c>
      <c r="V976">
        <v>0</v>
      </c>
      <c r="W976">
        <v>0</v>
      </c>
      <c r="X976">
        <v>0</v>
      </c>
      <c r="Y976" s="6">
        <v>32.299999999999997</v>
      </c>
      <c r="Z976">
        <v>3.5000000000000003E-2</v>
      </c>
      <c r="AA976">
        <v>8.5999999999999993E-2</v>
      </c>
      <c r="AB976">
        <v>2.1999999999999999E-2</v>
      </c>
      <c r="AC976">
        <v>5</v>
      </c>
      <c r="AD976" s="6">
        <v>51</v>
      </c>
      <c r="AE976" s="6">
        <v>0</v>
      </c>
      <c r="AF976" s="6">
        <v>0</v>
      </c>
      <c r="AG976" s="6">
        <v>56.71</v>
      </c>
      <c r="AH976" s="6">
        <v>71.17</v>
      </c>
      <c r="AI976" s="6">
        <f t="shared" si="30"/>
        <v>14.46</v>
      </c>
      <c r="AJ976" s="5">
        <f t="shared" si="31"/>
        <v>0.20317549529296053</v>
      </c>
    </row>
    <row r="977" spans="1:36">
      <c r="A977" t="s">
        <v>274</v>
      </c>
      <c r="B977" t="s">
        <v>1262</v>
      </c>
      <c r="C977" t="s">
        <v>82</v>
      </c>
      <c r="D977" t="s">
        <v>72</v>
      </c>
      <c r="E977" t="s">
        <v>55</v>
      </c>
      <c r="F977">
        <v>0</v>
      </c>
      <c r="G977">
        <v>955</v>
      </c>
      <c r="H977">
        <v>1</v>
      </c>
      <c r="I977" t="s">
        <v>173</v>
      </c>
      <c r="J977">
        <v>1</v>
      </c>
      <c r="K977" s="6">
        <v>2.6</v>
      </c>
      <c r="L977" t="s">
        <v>174</v>
      </c>
      <c r="M977">
        <v>0</v>
      </c>
      <c r="N977" t="s">
        <v>182</v>
      </c>
      <c r="O977">
        <v>3</v>
      </c>
      <c r="P977">
        <v>0</v>
      </c>
      <c r="Q977" s="6">
        <v>102.9</v>
      </c>
      <c r="R977">
        <v>0</v>
      </c>
      <c r="S977" s="6">
        <v>0</v>
      </c>
      <c r="T977">
        <v>0</v>
      </c>
      <c r="U977" s="6">
        <v>1021</v>
      </c>
      <c r="V977">
        <v>0</v>
      </c>
      <c r="W977">
        <v>0</v>
      </c>
      <c r="X977">
        <v>0</v>
      </c>
      <c r="Y977" s="6">
        <v>32.299999999999997</v>
      </c>
      <c r="Z977">
        <v>3.5000000000000003E-2</v>
      </c>
      <c r="AA977">
        <v>8.5999999999999993E-2</v>
      </c>
      <c r="AB977">
        <v>2.1999999999999999E-2</v>
      </c>
      <c r="AC977">
        <v>5</v>
      </c>
      <c r="AD977" s="6">
        <v>51</v>
      </c>
      <c r="AE977" s="6">
        <v>0</v>
      </c>
      <c r="AF977" s="6">
        <v>0</v>
      </c>
      <c r="AG977" s="6">
        <v>55.32</v>
      </c>
      <c r="AH977" s="6">
        <v>73.91</v>
      </c>
      <c r="AI977" s="6">
        <f t="shared" si="30"/>
        <v>18.589999999999996</v>
      </c>
      <c r="AJ977" s="5">
        <f t="shared" si="31"/>
        <v>0.25152212149912051</v>
      </c>
    </row>
    <row r="978" spans="1:36">
      <c r="A978" t="s">
        <v>323</v>
      </c>
      <c r="B978" t="s">
        <v>1263</v>
      </c>
      <c r="C978" t="s">
        <v>82</v>
      </c>
      <c r="D978" t="s">
        <v>72</v>
      </c>
      <c r="E978" t="s">
        <v>55</v>
      </c>
      <c r="F978">
        <v>0</v>
      </c>
      <c r="G978">
        <v>955</v>
      </c>
      <c r="H978">
        <v>1.22</v>
      </c>
      <c r="I978" t="s">
        <v>173</v>
      </c>
      <c r="J978">
        <v>1</v>
      </c>
      <c r="K978" s="6">
        <v>1.52</v>
      </c>
      <c r="L978" t="s">
        <v>174</v>
      </c>
      <c r="M978">
        <v>0</v>
      </c>
      <c r="N978" t="s">
        <v>175</v>
      </c>
      <c r="O978">
        <v>1</v>
      </c>
      <c r="P978">
        <v>0</v>
      </c>
      <c r="Q978" s="6">
        <v>37.200000000000003</v>
      </c>
      <c r="R978">
        <v>0</v>
      </c>
      <c r="S978" s="6">
        <v>0</v>
      </c>
      <c r="T978">
        <v>0</v>
      </c>
      <c r="U978" s="6">
        <v>609</v>
      </c>
      <c r="V978">
        <v>0</v>
      </c>
      <c r="W978">
        <v>0</v>
      </c>
      <c r="X978">
        <v>0</v>
      </c>
      <c r="Y978" s="6">
        <v>32.299999999999997</v>
      </c>
      <c r="Z978">
        <v>3.5000000000000003E-2</v>
      </c>
      <c r="AA978">
        <v>8.5999999999999993E-2</v>
      </c>
      <c r="AB978">
        <v>2.1999999999999999E-2</v>
      </c>
      <c r="AC978">
        <v>5</v>
      </c>
      <c r="AD978" s="6">
        <v>51</v>
      </c>
      <c r="AE978" s="6">
        <v>0</v>
      </c>
      <c r="AF978" s="6">
        <v>0</v>
      </c>
      <c r="AG978" s="6">
        <v>54.44</v>
      </c>
      <c r="AH978" s="6">
        <v>68.14</v>
      </c>
      <c r="AI978" s="6">
        <f t="shared" si="30"/>
        <v>13.700000000000003</v>
      </c>
      <c r="AJ978" s="5">
        <f t="shared" si="31"/>
        <v>0.20105664807748758</v>
      </c>
    </row>
    <row r="979" spans="1:36">
      <c r="A979" t="s">
        <v>230</v>
      </c>
      <c r="B979" t="s">
        <v>1264</v>
      </c>
      <c r="C979" t="s">
        <v>82</v>
      </c>
      <c r="D979" t="s">
        <v>72</v>
      </c>
      <c r="E979" t="s">
        <v>55</v>
      </c>
      <c r="F979">
        <v>0</v>
      </c>
      <c r="G979">
        <v>955</v>
      </c>
      <c r="H979">
        <v>1</v>
      </c>
      <c r="I979" t="s">
        <v>220</v>
      </c>
      <c r="J979">
        <v>2</v>
      </c>
      <c r="K979" s="6">
        <v>4.66</v>
      </c>
      <c r="L979" t="s">
        <v>174</v>
      </c>
      <c r="M979">
        <v>0</v>
      </c>
      <c r="N979" t="s">
        <v>182</v>
      </c>
      <c r="O979">
        <v>3</v>
      </c>
      <c r="P979">
        <v>0</v>
      </c>
      <c r="Q979" s="6">
        <v>125.3</v>
      </c>
      <c r="R979">
        <v>0</v>
      </c>
      <c r="S979" s="6">
        <v>0</v>
      </c>
      <c r="T979">
        <v>0</v>
      </c>
      <c r="U979" s="6">
        <v>1544</v>
      </c>
      <c r="V979">
        <v>0</v>
      </c>
      <c r="W979">
        <v>0</v>
      </c>
      <c r="X979">
        <v>0</v>
      </c>
      <c r="Y979" s="6">
        <v>32.299999999999997</v>
      </c>
      <c r="Z979">
        <v>3.5000000000000003E-2</v>
      </c>
      <c r="AA979">
        <v>8.5999999999999993E-2</v>
      </c>
      <c r="AB979">
        <v>2.1999999999999999E-2</v>
      </c>
      <c r="AC979">
        <v>5</v>
      </c>
      <c r="AD979" s="6">
        <v>51</v>
      </c>
      <c r="AE979" s="6">
        <v>0</v>
      </c>
      <c r="AF979" s="6">
        <v>0</v>
      </c>
      <c r="AG979" s="6">
        <v>74.849999999999994</v>
      </c>
      <c r="AH979" s="6">
        <v>94.72</v>
      </c>
      <c r="AI979" s="6">
        <f t="shared" si="30"/>
        <v>19.870000000000005</v>
      </c>
      <c r="AJ979" s="5">
        <f t="shared" si="31"/>
        <v>0.20977618243243248</v>
      </c>
    </row>
    <row r="980" spans="1:36">
      <c r="A980" t="s">
        <v>391</v>
      </c>
      <c r="B980" t="s">
        <v>1265</v>
      </c>
      <c r="C980" t="s">
        <v>82</v>
      </c>
      <c r="D980" t="s">
        <v>72</v>
      </c>
      <c r="E980" t="s">
        <v>55</v>
      </c>
      <c r="F980">
        <v>0</v>
      </c>
      <c r="G980">
        <v>955</v>
      </c>
      <c r="H980">
        <v>1</v>
      </c>
      <c r="I980" t="s">
        <v>178</v>
      </c>
      <c r="J980">
        <v>4</v>
      </c>
      <c r="K980" s="6">
        <v>11.16</v>
      </c>
      <c r="L980" t="s">
        <v>174</v>
      </c>
      <c r="M980">
        <v>0</v>
      </c>
      <c r="N980" t="s">
        <v>187</v>
      </c>
      <c r="O980">
        <v>2</v>
      </c>
      <c r="P980">
        <v>0</v>
      </c>
      <c r="Q980" s="6">
        <v>66.5</v>
      </c>
      <c r="R980">
        <v>0</v>
      </c>
      <c r="S980" s="6">
        <v>0</v>
      </c>
      <c r="T980">
        <v>0</v>
      </c>
      <c r="U980" s="6">
        <v>1576</v>
      </c>
      <c r="V980">
        <v>0</v>
      </c>
      <c r="W980">
        <v>0</v>
      </c>
      <c r="X980">
        <v>0</v>
      </c>
      <c r="Y980" s="6">
        <v>32.299999999999997</v>
      </c>
      <c r="Z980">
        <v>3.5000000000000003E-2</v>
      </c>
      <c r="AA980">
        <v>8.5999999999999993E-2</v>
      </c>
      <c r="AB980">
        <v>2.1999999999999999E-2</v>
      </c>
      <c r="AC980">
        <v>5</v>
      </c>
      <c r="AD980" s="6">
        <v>66</v>
      </c>
      <c r="AE980" s="6">
        <v>0</v>
      </c>
      <c r="AF980" s="6">
        <v>0</v>
      </c>
      <c r="AG980" s="6">
        <v>124.58</v>
      </c>
      <c r="AH980" s="6">
        <v>158.91999999999999</v>
      </c>
      <c r="AI980" s="6">
        <f t="shared" si="30"/>
        <v>34.339999999999989</v>
      </c>
      <c r="AJ980" s="5">
        <f t="shared" si="31"/>
        <v>0.21608356405738732</v>
      </c>
    </row>
    <row r="981" spans="1:36">
      <c r="A981" t="s">
        <v>247</v>
      </c>
      <c r="B981" t="s">
        <v>1266</v>
      </c>
      <c r="C981" t="s">
        <v>82</v>
      </c>
      <c r="D981" t="s">
        <v>72</v>
      </c>
      <c r="E981" t="s">
        <v>55</v>
      </c>
      <c r="F981">
        <v>0</v>
      </c>
      <c r="G981">
        <v>955</v>
      </c>
      <c r="H981">
        <v>1</v>
      </c>
      <c r="I981" t="s">
        <v>181</v>
      </c>
      <c r="J981">
        <v>3</v>
      </c>
      <c r="K981" s="6">
        <v>6.97</v>
      </c>
      <c r="L981" t="s">
        <v>174</v>
      </c>
      <c r="M981">
        <v>0</v>
      </c>
      <c r="N981" t="s">
        <v>182</v>
      </c>
      <c r="O981">
        <v>3</v>
      </c>
      <c r="P981">
        <v>0</v>
      </c>
      <c r="Q981" s="6">
        <v>102.9</v>
      </c>
      <c r="R981">
        <v>0</v>
      </c>
      <c r="S981" s="6">
        <v>0</v>
      </c>
      <c r="T981">
        <v>0</v>
      </c>
      <c r="U981" s="6">
        <v>3152</v>
      </c>
      <c r="V981">
        <v>0</v>
      </c>
      <c r="W981">
        <v>0</v>
      </c>
      <c r="X981">
        <v>0</v>
      </c>
      <c r="Y981" s="6">
        <v>32.299999999999997</v>
      </c>
      <c r="Z981">
        <v>3.5000000000000003E-2</v>
      </c>
      <c r="AA981">
        <v>8.5999999999999993E-2</v>
      </c>
      <c r="AB981">
        <v>2.1999999999999999E-2</v>
      </c>
      <c r="AC981">
        <v>5</v>
      </c>
      <c r="AD981" s="6">
        <v>61</v>
      </c>
      <c r="AE981" s="6">
        <v>0</v>
      </c>
      <c r="AF981" s="6">
        <v>0</v>
      </c>
      <c r="AG981" s="6">
        <v>89.84</v>
      </c>
      <c r="AH981" s="6">
        <v>115.95</v>
      </c>
      <c r="AI981" s="6">
        <f t="shared" si="30"/>
        <v>26.11</v>
      </c>
      <c r="AJ981" s="5">
        <f t="shared" si="31"/>
        <v>0.22518326865028029</v>
      </c>
    </row>
    <row r="982" spans="1:36">
      <c r="A982" t="s">
        <v>204</v>
      </c>
      <c r="B982" t="s">
        <v>1267</v>
      </c>
      <c r="C982" t="s">
        <v>82</v>
      </c>
      <c r="D982" t="s">
        <v>72</v>
      </c>
      <c r="E982" t="s">
        <v>55</v>
      </c>
      <c r="F982">
        <v>0</v>
      </c>
      <c r="G982">
        <v>955</v>
      </c>
      <c r="H982">
        <v>1.22</v>
      </c>
      <c r="I982" t="s">
        <v>181</v>
      </c>
      <c r="J982">
        <v>3</v>
      </c>
      <c r="K982" s="6">
        <v>8.17</v>
      </c>
      <c r="L982" t="s">
        <v>174</v>
      </c>
      <c r="M982">
        <v>0</v>
      </c>
      <c r="N982" t="s">
        <v>182</v>
      </c>
      <c r="O982">
        <v>3</v>
      </c>
      <c r="P982">
        <v>0</v>
      </c>
      <c r="Q982" s="6">
        <v>59.7</v>
      </c>
      <c r="R982">
        <v>1</v>
      </c>
      <c r="S982" s="6">
        <v>10361</v>
      </c>
      <c r="T982">
        <v>0</v>
      </c>
      <c r="U982" s="6">
        <v>789</v>
      </c>
      <c r="V982">
        <v>0</v>
      </c>
      <c r="W982">
        <v>0</v>
      </c>
      <c r="X982">
        <v>0</v>
      </c>
      <c r="Y982" s="6">
        <v>32.299999999999997</v>
      </c>
      <c r="Z982">
        <v>3.5000000000000003E-2</v>
      </c>
      <c r="AA982">
        <v>8.5999999999999993E-2</v>
      </c>
      <c r="AB982">
        <v>2.1999999999999999E-2</v>
      </c>
      <c r="AC982">
        <v>5</v>
      </c>
      <c r="AD982" s="6">
        <v>61</v>
      </c>
      <c r="AE982" s="6">
        <v>100</v>
      </c>
      <c r="AF982" s="6">
        <v>0</v>
      </c>
      <c r="AG982" s="6">
        <v>109.64</v>
      </c>
      <c r="AH982" s="6">
        <v>139.47</v>
      </c>
      <c r="AI982" s="6">
        <f t="shared" si="30"/>
        <v>29.83</v>
      </c>
      <c r="AJ982" s="5">
        <f t="shared" si="31"/>
        <v>0.21388112138811213</v>
      </c>
    </row>
    <row r="983" spans="1:36">
      <c r="A983" t="s">
        <v>286</v>
      </c>
      <c r="B983" t="s">
        <v>1268</v>
      </c>
      <c r="C983" t="s">
        <v>82</v>
      </c>
      <c r="D983" t="s">
        <v>72</v>
      </c>
      <c r="E983" t="s">
        <v>55</v>
      </c>
      <c r="F983">
        <v>0</v>
      </c>
      <c r="G983">
        <v>955</v>
      </c>
      <c r="H983">
        <v>1.22</v>
      </c>
      <c r="I983" t="s">
        <v>173</v>
      </c>
      <c r="J983">
        <v>1</v>
      </c>
      <c r="K983" s="6">
        <v>2.54</v>
      </c>
      <c r="L983" t="s">
        <v>174</v>
      </c>
      <c r="M983">
        <v>0</v>
      </c>
      <c r="N983" t="s">
        <v>175</v>
      </c>
      <c r="O983">
        <v>1</v>
      </c>
      <c r="P983">
        <v>0</v>
      </c>
      <c r="Q983" s="6">
        <v>32.200000000000003</v>
      </c>
      <c r="R983">
        <v>0</v>
      </c>
      <c r="S983" s="6">
        <v>0</v>
      </c>
      <c r="T983">
        <v>0</v>
      </c>
      <c r="U983" s="6">
        <v>546</v>
      </c>
      <c r="V983">
        <v>0</v>
      </c>
      <c r="W983">
        <v>1</v>
      </c>
      <c r="X983">
        <v>0</v>
      </c>
      <c r="Y983" s="6">
        <v>32.299999999999997</v>
      </c>
      <c r="Z983">
        <v>3.5000000000000003E-2</v>
      </c>
      <c r="AA983">
        <v>8.5999999999999993E-2</v>
      </c>
      <c r="AB983">
        <v>2.1999999999999999E-2</v>
      </c>
      <c r="AC983">
        <v>5</v>
      </c>
      <c r="AD983" s="6">
        <v>51</v>
      </c>
      <c r="AE983" s="6">
        <v>0</v>
      </c>
      <c r="AF983" s="6">
        <v>0</v>
      </c>
      <c r="AG983" s="6">
        <v>78.58</v>
      </c>
      <c r="AH983" s="6">
        <v>100.95</v>
      </c>
      <c r="AI983" s="6">
        <f t="shared" si="30"/>
        <v>22.370000000000005</v>
      </c>
      <c r="AJ983" s="5">
        <f t="shared" si="31"/>
        <v>0.22159484893511644</v>
      </c>
    </row>
    <row r="984" spans="1:36">
      <c r="A984" t="s">
        <v>521</v>
      </c>
      <c r="B984" t="s">
        <v>1269</v>
      </c>
      <c r="C984" t="s">
        <v>82</v>
      </c>
      <c r="D984" t="s">
        <v>72</v>
      </c>
      <c r="E984" t="s">
        <v>55</v>
      </c>
      <c r="F984">
        <v>0</v>
      </c>
      <c r="G984">
        <v>955</v>
      </c>
      <c r="H984">
        <v>1</v>
      </c>
      <c r="I984" t="s">
        <v>173</v>
      </c>
      <c r="J984">
        <v>1</v>
      </c>
      <c r="K984" s="6">
        <v>1.97</v>
      </c>
      <c r="L984" t="s">
        <v>174</v>
      </c>
      <c r="M984">
        <v>0</v>
      </c>
      <c r="N984" t="s">
        <v>187</v>
      </c>
      <c r="O984">
        <v>2</v>
      </c>
      <c r="P984">
        <v>1</v>
      </c>
      <c r="Q984" s="6">
        <v>53.7</v>
      </c>
      <c r="R984">
        <v>0</v>
      </c>
      <c r="S984" s="6">
        <v>0</v>
      </c>
      <c r="T984">
        <v>0</v>
      </c>
      <c r="U984" s="6">
        <v>920</v>
      </c>
      <c r="V984">
        <v>0</v>
      </c>
      <c r="W984">
        <v>0</v>
      </c>
      <c r="X984">
        <v>0</v>
      </c>
      <c r="Y984" s="6">
        <v>32.299999999999997</v>
      </c>
      <c r="Z984">
        <v>3.5000000000000003E-2</v>
      </c>
      <c r="AA984">
        <v>8.5999999999999993E-2</v>
      </c>
      <c r="AB984">
        <v>2.1999999999999999E-2</v>
      </c>
      <c r="AC984">
        <v>5</v>
      </c>
      <c r="AD984" s="6">
        <v>51</v>
      </c>
      <c r="AE984" s="6">
        <v>0</v>
      </c>
      <c r="AF984" s="6">
        <v>0</v>
      </c>
      <c r="AG984" s="6">
        <v>76.63</v>
      </c>
      <c r="AH984" s="6">
        <v>98.33</v>
      </c>
      <c r="AI984" s="6">
        <f t="shared" si="30"/>
        <v>21.700000000000003</v>
      </c>
      <c r="AJ984" s="5">
        <f t="shared" si="31"/>
        <v>0.22068544696430389</v>
      </c>
    </row>
    <row r="985" spans="1:36">
      <c r="A985" t="s">
        <v>300</v>
      </c>
      <c r="B985" t="s">
        <v>1270</v>
      </c>
      <c r="C985" t="s">
        <v>82</v>
      </c>
      <c r="D985" t="s">
        <v>72</v>
      </c>
      <c r="E985" t="s">
        <v>55</v>
      </c>
      <c r="F985">
        <v>0</v>
      </c>
      <c r="G985">
        <v>955</v>
      </c>
      <c r="H985">
        <v>1.22</v>
      </c>
      <c r="I985" t="s">
        <v>173</v>
      </c>
      <c r="J985">
        <v>1</v>
      </c>
      <c r="K985" s="6">
        <v>1.36</v>
      </c>
      <c r="L985" t="s">
        <v>174</v>
      </c>
      <c r="M985">
        <v>0</v>
      </c>
      <c r="N985" t="s">
        <v>182</v>
      </c>
      <c r="O985">
        <v>3</v>
      </c>
      <c r="P985">
        <v>0</v>
      </c>
      <c r="Q985" s="6">
        <v>71</v>
      </c>
      <c r="R985">
        <v>1</v>
      </c>
      <c r="S985" s="6">
        <v>2969</v>
      </c>
      <c r="T985">
        <v>0</v>
      </c>
      <c r="U985" s="6">
        <v>2859</v>
      </c>
      <c r="V985">
        <v>0</v>
      </c>
      <c r="W985">
        <v>0</v>
      </c>
      <c r="X985">
        <v>0</v>
      </c>
      <c r="Y985" s="6">
        <v>32.299999999999997</v>
      </c>
      <c r="Z985">
        <v>3.5000000000000003E-2</v>
      </c>
      <c r="AA985">
        <v>8.5999999999999993E-2</v>
      </c>
      <c r="AB985">
        <v>2.1999999999999999E-2</v>
      </c>
      <c r="AC985">
        <v>5</v>
      </c>
      <c r="AD985" s="6">
        <v>51</v>
      </c>
      <c r="AE985" s="6">
        <v>40</v>
      </c>
      <c r="AF985" s="6">
        <v>0</v>
      </c>
      <c r="AG985" s="6">
        <v>74.09</v>
      </c>
      <c r="AH985" s="6">
        <v>93.59</v>
      </c>
      <c r="AI985" s="6">
        <f t="shared" si="30"/>
        <v>19.5</v>
      </c>
      <c r="AJ985" s="5">
        <f t="shared" si="31"/>
        <v>0.20835559354631905</v>
      </c>
    </row>
    <row r="986" spans="1:36">
      <c r="A986" t="s">
        <v>236</v>
      </c>
      <c r="B986" t="s">
        <v>1271</v>
      </c>
      <c r="C986" t="s">
        <v>82</v>
      </c>
      <c r="D986" t="s">
        <v>72</v>
      </c>
      <c r="E986" t="s">
        <v>55</v>
      </c>
      <c r="F986">
        <v>0</v>
      </c>
      <c r="G986">
        <v>955</v>
      </c>
      <c r="H986">
        <v>1</v>
      </c>
      <c r="I986" t="s">
        <v>181</v>
      </c>
      <c r="J986">
        <v>3</v>
      </c>
      <c r="K986" s="6">
        <v>6.38</v>
      </c>
      <c r="L986" t="s">
        <v>174</v>
      </c>
      <c r="M986">
        <v>0</v>
      </c>
      <c r="N986" t="s">
        <v>175</v>
      </c>
      <c r="O986">
        <v>1</v>
      </c>
      <c r="P986">
        <v>0</v>
      </c>
      <c r="Q986" s="6">
        <v>37.4</v>
      </c>
      <c r="R986">
        <v>0</v>
      </c>
      <c r="S986" s="6">
        <v>0</v>
      </c>
      <c r="T986">
        <v>0</v>
      </c>
      <c r="U986" s="6">
        <v>1477</v>
      </c>
      <c r="V986">
        <v>0</v>
      </c>
      <c r="W986">
        <v>0</v>
      </c>
      <c r="X986">
        <v>0</v>
      </c>
      <c r="Y986" s="6">
        <v>32.299999999999997</v>
      </c>
      <c r="Z986">
        <v>3.5000000000000003E-2</v>
      </c>
      <c r="AA986">
        <v>8.5999999999999993E-2</v>
      </c>
      <c r="AB986">
        <v>2.1999999999999999E-2</v>
      </c>
      <c r="AC986">
        <v>5</v>
      </c>
      <c r="AD986" s="6">
        <v>61</v>
      </c>
      <c r="AE986" s="6">
        <v>0</v>
      </c>
      <c r="AF986" s="6">
        <v>0</v>
      </c>
      <c r="AG986" s="6">
        <v>72.489999999999995</v>
      </c>
      <c r="AH986" s="6">
        <v>90.83</v>
      </c>
      <c r="AI986" s="6">
        <f t="shared" si="30"/>
        <v>18.340000000000003</v>
      </c>
      <c r="AJ986" s="5">
        <f t="shared" si="31"/>
        <v>0.20191566662996813</v>
      </c>
    </row>
    <row r="987" spans="1:36">
      <c r="A987" t="s">
        <v>459</v>
      </c>
      <c r="B987" t="s">
        <v>1272</v>
      </c>
      <c r="C987" t="s">
        <v>82</v>
      </c>
      <c r="D987" t="s">
        <v>72</v>
      </c>
      <c r="E987" t="s">
        <v>55</v>
      </c>
      <c r="F987">
        <v>0</v>
      </c>
      <c r="G987">
        <v>955</v>
      </c>
      <c r="H987">
        <v>1</v>
      </c>
      <c r="I987" t="s">
        <v>220</v>
      </c>
      <c r="J987">
        <v>2</v>
      </c>
      <c r="K987" s="6">
        <v>6.42</v>
      </c>
      <c r="L987" t="s">
        <v>174</v>
      </c>
      <c r="M987">
        <v>0</v>
      </c>
      <c r="N987" t="s">
        <v>187</v>
      </c>
      <c r="O987">
        <v>2</v>
      </c>
      <c r="P987">
        <v>0</v>
      </c>
      <c r="Q987" s="6">
        <v>58</v>
      </c>
      <c r="R987">
        <v>0</v>
      </c>
      <c r="S987" s="6">
        <v>0</v>
      </c>
      <c r="T987">
        <v>0</v>
      </c>
      <c r="U987" s="6">
        <v>1289</v>
      </c>
      <c r="V987">
        <v>0</v>
      </c>
      <c r="W987">
        <v>0</v>
      </c>
      <c r="X987">
        <v>0</v>
      </c>
      <c r="Y987" s="6">
        <v>32.299999999999997</v>
      </c>
      <c r="Z987">
        <v>3.5000000000000003E-2</v>
      </c>
      <c r="AA987">
        <v>8.5999999999999993E-2</v>
      </c>
      <c r="AB987">
        <v>2.1999999999999999E-2</v>
      </c>
      <c r="AC987">
        <v>5</v>
      </c>
      <c r="AD987" s="6">
        <v>51</v>
      </c>
      <c r="AE987" s="6">
        <v>0</v>
      </c>
      <c r="AF987" s="6">
        <v>0</v>
      </c>
      <c r="AG987" s="6">
        <v>69.42</v>
      </c>
      <c r="AH987" s="6">
        <v>90.24</v>
      </c>
      <c r="AI987" s="6">
        <f t="shared" si="30"/>
        <v>20.819999999999993</v>
      </c>
      <c r="AJ987" s="5">
        <f t="shared" si="31"/>
        <v>0.23071808510638292</v>
      </c>
    </row>
    <row r="988" spans="1:36">
      <c r="A988" t="s">
        <v>693</v>
      </c>
      <c r="B988" t="s">
        <v>1273</v>
      </c>
      <c r="C988" t="s">
        <v>82</v>
      </c>
      <c r="D988" t="s">
        <v>72</v>
      </c>
      <c r="E988" t="s">
        <v>55</v>
      </c>
      <c r="F988">
        <v>0</v>
      </c>
      <c r="G988">
        <v>955</v>
      </c>
      <c r="H988">
        <v>1.22</v>
      </c>
      <c r="I988" t="s">
        <v>181</v>
      </c>
      <c r="J988">
        <v>3</v>
      </c>
      <c r="K988" s="6">
        <v>10.23</v>
      </c>
      <c r="L988" t="s">
        <v>174</v>
      </c>
      <c r="M988">
        <v>0</v>
      </c>
      <c r="N988" t="s">
        <v>187</v>
      </c>
      <c r="O988">
        <v>2</v>
      </c>
      <c r="P988">
        <v>0</v>
      </c>
      <c r="Q988" s="6">
        <v>45.9</v>
      </c>
      <c r="R988">
        <v>1</v>
      </c>
      <c r="S988" s="6">
        <v>1016</v>
      </c>
      <c r="T988">
        <v>0</v>
      </c>
      <c r="U988" s="6">
        <v>1751</v>
      </c>
      <c r="V988">
        <v>0</v>
      </c>
      <c r="W988">
        <v>0</v>
      </c>
      <c r="X988">
        <v>0</v>
      </c>
      <c r="Y988" s="6">
        <v>32.299999999999997</v>
      </c>
      <c r="Z988">
        <v>3.5000000000000003E-2</v>
      </c>
      <c r="AA988">
        <v>8.5999999999999993E-2</v>
      </c>
      <c r="AB988">
        <v>2.1999999999999999E-2</v>
      </c>
      <c r="AC988">
        <v>5</v>
      </c>
      <c r="AD988" s="6">
        <v>61</v>
      </c>
      <c r="AE988" s="6">
        <v>25</v>
      </c>
      <c r="AF988" s="6">
        <v>0</v>
      </c>
      <c r="AG988" s="6">
        <v>107.55</v>
      </c>
      <c r="AH988" s="6">
        <v>137.5</v>
      </c>
      <c r="AI988" s="6">
        <f t="shared" si="30"/>
        <v>29.950000000000003</v>
      </c>
      <c r="AJ988" s="5">
        <f t="shared" si="31"/>
        <v>0.21781818181818183</v>
      </c>
    </row>
    <row r="989" spans="1:36">
      <c r="A989" t="s">
        <v>212</v>
      </c>
      <c r="B989" t="s">
        <v>1274</v>
      </c>
      <c r="C989" t="s">
        <v>82</v>
      </c>
      <c r="D989" t="s">
        <v>72</v>
      </c>
      <c r="E989" t="s">
        <v>55</v>
      </c>
      <c r="F989">
        <v>0</v>
      </c>
      <c r="G989">
        <v>955</v>
      </c>
      <c r="H989">
        <v>1.22</v>
      </c>
      <c r="I989" t="s">
        <v>173</v>
      </c>
      <c r="J989">
        <v>1</v>
      </c>
      <c r="K989" s="6">
        <v>1.83</v>
      </c>
      <c r="L989" t="s">
        <v>174</v>
      </c>
      <c r="M989">
        <v>0</v>
      </c>
      <c r="N989" t="s">
        <v>187</v>
      </c>
      <c r="O989">
        <v>2</v>
      </c>
      <c r="P989">
        <v>0</v>
      </c>
      <c r="Q989" s="6">
        <v>48.7</v>
      </c>
      <c r="R989">
        <v>0</v>
      </c>
      <c r="S989" s="6">
        <v>0</v>
      </c>
      <c r="T989">
        <v>0</v>
      </c>
      <c r="U989" s="6">
        <v>1069</v>
      </c>
      <c r="V989">
        <v>0</v>
      </c>
      <c r="W989">
        <v>0</v>
      </c>
      <c r="X989">
        <v>0</v>
      </c>
      <c r="Y989" s="6">
        <v>32.299999999999997</v>
      </c>
      <c r="Z989">
        <v>3.5000000000000003E-2</v>
      </c>
      <c r="AA989">
        <v>8.5999999999999993E-2</v>
      </c>
      <c r="AB989">
        <v>2.1999999999999999E-2</v>
      </c>
      <c r="AC989">
        <v>5</v>
      </c>
      <c r="AD989" s="6">
        <v>51</v>
      </c>
      <c r="AE989" s="6">
        <v>0</v>
      </c>
      <c r="AF989" s="6">
        <v>0</v>
      </c>
      <c r="AG989" s="6">
        <v>58.96</v>
      </c>
      <c r="AH989" s="6">
        <v>78.09</v>
      </c>
      <c r="AI989" s="6">
        <f t="shared" si="30"/>
        <v>19.130000000000003</v>
      </c>
      <c r="AJ989" s="5">
        <f t="shared" si="31"/>
        <v>0.2449737482392112</v>
      </c>
    </row>
    <row r="990" spans="1:36">
      <c r="A990" t="s">
        <v>251</v>
      </c>
      <c r="B990" t="s">
        <v>1275</v>
      </c>
      <c r="C990" t="s">
        <v>82</v>
      </c>
      <c r="D990" t="s">
        <v>72</v>
      </c>
      <c r="E990" t="s">
        <v>55</v>
      </c>
      <c r="F990">
        <v>0</v>
      </c>
      <c r="G990">
        <v>955</v>
      </c>
      <c r="H990">
        <v>1</v>
      </c>
      <c r="I990" t="s">
        <v>173</v>
      </c>
      <c r="J990">
        <v>1</v>
      </c>
      <c r="K990" s="6">
        <v>2.52</v>
      </c>
      <c r="L990" t="s">
        <v>174</v>
      </c>
      <c r="M990">
        <v>0</v>
      </c>
      <c r="N990" t="s">
        <v>217</v>
      </c>
      <c r="O990">
        <v>4</v>
      </c>
      <c r="P990">
        <v>1</v>
      </c>
      <c r="Q990" s="6">
        <v>200.3</v>
      </c>
      <c r="R990">
        <v>0</v>
      </c>
      <c r="S990" s="6">
        <v>0</v>
      </c>
      <c r="T990">
        <v>0</v>
      </c>
      <c r="U990" s="6">
        <v>1625</v>
      </c>
      <c r="V990">
        <v>0</v>
      </c>
      <c r="W990">
        <v>0</v>
      </c>
      <c r="X990">
        <v>0</v>
      </c>
      <c r="Y990" s="6">
        <v>32.299999999999997</v>
      </c>
      <c r="Z990">
        <v>3.5000000000000003E-2</v>
      </c>
      <c r="AA990">
        <v>8.5999999999999993E-2</v>
      </c>
      <c r="AB990">
        <v>2.1999999999999999E-2</v>
      </c>
      <c r="AC990">
        <v>5</v>
      </c>
      <c r="AD990" s="6">
        <v>51</v>
      </c>
      <c r="AE990" s="6">
        <v>0</v>
      </c>
      <c r="AF990" s="6">
        <v>0</v>
      </c>
      <c r="AG990" s="6">
        <v>111.29</v>
      </c>
      <c r="AH990" s="6">
        <v>139.41</v>
      </c>
      <c r="AI990" s="6">
        <f t="shared" si="30"/>
        <v>28.11999999999999</v>
      </c>
      <c r="AJ990" s="5">
        <f t="shared" si="31"/>
        <v>0.20170719460583883</v>
      </c>
    </row>
    <row r="991" spans="1:36">
      <c r="A991" t="s">
        <v>345</v>
      </c>
      <c r="B991" t="s">
        <v>1276</v>
      </c>
      <c r="C991" t="s">
        <v>82</v>
      </c>
      <c r="D991" t="s">
        <v>72</v>
      </c>
      <c r="E991" t="s">
        <v>55</v>
      </c>
      <c r="F991">
        <v>0</v>
      </c>
      <c r="G991">
        <v>955</v>
      </c>
      <c r="H991">
        <v>1</v>
      </c>
      <c r="I991" t="s">
        <v>178</v>
      </c>
      <c r="J991">
        <v>4</v>
      </c>
      <c r="K991" s="6">
        <v>14.85</v>
      </c>
      <c r="L991" t="s">
        <v>174</v>
      </c>
      <c r="M991">
        <v>0</v>
      </c>
      <c r="N991" t="s">
        <v>182</v>
      </c>
      <c r="O991">
        <v>3</v>
      </c>
      <c r="P991">
        <v>0</v>
      </c>
      <c r="Q991" s="6">
        <v>86.1</v>
      </c>
      <c r="R991">
        <v>0</v>
      </c>
      <c r="S991" s="6">
        <v>0</v>
      </c>
      <c r="T991">
        <v>0</v>
      </c>
      <c r="U991" s="6">
        <v>2919</v>
      </c>
      <c r="V991">
        <v>0</v>
      </c>
      <c r="W991">
        <v>0</v>
      </c>
      <c r="X991">
        <v>0</v>
      </c>
      <c r="Y991" s="6">
        <v>32.299999999999997</v>
      </c>
      <c r="Z991">
        <v>3.5000000000000003E-2</v>
      </c>
      <c r="AA991">
        <v>8.5999999999999993E-2</v>
      </c>
      <c r="AB991">
        <v>2.1999999999999999E-2</v>
      </c>
      <c r="AC991">
        <v>5</v>
      </c>
      <c r="AD991" s="6">
        <v>66</v>
      </c>
      <c r="AE991" s="6">
        <v>0</v>
      </c>
      <c r="AF991" s="6">
        <v>0</v>
      </c>
      <c r="AG991" s="6">
        <v>148.41999999999999</v>
      </c>
      <c r="AH991" s="6">
        <v>189.8</v>
      </c>
      <c r="AI991" s="6">
        <f t="shared" si="30"/>
        <v>41.380000000000024</v>
      </c>
      <c r="AJ991" s="5">
        <f t="shared" si="31"/>
        <v>0.21801896733403595</v>
      </c>
    </row>
    <row r="992" spans="1:36">
      <c r="A992" t="s">
        <v>204</v>
      </c>
      <c r="B992" t="s">
        <v>1277</v>
      </c>
      <c r="C992" t="s">
        <v>82</v>
      </c>
      <c r="D992" t="s">
        <v>72</v>
      </c>
      <c r="E992" t="s">
        <v>55</v>
      </c>
      <c r="F992">
        <v>0</v>
      </c>
      <c r="G992">
        <v>955</v>
      </c>
      <c r="H992">
        <v>1.22</v>
      </c>
      <c r="I992" t="s">
        <v>178</v>
      </c>
      <c r="J992">
        <v>4</v>
      </c>
      <c r="K992" s="6">
        <v>13.44</v>
      </c>
      <c r="L992" t="s">
        <v>174</v>
      </c>
      <c r="M992">
        <v>0</v>
      </c>
      <c r="N992" t="s">
        <v>272</v>
      </c>
      <c r="O992">
        <v>5</v>
      </c>
      <c r="P992">
        <v>1</v>
      </c>
      <c r="Q992" s="6">
        <v>143</v>
      </c>
      <c r="R992">
        <v>0</v>
      </c>
      <c r="S992" s="6">
        <v>0</v>
      </c>
      <c r="T992">
        <v>0</v>
      </c>
      <c r="U992" s="6">
        <v>2151</v>
      </c>
      <c r="V992">
        <v>0</v>
      </c>
      <c r="W992">
        <v>0</v>
      </c>
      <c r="X992">
        <v>0</v>
      </c>
      <c r="Y992" s="6">
        <v>32.299999999999997</v>
      </c>
      <c r="Z992">
        <v>3.5000000000000003E-2</v>
      </c>
      <c r="AA992">
        <v>8.5999999999999993E-2</v>
      </c>
      <c r="AB992">
        <v>2.1999999999999999E-2</v>
      </c>
      <c r="AC992">
        <v>5</v>
      </c>
      <c r="AD992" s="6">
        <v>66</v>
      </c>
      <c r="AE992" s="6">
        <v>0</v>
      </c>
      <c r="AF992" s="6">
        <v>0</v>
      </c>
      <c r="AG992" s="6">
        <v>225.26</v>
      </c>
      <c r="AH992" s="6">
        <v>285.35000000000002</v>
      </c>
      <c r="AI992" s="6">
        <f t="shared" si="30"/>
        <v>60.090000000000032</v>
      </c>
      <c r="AJ992" s="5">
        <f t="shared" si="31"/>
        <v>0.21058349395479245</v>
      </c>
    </row>
    <row r="993" spans="1:36">
      <c r="A993" t="s">
        <v>210</v>
      </c>
      <c r="B993" t="s">
        <v>1278</v>
      </c>
      <c r="C993" t="s">
        <v>82</v>
      </c>
      <c r="D993" t="s">
        <v>72</v>
      </c>
      <c r="E993" t="s">
        <v>55</v>
      </c>
      <c r="F993">
        <v>0</v>
      </c>
      <c r="G993">
        <v>955</v>
      </c>
      <c r="H993">
        <v>1</v>
      </c>
      <c r="I993" t="s">
        <v>173</v>
      </c>
      <c r="J993">
        <v>1</v>
      </c>
      <c r="K993" s="6">
        <v>2.2599999999999998</v>
      </c>
      <c r="L993" t="s">
        <v>174</v>
      </c>
      <c r="M993">
        <v>0</v>
      </c>
      <c r="N993" t="s">
        <v>182</v>
      </c>
      <c r="O993">
        <v>3</v>
      </c>
      <c r="P993">
        <v>0</v>
      </c>
      <c r="Q993" s="6">
        <v>115.5</v>
      </c>
      <c r="R993">
        <v>0</v>
      </c>
      <c r="S993" s="6">
        <v>0</v>
      </c>
      <c r="T993">
        <v>0</v>
      </c>
      <c r="U993" s="6">
        <v>2246</v>
      </c>
      <c r="V993">
        <v>0</v>
      </c>
      <c r="W993">
        <v>0</v>
      </c>
      <c r="X993">
        <v>0</v>
      </c>
      <c r="Y993" s="6">
        <v>32.299999999999997</v>
      </c>
      <c r="Z993">
        <v>3.5000000000000003E-2</v>
      </c>
      <c r="AA993">
        <v>8.5999999999999993E-2</v>
      </c>
      <c r="AB993">
        <v>2.1999999999999999E-2</v>
      </c>
      <c r="AC993">
        <v>5</v>
      </c>
      <c r="AD993" s="6">
        <v>51</v>
      </c>
      <c r="AE993" s="6">
        <v>0</v>
      </c>
      <c r="AF993" s="6">
        <v>0</v>
      </c>
      <c r="AG993" s="6">
        <v>61.63</v>
      </c>
      <c r="AH993" s="6">
        <v>77.599999999999994</v>
      </c>
      <c r="AI993" s="6">
        <f t="shared" si="30"/>
        <v>15.969999999999992</v>
      </c>
      <c r="AJ993" s="5">
        <f t="shared" si="31"/>
        <v>0.20579896907216486</v>
      </c>
    </row>
    <row r="994" spans="1:36">
      <c r="A994" t="s">
        <v>635</v>
      </c>
      <c r="B994" t="s">
        <v>1279</v>
      </c>
      <c r="C994" t="s">
        <v>82</v>
      </c>
      <c r="D994" t="s">
        <v>72</v>
      </c>
      <c r="E994" t="s">
        <v>55</v>
      </c>
      <c r="F994">
        <v>0</v>
      </c>
      <c r="G994">
        <v>955</v>
      </c>
      <c r="H994">
        <v>1.22</v>
      </c>
      <c r="I994" t="s">
        <v>173</v>
      </c>
      <c r="J994">
        <v>1</v>
      </c>
      <c r="K994" s="6">
        <v>1.65</v>
      </c>
      <c r="L994" t="s">
        <v>174</v>
      </c>
      <c r="M994">
        <v>0</v>
      </c>
      <c r="N994" t="s">
        <v>175</v>
      </c>
      <c r="O994">
        <v>1</v>
      </c>
      <c r="P994">
        <v>0</v>
      </c>
      <c r="Q994" s="6">
        <v>44</v>
      </c>
      <c r="R994">
        <v>0</v>
      </c>
      <c r="S994" s="6">
        <v>0</v>
      </c>
      <c r="T994">
        <v>0</v>
      </c>
      <c r="U994" s="6">
        <v>2360</v>
      </c>
      <c r="V994">
        <v>0</v>
      </c>
      <c r="W994">
        <v>0</v>
      </c>
      <c r="X994">
        <v>0</v>
      </c>
      <c r="Y994" s="6">
        <v>32.299999999999997</v>
      </c>
      <c r="Z994">
        <v>3.5000000000000003E-2</v>
      </c>
      <c r="AA994">
        <v>8.5999999999999993E-2</v>
      </c>
      <c r="AB994">
        <v>2.1999999999999999E-2</v>
      </c>
      <c r="AC994">
        <v>5</v>
      </c>
      <c r="AD994" s="6">
        <v>51</v>
      </c>
      <c r="AE994" s="6">
        <v>0</v>
      </c>
      <c r="AF994" s="6">
        <v>0</v>
      </c>
      <c r="AG994" s="6">
        <v>56.77</v>
      </c>
      <c r="AH994" s="6">
        <v>75.27</v>
      </c>
      <c r="AI994" s="6">
        <f t="shared" si="30"/>
        <v>18.499999999999993</v>
      </c>
      <c r="AJ994" s="5">
        <f t="shared" si="31"/>
        <v>0.2457818519994685</v>
      </c>
    </row>
    <row r="995" spans="1:36">
      <c r="A995" t="s">
        <v>171</v>
      </c>
      <c r="B995" t="s">
        <v>1280</v>
      </c>
      <c r="C995" t="s">
        <v>82</v>
      </c>
      <c r="D995" t="s">
        <v>72</v>
      </c>
      <c r="E995" t="s">
        <v>55</v>
      </c>
      <c r="F995">
        <v>0</v>
      </c>
      <c r="G995">
        <v>955</v>
      </c>
      <c r="H995">
        <v>1</v>
      </c>
      <c r="I995" t="s">
        <v>173</v>
      </c>
      <c r="J995">
        <v>1</v>
      </c>
      <c r="K995" s="6">
        <v>2.06</v>
      </c>
      <c r="L995" t="s">
        <v>174</v>
      </c>
      <c r="M995">
        <v>0</v>
      </c>
      <c r="N995" t="s">
        <v>182</v>
      </c>
      <c r="O995">
        <v>3</v>
      </c>
      <c r="P995">
        <v>0</v>
      </c>
      <c r="Q995" s="6">
        <v>63.8</v>
      </c>
      <c r="R995">
        <v>0</v>
      </c>
      <c r="S995" s="6">
        <v>0</v>
      </c>
      <c r="T995">
        <v>0</v>
      </c>
      <c r="U995" s="6">
        <v>1337</v>
      </c>
      <c r="V995">
        <v>0</v>
      </c>
      <c r="W995">
        <v>0</v>
      </c>
      <c r="X995">
        <v>0</v>
      </c>
      <c r="Y995" s="6">
        <v>32.299999999999997</v>
      </c>
      <c r="Z995">
        <v>3.5000000000000003E-2</v>
      </c>
      <c r="AA995">
        <v>8.5999999999999993E-2</v>
      </c>
      <c r="AB995">
        <v>2.1999999999999999E-2</v>
      </c>
      <c r="AC995">
        <v>5</v>
      </c>
      <c r="AD995" s="6">
        <v>51</v>
      </c>
      <c r="AE995" s="6">
        <v>0</v>
      </c>
      <c r="AF995" s="6">
        <v>0</v>
      </c>
      <c r="AG995" s="6">
        <v>57.69</v>
      </c>
      <c r="AH995" s="6">
        <v>73.599999999999994</v>
      </c>
      <c r="AI995" s="6">
        <f t="shared" si="30"/>
        <v>15.909999999999997</v>
      </c>
      <c r="AJ995" s="5">
        <f t="shared" si="31"/>
        <v>0.21616847826086955</v>
      </c>
    </row>
    <row r="996" spans="1:36">
      <c r="A996" t="s">
        <v>457</v>
      </c>
      <c r="B996" t="s">
        <v>1281</v>
      </c>
      <c r="C996" t="s">
        <v>82</v>
      </c>
      <c r="D996" t="s">
        <v>72</v>
      </c>
      <c r="E996" t="s">
        <v>55</v>
      </c>
      <c r="F996">
        <v>0</v>
      </c>
      <c r="G996">
        <v>955</v>
      </c>
      <c r="H996">
        <v>1</v>
      </c>
      <c r="I996" t="s">
        <v>173</v>
      </c>
      <c r="J996">
        <v>1</v>
      </c>
      <c r="K996" s="6">
        <v>1.17</v>
      </c>
      <c r="L996" t="s">
        <v>174</v>
      </c>
      <c r="M996">
        <v>0</v>
      </c>
      <c r="N996" t="s">
        <v>217</v>
      </c>
      <c r="O996">
        <v>4</v>
      </c>
      <c r="P996">
        <v>1</v>
      </c>
      <c r="Q996" s="6">
        <v>165.9</v>
      </c>
      <c r="R996">
        <v>0</v>
      </c>
      <c r="S996" s="6">
        <v>0</v>
      </c>
      <c r="T996">
        <v>0</v>
      </c>
      <c r="U996" s="6">
        <v>2055</v>
      </c>
      <c r="V996">
        <v>0</v>
      </c>
      <c r="W996">
        <v>0</v>
      </c>
      <c r="X996">
        <v>0</v>
      </c>
      <c r="Y996" s="6">
        <v>32.299999999999997</v>
      </c>
      <c r="Z996">
        <v>3.5000000000000003E-2</v>
      </c>
      <c r="AA996">
        <v>8.5999999999999993E-2</v>
      </c>
      <c r="AB996">
        <v>2.1999999999999999E-2</v>
      </c>
      <c r="AC996">
        <v>5</v>
      </c>
      <c r="AD996" s="6">
        <v>51</v>
      </c>
      <c r="AE996" s="6">
        <v>0</v>
      </c>
      <c r="AF996" s="6">
        <v>0</v>
      </c>
      <c r="AG996" s="6">
        <v>93.62</v>
      </c>
      <c r="AH996" s="6">
        <v>121.45</v>
      </c>
      <c r="AI996" s="6">
        <f t="shared" si="30"/>
        <v>27.83</v>
      </c>
      <c r="AJ996" s="5">
        <f t="shared" si="31"/>
        <v>0.22914779744750924</v>
      </c>
    </row>
    <row r="997" spans="1:36">
      <c r="A997" t="s">
        <v>319</v>
      </c>
      <c r="B997" t="s">
        <v>1282</v>
      </c>
      <c r="C997" t="s">
        <v>82</v>
      </c>
      <c r="D997" t="s">
        <v>72</v>
      </c>
      <c r="E997" t="s">
        <v>55</v>
      </c>
      <c r="F997">
        <v>0</v>
      </c>
      <c r="G997">
        <v>955</v>
      </c>
      <c r="H997">
        <v>1.22</v>
      </c>
      <c r="I997" t="s">
        <v>173</v>
      </c>
      <c r="J997">
        <v>1</v>
      </c>
      <c r="K997" s="6">
        <v>2.97</v>
      </c>
      <c r="L997" t="s">
        <v>174</v>
      </c>
      <c r="M997">
        <v>0</v>
      </c>
      <c r="N997" t="s">
        <v>217</v>
      </c>
      <c r="O997">
        <v>4</v>
      </c>
      <c r="P997">
        <v>1</v>
      </c>
      <c r="Q997" s="6">
        <v>138.6</v>
      </c>
      <c r="R997">
        <v>0</v>
      </c>
      <c r="S997" s="6">
        <v>0</v>
      </c>
      <c r="T997">
        <v>0</v>
      </c>
      <c r="U997" s="6">
        <v>2275</v>
      </c>
      <c r="V997">
        <v>0</v>
      </c>
      <c r="W997">
        <v>0</v>
      </c>
      <c r="X997">
        <v>0</v>
      </c>
      <c r="Y997" s="6">
        <v>32.299999999999997</v>
      </c>
      <c r="Z997">
        <v>3.5000000000000003E-2</v>
      </c>
      <c r="AA997">
        <v>8.5999999999999993E-2</v>
      </c>
      <c r="AB997">
        <v>2.1999999999999999E-2</v>
      </c>
      <c r="AC997">
        <v>5</v>
      </c>
      <c r="AD997" s="6">
        <v>51</v>
      </c>
      <c r="AE997" s="6">
        <v>0</v>
      </c>
      <c r="AF997" s="6">
        <v>0</v>
      </c>
      <c r="AG997" s="6">
        <v>99.93</v>
      </c>
      <c r="AH997" s="6">
        <v>128.43</v>
      </c>
      <c r="AI997" s="6">
        <f t="shared" si="30"/>
        <v>28.5</v>
      </c>
      <c r="AJ997" s="5">
        <f t="shared" si="31"/>
        <v>0.2219107685120299</v>
      </c>
    </row>
    <row r="998" spans="1:36">
      <c r="A998" t="s">
        <v>194</v>
      </c>
      <c r="B998" t="s">
        <v>1283</v>
      </c>
      <c r="C998" t="s">
        <v>82</v>
      </c>
      <c r="D998" t="s">
        <v>72</v>
      </c>
      <c r="E998" t="s">
        <v>55</v>
      </c>
      <c r="F998">
        <v>0</v>
      </c>
      <c r="G998">
        <v>955</v>
      </c>
      <c r="H998">
        <v>1.22</v>
      </c>
      <c r="I998" t="s">
        <v>173</v>
      </c>
      <c r="J998">
        <v>1</v>
      </c>
      <c r="K998" s="6">
        <v>2.86</v>
      </c>
      <c r="L998" t="s">
        <v>174</v>
      </c>
      <c r="M998">
        <v>0</v>
      </c>
      <c r="N998" t="s">
        <v>175</v>
      </c>
      <c r="O998">
        <v>1</v>
      </c>
      <c r="P998">
        <v>0</v>
      </c>
      <c r="Q998" s="6">
        <v>16.3</v>
      </c>
      <c r="R998">
        <v>0</v>
      </c>
      <c r="S998" s="6">
        <v>0</v>
      </c>
      <c r="T998">
        <v>0</v>
      </c>
      <c r="U998" s="6">
        <v>1432</v>
      </c>
      <c r="V998">
        <v>0</v>
      </c>
      <c r="W998">
        <v>0</v>
      </c>
      <c r="X998">
        <v>0</v>
      </c>
      <c r="Y998" s="6">
        <v>32.299999999999997</v>
      </c>
      <c r="Z998">
        <v>3.5000000000000003E-2</v>
      </c>
      <c r="AA998">
        <v>8.5999999999999993E-2</v>
      </c>
      <c r="AB998">
        <v>2.1999999999999999E-2</v>
      </c>
      <c r="AC998">
        <v>5</v>
      </c>
      <c r="AD998" s="6">
        <v>51</v>
      </c>
      <c r="AE998" s="6">
        <v>0</v>
      </c>
      <c r="AF998" s="6">
        <v>0</v>
      </c>
      <c r="AG998" s="6">
        <v>54.61</v>
      </c>
      <c r="AH998" s="6">
        <v>71.53</v>
      </c>
      <c r="AI998" s="6">
        <f t="shared" si="30"/>
        <v>16.920000000000002</v>
      </c>
      <c r="AJ998" s="5">
        <f t="shared" si="31"/>
        <v>0.23654410736753811</v>
      </c>
    </row>
    <row r="999" spans="1:36">
      <c r="A999" t="s">
        <v>401</v>
      </c>
      <c r="B999" t="s">
        <v>1284</v>
      </c>
      <c r="C999" t="s">
        <v>82</v>
      </c>
      <c r="D999" t="s">
        <v>72</v>
      </c>
      <c r="E999" t="s">
        <v>55</v>
      </c>
      <c r="F999">
        <v>0</v>
      </c>
      <c r="G999">
        <v>955</v>
      </c>
      <c r="H999">
        <v>1</v>
      </c>
      <c r="I999" t="s">
        <v>173</v>
      </c>
      <c r="J999">
        <v>1</v>
      </c>
      <c r="K999" s="6">
        <v>1.72</v>
      </c>
      <c r="L999" t="s">
        <v>174</v>
      </c>
      <c r="M999">
        <v>0</v>
      </c>
      <c r="N999" t="s">
        <v>187</v>
      </c>
      <c r="O999">
        <v>2</v>
      </c>
      <c r="P999">
        <v>0</v>
      </c>
      <c r="Q999" s="6">
        <v>52.9</v>
      </c>
      <c r="R999">
        <v>1</v>
      </c>
      <c r="S999" s="6">
        <v>763</v>
      </c>
      <c r="T999">
        <v>0</v>
      </c>
      <c r="U999" s="6">
        <v>1894</v>
      </c>
      <c r="V999">
        <v>0</v>
      </c>
      <c r="W999">
        <v>0</v>
      </c>
      <c r="X999">
        <v>0</v>
      </c>
      <c r="Y999" s="6">
        <v>32.299999999999997</v>
      </c>
      <c r="Z999">
        <v>3.5000000000000003E-2</v>
      </c>
      <c r="AA999">
        <v>8.5999999999999993E-2</v>
      </c>
      <c r="AB999">
        <v>2.1999999999999999E-2</v>
      </c>
      <c r="AC999">
        <v>5</v>
      </c>
      <c r="AD999" s="6">
        <v>51</v>
      </c>
      <c r="AE999" s="6">
        <v>25</v>
      </c>
      <c r="AF999" s="6">
        <v>0</v>
      </c>
      <c r="AG999" s="6">
        <v>53.8</v>
      </c>
      <c r="AH999" s="6">
        <v>71.48</v>
      </c>
      <c r="AI999" s="6">
        <f t="shared" si="30"/>
        <v>17.680000000000007</v>
      </c>
      <c r="AJ999" s="5">
        <f t="shared" si="31"/>
        <v>0.2473419138220482</v>
      </c>
    </row>
    <row r="1000" spans="1:36">
      <c r="A1000" t="s">
        <v>348</v>
      </c>
      <c r="B1000" t="s">
        <v>1285</v>
      </c>
      <c r="C1000" t="s">
        <v>82</v>
      </c>
      <c r="D1000" t="s">
        <v>72</v>
      </c>
      <c r="E1000" t="s">
        <v>55</v>
      </c>
      <c r="F1000">
        <v>0</v>
      </c>
      <c r="G1000">
        <v>955</v>
      </c>
      <c r="H1000">
        <v>1.22</v>
      </c>
      <c r="I1000" t="s">
        <v>220</v>
      </c>
      <c r="J1000">
        <v>2</v>
      </c>
      <c r="K1000" s="6">
        <v>4.63</v>
      </c>
      <c r="L1000" t="s">
        <v>174</v>
      </c>
      <c r="M1000">
        <v>0</v>
      </c>
      <c r="N1000" t="s">
        <v>175</v>
      </c>
      <c r="O1000">
        <v>1</v>
      </c>
      <c r="P1000">
        <v>0</v>
      </c>
      <c r="Q1000" s="6">
        <v>28.9</v>
      </c>
      <c r="R1000">
        <v>1</v>
      </c>
      <c r="S1000" s="6">
        <v>944</v>
      </c>
      <c r="T1000">
        <v>0</v>
      </c>
      <c r="U1000" s="6">
        <v>1809</v>
      </c>
      <c r="V1000">
        <v>0</v>
      </c>
      <c r="W1000">
        <v>0</v>
      </c>
      <c r="X1000">
        <v>0</v>
      </c>
      <c r="Y1000" s="6">
        <v>32.299999999999997</v>
      </c>
      <c r="Z1000">
        <v>3.5000000000000003E-2</v>
      </c>
      <c r="AA1000">
        <v>8.5999999999999993E-2</v>
      </c>
      <c r="AB1000">
        <v>2.1999999999999999E-2</v>
      </c>
      <c r="AC1000">
        <v>5</v>
      </c>
      <c r="AD1000" s="6">
        <v>51</v>
      </c>
      <c r="AE1000" s="6">
        <v>25</v>
      </c>
      <c r="AF1000" s="6">
        <v>0</v>
      </c>
      <c r="AG1000" s="6">
        <v>70.09</v>
      </c>
      <c r="AH1000" s="6">
        <v>88.87</v>
      </c>
      <c r="AI1000" s="6">
        <f t="shared" si="30"/>
        <v>18.78</v>
      </c>
      <c r="AJ1000" s="5">
        <f t="shared" si="31"/>
        <v>0.21131990547991447</v>
      </c>
    </row>
    <row r="1001" spans="1:36">
      <c r="A1001" t="s">
        <v>391</v>
      </c>
      <c r="B1001" t="s">
        <v>1286</v>
      </c>
      <c r="C1001" t="s">
        <v>82</v>
      </c>
      <c r="D1001" t="s">
        <v>72</v>
      </c>
      <c r="E1001" t="s">
        <v>55</v>
      </c>
      <c r="F1001">
        <v>0</v>
      </c>
      <c r="G1001">
        <v>955</v>
      </c>
      <c r="H1001">
        <v>1</v>
      </c>
      <c r="I1001" t="s">
        <v>173</v>
      </c>
      <c r="J1001">
        <v>1</v>
      </c>
      <c r="K1001" s="6">
        <v>2.2799999999999998</v>
      </c>
      <c r="L1001" t="s">
        <v>200</v>
      </c>
      <c r="M1001">
        <v>1</v>
      </c>
      <c r="N1001" t="s">
        <v>187</v>
      </c>
      <c r="O1001">
        <v>2</v>
      </c>
      <c r="P1001">
        <v>0</v>
      </c>
      <c r="Q1001" s="6">
        <v>60.5</v>
      </c>
      <c r="R1001">
        <v>0</v>
      </c>
      <c r="S1001" s="6">
        <v>0</v>
      </c>
      <c r="T1001">
        <v>0</v>
      </c>
      <c r="U1001" s="6">
        <v>2133</v>
      </c>
      <c r="V1001">
        <v>0</v>
      </c>
      <c r="W1001">
        <v>0</v>
      </c>
      <c r="X1001">
        <v>0</v>
      </c>
      <c r="Y1001" s="6">
        <v>32.299999999999997</v>
      </c>
      <c r="Z1001">
        <v>3.5000000000000003E-2</v>
      </c>
      <c r="AA1001">
        <v>8.5999999999999993E-2</v>
      </c>
      <c r="AB1001">
        <v>2.1999999999999999E-2</v>
      </c>
      <c r="AC1001">
        <v>5</v>
      </c>
      <c r="AD1001" s="6">
        <v>100</v>
      </c>
      <c r="AE1001" s="6">
        <v>0</v>
      </c>
      <c r="AF1001" s="6">
        <v>0</v>
      </c>
      <c r="AG1001" s="6">
        <v>87.63</v>
      </c>
      <c r="AH1001" s="6">
        <v>109.71</v>
      </c>
      <c r="AI1001" s="6">
        <f t="shared" si="30"/>
        <v>22.08</v>
      </c>
      <c r="AJ1001" s="5">
        <f t="shared" si="31"/>
        <v>0.20125786163522011</v>
      </c>
    </row>
    <row r="1002" spans="1:36">
      <c r="A1002" t="s">
        <v>401</v>
      </c>
      <c r="B1002" t="s">
        <v>1287</v>
      </c>
      <c r="C1002" t="s">
        <v>82</v>
      </c>
      <c r="D1002" t="s">
        <v>72</v>
      </c>
      <c r="E1002" t="s">
        <v>55</v>
      </c>
      <c r="F1002">
        <v>0</v>
      </c>
      <c r="G1002">
        <v>955</v>
      </c>
      <c r="H1002">
        <v>1</v>
      </c>
      <c r="I1002" t="s">
        <v>173</v>
      </c>
      <c r="J1002">
        <v>1</v>
      </c>
      <c r="K1002" s="6">
        <v>2.06</v>
      </c>
      <c r="L1002" t="s">
        <v>174</v>
      </c>
      <c r="M1002">
        <v>0</v>
      </c>
      <c r="N1002" t="s">
        <v>182</v>
      </c>
      <c r="O1002">
        <v>3</v>
      </c>
      <c r="P1002">
        <v>1</v>
      </c>
      <c r="Q1002" s="6">
        <v>49</v>
      </c>
      <c r="R1002">
        <v>1</v>
      </c>
      <c r="S1002" s="6">
        <v>1572</v>
      </c>
      <c r="T1002">
        <v>0</v>
      </c>
      <c r="U1002" s="6">
        <v>2585</v>
      </c>
      <c r="V1002">
        <v>0</v>
      </c>
      <c r="W1002">
        <v>0</v>
      </c>
      <c r="X1002">
        <v>0</v>
      </c>
      <c r="Y1002" s="6">
        <v>32.299999999999997</v>
      </c>
      <c r="Z1002">
        <v>3.5000000000000003E-2</v>
      </c>
      <c r="AA1002">
        <v>8.5999999999999993E-2</v>
      </c>
      <c r="AB1002">
        <v>2.1999999999999999E-2</v>
      </c>
      <c r="AC1002">
        <v>5</v>
      </c>
      <c r="AD1002" s="6">
        <v>51</v>
      </c>
      <c r="AE1002" s="6">
        <v>25</v>
      </c>
      <c r="AF1002" s="6">
        <v>0</v>
      </c>
      <c r="AG1002" s="6">
        <v>91.22</v>
      </c>
      <c r="AH1002" s="6">
        <v>117.3</v>
      </c>
      <c r="AI1002" s="6">
        <f t="shared" si="30"/>
        <v>26.08</v>
      </c>
      <c r="AJ1002" s="5">
        <f t="shared" si="31"/>
        <v>0.22233589087809036</v>
      </c>
    </row>
    <row r="1003" spans="1:36">
      <c r="A1003" t="s">
        <v>204</v>
      </c>
      <c r="B1003" t="s">
        <v>1288</v>
      </c>
      <c r="C1003" t="s">
        <v>82</v>
      </c>
      <c r="D1003" t="s">
        <v>72</v>
      </c>
      <c r="E1003" t="s">
        <v>55</v>
      </c>
      <c r="F1003">
        <v>0</v>
      </c>
      <c r="G1003">
        <v>955</v>
      </c>
      <c r="H1003">
        <v>1.22</v>
      </c>
      <c r="I1003" t="s">
        <v>173</v>
      </c>
      <c r="J1003">
        <v>1</v>
      </c>
      <c r="K1003" s="6">
        <v>1.66</v>
      </c>
      <c r="L1003" t="s">
        <v>174</v>
      </c>
      <c r="M1003">
        <v>0</v>
      </c>
      <c r="N1003" t="s">
        <v>175</v>
      </c>
      <c r="O1003">
        <v>1</v>
      </c>
      <c r="P1003">
        <v>0</v>
      </c>
      <c r="Q1003" s="6">
        <v>38</v>
      </c>
      <c r="R1003">
        <v>1</v>
      </c>
      <c r="S1003" s="6">
        <v>4046</v>
      </c>
      <c r="T1003">
        <v>0</v>
      </c>
      <c r="U1003" s="6">
        <v>2811</v>
      </c>
      <c r="V1003">
        <v>0</v>
      </c>
      <c r="W1003">
        <v>0</v>
      </c>
      <c r="X1003">
        <v>0</v>
      </c>
      <c r="Y1003" s="6">
        <v>32.299999999999997</v>
      </c>
      <c r="Z1003">
        <v>3.5000000000000003E-2</v>
      </c>
      <c r="AA1003">
        <v>8.5999999999999993E-2</v>
      </c>
      <c r="AB1003">
        <v>2.1999999999999999E-2</v>
      </c>
      <c r="AC1003">
        <v>5</v>
      </c>
      <c r="AD1003" s="6">
        <v>51</v>
      </c>
      <c r="AE1003" s="6">
        <v>40</v>
      </c>
      <c r="AF1003" s="6">
        <v>0</v>
      </c>
      <c r="AG1003" s="6">
        <v>62.08</v>
      </c>
      <c r="AH1003" s="6">
        <v>78.540000000000006</v>
      </c>
      <c r="AI1003" s="6">
        <f t="shared" si="30"/>
        <v>16.460000000000008</v>
      </c>
      <c r="AJ1003" s="5">
        <f t="shared" si="31"/>
        <v>0.20957473898650378</v>
      </c>
    </row>
    <row r="1004" spans="1:36">
      <c r="A1004" t="s">
        <v>243</v>
      </c>
      <c r="B1004" t="s">
        <v>1289</v>
      </c>
      <c r="C1004" t="s">
        <v>82</v>
      </c>
      <c r="D1004" t="s">
        <v>72</v>
      </c>
      <c r="E1004" t="s">
        <v>55</v>
      </c>
      <c r="F1004">
        <v>0</v>
      </c>
      <c r="G1004">
        <v>955</v>
      </c>
      <c r="H1004">
        <v>1.22</v>
      </c>
      <c r="I1004" t="s">
        <v>220</v>
      </c>
      <c r="J1004">
        <v>2</v>
      </c>
      <c r="K1004" s="6">
        <v>3.59</v>
      </c>
      <c r="L1004" t="s">
        <v>174</v>
      </c>
      <c r="M1004">
        <v>0</v>
      </c>
      <c r="N1004" t="s">
        <v>187</v>
      </c>
      <c r="O1004">
        <v>2</v>
      </c>
      <c r="P1004">
        <v>0</v>
      </c>
      <c r="Q1004" s="6">
        <v>74.900000000000006</v>
      </c>
      <c r="R1004">
        <v>0</v>
      </c>
      <c r="S1004" s="6">
        <v>0</v>
      </c>
      <c r="T1004">
        <v>0</v>
      </c>
      <c r="U1004" s="6">
        <v>2387</v>
      </c>
      <c r="V1004">
        <v>0</v>
      </c>
      <c r="W1004">
        <v>0</v>
      </c>
      <c r="X1004">
        <v>1</v>
      </c>
      <c r="Y1004" s="6">
        <v>32.299999999999997</v>
      </c>
      <c r="Z1004">
        <v>3.5000000000000003E-2</v>
      </c>
      <c r="AA1004">
        <v>8.5999999999999993E-2</v>
      </c>
      <c r="AB1004">
        <v>2.1999999999999999E-2</v>
      </c>
      <c r="AC1004">
        <v>5</v>
      </c>
      <c r="AD1004" s="6">
        <v>51</v>
      </c>
      <c r="AE1004" s="6">
        <v>0</v>
      </c>
      <c r="AF1004" s="6">
        <v>0</v>
      </c>
      <c r="AG1004" s="6">
        <v>60.96</v>
      </c>
      <c r="AH1004" s="6">
        <v>81.13</v>
      </c>
      <c r="AI1004" s="6">
        <f t="shared" si="30"/>
        <v>20.169999999999995</v>
      </c>
      <c r="AJ1004" s="5">
        <f t="shared" si="31"/>
        <v>0.24861333662023907</v>
      </c>
    </row>
    <row r="1005" spans="1:36">
      <c r="A1005" t="s">
        <v>185</v>
      </c>
      <c r="B1005" t="s">
        <v>1290</v>
      </c>
      <c r="C1005" t="s">
        <v>82</v>
      </c>
      <c r="D1005" t="s">
        <v>72</v>
      </c>
      <c r="E1005" t="s">
        <v>55</v>
      </c>
      <c r="F1005">
        <v>0</v>
      </c>
      <c r="G1005">
        <v>955</v>
      </c>
      <c r="H1005">
        <v>1.22</v>
      </c>
      <c r="I1005" t="s">
        <v>173</v>
      </c>
      <c r="J1005">
        <v>1</v>
      </c>
      <c r="K1005" s="6">
        <v>2.72</v>
      </c>
      <c r="L1005" t="s">
        <v>174</v>
      </c>
      <c r="M1005">
        <v>0</v>
      </c>
      <c r="N1005" t="s">
        <v>182</v>
      </c>
      <c r="O1005">
        <v>3</v>
      </c>
      <c r="P1005">
        <v>1</v>
      </c>
      <c r="Q1005" s="6">
        <v>51.5</v>
      </c>
      <c r="R1005">
        <v>1</v>
      </c>
      <c r="S1005" s="6">
        <v>401</v>
      </c>
      <c r="T1005">
        <v>0</v>
      </c>
      <c r="U1005" s="6">
        <v>3420</v>
      </c>
      <c r="V1005">
        <v>0</v>
      </c>
      <c r="W1005">
        <v>0</v>
      </c>
      <c r="X1005">
        <v>0</v>
      </c>
      <c r="Y1005" s="6">
        <v>32.299999999999997</v>
      </c>
      <c r="Z1005">
        <v>3.5000000000000003E-2</v>
      </c>
      <c r="AA1005">
        <v>8.5999999999999993E-2</v>
      </c>
      <c r="AB1005">
        <v>2.1999999999999999E-2</v>
      </c>
      <c r="AC1005">
        <v>5</v>
      </c>
      <c r="AD1005" s="6">
        <v>51</v>
      </c>
      <c r="AE1005" s="6">
        <v>25</v>
      </c>
      <c r="AF1005" s="6">
        <v>0</v>
      </c>
      <c r="AG1005" s="6">
        <v>87.99</v>
      </c>
      <c r="AH1005" s="6">
        <v>111.59</v>
      </c>
      <c r="AI1005" s="6">
        <f t="shared" si="30"/>
        <v>23.600000000000009</v>
      </c>
      <c r="AJ1005" s="5">
        <f t="shared" si="31"/>
        <v>0.21148848463123943</v>
      </c>
    </row>
    <row r="1006" spans="1:36">
      <c r="A1006" t="s">
        <v>210</v>
      </c>
      <c r="B1006" t="s">
        <v>1291</v>
      </c>
      <c r="C1006" t="s">
        <v>82</v>
      </c>
      <c r="D1006" t="s">
        <v>72</v>
      </c>
      <c r="E1006" t="s">
        <v>55</v>
      </c>
      <c r="F1006">
        <v>0</v>
      </c>
      <c r="G1006">
        <v>955</v>
      </c>
      <c r="H1006">
        <v>1</v>
      </c>
      <c r="I1006" t="s">
        <v>173</v>
      </c>
      <c r="J1006">
        <v>1</v>
      </c>
      <c r="K1006" s="6">
        <v>1.57</v>
      </c>
      <c r="L1006" t="s">
        <v>174</v>
      </c>
      <c r="M1006">
        <v>0</v>
      </c>
      <c r="N1006" t="s">
        <v>182</v>
      </c>
      <c r="O1006">
        <v>3</v>
      </c>
      <c r="P1006">
        <v>0</v>
      </c>
      <c r="Q1006" s="6">
        <v>81.8</v>
      </c>
      <c r="R1006">
        <v>0</v>
      </c>
      <c r="S1006" s="6">
        <v>0</v>
      </c>
      <c r="T1006">
        <v>0</v>
      </c>
      <c r="U1006" s="6">
        <v>1778</v>
      </c>
      <c r="V1006">
        <v>0</v>
      </c>
      <c r="W1006">
        <v>0</v>
      </c>
      <c r="X1006">
        <v>0</v>
      </c>
      <c r="Y1006" s="6">
        <v>32.299999999999997</v>
      </c>
      <c r="Z1006">
        <v>3.5000000000000003E-2</v>
      </c>
      <c r="AA1006">
        <v>8.5999999999999993E-2</v>
      </c>
      <c r="AB1006">
        <v>2.1999999999999999E-2</v>
      </c>
      <c r="AC1006">
        <v>5</v>
      </c>
      <c r="AD1006" s="6">
        <v>51</v>
      </c>
      <c r="AE1006" s="6">
        <v>0</v>
      </c>
      <c r="AF1006" s="6">
        <v>0</v>
      </c>
      <c r="AG1006" s="6">
        <v>59.41</v>
      </c>
      <c r="AH1006" s="6">
        <v>75.010000000000005</v>
      </c>
      <c r="AI1006" s="6">
        <f t="shared" si="30"/>
        <v>15.600000000000009</v>
      </c>
      <c r="AJ1006" s="5">
        <f t="shared" si="31"/>
        <v>0.20797227036395158</v>
      </c>
    </row>
    <row r="1007" spans="1:36">
      <c r="A1007" t="s">
        <v>253</v>
      </c>
      <c r="B1007" t="s">
        <v>1292</v>
      </c>
      <c r="C1007" t="s">
        <v>82</v>
      </c>
      <c r="D1007" t="s">
        <v>72</v>
      </c>
      <c r="E1007" t="s">
        <v>55</v>
      </c>
      <c r="F1007">
        <v>0</v>
      </c>
      <c r="G1007">
        <v>955</v>
      </c>
      <c r="H1007">
        <v>1</v>
      </c>
      <c r="I1007" t="s">
        <v>173</v>
      </c>
      <c r="J1007">
        <v>1</v>
      </c>
      <c r="K1007" s="6">
        <v>2.1</v>
      </c>
      <c r="L1007" t="s">
        <v>200</v>
      </c>
      <c r="M1007">
        <v>1</v>
      </c>
      <c r="N1007" t="s">
        <v>175</v>
      </c>
      <c r="O1007">
        <v>1</v>
      </c>
      <c r="P1007">
        <v>0</v>
      </c>
      <c r="Q1007" s="6">
        <v>53.5</v>
      </c>
      <c r="R1007">
        <v>0</v>
      </c>
      <c r="S1007" s="6">
        <v>0</v>
      </c>
      <c r="T1007">
        <v>0</v>
      </c>
      <c r="U1007" s="6">
        <v>958</v>
      </c>
      <c r="V1007">
        <v>0</v>
      </c>
      <c r="W1007">
        <v>1</v>
      </c>
      <c r="X1007">
        <v>0</v>
      </c>
      <c r="Y1007" s="6">
        <v>32.299999999999997</v>
      </c>
      <c r="Z1007">
        <v>3.5000000000000003E-2</v>
      </c>
      <c r="AA1007">
        <v>8.5999999999999993E-2</v>
      </c>
      <c r="AB1007">
        <v>2.1999999999999999E-2</v>
      </c>
      <c r="AC1007">
        <v>5</v>
      </c>
      <c r="AD1007" s="6">
        <v>100</v>
      </c>
      <c r="AE1007" s="6">
        <v>0</v>
      </c>
      <c r="AF1007" s="6">
        <v>0</v>
      </c>
      <c r="AG1007" s="6">
        <v>107.99</v>
      </c>
      <c r="AH1007" s="6">
        <v>135.27000000000001</v>
      </c>
      <c r="AI1007" s="6">
        <f t="shared" si="30"/>
        <v>27.280000000000015</v>
      </c>
      <c r="AJ1007" s="5">
        <f t="shared" si="31"/>
        <v>0.20167073260885646</v>
      </c>
    </row>
    <row r="1008" spans="1:36">
      <c r="A1008" t="s">
        <v>469</v>
      </c>
      <c r="B1008" t="s">
        <v>1293</v>
      </c>
      <c r="C1008" t="s">
        <v>82</v>
      </c>
      <c r="D1008" t="s">
        <v>72</v>
      </c>
      <c r="E1008" t="s">
        <v>55</v>
      </c>
      <c r="F1008">
        <v>0</v>
      </c>
      <c r="G1008">
        <v>955</v>
      </c>
      <c r="H1008">
        <v>1</v>
      </c>
      <c r="I1008" t="s">
        <v>173</v>
      </c>
      <c r="J1008">
        <v>1</v>
      </c>
      <c r="K1008" s="6">
        <v>2.06</v>
      </c>
      <c r="L1008" t="s">
        <v>174</v>
      </c>
      <c r="M1008">
        <v>0</v>
      </c>
      <c r="N1008" t="s">
        <v>182</v>
      </c>
      <c r="O1008">
        <v>3</v>
      </c>
      <c r="P1008">
        <v>0</v>
      </c>
      <c r="Q1008" s="6">
        <v>96.3</v>
      </c>
      <c r="R1008">
        <v>1</v>
      </c>
      <c r="S1008" s="6">
        <v>7226</v>
      </c>
      <c r="T1008">
        <v>0</v>
      </c>
      <c r="U1008" s="6">
        <v>1964</v>
      </c>
      <c r="V1008">
        <v>0</v>
      </c>
      <c r="W1008">
        <v>0</v>
      </c>
      <c r="X1008">
        <v>0</v>
      </c>
      <c r="Y1008" s="6">
        <v>32.299999999999997</v>
      </c>
      <c r="Z1008">
        <v>3.5000000000000003E-2</v>
      </c>
      <c r="AA1008">
        <v>8.5999999999999993E-2</v>
      </c>
      <c r="AB1008">
        <v>2.1999999999999999E-2</v>
      </c>
      <c r="AC1008">
        <v>5</v>
      </c>
      <c r="AD1008" s="6">
        <v>51</v>
      </c>
      <c r="AE1008" s="6">
        <v>80</v>
      </c>
      <c r="AF1008" s="6">
        <v>0</v>
      </c>
      <c r="AG1008" s="6">
        <v>66.86</v>
      </c>
      <c r="AH1008" s="6">
        <v>85.77</v>
      </c>
      <c r="AI1008" s="6">
        <f t="shared" si="30"/>
        <v>18.909999999999997</v>
      </c>
      <c r="AJ1008" s="5">
        <f t="shared" si="31"/>
        <v>0.22047335898332748</v>
      </c>
    </row>
    <row r="1009" spans="1:36">
      <c r="A1009" t="s">
        <v>238</v>
      </c>
      <c r="B1009" t="s">
        <v>1294</v>
      </c>
      <c r="C1009" t="s">
        <v>82</v>
      </c>
      <c r="D1009" t="s">
        <v>72</v>
      </c>
      <c r="E1009" t="s">
        <v>55</v>
      </c>
      <c r="F1009">
        <v>0</v>
      </c>
      <c r="G1009">
        <v>955</v>
      </c>
      <c r="H1009">
        <v>1</v>
      </c>
      <c r="I1009" t="s">
        <v>181</v>
      </c>
      <c r="J1009">
        <v>3</v>
      </c>
      <c r="K1009" s="6">
        <v>10</v>
      </c>
      <c r="L1009" t="s">
        <v>174</v>
      </c>
      <c r="M1009">
        <v>0</v>
      </c>
      <c r="N1009" t="s">
        <v>187</v>
      </c>
      <c r="O1009">
        <v>2</v>
      </c>
      <c r="P1009">
        <v>0</v>
      </c>
      <c r="Q1009" s="6">
        <v>64.099999999999994</v>
      </c>
      <c r="R1009">
        <v>1</v>
      </c>
      <c r="S1009" s="6">
        <v>768</v>
      </c>
      <c r="T1009">
        <v>0</v>
      </c>
      <c r="U1009" s="6">
        <v>587</v>
      </c>
      <c r="V1009">
        <v>0</v>
      </c>
      <c r="W1009">
        <v>0</v>
      </c>
      <c r="X1009">
        <v>0</v>
      </c>
      <c r="Y1009" s="6">
        <v>32.299999999999997</v>
      </c>
      <c r="Z1009">
        <v>3.5000000000000003E-2</v>
      </c>
      <c r="AA1009">
        <v>8.5999999999999993E-2</v>
      </c>
      <c r="AB1009">
        <v>2.1999999999999999E-2</v>
      </c>
      <c r="AC1009">
        <v>5</v>
      </c>
      <c r="AD1009" s="6">
        <v>61</v>
      </c>
      <c r="AE1009" s="6">
        <v>25</v>
      </c>
      <c r="AF1009" s="6">
        <v>0</v>
      </c>
      <c r="AG1009" s="6">
        <v>101.19</v>
      </c>
      <c r="AH1009" s="6">
        <v>129.69</v>
      </c>
      <c r="AI1009" s="6">
        <f t="shared" si="30"/>
        <v>28.5</v>
      </c>
      <c r="AJ1009" s="5">
        <f t="shared" si="31"/>
        <v>0.21975479990747165</v>
      </c>
    </row>
    <row r="1010" spans="1:36">
      <c r="A1010" t="s">
        <v>348</v>
      </c>
      <c r="B1010" t="s">
        <v>1295</v>
      </c>
      <c r="C1010" t="s">
        <v>82</v>
      </c>
      <c r="D1010" t="s">
        <v>72</v>
      </c>
      <c r="E1010" t="s">
        <v>55</v>
      </c>
      <c r="F1010">
        <v>0</v>
      </c>
      <c r="G1010">
        <v>955</v>
      </c>
      <c r="H1010">
        <v>1.22</v>
      </c>
      <c r="I1010" t="s">
        <v>181</v>
      </c>
      <c r="J1010">
        <v>3</v>
      </c>
      <c r="K1010" s="6">
        <v>8.85</v>
      </c>
      <c r="L1010" t="s">
        <v>174</v>
      </c>
      <c r="M1010">
        <v>0</v>
      </c>
      <c r="N1010" t="s">
        <v>175</v>
      </c>
      <c r="O1010">
        <v>1</v>
      </c>
      <c r="P1010">
        <v>0</v>
      </c>
      <c r="Q1010" s="6">
        <v>35.200000000000003</v>
      </c>
      <c r="R1010">
        <v>0</v>
      </c>
      <c r="S1010" s="6">
        <v>0</v>
      </c>
      <c r="T1010">
        <v>0</v>
      </c>
      <c r="U1010" s="6">
        <v>1112</v>
      </c>
      <c r="V1010">
        <v>0</v>
      </c>
      <c r="W1010">
        <v>0</v>
      </c>
      <c r="X1010">
        <v>0</v>
      </c>
      <c r="Y1010" s="6">
        <v>32.299999999999997</v>
      </c>
      <c r="Z1010">
        <v>3.5000000000000003E-2</v>
      </c>
      <c r="AA1010">
        <v>8.5999999999999993E-2</v>
      </c>
      <c r="AB1010">
        <v>2.1999999999999999E-2</v>
      </c>
      <c r="AC1010">
        <v>5</v>
      </c>
      <c r="AD1010" s="6">
        <v>61</v>
      </c>
      <c r="AE1010" s="6">
        <v>0</v>
      </c>
      <c r="AF1010" s="6">
        <v>0</v>
      </c>
      <c r="AG1010" s="6">
        <v>97.74</v>
      </c>
      <c r="AH1010" s="6">
        <v>122.53</v>
      </c>
      <c r="AI1010" s="6">
        <f t="shared" si="30"/>
        <v>24.790000000000006</v>
      </c>
      <c r="AJ1010" s="5">
        <f t="shared" si="31"/>
        <v>0.20231779972251698</v>
      </c>
    </row>
    <row r="1011" spans="1:36">
      <c r="A1011" t="s">
        <v>353</v>
      </c>
      <c r="B1011" t="s">
        <v>1296</v>
      </c>
      <c r="C1011" t="s">
        <v>82</v>
      </c>
      <c r="D1011" t="s">
        <v>72</v>
      </c>
      <c r="E1011" t="s">
        <v>55</v>
      </c>
      <c r="F1011">
        <v>0</v>
      </c>
      <c r="G1011">
        <v>955</v>
      </c>
      <c r="H1011">
        <v>1.22</v>
      </c>
      <c r="I1011" t="s">
        <v>181</v>
      </c>
      <c r="J1011">
        <v>3</v>
      </c>
      <c r="K1011" s="6">
        <v>8.6</v>
      </c>
      <c r="L1011" t="s">
        <v>174</v>
      </c>
      <c r="M1011">
        <v>0</v>
      </c>
      <c r="N1011" t="s">
        <v>182</v>
      </c>
      <c r="O1011">
        <v>3</v>
      </c>
      <c r="P1011">
        <v>0</v>
      </c>
      <c r="Q1011" s="6">
        <v>77.7</v>
      </c>
      <c r="R1011">
        <v>0</v>
      </c>
      <c r="S1011" s="6">
        <v>0</v>
      </c>
      <c r="T1011">
        <v>0</v>
      </c>
      <c r="U1011" s="6">
        <v>4387</v>
      </c>
      <c r="V1011">
        <v>1</v>
      </c>
      <c r="W1011">
        <v>0</v>
      </c>
      <c r="X1011">
        <v>0</v>
      </c>
      <c r="Y1011" s="6">
        <v>32.299999999999997</v>
      </c>
      <c r="Z1011">
        <v>3.5000000000000003E-2</v>
      </c>
      <c r="AA1011">
        <v>8.5999999999999993E-2</v>
      </c>
      <c r="AB1011">
        <v>2.1999999999999999E-2</v>
      </c>
      <c r="AC1011">
        <v>5</v>
      </c>
      <c r="AD1011" s="6">
        <v>61</v>
      </c>
      <c r="AE1011" s="6">
        <v>0</v>
      </c>
      <c r="AF1011" s="6">
        <v>0</v>
      </c>
      <c r="AG1011" s="6">
        <v>139.13</v>
      </c>
      <c r="AH1011" s="6">
        <v>174.24</v>
      </c>
      <c r="AI1011" s="6">
        <f t="shared" si="30"/>
        <v>35.110000000000014</v>
      </c>
      <c r="AJ1011" s="5">
        <f t="shared" si="31"/>
        <v>0.20150367309458225</v>
      </c>
    </row>
    <row r="1012" spans="1:36">
      <c r="A1012" t="s">
        <v>204</v>
      </c>
      <c r="B1012" t="s">
        <v>1297</v>
      </c>
      <c r="C1012" t="s">
        <v>82</v>
      </c>
      <c r="D1012" t="s">
        <v>72</v>
      </c>
      <c r="E1012" t="s">
        <v>55</v>
      </c>
      <c r="F1012">
        <v>0</v>
      </c>
      <c r="G1012">
        <v>955</v>
      </c>
      <c r="H1012">
        <v>1.22</v>
      </c>
      <c r="I1012" t="s">
        <v>178</v>
      </c>
      <c r="J1012">
        <v>4</v>
      </c>
      <c r="K1012" s="6">
        <v>17.16</v>
      </c>
      <c r="L1012" t="s">
        <v>174</v>
      </c>
      <c r="M1012">
        <v>0</v>
      </c>
      <c r="N1012" t="s">
        <v>182</v>
      </c>
      <c r="O1012">
        <v>3</v>
      </c>
      <c r="P1012">
        <v>0</v>
      </c>
      <c r="Q1012" s="6">
        <v>92.5</v>
      </c>
      <c r="R1012">
        <v>0</v>
      </c>
      <c r="S1012" s="6">
        <v>0</v>
      </c>
      <c r="T1012">
        <v>0</v>
      </c>
      <c r="U1012" s="6">
        <v>2564</v>
      </c>
      <c r="V1012">
        <v>0</v>
      </c>
      <c r="W1012">
        <v>0</v>
      </c>
      <c r="X1012">
        <v>0</v>
      </c>
      <c r="Y1012" s="6">
        <v>32.299999999999997</v>
      </c>
      <c r="Z1012">
        <v>3.5000000000000003E-2</v>
      </c>
      <c r="AA1012">
        <v>8.5999999999999993E-2</v>
      </c>
      <c r="AB1012">
        <v>2.1999999999999999E-2</v>
      </c>
      <c r="AC1012">
        <v>5</v>
      </c>
      <c r="AD1012" s="6">
        <v>66</v>
      </c>
      <c r="AE1012" s="6">
        <v>0</v>
      </c>
      <c r="AF1012" s="6">
        <v>0</v>
      </c>
      <c r="AG1012" s="6">
        <v>150.80000000000001</v>
      </c>
      <c r="AH1012" s="6">
        <v>188.7</v>
      </c>
      <c r="AI1012" s="6">
        <f t="shared" si="30"/>
        <v>37.899999999999977</v>
      </c>
      <c r="AJ1012" s="5">
        <f t="shared" si="31"/>
        <v>0.20084790673025957</v>
      </c>
    </row>
    <row r="1013" spans="1:36">
      <c r="A1013" t="s">
        <v>562</v>
      </c>
      <c r="B1013" t="s">
        <v>1298</v>
      </c>
      <c r="C1013" t="s">
        <v>82</v>
      </c>
      <c r="D1013" t="s">
        <v>72</v>
      </c>
      <c r="E1013" t="s">
        <v>55</v>
      </c>
      <c r="F1013">
        <v>0</v>
      </c>
      <c r="G1013">
        <v>955</v>
      </c>
      <c r="H1013">
        <v>1.22</v>
      </c>
      <c r="I1013" t="s">
        <v>173</v>
      </c>
      <c r="J1013">
        <v>1</v>
      </c>
      <c r="K1013" s="6">
        <v>1.65</v>
      </c>
      <c r="L1013" t="s">
        <v>200</v>
      </c>
      <c r="M1013">
        <v>1</v>
      </c>
      <c r="N1013" t="s">
        <v>187</v>
      </c>
      <c r="O1013">
        <v>2</v>
      </c>
      <c r="P1013">
        <v>0</v>
      </c>
      <c r="Q1013" s="6">
        <v>39</v>
      </c>
      <c r="R1013">
        <v>0</v>
      </c>
      <c r="S1013" s="6">
        <v>0</v>
      </c>
      <c r="T1013">
        <v>0</v>
      </c>
      <c r="U1013" s="6">
        <v>1341</v>
      </c>
      <c r="V1013">
        <v>0</v>
      </c>
      <c r="W1013">
        <v>0</v>
      </c>
      <c r="X1013">
        <v>0</v>
      </c>
      <c r="Y1013" s="6">
        <v>32.299999999999997</v>
      </c>
      <c r="Z1013">
        <v>3.5000000000000003E-2</v>
      </c>
      <c r="AA1013">
        <v>8.5999999999999993E-2</v>
      </c>
      <c r="AB1013">
        <v>2.1999999999999999E-2</v>
      </c>
      <c r="AC1013">
        <v>5</v>
      </c>
      <c r="AD1013" s="6">
        <v>100</v>
      </c>
      <c r="AE1013" s="6">
        <v>0</v>
      </c>
      <c r="AF1013" s="6">
        <v>0</v>
      </c>
      <c r="AG1013" s="6">
        <v>82.15</v>
      </c>
      <c r="AH1013" s="6">
        <v>103.61</v>
      </c>
      <c r="AI1013" s="6">
        <f t="shared" si="30"/>
        <v>21.459999999999994</v>
      </c>
      <c r="AJ1013" s="5">
        <f t="shared" si="31"/>
        <v>0.20712286458836013</v>
      </c>
    </row>
    <row r="1014" spans="1:36">
      <c r="A1014" t="s">
        <v>243</v>
      </c>
      <c r="B1014" t="s">
        <v>1299</v>
      </c>
      <c r="C1014" t="s">
        <v>82</v>
      </c>
      <c r="D1014" t="s">
        <v>72</v>
      </c>
      <c r="E1014" t="s">
        <v>55</v>
      </c>
      <c r="F1014">
        <v>0</v>
      </c>
      <c r="G1014">
        <v>955</v>
      </c>
      <c r="H1014">
        <v>1.22</v>
      </c>
      <c r="I1014" t="s">
        <v>220</v>
      </c>
      <c r="J1014">
        <v>2</v>
      </c>
      <c r="K1014" s="6">
        <v>3.85</v>
      </c>
      <c r="L1014" t="s">
        <v>174</v>
      </c>
      <c r="M1014">
        <v>0</v>
      </c>
      <c r="N1014" t="s">
        <v>187</v>
      </c>
      <c r="O1014">
        <v>2</v>
      </c>
      <c r="P1014">
        <v>1</v>
      </c>
      <c r="Q1014" s="6">
        <v>53.5</v>
      </c>
      <c r="R1014">
        <v>0</v>
      </c>
      <c r="S1014" s="6">
        <v>0</v>
      </c>
      <c r="T1014">
        <v>0</v>
      </c>
      <c r="U1014" s="6">
        <v>1114</v>
      </c>
      <c r="V1014">
        <v>0</v>
      </c>
      <c r="W1014">
        <v>0</v>
      </c>
      <c r="X1014">
        <v>0</v>
      </c>
      <c r="Y1014" s="6">
        <v>32.299999999999997</v>
      </c>
      <c r="Z1014">
        <v>3.5000000000000003E-2</v>
      </c>
      <c r="AA1014">
        <v>8.5999999999999993E-2</v>
      </c>
      <c r="AB1014">
        <v>2.1999999999999999E-2</v>
      </c>
      <c r="AC1014">
        <v>5</v>
      </c>
      <c r="AD1014" s="6">
        <v>51</v>
      </c>
      <c r="AE1014" s="6">
        <v>0</v>
      </c>
      <c r="AF1014" s="6">
        <v>0</v>
      </c>
      <c r="AG1014" s="6">
        <v>87.6</v>
      </c>
      <c r="AH1014" s="6">
        <v>113.63</v>
      </c>
      <c r="AI1014" s="6">
        <f t="shared" si="30"/>
        <v>26.03</v>
      </c>
      <c r="AJ1014" s="5">
        <f t="shared" si="31"/>
        <v>0.22907682830238496</v>
      </c>
    </row>
    <row r="1015" spans="1:36">
      <c r="A1015" t="s">
        <v>328</v>
      </c>
      <c r="B1015" t="s">
        <v>1300</v>
      </c>
      <c r="C1015" t="s">
        <v>82</v>
      </c>
      <c r="D1015" t="s">
        <v>72</v>
      </c>
      <c r="E1015" t="s">
        <v>55</v>
      </c>
      <c r="F1015">
        <v>0</v>
      </c>
      <c r="G1015">
        <v>955</v>
      </c>
      <c r="H1015">
        <v>1</v>
      </c>
      <c r="I1015" t="s">
        <v>173</v>
      </c>
      <c r="J1015">
        <v>1</v>
      </c>
      <c r="K1015" s="6">
        <v>1.78</v>
      </c>
      <c r="L1015" t="s">
        <v>174</v>
      </c>
      <c r="M1015">
        <v>0</v>
      </c>
      <c r="N1015" t="s">
        <v>182</v>
      </c>
      <c r="O1015">
        <v>3</v>
      </c>
      <c r="P1015">
        <v>0</v>
      </c>
      <c r="Q1015" s="6">
        <v>141.80000000000001</v>
      </c>
      <c r="R1015">
        <v>1</v>
      </c>
      <c r="S1015" s="6">
        <v>1205</v>
      </c>
      <c r="T1015">
        <v>0</v>
      </c>
      <c r="U1015" s="6">
        <v>1627</v>
      </c>
      <c r="V1015">
        <v>0</v>
      </c>
      <c r="W1015">
        <v>0</v>
      </c>
      <c r="X1015">
        <v>0</v>
      </c>
      <c r="Y1015" s="6">
        <v>32.299999999999997</v>
      </c>
      <c r="Z1015">
        <v>3.5000000000000003E-2</v>
      </c>
      <c r="AA1015">
        <v>8.5999999999999993E-2</v>
      </c>
      <c r="AB1015">
        <v>2.1999999999999999E-2</v>
      </c>
      <c r="AC1015">
        <v>5</v>
      </c>
      <c r="AD1015" s="6">
        <v>51</v>
      </c>
      <c r="AE1015" s="6">
        <v>25</v>
      </c>
      <c r="AF1015" s="6">
        <v>0</v>
      </c>
      <c r="AG1015" s="6">
        <v>64.599999999999994</v>
      </c>
      <c r="AH1015" s="6">
        <v>83.64</v>
      </c>
      <c r="AI1015" s="6">
        <f t="shared" si="30"/>
        <v>19.040000000000006</v>
      </c>
      <c r="AJ1015" s="5">
        <f t="shared" si="31"/>
        <v>0.2276422764227643</v>
      </c>
    </row>
    <row r="1016" spans="1:36">
      <c r="A1016" t="s">
        <v>345</v>
      </c>
      <c r="B1016" t="s">
        <v>1301</v>
      </c>
      <c r="C1016" t="s">
        <v>82</v>
      </c>
      <c r="D1016" t="s">
        <v>72</v>
      </c>
      <c r="E1016" t="s">
        <v>55</v>
      </c>
      <c r="F1016">
        <v>0</v>
      </c>
      <c r="G1016">
        <v>955</v>
      </c>
      <c r="H1016">
        <v>1</v>
      </c>
      <c r="I1016" t="s">
        <v>173</v>
      </c>
      <c r="J1016">
        <v>1</v>
      </c>
      <c r="K1016" s="6">
        <v>2.2599999999999998</v>
      </c>
      <c r="L1016" t="s">
        <v>200</v>
      </c>
      <c r="M1016">
        <v>1</v>
      </c>
      <c r="N1016" t="s">
        <v>182</v>
      </c>
      <c r="O1016">
        <v>3</v>
      </c>
      <c r="P1016">
        <v>0</v>
      </c>
      <c r="Q1016" s="6">
        <v>49.6</v>
      </c>
      <c r="R1016">
        <v>0</v>
      </c>
      <c r="S1016" s="6">
        <v>0</v>
      </c>
      <c r="T1016">
        <v>0</v>
      </c>
      <c r="U1016" s="6">
        <v>919</v>
      </c>
      <c r="V1016">
        <v>0</v>
      </c>
      <c r="W1016">
        <v>0</v>
      </c>
      <c r="X1016">
        <v>0</v>
      </c>
      <c r="Y1016" s="6">
        <v>32.299999999999997</v>
      </c>
      <c r="Z1016">
        <v>3.5000000000000003E-2</v>
      </c>
      <c r="AA1016">
        <v>8.5999999999999993E-2</v>
      </c>
      <c r="AB1016">
        <v>2.1999999999999999E-2</v>
      </c>
      <c r="AC1016">
        <v>5</v>
      </c>
      <c r="AD1016" s="6">
        <v>100</v>
      </c>
      <c r="AE1016" s="6">
        <v>0</v>
      </c>
      <c r="AF1016" s="6">
        <v>0</v>
      </c>
      <c r="AG1016" s="6">
        <v>92.25</v>
      </c>
      <c r="AH1016" s="6">
        <v>119.31</v>
      </c>
      <c r="AI1016" s="6">
        <f t="shared" si="30"/>
        <v>27.060000000000002</v>
      </c>
      <c r="AJ1016" s="5">
        <f t="shared" si="31"/>
        <v>0.22680412371134023</v>
      </c>
    </row>
    <row r="1017" spans="1:36">
      <c r="A1017" t="s">
        <v>397</v>
      </c>
      <c r="B1017" t="s">
        <v>1302</v>
      </c>
      <c r="C1017" t="s">
        <v>82</v>
      </c>
      <c r="D1017" t="s">
        <v>72</v>
      </c>
      <c r="E1017" t="s">
        <v>55</v>
      </c>
      <c r="F1017">
        <v>0</v>
      </c>
      <c r="G1017">
        <v>955</v>
      </c>
      <c r="H1017">
        <v>1.22</v>
      </c>
      <c r="I1017" t="s">
        <v>220</v>
      </c>
      <c r="J1017">
        <v>2</v>
      </c>
      <c r="K1017" s="6">
        <v>5.86</v>
      </c>
      <c r="L1017" t="s">
        <v>174</v>
      </c>
      <c r="M1017">
        <v>0</v>
      </c>
      <c r="N1017" t="s">
        <v>175</v>
      </c>
      <c r="O1017">
        <v>1</v>
      </c>
      <c r="P1017">
        <v>0</v>
      </c>
      <c r="Q1017" s="6">
        <v>40.200000000000003</v>
      </c>
      <c r="R1017">
        <v>0</v>
      </c>
      <c r="S1017" s="6">
        <v>0</v>
      </c>
      <c r="T1017">
        <v>0</v>
      </c>
      <c r="U1017" s="6">
        <v>1170</v>
      </c>
      <c r="V1017">
        <v>0</v>
      </c>
      <c r="W1017">
        <v>0</v>
      </c>
      <c r="X1017">
        <v>0</v>
      </c>
      <c r="Y1017" s="6">
        <v>32.299999999999997</v>
      </c>
      <c r="Z1017">
        <v>3.5000000000000003E-2</v>
      </c>
      <c r="AA1017">
        <v>8.5999999999999993E-2</v>
      </c>
      <c r="AB1017">
        <v>2.1999999999999999E-2</v>
      </c>
      <c r="AC1017">
        <v>5</v>
      </c>
      <c r="AD1017" s="6">
        <v>51</v>
      </c>
      <c r="AE1017" s="6">
        <v>0</v>
      </c>
      <c r="AF1017" s="6">
        <v>0</v>
      </c>
      <c r="AG1017" s="6">
        <v>69.319999999999993</v>
      </c>
      <c r="AH1017" s="6">
        <v>87.71</v>
      </c>
      <c r="AI1017" s="6">
        <f t="shared" si="30"/>
        <v>18.39</v>
      </c>
      <c r="AJ1017" s="5">
        <f t="shared" si="31"/>
        <v>0.2096682248318322</v>
      </c>
    </row>
    <row r="1018" spans="1:36">
      <c r="A1018" t="s">
        <v>323</v>
      </c>
      <c r="B1018" t="s">
        <v>1303</v>
      </c>
      <c r="C1018" t="s">
        <v>82</v>
      </c>
      <c r="D1018" t="s">
        <v>72</v>
      </c>
      <c r="E1018" t="s">
        <v>55</v>
      </c>
      <c r="F1018">
        <v>0</v>
      </c>
      <c r="G1018">
        <v>955</v>
      </c>
      <c r="H1018">
        <v>1.22</v>
      </c>
      <c r="I1018" t="s">
        <v>173</v>
      </c>
      <c r="J1018">
        <v>1</v>
      </c>
      <c r="K1018" s="6">
        <v>2</v>
      </c>
      <c r="L1018" t="s">
        <v>174</v>
      </c>
      <c r="M1018">
        <v>0</v>
      </c>
      <c r="N1018" t="s">
        <v>217</v>
      </c>
      <c r="O1018">
        <v>4</v>
      </c>
      <c r="P1018">
        <v>1</v>
      </c>
      <c r="Q1018" s="6">
        <v>204.5</v>
      </c>
      <c r="R1018">
        <v>0</v>
      </c>
      <c r="S1018" s="6">
        <v>0</v>
      </c>
      <c r="T1018">
        <v>0</v>
      </c>
      <c r="U1018" s="6">
        <v>686</v>
      </c>
      <c r="V1018">
        <v>0</v>
      </c>
      <c r="W1018">
        <v>0</v>
      </c>
      <c r="X1018">
        <v>0</v>
      </c>
      <c r="Y1018" s="6">
        <v>32.299999999999997</v>
      </c>
      <c r="Z1018">
        <v>3.5000000000000003E-2</v>
      </c>
      <c r="AA1018">
        <v>8.5999999999999993E-2</v>
      </c>
      <c r="AB1018">
        <v>2.1999999999999999E-2</v>
      </c>
      <c r="AC1018">
        <v>5</v>
      </c>
      <c r="AD1018" s="6">
        <v>51</v>
      </c>
      <c r="AE1018" s="6">
        <v>0</v>
      </c>
      <c r="AF1018" s="6">
        <v>0</v>
      </c>
      <c r="AG1018" s="6">
        <v>109.72</v>
      </c>
      <c r="AH1018" s="6">
        <v>141.25</v>
      </c>
      <c r="AI1018" s="6">
        <f t="shared" si="30"/>
        <v>31.53</v>
      </c>
      <c r="AJ1018" s="5">
        <f t="shared" si="31"/>
        <v>0.2232212389380531</v>
      </c>
    </row>
    <row r="1019" spans="1:36">
      <c r="A1019" t="s">
        <v>243</v>
      </c>
      <c r="B1019" t="s">
        <v>1304</v>
      </c>
      <c r="C1019" t="s">
        <v>82</v>
      </c>
      <c r="D1019" t="s">
        <v>72</v>
      </c>
      <c r="E1019" t="s">
        <v>55</v>
      </c>
      <c r="F1019">
        <v>0</v>
      </c>
      <c r="G1019">
        <v>955</v>
      </c>
      <c r="H1019">
        <v>1.22</v>
      </c>
      <c r="I1019" t="s">
        <v>220</v>
      </c>
      <c r="J1019">
        <v>2</v>
      </c>
      <c r="K1019" s="6">
        <v>6.39</v>
      </c>
      <c r="L1019" t="s">
        <v>174</v>
      </c>
      <c r="M1019">
        <v>0</v>
      </c>
      <c r="N1019" t="s">
        <v>182</v>
      </c>
      <c r="O1019">
        <v>3</v>
      </c>
      <c r="P1019">
        <v>0</v>
      </c>
      <c r="Q1019" s="6">
        <v>115.9</v>
      </c>
      <c r="R1019">
        <v>0</v>
      </c>
      <c r="S1019" s="6">
        <v>0</v>
      </c>
      <c r="T1019">
        <v>0</v>
      </c>
      <c r="U1019" s="6">
        <v>1543</v>
      </c>
      <c r="V1019">
        <v>0</v>
      </c>
      <c r="W1019">
        <v>0</v>
      </c>
      <c r="X1019">
        <v>0</v>
      </c>
      <c r="Y1019" s="6">
        <v>32.299999999999997</v>
      </c>
      <c r="Z1019">
        <v>3.5000000000000003E-2</v>
      </c>
      <c r="AA1019">
        <v>8.5999999999999993E-2</v>
      </c>
      <c r="AB1019">
        <v>2.1999999999999999E-2</v>
      </c>
      <c r="AC1019">
        <v>5</v>
      </c>
      <c r="AD1019" s="6">
        <v>51</v>
      </c>
      <c r="AE1019" s="6">
        <v>0</v>
      </c>
      <c r="AF1019" s="6">
        <v>0</v>
      </c>
      <c r="AG1019" s="6">
        <v>76.87</v>
      </c>
      <c r="AH1019" s="6">
        <v>98.77</v>
      </c>
      <c r="AI1019" s="6">
        <f t="shared" si="30"/>
        <v>21.899999999999991</v>
      </c>
      <c r="AJ1019" s="5">
        <f t="shared" si="31"/>
        <v>0.22172724511491335</v>
      </c>
    </row>
    <row r="1020" spans="1:36">
      <c r="A1020" t="s">
        <v>481</v>
      </c>
      <c r="B1020" t="s">
        <v>1305</v>
      </c>
      <c r="C1020" t="s">
        <v>82</v>
      </c>
      <c r="D1020" t="s">
        <v>72</v>
      </c>
      <c r="E1020" t="s">
        <v>55</v>
      </c>
      <c r="F1020">
        <v>0</v>
      </c>
      <c r="G1020">
        <v>955</v>
      </c>
      <c r="H1020">
        <v>1.22</v>
      </c>
      <c r="I1020" t="s">
        <v>173</v>
      </c>
      <c r="J1020">
        <v>1</v>
      </c>
      <c r="K1020" s="6">
        <v>2.2000000000000002</v>
      </c>
      <c r="L1020" t="s">
        <v>174</v>
      </c>
      <c r="M1020">
        <v>0</v>
      </c>
      <c r="N1020" t="s">
        <v>175</v>
      </c>
      <c r="O1020">
        <v>1</v>
      </c>
      <c r="P1020">
        <v>0</v>
      </c>
      <c r="Q1020" s="6">
        <v>30.5</v>
      </c>
      <c r="R1020">
        <v>0</v>
      </c>
      <c r="S1020" s="6">
        <v>0</v>
      </c>
      <c r="T1020">
        <v>0</v>
      </c>
      <c r="U1020" s="6">
        <v>6726</v>
      </c>
      <c r="V1020">
        <v>0</v>
      </c>
      <c r="W1020">
        <v>1</v>
      </c>
      <c r="X1020">
        <v>0</v>
      </c>
      <c r="Y1020" s="6">
        <v>32.299999999999997</v>
      </c>
      <c r="Z1020">
        <v>3.5000000000000003E-2</v>
      </c>
      <c r="AA1020">
        <v>8.5999999999999993E-2</v>
      </c>
      <c r="AB1020">
        <v>2.1999999999999999E-2</v>
      </c>
      <c r="AC1020">
        <v>5</v>
      </c>
      <c r="AD1020" s="6">
        <v>51</v>
      </c>
      <c r="AE1020" s="6">
        <v>0</v>
      </c>
      <c r="AF1020" s="6">
        <v>0</v>
      </c>
      <c r="AG1020" s="6">
        <v>80.59</v>
      </c>
      <c r="AH1020" s="6">
        <v>103.78</v>
      </c>
      <c r="AI1020" s="6">
        <f t="shared" si="30"/>
        <v>23.189999999999998</v>
      </c>
      <c r="AJ1020" s="5">
        <f t="shared" si="31"/>
        <v>0.22345345924070145</v>
      </c>
    </row>
    <row r="1021" spans="1:36">
      <c r="A1021" t="s">
        <v>223</v>
      </c>
      <c r="B1021" t="s">
        <v>1306</v>
      </c>
      <c r="C1021" t="s">
        <v>82</v>
      </c>
      <c r="D1021" t="s">
        <v>72</v>
      </c>
      <c r="E1021" t="s">
        <v>55</v>
      </c>
      <c r="F1021">
        <v>0</v>
      </c>
      <c r="G1021">
        <v>955</v>
      </c>
      <c r="H1021">
        <v>1</v>
      </c>
      <c r="I1021" t="s">
        <v>173</v>
      </c>
      <c r="J1021">
        <v>1</v>
      </c>
      <c r="K1021" s="6">
        <v>1.93</v>
      </c>
      <c r="L1021" t="s">
        <v>174</v>
      </c>
      <c r="M1021">
        <v>0</v>
      </c>
      <c r="N1021" t="s">
        <v>182</v>
      </c>
      <c r="O1021">
        <v>3</v>
      </c>
      <c r="P1021">
        <v>0</v>
      </c>
      <c r="Q1021" s="6">
        <v>98.5</v>
      </c>
      <c r="R1021">
        <v>0</v>
      </c>
      <c r="S1021" s="6">
        <v>0</v>
      </c>
      <c r="T1021">
        <v>0</v>
      </c>
      <c r="U1021" s="6">
        <v>2830</v>
      </c>
      <c r="V1021">
        <v>0</v>
      </c>
      <c r="W1021">
        <v>0</v>
      </c>
      <c r="X1021">
        <v>1</v>
      </c>
      <c r="Y1021" s="6">
        <v>32.299999999999997</v>
      </c>
      <c r="Z1021">
        <v>3.5000000000000003E-2</v>
      </c>
      <c r="AA1021">
        <v>8.5999999999999993E-2</v>
      </c>
      <c r="AB1021">
        <v>2.1999999999999999E-2</v>
      </c>
      <c r="AC1021">
        <v>5</v>
      </c>
      <c r="AD1021" s="6">
        <v>51</v>
      </c>
      <c r="AE1021" s="6">
        <v>0</v>
      </c>
      <c r="AF1021" s="6">
        <v>0</v>
      </c>
      <c r="AG1021" s="6">
        <v>60.93</v>
      </c>
      <c r="AH1021" s="6">
        <v>77.37</v>
      </c>
      <c r="AI1021" s="6">
        <f t="shared" si="30"/>
        <v>16.440000000000005</v>
      </c>
      <c r="AJ1021" s="5">
        <f t="shared" si="31"/>
        <v>0.2124854594804188</v>
      </c>
    </row>
    <row r="1022" spans="1:36">
      <c r="A1022" t="s">
        <v>277</v>
      </c>
      <c r="B1022" t="s">
        <v>1307</v>
      </c>
      <c r="C1022" t="s">
        <v>82</v>
      </c>
      <c r="D1022" t="s">
        <v>72</v>
      </c>
      <c r="E1022" t="s">
        <v>55</v>
      </c>
      <c r="F1022">
        <v>0</v>
      </c>
      <c r="G1022">
        <v>955</v>
      </c>
      <c r="H1022">
        <v>1.22</v>
      </c>
      <c r="I1022" t="s">
        <v>173</v>
      </c>
      <c r="J1022">
        <v>1</v>
      </c>
      <c r="K1022" s="6">
        <v>1.79</v>
      </c>
      <c r="L1022" t="s">
        <v>174</v>
      </c>
      <c r="M1022">
        <v>0</v>
      </c>
      <c r="N1022" t="s">
        <v>175</v>
      </c>
      <c r="O1022">
        <v>1</v>
      </c>
      <c r="P1022">
        <v>0</v>
      </c>
      <c r="Q1022" s="6">
        <v>39.1</v>
      </c>
      <c r="R1022">
        <v>1</v>
      </c>
      <c r="S1022" s="6">
        <v>1005</v>
      </c>
      <c r="T1022">
        <v>0</v>
      </c>
      <c r="U1022" s="6">
        <v>3035</v>
      </c>
      <c r="V1022">
        <v>0</v>
      </c>
      <c r="W1022">
        <v>0</v>
      </c>
      <c r="X1022">
        <v>0</v>
      </c>
      <c r="Y1022" s="6">
        <v>32.299999999999997</v>
      </c>
      <c r="Z1022">
        <v>3.5000000000000003E-2</v>
      </c>
      <c r="AA1022">
        <v>8.5999999999999993E-2</v>
      </c>
      <c r="AB1022">
        <v>2.1999999999999999E-2</v>
      </c>
      <c r="AC1022">
        <v>5</v>
      </c>
      <c r="AD1022" s="6">
        <v>51</v>
      </c>
      <c r="AE1022" s="6">
        <v>25</v>
      </c>
      <c r="AF1022" s="6">
        <v>0</v>
      </c>
      <c r="AG1022" s="6">
        <v>61.75</v>
      </c>
      <c r="AH1022" s="6">
        <v>80.95</v>
      </c>
      <c r="AI1022" s="6">
        <f t="shared" si="30"/>
        <v>19.200000000000003</v>
      </c>
      <c r="AJ1022" s="5">
        <f t="shared" si="31"/>
        <v>0.23718344657195803</v>
      </c>
    </row>
    <row r="1023" spans="1:36">
      <c r="A1023" t="s">
        <v>355</v>
      </c>
      <c r="B1023" t="s">
        <v>1308</v>
      </c>
      <c r="C1023" t="s">
        <v>82</v>
      </c>
      <c r="D1023" t="s">
        <v>72</v>
      </c>
      <c r="E1023" t="s">
        <v>55</v>
      </c>
      <c r="F1023">
        <v>0</v>
      </c>
      <c r="G1023">
        <v>955</v>
      </c>
      <c r="H1023">
        <v>1.22</v>
      </c>
      <c r="I1023" t="s">
        <v>173</v>
      </c>
      <c r="J1023">
        <v>1</v>
      </c>
      <c r="K1023" s="6">
        <v>1.84</v>
      </c>
      <c r="L1023" t="s">
        <v>174</v>
      </c>
      <c r="M1023">
        <v>0</v>
      </c>
      <c r="N1023" t="s">
        <v>175</v>
      </c>
      <c r="O1023">
        <v>1</v>
      </c>
      <c r="P1023">
        <v>0</v>
      </c>
      <c r="Q1023" s="6">
        <v>26</v>
      </c>
      <c r="R1023">
        <v>0</v>
      </c>
      <c r="S1023" s="6">
        <v>0</v>
      </c>
      <c r="T1023">
        <v>0</v>
      </c>
      <c r="U1023" s="6">
        <v>1564</v>
      </c>
      <c r="V1023">
        <v>0</v>
      </c>
      <c r="W1023">
        <v>0</v>
      </c>
      <c r="X1023">
        <v>0</v>
      </c>
      <c r="Y1023" s="6">
        <v>32.299999999999997</v>
      </c>
      <c r="Z1023">
        <v>3.5000000000000003E-2</v>
      </c>
      <c r="AA1023">
        <v>8.5999999999999993E-2</v>
      </c>
      <c r="AB1023">
        <v>2.1999999999999999E-2</v>
      </c>
      <c r="AC1023">
        <v>5</v>
      </c>
      <c r="AD1023" s="6">
        <v>51</v>
      </c>
      <c r="AE1023" s="6">
        <v>0</v>
      </c>
      <c r="AF1023" s="6">
        <v>0</v>
      </c>
      <c r="AG1023" s="6">
        <v>58.19</v>
      </c>
      <c r="AH1023" s="6">
        <v>77.5</v>
      </c>
      <c r="AI1023" s="6">
        <f t="shared" si="30"/>
        <v>19.310000000000002</v>
      </c>
      <c r="AJ1023" s="5">
        <f t="shared" si="31"/>
        <v>0.24916129032258066</v>
      </c>
    </row>
    <row r="1024" spans="1:36">
      <c r="A1024" t="s">
        <v>343</v>
      </c>
      <c r="B1024" t="s">
        <v>1309</v>
      </c>
      <c r="C1024" t="s">
        <v>82</v>
      </c>
      <c r="D1024" t="s">
        <v>72</v>
      </c>
      <c r="E1024" t="s">
        <v>55</v>
      </c>
      <c r="F1024">
        <v>0</v>
      </c>
      <c r="G1024">
        <v>955</v>
      </c>
      <c r="H1024">
        <v>1</v>
      </c>
      <c r="I1024" t="s">
        <v>220</v>
      </c>
      <c r="J1024">
        <v>2</v>
      </c>
      <c r="K1024" s="6">
        <v>1.58</v>
      </c>
      <c r="L1024" t="s">
        <v>174</v>
      </c>
      <c r="M1024">
        <v>0</v>
      </c>
      <c r="N1024" t="s">
        <v>175</v>
      </c>
      <c r="O1024">
        <v>1</v>
      </c>
      <c r="P1024">
        <v>0</v>
      </c>
      <c r="Q1024" s="6">
        <v>26.6</v>
      </c>
      <c r="R1024">
        <v>1</v>
      </c>
      <c r="S1024" s="6">
        <v>530</v>
      </c>
      <c r="T1024">
        <v>0</v>
      </c>
      <c r="U1024" s="6">
        <v>3082</v>
      </c>
      <c r="V1024">
        <v>0</v>
      </c>
      <c r="W1024">
        <v>0</v>
      </c>
      <c r="X1024">
        <v>0</v>
      </c>
      <c r="Y1024" s="6">
        <v>32.299999999999997</v>
      </c>
      <c r="Z1024">
        <v>3.5000000000000003E-2</v>
      </c>
      <c r="AA1024">
        <v>8.5999999999999993E-2</v>
      </c>
      <c r="AB1024">
        <v>2.1999999999999999E-2</v>
      </c>
      <c r="AC1024">
        <v>5</v>
      </c>
      <c r="AD1024" s="6">
        <v>51</v>
      </c>
      <c r="AE1024" s="6">
        <v>25</v>
      </c>
      <c r="AF1024" s="6">
        <v>0</v>
      </c>
      <c r="AG1024" s="6">
        <v>52.05</v>
      </c>
      <c r="AH1024" s="6">
        <v>65.69</v>
      </c>
      <c r="AI1024" s="6">
        <f t="shared" si="30"/>
        <v>13.64</v>
      </c>
      <c r="AJ1024" s="5">
        <f t="shared" si="31"/>
        <v>0.20764195463540874</v>
      </c>
    </row>
    <row r="1025" spans="1:36">
      <c r="A1025" t="s">
        <v>384</v>
      </c>
      <c r="B1025" t="s">
        <v>1310</v>
      </c>
      <c r="C1025" t="s">
        <v>82</v>
      </c>
      <c r="D1025" t="s">
        <v>72</v>
      </c>
      <c r="E1025" t="s">
        <v>55</v>
      </c>
      <c r="F1025">
        <v>0</v>
      </c>
      <c r="G1025">
        <v>955</v>
      </c>
      <c r="H1025">
        <v>1.22</v>
      </c>
      <c r="I1025" t="s">
        <v>173</v>
      </c>
      <c r="J1025">
        <v>1</v>
      </c>
      <c r="K1025" s="6">
        <v>1.6</v>
      </c>
      <c r="L1025" t="s">
        <v>174</v>
      </c>
      <c r="M1025">
        <v>0</v>
      </c>
      <c r="N1025" t="s">
        <v>187</v>
      </c>
      <c r="O1025">
        <v>2</v>
      </c>
      <c r="P1025">
        <v>0</v>
      </c>
      <c r="Q1025" s="6">
        <v>53.9</v>
      </c>
      <c r="R1025">
        <v>0</v>
      </c>
      <c r="S1025" s="6">
        <v>0</v>
      </c>
      <c r="T1025">
        <v>0</v>
      </c>
      <c r="U1025" s="6">
        <v>1944</v>
      </c>
      <c r="V1025">
        <v>0</v>
      </c>
      <c r="W1025">
        <v>0</v>
      </c>
      <c r="X1025">
        <v>0</v>
      </c>
      <c r="Y1025" s="6">
        <v>32.299999999999997</v>
      </c>
      <c r="Z1025">
        <v>3.5000000000000003E-2</v>
      </c>
      <c r="AA1025">
        <v>8.5999999999999993E-2</v>
      </c>
      <c r="AB1025">
        <v>2.1999999999999999E-2</v>
      </c>
      <c r="AC1025">
        <v>5</v>
      </c>
      <c r="AD1025" s="6">
        <v>51</v>
      </c>
      <c r="AE1025" s="6">
        <v>0</v>
      </c>
      <c r="AF1025" s="6">
        <v>0</v>
      </c>
      <c r="AG1025" s="6">
        <v>62.52</v>
      </c>
      <c r="AH1025" s="6">
        <v>79.040000000000006</v>
      </c>
      <c r="AI1025" s="6">
        <f t="shared" si="30"/>
        <v>16.520000000000003</v>
      </c>
      <c r="AJ1025" s="5">
        <f t="shared" si="31"/>
        <v>0.20900809716599192</v>
      </c>
    </row>
    <row r="1026" spans="1:36">
      <c r="A1026" t="s">
        <v>210</v>
      </c>
      <c r="B1026" t="s">
        <v>1311</v>
      </c>
      <c r="C1026" t="s">
        <v>82</v>
      </c>
      <c r="D1026" t="s">
        <v>72</v>
      </c>
      <c r="E1026" t="s">
        <v>55</v>
      </c>
      <c r="F1026">
        <v>0</v>
      </c>
      <c r="G1026">
        <v>955</v>
      </c>
      <c r="H1026">
        <v>1</v>
      </c>
      <c r="I1026" t="s">
        <v>220</v>
      </c>
      <c r="J1026">
        <v>2</v>
      </c>
      <c r="K1026" s="6">
        <v>4.99</v>
      </c>
      <c r="L1026" t="s">
        <v>174</v>
      </c>
      <c r="M1026">
        <v>0</v>
      </c>
      <c r="N1026" t="s">
        <v>175</v>
      </c>
      <c r="O1026">
        <v>1</v>
      </c>
      <c r="P1026">
        <v>0</v>
      </c>
      <c r="Q1026" s="6">
        <v>32.200000000000003</v>
      </c>
      <c r="R1026">
        <v>0</v>
      </c>
      <c r="S1026" s="6">
        <v>0</v>
      </c>
      <c r="T1026">
        <v>0</v>
      </c>
      <c r="U1026" s="6">
        <v>932</v>
      </c>
      <c r="V1026">
        <v>0</v>
      </c>
      <c r="W1026">
        <v>0</v>
      </c>
      <c r="X1026">
        <v>0</v>
      </c>
      <c r="Y1026" s="6">
        <v>32.299999999999997</v>
      </c>
      <c r="Z1026">
        <v>3.5000000000000003E-2</v>
      </c>
      <c r="AA1026">
        <v>8.5999999999999993E-2</v>
      </c>
      <c r="AB1026">
        <v>2.1999999999999999E-2</v>
      </c>
      <c r="AC1026">
        <v>5</v>
      </c>
      <c r="AD1026" s="6">
        <v>51</v>
      </c>
      <c r="AE1026" s="6">
        <v>0</v>
      </c>
      <c r="AF1026" s="6">
        <v>0</v>
      </c>
      <c r="AG1026" s="6">
        <v>58.18</v>
      </c>
      <c r="AH1026" s="6">
        <v>76.02</v>
      </c>
      <c r="AI1026" s="6">
        <f t="shared" ref="AI1026:AI1089" si="32">AH1026-AG1026</f>
        <v>17.839999999999996</v>
      </c>
      <c r="AJ1026" s="5">
        <f t="shared" ref="AJ1026:AJ1089" si="33">IFERROR(AI1026/AH1026,0)</f>
        <v>0.23467508550381475</v>
      </c>
    </row>
    <row r="1027" spans="1:36">
      <c r="A1027" t="s">
        <v>298</v>
      </c>
      <c r="B1027" t="s">
        <v>1312</v>
      </c>
      <c r="C1027" t="s">
        <v>82</v>
      </c>
      <c r="D1027" t="s">
        <v>72</v>
      </c>
      <c r="E1027" t="s">
        <v>55</v>
      </c>
      <c r="F1027">
        <v>0</v>
      </c>
      <c r="G1027">
        <v>955</v>
      </c>
      <c r="H1027">
        <v>1.22</v>
      </c>
      <c r="I1027" t="s">
        <v>173</v>
      </c>
      <c r="J1027">
        <v>1</v>
      </c>
      <c r="K1027" s="6">
        <v>1.1299999999999999</v>
      </c>
      <c r="L1027" t="s">
        <v>174</v>
      </c>
      <c r="M1027">
        <v>0</v>
      </c>
      <c r="N1027" t="s">
        <v>182</v>
      </c>
      <c r="O1027">
        <v>3</v>
      </c>
      <c r="P1027">
        <v>0</v>
      </c>
      <c r="Q1027" s="6">
        <v>90</v>
      </c>
      <c r="R1027">
        <v>1</v>
      </c>
      <c r="S1027" s="6">
        <v>1280</v>
      </c>
      <c r="T1027">
        <v>0</v>
      </c>
      <c r="U1027" s="6">
        <v>630</v>
      </c>
      <c r="V1027">
        <v>0</v>
      </c>
      <c r="W1027">
        <v>0</v>
      </c>
      <c r="X1027">
        <v>0</v>
      </c>
      <c r="Y1027" s="6">
        <v>32.299999999999997</v>
      </c>
      <c r="Z1027">
        <v>3.5000000000000003E-2</v>
      </c>
      <c r="AA1027">
        <v>8.5999999999999993E-2</v>
      </c>
      <c r="AB1027">
        <v>2.1999999999999999E-2</v>
      </c>
      <c r="AC1027">
        <v>5</v>
      </c>
      <c r="AD1027" s="6">
        <v>51</v>
      </c>
      <c r="AE1027" s="6">
        <v>25</v>
      </c>
      <c r="AF1027" s="6">
        <v>0</v>
      </c>
      <c r="AG1027" s="6">
        <v>68.819999999999993</v>
      </c>
      <c r="AH1027" s="6">
        <v>87.73</v>
      </c>
      <c r="AI1027" s="6">
        <f t="shared" si="32"/>
        <v>18.910000000000011</v>
      </c>
      <c r="AJ1027" s="5">
        <f t="shared" si="33"/>
        <v>0.21554770318021213</v>
      </c>
    </row>
    <row r="1028" spans="1:36">
      <c r="A1028" t="s">
        <v>403</v>
      </c>
      <c r="B1028" t="s">
        <v>1313</v>
      </c>
      <c r="C1028" t="s">
        <v>82</v>
      </c>
      <c r="D1028" t="s">
        <v>72</v>
      </c>
      <c r="E1028" t="s">
        <v>55</v>
      </c>
      <c r="F1028">
        <v>0</v>
      </c>
      <c r="G1028">
        <v>955</v>
      </c>
      <c r="H1028">
        <v>1.22</v>
      </c>
      <c r="I1028" t="s">
        <v>173</v>
      </c>
      <c r="J1028">
        <v>1</v>
      </c>
      <c r="K1028" s="6">
        <v>0.99</v>
      </c>
      <c r="L1028" t="s">
        <v>174</v>
      </c>
      <c r="M1028">
        <v>0</v>
      </c>
      <c r="N1028" t="s">
        <v>175</v>
      </c>
      <c r="O1028">
        <v>1</v>
      </c>
      <c r="P1028">
        <v>0</v>
      </c>
      <c r="Q1028" s="6">
        <v>31.6</v>
      </c>
      <c r="R1028">
        <v>1</v>
      </c>
      <c r="S1028" s="6">
        <v>1780</v>
      </c>
      <c r="T1028">
        <v>0</v>
      </c>
      <c r="U1028" s="6">
        <v>3794</v>
      </c>
      <c r="V1028">
        <v>0</v>
      </c>
      <c r="W1028">
        <v>0</v>
      </c>
      <c r="X1028">
        <v>0</v>
      </c>
      <c r="Y1028" s="6">
        <v>32.299999999999997</v>
      </c>
      <c r="Z1028">
        <v>3.5000000000000003E-2</v>
      </c>
      <c r="AA1028">
        <v>8.5999999999999993E-2</v>
      </c>
      <c r="AB1028">
        <v>2.1999999999999999E-2</v>
      </c>
      <c r="AC1028">
        <v>5</v>
      </c>
      <c r="AD1028" s="6">
        <v>51</v>
      </c>
      <c r="AE1028" s="6">
        <v>25</v>
      </c>
      <c r="AF1028" s="6">
        <v>0</v>
      </c>
      <c r="AG1028" s="6">
        <v>59.97</v>
      </c>
      <c r="AH1028" s="6">
        <v>78.3</v>
      </c>
      <c r="AI1028" s="6">
        <f t="shared" si="32"/>
        <v>18.329999999999998</v>
      </c>
      <c r="AJ1028" s="5">
        <f t="shared" si="33"/>
        <v>0.23409961685823755</v>
      </c>
    </row>
    <row r="1029" spans="1:36">
      <c r="A1029" t="s">
        <v>436</v>
      </c>
      <c r="B1029" t="s">
        <v>1314</v>
      </c>
      <c r="C1029" t="s">
        <v>82</v>
      </c>
      <c r="D1029" t="s">
        <v>72</v>
      </c>
      <c r="E1029" t="s">
        <v>55</v>
      </c>
      <c r="F1029">
        <v>0</v>
      </c>
      <c r="G1029">
        <v>955</v>
      </c>
      <c r="H1029">
        <v>1.22</v>
      </c>
      <c r="I1029" t="s">
        <v>173</v>
      </c>
      <c r="J1029">
        <v>1</v>
      </c>
      <c r="K1029" s="6">
        <v>2.72</v>
      </c>
      <c r="L1029" t="s">
        <v>174</v>
      </c>
      <c r="M1029">
        <v>0</v>
      </c>
      <c r="N1029" t="s">
        <v>182</v>
      </c>
      <c r="O1029">
        <v>3</v>
      </c>
      <c r="P1029">
        <v>0</v>
      </c>
      <c r="Q1029" s="6">
        <v>110.9</v>
      </c>
      <c r="R1029">
        <v>0</v>
      </c>
      <c r="S1029" s="6">
        <v>0</v>
      </c>
      <c r="T1029">
        <v>0</v>
      </c>
      <c r="U1029" s="6">
        <v>1796</v>
      </c>
      <c r="V1029">
        <v>0</v>
      </c>
      <c r="W1029">
        <v>0</v>
      </c>
      <c r="X1029">
        <v>0</v>
      </c>
      <c r="Y1029" s="6">
        <v>32.299999999999997</v>
      </c>
      <c r="Z1029">
        <v>3.5000000000000003E-2</v>
      </c>
      <c r="AA1029">
        <v>8.5999999999999993E-2</v>
      </c>
      <c r="AB1029">
        <v>2.1999999999999999E-2</v>
      </c>
      <c r="AC1029">
        <v>5</v>
      </c>
      <c r="AD1029" s="6">
        <v>51</v>
      </c>
      <c r="AE1029" s="6">
        <v>0</v>
      </c>
      <c r="AF1029" s="6">
        <v>0</v>
      </c>
      <c r="AG1029" s="6">
        <v>66.63</v>
      </c>
      <c r="AH1029" s="6">
        <v>85.69</v>
      </c>
      <c r="AI1029" s="6">
        <f t="shared" si="32"/>
        <v>19.060000000000002</v>
      </c>
      <c r="AJ1029" s="5">
        <f t="shared" si="33"/>
        <v>0.22242968841171668</v>
      </c>
    </row>
    <row r="1030" spans="1:36">
      <c r="A1030" t="s">
        <v>255</v>
      </c>
      <c r="B1030" t="s">
        <v>1315</v>
      </c>
      <c r="C1030" t="s">
        <v>82</v>
      </c>
      <c r="D1030" t="s">
        <v>72</v>
      </c>
      <c r="E1030" t="s">
        <v>55</v>
      </c>
      <c r="F1030">
        <v>0</v>
      </c>
      <c r="G1030">
        <v>955</v>
      </c>
      <c r="H1030">
        <v>1.22</v>
      </c>
      <c r="I1030" t="s">
        <v>173</v>
      </c>
      <c r="J1030">
        <v>1</v>
      </c>
      <c r="K1030" s="6">
        <v>1.76</v>
      </c>
      <c r="L1030" t="s">
        <v>174</v>
      </c>
      <c r="M1030">
        <v>0</v>
      </c>
      <c r="N1030" t="s">
        <v>175</v>
      </c>
      <c r="O1030">
        <v>1</v>
      </c>
      <c r="P1030">
        <v>1</v>
      </c>
      <c r="Q1030" s="6">
        <v>26.6</v>
      </c>
      <c r="R1030">
        <v>0</v>
      </c>
      <c r="S1030" s="6">
        <v>0</v>
      </c>
      <c r="T1030">
        <v>0</v>
      </c>
      <c r="U1030" s="6">
        <v>2604</v>
      </c>
      <c r="V1030">
        <v>0</v>
      </c>
      <c r="W1030">
        <v>0</v>
      </c>
      <c r="X1030">
        <v>0</v>
      </c>
      <c r="Y1030" s="6">
        <v>32.299999999999997</v>
      </c>
      <c r="Z1030">
        <v>3.5000000000000003E-2</v>
      </c>
      <c r="AA1030">
        <v>8.5999999999999993E-2</v>
      </c>
      <c r="AB1030">
        <v>2.1999999999999999E-2</v>
      </c>
      <c r="AC1030">
        <v>5</v>
      </c>
      <c r="AD1030" s="6">
        <v>51</v>
      </c>
      <c r="AE1030" s="6">
        <v>0</v>
      </c>
      <c r="AF1030" s="6">
        <v>0</v>
      </c>
      <c r="AG1030" s="6">
        <v>74.78</v>
      </c>
      <c r="AH1030" s="6">
        <v>96.13</v>
      </c>
      <c r="AI1030" s="6">
        <f t="shared" si="32"/>
        <v>21.349999999999994</v>
      </c>
      <c r="AJ1030" s="5">
        <f t="shared" si="33"/>
        <v>0.22209507957973573</v>
      </c>
    </row>
    <row r="1031" spans="1:36">
      <c r="A1031" t="s">
        <v>236</v>
      </c>
      <c r="B1031" t="s">
        <v>1316</v>
      </c>
      <c r="C1031" t="s">
        <v>82</v>
      </c>
      <c r="D1031" t="s">
        <v>72</v>
      </c>
      <c r="E1031" t="s">
        <v>55</v>
      </c>
      <c r="F1031">
        <v>0</v>
      </c>
      <c r="G1031">
        <v>955</v>
      </c>
      <c r="H1031">
        <v>1</v>
      </c>
      <c r="I1031" t="s">
        <v>181</v>
      </c>
      <c r="J1031">
        <v>3</v>
      </c>
      <c r="K1031" s="6">
        <v>4.33</v>
      </c>
      <c r="L1031" t="s">
        <v>174</v>
      </c>
      <c r="M1031">
        <v>0</v>
      </c>
      <c r="N1031" t="s">
        <v>175</v>
      </c>
      <c r="O1031">
        <v>1</v>
      </c>
      <c r="P1031">
        <v>0</v>
      </c>
      <c r="Q1031" s="6">
        <v>20.3</v>
      </c>
      <c r="R1031">
        <v>1</v>
      </c>
      <c r="S1031" s="6">
        <v>974</v>
      </c>
      <c r="T1031">
        <v>0</v>
      </c>
      <c r="U1031" s="6">
        <v>1555</v>
      </c>
      <c r="V1031">
        <v>0</v>
      </c>
      <c r="W1031">
        <v>0</v>
      </c>
      <c r="X1031">
        <v>0</v>
      </c>
      <c r="Y1031" s="6">
        <v>32.299999999999997</v>
      </c>
      <c r="Z1031">
        <v>3.5000000000000003E-2</v>
      </c>
      <c r="AA1031">
        <v>8.5999999999999993E-2</v>
      </c>
      <c r="AB1031">
        <v>2.1999999999999999E-2</v>
      </c>
      <c r="AC1031">
        <v>5</v>
      </c>
      <c r="AD1031" s="6">
        <v>61</v>
      </c>
      <c r="AE1031" s="6">
        <v>25</v>
      </c>
      <c r="AF1031" s="6">
        <v>0</v>
      </c>
      <c r="AG1031" s="6">
        <v>69.86</v>
      </c>
      <c r="AH1031" s="6">
        <v>91.06</v>
      </c>
      <c r="AI1031" s="6">
        <f t="shared" si="32"/>
        <v>21.200000000000003</v>
      </c>
      <c r="AJ1031" s="5">
        <f t="shared" si="33"/>
        <v>0.23281352954096202</v>
      </c>
    </row>
    <row r="1032" spans="1:36">
      <c r="A1032" t="s">
        <v>579</v>
      </c>
      <c r="B1032" t="s">
        <v>1317</v>
      </c>
      <c r="C1032" t="s">
        <v>82</v>
      </c>
      <c r="D1032" t="s">
        <v>72</v>
      </c>
      <c r="E1032" t="s">
        <v>55</v>
      </c>
      <c r="F1032">
        <v>0</v>
      </c>
      <c r="G1032">
        <v>955</v>
      </c>
      <c r="H1032">
        <v>1</v>
      </c>
      <c r="I1032" t="s">
        <v>173</v>
      </c>
      <c r="J1032">
        <v>1</v>
      </c>
      <c r="K1032" s="6">
        <v>1.57</v>
      </c>
      <c r="L1032" t="s">
        <v>174</v>
      </c>
      <c r="M1032">
        <v>0</v>
      </c>
      <c r="N1032" t="s">
        <v>175</v>
      </c>
      <c r="O1032">
        <v>1</v>
      </c>
      <c r="P1032">
        <v>0</v>
      </c>
      <c r="Q1032" s="6">
        <v>43.6</v>
      </c>
      <c r="R1032">
        <v>0</v>
      </c>
      <c r="S1032" s="6">
        <v>0</v>
      </c>
      <c r="T1032">
        <v>0</v>
      </c>
      <c r="U1032" s="6">
        <v>1614</v>
      </c>
      <c r="V1032">
        <v>0</v>
      </c>
      <c r="W1032">
        <v>0</v>
      </c>
      <c r="X1032">
        <v>0</v>
      </c>
      <c r="Y1032" s="6">
        <v>32.299999999999997</v>
      </c>
      <c r="Z1032">
        <v>3.5000000000000003E-2</v>
      </c>
      <c r="AA1032">
        <v>8.5999999999999993E-2</v>
      </c>
      <c r="AB1032">
        <v>2.1999999999999999E-2</v>
      </c>
      <c r="AC1032">
        <v>5</v>
      </c>
      <c r="AD1032" s="6">
        <v>51</v>
      </c>
      <c r="AE1032" s="6">
        <v>0</v>
      </c>
      <c r="AF1032" s="6">
        <v>0</v>
      </c>
      <c r="AG1032" s="6">
        <v>47.71</v>
      </c>
      <c r="AH1032" s="6">
        <v>60.7</v>
      </c>
      <c r="AI1032" s="6">
        <f t="shared" si="32"/>
        <v>12.990000000000002</v>
      </c>
      <c r="AJ1032" s="5">
        <f t="shared" si="33"/>
        <v>0.214003294892916</v>
      </c>
    </row>
    <row r="1033" spans="1:36">
      <c r="A1033" t="s">
        <v>348</v>
      </c>
      <c r="B1033" t="s">
        <v>1318</v>
      </c>
      <c r="C1033" t="s">
        <v>82</v>
      </c>
      <c r="D1033" t="s">
        <v>72</v>
      </c>
      <c r="E1033" t="s">
        <v>55</v>
      </c>
      <c r="F1033">
        <v>0</v>
      </c>
      <c r="G1033">
        <v>955</v>
      </c>
      <c r="H1033">
        <v>1.22</v>
      </c>
      <c r="I1033" t="s">
        <v>181</v>
      </c>
      <c r="J1033">
        <v>3</v>
      </c>
      <c r="K1033" s="6">
        <v>7.29</v>
      </c>
      <c r="L1033" t="s">
        <v>174</v>
      </c>
      <c r="M1033">
        <v>0</v>
      </c>
      <c r="N1033" t="s">
        <v>182</v>
      </c>
      <c r="O1033">
        <v>3</v>
      </c>
      <c r="P1033">
        <v>0</v>
      </c>
      <c r="Q1033" s="6">
        <v>117.8</v>
      </c>
      <c r="R1033">
        <v>0</v>
      </c>
      <c r="S1033" s="6">
        <v>0</v>
      </c>
      <c r="T1033">
        <v>0</v>
      </c>
      <c r="U1033" s="6">
        <v>837</v>
      </c>
      <c r="V1033">
        <v>0</v>
      </c>
      <c r="W1033">
        <v>0</v>
      </c>
      <c r="X1033">
        <v>0</v>
      </c>
      <c r="Y1033" s="6">
        <v>32.299999999999997</v>
      </c>
      <c r="Z1033">
        <v>3.5000000000000003E-2</v>
      </c>
      <c r="AA1033">
        <v>8.5999999999999993E-2</v>
      </c>
      <c r="AB1033">
        <v>2.1999999999999999E-2</v>
      </c>
      <c r="AC1033">
        <v>5</v>
      </c>
      <c r="AD1033" s="6">
        <v>61</v>
      </c>
      <c r="AE1033" s="6">
        <v>0</v>
      </c>
      <c r="AF1033" s="6">
        <v>0</v>
      </c>
      <c r="AG1033" s="6">
        <v>88.33</v>
      </c>
      <c r="AH1033" s="6">
        <v>112.59</v>
      </c>
      <c r="AI1033" s="6">
        <f t="shared" si="32"/>
        <v>24.260000000000005</v>
      </c>
      <c r="AJ1033" s="5">
        <f t="shared" si="33"/>
        <v>0.21547206679101166</v>
      </c>
    </row>
    <row r="1034" spans="1:36">
      <c r="A1034" t="s">
        <v>188</v>
      </c>
      <c r="B1034" t="s">
        <v>1319</v>
      </c>
      <c r="C1034" t="s">
        <v>82</v>
      </c>
      <c r="D1034" t="s">
        <v>72</v>
      </c>
      <c r="E1034" t="s">
        <v>55</v>
      </c>
      <c r="F1034">
        <v>0</v>
      </c>
      <c r="G1034">
        <v>955</v>
      </c>
      <c r="H1034">
        <v>1.22</v>
      </c>
      <c r="I1034" t="s">
        <v>220</v>
      </c>
      <c r="J1034">
        <v>2</v>
      </c>
      <c r="K1034" s="6">
        <v>4.1500000000000004</v>
      </c>
      <c r="L1034" t="s">
        <v>174</v>
      </c>
      <c r="M1034">
        <v>0</v>
      </c>
      <c r="N1034" t="s">
        <v>182</v>
      </c>
      <c r="O1034">
        <v>3</v>
      </c>
      <c r="P1034">
        <v>0</v>
      </c>
      <c r="Q1034" s="6">
        <v>103.8</v>
      </c>
      <c r="R1034">
        <v>0</v>
      </c>
      <c r="S1034" s="6">
        <v>0</v>
      </c>
      <c r="T1034">
        <v>0</v>
      </c>
      <c r="U1034" s="6">
        <v>2649</v>
      </c>
      <c r="V1034">
        <v>0</v>
      </c>
      <c r="W1034">
        <v>0</v>
      </c>
      <c r="X1034">
        <v>0</v>
      </c>
      <c r="Y1034" s="6">
        <v>32.299999999999997</v>
      </c>
      <c r="Z1034">
        <v>3.5000000000000003E-2</v>
      </c>
      <c r="AA1034">
        <v>8.5999999999999993E-2</v>
      </c>
      <c r="AB1034">
        <v>2.1999999999999999E-2</v>
      </c>
      <c r="AC1034">
        <v>5</v>
      </c>
      <c r="AD1034" s="6">
        <v>51</v>
      </c>
      <c r="AE1034" s="6">
        <v>0</v>
      </c>
      <c r="AF1034" s="6">
        <v>0</v>
      </c>
      <c r="AG1034" s="6">
        <v>79.94</v>
      </c>
      <c r="AH1034" s="6">
        <v>102.5</v>
      </c>
      <c r="AI1034" s="6">
        <f t="shared" si="32"/>
        <v>22.560000000000002</v>
      </c>
      <c r="AJ1034" s="5">
        <f t="shared" si="33"/>
        <v>0.22009756097560979</v>
      </c>
    </row>
    <row r="1035" spans="1:36">
      <c r="A1035" t="s">
        <v>249</v>
      </c>
      <c r="B1035" t="s">
        <v>1320</v>
      </c>
      <c r="C1035" t="s">
        <v>82</v>
      </c>
      <c r="D1035" t="s">
        <v>72</v>
      </c>
      <c r="E1035" t="s">
        <v>55</v>
      </c>
      <c r="F1035">
        <v>0</v>
      </c>
      <c r="G1035">
        <v>955</v>
      </c>
      <c r="H1035">
        <v>1</v>
      </c>
      <c r="I1035" t="s">
        <v>220</v>
      </c>
      <c r="J1035">
        <v>2</v>
      </c>
      <c r="K1035" s="6">
        <v>2.83</v>
      </c>
      <c r="L1035" t="s">
        <v>174</v>
      </c>
      <c r="M1035">
        <v>0</v>
      </c>
      <c r="N1035" t="s">
        <v>175</v>
      </c>
      <c r="O1035">
        <v>1</v>
      </c>
      <c r="P1035">
        <v>0</v>
      </c>
      <c r="Q1035" s="6">
        <v>43</v>
      </c>
      <c r="R1035">
        <v>1</v>
      </c>
      <c r="S1035" s="6">
        <v>7645</v>
      </c>
      <c r="T1035">
        <v>0</v>
      </c>
      <c r="U1035" s="6">
        <v>984</v>
      </c>
      <c r="V1035">
        <v>0</v>
      </c>
      <c r="W1035">
        <v>0</v>
      </c>
      <c r="X1035">
        <v>0</v>
      </c>
      <c r="Y1035" s="6">
        <v>32.299999999999997</v>
      </c>
      <c r="Z1035">
        <v>3.5000000000000003E-2</v>
      </c>
      <c r="AA1035">
        <v>8.5999999999999993E-2</v>
      </c>
      <c r="AB1035">
        <v>2.1999999999999999E-2</v>
      </c>
      <c r="AC1035">
        <v>5</v>
      </c>
      <c r="AD1035" s="6">
        <v>51</v>
      </c>
      <c r="AE1035" s="6">
        <v>80</v>
      </c>
      <c r="AF1035" s="6">
        <v>0</v>
      </c>
      <c r="AG1035" s="6">
        <v>63.11</v>
      </c>
      <c r="AH1035" s="6">
        <v>81.040000000000006</v>
      </c>
      <c r="AI1035" s="6">
        <f t="shared" si="32"/>
        <v>17.930000000000007</v>
      </c>
      <c r="AJ1035" s="5">
        <f t="shared" si="33"/>
        <v>0.22124876604146107</v>
      </c>
    </row>
    <row r="1036" spans="1:36">
      <c r="A1036" t="s">
        <v>208</v>
      </c>
      <c r="B1036" t="s">
        <v>1321</v>
      </c>
      <c r="C1036" t="s">
        <v>82</v>
      </c>
      <c r="D1036" t="s">
        <v>72</v>
      </c>
      <c r="E1036" t="s">
        <v>55</v>
      </c>
      <c r="F1036">
        <v>0</v>
      </c>
      <c r="G1036">
        <v>955</v>
      </c>
      <c r="H1036">
        <v>1.22</v>
      </c>
      <c r="I1036" t="s">
        <v>173</v>
      </c>
      <c r="J1036">
        <v>1</v>
      </c>
      <c r="K1036" s="6">
        <v>1.68</v>
      </c>
      <c r="L1036" t="s">
        <v>174</v>
      </c>
      <c r="M1036">
        <v>0</v>
      </c>
      <c r="N1036" t="s">
        <v>217</v>
      </c>
      <c r="O1036">
        <v>4</v>
      </c>
      <c r="P1036">
        <v>1</v>
      </c>
      <c r="Q1036" s="6">
        <v>202.2</v>
      </c>
      <c r="R1036">
        <v>0</v>
      </c>
      <c r="S1036" s="6">
        <v>0</v>
      </c>
      <c r="T1036">
        <v>0</v>
      </c>
      <c r="U1036" s="6">
        <v>1431</v>
      </c>
      <c r="V1036">
        <v>0</v>
      </c>
      <c r="W1036">
        <v>0</v>
      </c>
      <c r="X1036">
        <v>0</v>
      </c>
      <c r="Y1036" s="6">
        <v>32.299999999999997</v>
      </c>
      <c r="Z1036">
        <v>3.5000000000000003E-2</v>
      </c>
      <c r="AA1036">
        <v>8.5999999999999993E-2</v>
      </c>
      <c r="AB1036">
        <v>2.1999999999999999E-2</v>
      </c>
      <c r="AC1036">
        <v>5</v>
      </c>
      <c r="AD1036" s="6">
        <v>51</v>
      </c>
      <c r="AE1036" s="6">
        <v>0</v>
      </c>
      <c r="AF1036" s="6">
        <v>0</v>
      </c>
      <c r="AG1036" s="6">
        <v>111.99</v>
      </c>
      <c r="AH1036" s="6">
        <v>143.11000000000001</v>
      </c>
      <c r="AI1036" s="6">
        <f t="shared" si="32"/>
        <v>31.120000000000019</v>
      </c>
      <c r="AJ1036" s="5">
        <f t="shared" si="33"/>
        <v>0.21745510446509689</v>
      </c>
    </row>
    <row r="1037" spans="1:36">
      <c r="A1037" t="s">
        <v>316</v>
      </c>
      <c r="B1037" t="s">
        <v>1322</v>
      </c>
      <c r="C1037" t="s">
        <v>82</v>
      </c>
      <c r="D1037" t="s">
        <v>72</v>
      </c>
      <c r="E1037" t="s">
        <v>55</v>
      </c>
      <c r="F1037">
        <v>0</v>
      </c>
      <c r="G1037">
        <v>955</v>
      </c>
      <c r="H1037">
        <v>1.22</v>
      </c>
      <c r="I1037" t="s">
        <v>220</v>
      </c>
      <c r="J1037">
        <v>2</v>
      </c>
      <c r="K1037" s="6">
        <v>3.72</v>
      </c>
      <c r="L1037" t="s">
        <v>174</v>
      </c>
      <c r="M1037">
        <v>0</v>
      </c>
      <c r="N1037" t="s">
        <v>182</v>
      </c>
      <c r="O1037">
        <v>3</v>
      </c>
      <c r="P1037">
        <v>0</v>
      </c>
      <c r="Q1037" s="6">
        <v>82.7</v>
      </c>
      <c r="R1037">
        <v>1</v>
      </c>
      <c r="S1037" s="6">
        <v>1761</v>
      </c>
      <c r="T1037">
        <v>0</v>
      </c>
      <c r="U1037" s="6">
        <v>1542</v>
      </c>
      <c r="V1037">
        <v>0</v>
      </c>
      <c r="W1037">
        <v>0</v>
      </c>
      <c r="X1037">
        <v>1</v>
      </c>
      <c r="Y1037" s="6">
        <v>32.299999999999997</v>
      </c>
      <c r="Z1037">
        <v>3.5000000000000003E-2</v>
      </c>
      <c r="AA1037">
        <v>8.5999999999999993E-2</v>
      </c>
      <c r="AB1037">
        <v>2.1999999999999999E-2</v>
      </c>
      <c r="AC1037">
        <v>5</v>
      </c>
      <c r="AD1037" s="6">
        <v>51</v>
      </c>
      <c r="AE1037" s="6">
        <v>25</v>
      </c>
      <c r="AF1037" s="6">
        <v>0</v>
      </c>
      <c r="AG1037" s="6">
        <v>72.709999999999994</v>
      </c>
      <c r="AH1037" s="6">
        <v>92.07</v>
      </c>
      <c r="AI1037" s="6">
        <f t="shared" si="32"/>
        <v>19.36</v>
      </c>
      <c r="AJ1037" s="5">
        <f t="shared" si="33"/>
        <v>0.21027479091995221</v>
      </c>
    </row>
    <row r="1038" spans="1:36">
      <c r="A1038" t="s">
        <v>313</v>
      </c>
      <c r="B1038" t="s">
        <v>1323</v>
      </c>
      <c r="C1038" t="s">
        <v>82</v>
      </c>
      <c r="D1038" t="s">
        <v>72</v>
      </c>
      <c r="E1038" t="s">
        <v>55</v>
      </c>
      <c r="F1038">
        <v>0</v>
      </c>
      <c r="G1038">
        <v>955</v>
      </c>
      <c r="H1038">
        <v>1.22</v>
      </c>
      <c r="I1038" t="s">
        <v>173</v>
      </c>
      <c r="J1038">
        <v>1</v>
      </c>
      <c r="K1038" s="6">
        <v>2.4900000000000002</v>
      </c>
      <c r="L1038" t="s">
        <v>174</v>
      </c>
      <c r="M1038">
        <v>0</v>
      </c>
      <c r="N1038" t="s">
        <v>175</v>
      </c>
      <c r="O1038">
        <v>1</v>
      </c>
      <c r="P1038">
        <v>0</v>
      </c>
      <c r="Q1038" s="6">
        <v>38.4</v>
      </c>
      <c r="R1038">
        <v>0</v>
      </c>
      <c r="S1038" s="6">
        <v>0</v>
      </c>
      <c r="T1038">
        <v>0</v>
      </c>
      <c r="U1038" s="6">
        <v>2155</v>
      </c>
      <c r="V1038">
        <v>0</v>
      </c>
      <c r="W1038">
        <v>0</v>
      </c>
      <c r="X1038">
        <v>0</v>
      </c>
      <c r="Y1038" s="6">
        <v>32.299999999999997</v>
      </c>
      <c r="Z1038">
        <v>3.5000000000000003E-2</v>
      </c>
      <c r="AA1038">
        <v>8.5999999999999993E-2</v>
      </c>
      <c r="AB1038">
        <v>2.1999999999999999E-2</v>
      </c>
      <c r="AC1038">
        <v>5</v>
      </c>
      <c r="AD1038" s="6">
        <v>51</v>
      </c>
      <c r="AE1038" s="6">
        <v>0</v>
      </c>
      <c r="AF1038" s="6">
        <v>0</v>
      </c>
      <c r="AG1038" s="6">
        <v>63.15</v>
      </c>
      <c r="AH1038" s="6">
        <v>78.959999999999994</v>
      </c>
      <c r="AI1038" s="6">
        <f t="shared" si="32"/>
        <v>15.809999999999995</v>
      </c>
      <c r="AJ1038" s="5">
        <f t="shared" si="33"/>
        <v>0.20022796352583583</v>
      </c>
    </row>
    <row r="1039" spans="1:36">
      <c r="A1039" t="s">
        <v>330</v>
      </c>
      <c r="B1039" t="s">
        <v>1324</v>
      </c>
      <c r="C1039" t="s">
        <v>82</v>
      </c>
      <c r="D1039" t="s">
        <v>72</v>
      </c>
      <c r="E1039" t="s">
        <v>55</v>
      </c>
      <c r="F1039">
        <v>0</v>
      </c>
      <c r="G1039">
        <v>955</v>
      </c>
      <c r="H1039">
        <v>1.22</v>
      </c>
      <c r="I1039" t="s">
        <v>220</v>
      </c>
      <c r="J1039">
        <v>2</v>
      </c>
      <c r="K1039" s="6">
        <v>3.28</v>
      </c>
      <c r="L1039" t="s">
        <v>174</v>
      </c>
      <c r="M1039">
        <v>0</v>
      </c>
      <c r="N1039" t="s">
        <v>175</v>
      </c>
      <c r="O1039">
        <v>1</v>
      </c>
      <c r="P1039">
        <v>0</v>
      </c>
      <c r="Q1039" s="6">
        <v>31.8</v>
      </c>
      <c r="R1039">
        <v>0</v>
      </c>
      <c r="S1039" s="6">
        <v>0</v>
      </c>
      <c r="T1039">
        <v>0</v>
      </c>
      <c r="U1039" s="6">
        <v>1895</v>
      </c>
      <c r="V1039">
        <v>0</v>
      </c>
      <c r="W1039">
        <v>0</v>
      </c>
      <c r="X1039">
        <v>0</v>
      </c>
      <c r="Y1039" s="6">
        <v>32.299999999999997</v>
      </c>
      <c r="Z1039">
        <v>3.5000000000000003E-2</v>
      </c>
      <c r="AA1039">
        <v>8.5999999999999993E-2</v>
      </c>
      <c r="AB1039">
        <v>2.1999999999999999E-2</v>
      </c>
      <c r="AC1039">
        <v>5</v>
      </c>
      <c r="AD1039" s="6">
        <v>51</v>
      </c>
      <c r="AE1039" s="6">
        <v>0</v>
      </c>
      <c r="AF1039" s="6">
        <v>0</v>
      </c>
      <c r="AG1039" s="6">
        <v>60.45</v>
      </c>
      <c r="AH1039" s="6">
        <v>79.83</v>
      </c>
      <c r="AI1039" s="6">
        <f t="shared" si="32"/>
        <v>19.379999999999995</v>
      </c>
      <c r="AJ1039" s="5">
        <f t="shared" si="33"/>
        <v>0.24276587748966549</v>
      </c>
    </row>
    <row r="1040" spans="1:36">
      <c r="A1040" t="s">
        <v>311</v>
      </c>
      <c r="B1040" t="s">
        <v>1325</v>
      </c>
      <c r="C1040" t="s">
        <v>82</v>
      </c>
      <c r="D1040" t="s">
        <v>72</v>
      </c>
      <c r="E1040" t="s">
        <v>55</v>
      </c>
      <c r="F1040">
        <v>0</v>
      </c>
      <c r="G1040">
        <v>955</v>
      </c>
      <c r="H1040">
        <v>1</v>
      </c>
      <c r="I1040" t="s">
        <v>220</v>
      </c>
      <c r="J1040">
        <v>2</v>
      </c>
      <c r="K1040" s="6">
        <v>5.87</v>
      </c>
      <c r="L1040" t="s">
        <v>174</v>
      </c>
      <c r="M1040">
        <v>0</v>
      </c>
      <c r="N1040" t="s">
        <v>175</v>
      </c>
      <c r="O1040">
        <v>1</v>
      </c>
      <c r="P1040">
        <v>0</v>
      </c>
      <c r="Q1040" s="6">
        <v>38</v>
      </c>
      <c r="R1040">
        <v>0</v>
      </c>
      <c r="S1040" s="6">
        <v>0</v>
      </c>
      <c r="T1040">
        <v>0</v>
      </c>
      <c r="U1040" s="6">
        <v>2493</v>
      </c>
      <c r="V1040">
        <v>0</v>
      </c>
      <c r="W1040">
        <v>0</v>
      </c>
      <c r="X1040">
        <v>0</v>
      </c>
      <c r="Y1040" s="6">
        <v>32.299999999999997</v>
      </c>
      <c r="Z1040">
        <v>3.5000000000000003E-2</v>
      </c>
      <c r="AA1040">
        <v>8.5999999999999993E-2</v>
      </c>
      <c r="AB1040">
        <v>2.1999999999999999E-2</v>
      </c>
      <c r="AC1040">
        <v>5</v>
      </c>
      <c r="AD1040" s="6">
        <v>51</v>
      </c>
      <c r="AE1040" s="6">
        <v>0</v>
      </c>
      <c r="AF1040" s="6">
        <v>0</v>
      </c>
      <c r="AG1040" s="6">
        <v>61.78</v>
      </c>
      <c r="AH1040" s="6">
        <v>78.47</v>
      </c>
      <c r="AI1040" s="6">
        <f t="shared" si="32"/>
        <v>16.689999999999998</v>
      </c>
      <c r="AJ1040" s="5">
        <f t="shared" si="33"/>
        <v>0.21269274882120554</v>
      </c>
    </row>
    <row r="1041" spans="1:36">
      <c r="A1041" t="s">
        <v>238</v>
      </c>
      <c r="B1041" t="s">
        <v>1326</v>
      </c>
      <c r="C1041" t="s">
        <v>82</v>
      </c>
      <c r="D1041" t="s">
        <v>72</v>
      </c>
      <c r="E1041" t="s">
        <v>55</v>
      </c>
      <c r="F1041">
        <v>0</v>
      </c>
      <c r="G1041">
        <v>955</v>
      </c>
      <c r="H1041">
        <v>1</v>
      </c>
      <c r="I1041" t="s">
        <v>178</v>
      </c>
      <c r="J1041">
        <v>4</v>
      </c>
      <c r="K1041" s="6">
        <v>13.57</v>
      </c>
      <c r="L1041" t="s">
        <v>174</v>
      </c>
      <c r="M1041">
        <v>0</v>
      </c>
      <c r="N1041" t="s">
        <v>175</v>
      </c>
      <c r="O1041">
        <v>1</v>
      </c>
      <c r="P1041">
        <v>0</v>
      </c>
      <c r="Q1041" s="6">
        <v>32.799999999999997</v>
      </c>
      <c r="R1041">
        <v>1</v>
      </c>
      <c r="S1041" s="6">
        <v>5897</v>
      </c>
      <c r="T1041">
        <v>0</v>
      </c>
      <c r="U1041" s="6">
        <v>2288</v>
      </c>
      <c r="V1041">
        <v>0</v>
      </c>
      <c r="W1041">
        <v>0</v>
      </c>
      <c r="X1041">
        <v>0</v>
      </c>
      <c r="Y1041" s="6">
        <v>32.299999999999997</v>
      </c>
      <c r="Z1041">
        <v>3.5000000000000003E-2</v>
      </c>
      <c r="AA1041">
        <v>8.5999999999999993E-2</v>
      </c>
      <c r="AB1041">
        <v>2.1999999999999999E-2</v>
      </c>
      <c r="AC1041">
        <v>5</v>
      </c>
      <c r="AD1041" s="6">
        <v>66</v>
      </c>
      <c r="AE1041" s="6">
        <v>80</v>
      </c>
      <c r="AF1041" s="6">
        <v>0</v>
      </c>
      <c r="AG1041" s="6">
        <v>121.96</v>
      </c>
      <c r="AH1041" s="6">
        <v>152.85</v>
      </c>
      <c r="AI1041" s="6">
        <f t="shared" si="32"/>
        <v>30.89</v>
      </c>
      <c r="AJ1041" s="5">
        <f t="shared" si="33"/>
        <v>0.2020935557736343</v>
      </c>
    </row>
    <row r="1042" spans="1:36">
      <c r="A1042" t="s">
        <v>691</v>
      </c>
      <c r="B1042" t="s">
        <v>1327</v>
      </c>
      <c r="C1042" t="s">
        <v>82</v>
      </c>
      <c r="D1042" t="s">
        <v>72</v>
      </c>
      <c r="E1042" t="s">
        <v>55</v>
      </c>
      <c r="F1042">
        <v>0</v>
      </c>
      <c r="G1042">
        <v>955</v>
      </c>
      <c r="H1042">
        <v>1.22</v>
      </c>
      <c r="I1042" t="s">
        <v>173</v>
      </c>
      <c r="J1042">
        <v>1</v>
      </c>
      <c r="K1042" s="6">
        <v>1.86</v>
      </c>
      <c r="L1042" t="s">
        <v>174</v>
      </c>
      <c r="M1042">
        <v>0</v>
      </c>
      <c r="N1042" t="s">
        <v>182</v>
      </c>
      <c r="O1042">
        <v>3</v>
      </c>
      <c r="P1042">
        <v>0</v>
      </c>
      <c r="Q1042" s="6">
        <v>108.3</v>
      </c>
      <c r="R1042">
        <v>0</v>
      </c>
      <c r="S1042" s="6">
        <v>0</v>
      </c>
      <c r="T1042">
        <v>0</v>
      </c>
      <c r="U1042" s="6">
        <v>643</v>
      </c>
      <c r="V1042">
        <v>0</v>
      </c>
      <c r="W1042">
        <v>0</v>
      </c>
      <c r="X1042">
        <v>0</v>
      </c>
      <c r="Y1042" s="6">
        <v>32.299999999999997</v>
      </c>
      <c r="Z1042">
        <v>3.5000000000000003E-2</v>
      </c>
      <c r="AA1042">
        <v>8.5999999999999993E-2</v>
      </c>
      <c r="AB1042">
        <v>2.1999999999999999E-2</v>
      </c>
      <c r="AC1042">
        <v>5</v>
      </c>
      <c r="AD1042" s="6">
        <v>51</v>
      </c>
      <c r="AE1042" s="6">
        <v>0</v>
      </c>
      <c r="AF1042" s="6">
        <v>0</v>
      </c>
      <c r="AG1042" s="6">
        <v>67.92</v>
      </c>
      <c r="AH1042" s="6">
        <v>84.95</v>
      </c>
      <c r="AI1042" s="6">
        <f t="shared" si="32"/>
        <v>17.03</v>
      </c>
      <c r="AJ1042" s="5">
        <f t="shared" si="33"/>
        <v>0.20047086521483226</v>
      </c>
    </row>
    <row r="1043" spans="1:36">
      <c r="A1043" t="s">
        <v>381</v>
      </c>
      <c r="B1043" t="s">
        <v>1328</v>
      </c>
      <c r="C1043" t="s">
        <v>82</v>
      </c>
      <c r="D1043" t="s">
        <v>72</v>
      </c>
      <c r="E1043" t="s">
        <v>55</v>
      </c>
      <c r="F1043">
        <v>0</v>
      </c>
      <c r="G1043">
        <v>955</v>
      </c>
      <c r="H1043">
        <v>1</v>
      </c>
      <c r="I1043" t="s">
        <v>173</v>
      </c>
      <c r="J1043">
        <v>1</v>
      </c>
      <c r="K1043" s="6">
        <v>2.69</v>
      </c>
      <c r="L1043" t="s">
        <v>174</v>
      </c>
      <c r="M1043">
        <v>0</v>
      </c>
      <c r="N1043" t="s">
        <v>182</v>
      </c>
      <c r="O1043">
        <v>3</v>
      </c>
      <c r="P1043">
        <v>1</v>
      </c>
      <c r="Q1043" s="6">
        <v>119.1</v>
      </c>
      <c r="R1043">
        <v>0</v>
      </c>
      <c r="S1043" s="6">
        <v>0</v>
      </c>
      <c r="T1043">
        <v>0</v>
      </c>
      <c r="U1043" s="6">
        <v>481</v>
      </c>
      <c r="V1043">
        <v>1</v>
      </c>
      <c r="W1043">
        <v>0</v>
      </c>
      <c r="X1043">
        <v>0</v>
      </c>
      <c r="Y1043" s="6">
        <v>32.299999999999997</v>
      </c>
      <c r="Z1043">
        <v>3.5000000000000003E-2</v>
      </c>
      <c r="AA1043">
        <v>8.5999999999999993E-2</v>
      </c>
      <c r="AB1043">
        <v>2.1999999999999999E-2</v>
      </c>
      <c r="AC1043">
        <v>5</v>
      </c>
      <c r="AD1043" s="6">
        <v>51</v>
      </c>
      <c r="AE1043" s="6">
        <v>0</v>
      </c>
      <c r="AF1043" s="6">
        <v>0</v>
      </c>
      <c r="AG1043" s="6">
        <v>144.91999999999999</v>
      </c>
      <c r="AH1043" s="6">
        <v>184.21</v>
      </c>
      <c r="AI1043" s="6">
        <f t="shared" si="32"/>
        <v>39.29000000000002</v>
      </c>
      <c r="AJ1043" s="5">
        <f t="shared" si="33"/>
        <v>0.21328918082623102</v>
      </c>
    </row>
    <row r="1044" spans="1:36">
      <c r="A1044" t="s">
        <v>192</v>
      </c>
      <c r="B1044" t="s">
        <v>1329</v>
      </c>
      <c r="C1044" t="s">
        <v>82</v>
      </c>
      <c r="D1044" t="s">
        <v>72</v>
      </c>
      <c r="E1044" t="s">
        <v>55</v>
      </c>
      <c r="F1044">
        <v>0</v>
      </c>
      <c r="G1044">
        <v>955</v>
      </c>
      <c r="H1044">
        <v>1</v>
      </c>
      <c r="I1044" t="s">
        <v>220</v>
      </c>
      <c r="J1044">
        <v>2</v>
      </c>
      <c r="K1044" s="6">
        <v>2.67</v>
      </c>
      <c r="L1044" t="s">
        <v>174</v>
      </c>
      <c r="M1044">
        <v>0</v>
      </c>
      <c r="N1044" t="s">
        <v>272</v>
      </c>
      <c r="O1044">
        <v>5</v>
      </c>
      <c r="P1044">
        <v>1</v>
      </c>
      <c r="Q1044" s="6">
        <v>218.8</v>
      </c>
      <c r="R1044">
        <v>0</v>
      </c>
      <c r="S1044" s="6">
        <v>0</v>
      </c>
      <c r="T1044">
        <v>0</v>
      </c>
      <c r="U1044" s="6">
        <v>2366</v>
      </c>
      <c r="V1044">
        <v>0</v>
      </c>
      <c r="W1044">
        <v>0</v>
      </c>
      <c r="X1044">
        <v>0</v>
      </c>
      <c r="Y1044" s="6">
        <v>32.299999999999997</v>
      </c>
      <c r="Z1044">
        <v>3.5000000000000003E-2</v>
      </c>
      <c r="AA1044">
        <v>8.5999999999999993E-2</v>
      </c>
      <c r="AB1044">
        <v>2.1999999999999999E-2</v>
      </c>
      <c r="AC1044">
        <v>5</v>
      </c>
      <c r="AD1044" s="6">
        <v>51</v>
      </c>
      <c r="AE1044" s="6">
        <v>0</v>
      </c>
      <c r="AF1044" s="6">
        <v>0</v>
      </c>
      <c r="AG1044" s="6">
        <v>154.44</v>
      </c>
      <c r="AH1044" s="6">
        <v>194.44</v>
      </c>
      <c r="AI1044" s="6">
        <f t="shared" si="32"/>
        <v>40</v>
      </c>
      <c r="AJ1044" s="5">
        <f t="shared" si="33"/>
        <v>0.20571898786257972</v>
      </c>
    </row>
    <row r="1045" spans="1:36">
      <c r="A1045" t="s">
        <v>225</v>
      </c>
      <c r="B1045" t="s">
        <v>1330</v>
      </c>
      <c r="C1045" t="s">
        <v>82</v>
      </c>
      <c r="D1045" t="s">
        <v>72</v>
      </c>
      <c r="E1045" t="s">
        <v>55</v>
      </c>
      <c r="F1045">
        <v>0</v>
      </c>
      <c r="G1045">
        <v>955</v>
      </c>
      <c r="H1045">
        <v>1.22</v>
      </c>
      <c r="I1045" t="s">
        <v>220</v>
      </c>
      <c r="J1045">
        <v>2</v>
      </c>
      <c r="K1045" s="6">
        <v>5.66</v>
      </c>
      <c r="L1045" t="s">
        <v>174</v>
      </c>
      <c r="M1045">
        <v>0</v>
      </c>
      <c r="N1045" t="s">
        <v>187</v>
      </c>
      <c r="O1045">
        <v>2</v>
      </c>
      <c r="P1045">
        <v>0</v>
      </c>
      <c r="Q1045" s="6">
        <v>54.2</v>
      </c>
      <c r="R1045">
        <v>0</v>
      </c>
      <c r="S1045" s="6">
        <v>0</v>
      </c>
      <c r="T1045">
        <v>0</v>
      </c>
      <c r="U1045" s="6">
        <v>1528</v>
      </c>
      <c r="V1045">
        <v>0</v>
      </c>
      <c r="W1045">
        <v>0</v>
      </c>
      <c r="X1045">
        <v>0</v>
      </c>
      <c r="Y1045" s="6">
        <v>32.299999999999997</v>
      </c>
      <c r="Z1045">
        <v>3.5000000000000003E-2</v>
      </c>
      <c r="AA1045">
        <v>8.5999999999999993E-2</v>
      </c>
      <c r="AB1045">
        <v>2.1999999999999999E-2</v>
      </c>
      <c r="AC1045">
        <v>5</v>
      </c>
      <c r="AD1045" s="6">
        <v>51</v>
      </c>
      <c r="AE1045" s="6">
        <v>0</v>
      </c>
      <c r="AF1045" s="6">
        <v>0</v>
      </c>
      <c r="AG1045" s="6">
        <v>68.06</v>
      </c>
      <c r="AH1045" s="6">
        <v>86.23</v>
      </c>
      <c r="AI1045" s="6">
        <f t="shared" si="32"/>
        <v>18.170000000000002</v>
      </c>
      <c r="AJ1045" s="5">
        <f t="shared" si="33"/>
        <v>0.21071552823843212</v>
      </c>
    </row>
    <row r="1046" spans="1:36">
      <c r="A1046" t="s">
        <v>206</v>
      </c>
      <c r="B1046" t="s">
        <v>1331</v>
      </c>
      <c r="C1046" t="s">
        <v>82</v>
      </c>
      <c r="D1046" t="s">
        <v>72</v>
      </c>
      <c r="E1046" t="s">
        <v>55</v>
      </c>
      <c r="F1046">
        <v>0</v>
      </c>
      <c r="G1046">
        <v>955</v>
      </c>
      <c r="H1046">
        <v>1.22</v>
      </c>
      <c r="I1046" t="s">
        <v>178</v>
      </c>
      <c r="J1046">
        <v>4</v>
      </c>
      <c r="K1046" s="6">
        <v>11.7</v>
      </c>
      <c r="L1046" t="s">
        <v>174</v>
      </c>
      <c r="M1046">
        <v>0</v>
      </c>
      <c r="N1046" t="s">
        <v>217</v>
      </c>
      <c r="O1046">
        <v>4</v>
      </c>
      <c r="P1046">
        <v>1</v>
      </c>
      <c r="Q1046" s="6">
        <v>172.1</v>
      </c>
      <c r="R1046">
        <v>0</v>
      </c>
      <c r="S1046" s="6">
        <v>0</v>
      </c>
      <c r="T1046">
        <v>0</v>
      </c>
      <c r="U1046" s="6">
        <v>2870</v>
      </c>
      <c r="V1046">
        <v>0</v>
      </c>
      <c r="W1046">
        <v>0</v>
      </c>
      <c r="X1046">
        <v>0</v>
      </c>
      <c r="Y1046" s="6">
        <v>32.299999999999997</v>
      </c>
      <c r="Z1046">
        <v>3.5000000000000003E-2</v>
      </c>
      <c r="AA1046">
        <v>8.5999999999999993E-2</v>
      </c>
      <c r="AB1046">
        <v>2.1999999999999999E-2</v>
      </c>
      <c r="AC1046">
        <v>5</v>
      </c>
      <c r="AD1046" s="6">
        <v>66</v>
      </c>
      <c r="AE1046" s="6">
        <v>0</v>
      </c>
      <c r="AF1046" s="6">
        <v>0</v>
      </c>
      <c r="AG1046" s="6">
        <v>174.95</v>
      </c>
      <c r="AH1046" s="6">
        <v>221.61</v>
      </c>
      <c r="AI1046" s="6">
        <f t="shared" si="32"/>
        <v>46.660000000000025</v>
      </c>
      <c r="AJ1046" s="5">
        <f t="shared" si="33"/>
        <v>0.21055006543026047</v>
      </c>
    </row>
    <row r="1047" spans="1:36">
      <c r="A1047" t="s">
        <v>330</v>
      </c>
      <c r="B1047" t="s">
        <v>1332</v>
      </c>
      <c r="C1047" t="s">
        <v>82</v>
      </c>
      <c r="D1047" t="s">
        <v>72</v>
      </c>
      <c r="E1047" t="s">
        <v>55</v>
      </c>
      <c r="F1047">
        <v>0</v>
      </c>
      <c r="G1047">
        <v>955</v>
      </c>
      <c r="H1047">
        <v>1.22</v>
      </c>
      <c r="I1047" t="s">
        <v>178</v>
      </c>
      <c r="J1047">
        <v>4</v>
      </c>
      <c r="K1047" s="6">
        <v>14.54</v>
      </c>
      <c r="L1047" t="s">
        <v>174</v>
      </c>
      <c r="M1047">
        <v>0</v>
      </c>
      <c r="N1047" t="s">
        <v>187</v>
      </c>
      <c r="O1047">
        <v>2</v>
      </c>
      <c r="P1047">
        <v>0</v>
      </c>
      <c r="Q1047" s="6">
        <v>38.700000000000003</v>
      </c>
      <c r="R1047">
        <v>0</v>
      </c>
      <c r="S1047" s="6">
        <v>0</v>
      </c>
      <c r="T1047">
        <v>0</v>
      </c>
      <c r="U1047" s="6">
        <v>3140</v>
      </c>
      <c r="V1047">
        <v>0</v>
      </c>
      <c r="W1047">
        <v>0</v>
      </c>
      <c r="X1047">
        <v>0</v>
      </c>
      <c r="Y1047" s="6">
        <v>32.299999999999997</v>
      </c>
      <c r="Z1047">
        <v>3.5000000000000003E-2</v>
      </c>
      <c r="AA1047">
        <v>8.5999999999999993E-2</v>
      </c>
      <c r="AB1047">
        <v>2.1999999999999999E-2</v>
      </c>
      <c r="AC1047">
        <v>5</v>
      </c>
      <c r="AD1047" s="6">
        <v>66</v>
      </c>
      <c r="AE1047" s="6">
        <v>0</v>
      </c>
      <c r="AF1047" s="6">
        <v>0</v>
      </c>
      <c r="AG1047" s="6">
        <v>134.26</v>
      </c>
      <c r="AH1047" s="6">
        <v>168.22</v>
      </c>
      <c r="AI1047" s="6">
        <f t="shared" si="32"/>
        <v>33.960000000000008</v>
      </c>
      <c r="AJ1047" s="5">
        <f t="shared" si="33"/>
        <v>0.20187849245036266</v>
      </c>
    </row>
    <row r="1048" spans="1:36">
      <c r="A1048" t="s">
        <v>436</v>
      </c>
      <c r="B1048" t="s">
        <v>1333</v>
      </c>
      <c r="C1048" t="s">
        <v>84</v>
      </c>
      <c r="D1048" t="s">
        <v>77</v>
      </c>
      <c r="E1048" t="s">
        <v>69</v>
      </c>
      <c r="F1048">
        <v>0</v>
      </c>
      <c r="G1048">
        <v>1669</v>
      </c>
      <c r="H1048">
        <v>1</v>
      </c>
      <c r="I1048" t="s">
        <v>173</v>
      </c>
      <c r="J1048">
        <v>1</v>
      </c>
      <c r="K1048" s="6">
        <v>2.5299999999999998</v>
      </c>
      <c r="L1048" t="s">
        <v>174</v>
      </c>
      <c r="M1048">
        <v>0</v>
      </c>
      <c r="N1048" t="s">
        <v>175</v>
      </c>
      <c r="O1048">
        <v>1</v>
      </c>
      <c r="P1048">
        <v>0</v>
      </c>
      <c r="Q1048" s="6">
        <v>24.5</v>
      </c>
      <c r="R1048">
        <v>0</v>
      </c>
      <c r="S1048" s="6">
        <v>0</v>
      </c>
      <c r="T1048">
        <v>0</v>
      </c>
      <c r="U1048" s="6">
        <v>1249</v>
      </c>
      <c r="V1048">
        <v>0</v>
      </c>
      <c r="W1048">
        <v>0</v>
      </c>
      <c r="X1048">
        <v>0</v>
      </c>
      <c r="Y1048" s="6">
        <v>51.3</v>
      </c>
      <c r="Z1048">
        <v>0.107</v>
      </c>
      <c r="AA1048">
        <v>0.12</v>
      </c>
      <c r="AB1048">
        <v>2.4E-2</v>
      </c>
      <c r="AC1048">
        <v>6</v>
      </c>
      <c r="AD1048" s="6">
        <v>50</v>
      </c>
      <c r="AE1048" s="6">
        <v>0</v>
      </c>
      <c r="AF1048" s="6">
        <v>0</v>
      </c>
      <c r="AG1048" s="6">
        <v>49.81</v>
      </c>
      <c r="AH1048" s="6">
        <v>63.47</v>
      </c>
      <c r="AI1048" s="6">
        <f t="shared" si="32"/>
        <v>13.659999999999997</v>
      </c>
      <c r="AJ1048" s="5">
        <f t="shared" si="33"/>
        <v>0.21521978887663459</v>
      </c>
    </row>
    <row r="1049" spans="1:36">
      <c r="A1049" t="s">
        <v>411</v>
      </c>
      <c r="B1049" t="s">
        <v>1334</v>
      </c>
      <c r="C1049" t="s">
        <v>84</v>
      </c>
      <c r="D1049" t="s">
        <v>77</v>
      </c>
      <c r="E1049" t="s">
        <v>69</v>
      </c>
      <c r="F1049">
        <v>0</v>
      </c>
      <c r="G1049">
        <v>1669</v>
      </c>
      <c r="H1049">
        <v>1</v>
      </c>
      <c r="I1049" t="s">
        <v>173</v>
      </c>
      <c r="J1049">
        <v>1</v>
      </c>
      <c r="K1049" s="6">
        <v>2.6</v>
      </c>
      <c r="L1049" t="s">
        <v>174</v>
      </c>
      <c r="M1049">
        <v>0</v>
      </c>
      <c r="N1049" t="s">
        <v>187</v>
      </c>
      <c r="O1049">
        <v>2</v>
      </c>
      <c r="P1049">
        <v>0</v>
      </c>
      <c r="Q1049" s="6">
        <v>85.9</v>
      </c>
      <c r="R1049">
        <v>0</v>
      </c>
      <c r="S1049" s="6">
        <v>0</v>
      </c>
      <c r="T1049">
        <v>0</v>
      </c>
      <c r="U1049" s="6">
        <v>2199</v>
      </c>
      <c r="V1049">
        <v>0</v>
      </c>
      <c r="W1049">
        <v>0</v>
      </c>
      <c r="X1049">
        <v>0</v>
      </c>
      <c r="Y1049" s="6">
        <v>51.3</v>
      </c>
      <c r="Z1049">
        <v>0.107</v>
      </c>
      <c r="AA1049">
        <v>0.12</v>
      </c>
      <c r="AB1049">
        <v>2.4E-2</v>
      </c>
      <c r="AC1049">
        <v>6</v>
      </c>
      <c r="AD1049" s="6">
        <v>50</v>
      </c>
      <c r="AE1049" s="6">
        <v>0</v>
      </c>
      <c r="AF1049" s="6">
        <v>0</v>
      </c>
      <c r="AG1049" s="6">
        <v>57.26</v>
      </c>
      <c r="AH1049" s="6">
        <v>72.739999999999995</v>
      </c>
      <c r="AI1049" s="6">
        <f t="shared" si="32"/>
        <v>15.479999999999997</v>
      </c>
      <c r="AJ1049" s="5">
        <f t="shared" si="33"/>
        <v>0.21281275776739067</v>
      </c>
    </row>
    <row r="1050" spans="1:36">
      <c r="A1050" t="s">
        <v>478</v>
      </c>
      <c r="B1050" t="s">
        <v>1335</v>
      </c>
      <c r="C1050" t="s">
        <v>84</v>
      </c>
      <c r="D1050" t="s">
        <v>77</v>
      </c>
      <c r="E1050" t="s">
        <v>69</v>
      </c>
      <c r="F1050">
        <v>0</v>
      </c>
      <c r="G1050">
        <v>1669</v>
      </c>
      <c r="H1050">
        <v>1</v>
      </c>
      <c r="I1050" t="s">
        <v>181</v>
      </c>
      <c r="J1050">
        <v>3</v>
      </c>
      <c r="K1050" s="6">
        <v>9.01</v>
      </c>
      <c r="L1050" t="s">
        <v>174</v>
      </c>
      <c r="M1050">
        <v>0</v>
      </c>
      <c r="N1050" t="s">
        <v>272</v>
      </c>
      <c r="O1050">
        <v>5</v>
      </c>
      <c r="P1050">
        <v>1</v>
      </c>
      <c r="Q1050" s="6">
        <v>241.8</v>
      </c>
      <c r="R1050">
        <v>0</v>
      </c>
      <c r="S1050" s="6">
        <v>0</v>
      </c>
      <c r="T1050">
        <v>0</v>
      </c>
      <c r="U1050" s="6">
        <v>2999</v>
      </c>
      <c r="V1050">
        <v>0</v>
      </c>
      <c r="W1050">
        <v>0</v>
      </c>
      <c r="X1050">
        <v>0</v>
      </c>
      <c r="Y1050" s="6">
        <v>51.3</v>
      </c>
      <c r="Z1050">
        <v>0.107</v>
      </c>
      <c r="AA1050">
        <v>0.12</v>
      </c>
      <c r="AB1050">
        <v>2.4E-2</v>
      </c>
      <c r="AC1050">
        <v>6</v>
      </c>
      <c r="AD1050" s="6">
        <v>60</v>
      </c>
      <c r="AE1050" s="6">
        <v>0</v>
      </c>
      <c r="AF1050" s="6">
        <v>0</v>
      </c>
      <c r="AG1050" s="6">
        <v>184.49</v>
      </c>
      <c r="AH1050" s="6">
        <v>230.96</v>
      </c>
      <c r="AI1050" s="6">
        <f t="shared" si="32"/>
        <v>46.47</v>
      </c>
      <c r="AJ1050" s="5">
        <f t="shared" si="33"/>
        <v>0.20120367163145131</v>
      </c>
    </row>
    <row r="1051" spans="1:36">
      <c r="A1051" t="s">
        <v>185</v>
      </c>
      <c r="B1051" t="s">
        <v>1336</v>
      </c>
      <c r="C1051" t="s">
        <v>84</v>
      </c>
      <c r="D1051" t="s">
        <v>77</v>
      </c>
      <c r="E1051" t="s">
        <v>69</v>
      </c>
      <c r="F1051">
        <v>0</v>
      </c>
      <c r="G1051">
        <v>1669</v>
      </c>
      <c r="H1051">
        <v>1</v>
      </c>
      <c r="I1051" t="s">
        <v>220</v>
      </c>
      <c r="J1051">
        <v>2</v>
      </c>
      <c r="K1051" s="6">
        <v>3.55</v>
      </c>
      <c r="L1051" t="s">
        <v>174</v>
      </c>
      <c r="M1051">
        <v>0</v>
      </c>
      <c r="N1051" t="s">
        <v>175</v>
      </c>
      <c r="O1051">
        <v>1</v>
      </c>
      <c r="P1051">
        <v>0</v>
      </c>
      <c r="Q1051" s="6">
        <v>29.7</v>
      </c>
      <c r="R1051">
        <v>0</v>
      </c>
      <c r="S1051" s="6">
        <v>0</v>
      </c>
      <c r="T1051">
        <v>0</v>
      </c>
      <c r="U1051" s="6">
        <v>3322</v>
      </c>
      <c r="V1051">
        <v>0</v>
      </c>
      <c r="W1051">
        <v>0</v>
      </c>
      <c r="X1051">
        <v>0</v>
      </c>
      <c r="Y1051" s="6">
        <v>51.3</v>
      </c>
      <c r="Z1051">
        <v>0.107</v>
      </c>
      <c r="AA1051">
        <v>0.12</v>
      </c>
      <c r="AB1051">
        <v>2.4E-2</v>
      </c>
      <c r="AC1051">
        <v>6</v>
      </c>
      <c r="AD1051" s="6">
        <v>50</v>
      </c>
      <c r="AE1051" s="6">
        <v>0</v>
      </c>
      <c r="AF1051" s="6">
        <v>0</v>
      </c>
      <c r="AG1051" s="6">
        <v>62.75</v>
      </c>
      <c r="AH1051" s="6">
        <v>78.91</v>
      </c>
      <c r="AI1051" s="6">
        <f t="shared" si="32"/>
        <v>16.159999999999997</v>
      </c>
      <c r="AJ1051" s="5">
        <f t="shared" si="33"/>
        <v>0.20479026739323275</v>
      </c>
    </row>
    <row r="1052" spans="1:36">
      <c r="A1052" t="s">
        <v>411</v>
      </c>
      <c r="B1052" t="s">
        <v>1337</v>
      </c>
      <c r="C1052" t="s">
        <v>84</v>
      </c>
      <c r="D1052" t="s">
        <v>77</v>
      </c>
      <c r="E1052" t="s">
        <v>69</v>
      </c>
      <c r="F1052">
        <v>0</v>
      </c>
      <c r="G1052">
        <v>1669</v>
      </c>
      <c r="H1052">
        <v>1</v>
      </c>
      <c r="I1052" t="s">
        <v>181</v>
      </c>
      <c r="J1052">
        <v>3</v>
      </c>
      <c r="K1052" s="6">
        <v>8.61</v>
      </c>
      <c r="L1052" t="s">
        <v>174</v>
      </c>
      <c r="M1052">
        <v>0</v>
      </c>
      <c r="N1052" t="s">
        <v>175</v>
      </c>
      <c r="O1052">
        <v>1</v>
      </c>
      <c r="P1052">
        <v>0</v>
      </c>
      <c r="Q1052" s="6">
        <v>20.5</v>
      </c>
      <c r="R1052">
        <v>0</v>
      </c>
      <c r="S1052" s="6">
        <v>0</v>
      </c>
      <c r="T1052">
        <v>0</v>
      </c>
      <c r="U1052" s="6">
        <v>1716</v>
      </c>
      <c r="V1052">
        <v>0</v>
      </c>
      <c r="W1052">
        <v>0</v>
      </c>
      <c r="X1052">
        <v>0</v>
      </c>
      <c r="Y1052" s="6">
        <v>51.3</v>
      </c>
      <c r="Z1052">
        <v>0.107</v>
      </c>
      <c r="AA1052">
        <v>0.12</v>
      </c>
      <c r="AB1052">
        <v>2.4E-2</v>
      </c>
      <c r="AC1052">
        <v>6</v>
      </c>
      <c r="AD1052" s="6">
        <v>60</v>
      </c>
      <c r="AE1052" s="6">
        <v>0</v>
      </c>
      <c r="AF1052" s="6">
        <v>0</v>
      </c>
      <c r="AG1052" s="6">
        <v>90.74</v>
      </c>
      <c r="AH1052" s="6">
        <v>114.47</v>
      </c>
      <c r="AI1052" s="6">
        <f t="shared" si="32"/>
        <v>23.730000000000004</v>
      </c>
      <c r="AJ1052" s="5">
        <f t="shared" si="33"/>
        <v>0.20730322355202241</v>
      </c>
    </row>
    <row r="1053" spans="1:36">
      <c r="A1053" t="s">
        <v>353</v>
      </c>
      <c r="B1053" t="s">
        <v>1338</v>
      </c>
      <c r="C1053" t="s">
        <v>84</v>
      </c>
      <c r="D1053" t="s">
        <v>77</v>
      </c>
      <c r="E1053" t="s">
        <v>69</v>
      </c>
      <c r="F1053">
        <v>0</v>
      </c>
      <c r="G1053">
        <v>1669</v>
      </c>
      <c r="H1053">
        <v>1</v>
      </c>
      <c r="I1053" t="s">
        <v>173</v>
      </c>
      <c r="J1053">
        <v>1</v>
      </c>
      <c r="K1053" s="6">
        <v>1.94</v>
      </c>
      <c r="L1053" t="s">
        <v>174</v>
      </c>
      <c r="M1053">
        <v>0</v>
      </c>
      <c r="N1053" t="s">
        <v>182</v>
      </c>
      <c r="O1053">
        <v>3</v>
      </c>
      <c r="P1053">
        <v>0</v>
      </c>
      <c r="Q1053" s="6">
        <v>87.5</v>
      </c>
      <c r="R1053">
        <v>0</v>
      </c>
      <c r="S1053" s="6">
        <v>0</v>
      </c>
      <c r="T1053">
        <v>0</v>
      </c>
      <c r="U1053" s="6">
        <v>4416</v>
      </c>
      <c r="V1053">
        <v>0</v>
      </c>
      <c r="W1053">
        <v>0</v>
      </c>
      <c r="X1053">
        <v>0</v>
      </c>
      <c r="Y1053" s="6">
        <v>51.3</v>
      </c>
      <c r="Z1053">
        <v>0.107</v>
      </c>
      <c r="AA1053">
        <v>0.12</v>
      </c>
      <c r="AB1053">
        <v>2.4E-2</v>
      </c>
      <c r="AC1053">
        <v>6</v>
      </c>
      <c r="AD1053" s="6">
        <v>50</v>
      </c>
      <c r="AE1053" s="6">
        <v>0</v>
      </c>
      <c r="AF1053" s="6">
        <v>0</v>
      </c>
      <c r="AG1053" s="6">
        <v>66.569999999999993</v>
      </c>
      <c r="AH1053" s="6">
        <v>88.18</v>
      </c>
      <c r="AI1053" s="6">
        <f t="shared" si="32"/>
        <v>21.610000000000014</v>
      </c>
      <c r="AJ1053" s="5">
        <f t="shared" si="33"/>
        <v>0.24506690859605365</v>
      </c>
    </row>
    <row r="1054" spans="1:36">
      <c r="A1054" t="s">
        <v>179</v>
      </c>
      <c r="B1054" t="s">
        <v>1339</v>
      </c>
      <c r="C1054" t="s">
        <v>84</v>
      </c>
      <c r="D1054" t="s">
        <v>77</v>
      </c>
      <c r="E1054" t="s">
        <v>69</v>
      </c>
      <c r="F1054">
        <v>0</v>
      </c>
      <c r="G1054">
        <v>1669</v>
      </c>
      <c r="H1054">
        <v>1</v>
      </c>
      <c r="I1054" t="s">
        <v>173</v>
      </c>
      <c r="J1054">
        <v>1</v>
      </c>
      <c r="K1054" s="6">
        <v>1.75</v>
      </c>
      <c r="L1054" t="s">
        <v>174</v>
      </c>
      <c r="M1054">
        <v>0</v>
      </c>
      <c r="N1054" t="s">
        <v>187</v>
      </c>
      <c r="O1054">
        <v>2</v>
      </c>
      <c r="P1054">
        <v>0</v>
      </c>
      <c r="Q1054" s="6">
        <v>46.1</v>
      </c>
      <c r="R1054">
        <v>0</v>
      </c>
      <c r="S1054" s="6">
        <v>0</v>
      </c>
      <c r="T1054">
        <v>0</v>
      </c>
      <c r="U1054" s="6">
        <v>3151</v>
      </c>
      <c r="V1054">
        <v>0</v>
      </c>
      <c r="W1054">
        <v>0</v>
      </c>
      <c r="X1054">
        <v>0</v>
      </c>
      <c r="Y1054" s="6">
        <v>51.3</v>
      </c>
      <c r="Z1054">
        <v>0.107</v>
      </c>
      <c r="AA1054">
        <v>0.12</v>
      </c>
      <c r="AB1054">
        <v>2.4E-2</v>
      </c>
      <c r="AC1054">
        <v>6</v>
      </c>
      <c r="AD1054" s="6">
        <v>50</v>
      </c>
      <c r="AE1054" s="6">
        <v>0</v>
      </c>
      <c r="AF1054" s="6">
        <v>0</v>
      </c>
      <c r="AG1054" s="6">
        <v>53.46</v>
      </c>
      <c r="AH1054" s="6">
        <v>68.03</v>
      </c>
      <c r="AI1054" s="6">
        <f t="shared" si="32"/>
        <v>14.57</v>
      </c>
      <c r="AJ1054" s="5">
        <f t="shared" si="33"/>
        <v>0.21417021902102013</v>
      </c>
    </row>
    <row r="1055" spans="1:36">
      <c r="A1055" t="s">
        <v>298</v>
      </c>
      <c r="B1055" t="s">
        <v>1340</v>
      </c>
      <c r="C1055" t="s">
        <v>84</v>
      </c>
      <c r="D1055" t="s">
        <v>77</v>
      </c>
      <c r="E1055" t="s">
        <v>69</v>
      </c>
      <c r="F1055">
        <v>0</v>
      </c>
      <c r="G1055">
        <v>1669</v>
      </c>
      <c r="H1055">
        <v>1</v>
      </c>
      <c r="I1055" t="s">
        <v>173</v>
      </c>
      <c r="J1055">
        <v>1</v>
      </c>
      <c r="K1055" s="6">
        <v>2.0299999999999998</v>
      </c>
      <c r="L1055" t="s">
        <v>174</v>
      </c>
      <c r="M1055">
        <v>0</v>
      </c>
      <c r="N1055" t="s">
        <v>182</v>
      </c>
      <c r="O1055">
        <v>3</v>
      </c>
      <c r="P1055">
        <v>0</v>
      </c>
      <c r="Q1055" s="6">
        <v>96.3</v>
      </c>
      <c r="R1055">
        <v>0</v>
      </c>
      <c r="S1055" s="6">
        <v>0</v>
      </c>
      <c r="T1055">
        <v>0</v>
      </c>
      <c r="U1055" s="6">
        <v>2972</v>
      </c>
      <c r="V1055">
        <v>0</v>
      </c>
      <c r="W1055">
        <v>0</v>
      </c>
      <c r="X1055">
        <v>0</v>
      </c>
      <c r="Y1055" s="6">
        <v>51.3</v>
      </c>
      <c r="Z1055">
        <v>0.107</v>
      </c>
      <c r="AA1055">
        <v>0.12</v>
      </c>
      <c r="AB1055">
        <v>2.4E-2</v>
      </c>
      <c r="AC1055">
        <v>6</v>
      </c>
      <c r="AD1055" s="6">
        <v>50</v>
      </c>
      <c r="AE1055" s="6">
        <v>0</v>
      </c>
      <c r="AF1055" s="6">
        <v>0</v>
      </c>
      <c r="AG1055" s="6">
        <v>64.91</v>
      </c>
      <c r="AH1055" s="6">
        <v>81.45</v>
      </c>
      <c r="AI1055" s="6">
        <f t="shared" si="32"/>
        <v>16.540000000000006</v>
      </c>
      <c r="AJ1055" s="5">
        <f t="shared" si="33"/>
        <v>0.20306936771025175</v>
      </c>
    </row>
    <row r="1056" spans="1:36">
      <c r="A1056" t="s">
        <v>381</v>
      </c>
      <c r="B1056" t="s">
        <v>1341</v>
      </c>
      <c r="C1056" t="s">
        <v>84</v>
      </c>
      <c r="D1056" t="s">
        <v>77</v>
      </c>
      <c r="E1056" t="s">
        <v>69</v>
      </c>
      <c r="F1056">
        <v>0</v>
      </c>
      <c r="G1056">
        <v>1669</v>
      </c>
      <c r="H1056">
        <v>1</v>
      </c>
      <c r="I1056" t="s">
        <v>173</v>
      </c>
      <c r="J1056">
        <v>1</v>
      </c>
      <c r="K1056" s="6">
        <v>2.73</v>
      </c>
      <c r="L1056" t="s">
        <v>174</v>
      </c>
      <c r="M1056">
        <v>0</v>
      </c>
      <c r="N1056" t="s">
        <v>272</v>
      </c>
      <c r="O1056">
        <v>5</v>
      </c>
      <c r="P1056">
        <v>1</v>
      </c>
      <c r="Q1056" s="6">
        <v>210.7</v>
      </c>
      <c r="R1056">
        <v>0</v>
      </c>
      <c r="S1056" s="6">
        <v>0</v>
      </c>
      <c r="T1056">
        <v>0</v>
      </c>
      <c r="U1056" s="6">
        <v>562</v>
      </c>
      <c r="V1056">
        <v>0</v>
      </c>
      <c r="W1056">
        <v>0</v>
      </c>
      <c r="X1056">
        <v>0</v>
      </c>
      <c r="Y1056" s="6">
        <v>51.3</v>
      </c>
      <c r="Z1056">
        <v>0.107</v>
      </c>
      <c r="AA1056">
        <v>0.12</v>
      </c>
      <c r="AB1056">
        <v>2.4E-2</v>
      </c>
      <c r="AC1056">
        <v>6</v>
      </c>
      <c r="AD1056" s="6">
        <v>50</v>
      </c>
      <c r="AE1056" s="6">
        <v>0</v>
      </c>
      <c r="AF1056" s="6">
        <v>0</v>
      </c>
      <c r="AG1056" s="6">
        <v>146.43</v>
      </c>
      <c r="AH1056" s="6">
        <v>187.33</v>
      </c>
      <c r="AI1056" s="6">
        <f t="shared" si="32"/>
        <v>40.900000000000006</v>
      </c>
      <c r="AJ1056" s="5">
        <f t="shared" si="33"/>
        <v>0.21833128703357713</v>
      </c>
    </row>
    <row r="1057" spans="1:36">
      <c r="A1057" t="s">
        <v>206</v>
      </c>
      <c r="B1057" t="s">
        <v>1342</v>
      </c>
      <c r="C1057" t="s">
        <v>84</v>
      </c>
      <c r="D1057" t="s">
        <v>77</v>
      </c>
      <c r="E1057" t="s">
        <v>69</v>
      </c>
      <c r="F1057">
        <v>0</v>
      </c>
      <c r="G1057">
        <v>1669</v>
      </c>
      <c r="H1057">
        <v>1</v>
      </c>
      <c r="I1057" t="s">
        <v>178</v>
      </c>
      <c r="J1057">
        <v>4</v>
      </c>
      <c r="K1057" s="6">
        <v>15.82</v>
      </c>
      <c r="L1057" t="s">
        <v>174</v>
      </c>
      <c r="M1057">
        <v>0</v>
      </c>
      <c r="N1057" t="s">
        <v>217</v>
      </c>
      <c r="O1057">
        <v>4</v>
      </c>
      <c r="P1057">
        <v>1</v>
      </c>
      <c r="Q1057" s="6">
        <v>125.8</v>
      </c>
      <c r="R1057">
        <v>0</v>
      </c>
      <c r="S1057" s="6">
        <v>0</v>
      </c>
      <c r="T1057">
        <v>0</v>
      </c>
      <c r="U1057" s="6">
        <v>3056</v>
      </c>
      <c r="V1057">
        <v>0</v>
      </c>
      <c r="W1057">
        <v>0</v>
      </c>
      <c r="X1057">
        <v>0</v>
      </c>
      <c r="Y1057" s="6">
        <v>51.3</v>
      </c>
      <c r="Z1057">
        <v>0.107</v>
      </c>
      <c r="AA1057">
        <v>0.12</v>
      </c>
      <c r="AB1057">
        <v>2.4E-2</v>
      </c>
      <c r="AC1057">
        <v>6</v>
      </c>
      <c r="AD1057" s="6">
        <v>65</v>
      </c>
      <c r="AE1057" s="6">
        <v>0</v>
      </c>
      <c r="AF1057" s="6">
        <v>0</v>
      </c>
      <c r="AG1057" s="6">
        <v>181.49</v>
      </c>
      <c r="AH1057" s="6">
        <v>227.58</v>
      </c>
      <c r="AI1057" s="6">
        <f t="shared" si="32"/>
        <v>46.09</v>
      </c>
      <c r="AJ1057" s="5">
        <f t="shared" si="33"/>
        <v>0.20252218999912119</v>
      </c>
    </row>
    <row r="1058" spans="1:36">
      <c r="A1058" t="s">
        <v>319</v>
      </c>
      <c r="B1058" t="s">
        <v>1343</v>
      </c>
      <c r="C1058" t="s">
        <v>84</v>
      </c>
      <c r="D1058" t="s">
        <v>77</v>
      </c>
      <c r="E1058" t="s">
        <v>69</v>
      </c>
      <c r="F1058">
        <v>0</v>
      </c>
      <c r="G1058">
        <v>1669</v>
      </c>
      <c r="H1058">
        <v>1</v>
      </c>
      <c r="I1058" t="s">
        <v>181</v>
      </c>
      <c r="J1058">
        <v>3</v>
      </c>
      <c r="K1058" s="6">
        <v>7.4</v>
      </c>
      <c r="L1058" t="s">
        <v>174</v>
      </c>
      <c r="M1058">
        <v>0</v>
      </c>
      <c r="N1058" t="s">
        <v>175</v>
      </c>
      <c r="O1058">
        <v>1</v>
      </c>
      <c r="P1058">
        <v>1</v>
      </c>
      <c r="Q1058" s="6">
        <v>40.700000000000003</v>
      </c>
      <c r="R1058">
        <v>0</v>
      </c>
      <c r="S1058" s="6">
        <v>0</v>
      </c>
      <c r="T1058">
        <v>0</v>
      </c>
      <c r="U1058" s="6">
        <v>2572</v>
      </c>
      <c r="V1058">
        <v>0</v>
      </c>
      <c r="W1058">
        <v>0</v>
      </c>
      <c r="X1058">
        <v>0</v>
      </c>
      <c r="Y1058" s="6">
        <v>51.3</v>
      </c>
      <c r="Z1058">
        <v>0.107</v>
      </c>
      <c r="AA1058">
        <v>0.12</v>
      </c>
      <c r="AB1058">
        <v>2.4E-2</v>
      </c>
      <c r="AC1058">
        <v>6</v>
      </c>
      <c r="AD1058" s="6">
        <v>60</v>
      </c>
      <c r="AE1058" s="6">
        <v>0</v>
      </c>
      <c r="AF1058" s="6">
        <v>0</v>
      </c>
      <c r="AG1058" s="6">
        <v>92.8</v>
      </c>
      <c r="AH1058" s="6">
        <v>118.87</v>
      </c>
      <c r="AI1058" s="6">
        <f t="shared" si="32"/>
        <v>26.070000000000007</v>
      </c>
      <c r="AJ1058" s="5">
        <f t="shared" si="33"/>
        <v>0.21931521830571218</v>
      </c>
    </row>
    <row r="1059" spans="1:36">
      <c r="A1059" t="s">
        <v>188</v>
      </c>
      <c r="B1059" t="s">
        <v>1344</v>
      </c>
      <c r="C1059" t="s">
        <v>84</v>
      </c>
      <c r="D1059" t="s">
        <v>77</v>
      </c>
      <c r="E1059" t="s">
        <v>69</v>
      </c>
      <c r="F1059">
        <v>0</v>
      </c>
      <c r="G1059">
        <v>1669</v>
      </c>
      <c r="H1059">
        <v>1</v>
      </c>
      <c r="I1059" t="s">
        <v>220</v>
      </c>
      <c r="J1059">
        <v>2</v>
      </c>
      <c r="K1059" s="6">
        <v>6.84</v>
      </c>
      <c r="L1059" t="s">
        <v>200</v>
      </c>
      <c r="M1059">
        <v>1</v>
      </c>
      <c r="N1059" t="s">
        <v>272</v>
      </c>
      <c r="O1059">
        <v>5</v>
      </c>
      <c r="P1059">
        <v>1</v>
      </c>
      <c r="Q1059" s="6">
        <v>216.6</v>
      </c>
      <c r="R1059">
        <v>0</v>
      </c>
      <c r="S1059" s="6">
        <v>0</v>
      </c>
      <c r="T1059">
        <v>0</v>
      </c>
      <c r="U1059" s="6">
        <v>1545</v>
      </c>
      <c r="V1059">
        <v>0</v>
      </c>
      <c r="W1059">
        <v>0</v>
      </c>
      <c r="X1059">
        <v>0</v>
      </c>
      <c r="Y1059" s="6">
        <v>51.3</v>
      </c>
      <c r="Z1059">
        <v>0.107</v>
      </c>
      <c r="AA1059">
        <v>0.12</v>
      </c>
      <c r="AB1059">
        <v>2.4E-2</v>
      </c>
      <c r="AC1059">
        <v>6</v>
      </c>
      <c r="AD1059" s="6">
        <v>119</v>
      </c>
      <c r="AE1059" s="6">
        <v>0</v>
      </c>
      <c r="AF1059" s="6">
        <v>0</v>
      </c>
      <c r="AG1059" s="6">
        <v>208.56</v>
      </c>
      <c r="AH1059" s="6">
        <v>264.39999999999998</v>
      </c>
      <c r="AI1059" s="6">
        <f t="shared" si="32"/>
        <v>55.839999999999975</v>
      </c>
      <c r="AJ1059" s="5">
        <f t="shared" si="33"/>
        <v>0.21119515885022686</v>
      </c>
    </row>
    <row r="1060" spans="1:36">
      <c r="A1060" t="s">
        <v>469</v>
      </c>
      <c r="B1060" t="s">
        <v>1345</v>
      </c>
      <c r="C1060" t="s">
        <v>84</v>
      </c>
      <c r="D1060" t="s">
        <v>77</v>
      </c>
      <c r="E1060" t="s">
        <v>69</v>
      </c>
      <c r="F1060">
        <v>0</v>
      </c>
      <c r="G1060">
        <v>1669</v>
      </c>
      <c r="H1060">
        <v>1</v>
      </c>
      <c r="I1060" t="s">
        <v>173</v>
      </c>
      <c r="J1060">
        <v>1</v>
      </c>
      <c r="K1060" s="6">
        <v>2.69</v>
      </c>
      <c r="L1060" t="s">
        <v>174</v>
      </c>
      <c r="M1060">
        <v>0</v>
      </c>
      <c r="N1060" t="s">
        <v>187</v>
      </c>
      <c r="O1060">
        <v>2</v>
      </c>
      <c r="P1060">
        <v>1</v>
      </c>
      <c r="Q1060" s="6">
        <v>87.7</v>
      </c>
      <c r="R1060">
        <v>0</v>
      </c>
      <c r="S1060" s="6">
        <v>0</v>
      </c>
      <c r="T1060">
        <v>0</v>
      </c>
      <c r="U1060" s="6">
        <v>1408</v>
      </c>
      <c r="V1060">
        <v>0</v>
      </c>
      <c r="W1060">
        <v>0</v>
      </c>
      <c r="X1060">
        <v>0</v>
      </c>
      <c r="Y1060" s="6">
        <v>51.3</v>
      </c>
      <c r="Z1060">
        <v>0.107</v>
      </c>
      <c r="AA1060">
        <v>0.12</v>
      </c>
      <c r="AB1060">
        <v>2.4E-2</v>
      </c>
      <c r="AC1060">
        <v>6</v>
      </c>
      <c r="AD1060" s="6">
        <v>50</v>
      </c>
      <c r="AE1060" s="6">
        <v>0</v>
      </c>
      <c r="AF1060" s="6">
        <v>0</v>
      </c>
      <c r="AG1060" s="6">
        <v>80.599999999999994</v>
      </c>
      <c r="AH1060" s="6">
        <v>100.78</v>
      </c>
      <c r="AI1060" s="6">
        <f t="shared" si="32"/>
        <v>20.180000000000007</v>
      </c>
      <c r="AJ1060" s="5">
        <f t="shared" si="33"/>
        <v>0.20023814248858907</v>
      </c>
    </row>
    <row r="1061" spans="1:36">
      <c r="A1061" t="s">
        <v>296</v>
      </c>
      <c r="B1061" t="s">
        <v>1346</v>
      </c>
      <c r="C1061" t="s">
        <v>84</v>
      </c>
      <c r="D1061" t="s">
        <v>77</v>
      </c>
      <c r="E1061" t="s">
        <v>69</v>
      </c>
      <c r="F1061">
        <v>0</v>
      </c>
      <c r="G1061">
        <v>1669</v>
      </c>
      <c r="H1061">
        <v>1</v>
      </c>
      <c r="I1061" t="s">
        <v>220</v>
      </c>
      <c r="J1061">
        <v>2</v>
      </c>
      <c r="K1061" s="6">
        <v>5.27</v>
      </c>
      <c r="L1061" t="s">
        <v>174</v>
      </c>
      <c r="M1061">
        <v>0</v>
      </c>
      <c r="N1061" t="s">
        <v>187</v>
      </c>
      <c r="O1061">
        <v>2</v>
      </c>
      <c r="P1061">
        <v>1</v>
      </c>
      <c r="Q1061" s="6">
        <v>61.4</v>
      </c>
      <c r="R1061">
        <v>0</v>
      </c>
      <c r="S1061" s="6">
        <v>0</v>
      </c>
      <c r="T1061">
        <v>0</v>
      </c>
      <c r="U1061" s="6">
        <v>1475</v>
      </c>
      <c r="V1061">
        <v>0</v>
      </c>
      <c r="W1061">
        <v>0</v>
      </c>
      <c r="X1061">
        <v>0</v>
      </c>
      <c r="Y1061" s="6">
        <v>51.3</v>
      </c>
      <c r="Z1061">
        <v>0.107</v>
      </c>
      <c r="AA1061">
        <v>0.12</v>
      </c>
      <c r="AB1061">
        <v>2.4E-2</v>
      </c>
      <c r="AC1061">
        <v>6</v>
      </c>
      <c r="AD1061" s="6">
        <v>50</v>
      </c>
      <c r="AE1061" s="6">
        <v>0</v>
      </c>
      <c r="AF1061" s="6">
        <v>0</v>
      </c>
      <c r="AG1061" s="6">
        <v>90.3</v>
      </c>
      <c r="AH1061" s="6">
        <v>116.77</v>
      </c>
      <c r="AI1061" s="6">
        <f t="shared" si="32"/>
        <v>26.47</v>
      </c>
      <c r="AJ1061" s="5">
        <f t="shared" si="33"/>
        <v>0.22668493619936628</v>
      </c>
    </row>
    <row r="1062" spans="1:36">
      <c r="A1062" t="s">
        <v>316</v>
      </c>
      <c r="B1062" t="s">
        <v>1347</v>
      </c>
      <c r="C1062" t="s">
        <v>84</v>
      </c>
      <c r="D1062" t="s">
        <v>77</v>
      </c>
      <c r="E1062" t="s">
        <v>69</v>
      </c>
      <c r="F1062">
        <v>0</v>
      </c>
      <c r="G1062">
        <v>1669</v>
      </c>
      <c r="H1062">
        <v>1</v>
      </c>
      <c r="I1062" t="s">
        <v>173</v>
      </c>
      <c r="J1062">
        <v>1</v>
      </c>
      <c r="K1062" s="6">
        <v>1.89</v>
      </c>
      <c r="L1062" t="s">
        <v>174</v>
      </c>
      <c r="M1062">
        <v>0</v>
      </c>
      <c r="N1062" t="s">
        <v>175</v>
      </c>
      <c r="O1062">
        <v>1</v>
      </c>
      <c r="P1062">
        <v>0</v>
      </c>
      <c r="Q1062" s="6">
        <v>45.3</v>
      </c>
      <c r="R1062">
        <v>0</v>
      </c>
      <c r="S1062" s="6">
        <v>0</v>
      </c>
      <c r="T1062">
        <v>0</v>
      </c>
      <c r="U1062" s="6">
        <v>1298</v>
      </c>
      <c r="V1062">
        <v>0</v>
      </c>
      <c r="W1062">
        <v>0</v>
      </c>
      <c r="X1062">
        <v>0</v>
      </c>
      <c r="Y1062" s="6">
        <v>51.3</v>
      </c>
      <c r="Z1062">
        <v>0.107</v>
      </c>
      <c r="AA1062">
        <v>0.12</v>
      </c>
      <c r="AB1062">
        <v>2.4E-2</v>
      </c>
      <c r="AC1062">
        <v>6</v>
      </c>
      <c r="AD1062" s="6">
        <v>50</v>
      </c>
      <c r="AE1062" s="6">
        <v>0</v>
      </c>
      <c r="AF1062" s="6">
        <v>0</v>
      </c>
      <c r="AG1062" s="6">
        <v>50.24</v>
      </c>
      <c r="AH1062" s="6">
        <v>66.44</v>
      </c>
      <c r="AI1062" s="6">
        <f t="shared" si="32"/>
        <v>16.199999999999996</v>
      </c>
      <c r="AJ1062" s="5">
        <f t="shared" si="33"/>
        <v>0.24382901866345569</v>
      </c>
    </row>
    <row r="1063" spans="1:36">
      <c r="A1063" t="s">
        <v>345</v>
      </c>
      <c r="B1063" t="s">
        <v>1348</v>
      </c>
      <c r="C1063" t="s">
        <v>84</v>
      </c>
      <c r="D1063" t="s">
        <v>77</v>
      </c>
      <c r="E1063" t="s">
        <v>69</v>
      </c>
      <c r="F1063">
        <v>0</v>
      </c>
      <c r="G1063">
        <v>1669</v>
      </c>
      <c r="H1063">
        <v>1</v>
      </c>
      <c r="I1063" t="s">
        <v>173</v>
      </c>
      <c r="J1063">
        <v>1</v>
      </c>
      <c r="K1063" s="6">
        <v>1.93</v>
      </c>
      <c r="L1063" t="s">
        <v>174</v>
      </c>
      <c r="M1063">
        <v>0</v>
      </c>
      <c r="N1063" t="s">
        <v>182</v>
      </c>
      <c r="O1063">
        <v>3</v>
      </c>
      <c r="P1063">
        <v>1</v>
      </c>
      <c r="Q1063" s="6">
        <v>40.700000000000003</v>
      </c>
      <c r="R1063">
        <v>0</v>
      </c>
      <c r="S1063" s="6">
        <v>0</v>
      </c>
      <c r="T1063">
        <v>0</v>
      </c>
      <c r="U1063" s="6">
        <v>3054</v>
      </c>
      <c r="V1063">
        <v>0</v>
      </c>
      <c r="W1063">
        <v>0</v>
      </c>
      <c r="X1063">
        <v>0</v>
      </c>
      <c r="Y1063" s="6">
        <v>51.3</v>
      </c>
      <c r="Z1063">
        <v>0.107</v>
      </c>
      <c r="AA1063">
        <v>0.12</v>
      </c>
      <c r="AB1063">
        <v>2.4E-2</v>
      </c>
      <c r="AC1063">
        <v>6</v>
      </c>
      <c r="AD1063" s="6">
        <v>50</v>
      </c>
      <c r="AE1063" s="6">
        <v>0</v>
      </c>
      <c r="AF1063" s="6">
        <v>0</v>
      </c>
      <c r="AG1063" s="6">
        <v>79.56</v>
      </c>
      <c r="AH1063" s="6">
        <v>101.65</v>
      </c>
      <c r="AI1063" s="6">
        <f t="shared" si="32"/>
        <v>22.090000000000003</v>
      </c>
      <c r="AJ1063" s="5">
        <f t="shared" si="33"/>
        <v>0.21731431382193805</v>
      </c>
    </row>
    <row r="1064" spans="1:36">
      <c r="A1064" t="s">
        <v>212</v>
      </c>
      <c r="B1064" t="s">
        <v>1349</v>
      </c>
      <c r="C1064" t="s">
        <v>84</v>
      </c>
      <c r="D1064" t="s">
        <v>77</v>
      </c>
      <c r="E1064" t="s">
        <v>69</v>
      </c>
      <c r="F1064">
        <v>0</v>
      </c>
      <c r="G1064">
        <v>1669</v>
      </c>
      <c r="H1064">
        <v>1</v>
      </c>
      <c r="I1064" t="s">
        <v>220</v>
      </c>
      <c r="J1064">
        <v>2</v>
      </c>
      <c r="K1064" s="6">
        <v>2.87</v>
      </c>
      <c r="L1064" t="s">
        <v>174</v>
      </c>
      <c r="M1064">
        <v>0</v>
      </c>
      <c r="N1064" t="s">
        <v>175</v>
      </c>
      <c r="O1064">
        <v>1</v>
      </c>
      <c r="P1064">
        <v>0</v>
      </c>
      <c r="Q1064" s="6">
        <v>35</v>
      </c>
      <c r="R1064">
        <v>0</v>
      </c>
      <c r="S1064" s="6">
        <v>0</v>
      </c>
      <c r="T1064">
        <v>0</v>
      </c>
      <c r="U1064" s="6">
        <v>1219</v>
      </c>
      <c r="V1064">
        <v>0</v>
      </c>
      <c r="W1064">
        <v>0</v>
      </c>
      <c r="X1064">
        <v>0</v>
      </c>
      <c r="Y1064" s="6">
        <v>51.3</v>
      </c>
      <c r="Z1064">
        <v>0.107</v>
      </c>
      <c r="AA1064">
        <v>0.12</v>
      </c>
      <c r="AB1064">
        <v>2.4E-2</v>
      </c>
      <c r="AC1064">
        <v>6</v>
      </c>
      <c r="AD1064" s="6">
        <v>50</v>
      </c>
      <c r="AE1064" s="6">
        <v>0</v>
      </c>
      <c r="AF1064" s="6">
        <v>0</v>
      </c>
      <c r="AG1064" s="6">
        <v>57.14</v>
      </c>
      <c r="AH1064" s="6">
        <v>72.16</v>
      </c>
      <c r="AI1064" s="6">
        <f t="shared" si="32"/>
        <v>15.019999999999996</v>
      </c>
      <c r="AJ1064" s="5">
        <f t="shared" si="33"/>
        <v>0.20814855875831481</v>
      </c>
    </row>
    <row r="1065" spans="1:36">
      <c r="A1065" t="s">
        <v>236</v>
      </c>
      <c r="B1065" t="s">
        <v>1350</v>
      </c>
      <c r="C1065" t="s">
        <v>84</v>
      </c>
      <c r="D1065" t="s">
        <v>77</v>
      </c>
      <c r="E1065" t="s">
        <v>69</v>
      </c>
      <c r="F1065">
        <v>0</v>
      </c>
      <c r="G1065">
        <v>1669</v>
      </c>
      <c r="H1065">
        <v>1</v>
      </c>
      <c r="I1065" t="s">
        <v>173</v>
      </c>
      <c r="J1065">
        <v>1</v>
      </c>
      <c r="K1065" s="6">
        <v>1.06</v>
      </c>
      <c r="L1065" t="s">
        <v>200</v>
      </c>
      <c r="M1065">
        <v>1</v>
      </c>
      <c r="N1065" t="s">
        <v>182</v>
      </c>
      <c r="O1065">
        <v>3</v>
      </c>
      <c r="P1065">
        <v>1</v>
      </c>
      <c r="Q1065" s="6">
        <v>99</v>
      </c>
      <c r="R1065">
        <v>0</v>
      </c>
      <c r="S1065" s="6">
        <v>0</v>
      </c>
      <c r="T1065">
        <v>0</v>
      </c>
      <c r="U1065" s="6">
        <v>846</v>
      </c>
      <c r="V1065">
        <v>0</v>
      </c>
      <c r="W1065">
        <v>0</v>
      </c>
      <c r="X1065">
        <v>0</v>
      </c>
      <c r="Y1065" s="6">
        <v>51.3</v>
      </c>
      <c r="Z1065">
        <v>0.107</v>
      </c>
      <c r="AA1065">
        <v>0.12</v>
      </c>
      <c r="AB1065">
        <v>2.4E-2</v>
      </c>
      <c r="AC1065">
        <v>6</v>
      </c>
      <c r="AD1065" s="6">
        <v>99</v>
      </c>
      <c r="AE1065" s="6">
        <v>0</v>
      </c>
      <c r="AF1065" s="6">
        <v>0</v>
      </c>
      <c r="AG1065" s="6">
        <v>122.04</v>
      </c>
      <c r="AH1065" s="6">
        <v>156.18</v>
      </c>
      <c r="AI1065" s="6">
        <f t="shared" si="32"/>
        <v>34.14</v>
      </c>
      <c r="AJ1065" s="5">
        <f t="shared" si="33"/>
        <v>0.21859393008067612</v>
      </c>
    </row>
    <row r="1066" spans="1:36">
      <c r="A1066" t="s">
        <v>176</v>
      </c>
      <c r="B1066" t="s">
        <v>1351</v>
      </c>
      <c r="C1066" t="s">
        <v>84</v>
      </c>
      <c r="D1066" t="s">
        <v>77</v>
      </c>
      <c r="E1066" t="s">
        <v>69</v>
      </c>
      <c r="F1066">
        <v>0</v>
      </c>
      <c r="G1066">
        <v>1669</v>
      </c>
      <c r="H1066">
        <v>1</v>
      </c>
      <c r="I1066" t="s">
        <v>173</v>
      </c>
      <c r="J1066">
        <v>1</v>
      </c>
      <c r="K1066" s="6">
        <v>2.39</v>
      </c>
      <c r="L1066" t="s">
        <v>200</v>
      </c>
      <c r="M1066">
        <v>1</v>
      </c>
      <c r="N1066" t="s">
        <v>182</v>
      </c>
      <c r="O1066">
        <v>3</v>
      </c>
      <c r="P1066">
        <v>0</v>
      </c>
      <c r="Q1066" s="6">
        <v>89.3</v>
      </c>
      <c r="R1066">
        <v>0</v>
      </c>
      <c r="S1066" s="6">
        <v>0</v>
      </c>
      <c r="T1066">
        <v>0</v>
      </c>
      <c r="U1066" s="6">
        <v>2135</v>
      </c>
      <c r="V1066">
        <v>0</v>
      </c>
      <c r="W1066">
        <v>0</v>
      </c>
      <c r="X1066">
        <v>0</v>
      </c>
      <c r="Y1066" s="6">
        <v>51.3</v>
      </c>
      <c r="Z1066">
        <v>0.107</v>
      </c>
      <c r="AA1066">
        <v>0.12</v>
      </c>
      <c r="AB1066">
        <v>2.4E-2</v>
      </c>
      <c r="AC1066">
        <v>6</v>
      </c>
      <c r="AD1066" s="6">
        <v>99</v>
      </c>
      <c r="AE1066" s="6">
        <v>0</v>
      </c>
      <c r="AF1066" s="6">
        <v>0</v>
      </c>
      <c r="AG1066" s="6">
        <v>93.45</v>
      </c>
      <c r="AH1066" s="6">
        <v>121.39</v>
      </c>
      <c r="AI1066" s="6">
        <f t="shared" si="32"/>
        <v>27.939999999999998</v>
      </c>
      <c r="AJ1066" s="5">
        <f t="shared" si="33"/>
        <v>0.23016722959057581</v>
      </c>
    </row>
    <row r="1067" spans="1:36">
      <c r="A1067" t="s">
        <v>313</v>
      </c>
      <c r="B1067" t="s">
        <v>1352</v>
      </c>
      <c r="C1067" t="s">
        <v>84</v>
      </c>
      <c r="D1067" t="s">
        <v>77</v>
      </c>
      <c r="E1067" t="s">
        <v>69</v>
      </c>
      <c r="F1067">
        <v>0</v>
      </c>
      <c r="G1067">
        <v>1669</v>
      </c>
      <c r="H1067">
        <v>1</v>
      </c>
      <c r="I1067" t="s">
        <v>173</v>
      </c>
      <c r="J1067">
        <v>1</v>
      </c>
      <c r="K1067" s="6">
        <v>1.67</v>
      </c>
      <c r="L1067" t="s">
        <v>174</v>
      </c>
      <c r="M1067">
        <v>0</v>
      </c>
      <c r="N1067" t="s">
        <v>182</v>
      </c>
      <c r="O1067">
        <v>3</v>
      </c>
      <c r="P1067">
        <v>0</v>
      </c>
      <c r="Q1067" s="6">
        <v>82</v>
      </c>
      <c r="R1067">
        <v>0</v>
      </c>
      <c r="S1067" s="6">
        <v>0</v>
      </c>
      <c r="T1067">
        <v>0</v>
      </c>
      <c r="U1067" s="6">
        <v>3875</v>
      </c>
      <c r="V1067">
        <v>0</v>
      </c>
      <c r="W1067">
        <v>0</v>
      </c>
      <c r="X1067">
        <v>0</v>
      </c>
      <c r="Y1067" s="6">
        <v>51.3</v>
      </c>
      <c r="Z1067">
        <v>0.107</v>
      </c>
      <c r="AA1067">
        <v>0.12</v>
      </c>
      <c r="AB1067">
        <v>2.4E-2</v>
      </c>
      <c r="AC1067">
        <v>6</v>
      </c>
      <c r="AD1067" s="6">
        <v>50</v>
      </c>
      <c r="AE1067" s="6">
        <v>0</v>
      </c>
      <c r="AF1067" s="6">
        <v>0</v>
      </c>
      <c r="AG1067" s="6">
        <v>52.1</v>
      </c>
      <c r="AH1067" s="6">
        <v>66.67</v>
      </c>
      <c r="AI1067" s="6">
        <f t="shared" si="32"/>
        <v>14.57</v>
      </c>
      <c r="AJ1067" s="5">
        <f t="shared" si="33"/>
        <v>0.21853907304634768</v>
      </c>
    </row>
    <row r="1068" spans="1:36">
      <c r="A1068" t="s">
        <v>183</v>
      </c>
      <c r="B1068" t="s">
        <v>1353</v>
      </c>
      <c r="C1068" t="s">
        <v>84</v>
      </c>
      <c r="D1068" t="s">
        <v>77</v>
      </c>
      <c r="E1068" t="s">
        <v>69</v>
      </c>
      <c r="F1068">
        <v>0</v>
      </c>
      <c r="G1068">
        <v>1669</v>
      </c>
      <c r="H1068">
        <v>1</v>
      </c>
      <c r="I1068" t="s">
        <v>173</v>
      </c>
      <c r="J1068">
        <v>1</v>
      </c>
      <c r="K1068" s="6">
        <v>1.55</v>
      </c>
      <c r="L1068" t="s">
        <v>174</v>
      </c>
      <c r="M1068">
        <v>0</v>
      </c>
      <c r="N1068" t="s">
        <v>175</v>
      </c>
      <c r="O1068">
        <v>1</v>
      </c>
      <c r="P1068">
        <v>0</v>
      </c>
      <c r="Q1068" s="6">
        <v>35</v>
      </c>
      <c r="R1068">
        <v>0</v>
      </c>
      <c r="S1068" s="6">
        <v>0</v>
      </c>
      <c r="T1068">
        <v>0</v>
      </c>
      <c r="U1068" s="6">
        <v>1977</v>
      </c>
      <c r="V1068">
        <v>0</v>
      </c>
      <c r="W1068">
        <v>0</v>
      </c>
      <c r="X1068">
        <v>0</v>
      </c>
      <c r="Y1068" s="6">
        <v>51.3</v>
      </c>
      <c r="Z1068">
        <v>0.107</v>
      </c>
      <c r="AA1068">
        <v>0.12</v>
      </c>
      <c r="AB1068">
        <v>2.4E-2</v>
      </c>
      <c r="AC1068">
        <v>6</v>
      </c>
      <c r="AD1068" s="6">
        <v>50</v>
      </c>
      <c r="AE1068" s="6">
        <v>0</v>
      </c>
      <c r="AF1068" s="6">
        <v>0</v>
      </c>
      <c r="AG1068" s="6">
        <v>47.89</v>
      </c>
      <c r="AH1068" s="6">
        <v>62.08</v>
      </c>
      <c r="AI1068" s="6">
        <f t="shared" si="32"/>
        <v>14.189999999999998</v>
      </c>
      <c r="AJ1068" s="5">
        <f t="shared" si="33"/>
        <v>0.22857603092783502</v>
      </c>
    </row>
    <row r="1069" spans="1:36">
      <c r="A1069" t="s">
        <v>300</v>
      </c>
      <c r="B1069" t="s">
        <v>1354</v>
      </c>
      <c r="C1069" t="s">
        <v>84</v>
      </c>
      <c r="D1069" t="s">
        <v>77</v>
      </c>
      <c r="E1069" t="s">
        <v>69</v>
      </c>
      <c r="F1069">
        <v>0</v>
      </c>
      <c r="G1069">
        <v>1669</v>
      </c>
      <c r="H1069">
        <v>1</v>
      </c>
      <c r="I1069" t="s">
        <v>173</v>
      </c>
      <c r="J1069">
        <v>1</v>
      </c>
      <c r="K1069" s="6">
        <v>2.0299999999999998</v>
      </c>
      <c r="L1069" t="s">
        <v>174</v>
      </c>
      <c r="M1069">
        <v>0</v>
      </c>
      <c r="N1069" t="s">
        <v>175</v>
      </c>
      <c r="O1069">
        <v>1</v>
      </c>
      <c r="P1069">
        <v>1</v>
      </c>
      <c r="Q1069" s="6">
        <v>33.6</v>
      </c>
      <c r="R1069">
        <v>0</v>
      </c>
      <c r="S1069" s="6">
        <v>0</v>
      </c>
      <c r="T1069">
        <v>0</v>
      </c>
      <c r="U1069" s="6">
        <v>1688</v>
      </c>
      <c r="V1069">
        <v>0</v>
      </c>
      <c r="W1069">
        <v>0</v>
      </c>
      <c r="X1069">
        <v>0</v>
      </c>
      <c r="Y1069" s="6">
        <v>51.3</v>
      </c>
      <c r="Z1069">
        <v>0.107</v>
      </c>
      <c r="AA1069">
        <v>0.12</v>
      </c>
      <c r="AB1069">
        <v>2.4E-2</v>
      </c>
      <c r="AC1069">
        <v>6</v>
      </c>
      <c r="AD1069" s="6">
        <v>50</v>
      </c>
      <c r="AE1069" s="6">
        <v>0</v>
      </c>
      <c r="AF1069" s="6">
        <v>0</v>
      </c>
      <c r="AG1069" s="6">
        <v>73.900000000000006</v>
      </c>
      <c r="AH1069" s="6">
        <v>96.93</v>
      </c>
      <c r="AI1069" s="6">
        <f t="shared" si="32"/>
        <v>23.03</v>
      </c>
      <c r="AJ1069" s="5">
        <f t="shared" si="33"/>
        <v>0.23759414010110388</v>
      </c>
    </row>
    <row r="1070" spans="1:36">
      <c r="A1070" t="s">
        <v>194</v>
      </c>
      <c r="B1070" t="s">
        <v>1355</v>
      </c>
      <c r="C1070" t="s">
        <v>84</v>
      </c>
      <c r="D1070" t="s">
        <v>77</v>
      </c>
      <c r="E1070" t="s">
        <v>69</v>
      </c>
      <c r="F1070">
        <v>0</v>
      </c>
      <c r="G1070">
        <v>1669</v>
      </c>
      <c r="H1070">
        <v>1</v>
      </c>
      <c r="I1070" t="s">
        <v>181</v>
      </c>
      <c r="J1070">
        <v>3</v>
      </c>
      <c r="K1070" s="6">
        <v>3.94</v>
      </c>
      <c r="L1070" t="s">
        <v>174</v>
      </c>
      <c r="M1070">
        <v>0</v>
      </c>
      <c r="N1070" t="s">
        <v>175</v>
      </c>
      <c r="O1070">
        <v>1</v>
      </c>
      <c r="P1070">
        <v>0</v>
      </c>
      <c r="Q1070" s="6">
        <v>42.1</v>
      </c>
      <c r="R1070">
        <v>0</v>
      </c>
      <c r="S1070" s="6">
        <v>0</v>
      </c>
      <c r="T1070">
        <v>0</v>
      </c>
      <c r="U1070" s="6">
        <v>3100</v>
      </c>
      <c r="V1070">
        <v>0</v>
      </c>
      <c r="W1070">
        <v>0</v>
      </c>
      <c r="X1070">
        <v>0</v>
      </c>
      <c r="Y1070" s="6">
        <v>51.3</v>
      </c>
      <c r="Z1070">
        <v>0.107</v>
      </c>
      <c r="AA1070">
        <v>0.12</v>
      </c>
      <c r="AB1070">
        <v>2.4E-2</v>
      </c>
      <c r="AC1070">
        <v>6</v>
      </c>
      <c r="AD1070" s="6">
        <v>60</v>
      </c>
      <c r="AE1070" s="6">
        <v>0</v>
      </c>
      <c r="AF1070" s="6">
        <v>0</v>
      </c>
      <c r="AG1070" s="6">
        <v>68.47</v>
      </c>
      <c r="AH1070" s="6">
        <v>85.75</v>
      </c>
      <c r="AI1070" s="6">
        <f t="shared" si="32"/>
        <v>17.28</v>
      </c>
      <c r="AJ1070" s="5">
        <f t="shared" si="33"/>
        <v>0.20151603498542275</v>
      </c>
    </row>
    <row r="1071" spans="1:36">
      <c r="A1071" t="s">
        <v>693</v>
      </c>
      <c r="B1071" t="s">
        <v>1356</v>
      </c>
      <c r="C1071" t="s">
        <v>84</v>
      </c>
      <c r="D1071" t="s">
        <v>77</v>
      </c>
      <c r="E1071" t="s">
        <v>69</v>
      </c>
      <c r="F1071">
        <v>0</v>
      </c>
      <c r="G1071">
        <v>1669</v>
      </c>
      <c r="H1071">
        <v>1</v>
      </c>
      <c r="I1071" t="s">
        <v>181</v>
      </c>
      <c r="J1071">
        <v>3</v>
      </c>
      <c r="K1071" s="6">
        <v>9.01</v>
      </c>
      <c r="L1071" t="s">
        <v>174</v>
      </c>
      <c r="M1071">
        <v>0</v>
      </c>
      <c r="N1071" t="s">
        <v>217</v>
      </c>
      <c r="O1071">
        <v>4</v>
      </c>
      <c r="P1071">
        <v>1</v>
      </c>
      <c r="Q1071" s="6">
        <v>162.80000000000001</v>
      </c>
      <c r="R1071">
        <v>0</v>
      </c>
      <c r="S1071" s="6">
        <v>0</v>
      </c>
      <c r="T1071">
        <v>0</v>
      </c>
      <c r="U1071" s="6">
        <v>1550</v>
      </c>
      <c r="V1071">
        <v>0</v>
      </c>
      <c r="W1071">
        <v>0</v>
      </c>
      <c r="X1071">
        <v>0</v>
      </c>
      <c r="Y1071" s="6">
        <v>51.3</v>
      </c>
      <c r="Z1071">
        <v>0.107</v>
      </c>
      <c r="AA1071">
        <v>0.12</v>
      </c>
      <c r="AB1071">
        <v>2.4E-2</v>
      </c>
      <c r="AC1071">
        <v>6</v>
      </c>
      <c r="AD1071" s="6">
        <v>60</v>
      </c>
      <c r="AE1071" s="6">
        <v>0</v>
      </c>
      <c r="AF1071" s="6">
        <v>0</v>
      </c>
      <c r="AG1071" s="6">
        <v>145.31</v>
      </c>
      <c r="AH1071" s="6">
        <v>184.74</v>
      </c>
      <c r="AI1071" s="6">
        <f t="shared" si="32"/>
        <v>39.430000000000007</v>
      </c>
      <c r="AJ1071" s="5">
        <f t="shared" si="33"/>
        <v>0.2134350979755332</v>
      </c>
    </row>
    <row r="1072" spans="1:36">
      <c r="A1072" t="s">
        <v>269</v>
      </c>
      <c r="B1072" t="s">
        <v>1357</v>
      </c>
      <c r="C1072" t="s">
        <v>84</v>
      </c>
      <c r="D1072" t="s">
        <v>77</v>
      </c>
      <c r="E1072" t="s">
        <v>69</v>
      </c>
      <c r="F1072">
        <v>0</v>
      </c>
      <c r="G1072">
        <v>1669</v>
      </c>
      <c r="H1072">
        <v>1</v>
      </c>
      <c r="I1072" t="s">
        <v>173</v>
      </c>
      <c r="J1072">
        <v>1</v>
      </c>
      <c r="K1072" s="6">
        <v>2.21</v>
      </c>
      <c r="L1072" t="s">
        <v>174</v>
      </c>
      <c r="M1072">
        <v>0</v>
      </c>
      <c r="N1072" t="s">
        <v>182</v>
      </c>
      <c r="O1072">
        <v>3</v>
      </c>
      <c r="P1072">
        <v>1</v>
      </c>
      <c r="Q1072" s="6">
        <v>83</v>
      </c>
      <c r="R1072">
        <v>1</v>
      </c>
      <c r="S1072" s="6">
        <v>1412</v>
      </c>
      <c r="T1072">
        <v>0</v>
      </c>
      <c r="U1072" s="6">
        <v>2924</v>
      </c>
      <c r="V1072">
        <v>0</v>
      </c>
      <c r="W1072">
        <v>0</v>
      </c>
      <c r="X1072">
        <v>0</v>
      </c>
      <c r="Y1072" s="6">
        <v>51.3</v>
      </c>
      <c r="Z1072">
        <v>0.107</v>
      </c>
      <c r="AA1072">
        <v>0.12</v>
      </c>
      <c r="AB1072">
        <v>2.4E-2</v>
      </c>
      <c r="AC1072">
        <v>6</v>
      </c>
      <c r="AD1072" s="6">
        <v>50</v>
      </c>
      <c r="AE1072" s="6">
        <v>25</v>
      </c>
      <c r="AF1072" s="6">
        <v>0</v>
      </c>
      <c r="AG1072" s="6">
        <v>90.29</v>
      </c>
      <c r="AH1072" s="6">
        <v>114.05</v>
      </c>
      <c r="AI1072" s="6">
        <f t="shared" si="32"/>
        <v>23.759999999999991</v>
      </c>
      <c r="AJ1072" s="5">
        <f t="shared" si="33"/>
        <v>0.2083296799649276</v>
      </c>
    </row>
    <row r="1073" spans="1:36">
      <c r="A1073" t="s">
        <v>494</v>
      </c>
      <c r="B1073" t="s">
        <v>1358</v>
      </c>
      <c r="C1073" t="s">
        <v>84</v>
      </c>
      <c r="D1073" t="s">
        <v>77</v>
      </c>
      <c r="E1073" t="s">
        <v>69</v>
      </c>
      <c r="F1073">
        <v>0</v>
      </c>
      <c r="G1073">
        <v>1669</v>
      </c>
      <c r="H1073">
        <v>1</v>
      </c>
      <c r="I1073" t="s">
        <v>181</v>
      </c>
      <c r="J1073">
        <v>3</v>
      </c>
      <c r="K1073" s="6">
        <v>8.17</v>
      </c>
      <c r="L1073" t="s">
        <v>174</v>
      </c>
      <c r="M1073">
        <v>0</v>
      </c>
      <c r="N1073" t="s">
        <v>175</v>
      </c>
      <c r="O1073">
        <v>1</v>
      </c>
      <c r="P1073">
        <v>0</v>
      </c>
      <c r="Q1073" s="6">
        <v>26.8</v>
      </c>
      <c r="R1073">
        <v>0</v>
      </c>
      <c r="S1073" s="6">
        <v>0</v>
      </c>
      <c r="T1073">
        <v>0</v>
      </c>
      <c r="U1073" s="6">
        <v>1257</v>
      </c>
      <c r="V1073">
        <v>0</v>
      </c>
      <c r="W1073">
        <v>0</v>
      </c>
      <c r="X1073">
        <v>0</v>
      </c>
      <c r="Y1073" s="6">
        <v>51.3</v>
      </c>
      <c r="Z1073">
        <v>0.107</v>
      </c>
      <c r="AA1073">
        <v>0.12</v>
      </c>
      <c r="AB1073">
        <v>2.4E-2</v>
      </c>
      <c r="AC1073">
        <v>6</v>
      </c>
      <c r="AD1073" s="6">
        <v>60</v>
      </c>
      <c r="AE1073" s="6">
        <v>0</v>
      </c>
      <c r="AF1073" s="6">
        <v>0</v>
      </c>
      <c r="AG1073" s="6">
        <v>94.17</v>
      </c>
      <c r="AH1073" s="6">
        <v>120.8</v>
      </c>
      <c r="AI1073" s="6">
        <f t="shared" si="32"/>
        <v>26.629999999999995</v>
      </c>
      <c r="AJ1073" s="5">
        <f t="shared" si="33"/>
        <v>0.22044701986754964</v>
      </c>
    </row>
    <row r="1074" spans="1:36">
      <c r="A1074" t="s">
        <v>274</v>
      </c>
      <c r="B1074" t="s">
        <v>1359</v>
      </c>
      <c r="C1074" t="s">
        <v>84</v>
      </c>
      <c r="D1074" t="s">
        <v>77</v>
      </c>
      <c r="E1074" t="s">
        <v>69</v>
      </c>
      <c r="F1074">
        <v>0</v>
      </c>
      <c r="G1074">
        <v>1669</v>
      </c>
      <c r="H1074">
        <v>1</v>
      </c>
      <c r="I1074" t="s">
        <v>173</v>
      </c>
      <c r="J1074">
        <v>1</v>
      </c>
      <c r="K1074" s="6">
        <v>2.2599999999999998</v>
      </c>
      <c r="L1074" t="s">
        <v>174</v>
      </c>
      <c r="M1074">
        <v>0</v>
      </c>
      <c r="N1074" t="s">
        <v>187</v>
      </c>
      <c r="O1074">
        <v>2</v>
      </c>
      <c r="P1074">
        <v>0</v>
      </c>
      <c r="Q1074" s="6">
        <v>61.2</v>
      </c>
      <c r="R1074">
        <v>1</v>
      </c>
      <c r="S1074" s="6">
        <v>1111</v>
      </c>
      <c r="T1074">
        <v>0</v>
      </c>
      <c r="U1074" s="6">
        <v>1127</v>
      </c>
      <c r="V1074">
        <v>0</v>
      </c>
      <c r="W1074">
        <v>0</v>
      </c>
      <c r="X1074">
        <v>0</v>
      </c>
      <c r="Y1074" s="6">
        <v>51.3</v>
      </c>
      <c r="Z1074">
        <v>0.107</v>
      </c>
      <c r="AA1074">
        <v>0.12</v>
      </c>
      <c r="AB1074">
        <v>2.4E-2</v>
      </c>
      <c r="AC1074">
        <v>6</v>
      </c>
      <c r="AD1074" s="6">
        <v>50</v>
      </c>
      <c r="AE1074" s="6">
        <v>25</v>
      </c>
      <c r="AF1074" s="6">
        <v>0</v>
      </c>
      <c r="AG1074" s="6">
        <v>57.93</v>
      </c>
      <c r="AH1074" s="6">
        <v>76.81</v>
      </c>
      <c r="AI1074" s="6">
        <f t="shared" si="32"/>
        <v>18.880000000000003</v>
      </c>
      <c r="AJ1074" s="5">
        <f t="shared" si="33"/>
        <v>0.24580132795208959</v>
      </c>
    </row>
    <row r="1075" spans="1:36">
      <c r="A1075" t="s">
        <v>215</v>
      </c>
      <c r="B1075" t="s">
        <v>1360</v>
      </c>
      <c r="C1075" t="s">
        <v>84</v>
      </c>
      <c r="D1075" t="s">
        <v>77</v>
      </c>
      <c r="E1075" t="s">
        <v>69</v>
      </c>
      <c r="F1075">
        <v>0</v>
      </c>
      <c r="G1075">
        <v>1669</v>
      </c>
      <c r="H1075">
        <v>1</v>
      </c>
      <c r="I1075" t="s">
        <v>173</v>
      </c>
      <c r="J1075">
        <v>1</v>
      </c>
      <c r="K1075" s="6">
        <v>2.16</v>
      </c>
      <c r="L1075" t="s">
        <v>174</v>
      </c>
      <c r="M1075">
        <v>0</v>
      </c>
      <c r="N1075" t="s">
        <v>175</v>
      </c>
      <c r="O1075">
        <v>1</v>
      </c>
      <c r="P1075">
        <v>0</v>
      </c>
      <c r="Q1075" s="6">
        <v>36</v>
      </c>
      <c r="R1075">
        <v>0</v>
      </c>
      <c r="S1075" s="6">
        <v>0</v>
      </c>
      <c r="T1075">
        <v>0</v>
      </c>
      <c r="U1075" s="6">
        <v>1694</v>
      </c>
      <c r="V1075">
        <v>0</v>
      </c>
      <c r="W1075">
        <v>0</v>
      </c>
      <c r="X1075">
        <v>0</v>
      </c>
      <c r="Y1075" s="6">
        <v>51.3</v>
      </c>
      <c r="Z1075">
        <v>0.107</v>
      </c>
      <c r="AA1075">
        <v>0.12</v>
      </c>
      <c r="AB1075">
        <v>2.4E-2</v>
      </c>
      <c r="AC1075">
        <v>6</v>
      </c>
      <c r="AD1075" s="6">
        <v>50</v>
      </c>
      <c r="AE1075" s="6">
        <v>0</v>
      </c>
      <c r="AF1075" s="6">
        <v>0</v>
      </c>
      <c r="AG1075" s="6">
        <v>47.86</v>
      </c>
      <c r="AH1075" s="6">
        <v>61.27</v>
      </c>
      <c r="AI1075" s="6">
        <f t="shared" si="32"/>
        <v>13.410000000000004</v>
      </c>
      <c r="AJ1075" s="5">
        <f t="shared" si="33"/>
        <v>0.21886730863391551</v>
      </c>
    </row>
    <row r="1076" spans="1:36">
      <c r="A1076" t="s">
        <v>243</v>
      </c>
      <c r="B1076" t="s">
        <v>1361</v>
      </c>
      <c r="C1076" t="s">
        <v>84</v>
      </c>
      <c r="D1076" t="s">
        <v>77</v>
      </c>
      <c r="E1076" t="s">
        <v>69</v>
      </c>
      <c r="F1076">
        <v>0</v>
      </c>
      <c r="G1076">
        <v>1669</v>
      </c>
      <c r="H1076">
        <v>1</v>
      </c>
      <c r="I1076" t="s">
        <v>173</v>
      </c>
      <c r="J1076">
        <v>1</v>
      </c>
      <c r="K1076" s="6">
        <v>1.27</v>
      </c>
      <c r="L1076" t="s">
        <v>174</v>
      </c>
      <c r="M1076">
        <v>0</v>
      </c>
      <c r="N1076" t="s">
        <v>187</v>
      </c>
      <c r="O1076">
        <v>2</v>
      </c>
      <c r="P1076">
        <v>0</v>
      </c>
      <c r="Q1076" s="6">
        <v>36.6</v>
      </c>
      <c r="R1076">
        <v>0</v>
      </c>
      <c r="S1076" s="6">
        <v>0</v>
      </c>
      <c r="T1076">
        <v>0</v>
      </c>
      <c r="U1076" s="6">
        <v>1703</v>
      </c>
      <c r="V1076">
        <v>0</v>
      </c>
      <c r="W1076">
        <v>0</v>
      </c>
      <c r="X1076">
        <v>0</v>
      </c>
      <c r="Y1076" s="6">
        <v>51.3</v>
      </c>
      <c r="Z1076">
        <v>0.107</v>
      </c>
      <c r="AA1076">
        <v>0.12</v>
      </c>
      <c r="AB1076">
        <v>2.4E-2</v>
      </c>
      <c r="AC1076">
        <v>6</v>
      </c>
      <c r="AD1076" s="6">
        <v>50</v>
      </c>
      <c r="AE1076" s="6">
        <v>0</v>
      </c>
      <c r="AF1076" s="6">
        <v>0</v>
      </c>
      <c r="AG1076" s="6">
        <v>57.64</v>
      </c>
      <c r="AH1076" s="6">
        <v>75.14</v>
      </c>
      <c r="AI1076" s="6">
        <f t="shared" si="32"/>
        <v>17.5</v>
      </c>
      <c r="AJ1076" s="5">
        <f t="shared" si="33"/>
        <v>0.23289858929997337</v>
      </c>
    </row>
    <row r="1077" spans="1:36">
      <c r="A1077" t="s">
        <v>693</v>
      </c>
      <c r="B1077" t="s">
        <v>1362</v>
      </c>
      <c r="C1077" t="s">
        <v>84</v>
      </c>
      <c r="D1077" t="s">
        <v>77</v>
      </c>
      <c r="E1077" t="s">
        <v>69</v>
      </c>
      <c r="F1077">
        <v>0</v>
      </c>
      <c r="G1077">
        <v>1669</v>
      </c>
      <c r="H1077">
        <v>1</v>
      </c>
      <c r="I1077" t="s">
        <v>173</v>
      </c>
      <c r="J1077">
        <v>1</v>
      </c>
      <c r="K1077" s="6">
        <v>1.23</v>
      </c>
      <c r="L1077" t="s">
        <v>174</v>
      </c>
      <c r="M1077">
        <v>0</v>
      </c>
      <c r="N1077" t="s">
        <v>187</v>
      </c>
      <c r="O1077">
        <v>2</v>
      </c>
      <c r="P1077">
        <v>0</v>
      </c>
      <c r="Q1077" s="6">
        <v>71.900000000000006</v>
      </c>
      <c r="R1077">
        <v>0</v>
      </c>
      <c r="S1077" s="6">
        <v>0</v>
      </c>
      <c r="T1077">
        <v>0</v>
      </c>
      <c r="U1077" s="6">
        <v>1459</v>
      </c>
      <c r="V1077">
        <v>0</v>
      </c>
      <c r="W1077">
        <v>0</v>
      </c>
      <c r="X1077">
        <v>0</v>
      </c>
      <c r="Y1077" s="6">
        <v>51.3</v>
      </c>
      <c r="Z1077">
        <v>0.107</v>
      </c>
      <c r="AA1077">
        <v>0.12</v>
      </c>
      <c r="AB1077">
        <v>2.4E-2</v>
      </c>
      <c r="AC1077">
        <v>6</v>
      </c>
      <c r="AD1077" s="6">
        <v>50</v>
      </c>
      <c r="AE1077" s="6">
        <v>0</v>
      </c>
      <c r="AF1077" s="6">
        <v>0</v>
      </c>
      <c r="AG1077" s="6">
        <v>56.3</v>
      </c>
      <c r="AH1077" s="6">
        <v>70.650000000000006</v>
      </c>
      <c r="AI1077" s="6">
        <f t="shared" si="32"/>
        <v>14.350000000000009</v>
      </c>
      <c r="AJ1077" s="5">
        <f t="shared" si="33"/>
        <v>0.20311394196744526</v>
      </c>
    </row>
    <row r="1078" spans="1:36">
      <c r="A1078" t="s">
        <v>319</v>
      </c>
      <c r="B1078" t="s">
        <v>1363</v>
      </c>
      <c r="C1078" t="s">
        <v>84</v>
      </c>
      <c r="D1078" t="s">
        <v>77</v>
      </c>
      <c r="E1078" t="s">
        <v>69</v>
      </c>
      <c r="F1078">
        <v>0</v>
      </c>
      <c r="G1078">
        <v>1669</v>
      </c>
      <c r="H1078">
        <v>1</v>
      </c>
      <c r="I1078" t="s">
        <v>220</v>
      </c>
      <c r="J1078">
        <v>2</v>
      </c>
      <c r="K1078" s="6">
        <v>3.46</v>
      </c>
      <c r="L1078" t="s">
        <v>174</v>
      </c>
      <c r="M1078">
        <v>0</v>
      </c>
      <c r="N1078" t="s">
        <v>175</v>
      </c>
      <c r="O1078">
        <v>1</v>
      </c>
      <c r="P1078">
        <v>0</v>
      </c>
      <c r="Q1078" s="6">
        <v>44.9</v>
      </c>
      <c r="R1078">
        <v>0</v>
      </c>
      <c r="S1078" s="6">
        <v>0</v>
      </c>
      <c r="T1078">
        <v>0</v>
      </c>
      <c r="U1078" s="6">
        <v>1085</v>
      </c>
      <c r="V1078">
        <v>0</v>
      </c>
      <c r="W1078">
        <v>0</v>
      </c>
      <c r="X1078">
        <v>0</v>
      </c>
      <c r="Y1078" s="6">
        <v>51.3</v>
      </c>
      <c r="Z1078">
        <v>0.107</v>
      </c>
      <c r="AA1078">
        <v>0.12</v>
      </c>
      <c r="AB1078">
        <v>2.4E-2</v>
      </c>
      <c r="AC1078">
        <v>6</v>
      </c>
      <c r="AD1078" s="6">
        <v>50</v>
      </c>
      <c r="AE1078" s="6">
        <v>0</v>
      </c>
      <c r="AF1078" s="6">
        <v>0</v>
      </c>
      <c r="AG1078" s="6">
        <v>57.98</v>
      </c>
      <c r="AH1078" s="6">
        <v>76.63</v>
      </c>
      <c r="AI1078" s="6">
        <f t="shared" si="32"/>
        <v>18.649999999999999</v>
      </c>
      <c r="AJ1078" s="5">
        <f t="shared" si="33"/>
        <v>0.24337726738875115</v>
      </c>
    </row>
    <row r="1079" spans="1:36">
      <c r="A1079" t="s">
        <v>406</v>
      </c>
      <c r="B1079" t="s">
        <v>1364</v>
      </c>
      <c r="C1079" t="s">
        <v>84</v>
      </c>
      <c r="D1079" t="s">
        <v>77</v>
      </c>
      <c r="E1079" t="s">
        <v>69</v>
      </c>
      <c r="F1079">
        <v>0</v>
      </c>
      <c r="G1079">
        <v>1669</v>
      </c>
      <c r="H1079">
        <v>1</v>
      </c>
      <c r="I1079" t="s">
        <v>181</v>
      </c>
      <c r="J1079">
        <v>3</v>
      </c>
      <c r="K1079" s="6">
        <v>7.33</v>
      </c>
      <c r="L1079" t="s">
        <v>200</v>
      </c>
      <c r="M1079">
        <v>1</v>
      </c>
      <c r="N1079" t="s">
        <v>175</v>
      </c>
      <c r="O1079">
        <v>1</v>
      </c>
      <c r="P1079">
        <v>0</v>
      </c>
      <c r="Q1079" s="6">
        <v>34.799999999999997</v>
      </c>
      <c r="R1079">
        <v>0</v>
      </c>
      <c r="S1079" s="6">
        <v>0</v>
      </c>
      <c r="T1079">
        <v>0</v>
      </c>
      <c r="U1079" s="6">
        <v>1952</v>
      </c>
      <c r="V1079">
        <v>0</v>
      </c>
      <c r="W1079">
        <v>0</v>
      </c>
      <c r="X1079">
        <v>0</v>
      </c>
      <c r="Y1079" s="6">
        <v>51.3</v>
      </c>
      <c r="Z1079">
        <v>0.107</v>
      </c>
      <c r="AA1079">
        <v>0.12</v>
      </c>
      <c r="AB1079">
        <v>2.4E-2</v>
      </c>
      <c r="AC1079">
        <v>6</v>
      </c>
      <c r="AD1079" s="6">
        <v>139</v>
      </c>
      <c r="AE1079" s="6">
        <v>0</v>
      </c>
      <c r="AF1079" s="6">
        <v>0</v>
      </c>
      <c r="AG1079" s="6">
        <v>105.12</v>
      </c>
      <c r="AH1079" s="6">
        <v>139.49</v>
      </c>
      <c r="AI1079" s="6">
        <f t="shared" si="32"/>
        <v>34.370000000000005</v>
      </c>
      <c r="AJ1079" s="5">
        <f t="shared" si="33"/>
        <v>0.24639759122517746</v>
      </c>
    </row>
    <row r="1080" spans="1:36">
      <c r="A1080" t="s">
        <v>488</v>
      </c>
      <c r="B1080" t="s">
        <v>1365</v>
      </c>
      <c r="C1080" t="s">
        <v>84</v>
      </c>
      <c r="D1080" t="s">
        <v>77</v>
      </c>
      <c r="E1080" t="s">
        <v>69</v>
      </c>
      <c r="F1080">
        <v>0</v>
      </c>
      <c r="G1080">
        <v>1669</v>
      </c>
      <c r="H1080">
        <v>1</v>
      </c>
      <c r="I1080" t="s">
        <v>173</v>
      </c>
      <c r="J1080">
        <v>1</v>
      </c>
      <c r="K1080" s="6">
        <v>2.37</v>
      </c>
      <c r="L1080" t="s">
        <v>174</v>
      </c>
      <c r="M1080">
        <v>0</v>
      </c>
      <c r="N1080" t="s">
        <v>217</v>
      </c>
      <c r="O1080">
        <v>4</v>
      </c>
      <c r="P1080">
        <v>1</v>
      </c>
      <c r="Q1080" s="6">
        <v>120.1</v>
      </c>
      <c r="R1080">
        <v>0</v>
      </c>
      <c r="S1080" s="6">
        <v>0</v>
      </c>
      <c r="T1080">
        <v>0</v>
      </c>
      <c r="U1080" s="6">
        <v>941</v>
      </c>
      <c r="V1080">
        <v>0</v>
      </c>
      <c r="W1080">
        <v>0</v>
      </c>
      <c r="X1080">
        <v>0</v>
      </c>
      <c r="Y1080" s="6">
        <v>51.3</v>
      </c>
      <c r="Z1080">
        <v>0.107</v>
      </c>
      <c r="AA1080">
        <v>0.12</v>
      </c>
      <c r="AB1080">
        <v>2.4E-2</v>
      </c>
      <c r="AC1080">
        <v>6</v>
      </c>
      <c r="AD1080" s="6">
        <v>50</v>
      </c>
      <c r="AE1080" s="6">
        <v>0</v>
      </c>
      <c r="AF1080" s="6">
        <v>0</v>
      </c>
      <c r="AG1080" s="6">
        <v>99.3</v>
      </c>
      <c r="AH1080" s="6">
        <v>127.62</v>
      </c>
      <c r="AI1080" s="6">
        <f t="shared" si="32"/>
        <v>28.320000000000007</v>
      </c>
      <c r="AJ1080" s="5">
        <f t="shared" si="33"/>
        <v>0.22190879172543493</v>
      </c>
    </row>
    <row r="1081" spans="1:36">
      <c r="A1081" t="s">
        <v>431</v>
      </c>
      <c r="B1081" t="s">
        <v>1366</v>
      </c>
      <c r="C1081" t="s">
        <v>84</v>
      </c>
      <c r="D1081" t="s">
        <v>77</v>
      </c>
      <c r="E1081" t="s">
        <v>69</v>
      </c>
      <c r="F1081">
        <v>0</v>
      </c>
      <c r="G1081">
        <v>1669</v>
      </c>
      <c r="H1081">
        <v>1</v>
      </c>
      <c r="I1081" t="s">
        <v>173</v>
      </c>
      <c r="J1081">
        <v>1</v>
      </c>
      <c r="K1081" s="6">
        <v>2.2200000000000002</v>
      </c>
      <c r="L1081" t="s">
        <v>174</v>
      </c>
      <c r="M1081">
        <v>0</v>
      </c>
      <c r="N1081" t="s">
        <v>182</v>
      </c>
      <c r="O1081">
        <v>3</v>
      </c>
      <c r="P1081">
        <v>0</v>
      </c>
      <c r="Q1081" s="6">
        <v>83.2</v>
      </c>
      <c r="R1081">
        <v>0</v>
      </c>
      <c r="S1081" s="6">
        <v>0</v>
      </c>
      <c r="T1081">
        <v>0</v>
      </c>
      <c r="U1081" s="6">
        <v>1124</v>
      </c>
      <c r="V1081">
        <v>0</v>
      </c>
      <c r="W1081">
        <v>0</v>
      </c>
      <c r="X1081">
        <v>0</v>
      </c>
      <c r="Y1081" s="6">
        <v>51.3</v>
      </c>
      <c r="Z1081">
        <v>0.107</v>
      </c>
      <c r="AA1081">
        <v>0.12</v>
      </c>
      <c r="AB1081">
        <v>2.4E-2</v>
      </c>
      <c r="AC1081">
        <v>6</v>
      </c>
      <c r="AD1081" s="6">
        <v>50</v>
      </c>
      <c r="AE1081" s="6">
        <v>0</v>
      </c>
      <c r="AF1081" s="6">
        <v>0</v>
      </c>
      <c r="AG1081" s="6">
        <v>57.37</v>
      </c>
      <c r="AH1081" s="6">
        <v>76.150000000000006</v>
      </c>
      <c r="AI1081" s="6">
        <f t="shared" si="32"/>
        <v>18.780000000000008</v>
      </c>
      <c r="AJ1081" s="5">
        <f t="shared" si="33"/>
        <v>0.24661851608667112</v>
      </c>
    </row>
    <row r="1082" spans="1:36">
      <c r="A1082" t="s">
        <v>296</v>
      </c>
      <c r="B1082" t="s">
        <v>1367</v>
      </c>
      <c r="C1082" t="s">
        <v>84</v>
      </c>
      <c r="D1082" t="s">
        <v>77</v>
      </c>
      <c r="E1082" t="s">
        <v>69</v>
      </c>
      <c r="F1082">
        <v>0</v>
      </c>
      <c r="G1082">
        <v>1669</v>
      </c>
      <c r="H1082">
        <v>1</v>
      </c>
      <c r="I1082" t="s">
        <v>173</v>
      </c>
      <c r="J1082">
        <v>1</v>
      </c>
      <c r="K1082" s="6">
        <v>2.16</v>
      </c>
      <c r="L1082" t="s">
        <v>174</v>
      </c>
      <c r="M1082">
        <v>0</v>
      </c>
      <c r="N1082" t="s">
        <v>272</v>
      </c>
      <c r="O1082">
        <v>5</v>
      </c>
      <c r="P1082">
        <v>1</v>
      </c>
      <c r="Q1082" s="6">
        <v>228.5</v>
      </c>
      <c r="R1082">
        <v>0</v>
      </c>
      <c r="S1082" s="6">
        <v>0</v>
      </c>
      <c r="T1082">
        <v>0</v>
      </c>
      <c r="U1082" s="6">
        <v>1050</v>
      </c>
      <c r="V1082">
        <v>0</v>
      </c>
      <c r="W1082">
        <v>0</v>
      </c>
      <c r="X1082">
        <v>0</v>
      </c>
      <c r="Y1082" s="6">
        <v>51.3</v>
      </c>
      <c r="Z1082">
        <v>0.107</v>
      </c>
      <c r="AA1082">
        <v>0.12</v>
      </c>
      <c r="AB1082">
        <v>2.4E-2</v>
      </c>
      <c r="AC1082">
        <v>6</v>
      </c>
      <c r="AD1082" s="6">
        <v>50</v>
      </c>
      <c r="AE1082" s="6">
        <v>0</v>
      </c>
      <c r="AF1082" s="6">
        <v>0</v>
      </c>
      <c r="AG1082" s="6">
        <v>141.97</v>
      </c>
      <c r="AH1082" s="6">
        <v>180.09</v>
      </c>
      <c r="AI1082" s="6">
        <f t="shared" si="32"/>
        <v>38.120000000000005</v>
      </c>
      <c r="AJ1082" s="5">
        <f t="shared" si="33"/>
        <v>0.21167194180687438</v>
      </c>
    </row>
    <row r="1083" spans="1:36">
      <c r="A1083" t="s">
        <v>277</v>
      </c>
      <c r="B1083" t="s">
        <v>1368</v>
      </c>
      <c r="C1083" t="s">
        <v>84</v>
      </c>
      <c r="D1083" t="s">
        <v>77</v>
      </c>
      <c r="E1083" t="s">
        <v>69</v>
      </c>
      <c r="F1083">
        <v>0</v>
      </c>
      <c r="G1083">
        <v>1669</v>
      </c>
      <c r="H1083">
        <v>1</v>
      </c>
      <c r="I1083" t="s">
        <v>173</v>
      </c>
      <c r="J1083">
        <v>1</v>
      </c>
      <c r="K1083" s="6">
        <v>1.85</v>
      </c>
      <c r="L1083" t="s">
        <v>174</v>
      </c>
      <c r="M1083">
        <v>0</v>
      </c>
      <c r="N1083" t="s">
        <v>175</v>
      </c>
      <c r="O1083">
        <v>1</v>
      </c>
      <c r="P1083">
        <v>1</v>
      </c>
      <c r="Q1083" s="6">
        <v>47.3</v>
      </c>
      <c r="R1083">
        <v>0</v>
      </c>
      <c r="S1083" s="6">
        <v>0</v>
      </c>
      <c r="T1083">
        <v>0</v>
      </c>
      <c r="U1083" s="6">
        <v>3867</v>
      </c>
      <c r="V1083">
        <v>0</v>
      </c>
      <c r="W1083">
        <v>0</v>
      </c>
      <c r="X1083">
        <v>0</v>
      </c>
      <c r="Y1083" s="6">
        <v>51.3</v>
      </c>
      <c r="Z1083">
        <v>0.107</v>
      </c>
      <c r="AA1083">
        <v>0.12</v>
      </c>
      <c r="AB1083">
        <v>2.4E-2</v>
      </c>
      <c r="AC1083">
        <v>6</v>
      </c>
      <c r="AD1083" s="6">
        <v>50</v>
      </c>
      <c r="AE1083" s="6">
        <v>0</v>
      </c>
      <c r="AF1083" s="6">
        <v>0</v>
      </c>
      <c r="AG1083" s="6">
        <v>81.430000000000007</v>
      </c>
      <c r="AH1083" s="6">
        <v>104.13</v>
      </c>
      <c r="AI1083" s="6">
        <f t="shared" si="32"/>
        <v>22.699999999999989</v>
      </c>
      <c r="AJ1083" s="5">
        <f t="shared" si="33"/>
        <v>0.21799673485066734</v>
      </c>
    </row>
    <row r="1084" spans="1:36">
      <c r="A1084" t="s">
        <v>300</v>
      </c>
      <c r="B1084" t="s">
        <v>1369</v>
      </c>
      <c r="C1084" t="s">
        <v>84</v>
      </c>
      <c r="D1084" t="s">
        <v>77</v>
      </c>
      <c r="E1084" t="s">
        <v>69</v>
      </c>
      <c r="F1084">
        <v>0</v>
      </c>
      <c r="G1084">
        <v>1669</v>
      </c>
      <c r="H1084">
        <v>1</v>
      </c>
      <c r="I1084" t="s">
        <v>181</v>
      </c>
      <c r="J1084">
        <v>3</v>
      </c>
      <c r="K1084" s="6">
        <v>9.75</v>
      </c>
      <c r="L1084" t="s">
        <v>174</v>
      </c>
      <c r="M1084">
        <v>0</v>
      </c>
      <c r="N1084" t="s">
        <v>175</v>
      </c>
      <c r="O1084">
        <v>1</v>
      </c>
      <c r="P1084">
        <v>0</v>
      </c>
      <c r="Q1084" s="6">
        <v>32.9</v>
      </c>
      <c r="R1084">
        <v>0</v>
      </c>
      <c r="S1084" s="6">
        <v>0</v>
      </c>
      <c r="T1084">
        <v>0</v>
      </c>
      <c r="U1084" s="6">
        <v>4484</v>
      </c>
      <c r="V1084">
        <v>0</v>
      </c>
      <c r="W1084">
        <v>0</v>
      </c>
      <c r="X1084">
        <v>0</v>
      </c>
      <c r="Y1084" s="6">
        <v>51.3</v>
      </c>
      <c r="Z1084">
        <v>0.107</v>
      </c>
      <c r="AA1084">
        <v>0.12</v>
      </c>
      <c r="AB1084">
        <v>2.4E-2</v>
      </c>
      <c r="AC1084">
        <v>6</v>
      </c>
      <c r="AD1084" s="6">
        <v>60</v>
      </c>
      <c r="AE1084" s="6">
        <v>0</v>
      </c>
      <c r="AF1084" s="6">
        <v>0</v>
      </c>
      <c r="AG1084" s="6">
        <v>94.64</v>
      </c>
      <c r="AH1084" s="6">
        <v>122.64</v>
      </c>
      <c r="AI1084" s="6">
        <f t="shared" si="32"/>
        <v>28</v>
      </c>
      <c r="AJ1084" s="5">
        <f t="shared" si="33"/>
        <v>0.22831050228310501</v>
      </c>
    </row>
    <row r="1085" spans="1:36">
      <c r="A1085" t="s">
        <v>263</v>
      </c>
      <c r="B1085" t="s">
        <v>1370</v>
      </c>
      <c r="C1085" t="s">
        <v>84</v>
      </c>
      <c r="D1085" t="s">
        <v>77</v>
      </c>
      <c r="E1085" t="s">
        <v>69</v>
      </c>
      <c r="F1085">
        <v>0</v>
      </c>
      <c r="G1085">
        <v>1669</v>
      </c>
      <c r="H1085">
        <v>1</v>
      </c>
      <c r="I1085" t="s">
        <v>173</v>
      </c>
      <c r="J1085">
        <v>1</v>
      </c>
      <c r="K1085" s="6">
        <v>1.27</v>
      </c>
      <c r="L1085" t="s">
        <v>174</v>
      </c>
      <c r="M1085">
        <v>0</v>
      </c>
      <c r="N1085" t="s">
        <v>217</v>
      </c>
      <c r="O1085">
        <v>4</v>
      </c>
      <c r="P1085">
        <v>1</v>
      </c>
      <c r="Q1085" s="6">
        <v>191.6</v>
      </c>
      <c r="R1085">
        <v>1</v>
      </c>
      <c r="S1085" s="6">
        <v>827</v>
      </c>
      <c r="T1085">
        <v>0</v>
      </c>
      <c r="U1085" s="6">
        <v>1376</v>
      </c>
      <c r="V1085">
        <v>0</v>
      </c>
      <c r="W1085">
        <v>0</v>
      </c>
      <c r="X1085">
        <v>0</v>
      </c>
      <c r="Y1085" s="6">
        <v>51.3</v>
      </c>
      <c r="Z1085">
        <v>0.107</v>
      </c>
      <c r="AA1085">
        <v>0.12</v>
      </c>
      <c r="AB1085">
        <v>2.4E-2</v>
      </c>
      <c r="AC1085">
        <v>6</v>
      </c>
      <c r="AD1085" s="6">
        <v>50</v>
      </c>
      <c r="AE1085" s="6">
        <v>25</v>
      </c>
      <c r="AF1085" s="6">
        <v>0</v>
      </c>
      <c r="AG1085" s="6">
        <v>105.33</v>
      </c>
      <c r="AH1085" s="6">
        <v>136.36000000000001</v>
      </c>
      <c r="AI1085" s="6">
        <f t="shared" si="32"/>
        <v>31.030000000000015</v>
      </c>
      <c r="AJ1085" s="5">
        <f t="shared" si="33"/>
        <v>0.22755940158404234</v>
      </c>
    </row>
    <row r="1086" spans="1:36">
      <c r="A1086" t="s">
        <v>228</v>
      </c>
      <c r="B1086" t="s">
        <v>1371</v>
      </c>
      <c r="C1086" t="s">
        <v>84</v>
      </c>
      <c r="D1086" t="s">
        <v>77</v>
      </c>
      <c r="E1086" t="s">
        <v>69</v>
      </c>
      <c r="F1086">
        <v>0</v>
      </c>
      <c r="G1086">
        <v>1669</v>
      </c>
      <c r="H1086">
        <v>1</v>
      </c>
      <c r="I1086" t="s">
        <v>181</v>
      </c>
      <c r="J1086">
        <v>3</v>
      </c>
      <c r="K1086" s="6">
        <v>6.37</v>
      </c>
      <c r="L1086" t="s">
        <v>174</v>
      </c>
      <c r="M1086">
        <v>0</v>
      </c>
      <c r="N1086" t="s">
        <v>175</v>
      </c>
      <c r="O1086">
        <v>1</v>
      </c>
      <c r="P1086">
        <v>0</v>
      </c>
      <c r="Q1086" s="6">
        <v>31.9</v>
      </c>
      <c r="R1086">
        <v>0</v>
      </c>
      <c r="S1086" s="6">
        <v>0</v>
      </c>
      <c r="T1086">
        <v>0</v>
      </c>
      <c r="U1086" s="6">
        <v>1590</v>
      </c>
      <c r="V1086">
        <v>0</v>
      </c>
      <c r="W1086">
        <v>0</v>
      </c>
      <c r="X1086">
        <v>0</v>
      </c>
      <c r="Y1086" s="6">
        <v>51.3</v>
      </c>
      <c r="Z1086">
        <v>0.107</v>
      </c>
      <c r="AA1086">
        <v>0.12</v>
      </c>
      <c r="AB1086">
        <v>2.4E-2</v>
      </c>
      <c r="AC1086">
        <v>6</v>
      </c>
      <c r="AD1086" s="6">
        <v>60</v>
      </c>
      <c r="AE1086" s="6">
        <v>0</v>
      </c>
      <c r="AF1086" s="6">
        <v>0</v>
      </c>
      <c r="AG1086" s="6">
        <v>87.11</v>
      </c>
      <c r="AH1086" s="6">
        <v>110.34</v>
      </c>
      <c r="AI1086" s="6">
        <f t="shared" si="32"/>
        <v>23.230000000000004</v>
      </c>
      <c r="AJ1086" s="5">
        <f t="shared" si="33"/>
        <v>0.21053108573500093</v>
      </c>
    </row>
    <row r="1087" spans="1:36">
      <c r="A1087" t="s">
        <v>355</v>
      </c>
      <c r="B1087" t="s">
        <v>1372</v>
      </c>
      <c r="C1087" t="s">
        <v>84</v>
      </c>
      <c r="D1087" t="s">
        <v>77</v>
      </c>
      <c r="E1087" t="s">
        <v>69</v>
      </c>
      <c r="F1087">
        <v>0</v>
      </c>
      <c r="G1087">
        <v>1669</v>
      </c>
      <c r="H1087">
        <v>1</v>
      </c>
      <c r="I1087" t="s">
        <v>173</v>
      </c>
      <c r="J1087">
        <v>1</v>
      </c>
      <c r="K1087" s="6">
        <v>2.2400000000000002</v>
      </c>
      <c r="L1087" t="s">
        <v>200</v>
      </c>
      <c r="M1087">
        <v>1</v>
      </c>
      <c r="N1087" t="s">
        <v>175</v>
      </c>
      <c r="O1087">
        <v>1</v>
      </c>
      <c r="P1087">
        <v>1</v>
      </c>
      <c r="Q1087" s="6">
        <v>33.5</v>
      </c>
      <c r="R1087">
        <v>1</v>
      </c>
      <c r="S1087" s="6">
        <v>1706</v>
      </c>
      <c r="T1087">
        <v>0</v>
      </c>
      <c r="U1087" s="6">
        <v>398</v>
      </c>
      <c r="V1087">
        <v>0</v>
      </c>
      <c r="W1087">
        <v>0</v>
      </c>
      <c r="X1087">
        <v>0</v>
      </c>
      <c r="Y1087" s="6">
        <v>51.3</v>
      </c>
      <c r="Z1087">
        <v>0.107</v>
      </c>
      <c r="AA1087">
        <v>0.12</v>
      </c>
      <c r="AB1087">
        <v>2.4E-2</v>
      </c>
      <c r="AC1087">
        <v>6</v>
      </c>
      <c r="AD1087" s="6">
        <v>99</v>
      </c>
      <c r="AE1087" s="6">
        <v>25</v>
      </c>
      <c r="AF1087" s="6">
        <v>0</v>
      </c>
      <c r="AG1087" s="6">
        <v>123.01</v>
      </c>
      <c r="AH1087" s="6">
        <v>154.69999999999999</v>
      </c>
      <c r="AI1087" s="6">
        <f t="shared" si="32"/>
        <v>31.689999999999984</v>
      </c>
      <c r="AJ1087" s="5">
        <f t="shared" si="33"/>
        <v>0.20484809308338711</v>
      </c>
    </row>
    <row r="1088" spans="1:36">
      <c r="A1088" t="s">
        <v>288</v>
      </c>
      <c r="B1088" t="s">
        <v>1373</v>
      </c>
      <c r="C1088" t="s">
        <v>84</v>
      </c>
      <c r="D1088" t="s">
        <v>77</v>
      </c>
      <c r="E1088" t="s">
        <v>69</v>
      </c>
      <c r="F1088">
        <v>0</v>
      </c>
      <c r="G1088">
        <v>1669</v>
      </c>
      <c r="H1088">
        <v>1</v>
      </c>
      <c r="I1088" t="s">
        <v>181</v>
      </c>
      <c r="J1088">
        <v>3</v>
      </c>
      <c r="K1088" s="6">
        <v>7.93</v>
      </c>
      <c r="L1088" t="s">
        <v>174</v>
      </c>
      <c r="M1088">
        <v>0</v>
      </c>
      <c r="N1088" t="s">
        <v>182</v>
      </c>
      <c r="O1088">
        <v>3</v>
      </c>
      <c r="P1088">
        <v>0</v>
      </c>
      <c r="Q1088" s="6">
        <v>56.1</v>
      </c>
      <c r="R1088">
        <v>0</v>
      </c>
      <c r="S1088" s="6">
        <v>0</v>
      </c>
      <c r="T1088">
        <v>0</v>
      </c>
      <c r="U1088" s="6">
        <v>1817</v>
      </c>
      <c r="V1088">
        <v>0</v>
      </c>
      <c r="W1088">
        <v>0</v>
      </c>
      <c r="X1088">
        <v>0</v>
      </c>
      <c r="Y1088" s="6">
        <v>51.3</v>
      </c>
      <c r="Z1088">
        <v>0.107</v>
      </c>
      <c r="AA1088">
        <v>0.12</v>
      </c>
      <c r="AB1088">
        <v>2.4E-2</v>
      </c>
      <c r="AC1088">
        <v>6</v>
      </c>
      <c r="AD1088" s="6">
        <v>60</v>
      </c>
      <c r="AE1088" s="6">
        <v>0</v>
      </c>
      <c r="AF1088" s="6">
        <v>0</v>
      </c>
      <c r="AG1088" s="6">
        <v>87.74</v>
      </c>
      <c r="AH1088" s="6">
        <v>113.47</v>
      </c>
      <c r="AI1088" s="6">
        <f t="shared" si="32"/>
        <v>25.730000000000004</v>
      </c>
      <c r="AJ1088" s="5">
        <f t="shared" si="33"/>
        <v>0.2267559707411651</v>
      </c>
    </row>
    <row r="1089" spans="1:36">
      <c r="A1089" t="s">
        <v>274</v>
      </c>
      <c r="B1089" t="s">
        <v>1374</v>
      </c>
      <c r="C1089" t="s">
        <v>84</v>
      </c>
      <c r="D1089" t="s">
        <v>77</v>
      </c>
      <c r="E1089" t="s">
        <v>69</v>
      </c>
      <c r="F1089">
        <v>0</v>
      </c>
      <c r="G1089">
        <v>1669</v>
      </c>
      <c r="H1089">
        <v>1</v>
      </c>
      <c r="I1089" t="s">
        <v>220</v>
      </c>
      <c r="J1089">
        <v>2</v>
      </c>
      <c r="K1089" s="6">
        <v>5.17</v>
      </c>
      <c r="L1089" t="s">
        <v>174</v>
      </c>
      <c r="M1089">
        <v>0</v>
      </c>
      <c r="N1089" t="s">
        <v>175</v>
      </c>
      <c r="O1089">
        <v>1</v>
      </c>
      <c r="P1089">
        <v>0</v>
      </c>
      <c r="Q1089" s="6">
        <v>41.9</v>
      </c>
      <c r="R1089">
        <v>1</v>
      </c>
      <c r="S1089" s="6">
        <v>676</v>
      </c>
      <c r="T1089">
        <v>0</v>
      </c>
      <c r="U1089" s="6">
        <v>4263</v>
      </c>
      <c r="V1089">
        <v>0</v>
      </c>
      <c r="W1089">
        <v>0</v>
      </c>
      <c r="X1089">
        <v>0</v>
      </c>
      <c r="Y1089" s="6">
        <v>51.3</v>
      </c>
      <c r="Z1089">
        <v>0.107</v>
      </c>
      <c r="AA1089">
        <v>0.12</v>
      </c>
      <c r="AB1089">
        <v>2.4E-2</v>
      </c>
      <c r="AC1089">
        <v>6</v>
      </c>
      <c r="AD1089" s="6">
        <v>50</v>
      </c>
      <c r="AE1089" s="6">
        <v>25</v>
      </c>
      <c r="AF1089" s="6">
        <v>0</v>
      </c>
      <c r="AG1089" s="6">
        <v>66.92</v>
      </c>
      <c r="AH1089" s="6">
        <v>85.89</v>
      </c>
      <c r="AI1089" s="6">
        <f t="shared" si="32"/>
        <v>18.97</v>
      </c>
      <c r="AJ1089" s="5">
        <f t="shared" si="33"/>
        <v>0.22086389568052159</v>
      </c>
    </row>
    <row r="1090" spans="1:36">
      <c r="A1090" t="s">
        <v>431</v>
      </c>
      <c r="B1090" t="s">
        <v>1375</v>
      </c>
      <c r="C1090" t="s">
        <v>84</v>
      </c>
      <c r="D1090" t="s">
        <v>77</v>
      </c>
      <c r="E1090" t="s">
        <v>69</v>
      </c>
      <c r="F1090">
        <v>0</v>
      </c>
      <c r="G1090">
        <v>1669</v>
      </c>
      <c r="H1090">
        <v>1</v>
      </c>
      <c r="I1090" t="s">
        <v>173</v>
      </c>
      <c r="J1090">
        <v>1</v>
      </c>
      <c r="K1090" s="6">
        <v>1.96</v>
      </c>
      <c r="L1090" t="s">
        <v>174</v>
      </c>
      <c r="M1090">
        <v>0</v>
      </c>
      <c r="N1090" t="s">
        <v>217</v>
      </c>
      <c r="O1090">
        <v>4</v>
      </c>
      <c r="P1090">
        <v>1</v>
      </c>
      <c r="Q1090" s="6">
        <v>119.6</v>
      </c>
      <c r="R1090">
        <v>0</v>
      </c>
      <c r="S1090" s="6">
        <v>0</v>
      </c>
      <c r="T1090">
        <v>0</v>
      </c>
      <c r="U1090" s="6">
        <v>1643</v>
      </c>
      <c r="V1090">
        <v>0</v>
      </c>
      <c r="W1090">
        <v>0</v>
      </c>
      <c r="X1090">
        <v>0</v>
      </c>
      <c r="Y1090" s="6">
        <v>51.3</v>
      </c>
      <c r="Z1090">
        <v>0.107</v>
      </c>
      <c r="AA1090">
        <v>0.12</v>
      </c>
      <c r="AB1090">
        <v>2.4E-2</v>
      </c>
      <c r="AC1090">
        <v>6</v>
      </c>
      <c r="AD1090" s="6">
        <v>50</v>
      </c>
      <c r="AE1090" s="6">
        <v>0</v>
      </c>
      <c r="AF1090" s="6">
        <v>0</v>
      </c>
      <c r="AG1090" s="6">
        <v>96.82</v>
      </c>
      <c r="AH1090" s="6">
        <v>124.22</v>
      </c>
      <c r="AI1090" s="6">
        <f t="shared" ref="AI1090:AI1153" si="34">AH1090-AG1090</f>
        <v>27.400000000000006</v>
      </c>
      <c r="AJ1090" s="5">
        <f t="shared" ref="AJ1090:AJ1153" si="35">IFERROR(AI1090/AH1090,0)</f>
        <v>0.2205763967155048</v>
      </c>
    </row>
    <row r="1091" spans="1:36">
      <c r="A1091" t="s">
        <v>223</v>
      </c>
      <c r="B1091" t="s">
        <v>1376</v>
      </c>
      <c r="C1091" t="s">
        <v>84</v>
      </c>
      <c r="D1091" t="s">
        <v>77</v>
      </c>
      <c r="E1091" t="s">
        <v>69</v>
      </c>
      <c r="F1091">
        <v>0</v>
      </c>
      <c r="G1091">
        <v>1669</v>
      </c>
      <c r="H1091">
        <v>1</v>
      </c>
      <c r="I1091" t="s">
        <v>173</v>
      </c>
      <c r="J1091">
        <v>1</v>
      </c>
      <c r="K1091" s="6">
        <v>1.56</v>
      </c>
      <c r="L1091" t="s">
        <v>174</v>
      </c>
      <c r="M1091">
        <v>0</v>
      </c>
      <c r="N1091" t="s">
        <v>175</v>
      </c>
      <c r="O1091">
        <v>1</v>
      </c>
      <c r="P1091">
        <v>1</v>
      </c>
      <c r="Q1091" s="6">
        <v>40.799999999999997</v>
      </c>
      <c r="R1091">
        <v>0</v>
      </c>
      <c r="S1091" s="6">
        <v>0</v>
      </c>
      <c r="T1091">
        <v>0</v>
      </c>
      <c r="U1091" s="6">
        <v>5448</v>
      </c>
      <c r="V1091">
        <v>0</v>
      </c>
      <c r="W1091">
        <v>0</v>
      </c>
      <c r="X1091">
        <v>0</v>
      </c>
      <c r="Y1091" s="6">
        <v>51.3</v>
      </c>
      <c r="Z1091">
        <v>0.107</v>
      </c>
      <c r="AA1091">
        <v>0.12</v>
      </c>
      <c r="AB1091">
        <v>2.4E-2</v>
      </c>
      <c r="AC1091">
        <v>6</v>
      </c>
      <c r="AD1091" s="6">
        <v>50</v>
      </c>
      <c r="AE1091" s="6">
        <v>0</v>
      </c>
      <c r="AF1091" s="6">
        <v>0</v>
      </c>
      <c r="AG1091" s="6">
        <v>78.13</v>
      </c>
      <c r="AH1091" s="6">
        <v>101.4</v>
      </c>
      <c r="AI1091" s="6">
        <f t="shared" si="34"/>
        <v>23.27000000000001</v>
      </c>
      <c r="AJ1091" s="5">
        <f t="shared" si="35"/>
        <v>0.22948717948717959</v>
      </c>
    </row>
    <row r="1092" spans="1:36">
      <c r="A1092" t="s">
        <v>401</v>
      </c>
      <c r="B1092" t="s">
        <v>1377</v>
      </c>
      <c r="C1092" t="s">
        <v>84</v>
      </c>
      <c r="D1092" t="s">
        <v>77</v>
      </c>
      <c r="E1092" t="s">
        <v>69</v>
      </c>
      <c r="F1092">
        <v>0</v>
      </c>
      <c r="G1092">
        <v>1669</v>
      </c>
      <c r="H1092">
        <v>1</v>
      </c>
      <c r="I1092" t="s">
        <v>173</v>
      </c>
      <c r="J1092">
        <v>1</v>
      </c>
      <c r="K1092" s="6">
        <v>0.78</v>
      </c>
      <c r="L1092" t="s">
        <v>174</v>
      </c>
      <c r="M1092">
        <v>0</v>
      </c>
      <c r="N1092" t="s">
        <v>175</v>
      </c>
      <c r="O1092">
        <v>1</v>
      </c>
      <c r="P1092">
        <v>0</v>
      </c>
      <c r="Q1092" s="6">
        <v>50</v>
      </c>
      <c r="R1092">
        <v>1</v>
      </c>
      <c r="S1092" s="6">
        <v>4884</v>
      </c>
      <c r="T1092">
        <v>0</v>
      </c>
      <c r="U1092" s="6">
        <v>4531</v>
      </c>
      <c r="V1092">
        <v>0</v>
      </c>
      <c r="W1092">
        <v>0</v>
      </c>
      <c r="X1092">
        <v>0</v>
      </c>
      <c r="Y1092" s="6">
        <v>51.3</v>
      </c>
      <c r="Z1092">
        <v>0.107</v>
      </c>
      <c r="AA1092">
        <v>0.12</v>
      </c>
      <c r="AB1092">
        <v>2.4E-2</v>
      </c>
      <c r="AC1092">
        <v>6</v>
      </c>
      <c r="AD1092" s="6">
        <v>50</v>
      </c>
      <c r="AE1092" s="6">
        <v>40</v>
      </c>
      <c r="AF1092" s="6">
        <v>0</v>
      </c>
      <c r="AG1092" s="6">
        <v>52.96</v>
      </c>
      <c r="AH1092" s="6">
        <v>70.92</v>
      </c>
      <c r="AI1092" s="6">
        <f t="shared" si="34"/>
        <v>17.96</v>
      </c>
      <c r="AJ1092" s="5">
        <f t="shared" si="35"/>
        <v>0.25324309080654261</v>
      </c>
    </row>
    <row r="1093" spans="1:36">
      <c r="A1093" t="s">
        <v>350</v>
      </c>
      <c r="B1093" t="s">
        <v>1378</v>
      </c>
      <c r="C1093" t="s">
        <v>84</v>
      </c>
      <c r="D1093" t="s">
        <v>77</v>
      </c>
      <c r="E1093" t="s">
        <v>69</v>
      </c>
      <c r="F1093">
        <v>0</v>
      </c>
      <c r="G1093">
        <v>1669</v>
      </c>
      <c r="H1093">
        <v>1</v>
      </c>
      <c r="I1093" t="s">
        <v>173</v>
      </c>
      <c r="J1093">
        <v>1</v>
      </c>
      <c r="K1093" s="6">
        <v>2.38</v>
      </c>
      <c r="L1093" t="s">
        <v>174</v>
      </c>
      <c r="M1093">
        <v>0</v>
      </c>
      <c r="N1093" t="s">
        <v>187</v>
      </c>
      <c r="O1093">
        <v>2</v>
      </c>
      <c r="P1093">
        <v>0</v>
      </c>
      <c r="Q1093" s="6">
        <v>59.7</v>
      </c>
      <c r="R1093">
        <v>0</v>
      </c>
      <c r="S1093" s="6">
        <v>0</v>
      </c>
      <c r="T1093">
        <v>0</v>
      </c>
      <c r="U1093" s="6">
        <v>3425</v>
      </c>
      <c r="V1093">
        <v>0</v>
      </c>
      <c r="W1093">
        <v>0</v>
      </c>
      <c r="X1093">
        <v>0</v>
      </c>
      <c r="Y1093" s="6">
        <v>51.3</v>
      </c>
      <c r="Z1093">
        <v>0.107</v>
      </c>
      <c r="AA1093">
        <v>0.12</v>
      </c>
      <c r="AB1093">
        <v>2.4E-2</v>
      </c>
      <c r="AC1093">
        <v>6</v>
      </c>
      <c r="AD1093" s="6">
        <v>50</v>
      </c>
      <c r="AE1093" s="6">
        <v>0</v>
      </c>
      <c r="AF1093" s="6">
        <v>0</v>
      </c>
      <c r="AG1093" s="6">
        <v>51.97</v>
      </c>
      <c r="AH1093" s="6">
        <v>67.23</v>
      </c>
      <c r="AI1093" s="6">
        <f t="shared" si="34"/>
        <v>15.260000000000005</v>
      </c>
      <c r="AJ1093" s="5">
        <f t="shared" si="35"/>
        <v>0.22698200208240374</v>
      </c>
    </row>
    <row r="1094" spans="1:36">
      <c r="A1094" t="s">
        <v>328</v>
      </c>
      <c r="B1094" t="s">
        <v>1379</v>
      </c>
      <c r="C1094" t="s">
        <v>84</v>
      </c>
      <c r="D1094" t="s">
        <v>77</v>
      </c>
      <c r="E1094" t="s">
        <v>69</v>
      </c>
      <c r="F1094">
        <v>0</v>
      </c>
      <c r="G1094">
        <v>1669</v>
      </c>
      <c r="H1094">
        <v>1</v>
      </c>
      <c r="I1094" t="s">
        <v>220</v>
      </c>
      <c r="J1094">
        <v>2</v>
      </c>
      <c r="K1094" s="6">
        <v>3.22</v>
      </c>
      <c r="L1094" t="s">
        <v>200</v>
      </c>
      <c r="M1094">
        <v>1</v>
      </c>
      <c r="N1094" t="s">
        <v>175</v>
      </c>
      <c r="O1094">
        <v>1</v>
      </c>
      <c r="P1094">
        <v>0</v>
      </c>
      <c r="Q1094" s="6">
        <v>43.8</v>
      </c>
      <c r="R1094">
        <v>0</v>
      </c>
      <c r="S1094" s="6">
        <v>0</v>
      </c>
      <c r="T1094">
        <v>0</v>
      </c>
      <c r="U1094" s="6">
        <v>5080</v>
      </c>
      <c r="V1094">
        <v>0</v>
      </c>
      <c r="W1094">
        <v>0</v>
      </c>
      <c r="X1094">
        <v>0</v>
      </c>
      <c r="Y1094" s="6">
        <v>51.3</v>
      </c>
      <c r="Z1094">
        <v>0.107</v>
      </c>
      <c r="AA1094">
        <v>0.12</v>
      </c>
      <c r="AB1094">
        <v>2.4E-2</v>
      </c>
      <c r="AC1094">
        <v>6</v>
      </c>
      <c r="AD1094" s="6">
        <v>119</v>
      </c>
      <c r="AE1094" s="6">
        <v>0</v>
      </c>
      <c r="AF1094" s="6">
        <v>0</v>
      </c>
      <c r="AG1094" s="6">
        <v>90.08</v>
      </c>
      <c r="AH1094" s="6">
        <v>120.63</v>
      </c>
      <c r="AI1094" s="6">
        <f t="shared" si="34"/>
        <v>30.549999999999997</v>
      </c>
      <c r="AJ1094" s="5">
        <f t="shared" si="35"/>
        <v>0.2532537511398491</v>
      </c>
    </row>
    <row r="1095" spans="1:36">
      <c r="A1095" t="s">
        <v>298</v>
      </c>
      <c r="B1095" t="s">
        <v>1380</v>
      </c>
      <c r="C1095" t="s">
        <v>84</v>
      </c>
      <c r="D1095" t="s">
        <v>77</v>
      </c>
      <c r="E1095" t="s">
        <v>69</v>
      </c>
      <c r="F1095">
        <v>0</v>
      </c>
      <c r="G1095">
        <v>1669</v>
      </c>
      <c r="H1095">
        <v>1</v>
      </c>
      <c r="I1095" t="s">
        <v>181</v>
      </c>
      <c r="J1095">
        <v>3</v>
      </c>
      <c r="K1095" s="6">
        <v>8.34</v>
      </c>
      <c r="L1095" t="s">
        <v>174</v>
      </c>
      <c r="M1095">
        <v>0</v>
      </c>
      <c r="N1095" t="s">
        <v>175</v>
      </c>
      <c r="O1095">
        <v>1</v>
      </c>
      <c r="P1095">
        <v>0</v>
      </c>
      <c r="Q1095" s="6">
        <v>34.9</v>
      </c>
      <c r="R1095">
        <v>0</v>
      </c>
      <c r="S1095" s="6">
        <v>0</v>
      </c>
      <c r="T1095">
        <v>0</v>
      </c>
      <c r="U1095" s="6">
        <v>3104</v>
      </c>
      <c r="V1095">
        <v>0</v>
      </c>
      <c r="W1095">
        <v>0</v>
      </c>
      <c r="X1095">
        <v>0</v>
      </c>
      <c r="Y1095" s="6">
        <v>51.3</v>
      </c>
      <c r="Z1095">
        <v>0.107</v>
      </c>
      <c r="AA1095">
        <v>0.12</v>
      </c>
      <c r="AB1095">
        <v>2.4E-2</v>
      </c>
      <c r="AC1095">
        <v>6</v>
      </c>
      <c r="AD1095" s="6">
        <v>60</v>
      </c>
      <c r="AE1095" s="6">
        <v>0</v>
      </c>
      <c r="AF1095" s="6">
        <v>0</v>
      </c>
      <c r="AG1095" s="6">
        <v>97.67</v>
      </c>
      <c r="AH1095" s="6">
        <v>124.83</v>
      </c>
      <c r="AI1095" s="6">
        <f t="shared" si="34"/>
        <v>27.159999999999997</v>
      </c>
      <c r="AJ1095" s="5">
        <f t="shared" si="35"/>
        <v>0.2175759032283906</v>
      </c>
    </row>
    <row r="1096" spans="1:36">
      <c r="A1096" t="s">
        <v>693</v>
      </c>
      <c r="B1096" t="s">
        <v>1381</v>
      </c>
      <c r="C1096" t="s">
        <v>84</v>
      </c>
      <c r="D1096" t="s">
        <v>77</v>
      </c>
      <c r="E1096" t="s">
        <v>69</v>
      </c>
      <c r="F1096">
        <v>0</v>
      </c>
      <c r="G1096">
        <v>1669</v>
      </c>
      <c r="H1096">
        <v>1</v>
      </c>
      <c r="I1096" t="s">
        <v>173</v>
      </c>
      <c r="J1096">
        <v>1</v>
      </c>
      <c r="K1096" s="6">
        <v>1.73</v>
      </c>
      <c r="L1096" t="s">
        <v>200</v>
      </c>
      <c r="M1096">
        <v>1</v>
      </c>
      <c r="N1096" t="s">
        <v>182</v>
      </c>
      <c r="O1096">
        <v>3</v>
      </c>
      <c r="P1096">
        <v>0</v>
      </c>
      <c r="Q1096" s="6">
        <v>84.3</v>
      </c>
      <c r="R1096">
        <v>0</v>
      </c>
      <c r="S1096" s="6">
        <v>0</v>
      </c>
      <c r="T1096">
        <v>0</v>
      </c>
      <c r="U1096" s="6">
        <v>1364</v>
      </c>
      <c r="V1096">
        <v>0</v>
      </c>
      <c r="W1096">
        <v>0</v>
      </c>
      <c r="X1096">
        <v>0</v>
      </c>
      <c r="Y1096" s="6">
        <v>51.3</v>
      </c>
      <c r="Z1096">
        <v>0.107</v>
      </c>
      <c r="AA1096">
        <v>0.12</v>
      </c>
      <c r="AB1096">
        <v>2.4E-2</v>
      </c>
      <c r="AC1096">
        <v>6</v>
      </c>
      <c r="AD1096" s="6">
        <v>99</v>
      </c>
      <c r="AE1096" s="6">
        <v>0</v>
      </c>
      <c r="AF1096" s="6">
        <v>0</v>
      </c>
      <c r="AG1096" s="6">
        <v>90.66</v>
      </c>
      <c r="AH1096" s="6">
        <v>114.9</v>
      </c>
      <c r="AI1096" s="6">
        <f t="shared" si="34"/>
        <v>24.240000000000009</v>
      </c>
      <c r="AJ1096" s="5">
        <f t="shared" si="35"/>
        <v>0.21096605744125332</v>
      </c>
    </row>
    <row r="1097" spans="1:36">
      <c r="A1097" t="s">
        <v>330</v>
      </c>
      <c r="B1097" t="s">
        <v>1382</v>
      </c>
      <c r="C1097" t="s">
        <v>84</v>
      </c>
      <c r="D1097" t="s">
        <v>77</v>
      </c>
      <c r="E1097" t="s">
        <v>69</v>
      </c>
      <c r="F1097">
        <v>0</v>
      </c>
      <c r="G1097">
        <v>1669</v>
      </c>
      <c r="H1097">
        <v>1</v>
      </c>
      <c r="I1097" t="s">
        <v>181</v>
      </c>
      <c r="J1097">
        <v>3</v>
      </c>
      <c r="K1097" s="6">
        <v>9.49</v>
      </c>
      <c r="L1097" t="s">
        <v>174</v>
      </c>
      <c r="M1097">
        <v>0</v>
      </c>
      <c r="N1097" t="s">
        <v>187</v>
      </c>
      <c r="O1097">
        <v>2</v>
      </c>
      <c r="P1097">
        <v>0</v>
      </c>
      <c r="Q1097" s="6">
        <v>50.9</v>
      </c>
      <c r="R1097">
        <v>0</v>
      </c>
      <c r="S1097" s="6">
        <v>0</v>
      </c>
      <c r="T1097">
        <v>0</v>
      </c>
      <c r="U1097" s="6">
        <v>5732</v>
      </c>
      <c r="V1097">
        <v>0</v>
      </c>
      <c r="W1097">
        <v>0</v>
      </c>
      <c r="X1097">
        <v>0</v>
      </c>
      <c r="Y1097" s="6">
        <v>51.3</v>
      </c>
      <c r="Z1097">
        <v>0.107</v>
      </c>
      <c r="AA1097">
        <v>0.12</v>
      </c>
      <c r="AB1097">
        <v>2.4E-2</v>
      </c>
      <c r="AC1097">
        <v>6</v>
      </c>
      <c r="AD1097" s="6">
        <v>60</v>
      </c>
      <c r="AE1097" s="6">
        <v>0</v>
      </c>
      <c r="AF1097" s="6">
        <v>0</v>
      </c>
      <c r="AG1097" s="6">
        <v>102.74</v>
      </c>
      <c r="AH1097" s="6">
        <v>131.03</v>
      </c>
      <c r="AI1097" s="6">
        <f t="shared" si="34"/>
        <v>28.290000000000006</v>
      </c>
      <c r="AJ1097" s="5">
        <f t="shared" si="35"/>
        <v>0.21590475463634287</v>
      </c>
    </row>
    <row r="1098" spans="1:36">
      <c r="A1098" t="s">
        <v>691</v>
      </c>
      <c r="B1098" t="s">
        <v>1383</v>
      </c>
      <c r="C1098" t="s">
        <v>84</v>
      </c>
      <c r="D1098" t="s">
        <v>77</v>
      </c>
      <c r="E1098" t="s">
        <v>69</v>
      </c>
      <c r="F1098">
        <v>0</v>
      </c>
      <c r="G1098">
        <v>1669</v>
      </c>
      <c r="H1098">
        <v>1</v>
      </c>
      <c r="I1098" t="s">
        <v>173</v>
      </c>
      <c r="J1098">
        <v>1</v>
      </c>
      <c r="K1098" s="6">
        <v>1.35</v>
      </c>
      <c r="L1098" t="s">
        <v>200</v>
      </c>
      <c r="M1098">
        <v>1</v>
      </c>
      <c r="N1098" t="s">
        <v>175</v>
      </c>
      <c r="O1098">
        <v>1</v>
      </c>
      <c r="P1098">
        <v>0</v>
      </c>
      <c r="Q1098" s="6">
        <v>26.8</v>
      </c>
      <c r="R1098">
        <v>0</v>
      </c>
      <c r="S1098" s="6">
        <v>0</v>
      </c>
      <c r="T1098">
        <v>0</v>
      </c>
      <c r="U1098" s="6">
        <v>3831</v>
      </c>
      <c r="V1098">
        <v>0</v>
      </c>
      <c r="W1098">
        <v>0</v>
      </c>
      <c r="X1098">
        <v>0</v>
      </c>
      <c r="Y1098" s="6">
        <v>51.3</v>
      </c>
      <c r="Z1098">
        <v>0.107</v>
      </c>
      <c r="AA1098">
        <v>0.12</v>
      </c>
      <c r="AB1098">
        <v>2.4E-2</v>
      </c>
      <c r="AC1098">
        <v>6</v>
      </c>
      <c r="AD1098" s="6">
        <v>99</v>
      </c>
      <c r="AE1098" s="6">
        <v>0</v>
      </c>
      <c r="AF1098" s="6">
        <v>0</v>
      </c>
      <c r="AG1098" s="6">
        <v>81.2</v>
      </c>
      <c r="AH1098" s="6">
        <v>101.57</v>
      </c>
      <c r="AI1098" s="6">
        <f t="shared" si="34"/>
        <v>20.36999999999999</v>
      </c>
      <c r="AJ1098" s="5">
        <f t="shared" si="35"/>
        <v>0.20055134390075802</v>
      </c>
    </row>
    <row r="1099" spans="1:36">
      <c r="A1099" t="s">
        <v>233</v>
      </c>
      <c r="B1099" t="s">
        <v>1384</v>
      </c>
      <c r="C1099" t="s">
        <v>84</v>
      </c>
      <c r="D1099" t="s">
        <v>77</v>
      </c>
      <c r="E1099" t="s">
        <v>69</v>
      </c>
      <c r="F1099">
        <v>0</v>
      </c>
      <c r="G1099">
        <v>1669</v>
      </c>
      <c r="H1099">
        <v>1</v>
      </c>
      <c r="I1099" t="s">
        <v>173</v>
      </c>
      <c r="J1099">
        <v>1</v>
      </c>
      <c r="K1099" s="6">
        <v>1.42</v>
      </c>
      <c r="L1099" t="s">
        <v>174</v>
      </c>
      <c r="M1099">
        <v>0</v>
      </c>
      <c r="N1099" t="s">
        <v>187</v>
      </c>
      <c r="O1099">
        <v>2</v>
      </c>
      <c r="P1099">
        <v>0</v>
      </c>
      <c r="Q1099" s="6">
        <v>58.7</v>
      </c>
      <c r="R1099">
        <v>0</v>
      </c>
      <c r="S1099" s="6">
        <v>0</v>
      </c>
      <c r="T1099">
        <v>0</v>
      </c>
      <c r="U1099" s="6">
        <v>1772</v>
      </c>
      <c r="V1099">
        <v>0</v>
      </c>
      <c r="W1099">
        <v>0</v>
      </c>
      <c r="X1099">
        <v>0</v>
      </c>
      <c r="Y1099" s="6">
        <v>51.3</v>
      </c>
      <c r="Z1099">
        <v>0.107</v>
      </c>
      <c r="AA1099">
        <v>0.12</v>
      </c>
      <c r="AB1099">
        <v>2.4E-2</v>
      </c>
      <c r="AC1099">
        <v>6</v>
      </c>
      <c r="AD1099" s="6">
        <v>50</v>
      </c>
      <c r="AE1099" s="6">
        <v>0</v>
      </c>
      <c r="AF1099" s="6">
        <v>0</v>
      </c>
      <c r="AG1099" s="6">
        <v>52.55</v>
      </c>
      <c r="AH1099" s="6">
        <v>69.010000000000005</v>
      </c>
      <c r="AI1099" s="6">
        <f t="shared" si="34"/>
        <v>16.460000000000008</v>
      </c>
      <c r="AJ1099" s="5">
        <f t="shared" si="35"/>
        <v>0.23851615707868434</v>
      </c>
    </row>
    <row r="1100" spans="1:36">
      <c r="A1100" t="s">
        <v>288</v>
      </c>
      <c r="B1100" t="s">
        <v>1385</v>
      </c>
      <c r="C1100" t="s">
        <v>84</v>
      </c>
      <c r="D1100" t="s">
        <v>77</v>
      </c>
      <c r="E1100" t="s">
        <v>69</v>
      </c>
      <c r="F1100">
        <v>0</v>
      </c>
      <c r="G1100">
        <v>1669</v>
      </c>
      <c r="H1100">
        <v>1</v>
      </c>
      <c r="I1100" t="s">
        <v>173</v>
      </c>
      <c r="J1100">
        <v>1</v>
      </c>
      <c r="K1100" s="6">
        <v>1.28</v>
      </c>
      <c r="L1100" t="s">
        <v>174</v>
      </c>
      <c r="M1100">
        <v>0</v>
      </c>
      <c r="N1100" t="s">
        <v>217</v>
      </c>
      <c r="O1100">
        <v>4</v>
      </c>
      <c r="P1100">
        <v>1</v>
      </c>
      <c r="Q1100" s="6">
        <v>86.8</v>
      </c>
      <c r="R1100">
        <v>0</v>
      </c>
      <c r="S1100" s="6">
        <v>0</v>
      </c>
      <c r="T1100">
        <v>0</v>
      </c>
      <c r="U1100" s="6">
        <v>2582</v>
      </c>
      <c r="V1100">
        <v>1</v>
      </c>
      <c r="W1100">
        <v>0</v>
      </c>
      <c r="X1100">
        <v>0</v>
      </c>
      <c r="Y1100" s="6">
        <v>51.3</v>
      </c>
      <c r="Z1100">
        <v>0.107</v>
      </c>
      <c r="AA1100">
        <v>0.12</v>
      </c>
      <c r="AB1100">
        <v>2.4E-2</v>
      </c>
      <c r="AC1100">
        <v>6</v>
      </c>
      <c r="AD1100" s="6">
        <v>50</v>
      </c>
      <c r="AE1100" s="6">
        <v>0</v>
      </c>
      <c r="AF1100" s="6">
        <v>0</v>
      </c>
      <c r="AG1100" s="6">
        <v>160.13999999999999</v>
      </c>
      <c r="AH1100" s="6">
        <v>203.26</v>
      </c>
      <c r="AI1100" s="6">
        <f t="shared" si="34"/>
        <v>43.120000000000005</v>
      </c>
      <c r="AJ1100" s="5">
        <f t="shared" si="35"/>
        <v>0.21214208403030604</v>
      </c>
    </row>
    <row r="1101" spans="1:36">
      <c r="A1101" t="s">
        <v>293</v>
      </c>
      <c r="B1101" t="s">
        <v>1386</v>
      </c>
      <c r="C1101" t="s">
        <v>84</v>
      </c>
      <c r="D1101" t="s">
        <v>77</v>
      </c>
      <c r="E1101" t="s">
        <v>69</v>
      </c>
      <c r="F1101">
        <v>0</v>
      </c>
      <c r="G1101">
        <v>1669</v>
      </c>
      <c r="H1101">
        <v>1</v>
      </c>
      <c r="I1101" t="s">
        <v>181</v>
      </c>
      <c r="J1101">
        <v>3</v>
      </c>
      <c r="K1101" s="6">
        <v>9.8800000000000008</v>
      </c>
      <c r="L1101" t="s">
        <v>200</v>
      </c>
      <c r="M1101">
        <v>1</v>
      </c>
      <c r="N1101" t="s">
        <v>182</v>
      </c>
      <c r="O1101">
        <v>3</v>
      </c>
      <c r="P1101">
        <v>0</v>
      </c>
      <c r="Q1101" s="6">
        <v>76.099999999999994</v>
      </c>
      <c r="R1101">
        <v>0</v>
      </c>
      <c r="S1101" s="6">
        <v>0</v>
      </c>
      <c r="T1101">
        <v>0</v>
      </c>
      <c r="U1101" s="6">
        <v>2866</v>
      </c>
      <c r="V1101">
        <v>0</v>
      </c>
      <c r="W1101">
        <v>0</v>
      </c>
      <c r="X1101">
        <v>0</v>
      </c>
      <c r="Y1101" s="6">
        <v>51.3</v>
      </c>
      <c r="Z1101">
        <v>0.107</v>
      </c>
      <c r="AA1101">
        <v>0.12</v>
      </c>
      <c r="AB1101">
        <v>2.4E-2</v>
      </c>
      <c r="AC1101">
        <v>6</v>
      </c>
      <c r="AD1101" s="6">
        <v>139</v>
      </c>
      <c r="AE1101" s="6">
        <v>0</v>
      </c>
      <c r="AF1101" s="6">
        <v>0</v>
      </c>
      <c r="AG1101" s="6">
        <v>132.94999999999999</v>
      </c>
      <c r="AH1101" s="6">
        <v>166.95</v>
      </c>
      <c r="AI1101" s="6">
        <f t="shared" si="34"/>
        <v>34</v>
      </c>
      <c r="AJ1101" s="5">
        <f t="shared" si="35"/>
        <v>0.20365378855944896</v>
      </c>
    </row>
    <row r="1102" spans="1:36">
      <c r="A1102" t="s">
        <v>311</v>
      </c>
      <c r="B1102" t="s">
        <v>1387</v>
      </c>
      <c r="C1102" t="s">
        <v>84</v>
      </c>
      <c r="D1102" t="s">
        <v>77</v>
      </c>
      <c r="E1102" t="s">
        <v>69</v>
      </c>
      <c r="F1102">
        <v>0</v>
      </c>
      <c r="G1102">
        <v>1669</v>
      </c>
      <c r="H1102">
        <v>1</v>
      </c>
      <c r="I1102" t="s">
        <v>181</v>
      </c>
      <c r="J1102">
        <v>3</v>
      </c>
      <c r="K1102" s="6">
        <v>7.24</v>
      </c>
      <c r="L1102" t="s">
        <v>200</v>
      </c>
      <c r="M1102">
        <v>1</v>
      </c>
      <c r="N1102" t="s">
        <v>175</v>
      </c>
      <c r="O1102">
        <v>1</v>
      </c>
      <c r="P1102">
        <v>0</v>
      </c>
      <c r="Q1102" s="6">
        <v>33.299999999999997</v>
      </c>
      <c r="R1102">
        <v>0</v>
      </c>
      <c r="S1102" s="6">
        <v>0</v>
      </c>
      <c r="T1102">
        <v>0</v>
      </c>
      <c r="U1102" s="6">
        <v>976</v>
      </c>
      <c r="V1102">
        <v>1</v>
      </c>
      <c r="W1102">
        <v>0</v>
      </c>
      <c r="X1102">
        <v>0</v>
      </c>
      <c r="Y1102" s="6">
        <v>51.3</v>
      </c>
      <c r="Z1102">
        <v>0.107</v>
      </c>
      <c r="AA1102">
        <v>0.12</v>
      </c>
      <c r="AB1102">
        <v>2.4E-2</v>
      </c>
      <c r="AC1102">
        <v>6</v>
      </c>
      <c r="AD1102" s="6">
        <v>139</v>
      </c>
      <c r="AE1102" s="6">
        <v>0</v>
      </c>
      <c r="AF1102" s="6">
        <v>0</v>
      </c>
      <c r="AG1102" s="6">
        <v>152.16999999999999</v>
      </c>
      <c r="AH1102" s="6">
        <v>192.55</v>
      </c>
      <c r="AI1102" s="6">
        <f t="shared" si="34"/>
        <v>40.380000000000024</v>
      </c>
      <c r="AJ1102" s="5">
        <f t="shared" si="35"/>
        <v>0.20971176317839532</v>
      </c>
    </row>
    <row r="1103" spans="1:36">
      <c r="A1103" t="s">
        <v>225</v>
      </c>
      <c r="B1103" t="s">
        <v>1388</v>
      </c>
      <c r="C1103" t="s">
        <v>84</v>
      </c>
      <c r="D1103" t="s">
        <v>77</v>
      </c>
      <c r="E1103" t="s">
        <v>69</v>
      </c>
      <c r="F1103">
        <v>0</v>
      </c>
      <c r="G1103">
        <v>1669</v>
      </c>
      <c r="H1103">
        <v>1</v>
      </c>
      <c r="I1103" t="s">
        <v>173</v>
      </c>
      <c r="J1103">
        <v>1</v>
      </c>
      <c r="K1103" s="6">
        <v>1.81</v>
      </c>
      <c r="L1103" t="s">
        <v>174</v>
      </c>
      <c r="M1103">
        <v>0</v>
      </c>
      <c r="N1103" t="s">
        <v>187</v>
      </c>
      <c r="O1103">
        <v>2</v>
      </c>
      <c r="P1103">
        <v>1</v>
      </c>
      <c r="Q1103" s="6">
        <v>50.6</v>
      </c>
      <c r="R1103">
        <v>0</v>
      </c>
      <c r="S1103" s="6">
        <v>0</v>
      </c>
      <c r="T1103">
        <v>0</v>
      </c>
      <c r="U1103" s="6">
        <v>1774</v>
      </c>
      <c r="V1103">
        <v>0</v>
      </c>
      <c r="W1103">
        <v>0</v>
      </c>
      <c r="X1103">
        <v>0</v>
      </c>
      <c r="Y1103" s="6">
        <v>51.3</v>
      </c>
      <c r="Z1103">
        <v>0.107</v>
      </c>
      <c r="AA1103">
        <v>0.12</v>
      </c>
      <c r="AB1103">
        <v>2.4E-2</v>
      </c>
      <c r="AC1103">
        <v>6</v>
      </c>
      <c r="AD1103" s="6">
        <v>50</v>
      </c>
      <c r="AE1103" s="6">
        <v>0</v>
      </c>
      <c r="AF1103" s="6">
        <v>0</v>
      </c>
      <c r="AG1103" s="6">
        <v>79.06</v>
      </c>
      <c r="AH1103" s="6">
        <v>101.1</v>
      </c>
      <c r="AI1103" s="6">
        <f t="shared" si="34"/>
        <v>22.039999999999992</v>
      </c>
      <c r="AJ1103" s="5">
        <f t="shared" si="35"/>
        <v>0.2180019782393669</v>
      </c>
    </row>
    <row r="1104" spans="1:36">
      <c r="A1104" t="s">
        <v>251</v>
      </c>
      <c r="B1104" t="s">
        <v>1389</v>
      </c>
      <c r="C1104" t="s">
        <v>84</v>
      </c>
      <c r="D1104" t="s">
        <v>77</v>
      </c>
      <c r="E1104" t="s">
        <v>69</v>
      </c>
      <c r="F1104">
        <v>0</v>
      </c>
      <c r="G1104">
        <v>1669</v>
      </c>
      <c r="H1104">
        <v>1</v>
      </c>
      <c r="I1104" t="s">
        <v>173</v>
      </c>
      <c r="J1104">
        <v>1</v>
      </c>
      <c r="K1104" s="6">
        <v>2.85</v>
      </c>
      <c r="L1104" t="s">
        <v>174</v>
      </c>
      <c r="M1104">
        <v>0</v>
      </c>
      <c r="N1104" t="s">
        <v>187</v>
      </c>
      <c r="O1104">
        <v>2</v>
      </c>
      <c r="P1104">
        <v>0</v>
      </c>
      <c r="Q1104" s="6">
        <v>55.2</v>
      </c>
      <c r="R1104">
        <v>0</v>
      </c>
      <c r="S1104" s="6">
        <v>0</v>
      </c>
      <c r="T1104">
        <v>0</v>
      </c>
      <c r="U1104" s="6">
        <v>2103</v>
      </c>
      <c r="V1104">
        <v>0</v>
      </c>
      <c r="W1104">
        <v>0</v>
      </c>
      <c r="X1104">
        <v>0</v>
      </c>
      <c r="Y1104" s="6">
        <v>51.3</v>
      </c>
      <c r="Z1104">
        <v>0.107</v>
      </c>
      <c r="AA1104">
        <v>0.12</v>
      </c>
      <c r="AB1104">
        <v>2.4E-2</v>
      </c>
      <c r="AC1104">
        <v>6</v>
      </c>
      <c r="AD1104" s="6">
        <v>50</v>
      </c>
      <c r="AE1104" s="6">
        <v>0</v>
      </c>
      <c r="AF1104" s="6">
        <v>0</v>
      </c>
      <c r="AG1104" s="6">
        <v>55.84</v>
      </c>
      <c r="AH1104" s="6">
        <v>71.14</v>
      </c>
      <c r="AI1104" s="6">
        <f t="shared" si="34"/>
        <v>15.299999999999997</v>
      </c>
      <c r="AJ1104" s="5">
        <f t="shared" si="35"/>
        <v>0.21506887826820351</v>
      </c>
    </row>
    <row r="1105" spans="1:36">
      <c r="A1105" t="s">
        <v>230</v>
      </c>
      <c r="B1105" t="s">
        <v>1390</v>
      </c>
      <c r="C1105" t="s">
        <v>84</v>
      </c>
      <c r="D1105" t="s">
        <v>77</v>
      </c>
      <c r="E1105" t="s">
        <v>69</v>
      </c>
      <c r="F1105">
        <v>0</v>
      </c>
      <c r="G1105">
        <v>1669</v>
      </c>
      <c r="H1105">
        <v>1</v>
      </c>
      <c r="I1105" t="s">
        <v>173</v>
      </c>
      <c r="J1105">
        <v>1</v>
      </c>
      <c r="K1105" s="6">
        <v>1.48</v>
      </c>
      <c r="L1105" t="s">
        <v>174</v>
      </c>
      <c r="M1105">
        <v>0</v>
      </c>
      <c r="N1105" t="s">
        <v>175</v>
      </c>
      <c r="O1105">
        <v>1</v>
      </c>
      <c r="P1105">
        <v>0</v>
      </c>
      <c r="Q1105" s="6">
        <v>28.2</v>
      </c>
      <c r="R1105">
        <v>1</v>
      </c>
      <c r="S1105" s="6">
        <v>1255</v>
      </c>
      <c r="T1105">
        <v>0</v>
      </c>
      <c r="U1105" s="6">
        <v>3007</v>
      </c>
      <c r="V1105">
        <v>0</v>
      </c>
      <c r="W1105">
        <v>0</v>
      </c>
      <c r="X1105">
        <v>0</v>
      </c>
      <c r="Y1105" s="6">
        <v>51.3</v>
      </c>
      <c r="Z1105">
        <v>0.107</v>
      </c>
      <c r="AA1105">
        <v>0.12</v>
      </c>
      <c r="AB1105">
        <v>2.4E-2</v>
      </c>
      <c r="AC1105">
        <v>6</v>
      </c>
      <c r="AD1105" s="6">
        <v>50</v>
      </c>
      <c r="AE1105" s="6">
        <v>25</v>
      </c>
      <c r="AF1105" s="6">
        <v>0</v>
      </c>
      <c r="AG1105" s="6">
        <v>55.82</v>
      </c>
      <c r="AH1105" s="6">
        <v>70.5</v>
      </c>
      <c r="AI1105" s="6">
        <f t="shared" si="34"/>
        <v>14.68</v>
      </c>
      <c r="AJ1105" s="5">
        <f t="shared" si="35"/>
        <v>0.20822695035460992</v>
      </c>
    </row>
    <row r="1106" spans="1:36">
      <c r="A1106" t="s">
        <v>230</v>
      </c>
      <c r="B1106" t="s">
        <v>1391</v>
      </c>
      <c r="C1106" t="s">
        <v>84</v>
      </c>
      <c r="D1106" t="s">
        <v>77</v>
      </c>
      <c r="E1106" t="s">
        <v>69</v>
      </c>
      <c r="F1106">
        <v>0</v>
      </c>
      <c r="G1106">
        <v>1669</v>
      </c>
      <c r="H1106">
        <v>1</v>
      </c>
      <c r="I1106" t="s">
        <v>173</v>
      </c>
      <c r="J1106">
        <v>1</v>
      </c>
      <c r="K1106" s="6">
        <v>2.68</v>
      </c>
      <c r="L1106" t="s">
        <v>174</v>
      </c>
      <c r="M1106">
        <v>0</v>
      </c>
      <c r="N1106" t="s">
        <v>175</v>
      </c>
      <c r="O1106">
        <v>1</v>
      </c>
      <c r="P1106">
        <v>0</v>
      </c>
      <c r="Q1106" s="6">
        <v>27.1</v>
      </c>
      <c r="R1106">
        <v>0</v>
      </c>
      <c r="S1106" s="6">
        <v>0</v>
      </c>
      <c r="T1106">
        <v>0</v>
      </c>
      <c r="U1106" s="6">
        <v>2956</v>
      </c>
      <c r="V1106">
        <v>0</v>
      </c>
      <c r="W1106">
        <v>0</v>
      </c>
      <c r="X1106">
        <v>0</v>
      </c>
      <c r="Y1106" s="6">
        <v>51.3</v>
      </c>
      <c r="Z1106">
        <v>0.107</v>
      </c>
      <c r="AA1106">
        <v>0.12</v>
      </c>
      <c r="AB1106">
        <v>2.4E-2</v>
      </c>
      <c r="AC1106">
        <v>6</v>
      </c>
      <c r="AD1106" s="6">
        <v>50</v>
      </c>
      <c r="AE1106" s="6">
        <v>0</v>
      </c>
      <c r="AF1106" s="6">
        <v>0</v>
      </c>
      <c r="AG1106" s="6">
        <v>51.12</v>
      </c>
      <c r="AH1106" s="6">
        <v>67.2</v>
      </c>
      <c r="AI1106" s="6">
        <f t="shared" si="34"/>
        <v>16.080000000000005</v>
      </c>
      <c r="AJ1106" s="5">
        <f t="shared" si="35"/>
        <v>0.23928571428571435</v>
      </c>
    </row>
    <row r="1107" spans="1:36">
      <c r="A1107" t="s">
        <v>249</v>
      </c>
      <c r="B1107" t="s">
        <v>1392</v>
      </c>
      <c r="C1107" t="s">
        <v>84</v>
      </c>
      <c r="D1107" t="s">
        <v>77</v>
      </c>
      <c r="E1107" t="s">
        <v>69</v>
      </c>
      <c r="F1107">
        <v>0</v>
      </c>
      <c r="G1107">
        <v>1669</v>
      </c>
      <c r="H1107">
        <v>1</v>
      </c>
      <c r="I1107" t="s">
        <v>173</v>
      </c>
      <c r="J1107">
        <v>1</v>
      </c>
      <c r="K1107" s="6">
        <v>2.2599999999999998</v>
      </c>
      <c r="L1107" t="s">
        <v>174</v>
      </c>
      <c r="M1107">
        <v>0</v>
      </c>
      <c r="N1107" t="s">
        <v>217</v>
      </c>
      <c r="O1107">
        <v>4</v>
      </c>
      <c r="P1107">
        <v>1</v>
      </c>
      <c r="Q1107" s="6">
        <v>140.5</v>
      </c>
      <c r="R1107">
        <v>1</v>
      </c>
      <c r="S1107" s="6">
        <v>728</v>
      </c>
      <c r="T1107">
        <v>0</v>
      </c>
      <c r="U1107" s="6">
        <v>1315</v>
      </c>
      <c r="V1107">
        <v>0</v>
      </c>
      <c r="W1107">
        <v>0</v>
      </c>
      <c r="X1107">
        <v>0</v>
      </c>
      <c r="Y1107" s="6">
        <v>51.3</v>
      </c>
      <c r="Z1107">
        <v>0.107</v>
      </c>
      <c r="AA1107">
        <v>0.12</v>
      </c>
      <c r="AB1107">
        <v>2.4E-2</v>
      </c>
      <c r="AC1107">
        <v>6</v>
      </c>
      <c r="AD1107" s="6">
        <v>50</v>
      </c>
      <c r="AE1107" s="6">
        <v>25</v>
      </c>
      <c r="AF1107" s="6">
        <v>0</v>
      </c>
      <c r="AG1107" s="6">
        <v>102.31</v>
      </c>
      <c r="AH1107" s="6">
        <v>131.68</v>
      </c>
      <c r="AI1107" s="6">
        <f t="shared" si="34"/>
        <v>29.370000000000005</v>
      </c>
      <c r="AJ1107" s="5">
        <f t="shared" si="35"/>
        <v>0.22304070473876064</v>
      </c>
    </row>
    <row r="1108" spans="1:36">
      <c r="A1108" t="s">
        <v>635</v>
      </c>
      <c r="B1108" t="s">
        <v>1393</v>
      </c>
      <c r="C1108" t="s">
        <v>84</v>
      </c>
      <c r="D1108" t="s">
        <v>77</v>
      </c>
      <c r="E1108" t="s">
        <v>69</v>
      </c>
      <c r="F1108">
        <v>0</v>
      </c>
      <c r="G1108">
        <v>1669</v>
      </c>
      <c r="H1108">
        <v>1</v>
      </c>
      <c r="I1108" t="s">
        <v>173</v>
      </c>
      <c r="J1108">
        <v>1</v>
      </c>
      <c r="K1108" s="6">
        <v>1.79</v>
      </c>
      <c r="L1108" t="s">
        <v>174</v>
      </c>
      <c r="M1108">
        <v>0</v>
      </c>
      <c r="N1108" t="s">
        <v>175</v>
      </c>
      <c r="O1108">
        <v>1</v>
      </c>
      <c r="P1108">
        <v>0</v>
      </c>
      <c r="Q1108" s="6">
        <v>33.9</v>
      </c>
      <c r="R1108">
        <v>0</v>
      </c>
      <c r="S1108" s="6">
        <v>0</v>
      </c>
      <c r="T1108">
        <v>0</v>
      </c>
      <c r="U1108" s="6">
        <v>3099</v>
      </c>
      <c r="V1108">
        <v>0</v>
      </c>
      <c r="W1108">
        <v>0</v>
      </c>
      <c r="X1108">
        <v>0</v>
      </c>
      <c r="Y1108" s="6">
        <v>51.3</v>
      </c>
      <c r="Z1108">
        <v>0.107</v>
      </c>
      <c r="AA1108">
        <v>0.12</v>
      </c>
      <c r="AB1108">
        <v>2.4E-2</v>
      </c>
      <c r="AC1108">
        <v>6</v>
      </c>
      <c r="AD1108" s="6">
        <v>50</v>
      </c>
      <c r="AE1108" s="6">
        <v>0</v>
      </c>
      <c r="AF1108" s="6">
        <v>0</v>
      </c>
      <c r="AG1108" s="6">
        <v>45.67</v>
      </c>
      <c r="AH1108" s="6">
        <v>58.92</v>
      </c>
      <c r="AI1108" s="6">
        <f t="shared" si="34"/>
        <v>13.25</v>
      </c>
      <c r="AJ1108" s="5">
        <f t="shared" si="35"/>
        <v>0.22488119484046162</v>
      </c>
    </row>
    <row r="1109" spans="1:36">
      <c r="A1109" t="s">
        <v>316</v>
      </c>
      <c r="B1109" t="s">
        <v>1394</v>
      </c>
      <c r="C1109" t="s">
        <v>84</v>
      </c>
      <c r="D1109" t="s">
        <v>77</v>
      </c>
      <c r="E1109" t="s">
        <v>69</v>
      </c>
      <c r="F1109">
        <v>0</v>
      </c>
      <c r="G1109">
        <v>1669</v>
      </c>
      <c r="H1109">
        <v>1</v>
      </c>
      <c r="I1109" t="s">
        <v>173</v>
      </c>
      <c r="J1109">
        <v>1</v>
      </c>
      <c r="K1109" s="6">
        <v>1.86</v>
      </c>
      <c r="L1109" t="s">
        <v>174</v>
      </c>
      <c r="M1109">
        <v>0</v>
      </c>
      <c r="N1109" t="s">
        <v>187</v>
      </c>
      <c r="O1109">
        <v>2</v>
      </c>
      <c r="P1109">
        <v>0</v>
      </c>
      <c r="Q1109" s="6">
        <v>69.8</v>
      </c>
      <c r="R1109">
        <v>0</v>
      </c>
      <c r="S1109" s="6">
        <v>0</v>
      </c>
      <c r="T1109">
        <v>0</v>
      </c>
      <c r="U1109" s="6">
        <v>1282</v>
      </c>
      <c r="V1109">
        <v>0</v>
      </c>
      <c r="W1109">
        <v>0</v>
      </c>
      <c r="X1109">
        <v>0</v>
      </c>
      <c r="Y1109" s="6">
        <v>51.3</v>
      </c>
      <c r="Z1109">
        <v>0.107</v>
      </c>
      <c r="AA1109">
        <v>0.12</v>
      </c>
      <c r="AB1109">
        <v>2.4E-2</v>
      </c>
      <c r="AC1109">
        <v>6</v>
      </c>
      <c r="AD1109" s="6">
        <v>50</v>
      </c>
      <c r="AE1109" s="6">
        <v>0</v>
      </c>
      <c r="AF1109" s="6">
        <v>0</v>
      </c>
      <c r="AG1109" s="6">
        <v>50.39</v>
      </c>
      <c r="AH1109" s="6">
        <v>65.900000000000006</v>
      </c>
      <c r="AI1109" s="6">
        <f t="shared" si="34"/>
        <v>15.510000000000005</v>
      </c>
      <c r="AJ1109" s="5">
        <f t="shared" si="35"/>
        <v>0.23535660091047048</v>
      </c>
    </row>
    <row r="1110" spans="1:36">
      <c r="A1110" t="s">
        <v>274</v>
      </c>
      <c r="B1110" t="s">
        <v>1395</v>
      </c>
      <c r="C1110" t="s">
        <v>84</v>
      </c>
      <c r="D1110" t="s">
        <v>77</v>
      </c>
      <c r="E1110" t="s">
        <v>69</v>
      </c>
      <c r="F1110">
        <v>0</v>
      </c>
      <c r="G1110">
        <v>1669</v>
      </c>
      <c r="H1110">
        <v>1</v>
      </c>
      <c r="I1110" t="s">
        <v>173</v>
      </c>
      <c r="J1110">
        <v>1</v>
      </c>
      <c r="K1110" s="6">
        <v>0.84</v>
      </c>
      <c r="L1110" t="s">
        <v>174</v>
      </c>
      <c r="M1110">
        <v>0</v>
      </c>
      <c r="N1110" t="s">
        <v>182</v>
      </c>
      <c r="O1110">
        <v>3</v>
      </c>
      <c r="P1110">
        <v>0</v>
      </c>
      <c r="Q1110" s="6">
        <v>139</v>
      </c>
      <c r="R1110">
        <v>0</v>
      </c>
      <c r="S1110" s="6">
        <v>0</v>
      </c>
      <c r="T1110">
        <v>0</v>
      </c>
      <c r="U1110" s="6">
        <v>2027</v>
      </c>
      <c r="V1110">
        <v>0</v>
      </c>
      <c r="W1110">
        <v>0</v>
      </c>
      <c r="X1110">
        <v>0</v>
      </c>
      <c r="Y1110" s="6">
        <v>51.3</v>
      </c>
      <c r="Z1110">
        <v>0.107</v>
      </c>
      <c r="AA1110">
        <v>0.12</v>
      </c>
      <c r="AB1110">
        <v>2.4E-2</v>
      </c>
      <c r="AC1110">
        <v>6</v>
      </c>
      <c r="AD1110" s="6">
        <v>50</v>
      </c>
      <c r="AE1110" s="6">
        <v>0</v>
      </c>
      <c r="AF1110" s="6">
        <v>0</v>
      </c>
      <c r="AG1110" s="6">
        <v>62.57</v>
      </c>
      <c r="AH1110" s="6">
        <v>80.3</v>
      </c>
      <c r="AI1110" s="6">
        <f t="shared" si="34"/>
        <v>17.729999999999997</v>
      </c>
      <c r="AJ1110" s="5">
        <f t="shared" si="35"/>
        <v>0.22079701120797007</v>
      </c>
    </row>
    <row r="1111" spans="1:36">
      <c r="A1111" t="s">
        <v>401</v>
      </c>
      <c r="B1111" t="s">
        <v>1396</v>
      </c>
      <c r="C1111" t="s">
        <v>84</v>
      </c>
      <c r="D1111" t="s">
        <v>77</v>
      </c>
      <c r="E1111" t="s">
        <v>69</v>
      </c>
      <c r="F1111">
        <v>0</v>
      </c>
      <c r="G1111">
        <v>1669</v>
      </c>
      <c r="H1111">
        <v>1</v>
      </c>
      <c r="I1111" t="s">
        <v>173</v>
      </c>
      <c r="J1111">
        <v>1</v>
      </c>
      <c r="K1111" s="6">
        <v>0.92</v>
      </c>
      <c r="L1111" t="s">
        <v>174</v>
      </c>
      <c r="M1111">
        <v>0</v>
      </c>
      <c r="N1111" t="s">
        <v>217</v>
      </c>
      <c r="O1111">
        <v>4</v>
      </c>
      <c r="P1111">
        <v>1</v>
      </c>
      <c r="Q1111" s="6">
        <v>67.5</v>
      </c>
      <c r="R1111">
        <v>0</v>
      </c>
      <c r="S1111" s="6">
        <v>0</v>
      </c>
      <c r="T1111">
        <v>0</v>
      </c>
      <c r="U1111" s="6">
        <v>1865</v>
      </c>
      <c r="V1111">
        <v>0</v>
      </c>
      <c r="W1111">
        <v>0</v>
      </c>
      <c r="X1111">
        <v>0</v>
      </c>
      <c r="Y1111" s="6">
        <v>51.3</v>
      </c>
      <c r="Z1111">
        <v>0.107</v>
      </c>
      <c r="AA1111">
        <v>0.12</v>
      </c>
      <c r="AB1111">
        <v>2.4E-2</v>
      </c>
      <c r="AC1111">
        <v>6</v>
      </c>
      <c r="AD1111" s="6">
        <v>50</v>
      </c>
      <c r="AE1111" s="6">
        <v>0</v>
      </c>
      <c r="AF1111" s="6">
        <v>0</v>
      </c>
      <c r="AG1111" s="6">
        <v>94.46</v>
      </c>
      <c r="AH1111" s="6">
        <v>118.08</v>
      </c>
      <c r="AI1111" s="6">
        <f t="shared" si="34"/>
        <v>23.620000000000005</v>
      </c>
      <c r="AJ1111" s="5">
        <f t="shared" si="35"/>
        <v>0.20003387533875344</v>
      </c>
    </row>
    <row r="1112" spans="1:36">
      <c r="A1112" t="s">
        <v>190</v>
      </c>
      <c r="B1112" t="s">
        <v>1397</v>
      </c>
      <c r="C1112" t="s">
        <v>84</v>
      </c>
      <c r="D1112" t="s">
        <v>77</v>
      </c>
      <c r="E1112" t="s">
        <v>69</v>
      </c>
      <c r="F1112">
        <v>0</v>
      </c>
      <c r="G1112">
        <v>1669</v>
      </c>
      <c r="H1112">
        <v>1</v>
      </c>
      <c r="I1112" t="s">
        <v>181</v>
      </c>
      <c r="J1112">
        <v>3</v>
      </c>
      <c r="K1112" s="6">
        <v>7.34</v>
      </c>
      <c r="L1112" t="s">
        <v>174</v>
      </c>
      <c r="M1112">
        <v>0</v>
      </c>
      <c r="N1112" t="s">
        <v>187</v>
      </c>
      <c r="O1112">
        <v>2</v>
      </c>
      <c r="P1112">
        <v>0</v>
      </c>
      <c r="Q1112" s="6">
        <v>67.599999999999994</v>
      </c>
      <c r="R1112">
        <v>0</v>
      </c>
      <c r="S1112" s="6">
        <v>0</v>
      </c>
      <c r="T1112">
        <v>0</v>
      </c>
      <c r="U1112" s="6">
        <v>4078</v>
      </c>
      <c r="V1112">
        <v>0</v>
      </c>
      <c r="W1112">
        <v>0</v>
      </c>
      <c r="X1112">
        <v>0</v>
      </c>
      <c r="Y1112" s="6">
        <v>51.3</v>
      </c>
      <c r="Z1112">
        <v>0.107</v>
      </c>
      <c r="AA1112">
        <v>0.12</v>
      </c>
      <c r="AB1112">
        <v>2.4E-2</v>
      </c>
      <c r="AC1112">
        <v>6</v>
      </c>
      <c r="AD1112" s="6">
        <v>60</v>
      </c>
      <c r="AE1112" s="6">
        <v>0</v>
      </c>
      <c r="AF1112" s="6">
        <v>0</v>
      </c>
      <c r="AG1112" s="6">
        <v>80.87</v>
      </c>
      <c r="AH1112" s="6">
        <v>104.78</v>
      </c>
      <c r="AI1112" s="6">
        <f t="shared" si="34"/>
        <v>23.909999999999997</v>
      </c>
      <c r="AJ1112" s="5">
        <f t="shared" si="35"/>
        <v>0.22819240313036834</v>
      </c>
    </row>
    <row r="1113" spans="1:36">
      <c r="A1113" t="s">
        <v>249</v>
      </c>
      <c r="B1113" t="s">
        <v>1398</v>
      </c>
      <c r="C1113" t="s">
        <v>84</v>
      </c>
      <c r="D1113" t="s">
        <v>77</v>
      </c>
      <c r="E1113" t="s">
        <v>69</v>
      </c>
      <c r="F1113">
        <v>0</v>
      </c>
      <c r="G1113">
        <v>1669</v>
      </c>
      <c r="H1113">
        <v>1</v>
      </c>
      <c r="I1113" t="s">
        <v>181</v>
      </c>
      <c r="J1113">
        <v>3</v>
      </c>
      <c r="K1113" s="6">
        <v>7.82</v>
      </c>
      <c r="L1113" t="s">
        <v>174</v>
      </c>
      <c r="M1113">
        <v>0</v>
      </c>
      <c r="N1113" t="s">
        <v>187</v>
      </c>
      <c r="O1113">
        <v>2</v>
      </c>
      <c r="P1113">
        <v>0</v>
      </c>
      <c r="Q1113" s="6">
        <v>57.5</v>
      </c>
      <c r="R1113">
        <v>0</v>
      </c>
      <c r="S1113" s="6">
        <v>0</v>
      </c>
      <c r="T1113">
        <v>0</v>
      </c>
      <c r="U1113" s="6">
        <v>1627</v>
      </c>
      <c r="V1113">
        <v>0</v>
      </c>
      <c r="W1113">
        <v>0</v>
      </c>
      <c r="X1113">
        <v>0</v>
      </c>
      <c r="Y1113" s="6">
        <v>51.3</v>
      </c>
      <c r="Z1113">
        <v>0.107</v>
      </c>
      <c r="AA1113">
        <v>0.12</v>
      </c>
      <c r="AB1113">
        <v>2.4E-2</v>
      </c>
      <c r="AC1113">
        <v>6</v>
      </c>
      <c r="AD1113" s="6">
        <v>60</v>
      </c>
      <c r="AE1113" s="6">
        <v>0</v>
      </c>
      <c r="AF1113" s="6">
        <v>0</v>
      </c>
      <c r="AG1113" s="6">
        <v>86.01</v>
      </c>
      <c r="AH1113" s="6">
        <v>109.34</v>
      </c>
      <c r="AI1113" s="6">
        <f t="shared" si="34"/>
        <v>23.33</v>
      </c>
      <c r="AJ1113" s="5">
        <f t="shared" si="35"/>
        <v>0.21337113590634715</v>
      </c>
    </row>
    <row r="1114" spans="1:36">
      <c r="A1114" t="s">
        <v>245</v>
      </c>
      <c r="B1114" t="s">
        <v>1399</v>
      </c>
      <c r="C1114" t="s">
        <v>84</v>
      </c>
      <c r="D1114" t="s">
        <v>77</v>
      </c>
      <c r="E1114" t="s">
        <v>69</v>
      </c>
      <c r="F1114">
        <v>0</v>
      </c>
      <c r="G1114">
        <v>1669</v>
      </c>
      <c r="H1114">
        <v>1</v>
      </c>
      <c r="I1114" t="s">
        <v>173</v>
      </c>
      <c r="J1114">
        <v>1</v>
      </c>
      <c r="K1114" s="6">
        <v>2.17</v>
      </c>
      <c r="L1114" t="s">
        <v>174</v>
      </c>
      <c r="M1114">
        <v>0</v>
      </c>
      <c r="N1114" t="s">
        <v>175</v>
      </c>
      <c r="O1114">
        <v>1</v>
      </c>
      <c r="P1114">
        <v>0</v>
      </c>
      <c r="Q1114" s="6">
        <v>21.3</v>
      </c>
      <c r="R1114">
        <v>0</v>
      </c>
      <c r="S1114" s="6">
        <v>0</v>
      </c>
      <c r="T1114">
        <v>0</v>
      </c>
      <c r="U1114" s="6">
        <v>1602</v>
      </c>
      <c r="V1114">
        <v>0</v>
      </c>
      <c r="W1114">
        <v>0</v>
      </c>
      <c r="X1114">
        <v>0</v>
      </c>
      <c r="Y1114" s="6">
        <v>51.3</v>
      </c>
      <c r="Z1114">
        <v>0.107</v>
      </c>
      <c r="AA1114">
        <v>0.12</v>
      </c>
      <c r="AB1114">
        <v>2.4E-2</v>
      </c>
      <c r="AC1114">
        <v>6</v>
      </c>
      <c r="AD1114" s="6">
        <v>50</v>
      </c>
      <c r="AE1114" s="6">
        <v>0</v>
      </c>
      <c r="AF1114" s="6">
        <v>0</v>
      </c>
      <c r="AG1114" s="6">
        <v>50.16</v>
      </c>
      <c r="AH1114" s="6">
        <v>66.27</v>
      </c>
      <c r="AI1114" s="6">
        <f t="shared" si="34"/>
        <v>16.11</v>
      </c>
      <c r="AJ1114" s="5">
        <f t="shared" si="35"/>
        <v>0.24309642372114079</v>
      </c>
    </row>
    <row r="1115" spans="1:36">
      <c r="A1115" t="s">
        <v>225</v>
      </c>
      <c r="B1115" t="s">
        <v>1400</v>
      </c>
      <c r="C1115" t="s">
        <v>84</v>
      </c>
      <c r="D1115" t="s">
        <v>77</v>
      </c>
      <c r="E1115" t="s">
        <v>69</v>
      </c>
      <c r="F1115">
        <v>0</v>
      </c>
      <c r="G1115">
        <v>1669</v>
      </c>
      <c r="H1115">
        <v>1</v>
      </c>
      <c r="I1115" t="s">
        <v>178</v>
      </c>
      <c r="J1115">
        <v>4</v>
      </c>
      <c r="K1115" s="6">
        <v>20.05</v>
      </c>
      <c r="L1115" t="s">
        <v>174</v>
      </c>
      <c r="M1115">
        <v>0</v>
      </c>
      <c r="N1115" t="s">
        <v>175</v>
      </c>
      <c r="O1115">
        <v>1</v>
      </c>
      <c r="P1115">
        <v>0</v>
      </c>
      <c r="Q1115" s="6">
        <v>32.9</v>
      </c>
      <c r="R1115">
        <v>0</v>
      </c>
      <c r="S1115" s="6">
        <v>0</v>
      </c>
      <c r="T1115">
        <v>0</v>
      </c>
      <c r="U1115" s="6">
        <v>5002</v>
      </c>
      <c r="V1115">
        <v>0</v>
      </c>
      <c r="W1115">
        <v>0</v>
      </c>
      <c r="X1115">
        <v>0</v>
      </c>
      <c r="Y1115" s="6">
        <v>51.3</v>
      </c>
      <c r="Z1115">
        <v>0.107</v>
      </c>
      <c r="AA1115">
        <v>0.12</v>
      </c>
      <c r="AB1115">
        <v>2.4E-2</v>
      </c>
      <c r="AC1115">
        <v>6</v>
      </c>
      <c r="AD1115" s="6">
        <v>65</v>
      </c>
      <c r="AE1115" s="6">
        <v>0</v>
      </c>
      <c r="AF1115" s="6">
        <v>0</v>
      </c>
      <c r="AG1115" s="6">
        <v>138.88</v>
      </c>
      <c r="AH1115" s="6">
        <v>177.34</v>
      </c>
      <c r="AI1115" s="6">
        <f t="shared" si="34"/>
        <v>38.460000000000008</v>
      </c>
      <c r="AJ1115" s="5">
        <f t="shared" si="35"/>
        <v>0.2168715461824744</v>
      </c>
    </row>
    <row r="1116" spans="1:36">
      <c r="A1116" t="s">
        <v>345</v>
      </c>
      <c r="B1116" t="s">
        <v>1401</v>
      </c>
      <c r="C1116" t="s">
        <v>84</v>
      </c>
      <c r="D1116" t="s">
        <v>77</v>
      </c>
      <c r="E1116" t="s">
        <v>69</v>
      </c>
      <c r="F1116">
        <v>0</v>
      </c>
      <c r="G1116">
        <v>1669</v>
      </c>
      <c r="H1116">
        <v>1</v>
      </c>
      <c r="I1116" t="s">
        <v>181</v>
      </c>
      <c r="J1116">
        <v>3</v>
      </c>
      <c r="K1116" s="6">
        <v>9.23</v>
      </c>
      <c r="L1116" t="s">
        <v>174</v>
      </c>
      <c r="M1116">
        <v>0</v>
      </c>
      <c r="N1116" t="s">
        <v>175</v>
      </c>
      <c r="O1116">
        <v>1</v>
      </c>
      <c r="P1116">
        <v>0</v>
      </c>
      <c r="Q1116" s="6">
        <v>33.299999999999997</v>
      </c>
      <c r="R1116">
        <v>0</v>
      </c>
      <c r="S1116" s="6">
        <v>0</v>
      </c>
      <c r="T1116">
        <v>0</v>
      </c>
      <c r="U1116" s="6">
        <v>2765</v>
      </c>
      <c r="V1116">
        <v>0</v>
      </c>
      <c r="W1116">
        <v>0</v>
      </c>
      <c r="X1116">
        <v>0</v>
      </c>
      <c r="Y1116" s="6">
        <v>51.3</v>
      </c>
      <c r="Z1116">
        <v>0.107</v>
      </c>
      <c r="AA1116">
        <v>0.12</v>
      </c>
      <c r="AB1116">
        <v>2.4E-2</v>
      </c>
      <c r="AC1116">
        <v>6</v>
      </c>
      <c r="AD1116" s="6">
        <v>60</v>
      </c>
      <c r="AE1116" s="6">
        <v>0</v>
      </c>
      <c r="AF1116" s="6">
        <v>0</v>
      </c>
      <c r="AG1116" s="6">
        <v>95.28</v>
      </c>
      <c r="AH1116" s="6">
        <v>122.3</v>
      </c>
      <c r="AI1116" s="6">
        <f t="shared" si="34"/>
        <v>27.019999999999996</v>
      </c>
      <c r="AJ1116" s="5">
        <f t="shared" si="35"/>
        <v>0.22093213409648402</v>
      </c>
    </row>
    <row r="1117" spans="1:36">
      <c r="A1117" t="s">
        <v>311</v>
      </c>
      <c r="B1117" t="s">
        <v>1402</v>
      </c>
      <c r="C1117" t="s">
        <v>84</v>
      </c>
      <c r="D1117" t="s">
        <v>77</v>
      </c>
      <c r="E1117" t="s">
        <v>69</v>
      </c>
      <c r="F1117">
        <v>0</v>
      </c>
      <c r="G1117">
        <v>1669</v>
      </c>
      <c r="H1117">
        <v>1</v>
      </c>
      <c r="I1117" t="s">
        <v>173</v>
      </c>
      <c r="J1117">
        <v>1</v>
      </c>
      <c r="K1117" s="6">
        <v>1.88</v>
      </c>
      <c r="L1117" t="s">
        <v>174</v>
      </c>
      <c r="M1117">
        <v>0</v>
      </c>
      <c r="N1117" t="s">
        <v>217</v>
      </c>
      <c r="O1117">
        <v>4</v>
      </c>
      <c r="P1117">
        <v>1</v>
      </c>
      <c r="Q1117" s="6">
        <v>145.80000000000001</v>
      </c>
      <c r="R1117">
        <v>0</v>
      </c>
      <c r="S1117" s="6">
        <v>0</v>
      </c>
      <c r="T1117">
        <v>0</v>
      </c>
      <c r="U1117" s="6">
        <v>1856</v>
      </c>
      <c r="V1117">
        <v>0</v>
      </c>
      <c r="W1117">
        <v>0</v>
      </c>
      <c r="X1117">
        <v>0</v>
      </c>
      <c r="Y1117" s="6">
        <v>51.3</v>
      </c>
      <c r="Z1117">
        <v>0.107</v>
      </c>
      <c r="AA1117">
        <v>0.12</v>
      </c>
      <c r="AB1117">
        <v>2.4E-2</v>
      </c>
      <c r="AC1117">
        <v>6</v>
      </c>
      <c r="AD1117" s="6">
        <v>50</v>
      </c>
      <c r="AE1117" s="6">
        <v>0</v>
      </c>
      <c r="AF1117" s="6">
        <v>0</v>
      </c>
      <c r="AG1117" s="6">
        <v>104.74</v>
      </c>
      <c r="AH1117" s="6">
        <v>134.69999999999999</v>
      </c>
      <c r="AI1117" s="6">
        <f t="shared" si="34"/>
        <v>29.959999999999994</v>
      </c>
      <c r="AJ1117" s="5">
        <f t="shared" si="35"/>
        <v>0.22242019302152929</v>
      </c>
    </row>
    <row r="1118" spans="1:36">
      <c r="A1118" t="s">
        <v>296</v>
      </c>
      <c r="B1118" t="s">
        <v>1403</v>
      </c>
      <c r="C1118" t="s">
        <v>84</v>
      </c>
      <c r="D1118" t="s">
        <v>77</v>
      </c>
      <c r="E1118" t="s">
        <v>69</v>
      </c>
      <c r="F1118">
        <v>0</v>
      </c>
      <c r="G1118">
        <v>1669</v>
      </c>
      <c r="H1118">
        <v>1</v>
      </c>
      <c r="I1118" t="s">
        <v>181</v>
      </c>
      <c r="J1118">
        <v>3</v>
      </c>
      <c r="K1118" s="6">
        <v>9.52</v>
      </c>
      <c r="L1118" t="s">
        <v>174</v>
      </c>
      <c r="M1118">
        <v>0</v>
      </c>
      <c r="N1118" t="s">
        <v>217</v>
      </c>
      <c r="O1118">
        <v>4</v>
      </c>
      <c r="P1118">
        <v>1</v>
      </c>
      <c r="Q1118" s="6">
        <v>197.5</v>
      </c>
      <c r="R1118">
        <v>0</v>
      </c>
      <c r="S1118" s="6">
        <v>0</v>
      </c>
      <c r="T1118">
        <v>0</v>
      </c>
      <c r="U1118" s="6">
        <v>2029</v>
      </c>
      <c r="V1118">
        <v>0</v>
      </c>
      <c r="W1118">
        <v>0</v>
      </c>
      <c r="X1118">
        <v>0</v>
      </c>
      <c r="Y1118" s="6">
        <v>51.3</v>
      </c>
      <c r="Z1118">
        <v>0.107</v>
      </c>
      <c r="AA1118">
        <v>0.12</v>
      </c>
      <c r="AB1118">
        <v>2.4E-2</v>
      </c>
      <c r="AC1118">
        <v>6</v>
      </c>
      <c r="AD1118" s="6">
        <v>60</v>
      </c>
      <c r="AE1118" s="6">
        <v>0</v>
      </c>
      <c r="AF1118" s="6">
        <v>0</v>
      </c>
      <c r="AG1118" s="6">
        <v>155.76</v>
      </c>
      <c r="AH1118" s="6">
        <v>195.91</v>
      </c>
      <c r="AI1118" s="6">
        <f t="shared" si="34"/>
        <v>40.150000000000006</v>
      </c>
      <c r="AJ1118" s="5">
        <f t="shared" si="35"/>
        <v>0.20494104435710278</v>
      </c>
    </row>
    <row r="1119" spans="1:36">
      <c r="A1119" t="s">
        <v>179</v>
      </c>
      <c r="B1119" t="s">
        <v>1404</v>
      </c>
      <c r="C1119" t="s">
        <v>84</v>
      </c>
      <c r="D1119" t="s">
        <v>77</v>
      </c>
      <c r="E1119" t="s">
        <v>69</v>
      </c>
      <c r="F1119">
        <v>0</v>
      </c>
      <c r="G1119">
        <v>1669</v>
      </c>
      <c r="H1119">
        <v>1</v>
      </c>
      <c r="I1119" t="s">
        <v>220</v>
      </c>
      <c r="J1119">
        <v>2</v>
      </c>
      <c r="K1119" s="6">
        <v>5.43</v>
      </c>
      <c r="L1119" t="s">
        <v>174</v>
      </c>
      <c r="M1119">
        <v>0</v>
      </c>
      <c r="N1119" t="s">
        <v>187</v>
      </c>
      <c r="O1119">
        <v>2</v>
      </c>
      <c r="P1119">
        <v>0</v>
      </c>
      <c r="Q1119" s="6">
        <v>59.5</v>
      </c>
      <c r="R1119">
        <v>0</v>
      </c>
      <c r="S1119" s="6">
        <v>0</v>
      </c>
      <c r="T1119">
        <v>0</v>
      </c>
      <c r="U1119" s="6">
        <v>3660</v>
      </c>
      <c r="V1119">
        <v>0</v>
      </c>
      <c r="W1119">
        <v>0</v>
      </c>
      <c r="X1119">
        <v>0</v>
      </c>
      <c r="Y1119" s="6">
        <v>51.3</v>
      </c>
      <c r="Z1119">
        <v>0.107</v>
      </c>
      <c r="AA1119">
        <v>0.12</v>
      </c>
      <c r="AB1119">
        <v>2.4E-2</v>
      </c>
      <c r="AC1119">
        <v>6</v>
      </c>
      <c r="AD1119" s="6">
        <v>50</v>
      </c>
      <c r="AE1119" s="6">
        <v>0</v>
      </c>
      <c r="AF1119" s="6">
        <v>0</v>
      </c>
      <c r="AG1119" s="6">
        <v>67.92</v>
      </c>
      <c r="AH1119" s="6">
        <v>85.91</v>
      </c>
      <c r="AI1119" s="6">
        <f t="shared" si="34"/>
        <v>17.989999999999995</v>
      </c>
      <c r="AJ1119" s="5">
        <f t="shared" si="35"/>
        <v>0.20940519147945519</v>
      </c>
    </row>
    <row r="1120" spans="1:36">
      <c r="A1120" t="s">
        <v>375</v>
      </c>
      <c r="B1120" t="s">
        <v>1405</v>
      </c>
      <c r="C1120" t="s">
        <v>84</v>
      </c>
      <c r="D1120" t="s">
        <v>77</v>
      </c>
      <c r="E1120" t="s">
        <v>69</v>
      </c>
      <c r="F1120">
        <v>0</v>
      </c>
      <c r="G1120">
        <v>1669</v>
      </c>
      <c r="H1120">
        <v>1</v>
      </c>
      <c r="I1120" t="s">
        <v>220</v>
      </c>
      <c r="J1120">
        <v>2</v>
      </c>
      <c r="K1120" s="6">
        <v>4.07</v>
      </c>
      <c r="L1120" t="s">
        <v>200</v>
      </c>
      <c r="M1120">
        <v>1</v>
      </c>
      <c r="N1120" t="s">
        <v>187</v>
      </c>
      <c r="O1120">
        <v>2</v>
      </c>
      <c r="P1120">
        <v>0</v>
      </c>
      <c r="Q1120" s="6">
        <v>31.4</v>
      </c>
      <c r="R1120">
        <v>0</v>
      </c>
      <c r="S1120" s="6">
        <v>0</v>
      </c>
      <c r="T1120">
        <v>0</v>
      </c>
      <c r="U1120" s="6">
        <v>1243</v>
      </c>
      <c r="V1120">
        <v>0</v>
      </c>
      <c r="W1120">
        <v>0</v>
      </c>
      <c r="X1120">
        <v>0</v>
      </c>
      <c r="Y1120" s="6">
        <v>51.3</v>
      </c>
      <c r="Z1120">
        <v>0.107</v>
      </c>
      <c r="AA1120">
        <v>0.12</v>
      </c>
      <c r="AB1120">
        <v>2.4E-2</v>
      </c>
      <c r="AC1120">
        <v>6</v>
      </c>
      <c r="AD1120" s="6">
        <v>119</v>
      </c>
      <c r="AE1120" s="6">
        <v>0</v>
      </c>
      <c r="AF1120" s="6">
        <v>0</v>
      </c>
      <c r="AG1120" s="6">
        <v>93.91</v>
      </c>
      <c r="AH1120" s="6">
        <v>122.68</v>
      </c>
      <c r="AI1120" s="6">
        <f t="shared" si="34"/>
        <v>28.77000000000001</v>
      </c>
      <c r="AJ1120" s="5">
        <f t="shared" si="35"/>
        <v>0.23451255298337145</v>
      </c>
    </row>
    <row r="1121" spans="1:36">
      <c r="A1121" t="s">
        <v>691</v>
      </c>
      <c r="B1121" t="s">
        <v>1406</v>
      </c>
      <c r="C1121" t="s">
        <v>84</v>
      </c>
      <c r="D1121" t="s">
        <v>77</v>
      </c>
      <c r="E1121" t="s">
        <v>69</v>
      </c>
      <c r="F1121">
        <v>0</v>
      </c>
      <c r="G1121">
        <v>1669</v>
      </c>
      <c r="H1121">
        <v>1</v>
      </c>
      <c r="I1121" t="s">
        <v>173</v>
      </c>
      <c r="J1121">
        <v>1</v>
      </c>
      <c r="K1121" s="6">
        <v>1.87</v>
      </c>
      <c r="L1121" t="s">
        <v>174</v>
      </c>
      <c r="M1121">
        <v>0</v>
      </c>
      <c r="N1121" t="s">
        <v>175</v>
      </c>
      <c r="O1121">
        <v>1</v>
      </c>
      <c r="P1121">
        <v>0</v>
      </c>
      <c r="Q1121" s="6">
        <v>23.7</v>
      </c>
      <c r="R1121">
        <v>0</v>
      </c>
      <c r="S1121" s="6">
        <v>0</v>
      </c>
      <c r="T1121">
        <v>0</v>
      </c>
      <c r="U1121" s="6">
        <v>1768</v>
      </c>
      <c r="V1121">
        <v>1</v>
      </c>
      <c r="W1121">
        <v>0</v>
      </c>
      <c r="X1121">
        <v>0</v>
      </c>
      <c r="Y1121" s="6">
        <v>51.3</v>
      </c>
      <c r="Z1121">
        <v>0.107</v>
      </c>
      <c r="AA1121">
        <v>0.12</v>
      </c>
      <c r="AB1121">
        <v>2.4E-2</v>
      </c>
      <c r="AC1121">
        <v>6</v>
      </c>
      <c r="AD1121" s="6">
        <v>50</v>
      </c>
      <c r="AE1121" s="6">
        <v>0</v>
      </c>
      <c r="AF1121" s="6">
        <v>0</v>
      </c>
      <c r="AG1121" s="6">
        <v>91.49</v>
      </c>
      <c r="AH1121" s="6">
        <v>119.08</v>
      </c>
      <c r="AI1121" s="6">
        <f t="shared" si="34"/>
        <v>27.590000000000003</v>
      </c>
      <c r="AJ1121" s="5">
        <f t="shared" si="35"/>
        <v>0.23169297950957343</v>
      </c>
    </row>
    <row r="1122" spans="1:36">
      <c r="A1122" t="s">
        <v>403</v>
      </c>
      <c r="B1122" t="s">
        <v>1407</v>
      </c>
      <c r="C1122" t="s">
        <v>84</v>
      </c>
      <c r="D1122" t="s">
        <v>77</v>
      </c>
      <c r="E1122" t="s">
        <v>69</v>
      </c>
      <c r="F1122">
        <v>0</v>
      </c>
      <c r="G1122">
        <v>1669</v>
      </c>
      <c r="H1122">
        <v>1</v>
      </c>
      <c r="I1122" t="s">
        <v>220</v>
      </c>
      <c r="J1122">
        <v>2</v>
      </c>
      <c r="K1122" s="6">
        <v>2.2000000000000002</v>
      </c>
      <c r="L1122" t="s">
        <v>174</v>
      </c>
      <c r="M1122">
        <v>0</v>
      </c>
      <c r="N1122" t="s">
        <v>187</v>
      </c>
      <c r="O1122">
        <v>2</v>
      </c>
      <c r="P1122">
        <v>0</v>
      </c>
      <c r="Q1122" s="6">
        <v>54.5</v>
      </c>
      <c r="R1122">
        <v>0</v>
      </c>
      <c r="S1122" s="6">
        <v>0</v>
      </c>
      <c r="T1122">
        <v>0</v>
      </c>
      <c r="U1122" s="6">
        <v>1358</v>
      </c>
      <c r="V1122">
        <v>0</v>
      </c>
      <c r="W1122">
        <v>0</v>
      </c>
      <c r="X1122">
        <v>0</v>
      </c>
      <c r="Y1122" s="6">
        <v>51.3</v>
      </c>
      <c r="Z1122">
        <v>0.107</v>
      </c>
      <c r="AA1122">
        <v>0.12</v>
      </c>
      <c r="AB1122">
        <v>2.4E-2</v>
      </c>
      <c r="AC1122">
        <v>6</v>
      </c>
      <c r="AD1122" s="6">
        <v>50</v>
      </c>
      <c r="AE1122" s="6">
        <v>0</v>
      </c>
      <c r="AF1122" s="6">
        <v>0</v>
      </c>
      <c r="AG1122" s="6">
        <v>59.95</v>
      </c>
      <c r="AH1122" s="6">
        <v>79.849999999999994</v>
      </c>
      <c r="AI1122" s="6">
        <f t="shared" si="34"/>
        <v>19.899999999999991</v>
      </c>
      <c r="AJ1122" s="5">
        <f t="shared" si="35"/>
        <v>0.24921728240450836</v>
      </c>
    </row>
    <row r="1123" spans="1:36">
      <c r="A1123" t="s">
        <v>277</v>
      </c>
      <c r="B1123" t="s">
        <v>1408</v>
      </c>
      <c r="C1123" t="s">
        <v>84</v>
      </c>
      <c r="D1123" t="s">
        <v>77</v>
      </c>
      <c r="E1123" t="s">
        <v>69</v>
      </c>
      <c r="F1123">
        <v>0</v>
      </c>
      <c r="G1123">
        <v>1669</v>
      </c>
      <c r="H1123">
        <v>1</v>
      </c>
      <c r="I1123" t="s">
        <v>173</v>
      </c>
      <c r="J1123">
        <v>1</v>
      </c>
      <c r="K1123" s="6">
        <v>2.46</v>
      </c>
      <c r="L1123" t="s">
        <v>174</v>
      </c>
      <c r="M1123">
        <v>0</v>
      </c>
      <c r="N1123" t="s">
        <v>175</v>
      </c>
      <c r="O1123">
        <v>1</v>
      </c>
      <c r="P1123">
        <v>0</v>
      </c>
      <c r="Q1123" s="6">
        <v>36.799999999999997</v>
      </c>
      <c r="R1123">
        <v>0</v>
      </c>
      <c r="S1123" s="6">
        <v>0</v>
      </c>
      <c r="T1123">
        <v>0</v>
      </c>
      <c r="U1123" s="6">
        <v>4281</v>
      </c>
      <c r="V1123">
        <v>0</v>
      </c>
      <c r="W1123">
        <v>0</v>
      </c>
      <c r="X1123">
        <v>0</v>
      </c>
      <c r="Y1123" s="6">
        <v>51.3</v>
      </c>
      <c r="Z1123">
        <v>0.107</v>
      </c>
      <c r="AA1123">
        <v>0.12</v>
      </c>
      <c r="AB1123">
        <v>2.4E-2</v>
      </c>
      <c r="AC1123">
        <v>6</v>
      </c>
      <c r="AD1123" s="6">
        <v>50</v>
      </c>
      <c r="AE1123" s="6">
        <v>0</v>
      </c>
      <c r="AF1123" s="6">
        <v>0</v>
      </c>
      <c r="AG1123" s="6">
        <v>49.82</v>
      </c>
      <c r="AH1123" s="6">
        <v>66.12</v>
      </c>
      <c r="AI1123" s="6">
        <f t="shared" si="34"/>
        <v>16.300000000000004</v>
      </c>
      <c r="AJ1123" s="5">
        <f t="shared" si="35"/>
        <v>0.24652147610405328</v>
      </c>
    </row>
    <row r="1124" spans="1:36">
      <c r="A1124" t="s">
        <v>693</v>
      </c>
      <c r="B1124" t="s">
        <v>1409</v>
      </c>
      <c r="C1124" t="s">
        <v>84</v>
      </c>
      <c r="D1124" t="s">
        <v>77</v>
      </c>
      <c r="E1124" t="s">
        <v>69</v>
      </c>
      <c r="F1124">
        <v>0</v>
      </c>
      <c r="G1124">
        <v>1669</v>
      </c>
      <c r="H1124">
        <v>1</v>
      </c>
      <c r="I1124" t="s">
        <v>181</v>
      </c>
      <c r="J1124">
        <v>3</v>
      </c>
      <c r="K1124" s="6">
        <v>10.65</v>
      </c>
      <c r="L1124" t="s">
        <v>174</v>
      </c>
      <c r="M1124">
        <v>0</v>
      </c>
      <c r="N1124" t="s">
        <v>182</v>
      </c>
      <c r="O1124">
        <v>3</v>
      </c>
      <c r="P1124">
        <v>1</v>
      </c>
      <c r="Q1124" s="6">
        <v>95.6</v>
      </c>
      <c r="R1124">
        <v>0</v>
      </c>
      <c r="S1124" s="6">
        <v>0</v>
      </c>
      <c r="T1124">
        <v>0</v>
      </c>
      <c r="U1124" s="6">
        <v>8197</v>
      </c>
      <c r="V1124">
        <v>0</v>
      </c>
      <c r="W1124">
        <v>0</v>
      </c>
      <c r="X1124">
        <v>0</v>
      </c>
      <c r="Y1124" s="6">
        <v>51.3</v>
      </c>
      <c r="Z1124">
        <v>0.107</v>
      </c>
      <c r="AA1124">
        <v>0.12</v>
      </c>
      <c r="AB1124">
        <v>2.4E-2</v>
      </c>
      <c r="AC1124">
        <v>6</v>
      </c>
      <c r="AD1124" s="6">
        <v>60</v>
      </c>
      <c r="AE1124" s="6">
        <v>0</v>
      </c>
      <c r="AF1124" s="6">
        <v>0</v>
      </c>
      <c r="AG1124" s="6">
        <v>127.45</v>
      </c>
      <c r="AH1124" s="6">
        <v>161.79</v>
      </c>
      <c r="AI1124" s="6">
        <f t="shared" si="34"/>
        <v>34.339999999999989</v>
      </c>
      <c r="AJ1124" s="5">
        <f t="shared" si="35"/>
        <v>0.21225044811174976</v>
      </c>
    </row>
    <row r="1125" spans="1:36">
      <c r="A1125" t="s">
        <v>355</v>
      </c>
      <c r="B1125" t="s">
        <v>1410</v>
      </c>
      <c r="C1125" t="s">
        <v>84</v>
      </c>
      <c r="D1125" t="s">
        <v>77</v>
      </c>
      <c r="E1125" t="s">
        <v>69</v>
      </c>
      <c r="F1125">
        <v>0</v>
      </c>
      <c r="G1125">
        <v>1669</v>
      </c>
      <c r="H1125">
        <v>1</v>
      </c>
      <c r="I1125" t="s">
        <v>173</v>
      </c>
      <c r="J1125">
        <v>1</v>
      </c>
      <c r="K1125" s="6">
        <v>2.67</v>
      </c>
      <c r="L1125" t="s">
        <v>174</v>
      </c>
      <c r="M1125">
        <v>0</v>
      </c>
      <c r="N1125" t="s">
        <v>187</v>
      </c>
      <c r="O1125">
        <v>2</v>
      </c>
      <c r="P1125">
        <v>0</v>
      </c>
      <c r="Q1125" s="6">
        <v>29.5</v>
      </c>
      <c r="R1125">
        <v>1</v>
      </c>
      <c r="S1125" s="6">
        <v>599</v>
      </c>
      <c r="T1125">
        <v>0</v>
      </c>
      <c r="U1125" s="6">
        <v>3465</v>
      </c>
      <c r="V1125">
        <v>0</v>
      </c>
      <c r="W1125">
        <v>0</v>
      </c>
      <c r="X1125">
        <v>0</v>
      </c>
      <c r="Y1125" s="6">
        <v>51.3</v>
      </c>
      <c r="Z1125">
        <v>0.107</v>
      </c>
      <c r="AA1125">
        <v>0.12</v>
      </c>
      <c r="AB1125">
        <v>2.4E-2</v>
      </c>
      <c r="AC1125">
        <v>6</v>
      </c>
      <c r="AD1125" s="6">
        <v>50</v>
      </c>
      <c r="AE1125" s="6">
        <v>25</v>
      </c>
      <c r="AF1125" s="6">
        <v>0</v>
      </c>
      <c r="AG1125" s="6">
        <v>60.58</v>
      </c>
      <c r="AH1125" s="6">
        <v>76.87</v>
      </c>
      <c r="AI1125" s="6">
        <f t="shared" si="34"/>
        <v>16.290000000000006</v>
      </c>
      <c r="AJ1125" s="5">
        <f t="shared" si="35"/>
        <v>0.21191622219331346</v>
      </c>
    </row>
    <row r="1126" spans="1:36">
      <c r="A1126" t="s">
        <v>348</v>
      </c>
      <c r="B1126" t="s">
        <v>1411</v>
      </c>
      <c r="C1126" t="s">
        <v>84</v>
      </c>
      <c r="D1126" t="s">
        <v>77</v>
      </c>
      <c r="E1126" t="s">
        <v>69</v>
      </c>
      <c r="F1126">
        <v>0</v>
      </c>
      <c r="G1126">
        <v>1669</v>
      </c>
      <c r="H1126">
        <v>1</v>
      </c>
      <c r="I1126" t="s">
        <v>220</v>
      </c>
      <c r="J1126">
        <v>2</v>
      </c>
      <c r="K1126" s="6">
        <v>3.75</v>
      </c>
      <c r="L1126" t="s">
        <v>174</v>
      </c>
      <c r="M1126">
        <v>0</v>
      </c>
      <c r="N1126" t="s">
        <v>187</v>
      </c>
      <c r="O1126">
        <v>2</v>
      </c>
      <c r="P1126">
        <v>0</v>
      </c>
      <c r="Q1126" s="6">
        <v>62.7</v>
      </c>
      <c r="R1126">
        <v>0</v>
      </c>
      <c r="S1126" s="6">
        <v>0</v>
      </c>
      <c r="T1126">
        <v>0</v>
      </c>
      <c r="U1126" s="6">
        <v>2003</v>
      </c>
      <c r="V1126">
        <v>0</v>
      </c>
      <c r="W1126">
        <v>0</v>
      </c>
      <c r="X1126">
        <v>0</v>
      </c>
      <c r="Y1126" s="6">
        <v>51.3</v>
      </c>
      <c r="Z1126">
        <v>0.107</v>
      </c>
      <c r="AA1126">
        <v>0.12</v>
      </c>
      <c r="AB1126">
        <v>2.4E-2</v>
      </c>
      <c r="AC1126">
        <v>6</v>
      </c>
      <c r="AD1126" s="6">
        <v>50</v>
      </c>
      <c r="AE1126" s="6">
        <v>0</v>
      </c>
      <c r="AF1126" s="6">
        <v>0</v>
      </c>
      <c r="AG1126" s="6">
        <v>66.069999999999993</v>
      </c>
      <c r="AH1126" s="6">
        <v>87.47</v>
      </c>
      <c r="AI1126" s="6">
        <f t="shared" si="34"/>
        <v>21.400000000000006</v>
      </c>
      <c r="AJ1126" s="5">
        <f t="shared" si="35"/>
        <v>0.24465531039213451</v>
      </c>
    </row>
    <row r="1127" spans="1:36">
      <c r="A1127" t="s">
        <v>365</v>
      </c>
      <c r="B1127" t="s">
        <v>1412</v>
      </c>
      <c r="C1127" t="s">
        <v>84</v>
      </c>
      <c r="D1127" t="s">
        <v>77</v>
      </c>
      <c r="E1127" t="s">
        <v>69</v>
      </c>
      <c r="F1127">
        <v>0</v>
      </c>
      <c r="G1127">
        <v>1669</v>
      </c>
      <c r="H1127">
        <v>1</v>
      </c>
      <c r="I1127" t="s">
        <v>220</v>
      </c>
      <c r="J1127">
        <v>2</v>
      </c>
      <c r="K1127" s="6">
        <v>6.41</v>
      </c>
      <c r="L1127" t="s">
        <v>174</v>
      </c>
      <c r="M1127">
        <v>0</v>
      </c>
      <c r="N1127" t="s">
        <v>217</v>
      </c>
      <c r="O1127">
        <v>4</v>
      </c>
      <c r="P1127">
        <v>1</v>
      </c>
      <c r="Q1127" s="6">
        <v>196.6</v>
      </c>
      <c r="R1127">
        <v>0</v>
      </c>
      <c r="S1127" s="6">
        <v>0</v>
      </c>
      <c r="T1127">
        <v>0</v>
      </c>
      <c r="U1127" s="6">
        <v>4252</v>
      </c>
      <c r="V1127">
        <v>0</v>
      </c>
      <c r="W1127">
        <v>0</v>
      </c>
      <c r="X1127">
        <v>0</v>
      </c>
      <c r="Y1127" s="6">
        <v>51.3</v>
      </c>
      <c r="Z1127">
        <v>0.107</v>
      </c>
      <c r="AA1127">
        <v>0.12</v>
      </c>
      <c r="AB1127">
        <v>2.4E-2</v>
      </c>
      <c r="AC1127">
        <v>6</v>
      </c>
      <c r="AD1127" s="6">
        <v>50</v>
      </c>
      <c r="AE1127" s="6">
        <v>0</v>
      </c>
      <c r="AF1127" s="6">
        <v>0</v>
      </c>
      <c r="AG1127" s="6">
        <v>108.16</v>
      </c>
      <c r="AH1127" s="6">
        <v>137.12</v>
      </c>
      <c r="AI1127" s="6">
        <f t="shared" si="34"/>
        <v>28.960000000000008</v>
      </c>
      <c r="AJ1127" s="5">
        <f t="shared" si="35"/>
        <v>0.21120186697782969</v>
      </c>
    </row>
    <row r="1128" spans="1:36">
      <c r="A1128" t="s">
        <v>291</v>
      </c>
      <c r="B1128" t="s">
        <v>1413</v>
      </c>
      <c r="C1128" t="s">
        <v>84</v>
      </c>
      <c r="D1128" t="s">
        <v>77</v>
      </c>
      <c r="E1128" t="s">
        <v>69</v>
      </c>
      <c r="F1128">
        <v>0</v>
      </c>
      <c r="G1128">
        <v>1669</v>
      </c>
      <c r="H1128">
        <v>1</v>
      </c>
      <c r="I1128" t="s">
        <v>181</v>
      </c>
      <c r="J1128">
        <v>3</v>
      </c>
      <c r="K1128" s="6">
        <v>8.57</v>
      </c>
      <c r="L1128" t="s">
        <v>174</v>
      </c>
      <c r="M1128">
        <v>0</v>
      </c>
      <c r="N1128" t="s">
        <v>175</v>
      </c>
      <c r="O1128">
        <v>1</v>
      </c>
      <c r="P1128">
        <v>0</v>
      </c>
      <c r="Q1128" s="6">
        <v>35.200000000000003</v>
      </c>
      <c r="R1128">
        <v>0</v>
      </c>
      <c r="S1128" s="6">
        <v>0</v>
      </c>
      <c r="T1128">
        <v>0</v>
      </c>
      <c r="U1128" s="6">
        <v>1735</v>
      </c>
      <c r="V1128">
        <v>0</v>
      </c>
      <c r="W1128">
        <v>0</v>
      </c>
      <c r="X1128">
        <v>0</v>
      </c>
      <c r="Y1128" s="6">
        <v>51.3</v>
      </c>
      <c r="Z1128">
        <v>0.107</v>
      </c>
      <c r="AA1128">
        <v>0.12</v>
      </c>
      <c r="AB1128">
        <v>2.4E-2</v>
      </c>
      <c r="AC1128">
        <v>6</v>
      </c>
      <c r="AD1128" s="6">
        <v>60</v>
      </c>
      <c r="AE1128" s="6">
        <v>0</v>
      </c>
      <c r="AF1128" s="6">
        <v>0</v>
      </c>
      <c r="AG1128" s="6">
        <v>90.91</v>
      </c>
      <c r="AH1128" s="6">
        <v>115.7</v>
      </c>
      <c r="AI1128" s="6">
        <f t="shared" si="34"/>
        <v>24.790000000000006</v>
      </c>
      <c r="AJ1128" s="5">
        <f t="shared" si="35"/>
        <v>0.21426101987899746</v>
      </c>
    </row>
    <row r="1129" spans="1:36">
      <c r="A1129" t="s">
        <v>190</v>
      </c>
      <c r="B1129" t="s">
        <v>1414</v>
      </c>
      <c r="C1129" t="s">
        <v>84</v>
      </c>
      <c r="D1129" t="s">
        <v>77</v>
      </c>
      <c r="E1129" t="s">
        <v>69</v>
      </c>
      <c r="F1129">
        <v>0</v>
      </c>
      <c r="G1129">
        <v>1669</v>
      </c>
      <c r="H1129">
        <v>1</v>
      </c>
      <c r="I1129" t="s">
        <v>173</v>
      </c>
      <c r="J1129">
        <v>1</v>
      </c>
      <c r="K1129" s="6">
        <v>1.77</v>
      </c>
      <c r="L1129" t="s">
        <v>174</v>
      </c>
      <c r="M1129">
        <v>0</v>
      </c>
      <c r="N1129" t="s">
        <v>175</v>
      </c>
      <c r="O1129">
        <v>1</v>
      </c>
      <c r="P1129">
        <v>0</v>
      </c>
      <c r="Q1129" s="6">
        <v>44.5</v>
      </c>
      <c r="R1129">
        <v>0</v>
      </c>
      <c r="S1129" s="6">
        <v>0</v>
      </c>
      <c r="T1129">
        <v>0</v>
      </c>
      <c r="U1129" s="6">
        <v>985</v>
      </c>
      <c r="V1129">
        <v>0</v>
      </c>
      <c r="W1129">
        <v>0</v>
      </c>
      <c r="X1129">
        <v>0</v>
      </c>
      <c r="Y1129" s="6">
        <v>51.3</v>
      </c>
      <c r="Z1129">
        <v>0.107</v>
      </c>
      <c r="AA1129">
        <v>0.12</v>
      </c>
      <c r="AB1129">
        <v>2.4E-2</v>
      </c>
      <c r="AC1129">
        <v>6</v>
      </c>
      <c r="AD1129" s="6">
        <v>50</v>
      </c>
      <c r="AE1129" s="6">
        <v>0</v>
      </c>
      <c r="AF1129" s="6">
        <v>0</v>
      </c>
      <c r="AG1129" s="6">
        <v>50.46</v>
      </c>
      <c r="AH1129" s="6">
        <v>65.42</v>
      </c>
      <c r="AI1129" s="6">
        <f t="shared" si="34"/>
        <v>14.96</v>
      </c>
      <c r="AJ1129" s="5">
        <f t="shared" si="35"/>
        <v>0.22867624579639254</v>
      </c>
    </row>
    <row r="1130" spans="1:36">
      <c r="A1130" t="s">
        <v>353</v>
      </c>
      <c r="B1130" t="s">
        <v>1415</v>
      </c>
      <c r="C1130" t="s">
        <v>84</v>
      </c>
      <c r="D1130" t="s">
        <v>77</v>
      </c>
      <c r="E1130" t="s">
        <v>69</v>
      </c>
      <c r="F1130">
        <v>0</v>
      </c>
      <c r="G1130">
        <v>1669</v>
      </c>
      <c r="H1130">
        <v>1</v>
      </c>
      <c r="I1130" t="s">
        <v>173</v>
      </c>
      <c r="J1130">
        <v>1</v>
      </c>
      <c r="K1130" s="6">
        <v>1.86</v>
      </c>
      <c r="L1130" t="s">
        <v>174</v>
      </c>
      <c r="M1130">
        <v>0</v>
      </c>
      <c r="N1130" t="s">
        <v>182</v>
      </c>
      <c r="O1130">
        <v>3</v>
      </c>
      <c r="P1130">
        <v>0</v>
      </c>
      <c r="Q1130" s="6">
        <v>108.1</v>
      </c>
      <c r="R1130">
        <v>0</v>
      </c>
      <c r="S1130" s="6">
        <v>0</v>
      </c>
      <c r="T1130">
        <v>0</v>
      </c>
      <c r="U1130" s="6">
        <v>2852</v>
      </c>
      <c r="V1130">
        <v>0</v>
      </c>
      <c r="W1130">
        <v>0</v>
      </c>
      <c r="X1130">
        <v>0</v>
      </c>
      <c r="Y1130" s="6">
        <v>51.3</v>
      </c>
      <c r="Z1130">
        <v>0.107</v>
      </c>
      <c r="AA1130">
        <v>0.12</v>
      </c>
      <c r="AB1130">
        <v>2.4E-2</v>
      </c>
      <c r="AC1130">
        <v>6</v>
      </c>
      <c r="AD1130" s="6">
        <v>50</v>
      </c>
      <c r="AE1130" s="6">
        <v>0</v>
      </c>
      <c r="AF1130" s="6">
        <v>0</v>
      </c>
      <c r="AG1130" s="6">
        <v>64.2</v>
      </c>
      <c r="AH1130" s="6">
        <v>82.88</v>
      </c>
      <c r="AI1130" s="6">
        <f t="shared" si="34"/>
        <v>18.679999999999993</v>
      </c>
      <c r="AJ1130" s="5">
        <f t="shared" si="35"/>
        <v>0.2253861003861003</v>
      </c>
    </row>
    <row r="1131" spans="1:36">
      <c r="A1131" t="s">
        <v>198</v>
      </c>
      <c r="B1131" t="s">
        <v>1416</v>
      </c>
      <c r="C1131" t="s">
        <v>84</v>
      </c>
      <c r="D1131" t="s">
        <v>77</v>
      </c>
      <c r="E1131" t="s">
        <v>69</v>
      </c>
      <c r="F1131">
        <v>0</v>
      </c>
      <c r="G1131">
        <v>1669</v>
      </c>
      <c r="H1131">
        <v>1</v>
      </c>
      <c r="I1131" t="s">
        <v>220</v>
      </c>
      <c r="J1131">
        <v>2</v>
      </c>
      <c r="K1131" s="6">
        <v>3.27</v>
      </c>
      <c r="L1131" t="s">
        <v>174</v>
      </c>
      <c r="M1131">
        <v>0</v>
      </c>
      <c r="N1131" t="s">
        <v>175</v>
      </c>
      <c r="O1131">
        <v>1</v>
      </c>
      <c r="P1131">
        <v>0</v>
      </c>
      <c r="Q1131" s="6">
        <v>22.4</v>
      </c>
      <c r="R1131">
        <v>0</v>
      </c>
      <c r="S1131" s="6">
        <v>0</v>
      </c>
      <c r="T1131">
        <v>0</v>
      </c>
      <c r="U1131" s="6">
        <v>1816</v>
      </c>
      <c r="V1131">
        <v>0</v>
      </c>
      <c r="W1131">
        <v>0</v>
      </c>
      <c r="X1131">
        <v>0</v>
      </c>
      <c r="Y1131" s="6">
        <v>51.3</v>
      </c>
      <c r="Z1131">
        <v>0.107</v>
      </c>
      <c r="AA1131">
        <v>0.12</v>
      </c>
      <c r="AB1131">
        <v>2.4E-2</v>
      </c>
      <c r="AC1131">
        <v>6</v>
      </c>
      <c r="AD1131" s="6">
        <v>50</v>
      </c>
      <c r="AE1131" s="6">
        <v>0</v>
      </c>
      <c r="AF1131" s="6">
        <v>0</v>
      </c>
      <c r="AG1131" s="6">
        <v>57.45</v>
      </c>
      <c r="AH1131" s="6">
        <v>71.94</v>
      </c>
      <c r="AI1131" s="6">
        <f t="shared" si="34"/>
        <v>14.489999999999995</v>
      </c>
      <c r="AJ1131" s="5">
        <f t="shared" si="35"/>
        <v>0.20141784820683897</v>
      </c>
    </row>
    <row r="1132" spans="1:36">
      <c r="A1132" t="s">
        <v>251</v>
      </c>
      <c r="B1132" t="s">
        <v>1417</v>
      </c>
      <c r="C1132" t="s">
        <v>84</v>
      </c>
      <c r="D1132" t="s">
        <v>77</v>
      </c>
      <c r="E1132" t="s">
        <v>69</v>
      </c>
      <c r="F1132">
        <v>0</v>
      </c>
      <c r="G1132">
        <v>1669</v>
      </c>
      <c r="H1132">
        <v>1</v>
      </c>
      <c r="I1132" t="s">
        <v>173</v>
      </c>
      <c r="J1132">
        <v>1</v>
      </c>
      <c r="K1132" s="6">
        <v>1.46</v>
      </c>
      <c r="L1132" t="s">
        <v>174</v>
      </c>
      <c r="M1132">
        <v>0</v>
      </c>
      <c r="N1132" t="s">
        <v>187</v>
      </c>
      <c r="O1132">
        <v>2</v>
      </c>
      <c r="P1132">
        <v>0</v>
      </c>
      <c r="Q1132" s="6">
        <v>70.900000000000006</v>
      </c>
      <c r="R1132">
        <v>0</v>
      </c>
      <c r="S1132" s="6">
        <v>0</v>
      </c>
      <c r="T1132">
        <v>0</v>
      </c>
      <c r="U1132" s="6">
        <v>2023</v>
      </c>
      <c r="V1132">
        <v>0</v>
      </c>
      <c r="W1132">
        <v>0</v>
      </c>
      <c r="X1132">
        <v>0</v>
      </c>
      <c r="Y1132" s="6">
        <v>51.3</v>
      </c>
      <c r="Z1132">
        <v>0.107</v>
      </c>
      <c r="AA1132">
        <v>0.12</v>
      </c>
      <c r="AB1132">
        <v>2.4E-2</v>
      </c>
      <c r="AC1132">
        <v>6</v>
      </c>
      <c r="AD1132" s="6">
        <v>50</v>
      </c>
      <c r="AE1132" s="6">
        <v>0</v>
      </c>
      <c r="AF1132" s="6">
        <v>0</v>
      </c>
      <c r="AG1132" s="6">
        <v>54.75</v>
      </c>
      <c r="AH1132" s="6">
        <v>69.53</v>
      </c>
      <c r="AI1132" s="6">
        <f t="shared" si="34"/>
        <v>14.780000000000001</v>
      </c>
      <c r="AJ1132" s="5">
        <f t="shared" si="35"/>
        <v>0.21257011362002015</v>
      </c>
    </row>
    <row r="1133" spans="1:36">
      <c r="A1133" t="s">
        <v>411</v>
      </c>
      <c r="B1133" t="s">
        <v>1418</v>
      </c>
      <c r="C1133" t="s">
        <v>84</v>
      </c>
      <c r="D1133" t="s">
        <v>77</v>
      </c>
      <c r="E1133" t="s">
        <v>69</v>
      </c>
      <c r="F1133">
        <v>0</v>
      </c>
      <c r="G1133">
        <v>1669</v>
      </c>
      <c r="H1133">
        <v>1</v>
      </c>
      <c r="I1133" t="s">
        <v>220</v>
      </c>
      <c r="J1133">
        <v>2</v>
      </c>
      <c r="K1133" s="6">
        <v>4.24</v>
      </c>
      <c r="L1133" t="s">
        <v>174</v>
      </c>
      <c r="M1133">
        <v>0</v>
      </c>
      <c r="N1133" t="s">
        <v>217</v>
      </c>
      <c r="O1133">
        <v>4</v>
      </c>
      <c r="P1133">
        <v>1</v>
      </c>
      <c r="Q1133" s="6">
        <v>193.5</v>
      </c>
      <c r="R1133">
        <v>0</v>
      </c>
      <c r="S1133" s="6">
        <v>0</v>
      </c>
      <c r="T1133">
        <v>0</v>
      </c>
      <c r="U1133" s="6">
        <v>1928</v>
      </c>
      <c r="V1133">
        <v>0</v>
      </c>
      <c r="W1133">
        <v>0</v>
      </c>
      <c r="X1133">
        <v>0</v>
      </c>
      <c r="Y1133" s="6">
        <v>51.3</v>
      </c>
      <c r="Z1133">
        <v>0.107</v>
      </c>
      <c r="AA1133">
        <v>0.12</v>
      </c>
      <c r="AB1133">
        <v>2.4E-2</v>
      </c>
      <c r="AC1133">
        <v>6</v>
      </c>
      <c r="AD1133" s="6">
        <v>50</v>
      </c>
      <c r="AE1133" s="6">
        <v>0</v>
      </c>
      <c r="AF1133" s="6">
        <v>0</v>
      </c>
      <c r="AG1133" s="6">
        <v>112.98</v>
      </c>
      <c r="AH1133" s="6">
        <v>142.11000000000001</v>
      </c>
      <c r="AI1133" s="6">
        <f t="shared" si="34"/>
        <v>29.13000000000001</v>
      </c>
      <c r="AJ1133" s="5">
        <f t="shared" si="35"/>
        <v>0.20498205615368381</v>
      </c>
    </row>
    <row r="1134" spans="1:36">
      <c r="A1134" t="s">
        <v>204</v>
      </c>
      <c r="B1134" t="s">
        <v>1419</v>
      </c>
      <c r="C1134" t="s">
        <v>84</v>
      </c>
      <c r="D1134" t="s">
        <v>77</v>
      </c>
      <c r="E1134" t="s">
        <v>69</v>
      </c>
      <c r="F1134">
        <v>0</v>
      </c>
      <c r="G1134">
        <v>1669</v>
      </c>
      <c r="H1134">
        <v>1</v>
      </c>
      <c r="I1134" t="s">
        <v>181</v>
      </c>
      <c r="J1134">
        <v>3</v>
      </c>
      <c r="K1134" s="6">
        <v>5.13</v>
      </c>
      <c r="L1134" t="s">
        <v>174</v>
      </c>
      <c r="M1134">
        <v>0</v>
      </c>
      <c r="N1134" t="s">
        <v>175</v>
      </c>
      <c r="O1134">
        <v>1</v>
      </c>
      <c r="P1134">
        <v>0</v>
      </c>
      <c r="Q1134" s="6">
        <v>35.799999999999997</v>
      </c>
      <c r="R1134">
        <v>0</v>
      </c>
      <c r="S1134" s="6">
        <v>0</v>
      </c>
      <c r="T1134">
        <v>0</v>
      </c>
      <c r="U1134" s="6">
        <v>2408</v>
      </c>
      <c r="V1134">
        <v>0</v>
      </c>
      <c r="W1134">
        <v>0</v>
      </c>
      <c r="X1134">
        <v>0</v>
      </c>
      <c r="Y1134" s="6">
        <v>51.3</v>
      </c>
      <c r="Z1134">
        <v>0.107</v>
      </c>
      <c r="AA1134">
        <v>0.12</v>
      </c>
      <c r="AB1134">
        <v>2.4E-2</v>
      </c>
      <c r="AC1134">
        <v>6</v>
      </c>
      <c r="AD1134" s="6">
        <v>60</v>
      </c>
      <c r="AE1134" s="6">
        <v>0</v>
      </c>
      <c r="AF1134" s="6">
        <v>0</v>
      </c>
      <c r="AG1134" s="6">
        <v>74.81</v>
      </c>
      <c r="AH1134" s="6">
        <v>94.52</v>
      </c>
      <c r="AI1134" s="6">
        <f t="shared" si="34"/>
        <v>19.709999999999994</v>
      </c>
      <c r="AJ1134" s="5">
        <f t="shared" si="35"/>
        <v>0.20852729581041043</v>
      </c>
    </row>
    <row r="1135" spans="1:36">
      <c r="A1135" t="s">
        <v>303</v>
      </c>
      <c r="B1135" t="s">
        <v>1420</v>
      </c>
      <c r="C1135" t="s">
        <v>84</v>
      </c>
      <c r="D1135" t="s">
        <v>77</v>
      </c>
      <c r="E1135" t="s">
        <v>69</v>
      </c>
      <c r="F1135">
        <v>0</v>
      </c>
      <c r="G1135">
        <v>1669</v>
      </c>
      <c r="H1135">
        <v>1</v>
      </c>
      <c r="I1135" t="s">
        <v>181</v>
      </c>
      <c r="J1135">
        <v>3</v>
      </c>
      <c r="K1135" s="6">
        <v>7.89</v>
      </c>
      <c r="L1135" t="s">
        <v>174</v>
      </c>
      <c r="M1135">
        <v>0</v>
      </c>
      <c r="N1135" t="s">
        <v>175</v>
      </c>
      <c r="O1135">
        <v>1</v>
      </c>
      <c r="P1135">
        <v>0</v>
      </c>
      <c r="Q1135" s="6">
        <v>41.3</v>
      </c>
      <c r="R1135">
        <v>0</v>
      </c>
      <c r="S1135" s="6">
        <v>0</v>
      </c>
      <c r="T1135">
        <v>0</v>
      </c>
      <c r="U1135" s="6">
        <v>1805</v>
      </c>
      <c r="V1135">
        <v>0</v>
      </c>
      <c r="W1135">
        <v>0</v>
      </c>
      <c r="X1135">
        <v>0</v>
      </c>
      <c r="Y1135" s="6">
        <v>51.3</v>
      </c>
      <c r="Z1135">
        <v>0.107</v>
      </c>
      <c r="AA1135">
        <v>0.12</v>
      </c>
      <c r="AB1135">
        <v>2.4E-2</v>
      </c>
      <c r="AC1135">
        <v>6</v>
      </c>
      <c r="AD1135" s="6">
        <v>60</v>
      </c>
      <c r="AE1135" s="6">
        <v>0</v>
      </c>
      <c r="AF1135" s="6">
        <v>0</v>
      </c>
      <c r="AG1135" s="6">
        <v>81.319999999999993</v>
      </c>
      <c r="AH1135" s="6">
        <v>105.2</v>
      </c>
      <c r="AI1135" s="6">
        <f t="shared" si="34"/>
        <v>23.88000000000001</v>
      </c>
      <c r="AJ1135" s="5">
        <f t="shared" si="35"/>
        <v>0.22699619771863128</v>
      </c>
    </row>
    <row r="1136" spans="1:36">
      <c r="A1136" t="s">
        <v>255</v>
      </c>
      <c r="B1136" t="s">
        <v>1421</v>
      </c>
      <c r="C1136" t="s">
        <v>86</v>
      </c>
      <c r="D1136" t="s">
        <v>54</v>
      </c>
      <c r="E1136" t="s">
        <v>55</v>
      </c>
      <c r="F1136">
        <v>1</v>
      </c>
      <c r="G1136">
        <v>8644</v>
      </c>
      <c r="H1136">
        <v>1</v>
      </c>
      <c r="I1136" t="s">
        <v>173</v>
      </c>
      <c r="J1136">
        <v>1</v>
      </c>
      <c r="K1136" s="6">
        <v>1.44</v>
      </c>
      <c r="L1136" t="s">
        <v>174</v>
      </c>
      <c r="M1136">
        <v>0</v>
      </c>
      <c r="N1136" t="s">
        <v>187</v>
      </c>
      <c r="O1136">
        <v>2</v>
      </c>
      <c r="P1136">
        <v>0</v>
      </c>
      <c r="Q1136" s="6">
        <v>62</v>
      </c>
      <c r="R1136">
        <v>1</v>
      </c>
      <c r="S1136" s="6">
        <v>9077</v>
      </c>
      <c r="T1136">
        <v>0</v>
      </c>
      <c r="U1136" s="6">
        <v>2357</v>
      </c>
      <c r="V1136">
        <v>0</v>
      </c>
      <c r="W1136">
        <v>0</v>
      </c>
      <c r="X1136">
        <v>1</v>
      </c>
      <c r="Y1136" s="6">
        <v>53.3</v>
      </c>
      <c r="Z1136">
        <v>0.06</v>
      </c>
      <c r="AA1136">
        <v>0.153</v>
      </c>
      <c r="AB1136">
        <v>3.6999999999999998E-2</v>
      </c>
      <c r="AC1136">
        <v>6</v>
      </c>
      <c r="AD1136" s="6">
        <v>50</v>
      </c>
      <c r="AE1136" s="6">
        <v>50</v>
      </c>
      <c r="AF1136" s="6">
        <v>0</v>
      </c>
      <c r="AG1136" s="6">
        <v>48.24</v>
      </c>
      <c r="AH1136" s="6">
        <v>61.85</v>
      </c>
      <c r="AI1136" s="6">
        <f t="shared" si="34"/>
        <v>13.61</v>
      </c>
      <c r="AJ1136" s="5">
        <f t="shared" si="35"/>
        <v>0.22004850444624088</v>
      </c>
    </row>
    <row r="1137" spans="1:36">
      <c r="A1137" t="s">
        <v>397</v>
      </c>
      <c r="B1137" t="s">
        <v>1422</v>
      </c>
      <c r="C1137" t="s">
        <v>86</v>
      </c>
      <c r="D1137" t="s">
        <v>54</v>
      </c>
      <c r="E1137" t="s">
        <v>55</v>
      </c>
      <c r="F1137">
        <v>1</v>
      </c>
      <c r="G1137">
        <v>8644</v>
      </c>
      <c r="H1137">
        <v>1</v>
      </c>
      <c r="I1137" t="s">
        <v>173</v>
      </c>
      <c r="J1137">
        <v>1</v>
      </c>
      <c r="K1137" s="6">
        <v>2.23</v>
      </c>
      <c r="L1137" t="s">
        <v>174</v>
      </c>
      <c r="M1137">
        <v>0</v>
      </c>
      <c r="N1137" t="s">
        <v>175</v>
      </c>
      <c r="O1137">
        <v>1</v>
      </c>
      <c r="P1137">
        <v>0</v>
      </c>
      <c r="Q1137" s="6">
        <v>36.9</v>
      </c>
      <c r="R1137">
        <v>1</v>
      </c>
      <c r="S1137" s="6">
        <v>3232</v>
      </c>
      <c r="T1137">
        <v>0</v>
      </c>
      <c r="U1137" s="6">
        <v>3726</v>
      </c>
      <c r="V1137">
        <v>0</v>
      </c>
      <c r="W1137">
        <v>0</v>
      </c>
      <c r="X1137">
        <v>0</v>
      </c>
      <c r="Y1137" s="6">
        <v>53.3</v>
      </c>
      <c r="Z1137">
        <v>0.06</v>
      </c>
      <c r="AA1137">
        <v>0.153</v>
      </c>
      <c r="AB1137">
        <v>3.6999999999999998E-2</v>
      </c>
      <c r="AC1137">
        <v>6</v>
      </c>
      <c r="AD1137" s="6">
        <v>50</v>
      </c>
      <c r="AE1137" s="6">
        <v>40</v>
      </c>
      <c r="AF1137" s="6">
        <v>0</v>
      </c>
      <c r="AG1137" s="6">
        <v>42.01</v>
      </c>
      <c r="AH1137" s="6">
        <v>50.64</v>
      </c>
      <c r="AI1137" s="6">
        <f t="shared" si="34"/>
        <v>8.6300000000000026</v>
      </c>
      <c r="AJ1137" s="5">
        <f t="shared" si="35"/>
        <v>0.17041864139020543</v>
      </c>
    </row>
    <row r="1138" spans="1:36">
      <c r="A1138" t="s">
        <v>423</v>
      </c>
      <c r="B1138" t="s">
        <v>1423</v>
      </c>
      <c r="C1138" t="s">
        <v>86</v>
      </c>
      <c r="D1138" t="s">
        <v>54</v>
      </c>
      <c r="E1138" t="s">
        <v>55</v>
      </c>
      <c r="F1138">
        <v>1</v>
      </c>
      <c r="G1138">
        <v>8644</v>
      </c>
      <c r="H1138">
        <v>1</v>
      </c>
      <c r="I1138" t="s">
        <v>173</v>
      </c>
      <c r="J1138">
        <v>1</v>
      </c>
      <c r="K1138" s="6">
        <v>0.96</v>
      </c>
      <c r="L1138" t="s">
        <v>174</v>
      </c>
      <c r="M1138">
        <v>0</v>
      </c>
      <c r="N1138" t="s">
        <v>182</v>
      </c>
      <c r="O1138">
        <v>3</v>
      </c>
      <c r="P1138">
        <v>0</v>
      </c>
      <c r="Q1138" s="6">
        <v>50</v>
      </c>
      <c r="R1138">
        <v>1</v>
      </c>
      <c r="S1138" s="6">
        <v>2951</v>
      </c>
      <c r="T1138">
        <v>0</v>
      </c>
      <c r="U1138" s="6">
        <v>2008</v>
      </c>
      <c r="V1138">
        <v>0</v>
      </c>
      <c r="W1138">
        <v>0</v>
      </c>
      <c r="X1138">
        <v>0</v>
      </c>
      <c r="Y1138" s="6">
        <v>53.3</v>
      </c>
      <c r="Z1138">
        <v>0.06</v>
      </c>
      <c r="AA1138">
        <v>0.153</v>
      </c>
      <c r="AB1138">
        <v>3.6999999999999998E-2</v>
      </c>
      <c r="AC1138">
        <v>6</v>
      </c>
      <c r="AD1138" s="6">
        <v>50</v>
      </c>
      <c r="AE1138" s="6">
        <v>40</v>
      </c>
      <c r="AF1138" s="6">
        <v>0</v>
      </c>
      <c r="AG1138" s="6">
        <v>57.03</v>
      </c>
      <c r="AH1138" s="6">
        <v>68.02</v>
      </c>
      <c r="AI1138" s="6">
        <f t="shared" si="34"/>
        <v>10.989999999999995</v>
      </c>
      <c r="AJ1138" s="5">
        <f t="shared" si="35"/>
        <v>0.16157012643340188</v>
      </c>
    </row>
    <row r="1139" spans="1:36">
      <c r="A1139" t="s">
        <v>602</v>
      </c>
      <c r="B1139" t="s">
        <v>1424</v>
      </c>
      <c r="C1139" t="s">
        <v>86</v>
      </c>
      <c r="D1139" t="s">
        <v>54</v>
      </c>
      <c r="E1139" t="s">
        <v>55</v>
      </c>
      <c r="F1139">
        <v>1</v>
      </c>
      <c r="G1139">
        <v>8644</v>
      </c>
      <c r="H1139">
        <v>1</v>
      </c>
      <c r="I1139" t="s">
        <v>173</v>
      </c>
      <c r="J1139">
        <v>1</v>
      </c>
      <c r="K1139" s="6">
        <v>1.04</v>
      </c>
      <c r="L1139" t="s">
        <v>174</v>
      </c>
      <c r="M1139">
        <v>0</v>
      </c>
      <c r="N1139" t="s">
        <v>187</v>
      </c>
      <c r="O1139">
        <v>2</v>
      </c>
      <c r="P1139">
        <v>0</v>
      </c>
      <c r="Q1139" s="6">
        <v>66.8</v>
      </c>
      <c r="R1139">
        <v>0</v>
      </c>
      <c r="S1139" s="6">
        <v>0</v>
      </c>
      <c r="T1139">
        <v>0</v>
      </c>
      <c r="U1139" s="6">
        <v>1974</v>
      </c>
      <c r="V1139">
        <v>1</v>
      </c>
      <c r="W1139">
        <v>0</v>
      </c>
      <c r="X1139">
        <v>1</v>
      </c>
      <c r="Y1139" s="6">
        <v>53.3</v>
      </c>
      <c r="Z1139">
        <v>0.06</v>
      </c>
      <c r="AA1139">
        <v>0.153</v>
      </c>
      <c r="AB1139">
        <v>3.6999999999999998E-2</v>
      </c>
      <c r="AC1139">
        <v>6</v>
      </c>
      <c r="AD1139" s="6">
        <v>50</v>
      </c>
      <c r="AE1139" s="6">
        <v>0</v>
      </c>
      <c r="AF1139" s="6">
        <v>0</v>
      </c>
      <c r="AG1139" s="6">
        <v>91.53</v>
      </c>
      <c r="AH1139" s="6">
        <v>109.94</v>
      </c>
      <c r="AI1139" s="6">
        <f t="shared" si="34"/>
        <v>18.409999999999997</v>
      </c>
      <c r="AJ1139" s="5">
        <f t="shared" si="35"/>
        <v>0.16745497544114968</v>
      </c>
    </row>
    <row r="1140" spans="1:36">
      <c r="A1140" t="s">
        <v>517</v>
      </c>
      <c r="B1140" t="s">
        <v>1425</v>
      </c>
      <c r="C1140" t="s">
        <v>86</v>
      </c>
      <c r="D1140" t="s">
        <v>54</v>
      </c>
      <c r="E1140" t="s">
        <v>55</v>
      </c>
      <c r="F1140">
        <v>1</v>
      </c>
      <c r="G1140">
        <v>8644</v>
      </c>
      <c r="H1140">
        <v>1</v>
      </c>
      <c r="I1140" t="s">
        <v>173</v>
      </c>
      <c r="J1140">
        <v>1</v>
      </c>
      <c r="K1140" s="6">
        <v>1.31</v>
      </c>
      <c r="L1140" t="s">
        <v>174</v>
      </c>
      <c r="M1140">
        <v>0</v>
      </c>
      <c r="N1140" t="s">
        <v>175</v>
      </c>
      <c r="O1140">
        <v>1</v>
      </c>
      <c r="P1140">
        <v>0</v>
      </c>
      <c r="Q1140" s="6">
        <v>36.799999999999997</v>
      </c>
      <c r="R1140">
        <v>1</v>
      </c>
      <c r="S1140" s="6">
        <v>1623</v>
      </c>
      <c r="T1140">
        <v>0</v>
      </c>
      <c r="U1140" s="6">
        <v>4126</v>
      </c>
      <c r="V1140">
        <v>1</v>
      </c>
      <c r="W1140">
        <v>0</v>
      </c>
      <c r="X1140">
        <v>0</v>
      </c>
      <c r="Y1140" s="6">
        <v>53.3</v>
      </c>
      <c r="Z1140">
        <v>0.06</v>
      </c>
      <c r="AA1140">
        <v>0.153</v>
      </c>
      <c r="AB1140">
        <v>3.6999999999999998E-2</v>
      </c>
      <c r="AC1140">
        <v>6</v>
      </c>
      <c r="AD1140" s="6">
        <v>50</v>
      </c>
      <c r="AE1140" s="6">
        <v>25</v>
      </c>
      <c r="AF1140" s="6">
        <v>0</v>
      </c>
      <c r="AG1140" s="6">
        <v>87.31</v>
      </c>
      <c r="AH1140" s="6">
        <v>108.36</v>
      </c>
      <c r="AI1140" s="6">
        <f t="shared" si="34"/>
        <v>21.049999999999997</v>
      </c>
      <c r="AJ1140" s="5">
        <f t="shared" si="35"/>
        <v>0.19425987449243259</v>
      </c>
    </row>
    <row r="1141" spans="1:36">
      <c r="A1141" t="s">
        <v>176</v>
      </c>
      <c r="B1141" t="s">
        <v>1426</v>
      </c>
      <c r="C1141" t="s">
        <v>86</v>
      </c>
      <c r="D1141" t="s">
        <v>54</v>
      </c>
      <c r="E1141" t="s">
        <v>55</v>
      </c>
      <c r="F1141">
        <v>1</v>
      </c>
      <c r="G1141">
        <v>8644</v>
      </c>
      <c r="H1141">
        <v>1</v>
      </c>
      <c r="I1141" t="s">
        <v>220</v>
      </c>
      <c r="J1141">
        <v>2</v>
      </c>
      <c r="K1141" s="6">
        <v>5.08</v>
      </c>
      <c r="L1141" t="s">
        <v>174</v>
      </c>
      <c r="M1141">
        <v>0</v>
      </c>
      <c r="N1141" t="s">
        <v>217</v>
      </c>
      <c r="O1141">
        <v>4</v>
      </c>
      <c r="P1141">
        <v>1</v>
      </c>
      <c r="Q1141" s="6">
        <v>135.5</v>
      </c>
      <c r="R1141">
        <v>0</v>
      </c>
      <c r="S1141" s="6">
        <v>0</v>
      </c>
      <c r="T1141">
        <v>0</v>
      </c>
      <c r="U1141" s="6">
        <v>7391</v>
      </c>
      <c r="V1141">
        <v>0</v>
      </c>
      <c r="W1141">
        <v>0</v>
      </c>
      <c r="X1141">
        <v>0</v>
      </c>
      <c r="Y1141" s="6">
        <v>53.3</v>
      </c>
      <c r="Z1141">
        <v>0.06</v>
      </c>
      <c r="AA1141">
        <v>0.153</v>
      </c>
      <c r="AB1141">
        <v>3.6999999999999998E-2</v>
      </c>
      <c r="AC1141">
        <v>6</v>
      </c>
      <c r="AD1141" s="6">
        <v>50</v>
      </c>
      <c r="AE1141" s="6">
        <v>0</v>
      </c>
      <c r="AF1141" s="6">
        <v>0</v>
      </c>
      <c r="AG1141" s="6">
        <v>105.9</v>
      </c>
      <c r="AH1141" s="6">
        <v>126.69</v>
      </c>
      <c r="AI1141" s="6">
        <f t="shared" si="34"/>
        <v>20.789999999999992</v>
      </c>
      <c r="AJ1141" s="5">
        <f t="shared" si="35"/>
        <v>0.16410134975136154</v>
      </c>
    </row>
    <row r="1142" spans="1:36">
      <c r="A1142" t="s">
        <v>350</v>
      </c>
      <c r="B1142" t="s">
        <v>1427</v>
      </c>
      <c r="C1142" t="s">
        <v>86</v>
      </c>
      <c r="D1142" t="s">
        <v>54</v>
      </c>
      <c r="E1142" t="s">
        <v>55</v>
      </c>
      <c r="F1142">
        <v>1</v>
      </c>
      <c r="G1142">
        <v>8644</v>
      </c>
      <c r="H1142">
        <v>1</v>
      </c>
      <c r="I1142" t="s">
        <v>173</v>
      </c>
      <c r="J1142">
        <v>1</v>
      </c>
      <c r="K1142" s="6">
        <v>1.47</v>
      </c>
      <c r="L1142" t="s">
        <v>174</v>
      </c>
      <c r="M1142">
        <v>0</v>
      </c>
      <c r="N1142" t="s">
        <v>182</v>
      </c>
      <c r="O1142">
        <v>3</v>
      </c>
      <c r="P1142">
        <v>0</v>
      </c>
      <c r="Q1142" s="6">
        <v>61.2</v>
      </c>
      <c r="R1142">
        <v>1</v>
      </c>
      <c r="S1142" s="6">
        <v>843</v>
      </c>
      <c r="T1142">
        <v>0</v>
      </c>
      <c r="U1142" s="6">
        <v>2745</v>
      </c>
      <c r="V1142">
        <v>0</v>
      </c>
      <c r="W1142">
        <v>0</v>
      </c>
      <c r="X1142">
        <v>0</v>
      </c>
      <c r="Y1142" s="6">
        <v>53.3</v>
      </c>
      <c r="Z1142">
        <v>0.06</v>
      </c>
      <c r="AA1142">
        <v>0.153</v>
      </c>
      <c r="AB1142">
        <v>3.6999999999999998E-2</v>
      </c>
      <c r="AC1142">
        <v>6</v>
      </c>
      <c r="AD1142" s="6">
        <v>50</v>
      </c>
      <c r="AE1142" s="6">
        <v>25</v>
      </c>
      <c r="AF1142" s="6">
        <v>0</v>
      </c>
      <c r="AG1142" s="6">
        <v>65.900000000000006</v>
      </c>
      <c r="AH1142" s="6">
        <v>81.39</v>
      </c>
      <c r="AI1142" s="6">
        <f t="shared" si="34"/>
        <v>15.489999999999995</v>
      </c>
      <c r="AJ1142" s="5">
        <f t="shared" si="35"/>
        <v>0.19031822091165984</v>
      </c>
    </row>
    <row r="1143" spans="1:36">
      <c r="A1143" t="s">
        <v>459</v>
      </c>
      <c r="B1143" t="s">
        <v>1428</v>
      </c>
      <c r="C1143" t="s">
        <v>86</v>
      </c>
      <c r="D1143" t="s">
        <v>54</v>
      </c>
      <c r="E1143" t="s">
        <v>55</v>
      </c>
      <c r="F1143">
        <v>1</v>
      </c>
      <c r="G1143">
        <v>8644</v>
      </c>
      <c r="H1143">
        <v>1</v>
      </c>
      <c r="I1143" t="s">
        <v>181</v>
      </c>
      <c r="J1143">
        <v>3</v>
      </c>
      <c r="K1143" s="6">
        <v>8.16</v>
      </c>
      <c r="L1143" t="s">
        <v>174</v>
      </c>
      <c r="M1143">
        <v>0</v>
      </c>
      <c r="N1143" t="s">
        <v>182</v>
      </c>
      <c r="O1143">
        <v>3</v>
      </c>
      <c r="P1143">
        <v>0</v>
      </c>
      <c r="Q1143" s="6">
        <v>156.6</v>
      </c>
      <c r="R1143">
        <v>1</v>
      </c>
      <c r="S1143" s="6">
        <v>3206</v>
      </c>
      <c r="T1143">
        <v>0</v>
      </c>
      <c r="U1143" s="6">
        <v>1227</v>
      </c>
      <c r="V1143">
        <v>0</v>
      </c>
      <c r="W1143">
        <v>0</v>
      </c>
      <c r="X1143">
        <v>0</v>
      </c>
      <c r="Y1143" s="6">
        <v>53.3</v>
      </c>
      <c r="Z1143">
        <v>0.06</v>
      </c>
      <c r="AA1143">
        <v>0.153</v>
      </c>
      <c r="AB1143">
        <v>3.6999999999999998E-2</v>
      </c>
      <c r="AC1143">
        <v>6</v>
      </c>
      <c r="AD1143" s="6">
        <v>60</v>
      </c>
      <c r="AE1143" s="6">
        <v>40</v>
      </c>
      <c r="AF1143" s="6">
        <v>0</v>
      </c>
      <c r="AG1143" s="6">
        <v>96.42</v>
      </c>
      <c r="AH1143" s="6">
        <v>118.2</v>
      </c>
      <c r="AI1143" s="6">
        <f t="shared" si="34"/>
        <v>21.78</v>
      </c>
      <c r="AJ1143" s="5">
        <f t="shared" si="35"/>
        <v>0.18426395939086296</v>
      </c>
    </row>
    <row r="1144" spans="1:36">
      <c r="A1144" t="s">
        <v>228</v>
      </c>
      <c r="B1144" t="s">
        <v>1429</v>
      </c>
      <c r="C1144" t="s">
        <v>86</v>
      </c>
      <c r="D1144" t="s">
        <v>54</v>
      </c>
      <c r="E1144" t="s">
        <v>55</v>
      </c>
      <c r="F1144">
        <v>1</v>
      </c>
      <c r="G1144">
        <v>8644</v>
      </c>
      <c r="H1144">
        <v>1</v>
      </c>
      <c r="I1144" t="s">
        <v>220</v>
      </c>
      <c r="J1144">
        <v>2</v>
      </c>
      <c r="K1144" s="6">
        <v>4.03</v>
      </c>
      <c r="L1144" t="s">
        <v>174</v>
      </c>
      <c r="M1144">
        <v>0</v>
      </c>
      <c r="N1144" t="s">
        <v>175</v>
      </c>
      <c r="O1144">
        <v>1</v>
      </c>
      <c r="P1144">
        <v>0</v>
      </c>
      <c r="Q1144" s="6">
        <v>27.1</v>
      </c>
      <c r="R1144">
        <v>0</v>
      </c>
      <c r="S1144" s="6">
        <v>0</v>
      </c>
      <c r="T1144">
        <v>0</v>
      </c>
      <c r="U1144" s="6">
        <v>17876</v>
      </c>
      <c r="V1144">
        <v>0</v>
      </c>
      <c r="W1144">
        <v>1</v>
      </c>
      <c r="X1144">
        <v>0</v>
      </c>
      <c r="Y1144" s="6">
        <v>53.3</v>
      </c>
      <c r="Z1144">
        <v>0.06</v>
      </c>
      <c r="AA1144">
        <v>0.153</v>
      </c>
      <c r="AB1144">
        <v>3.6999999999999998E-2</v>
      </c>
      <c r="AC1144">
        <v>6</v>
      </c>
      <c r="AD1144" s="6">
        <v>50</v>
      </c>
      <c r="AE1144" s="6">
        <v>0</v>
      </c>
      <c r="AF1144" s="6">
        <v>0</v>
      </c>
      <c r="AG1144" s="6">
        <v>82.27</v>
      </c>
      <c r="AH1144" s="6">
        <v>102.28</v>
      </c>
      <c r="AI1144" s="6">
        <f t="shared" si="34"/>
        <v>20.010000000000005</v>
      </c>
      <c r="AJ1144" s="5">
        <f t="shared" si="35"/>
        <v>0.19563942119671496</v>
      </c>
    </row>
    <row r="1145" spans="1:36">
      <c r="A1145" t="s">
        <v>328</v>
      </c>
      <c r="B1145" t="s">
        <v>1430</v>
      </c>
      <c r="C1145" t="s">
        <v>86</v>
      </c>
      <c r="D1145" t="s">
        <v>54</v>
      </c>
      <c r="E1145" t="s">
        <v>55</v>
      </c>
      <c r="F1145">
        <v>1</v>
      </c>
      <c r="G1145">
        <v>8644</v>
      </c>
      <c r="H1145">
        <v>1</v>
      </c>
      <c r="I1145" t="s">
        <v>173</v>
      </c>
      <c r="J1145">
        <v>1</v>
      </c>
      <c r="K1145" s="6">
        <v>1.42</v>
      </c>
      <c r="L1145" t="s">
        <v>200</v>
      </c>
      <c r="M1145">
        <v>1</v>
      </c>
      <c r="N1145" t="s">
        <v>182</v>
      </c>
      <c r="O1145">
        <v>3</v>
      </c>
      <c r="P1145">
        <v>0</v>
      </c>
      <c r="Q1145" s="6">
        <v>64.8</v>
      </c>
      <c r="R1145">
        <v>0</v>
      </c>
      <c r="S1145" s="6">
        <v>0</v>
      </c>
      <c r="T1145">
        <v>0</v>
      </c>
      <c r="U1145" s="6">
        <v>3733</v>
      </c>
      <c r="V1145">
        <v>0</v>
      </c>
      <c r="W1145">
        <v>0</v>
      </c>
      <c r="X1145">
        <v>0</v>
      </c>
      <c r="Y1145" s="6">
        <v>53.3</v>
      </c>
      <c r="Z1145">
        <v>0.06</v>
      </c>
      <c r="AA1145">
        <v>0.153</v>
      </c>
      <c r="AB1145">
        <v>3.6999999999999998E-2</v>
      </c>
      <c r="AC1145">
        <v>6</v>
      </c>
      <c r="AD1145" s="6">
        <v>99</v>
      </c>
      <c r="AE1145" s="6">
        <v>0</v>
      </c>
      <c r="AF1145" s="6">
        <v>0</v>
      </c>
      <c r="AG1145" s="6">
        <v>86.78</v>
      </c>
      <c r="AH1145" s="6">
        <v>106.82</v>
      </c>
      <c r="AI1145" s="6">
        <f t="shared" si="34"/>
        <v>20.039999999999992</v>
      </c>
      <c r="AJ1145" s="5">
        <f t="shared" si="35"/>
        <v>0.18760531735630026</v>
      </c>
    </row>
    <row r="1146" spans="1:36">
      <c r="A1146" t="s">
        <v>434</v>
      </c>
      <c r="B1146" t="s">
        <v>1431</v>
      </c>
      <c r="C1146" t="s">
        <v>86</v>
      </c>
      <c r="D1146" t="s">
        <v>54</v>
      </c>
      <c r="E1146" t="s">
        <v>55</v>
      </c>
      <c r="F1146">
        <v>1</v>
      </c>
      <c r="G1146">
        <v>8644</v>
      </c>
      <c r="H1146">
        <v>1</v>
      </c>
      <c r="I1146" t="s">
        <v>173</v>
      </c>
      <c r="J1146">
        <v>1</v>
      </c>
      <c r="K1146" s="6">
        <v>2.15</v>
      </c>
      <c r="L1146" t="s">
        <v>174</v>
      </c>
      <c r="M1146">
        <v>0</v>
      </c>
      <c r="N1146" t="s">
        <v>187</v>
      </c>
      <c r="O1146">
        <v>2</v>
      </c>
      <c r="P1146">
        <v>0</v>
      </c>
      <c r="Q1146" s="6">
        <v>34.9</v>
      </c>
      <c r="R1146">
        <v>0</v>
      </c>
      <c r="S1146" s="6">
        <v>0</v>
      </c>
      <c r="T1146">
        <v>0</v>
      </c>
      <c r="U1146" s="6">
        <v>2606</v>
      </c>
      <c r="V1146">
        <v>0</v>
      </c>
      <c r="W1146">
        <v>0</v>
      </c>
      <c r="X1146">
        <v>0</v>
      </c>
      <c r="Y1146" s="6">
        <v>53.3</v>
      </c>
      <c r="Z1146">
        <v>0.06</v>
      </c>
      <c r="AA1146">
        <v>0.153</v>
      </c>
      <c r="AB1146">
        <v>3.6999999999999998E-2</v>
      </c>
      <c r="AC1146">
        <v>6</v>
      </c>
      <c r="AD1146" s="6">
        <v>50</v>
      </c>
      <c r="AE1146" s="6">
        <v>0</v>
      </c>
      <c r="AF1146" s="6">
        <v>0</v>
      </c>
      <c r="AG1146" s="6">
        <v>48.87</v>
      </c>
      <c r="AH1146" s="6">
        <v>60.82</v>
      </c>
      <c r="AI1146" s="6">
        <f t="shared" si="34"/>
        <v>11.950000000000003</v>
      </c>
      <c r="AJ1146" s="5">
        <f t="shared" si="35"/>
        <v>0.19648142058533383</v>
      </c>
    </row>
    <row r="1147" spans="1:36">
      <c r="A1147" t="s">
        <v>277</v>
      </c>
      <c r="B1147" t="s">
        <v>1432</v>
      </c>
      <c r="C1147" t="s">
        <v>86</v>
      </c>
      <c r="D1147" t="s">
        <v>54</v>
      </c>
      <c r="E1147" t="s">
        <v>55</v>
      </c>
      <c r="F1147">
        <v>1</v>
      </c>
      <c r="G1147">
        <v>8644</v>
      </c>
      <c r="H1147">
        <v>1</v>
      </c>
      <c r="I1147" t="s">
        <v>181</v>
      </c>
      <c r="J1147">
        <v>3</v>
      </c>
      <c r="K1147" s="6">
        <v>7.6</v>
      </c>
      <c r="L1147" t="s">
        <v>174</v>
      </c>
      <c r="M1147">
        <v>0</v>
      </c>
      <c r="N1147" t="s">
        <v>187</v>
      </c>
      <c r="O1147">
        <v>2</v>
      </c>
      <c r="P1147">
        <v>0</v>
      </c>
      <c r="Q1147" s="6">
        <v>59.5</v>
      </c>
      <c r="R1147">
        <v>0</v>
      </c>
      <c r="S1147" s="6">
        <v>0</v>
      </c>
      <c r="T1147">
        <v>0</v>
      </c>
      <c r="U1147" s="6">
        <v>8372</v>
      </c>
      <c r="V1147">
        <v>0</v>
      </c>
      <c r="W1147">
        <v>0</v>
      </c>
      <c r="X1147">
        <v>0</v>
      </c>
      <c r="Y1147" s="6">
        <v>53.3</v>
      </c>
      <c r="Z1147">
        <v>0.06</v>
      </c>
      <c r="AA1147">
        <v>0.153</v>
      </c>
      <c r="AB1147">
        <v>3.6999999999999998E-2</v>
      </c>
      <c r="AC1147">
        <v>6</v>
      </c>
      <c r="AD1147" s="6">
        <v>60</v>
      </c>
      <c r="AE1147" s="6">
        <v>0</v>
      </c>
      <c r="AF1147" s="6">
        <v>0</v>
      </c>
      <c r="AG1147" s="6">
        <v>67.89</v>
      </c>
      <c r="AH1147" s="6">
        <v>84.89</v>
      </c>
      <c r="AI1147" s="6">
        <f t="shared" si="34"/>
        <v>17</v>
      </c>
      <c r="AJ1147" s="5">
        <f t="shared" si="35"/>
        <v>0.20025915891153256</v>
      </c>
    </row>
    <row r="1148" spans="1:36">
      <c r="A1148" t="s">
        <v>393</v>
      </c>
      <c r="B1148" t="s">
        <v>1433</v>
      </c>
      <c r="C1148" t="s">
        <v>86</v>
      </c>
      <c r="D1148" t="s">
        <v>54</v>
      </c>
      <c r="E1148" t="s">
        <v>55</v>
      </c>
      <c r="F1148">
        <v>1</v>
      </c>
      <c r="G1148">
        <v>8644</v>
      </c>
      <c r="H1148">
        <v>1</v>
      </c>
      <c r="I1148" t="s">
        <v>181</v>
      </c>
      <c r="J1148">
        <v>3</v>
      </c>
      <c r="K1148" s="6">
        <v>4.33</v>
      </c>
      <c r="L1148" t="s">
        <v>174</v>
      </c>
      <c r="M1148">
        <v>0</v>
      </c>
      <c r="N1148" t="s">
        <v>175</v>
      </c>
      <c r="O1148">
        <v>1</v>
      </c>
      <c r="P1148">
        <v>0</v>
      </c>
      <c r="Q1148" s="6">
        <v>33.9</v>
      </c>
      <c r="R1148">
        <v>1</v>
      </c>
      <c r="S1148" s="6">
        <v>591</v>
      </c>
      <c r="T1148">
        <v>0</v>
      </c>
      <c r="U1148" s="6">
        <v>3109</v>
      </c>
      <c r="V1148">
        <v>0</v>
      </c>
      <c r="W1148">
        <v>0</v>
      </c>
      <c r="X1148">
        <v>0</v>
      </c>
      <c r="Y1148" s="6">
        <v>53.3</v>
      </c>
      <c r="Z1148">
        <v>0.06</v>
      </c>
      <c r="AA1148">
        <v>0.153</v>
      </c>
      <c r="AB1148">
        <v>3.6999999999999998E-2</v>
      </c>
      <c r="AC1148">
        <v>6</v>
      </c>
      <c r="AD1148" s="6">
        <v>60</v>
      </c>
      <c r="AE1148" s="6">
        <v>25</v>
      </c>
      <c r="AF1148" s="6">
        <v>0</v>
      </c>
      <c r="AG1148" s="6">
        <v>67.92</v>
      </c>
      <c r="AH1148" s="6">
        <v>83.83</v>
      </c>
      <c r="AI1148" s="6">
        <f t="shared" si="34"/>
        <v>15.909999999999997</v>
      </c>
      <c r="AJ1148" s="5">
        <f t="shared" si="35"/>
        <v>0.18978885840391263</v>
      </c>
    </row>
    <row r="1149" spans="1:36">
      <c r="A1149" t="s">
        <v>521</v>
      </c>
      <c r="B1149" t="s">
        <v>1434</v>
      </c>
      <c r="C1149" t="s">
        <v>86</v>
      </c>
      <c r="D1149" t="s">
        <v>54</v>
      </c>
      <c r="E1149" t="s">
        <v>55</v>
      </c>
      <c r="F1149">
        <v>1</v>
      </c>
      <c r="G1149">
        <v>8644</v>
      </c>
      <c r="H1149">
        <v>1</v>
      </c>
      <c r="I1149" t="s">
        <v>173</v>
      </c>
      <c r="J1149">
        <v>1</v>
      </c>
      <c r="K1149" s="6">
        <v>2.4900000000000002</v>
      </c>
      <c r="L1149" t="s">
        <v>174</v>
      </c>
      <c r="M1149">
        <v>0</v>
      </c>
      <c r="N1149" t="s">
        <v>182</v>
      </c>
      <c r="O1149">
        <v>3</v>
      </c>
      <c r="P1149">
        <v>0</v>
      </c>
      <c r="Q1149" s="6">
        <v>94.5</v>
      </c>
      <c r="R1149">
        <v>1</v>
      </c>
      <c r="S1149" s="6">
        <v>2278</v>
      </c>
      <c r="T1149">
        <v>0</v>
      </c>
      <c r="U1149" s="6">
        <v>7265</v>
      </c>
      <c r="V1149">
        <v>0</v>
      </c>
      <c r="W1149">
        <v>0</v>
      </c>
      <c r="X1149">
        <v>0</v>
      </c>
      <c r="Y1149" s="6">
        <v>53.3</v>
      </c>
      <c r="Z1149">
        <v>0.06</v>
      </c>
      <c r="AA1149">
        <v>0.153</v>
      </c>
      <c r="AB1149">
        <v>3.6999999999999998E-2</v>
      </c>
      <c r="AC1149">
        <v>6</v>
      </c>
      <c r="AD1149" s="6">
        <v>50</v>
      </c>
      <c r="AE1149" s="6">
        <v>40</v>
      </c>
      <c r="AF1149" s="6">
        <v>0</v>
      </c>
      <c r="AG1149" s="6">
        <v>63.17</v>
      </c>
      <c r="AH1149" s="6">
        <v>78.010000000000005</v>
      </c>
      <c r="AI1149" s="6">
        <f t="shared" si="34"/>
        <v>14.840000000000003</v>
      </c>
      <c r="AJ1149" s="5">
        <f t="shared" si="35"/>
        <v>0.1902320215357006</v>
      </c>
    </row>
    <row r="1150" spans="1:36">
      <c r="A1150" t="s">
        <v>249</v>
      </c>
      <c r="B1150" t="s">
        <v>1435</v>
      </c>
      <c r="C1150" t="s">
        <v>86</v>
      </c>
      <c r="D1150" t="s">
        <v>54</v>
      </c>
      <c r="E1150" t="s">
        <v>55</v>
      </c>
      <c r="F1150">
        <v>1</v>
      </c>
      <c r="G1150">
        <v>8644</v>
      </c>
      <c r="H1150">
        <v>1</v>
      </c>
      <c r="I1150" t="s">
        <v>181</v>
      </c>
      <c r="J1150">
        <v>3</v>
      </c>
      <c r="K1150" s="6">
        <v>9.36</v>
      </c>
      <c r="L1150" t="s">
        <v>174</v>
      </c>
      <c r="M1150">
        <v>0</v>
      </c>
      <c r="N1150" t="s">
        <v>182</v>
      </c>
      <c r="O1150">
        <v>3</v>
      </c>
      <c r="P1150">
        <v>1</v>
      </c>
      <c r="Q1150" s="6">
        <v>110.5</v>
      </c>
      <c r="R1150">
        <v>1</v>
      </c>
      <c r="S1150" s="6">
        <v>597</v>
      </c>
      <c r="T1150">
        <v>0</v>
      </c>
      <c r="U1150" s="6">
        <v>4651</v>
      </c>
      <c r="V1150">
        <v>0</v>
      </c>
      <c r="W1150">
        <v>0</v>
      </c>
      <c r="X1150">
        <v>0</v>
      </c>
      <c r="Y1150" s="6">
        <v>53.3</v>
      </c>
      <c r="Z1150">
        <v>0.06</v>
      </c>
      <c r="AA1150">
        <v>0.153</v>
      </c>
      <c r="AB1150">
        <v>3.6999999999999998E-2</v>
      </c>
      <c r="AC1150">
        <v>6</v>
      </c>
      <c r="AD1150" s="6">
        <v>60</v>
      </c>
      <c r="AE1150" s="6">
        <v>25</v>
      </c>
      <c r="AF1150" s="6">
        <v>0</v>
      </c>
      <c r="AG1150" s="6">
        <v>135.38999999999999</v>
      </c>
      <c r="AH1150" s="6">
        <v>162.07</v>
      </c>
      <c r="AI1150" s="6">
        <f t="shared" si="34"/>
        <v>26.680000000000007</v>
      </c>
      <c r="AJ1150" s="5">
        <f t="shared" si="35"/>
        <v>0.16462022582834582</v>
      </c>
    </row>
    <row r="1151" spans="1:36">
      <c r="A1151" t="s">
        <v>251</v>
      </c>
      <c r="B1151" t="s">
        <v>1436</v>
      </c>
      <c r="C1151" t="s">
        <v>86</v>
      </c>
      <c r="D1151" t="s">
        <v>54</v>
      </c>
      <c r="E1151" t="s">
        <v>55</v>
      </c>
      <c r="F1151">
        <v>1</v>
      </c>
      <c r="G1151">
        <v>8644</v>
      </c>
      <c r="H1151">
        <v>1</v>
      </c>
      <c r="I1151" t="s">
        <v>181</v>
      </c>
      <c r="J1151">
        <v>3</v>
      </c>
      <c r="K1151" s="6">
        <v>5.71</v>
      </c>
      <c r="L1151" t="s">
        <v>200</v>
      </c>
      <c r="M1151">
        <v>1</v>
      </c>
      <c r="N1151" t="s">
        <v>175</v>
      </c>
      <c r="O1151">
        <v>1</v>
      </c>
      <c r="P1151">
        <v>0</v>
      </c>
      <c r="Q1151" s="6">
        <v>21</v>
      </c>
      <c r="R1151">
        <v>1</v>
      </c>
      <c r="S1151" s="6">
        <v>361</v>
      </c>
      <c r="T1151">
        <v>0</v>
      </c>
      <c r="U1151" s="6">
        <v>3478</v>
      </c>
      <c r="V1151">
        <v>0</v>
      </c>
      <c r="W1151">
        <v>0</v>
      </c>
      <c r="X1151">
        <v>0</v>
      </c>
      <c r="Y1151" s="6">
        <v>53.3</v>
      </c>
      <c r="Z1151">
        <v>0.06</v>
      </c>
      <c r="AA1151">
        <v>0.153</v>
      </c>
      <c r="AB1151">
        <v>3.6999999999999998E-2</v>
      </c>
      <c r="AC1151">
        <v>6</v>
      </c>
      <c r="AD1151" s="6">
        <v>139</v>
      </c>
      <c r="AE1151" s="6">
        <v>25</v>
      </c>
      <c r="AF1151" s="6">
        <v>0</v>
      </c>
      <c r="AG1151" s="6">
        <v>101.46</v>
      </c>
      <c r="AH1151" s="6">
        <v>140.13999999999999</v>
      </c>
      <c r="AI1151" s="6">
        <f t="shared" si="34"/>
        <v>38.679999999999993</v>
      </c>
      <c r="AJ1151" s="5">
        <f t="shared" si="35"/>
        <v>0.27600970458113311</v>
      </c>
    </row>
    <row r="1152" spans="1:36">
      <c r="A1152" t="s">
        <v>316</v>
      </c>
      <c r="B1152" t="s">
        <v>1437</v>
      </c>
      <c r="C1152" t="s">
        <v>86</v>
      </c>
      <c r="D1152" t="s">
        <v>54</v>
      </c>
      <c r="E1152" t="s">
        <v>55</v>
      </c>
      <c r="F1152">
        <v>1</v>
      </c>
      <c r="G1152">
        <v>8644</v>
      </c>
      <c r="H1152">
        <v>1</v>
      </c>
      <c r="I1152" t="s">
        <v>173</v>
      </c>
      <c r="J1152">
        <v>1</v>
      </c>
      <c r="K1152" s="6">
        <v>1.72</v>
      </c>
      <c r="L1152" t="s">
        <v>174</v>
      </c>
      <c r="M1152">
        <v>0</v>
      </c>
      <c r="N1152" t="s">
        <v>182</v>
      </c>
      <c r="O1152">
        <v>3</v>
      </c>
      <c r="P1152">
        <v>0</v>
      </c>
      <c r="Q1152" s="6">
        <v>128.1</v>
      </c>
      <c r="R1152">
        <v>0</v>
      </c>
      <c r="S1152" s="6">
        <v>0</v>
      </c>
      <c r="T1152">
        <v>0</v>
      </c>
      <c r="U1152" s="6">
        <v>1636</v>
      </c>
      <c r="V1152">
        <v>0</v>
      </c>
      <c r="W1152">
        <v>0</v>
      </c>
      <c r="X1152">
        <v>0</v>
      </c>
      <c r="Y1152" s="6">
        <v>53.3</v>
      </c>
      <c r="Z1152">
        <v>0.06</v>
      </c>
      <c r="AA1152">
        <v>0.153</v>
      </c>
      <c r="AB1152">
        <v>3.6999999999999998E-2</v>
      </c>
      <c r="AC1152">
        <v>6</v>
      </c>
      <c r="AD1152" s="6">
        <v>50</v>
      </c>
      <c r="AE1152" s="6">
        <v>0</v>
      </c>
      <c r="AF1152" s="6">
        <v>0</v>
      </c>
      <c r="AG1152" s="6">
        <v>64.28</v>
      </c>
      <c r="AH1152" s="6">
        <v>78.78</v>
      </c>
      <c r="AI1152" s="6">
        <f t="shared" si="34"/>
        <v>14.5</v>
      </c>
      <c r="AJ1152" s="5">
        <f t="shared" si="35"/>
        <v>0.18405686722518405</v>
      </c>
    </row>
    <row r="1153" spans="1:36">
      <c r="A1153" t="s">
        <v>481</v>
      </c>
      <c r="B1153" t="s">
        <v>1438</v>
      </c>
      <c r="C1153" t="s">
        <v>86</v>
      </c>
      <c r="D1153" t="s">
        <v>54</v>
      </c>
      <c r="E1153" t="s">
        <v>55</v>
      </c>
      <c r="F1153">
        <v>1</v>
      </c>
      <c r="G1153">
        <v>8644</v>
      </c>
      <c r="H1153">
        <v>1</v>
      </c>
      <c r="I1153" t="s">
        <v>173</v>
      </c>
      <c r="J1153">
        <v>1</v>
      </c>
      <c r="K1153" s="6">
        <v>2.25</v>
      </c>
      <c r="L1153" t="s">
        <v>174</v>
      </c>
      <c r="M1153">
        <v>0</v>
      </c>
      <c r="N1153" t="s">
        <v>175</v>
      </c>
      <c r="O1153">
        <v>1</v>
      </c>
      <c r="P1153">
        <v>0</v>
      </c>
      <c r="Q1153" s="6">
        <v>32.799999999999997</v>
      </c>
      <c r="R1153">
        <v>1</v>
      </c>
      <c r="S1153" s="6">
        <v>5339</v>
      </c>
      <c r="T1153">
        <v>0</v>
      </c>
      <c r="U1153" s="6">
        <v>2692</v>
      </c>
      <c r="V1153">
        <v>0</v>
      </c>
      <c r="W1153">
        <v>0</v>
      </c>
      <c r="X1153">
        <v>0</v>
      </c>
      <c r="Y1153" s="6">
        <v>53.3</v>
      </c>
      <c r="Z1153">
        <v>0.06</v>
      </c>
      <c r="AA1153">
        <v>0.153</v>
      </c>
      <c r="AB1153">
        <v>3.6999999999999998E-2</v>
      </c>
      <c r="AC1153">
        <v>6</v>
      </c>
      <c r="AD1153" s="6">
        <v>50</v>
      </c>
      <c r="AE1153" s="6">
        <v>50</v>
      </c>
      <c r="AF1153" s="6">
        <v>0</v>
      </c>
      <c r="AG1153" s="6">
        <v>44.28</v>
      </c>
      <c r="AH1153" s="6">
        <v>56.31</v>
      </c>
      <c r="AI1153" s="6">
        <f t="shared" si="34"/>
        <v>12.030000000000001</v>
      </c>
      <c r="AJ1153" s="5">
        <f t="shared" si="35"/>
        <v>0.21363878529568461</v>
      </c>
    </row>
    <row r="1154" spans="1:36">
      <c r="A1154" t="s">
        <v>403</v>
      </c>
      <c r="B1154" t="s">
        <v>1439</v>
      </c>
      <c r="C1154" t="s">
        <v>86</v>
      </c>
      <c r="D1154" t="s">
        <v>54</v>
      </c>
      <c r="E1154" t="s">
        <v>55</v>
      </c>
      <c r="F1154">
        <v>1</v>
      </c>
      <c r="G1154">
        <v>8644</v>
      </c>
      <c r="H1154">
        <v>1</v>
      </c>
      <c r="I1154" t="s">
        <v>220</v>
      </c>
      <c r="J1154">
        <v>2</v>
      </c>
      <c r="K1154" s="6">
        <v>3.8</v>
      </c>
      <c r="L1154" t="s">
        <v>174</v>
      </c>
      <c r="M1154">
        <v>0</v>
      </c>
      <c r="N1154" t="s">
        <v>187</v>
      </c>
      <c r="O1154">
        <v>2</v>
      </c>
      <c r="P1154">
        <v>0</v>
      </c>
      <c r="Q1154" s="6">
        <v>64.400000000000006</v>
      </c>
      <c r="R1154">
        <v>1</v>
      </c>
      <c r="S1154" s="6">
        <v>543</v>
      </c>
      <c r="T1154">
        <v>0</v>
      </c>
      <c r="U1154" s="6">
        <v>6139</v>
      </c>
      <c r="V1154">
        <v>0</v>
      </c>
      <c r="W1154">
        <v>0</v>
      </c>
      <c r="X1154">
        <v>1</v>
      </c>
      <c r="Y1154" s="6">
        <v>53.3</v>
      </c>
      <c r="Z1154">
        <v>0.06</v>
      </c>
      <c r="AA1154">
        <v>0.153</v>
      </c>
      <c r="AB1154">
        <v>3.6999999999999998E-2</v>
      </c>
      <c r="AC1154">
        <v>6</v>
      </c>
      <c r="AD1154" s="6">
        <v>50</v>
      </c>
      <c r="AE1154" s="6">
        <v>25</v>
      </c>
      <c r="AF1154" s="6">
        <v>0</v>
      </c>
      <c r="AG1154" s="6">
        <v>56.1</v>
      </c>
      <c r="AH1154" s="6">
        <v>67.739999999999995</v>
      </c>
      <c r="AI1154" s="6">
        <f t="shared" ref="AI1154:AI1217" si="36">AH1154-AG1154</f>
        <v>11.639999999999993</v>
      </c>
      <c r="AJ1154" s="5">
        <f t="shared" ref="AJ1154:AJ1217" si="37">IFERROR(AI1154/AH1154,0)</f>
        <v>0.17183348095659867</v>
      </c>
    </row>
    <row r="1155" spans="1:36">
      <c r="A1155" t="s">
        <v>393</v>
      </c>
      <c r="B1155" t="s">
        <v>1440</v>
      </c>
      <c r="C1155" t="s">
        <v>86</v>
      </c>
      <c r="D1155" t="s">
        <v>54</v>
      </c>
      <c r="E1155" t="s">
        <v>55</v>
      </c>
      <c r="F1155">
        <v>1</v>
      </c>
      <c r="G1155">
        <v>8644</v>
      </c>
      <c r="H1155">
        <v>1</v>
      </c>
      <c r="I1155" t="s">
        <v>220</v>
      </c>
      <c r="J1155">
        <v>2</v>
      </c>
      <c r="K1155" s="6">
        <v>5.57</v>
      </c>
      <c r="L1155" t="s">
        <v>174</v>
      </c>
      <c r="M1155">
        <v>0</v>
      </c>
      <c r="N1155" t="s">
        <v>187</v>
      </c>
      <c r="O1155">
        <v>2</v>
      </c>
      <c r="P1155">
        <v>0</v>
      </c>
      <c r="Q1155" s="6">
        <v>42.5</v>
      </c>
      <c r="R1155">
        <v>0</v>
      </c>
      <c r="S1155" s="6">
        <v>0</v>
      </c>
      <c r="T1155">
        <v>0</v>
      </c>
      <c r="U1155" s="6">
        <v>6797</v>
      </c>
      <c r="V1155">
        <v>0</v>
      </c>
      <c r="W1155">
        <v>0</v>
      </c>
      <c r="X1155">
        <v>0</v>
      </c>
      <c r="Y1155" s="6">
        <v>53.3</v>
      </c>
      <c r="Z1155">
        <v>0.06</v>
      </c>
      <c r="AA1155">
        <v>0.153</v>
      </c>
      <c r="AB1155">
        <v>3.6999999999999998E-2</v>
      </c>
      <c r="AC1155">
        <v>6</v>
      </c>
      <c r="AD1155" s="6">
        <v>50</v>
      </c>
      <c r="AE1155" s="6">
        <v>0</v>
      </c>
      <c r="AF1155" s="6">
        <v>0</v>
      </c>
      <c r="AG1155" s="6">
        <v>54.63</v>
      </c>
      <c r="AH1155" s="6">
        <v>69.14</v>
      </c>
      <c r="AI1155" s="6">
        <f t="shared" si="36"/>
        <v>14.509999999999998</v>
      </c>
      <c r="AJ1155" s="5">
        <f t="shared" si="37"/>
        <v>0.20986404396875902</v>
      </c>
    </row>
    <row r="1156" spans="1:36">
      <c r="A1156" t="s">
        <v>338</v>
      </c>
      <c r="B1156" t="s">
        <v>1441</v>
      </c>
      <c r="C1156" t="s">
        <v>86</v>
      </c>
      <c r="D1156" t="s">
        <v>54</v>
      </c>
      <c r="E1156" t="s">
        <v>55</v>
      </c>
      <c r="F1156">
        <v>1</v>
      </c>
      <c r="G1156">
        <v>8644</v>
      </c>
      <c r="H1156">
        <v>1</v>
      </c>
      <c r="I1156" t="s">
        <v>220</v>
      </c>
      <c r="J1156">
        <v>2</v>
      </c>
      <c r="K1156" s="6">
        <v>1.88</v>
      </c>
      <c r="L1156" t="s">
        <v>174</v>
      </c>
      <c r="M1156">
        <v>0</v>
      </c>
      <c r="N1156" t="s">
        <v>175</v>
      </c>
      <c r="O1156">
        <v>1</v>
      </c>
      <c r="P1156">
        <v>0</v>
      </c>
      <c r="Q1156" s="6">
        <v>35.9</v>
      </c>
      <c r="R1156">
        <v>0</v>
      </c>
      <c r="S1156" s="6">
        <v>0</v>
      </c>
      <c r="T1156">
        <v>0</v>
      </c>
      <c r="U1156" s="6">
        <v>3846</v>
      </c>
      <c r="V1156">
        <v>0</v>
      </c>
      <c r="W1156">
        <v>0</v>
      </c>
      <c r="X1156">
        <v>0</v>
      </c>
      <c r="Y1156" s="6">
        <v>53.3</v>
      </c>
      <c r="Z1156">
        <v>0.06</v>
      </c>
      <c r="AA1156">
        <v>0.153</v>
      </c>
      <c r="AB1156">
        <v>3.6999999999999998E-2</v>
      </c>
      <c r="AC1156">
        <v>6</v>
      </c>
      <c r="AD1156" s="6">
        <v>50</v>
      </c>
      <c r="AE1156" s="6">
        <v>0</v>
      </c>
      <c r="AF1156" s="6">
        <v>0</v>
      </c>
      <c r="AG1156" s="6">
        <v>43.99</v>
      </c>
      <c r="AH1156" s="6">
        <v>56.03</v>
      </c>
      <c r="AI1156" s="6">
        <f t="shared" si="36"/>
        <v>12.04</v>
      </c>
      <c r="AJ1156" s="5">
        <f t="shared" si="37"/>
        <v>0.21488488309834017</v>
      </c>
    </row>
    <row r="1157" spans="1:36">
      <c r="A1157" t="s">
        <v>457</v>
      </c>
      <c r="B1157" t="s">
        <v>1442</v>
      </c>
      <c r="C1157" t="s">
        <v>86</v>
      </c>
      <c r="D1157" t="s">
        <v>54</v>
      </c>
      <c r="E1157" t="s">
        <v>55</v>
      </c>
      <c r="F1157">
        <v>1</v>
      </c>
      <c r="G1157">
        <v>8644</v>
      </c>
      <c r="H1157">
        <v>1</v>
      </c>
      <c r="I1157" t="s">
        <v>173</v>
      </c>
      <c r="J1157">
        <v>1</v>
      </c>
      <c r="K1157" s="6">
        <v>2.16</v>
      </c>
      <c r="L1157" t="s">
        <v>174</v>
      </c>
      <c r="M1157">
        <v>0</v>
      </c>
      <c r="N1157" t="s">
        <v>175</v>
      </c>
      <c r="O1157">
        <v>1</v>
      </c>
      <c r="P1157">
        <v>0</v>
      </c>
      <c r="Q1157" s="6">
        <v>23.3</v>
      </c>
      <c r="R1157">
        <v>1</v>
      </c>
      <c r="S1157" s="6">
        <v>1082</v>
      </c>
      <c r="T1157">
        <v>0</v>
      </c>
      <c r="U1157" s="6">
        <v>3056</v>
      </c>
      <c r="V1157">
        <v>0</v>
      </c>
      <c r="W1157">
        <v>0</v>
      </c>
      <c r="X1157">
        <v>0</v>
      </c>
      <c r="Y1157" s="6">
        <v>53.3</v>
      </c>
      <c r="Z1157">
        <v>0.06</v>
      </c>
      <c r="AA1157">
        <v>0.153</v>
      </c>
      <c r="AB1157">
        <v>3.6999999999999998E-2</v>
      </c>
      <c r="AC1157">
        <v>6</v>
      </c>
      <c r="AD1157" s="6">
        <v>50</v>
      </c>
      <c r="AE1157" s="6">
        <v>25</v>
      </c>
      <c r="AF1157" s="6">
        <v>0</v>
      </c>
      <c r="AG1157" s="6">
        <v>46.68</v>
      </c>
      <c r="AH1157" s="6">
        <v>60.37</v>
      </c>
      <c r="AI1157" s="6">
        <f t="shared" si="36"/>
        <v>13.689999999999998</v>
      </c>
      <c r="AJ1157" s="5">
        <f t="shared" si="37"/>
        <v>0.22676826238197778</v>
      </c>
    </row>
    <row r="1158" spans="1:36">
      <c r="A1158" t="s">
        <v>233</v>
      </c>
      <c r="B1158" t="s">
        <v>1443</v>
      </c>
      <c r="C1158" t="s">
        <v>86</v>
      </c>
      <c r="D1158" t="s">
        <v>54</v>
      </c>
      <c r="E1158" t="s">
        <v>55</v>
      </c>
      <c r="F1158">
        <v>1</v>
      </c>
      <c r="G1158">
        <v>8644</v>
      </c>
      <c r="H1158">
        <v>1</v>
      </c>
      <c r="I1158" t="s">
        <v>181</v>
      </c>
      <c r="J1158">
        <v>3</v>
      </c>
      <c r="K1158" s="6">
        <v>7.84</v>
      </c>
      <c r="L1158" t="s">
        <v>174</v>
      </c>
      <c r="M1158">
        <v>0</v>
      </c>
      <c r="N1158" t="s">
        <v>182</v>
      </c>
      <c r="O1158">
        <v>3</v>
      </c>
      <c r="P1158">
        <v>0</v>
      </c>
      <c r="Q1158" s="6">
        <v>91.3</v>
      </c>
      <c r="R1158">
        <v>1</v>
      </c>
      <c r="S1158" s="6">
        <v>1404</v>
      </c>
      <c r="T1158">
        <v>0</v>
      </c>
      <c r="U1158" s="6">
        <v>5966</v>
      </c>
      <c r="V1158">
        <v>0</v>
      </c>
      <c r="W1158">
        <v>0</v>
      </c>
      <c r="X1158">
        <v>0</v>
      </c>
      <c r="Y1158" s="6">
        <v>53.3</v>
      </c>
      <c r="Z1158">
        <v>0.06</v>
      </c>
      <c r="AA1158">
        <v>0.153</v>
      </c>
      <c r="AB1158">
        <v>3.6999999999999998E-2</v>
      </c>
      <c r="AC1158">
        <v>6</v>
      </c>
      <c r="AD1158" s="6">
        <v>60</v>
      </c>
      <c r="AE1158" s="6">
        <v>25</v>
      </c>
      <c r="AF1158" s="6">
        <v>0</v>
      </c>
      <c r="AG1158" s="6">
        <v>87.26</v>
      </c>
      <c r="AH1158" s="6">
        <v>108.69</v>
      </c>
      <c r="AI1158" s="6">
        <f t="shared" si="36"/>
        <v>21.429999999999993</v>
      </c>
      <c r="AJ1158" s="5">
        <f t="shared" si="37"/>
        <v>0.19716625264513749</v>
      </c>
    </row>
    <row r="1159" spans="1:36">
      <c r="A1159" t="s">
        <v>537</v>
      </c>
      <c r="B1159" t="s">
        <v>1444</v>
      </c>
      <c r="C1159" t="s">
        <v>86</v>
      </c>
      <c r="D1159" t="s">
        <v>54</v>
      </c>
      <c r="E1159" t="s">
        <v>55</v>
      </c>
      <c r="F1159">
        <v>1</v>
      </c>
      <c r="G1159">
        <v>8644</v>
      </c>
      <c r="H1159">
        <v>1</v>
      </c>
      <c r="I1159" t="s">
        <v>181</v>
      </c>
      <c r="J1159">
        <v>3</v>
      </c>
      <c r="K1159" s="6">
        <v>6.79</v>
      </c>
      <c r="L1159" t="s">
        <v>174</v>
      </c>
      <c r="M1159">
        <v>0</v>
      </c>
      <c r="N1159" t="s">
        <v>187</v>
      </c>
      <c r="O1159">
        <v>2</v>
      </c>
      <c r="P1159">
        <v>0</v>
      </c>
      <c r="Q1159" s="6">
        <v>49.2</v>
      </c>
      <c r="R1159">
        <v>1</v>
      </c>
      <c r="S1159" s="6">
        <v>8010</v>
      </c>
      <c r="T1159">
        <v>0</v>
      </c>
      <c r="U1159" s="6">
        <v>3619</v>
      </c>
      <c r="V1159">
        <v>0</v>
      </c>
      <c r="W1159">
        <v>0</v>
      </c>
      <c r="X1159">
        <v>0</v>
      </c>
      <c r="Y1159" s="6">
        <v>53.3</v>
      </c>
      <c r="Z1159">
        <v>0.06</v>
      </c>
      <c r="AA1159">
        <v>0.153</v>
      </c>
      <c r="AB1159">
        <v>3.6999999999999998E-2</v>
      </c>
      <c r="AC1159">
        <v>6</v>
      </c>
      <c r="AD1159" s="6">
        <v>60</v>
      </c>
      <c r="AE1159" s="6">
        <v>50</v>
      </c>
      <c r="AF1159" s="6">
        <v>0</v>
      </c>
      <c r="AG1159" s="6">
        <v>82.16</v>
      </c>
      <c r="AH1159" s="6">
        <v>100.47</v>
      </c>
      <c r="AI1159" s="6">
        <f t="shared" si="36"/>
        <v>18.310000000000002</v>
      </c>
      <c r="AJ1159" s="5">
        <f t="shared" si="37"/>
        <v>0.18224345575793771</v>
      </c>
    </row>
    <row r="1160" spans="1:36">
      <c r="A1160" t="s">
        <v>365</v>
      </c>
      <c r="B1160" t="s">
        <v>1445</v>
      </c>
      <c r="C1160" t="s">
        <v>86</v>
      </c>
      <c r="D1160" t="s">
        <v>54</v>
      </c>
      <c r="E1160" t="s">
        <v>55</v>
      </c>
      <c r="F1160">
        <v>1</v>
      </c>
      <c r="G1160">
        <v>8644</v>
      </c>
      <c r="H1160">
        <v>1</v>
      </c>
      <c r="I1160" t="s">
        <v>220</v>
      </c>
      <c r="J1160">
        <v>2</v>
      </c>
      <c r="K1160" s="6">
        <v>4.12</v>
      </c>
      <c r="L1160" t="s">
        <v>174</v>
      </c>
      <c r="M1160">
        <v>0</v>
      </c>
      <c r="N1160" t="s">
        <v>175</v>
      </c>
      <c r="O1160">
        <v>1</v>
      </c>
      <c r="P1160">
        <v>0</v>
      </c>
      <c r="Q1160" s="6">
        <v>39.5</v>
      </c>
      <c r="R1160">
        <v>1</v>
      </c>
      <c r="S1160" s="6">
        <v>1603</v>
      </c>
      <c r="T1160">
        <v>0</v>
      </c>
      <c r="U1160" s="6">
        <v>2611</v>
      </c>
      <c r="V1160">
        <v>0</v>
      </c>
      <c r="W1160">
        <v>0</v>
      </c>
      <c r="X1160">
        <v>0</v>
      </c>
      <c r="Y1160" s="6">
        <v>53.3</v>
      </c>
      <c r="Z1160">
        <v>0.06</v>
      </c>
      <c r="AA1160">
        <v>0.153</v>
      </c>
      <c r="AB1160">
        <v>3.6999999999999998E-2</v>
      </c>
      <c r="AC1160">
        <v>6</v>
      </c>
      <c r="AD1160" s="6">
        <v>50</v>
      </c>
      <c r="AE1160" s="6">
        <v>25</v>
      </c>
      <c r="AF1160" s="6">
        <v>0</v>
      </c>
      <c r="AG1160" s="6">
        <v>47.46</v>
      </c>
      <c r="AH1160" s="6">
        <v>57.7</v>
      </c>
      <c r="AI1160" s="6">
        <f t="shared" si="36"/>
        <v>10.240000000000002</v>
      </c>
      <c r="AJ1160" s="5">
        <f t="shared" si="37"/>
        <v>0.17746967071057196</v>
      </c>
    </row>
    <row r="1161" spans="1:36">
      <c r="A1161" t="s">
        <v>375</v>
      </c>
      <c r="B1161" t="s">
        <v>1446</v>
      </c>
      <c r="C1161" t="s">
        <v>86</v>
      </c>
      <c r="D1161" t="s">
        <v>54</v>
      </c>
      <c r="E1161" t="s">
        <v>55</v>
      </c>
      <c r="F1161">
        <v>1</v>
      </c>
      <c r="G1161">
        <v>8644</v>
      </c>
      <c r="H1161">
        <v>1</v>
      </c>
      <c r="I1161" t="s">
        <v>181</v>
      </c>
      <c r="J1161">
        <v>3</v>
      </c>
      <c r="K1161" s="6">
        <v>8.82</v>
      </c>
      <c r="L1161" t="s">
        <v>174</v>
      </c>
      <c r="M1161">
        <v>0</v>
      </c>
      <c r="N1161" t="s">
        <v>175</v>
      </c>
      <c r="O1161">
        <v>1</v>
      </c>
      <c r="P1161">
        <v>0</v>
      </c>
      <c r="Q1161" s="6">
        <v>38.700000000000003</v>
      </c>
      <c r="R1161">
        <v>0</v>
      </c>
      <c r="S1161" s="6">
        <v>0</v>
      </c>
      <c r="T1161">
        <v>0</v>
      </c>
      <c r="U1161" s="6">
        <v>1892</v>
      </c>
      <c r="V1161">
        <v>0</v>
      </c>
      <c r="W1161">
        <v>0</v>
      </c>
      <c r="X1161">
        <v>0</v>
      </c>
      <c r="Y1161" s="6">
        <v>53.3</v>
      </c>
      <c r="Z1161">
        <v>0.06</v>
      </c>
      <c r="AA1161">
        <v>0.153</v>
      </c>
      <c r="AB1161">
        <v>3.6999999999999998E-2</v>
      </c>
      <c r="AC1161">
        <v>6</v>
      </c>
      <c r="AD1161" s="6">
        <v>60</v>
      </c>
      <c r="AE1161" s="6">
        <v>0</v>
      </c>
      <c r="AF1161" s="6">
        <v>0</v>
      </c>
      <c r="AG1161" s="6">
        <v>86.26</v>
      </c>
      <c r="AH1161" s="6">
        <v>103.88</v>
      </c>
      <c r="AI1161" s="6">
        <f t="shared" si="36"/>
        <v>17.61999999999999</v>
      </c>
      <c r="AJ1161" s="5">
        <f t="shared" si="37"/>
        <v>0.16961879091259136</v>
      </c>
    </row>
    <row r="1162" spans="1:36">
      <c r="A1162" t="s">
        <v>188</v>
      </c>
      <c r="B1162" t="s">
        <v>1447</v>
      </c>
      <c r="C1162" t="s">
        <v>86</v>
      </c>
      <c r="D1162" t="s">
        <v>54</v>
      </c>
      <c r="E1162" t="s">
        <v>55</v>
      </c>
      <c r="F1162">
        <v>1</v>
      </c>
      <c r="G1162">
        <v>8644</v>
      </c>
      <c r="H1162">
        <v>1</v>
      </c>
      <c r="I1162" t="s">
        <v>173</v>
      </c>
      <c r="J1162">
        <v>1</v>
      </c>
      <c r="K1162" s="6">
        <v>1.53</v>
      </c>
      <c r="L1162" t="s">
        <v>174</v>
      </c>
      <c r="M1162">
        <v>0</v>
      </c>
      <c r="N1162" t="s">
        <v>187</v>
      </c>
      <c r="O1162">
        <v>2</v>
      </c>
      <c r="P1162">
        <v>0</v>
      </c>
      <c r="Q1162" s="6">
        <v>35.799999999999997</v>
      </c>
      <c r="R1162">
        <v>1</v>
      </c>
      <c r="S1162" s="6">
        <v>5377</v>
      </c>
      <c r="T1162">
        <v>0</v>
      </c>
      <c r="U1162" s="6">
        <v>1444</v>
      </c>
      <c r="V1162">
        <v>0</v>
      </c>
      <c r="W1162">
        <v>0</v>
      </c>
      <c r="X1162">
        <v>0</v>
      </c>
      <c r="Y1162" s="6">
        <v>53.3</v>
      </c>
      <c r="Z1162">
        <v>0.06</v>
      </c>
      <c r="AA1162">
        <v>0.153</v>
      </c>
      <c r="AB1162">
        <v>3.6999999999999998E-2</v>
      </c>
      <c r="AC1162">
        <v>6</v>
      </c>
      <c r="AD1162" s="6">
        <v>50</v>
      </c>
      <c r="AE1162" s="6">
        <v>50</v>
      </c>
      <c r="AF1162" s="6">
        <v>0</v>
      </c>
      <c r="AG1162" s="6">
        <v>53.99</v>
      </c>
      <c r="AH1162" s="6">
        <v>69.25</v>
      </c>
      <c r="AI1162" s="6">
        <f t="shared" si="36"/>
        <v>15.259999999999998</v>
      </c>
      <c r="AJ1162" s="5">
        <f t="shared" si="37"/>
        <v>0.22036101083032489</v>
      </c>
    </row>
    <row r="1163" spans="1:36">
      <c r="A1163" t="s">
        <v>288</v>
      </c>
      <c r="B1163" t="s">
        <v>1448</v>
      </c>
      <c r="C1163" t="s">
        <v>86</v>
      </c>
      <c r="D1163" t="s">
        <v>54</v>
      </c>
      <c r="E1163" t="s">
        <v>55</v>
      </c>
      <c r="F1163">
        <v>1</v>
      </c>
      <c r="G1163">
        <v>8644</v>
      </c>
      <c r="H1163">
        <v>1</v>
      </c>
      <c r="I1163" t="s">
        <v>173</v>
      </c>
      <c r="J1163">
        <v>1</v>
      </c>
      <c r="K1163" s="6">
        <v>0.96</v>
      </c>
      <c r="L1163" t="s">
        <v>174</v>
      </c>
      <c r="M1163">
        <v>0</v>
      </c>
      <c r="N1163" t="s">
        <v>175</v>
      </c>
      <c r="O1163">
        <v>1</v>
      </c>
      <c r="P1163">
        <v>0</v>
      </c>
      <c r="Q1163" s="6">
        <v>34.4</v>
      </c>
      <c r="R1163">
        <v>1</v>
      </c>
      <c r="S1163" s="6">
        <v>1123</v>
      </c>
      <c r="T1163">
        <v>0</v>
      </c>
      <c r="U1163" s="6">
        <v>1466</v>
      </c>
      <c r="V1163">
        <v>0</v>
      </c>
      <c r="W1163">
        <v>0</v>
      </c>
      <c r="X1163">
        <v>0</v>
      </c>
      <c r="Y1163" s="6">
        <v>53.3</v>
      </c>
      <c r="Z1163">
        <v>0.06</v>
      </c>
      <c r="AA1163">
        <v>0.153</v>
      </c>
      <c r="AB1163">
        <v>3.6999999999999998E-2</v>
      </c>
      <c r="AC1163">
        <v>6</v>
      </c>
      <c r="AD1163" s="6">
        <v>50</v>
      </c>
      <c r="AE1163" s="6">
        <v>25</v>
      </c>
      <c r="AF1163" s="6">
        <v>0</v>
      </c>
      <c r="AG1163" s="6">
        <v>43.41</v>
      </c>
      <c r="AH1163" s="6">
        <v>52.47</v>
      </c>
      <c r="AI1163" s="6">
        <f t="shared" si="36"/>
        <v>9.0600000000000023</v>
      </c>
      <c r="AJ1163" s="5">
        <f t="shared" si="37"/>
        <v>0.17267009719839913</v>
      </c>
    </row>
    <row r="1164" spans="1:36">
      <c r="A1164" t="s">
        <v>300</v>
      </c>
      <c r="B1164" t="s">
        <v>1449</v>
      </c>
      <c r="C1164" t="s">
        <v>86</v>
      </c>
      <c r="D1164" t="s">
        <v>54</v>
      </c>
      <c r="E1164" t="s">
        <v>55</v>
      </c>
      <c r="F1164">
        <v>1</v>
      </c>
      <c r="G1164">
        <v>8644</v>
      </c>
      <c r="H1164">
        <v>1</v>
      </c>
      <c r="I1164" t="s">
        <v>173</v>
      </c>
      <c r="J1164">
        <v>1</v>
      </c>
      <c r="K1164" s="6">
        <v>2.31</v>
      </c>
      <c r="L1164" t="s">
        <v>174</v>
      </c>
      <c r="M1164">
        <v>0</v>
      </c>
      <c r="N1164" t="s">
        <v>175</v>
      </c>
      <c r="O1164">
        <v>1</v>
      </c>
      <c r="P1164">
        <v>1</v>
      </c>
      <c r="Q1164" s="6">
        <v>35.799999999999997</v>
      </c>
      <c r="R1164">
        <v>0</v>
      </c>
      <c r="S1164" s="6">
        <v>0</v>
      </c>
      <c r="T1164">
        <v>0</v>
      </c>
      <c r="U1164" s="6">
        <v>5122</v>
      </c>
      <c r="V1164">
        <v>0</v>
      </c>
      <c r="W1164">
        <v>0</v>
      </c>
      <c r="X1164">
        <v>0</v>
      </c>
      <c r="Y1164" s="6">
        <v>53.3</v>
      </c>
      <c r="Z1164">
        <v>0.06</v>
      </c>
      <c r="AA1164">
        <v>0.153</v>
      </c>
      <c r="AB1164">
        <v>3.6999999999999998E-2</v>
      </c>
      <c r="AC1164">
        <v>6</v>
      </c>
      <c r="AD1164" s="6">
        <v>50</v>
      </c>
      <c r="AE1164" s="6">
        <v>0</v>
      </c>
      <c r="AF1164" s="6">
        <v>0</v>
      </c>
      <c r="AG1164" s="6">
        <v>67.349999999999994</v>
      </c>
      <c r="AH1164" s="6">
        <v>84.76</v>
      </c>
      <c r="AI1164" s="6">
        <f t="shared" si="36"/>
        <v>17.410000000000011</v>
      </c>
      <c r="AJ1164" s="5">
        <f t="shared" si="37"/>
        <v>0.20540349221330828</v>
      </c>
    </row>
    <row r="1165" spans="1:36">
      <c r="A1165" t="s">
        <v>635</v>
      </c>
      <c r="B1165" t="s">
        <v>1450</v>
      </c>
      <c r="C1165" t="s">
        <v>86</v>
      </c>
      <c r="D1165" t="s">
        <v>54</v>
      </c>
      <c r="E1165" t="s">
        <v>55</v>
      </c>
      <c r="F1165">
        <v>1</v>
      </c>
      <c r="G1165">
        <v>8644</v>
      </c>
      <c r="H1165">
        <v>1</v>
      </c>
      <c r="I1165" t="s">
        <v>220</v>
      </c>
      <c r="J1165">
        <v>2</v>
      </c>
      <c r="K1165" s="6">
        <v>2.9</v>
      </c>
      <c r="L1165" t="s">
        <v>174</v>
      </c>
      <c r="M1165">
        <v>0</v>
      </c>
      <c r="N1165" t="s">
        <v>175</v>
      </c>
      <c r="O1165">
        <v>1</v>
      </c>
      <c r="P1165">
        <v>0</v>
      </c>
      <c r="Q1165" s="6">
        <v>27.8</v>
      </c>
      <c r="R1165">
        <v>1</v>
      </c>
      <c r="S1165" s="6">
        <v>1608</v>
      </c>
      <c r="T1165">
        <v>0</v>
      </c>
      <c r="U1165" s="6">
        <v>1744</v>
      </c>
      <c r="V1165">
        <v>0</v>
      </c>
      <c r="W1165">
        <v>0</v>
      </c>
      <c r="X1165">
        <v>1</v>
      </c>
      <c r="Y1165" s="6">
        <v>53.3</v>
      </c>
      <c r="Z1165">
        <v>0.06</v>
      </c>
      <c r="AA1165">
        <v>0.153</v>
      </c>
      <c r="AB1165">
        <v>3.6999999999999998E-2</v>
      </c>
      <c r="AC1165">
        <v>6</v>
      </c>
      <c r="AD1165" s="6">
        <v>50</v>
      </c>
      <c r="AE1165" s="6">
        <v>25</v>
      </c>
      <c r="AF1165" s="6">
        <v>0</v>
      </c>
      <c r="AG1165" s="6">
        <v>45.63</v>
      </c>
      <c r="AH1165" s="6">
        <v>56.03</v>
      </c>
      <c r="AI1165" s="6">
        <f t="shared" si="36"/>
        <v>10.399999999999999</v>
      </c>
      <c r="AJ1165" s="5">
        <f t="shared" si="37"/>
        <v>0.185614849187935</v>
      </c>
    </row>
    <row r="1166" spans="1:36">
      <c r="A1166" t="s">
        <v>296</v>
      </c>
      <c r="B1166" t="s">
        <v>1451</v>
      </c>
      <c r="C1166" t="s">
        <v>86</v>
      </c>
      <c r="D1166" t="s">
        <v>54</v>
      </c>
      <c r="E1166" t="s">
        <v>55</v>
      </c>
      <c r="F1166">
        <v>1</v>
      </c>
      <c r="G1166">
        <v>8644</v>
      </c>
      <c r="H1166">
        <v>1</v>
      </c>
      <c r="I1166" t="s">
        <v>173</v>
      </c>
      <c r="J1166">
        <v>1</v>
      </c>
      <c r="K1166" s="6">
        <v>2.29</v>
      </c>
      <c r="L1166" t="s">
        <v>174</v>
      </c>
      <c r="M1166">
        <v>0</v>
      </c>
      <c r="N1166" t="s">
        <v>175</v>
      </c>
      <c r="O1166">
        <v>1</v>
      </c>
      <c r="P1166">
        <v>0</v>
      </c>
      <c r="Q1166" s="6">
        <v>23.9</v>
      </c>
      <c r="R1166">
        <v>1</v>
      </c>
      <c r="S1166" s="6">
        <v>820</v>
      </c>
      <c r="T1166">
        <v>0</v>
      </c>
      <c r="U1166" s="6">
        <v>7102</v>
      </c>
      <c r="V1166">
        <v>0</v>
      </c>
      <c r="W1166">
        <v>0</v>
      </c>
      <c r="X1166">
        <v>0</v>
      </c>
      <c r="Y1166" s="6">
        <v>53.3</v>
      </c>
      <c r="Z1166">
        <v>0.06</v>
      </c>
      <c r="AA1166">
        <v>0.153</v>
      </c>
      <c r="AB1166">
        <v>3.6999999999999998E-2</v>
      </c>
      <c r="AC1166">
        <v>6</v>
      </c>
      <c r="AD1166" s="6">
        <v>50</v>
      </c>
      <c r="AE1166" s="6">
        <v>25</v>
      </c>
      <c r="AF1166" s="6">
        <v>0</v>
      </c>
      <c r="AG1166" s="6">
        <v>46.42</v>
      </c>
      <c r="AH1166" s="6">
        <v>55.47</v>
      </c>
      <c r="AI1166" s="6">
        <f t="shared" si="36"/>
        <v>9.0499999999999972</v>
      </c>
      <c r="AJ1166" s="5">
        <f t="shared" si="37"/>
        <v>0.16315125292951141</v>
      </c>
    </row>
    <row r="1167" spans="1:36">
      <c r="A1167" t="s">
        <v>228</v>
      </c>
      <c r="B1167" t="s">
        <v>1452</v>
      </c>
      <c r="C1167" t="s">
        <v>86</v>
      </c>
      <c r="D1167" t="s">
        <v>54</v>
      </c>
      <c r="E1167" t="s">
        <v>55</v>
      </c>
      <c r="F1167">
        <v>1</v>
      </c>
      <c r="G1167">
        <v>8644</v>
      </c>
      <c r="H1167">
        <v>1</v>
      </c>
      <c r="I1167" t="s">
        <v>181</v>
      </c>
      <c r="J1167">
        <v>3</v>
      </c>
      <c r="K1167" s="6">
        <v>11.61</v>
      </c>
      <c r="L1167" t="s">
        <v>174</v>
      </c>
      <c r="M1167">
        <v>0</v>
      </c>
      <c r="N1167" t="s">
        <v>175</v>
      </c>
      <c r="O1167">
        <v>1</v>
      </c>
      <c r="P1167">
        <v>0</v>
      </c>
      <c r="Q1167" s="6">
        <v>25.5</v>
      </c>
      <c r="R1167">
        <v>1</v>
      </c>
      <c r="S1167" s="6">
        <v>2347</v>
      </c>
      <c r="T1167">
        <v>0</v>
      </c>
      <c r="U1167" s="6">
        <v>5015</v>
      </c>
      <c r="V1167">
        <v>0</v>
      </c>
      <c r="W1167">
        <v>0</v>
      </c>
      <c r="X1167">
        <v>0</v>
      </c>
      <c r="Y1167" s="6">
        <v>53.3</v>
      </c>
      <c r="Z1167">
        <v>0.06</v>
      </c>
      <c r="AA1167">
        <v>0.153</v>
      </c>
      <c r="AB1167">
        <v>3.6999999999999998E-2</v>
      </c>
      <c r="AC1167">
        <v>6</v>
      </c>
      <c r="AD1167" s="6">
        <v>60</v>
      </c>
      <c r="AE1167" s="6">
        <v>40</v>
      </c>
      <c r="AF1167" s="6">
        <v>0</v>
      </c>
      <c r="AG1167" s="6">
        <v>98.25</v>
      </c>
      <c r="AH1167" s="6">
        <v>120.31</v>
      </c>
      <c r="AI1167" s="6">
        <f t="shared" si="36"/>
        <v>22.060000000000002</v>
      </c>
      <c r="AJ1167" s="5">
        <f t="shared" si="37"/>
        <v>0.18335965422658135</v>
      </c>
    </row>
    <row r="1168" spans="1:36">
      <c r="A1168" t="s">
        <v>233</v>
      </c>
      <c r="B1168" t="s">
        <v>1453</v>
      </c>
      <c r="C1168" t="s">
        <v>86</v>
      </c>
      <c r="D1168" t="s">
        <v>54</v>
      </c>
      <c r="E1168" t="s">
        <v>55</v>
      </c>
      <c r="F1168">
        <v>1</v>
      </c>
      <c r="G1168">
        <v>8644</v>
      </c>
      <c r="H1168">
        <v>1</v>
      </c>
      <c r="I1168" t="s">
        <v>173</v>
      </c>
      <c r="J1168">
        <v>1</v>
      </c>
      <c r="K1168" s="6">
        <v>2.09</v>
      </c>
      <c r="L1168" t="s">
        <v>174</v>
      </c>
      <c r="M1168">
        <v>0</v>
      </c>
      <c r="N1168" t="s">
        <v>175</v>
      </c>
      <c r="O1168">
        <v>1</v>
      </c>
      <c r="P1168">
        <v>0</v>
      </c>
      <c r="Q1168" s="6">
        <v>33.5</v>
      </c>
      <c r="R1168">
        <v>0</v>
      </c>
      <c r="S1168" s="6">
        <v>0</v>
      </c>
      <c r="T1168">
        <v>0</v>
      </c>
      <c r="U1168" s="6">
        <v>2775</v>
      </c>
      <c r="V1168">
        <v>0</v>
      </c>
      <c r="W1168">
        <v>0</v>
      </c>
      <c r="X1168">
        <v>0</v>
      </c>
      <c r="Y1168" s="6">
        <v>53.3</v>
      </c>
      <c r="Z1168">
        <v>0.06</v>
      </c>
      <c r="AA1168">
        <v>0.153</v>
      </c>
      <c r="AB1168">
        <v>3.6999999999999998E-2</v>
      </c>
      <c r="AC1168">
        <v>6</v>
      </c>
      <c r="AD1168" s="6">
        <v>50</v>
      </c>
      <c r="AE1168" s="6">
        <v>0</v>
      </c>
      <c r="AF1168" s="6">
        <v>0</v>
      </c>
      <c r="AG1168" s="6">
        <v>41.58</v>
      </c>
      <c r="AH1168" s="6">
        <v>51.15</v>
      </c>
      <c r="AI1168" s="6">
        <f t="shared" si="36"/>
        <v>9.57</v>
      </c>
      <c r="AJ1168" s="5">
        <f t="shared" si="37"/>
        <v>0.18709677419354839</v>
      </c>
    </row>
    <row r="1169" spans="1:36">
      <c r="A1169" t="s">
        <v>384</v>
      </c>
      <c r="B1169" t="s">
        <v>1454</v>
      </c>
      <c r="C1169" t="s">
        <v>86</v>
      </c>
      <c r="D1169" t="s">
        <v>54</v>
      </c>
      <c r="E1169" t="s">
        <v>55</v>
      </c>
      <c r="F1169">
        <v>1</v>
      </c>
      <c r="G1169">
        <v>8644</v>
      </c>
      <c r="H1169">
        <v>1</v>
      </c>
      <c r="I1169" t="s">
        <v>220</v>
      </c>
      <c r="J1169">
        <v>2</v>
      </c>
      <c r="K1169" s="6">
        <v>5.12</v>
      </c>
      <c r="L1169" t="s">
        <v>174</v>
      </c>
      <c r="M1169">
        <v>0</v>
      </c>
      <c r="N1169" t="s">
        <v>187</v>
      </c>
      <c r="O1169">
        <v>2</v>
      </c>
      <c r="P1169">
        <v>0</v>
      </c>
      <c r="Q1169" s="6">
        <v>64.5</v>
      </c>
      <c r="R1169">
        <v>1</v>
      </c>
      <c r="S1169" s="6">
        <v>763</v>
      </c>
      <c r="T1169">
        <v>0</v>
      </c>
      <c r="U1169" s="6">
        <v>3969</v>
      </c>
      <c r="V1169">
        <v>1</v>
      </c>
      <c r="W1169">
        <v>0</v>
      </c>
      <c r="X1169">
        <v>1</v>
      </c>
      <c r="Y1169" s="6">
        <v>53.3</v>
      </c>
      <c r="Z1169">
        <v>0.06</v>
      </c>
      <c r="AA1169">
        <v>0.153</v>
      </c>
      <c r="AB1169">
        <v>3.6999999999999998E-2</v>
      </c>
      <c r="AC1169">
        <v>6</v>
      </c>
      <c r="AD1169" s="6">
        <v>50</v>
      </c>
      <c r="AE1169" s="6">
        <v>25</v>
      </c>
      <c r="AF1169" s="6">
        <v>0</v>
      </c>
      <c r="AG1169" s="6">
        <v>99.08</v>
      </c>
      <c r="AH1169" s="6">
        <v>119.9</v>
      </c>
      <c r="AI1169" s="6">
        <f t="shared" si="36"/>
        <v>20.820000000000007</v>
      </c>
      <c r="AJ1169" s="5">
        <f t="shared" si="37"/>
        <v>0.17364470391993334</v>
      </c>
    </row>
    <row r="1170" spans="1:36">
      <c r="A1170" t="s">
        <v>423</v>
      </c>
      <c r="B1170" t="s">
        <v>1455</v>
      </c>
      <c r="C1170" t="s">
        <v>86</v>
      </c>
      <c r="D1170" t="s">
        <v>54</v>
      </c>
      <c r="E1170" t="s">
        <v>55</v>
      </c>
      <c r="F1170">
        <v>1</v>
      </c>
      <c r="G1170">
        <v>8644</v>
      </c>
      <c r="H1170">
        <v>1</v>
      </c>
      <c r="I1170" t="s">
        <v>181</v>
      </c>
      <c r="J1170">
        <v>3</v>
      </c>
      <c r="K1170" s="6">
        <v>7.45</v>
      </c>
      <c r="L1170" t="s">
        <v>174</v>
      </c>
      <c r="M1170">
        <v>0</v>
      </c>
      <c r="N1170" t="s">
        <v>175</v>
      </c>
      <c r="O1170">
        <v>1</v>
      </c>
      <c r="P1170">
        <v>0</v>
      </c>
      <c r="Q1170" s="6">
        <v>17.100000000000001</v>
      </c>
      <c r="R1170">
        <v>0</v>
      </c>
      <c r="S1170" s="6">
        <v>0</v>
      </c>
      <c r="T1170">
        <v>0</v>
      </c>
      <c r="U1170" s="6">
        <v>6726</v>
      </c>
      <c r="V1170">
        <v>0</v>
      </c>
      <c r="W1170">
        <v>0</v>
      </c>
      <c r="X1170">
        <v>0</v>
      </c>
      <c r="Y1170" s="6">
        <v>53.3</v>
      </c>
      <c r="Z1170">
        <v>0.06</v>
      </c>
      <c r="AA1170">
        <v>0.153</v>
      </c>
      <c r="AB1170">
        <v>3.6999999999999998E-2</v>
      </c>
      <c r="AC1170">
        <v>6</v>
      </c>
      <c r="AD1170" s="6">
        <v>60</v>
      </c>
      <c r="AE1170" s="6">
        <v>0</v>
      </c>
      <c r="AF1170" s="6">
        <v>0</v>
      </c>
      <c r="AG1170" s="6">
        <v>67.81</v>
      </c>
      <c r="AH1170" s="6">
        <v>81.209999999999994</v>
      </c>
      <c r="AI1170" s="6">
        <f t="shared" si="36"/>
        <v>13.399999999999991</v>
      </c>
      <c r="AJ1170" s="5">
        <f t="shared" si="37"/>
        <v>0.16500430981406222</v>
      </c>
    </row>
    <row r="1171" spans="1:36">
      <c r="A1171" t="s">
        <v>355</v>
      </c>
      <c r="B1171" t="s">
        <v>1456</v>
      </c>
      <c r="C1171" t="s">
        <v>86</v>
      </c>
      <c r="D1171" t="s">
        <v>54</v>
      </c>
      <c r="E1171" t="s">
        <v>55</v>
      </c>
      <c r="F1171">
        <v>1</v>
      </c>
      <c r="G1171">
        <v>8644</v>
      </c>
      <c r="H1171">
        <v>1</v>
      </c>
      <c r="I1171" t="s">
        <v>173</v>
      </c>
      <c r="J1171">
        <v>1</v>
      </c>
      <c r="K1171" s="6">
        <v>0.34</v>
      </c>
      <c r="L1171" t="s">
        <v>200</v>
      </c>
      <c r="M1171">
        <v>1</v>
      </c>
      <c r="N1171" t="s">
        <v>175</v>
      </c>
      <c r="O1171">
        <v>1</v>
      </c>
      <c r="P1171">
        <v>1</v>
      </c>
      <c r="Q1171" s="6">
        <v>54</v>
      </c>
      <c r="R1171">
        <v>1</v>
      </c>
      <c r="S1171" s="6">
        <v>3801</v>
      </c>
      <c r="T1171">
        <v>0</v>
      </c>
      <c r="U1171" s="6">
        <v>3488</v>
      </c>
      <c r="V1171">
        <v>0</v>
      </c>
      <c r="W1171">
        <v>0</v>
      </c>
      <c r="X1171">
        <v>0</v>
      </c>
      <c r="Y1171" s="6">
        <v>53.3</v>
      </c>
      <c r="Z1171">
        <v>0.06</v>
      </c>
      <c r="AA1171">
        <v>0.153</v>
      </c>
      <c r="AB1171">
        <v>3.6999999999999998E-2</v>
      </c>
      <c r="AC1171">
        <v>6</v>
      </c>
      <c r="AD1171" s="6">
        <v>99</v>
      </c>
      <c r="AE1171" s="6">
        <v>40</v>
      </c>
      <c r="AF1171" s="6">
        <v>0</v>
      </c>
      <c r="AG1171" s="6">
        <v>110.84</v>
      </c>
      <c r="AH1171" s="6">
        <v>133.6</v>
      </c>
      <c r="AI1171" s="6">
        <f t="shared" si="36"/>
        <v>22.759999999999991</v>
      </c>
      <c r="AJ1171" s="5">
        <f t="shared" si="37"/>
        <v>0.1703592814371257</v>
      </c>
    </row>
    <row r="1172" spans="1:36">
      <c r="A1172" t="s">
        <v>266</v>
      </c>
      <c r="B1172" t="s">
        <v>1457</v>
      </c>
      <c r="C1172" t="s">
        <v>86</v>
      </c>
      <c r="D1172" t="s">
        <v>54</v>
      </c>
      <c r="E1172" t="s">
        <v>55</v>
      </c>
      <c r="F1172">
        <v>1</v>
      </c>
      <c r="G1172">
        <v>8644</v>
      </c>
      <c r="H1172">
        <v>1</v>
      </c>
      <c r="I1172" t="s">
        <v>173</v>
      </c>
      <c r="J1172">
        <v>1</v>
      </c>
      <c r="K1172" s="6">
        <v>1.96</v>
      </c>
      <c r="L1172" t="s">
        <v>174</v>
      </c>
      <c r="M1172">
        <v>0</v>
      </c>
      <c r="N1172" t="s">
        <v>175</v>
      </c>
      <c r="O1172">
        <v>1</v>
      </c>
      <c r="P1172">
        <v>0</v>
      </c>
      <c r="Q1172" s="6">
        <v>29.3</v>
      </c>
      <c r="R1172">
        <v>0</v>
      </c>
      <c r="S1172" s="6">
        <v>0</v>
      </c>
      <c r="T1172">
        <v>0</v>
      </c>
      <c r="U1172" s="6">
        <v>3726</v>
      </c>
      <c r="V1172">
        <v>0</v>
      </c>
      <c r="W1172">
        <v>0</v>
      </c>
      <c r="X1172">
        <v>0</v>
      </c>
      <c r="Y1172" s="6">
        <v>53.3</v>
      </c>
      <c r="Z1172">
        <v>0.06</v>
      </c>
      <c r="AA1172">
        <v>0.153</v>
      </c>
      <c r="AB1172">
        <v>3.6999999999999998E-2</v>
      </c>
      <c r="AC1172">
        <v>6</v>
      </c>
      <c r="AD1172" s="6">
        <v>50</v>
      </c>
      <c r="AE1172" s="6">
        <v>0</v>
      </c>
      <c r="AF1172" s="6">
        <v>0</v>
      </c>
      <c r="AG1172" s="6">
        <v>40.97</v>
      </c>
      <c r="AH1172" s="6">
        <v>53.41</v>
      </c>
      <c r="AI1172" s="6">
        <f t="shared" si="36"/>
        <v>12.439999999999998</v>
      </c>
      <c r="AJ1172" s="5">
        <f t="shared" si="37"/>
        <v>0.23291518442239278</v>
      </c>
    </row>
    <row r="1173" spans="1:36">
      <c r="A1173" t="s">
        <v>579</v>
      </c>
      <c r="B1173" t="s">
        <v>1458</v>
      </c>
      <c r="C1173" t="s">
        <v>86</v>
      </c>
      <c r="D1173" t="s">
        <v>54</v>
      </c>
      <c r="E1173" t="s">
        <v>55</v>
      </c>
      <c r="F1173">
        <v>1</v>
      </c>
      <c r="G1173">
        <v>8644</v>
      </c>
      <c r="H1173">
        <v>1</v>
      </c>
      <c r="I1173" t="s">
        <v>181</v>
      </c>
      <c r="J1173">
        <v>3</v>
      </c>
      <c r="K1173" s="6">
        <v>7.72</v>
      </c>
      <c r="L1173" t="s">
        <v>200</v>
      </c>
      <c r="M1173">
        <v>1</v>
      </c>
      <c r="N1173" t="s">
        <v>175</v>
      </c>
      <c r="O1173">
        <v>1</v>
      </c>
      <c r="P1173">
        <v>0</v>
      </c>
      <c r="Q1173" s="6">
        <v>52.5</v>
      </c>
      <c r="R1173">
        <v>0</v>
      </c>
      <c r="S1173" s="6">
        <v>0</v>
      </c>
      <c r="T1173">
        <v>0</v>
      </c>
      <c r="U1173" s="6">
        <v>3535</v>
      </c>
      <c r="V1173">
        <v>0</v>
      </c>
      <c r="W1173">
        <v>0</v>
      </c>
      <c r="X1173">
        <v>0</v>
      </c>
      <c r="Y1173" s="6">
        <v>53.3</v>
      </c>
      <c r="Z1173">
        <v>0.06</v>
      </c>
      <c r="AA1173">
        <v>0.153</v>
      </c>
      <c r="AB1173">
        <v>3.6999999999999998E-2</v>
      </c>
      <c r="AC1173">
        <v>6</v>
      </c>
      <c r="AD1173" s="6">
        <v>139</v>
      </c>
      <c r="AE1173" s="6">
        <v>0</v>
      </c>
      <c r="AF1173" s="6">
        <v>0</v>
      </c>
      <c r="AG1173" s="6">
        <v>98.31</v>
      </c>
      <c r="AH1173" s="6">
        <v>140.38999999999999</v>
      </c>
      <c r="AI1173" s="6">
        <f t="shared" si="36"/>
        <v>42.079999999999984</v>
      </c>
      <c r="AJ1173" s="5">
        <f t="shared" si="37"/>
        <v>0.29973644846499031</v>
      </c>
    </row>
    <row r="1174" spans="1:36">
      <c r="A1174" t="s">
        <v>338</v>
      </c>
      <c r="B1174" t="s">
        <v>1459</v>
      </c>
      <c r="C1174" t="s">
        <v>86</v>
      </c>
      <c r="D1174" t="s">
        <v>54</v>
      </c>
      <c r="E1174" t="s">
        <v>55</v>
      </c>
      <c r="F1174">
        <v>1</v>
      </c>
      <c r="G1174">
        <v>8644</v>
      </c>
      <c r="H1174">
        <v>1</v>
      </c>
      <c r="I1174" t="s">
        <v>173</v>
      </c>
      <c r="J1174">
        <v>1</v>
      </c>
      <c r="K1174" s="6">
        <v>2.23</v>
      </c>
      <c r="L1174" t="s">
        <v>174</v>
      </c>
      <c r="M1174">
        <v>0</v>
      </c>
      <c r="N1174" t="s">
        <v>175</v>
      </c>
      <c r="O1174">
        <v>1</v>
      </c>
      <c r="P1174">
        <v>0</v>
      </c>
      <c r="Q1174" s="6">
        <v>40.700000000000003</v>
      </c>
      <c r="R1174">
        <v>1</v>
      </c>
      <c r="S1174" s="6">
        <v>733</v>
      </c>
      <c r="T1174">
        <v>0</v>
      </c>
      <c r="U1174" s="6">
        <v>1389</v>
      </c>
      <c r="V1174">
        <v>0</v>
      </c>
      <c r="W1174">
        <v>0</v>
      </c>
      <c r="X1174">
        <v>0</v>
      </c>
      <c r="Y1174" s="6">
        <v>53.3</v>
      </c>
      <c r="Z1174">
        <v>0.06</v>
      </c>
      <c r="AA1174">
        <v>0.153</v>
      </c>
      <c r="AB1174">
        <v>3.6999999999999998E-2</v>
      </c>
      <c r="AC1174">
        <v>6</v>
      </c>
      <c r="AD1174" s="6">
        <v>50</v>
      </c>
      <c r="AE1174" s="6">
        <v>25</v>
      </c>
      <c r="AF1174" s="6">
        <v>0</v>
      </c>
      <c r="AG1174" s="6">
        <v>51.41</v>
      </c>
      <c r="AH1174" s="6">
        <v>66.099999999999994</v>
      </c>
      <c r="AI1174" s="6">
        <f t="shared" si="36"/>
        <v>14.689999999999998</v>
      </c>
      <c r="AJ1174" s="5">
        <f t="shared" si="37"/>
        <v>0.22223903177004536</v>
      </c>
    </row>
    <row r="1175" spans="1:36">
      <c r="A1175" t="s">
        <v>328</v>
      </c>
      <c r="B1175" t="s">
        <v>1460</v>
      </c>
      <c r="C1175" t="s">
        <v>86</v>
      </c>
      <c r="D1175" t="s">
        <v>54</v>
      </c>
      <c r="E1175" t="s">
        <v>55</v>
      </c>
      <c r="F1175">
        <v>1</v>
      </c>
      <c r="G1175">
        <v>8644</v>
      </c>
      <c r="H1175">
        <v>1</v>
      </c>
      <c r="I1175" t="s">
        <v>220</v>
      </c>
      <c r="J1175">
        <v>2</v>
      </c>
      <c r="K1175" s="6">
        <v>5.29</v>
      </c>
      <c r="L1175" t="s">
        <v>174</v>
      </c>
      <c r="M1175">
        <v>0</v>
      </c>
      <c r="N1175" t="s">
        <v>272</v>
      </c>
      <c r="O1175">
        <v>5</v>
      </c>
      <c r="P1175">
        <v>1</v>
      </c>
      <c r="Q1175" s="6">
        <v>194.1</v>
      </c>
      <c r="R1175">
        <v>1</v>
      </c>
      <c r="S1175" s="6">
        <v>704</v>
      </c>
      <c r="T1175">
        <v>0</v>
      </c>
      <c r="U1175" s="6">
        <v>3193</v>
      </c>
      <c r="V1175">
        <v>0</v>
      </c>
      <c r="W1175">
        <v>0</v>
      </c>
      <c r="X1175">
        <v>0</v>
      </c>
      <c r="Y1175" s="6">
        <v>53.3</v>
      </c>
      <c r="Z1175">
        <v>0.06</v>
      </c>
      <c r="AA1175">
        <v>0.153</v>
      </c>
      <c r="AB1175">
        <v>3.6999999999999998E-2</v>
      </c>
      <c r="AC1175">
        <v>6</v>
      </c>
      <c r="AD1175" s="6">
        <v>50</v>
      </c>
      <c r="AE1175" s="6">
        <v>25</v>
      </c>
      <c r="AF1175" s="6">
        <v>0</v>
      </c>
      <c r="AG1175" s="6">
        <v>155.71</v>
      </c>
      <c r="AH1175" s="6">
        <v>187.35</v>
      </c>
      <c r="AI1175" s="6">
        <f t="shared" si="36"/>
        <v>31.639999999999986</v>
      </c>
      <c r="AJ1175" s="5">
        <f t="shared" si="37"/>
        <v>0.16888177208433405</v>
      </c>
    </row>
    <row r="1176" spans="1:36">
      <c r="A1176" t="s">
        <v>185</v>
      </c>
      <c r="B1176" t="s">
        <v>1461</v>
      </c>
      <c r="C1176" t="s">
        <v>86</v>
      </c>
      <c r="D1176" t="s">
        <v>54</v>
      </c>
      <c r="E1176" t="s">
        <v>55</v>
      </c>
      <c r="F1176">
        <v>1</v>
      </c>
      <c r="G1176">
        <v>8644</v>
      </c>
      <c r="H1176">
        <v>1</v>
      </c>
      <c r="I1176" t="s">
        <v>181</v>
      </c>
      <c r="J1176">
        <v>3</v>
      </c>
      <c r="K1176" s="6">
        <v>7.25</v>
      </c>
      <c r="L1176" t="s">
        <v>174</v>
      </c>
      <c r="M1176">
        <v>0</v>
      </c>
      <c r="N1176" t="s">
        <v>175</v>
      </c>
      <c r="O1176">
        <v>1</v>
      </c>
      <c r="P1176">
        <v>0</v>
      </c>
      <c r="Q1176" s="6">
        <v>52.1</v>
      </c>
      <c r="R1176">
        <v>1</v>
      </c>
      <c r="S1176" s="6">
        <v>2577</v>
      </c>
      <c r="T1176">
        <v>0</v>
      </c>
      <c r="U1176" s="6">
        <v>3760</v>
      </c>
      <c r="V1176">
        <v>0</v>
      </c>
      <c r="W1176">
        <v>0</v>
      </c>
      <c r="X1176">
        <v>0</v>
      </c>
      <c r="Y1176" s="6">
        <v>53.3</v>
      </c>
      <c r="Z1176">
        <v>0.06</v>
      </c>
      <c r="AA1176">
        <v>0.153</v>
      </c>
      <c r="AB1176">
        <v>3.6999999999999998E-2</v>
      </c>
      <c r="AC1176">
        <v>6</v>
      </c>
      <c r="AD1176" s="6">
        <v>60</v>
      </c>
      <c r="AE1176" s="6">
        <v>40</v>
      </c>
      <c r="AF1176" s="6">
        <v>0</v>
      </c>
      <c r="AG1176" s="6">
        <v>76.36</v>
      </c>
      <c r="AH1176" s="6">
        <v>94.92</v>
      </c>
      <c r="AI1176" s="6">
        <f t="shared" si="36"/>
        <v>18.560000000000002</v>
      </c>
      <c r="AJ1176" s="5">
        <f t="shared" si="37"/>
        <v>0.19553308048883272</v>
      </c>
    </row>
    <row r="1177" spans="1:36">
      <c r="A1177" t="s">
        <v>263</v>
      </c>
      <c r="B1177" t="s">
        <v>1462</v>
      </c>
      <c r="C1177" t="s">
        <v>86</v>
      </c>
      <c r="D1177" t="s">
        <v>54</v>
      </c>
      <c r="E1177" t="s">
        <v>55</v>
      </c>
      <c r="F1177">
        <v>1</v>
      </c>
      <c r="G1177">
        <v>8644</v>
      </c>
      <c r="H1177">
        <v>1</v>
      </c>
      <c r="I1177" t="s">
        <v>220</v>
      </c>
      <c r="J1177">
        <v>2</v>
      </c>
      <c r="K1177" s="6">
        <v>3.1</v>
      </c>
      <c r="L1177" t="s">
        <v>174</v>
      </c>
      <c r="M1177">
        <v>0</v>
      </c>
      <c r="N1177" t="s">
        <v>175</v>
      </c>
      <c r="O1177">
        <v>1</v>
      </c>
      <c r="P1177">
        <v>0</v>
      </c>
      <c r="Q1177" s="6">
        <v>27.5</v>
      </c>
      <c r="R1177">
        <v>0</v>
      </c>
      <c r="S1177" s="6">
        <v>0</v>
      </c>
      <c r="T1177">
        <v>0</v>
      </c>
      <c r="U1177" s="6">
        <v>1536</v>
      </c>
      <c r="V1177">
        <v>0</v>
      </c>
      <c r="W1177">
        <v>0</v>
      </c>
      <c r="X1177">
        <v>0</v>
      </c>
      <c r="Y1177" s="6">
        <v>53.3</v>
      </c>
      <c r="Z1177">
        <v>0.06</v>
      </c>
      <c r="AA1177">
        <v>0.153</v>
      </c>
      <c r="AB1177">
        <v>3.6999999999999998E-2</v>
      </c>
      <c r="AC1177">
        <v>6</v>
      </c>
      <c r="AD1177" s="6">
        <v>50</v>
      </c>
      <c r="AE1177" s="6">
        <v>0</v>
      </c>
      <c r="AF1177" s="6">
        <v>0</v>
      </c>
      <c r="AG1177" s="6">
        <v>45.14</v>
      </c>
      <c r="AH1177" s="6">
        <v>58.62</v>
      </c>
      <c r="AI1177" s="6">
        <f t="shared" si="36"/>
        <v>13.479999999999997</v>
      </c>
      <c r="AJ1177" s="5">
        <f t="shared" si="37"/>
        <v>0.22995564653701803</v>
      </c>
    </row>
    <row r="1178" spans="1:36">
      <c r="A1178" t="s">
        <v>375</v>
      </c>
      <c r="B1178" t="s">
        <v>1463</v>
      </c>
      <c r="C1178" t="s">
        <v>86</v>
      </c>
      <c r="D1178" t="s">
        <v>54</v>
      </c>
      <c r="E1178" t="s">
        <v>55</v>
      </c>
      <c r="F1178">
        <v>1</v>
      </c>
      <c r="G1178">
        <v>8644</v>
      </c>
      <c r="H1178">
        <v>1</v>
      </c>
      <c r="I1178" t="s">
        <v>181</v>
      </c>
      <c r="J1178">
        <v>3</v>
      </c>
      <c r="K1178" s="6">
        <v>6.96</v>
      </c>
      <c r="L1178" t="s">
        <v>174</v>
      </c>
      <c r="M1178">
        <v>0</v>
      </c>
      <c r="N1178" t="s">
        <v>187</v>
      </c>
      <c r="O1178">
        <v>2</v>
      </c>
      <c r="P1178">
        <v>0</v>
      </c>
      <c r="Q1178" s="6">
        <v>67.3</v>
      </c>
      <c r="R1178">
        <v>1</v>
      </c>
      <c r="S1178" s="6">
        <v>1310</v>
      </c>
      <c r="T1178">
        <v>0</v>
      </c>
      <c r="U1178" s="6">
        <v>2823</v>
      </c>
      <c r="V1178">
        <v>0</v>
      </c>
      <c r="W1178">
        <v>0</v>
      </c>
      <c r="X1178">
        <v>0</v>
      </c>
      <c r="Y1178" s="6">
        <v>53.3</v>
      </c>
      <c r="Z1178">
        <v>0.06</v>
      </c>
      <c r="AA1178">
        <v>0.153</v>
      </c>
      <c r="AB1178">
        <v>3.6999999999999998E-2</v>
      </c>
      <c r="AC1178">
        <v>6</v>
      </c>
      <c r="AD1178" s="6">
        <v>60</v>
      </c>
      <c r="AE1178" s="6">
        <v>25</v>
      </c>
      <c r="AF1178" s="6">
        <v>0</v>
      </c>
      <c r="AG1178" s="6">
        <v>86.63</v>
      </c>
      <c r="AH1178" s="6">
        <v>107.95</v>
      </c>
      <c r="AI1178" s="6">
        <f t="shared" si="36"/>
        <v>21.320000000000007</v>
      </c>
      <c r="AJ1178" s="5">
        <f t="shared" si="37"/>
        <v>0.1974988420565077</v>
      </c>
    </row>
    <row r="1179" spans="1:36">
      <c r="A1179" t="s">
        <v>512</v>
      </c>
      <c r="B1179" t="s">
        <v>1464</v>
      </c>
      <c r="C1179" t="s">
        <v>86</v>
      </c>
      <c r="D1179" t="s">
        <v>54</v>
      </c>
      <c r="E1179" t="s">
        <v>55</v>
      </c>
      <c r="F1179">
        <v>1</v>
      </c>
      <c r="G1179">
        <v>8644</v>
      </c>
      <c r="H1179">
        <v>1</v>
      </c>
      <c r="I1179" t="s">
        <v>173</v>
      </c>
      <c r="J1179">
        <v>1</v>
      </c>
      <c r="K1179" s="6">
        <v>3.08</v>
      </c>
      <c r="L1179" t="s">
        <v>174</v>
      </c>
      <c r="M1179">
        <v>0</v>
      </c>
      <c r="N1179" t="s">
        <v>187</v>
      </c>
      <c r="O1179">
        <v>2</v>
      </c>
      <c r="P1179">
        <v>0</v>
      </c>
      <c r="Q1179" s="6">
        <v>57.3</v>
      </c>
      <c r="R1179">
        <v>0</v>
      </c>
      <c r="S1179" s="6">
        <v>0</v>
      </c>
      <c r="T1179">
        <v>0</v>
      </c>
      <c r="U1179" s="6">
        <v>2467</v>
      </c>
      <c r="V1179">
        <v>0</v>
      </c>
      <c r="W1179">
        <v>0</v>
      </c>
      <c r="X1179">
        <v>0</v>
      </c>
      <c r="Y1179" s="6">
        <v>53.3</v>
      </c>
      <c r="Z1179">
        <v>0.06</v>
      </c>
      <c r="AA1179">
        <v>0.153</v>
      </c>
      <c r="AB1179">
        <v>3.6999999999999998E-2</v>
      </c>
      <c r="AC1179">
        <v>6</v>
      </c>
      <c r="AD1179" s="6">
        <v>50</v>
      </c>
      <c r="AE1179" s="6">
        <v>0</v>
      </c>
      <c r="AF1179" s="6">
        <v>0</v>
      </c>
      <c r="AG1179" s="6">
        <v>52.13</v>
      </c>
      <c r="AH1179" s="6">
        <v>64.31</v>
      </c>
      <c r="AI1179" s="6">
        <f t="shared" si="36"/>
        <v>12.18</v>
      </c>
      <c r="AJ1179" s="5">
        <f t="shared" si="37"/>
        <v>0.18939511740009329</v>
      </c>
    </row>
    <row r="1180" spans="1:36">
      <c r="A1180" t="s">
        <v>286</v>
      </c>
      <c r="B1180" t="s">
        <v>1465</v>
      </c>
      <c r="C1180" t="s">
        <v>86</v>
      </c>
      <c r="D1180" t="s">
        <v>54</v>
      </c>
      <c r="E1180" t="s">
        <v>55</v>
      </c>
      <c r="F1180">
        <v>1</v>
      </c>
      <c r="G1180">
        <v>8644</v>
      </c>
      <c r="H1180">
        <v>1</v>
      </c>
      <c r="I1180" t="s">
        <v>173</v>
      </c>
      <c r="J1180">
        <v>1</v>
      </c>
      <c r="K1180" s="6">
        <v>1.1200000000000001</v>
      </c>
      <c r="L1180" t="s">
        <v>174</v>
      </c>
      <c r="M1180">
        <v>0</v>
      </c>
      <c r="N1180" t="s">
        <v>175</v>
      </c>
      <c r="O1180">
        <v>1</v>
      </c>
      <c r="P1180">
        <v>0</v>
      </c>
      <c r="Q1180" s="6">
        <v>30.1</v>
      </c>
      <c r="R1180">
        <v>0</v>
      </c>
      <c r="S1180" s="6">
        <v>0</v>
      </c>
      <c r="T1180">
        <v>0</v>
      </c>
      <c r="U1180" s="6">
        <v>3053</v>
      </c>
      <c r="V1180">
        <v>0</v>
      </c>
      <c r="W1180">
        <v>0</v>
      </c>
      <c r="X1180">
        <v>0</v>
      </c>
      <c r="Y1180" s="6">
        <v>53.3</v>
      </c>
      <c r="Z1180">
        <v>0.06</v>
      </c>
      <c r="AA1180">
        <v>0.153</v>
      </c>
      <c r="AB1180">
        <v>3.6999999999999998E-2</v>
      </c>
      <c r="AC1180">
        <v>6</v>
      </c>
      <c r="AD1180" s="6">
        <v>50</v>
      </c>
      <c r="AE1180" s="6">
        <v>0</v>
      </c>
      <c r="AF1180" s="6">
        <v>0</v>
      </c>
      <c r="AG1180" s="6">
        <v>44.49</v>
      </c>
      <c r="AH1180" s="6">
        <v>57.11</v>
      </c>
      <c r="AI1180" s="6">
        <f t="shared" si="36"/>
        <v>12.619999999999997</v>
      </c>
      <c r="AJ1180" s="5">
        <f t="shared" si="37"/>
        <v>0.22097706181054103</v>
      </c>
    </row>
    <row r="1181" spans="1:36">
      <c r="A1181" t="s">
        <v>436</v>
      </c>
      <c r="B1181" t="s">
        <v>1466</v>
      </c>
      <c r="C1181" t="s">
        <v>86</v>
      </c>
      <c r="D1181" t="s">
        <v>54</v>
      </c>
      <c r="E1181" t="s">
        <v>55</v>
      </c>
      <c r="F1181">
        <v>1</v>
      </c>
      <c r="G1181">
        <v>8644</v>
      </c>
      <c r="H1181">
        <v>1</v>
      </c>
      <c r="I1181" t="s">
        <v>173</v>
      </c>
      <c r="J1181">
        <v>1</v>
      </c>
      <c r="K1181" s="6">
        <v>1.66</v>
      </c>
      <c r="L1181" t="s">
        <v>174</v>
      </c>
      <c r="M1181">
        <v>0</v>
      </c>
      <c r="N1181" t="s">
        <v>175</v>
      </c>
      <c r="O1181">
        <v>1</v>
      </c>
      <c r="P1181">
        <v>0</v>
      </c>
      <c r="Q1181" s="6">
        <v>39.4</v>
      </c>
      <c r="R1181">
        <v>0</v>
      </c>
      <c r="S1181" s="6">
        <v>0</v>
      </c>
      <c r="T1181">
        <v>0</v>
      </c>
      <c r="U1181" s="6">
        <v>2029</v>
      </c>
      <c r="V1181">
        <v>0</v>
      </c>
      <c r="W1181">
        <v>0</v>
      </c>
      <c r="X1181">
        <v>0</v>
      </c>
      <c r="Y1181" s="6">
        <v>53.3</v>
      </c>
      <c r="Z1181">
        <v>0.06</v>
      </c>
      <c r="AA1181">
        <v>0.153</v>
      </c>
      <c r="AB1181">
        <v>3.6999999999999998E-2</v>
      </c>
      <c r="AC1181">
        <v>6</v>
      </c>
      <c r="AD1181" s="6">
        <v>50</v>
      </c>
      <c r="AE1181" s="6">
        <v>0</v>
      </c>
      <c r="AF1181" s="6">
        <v>0</v>
      </c>
      <c r="AG1181" s="6">
        <v>45.23</v>
      </c>
      <c r="AH1181" s="6">
        <v>54.65</v>
      </c>
      <c r="AI1181" s="6">
        <f t="shared" si="36"/>
        <v>9.4200000000000017</v>
      </c>
      <c r="AJ1181" s="5">
        <f t="shared" si="37"/>
        <v>0.1723696248856359</v>
      </c>
    </row>
    <row r="1182" spans="1:36">
      <c r="A1182" t="s">
        <v>179</v>
      </c>
      <c r="B1182" t="s">
        <v>1467</v>
      </c>
      <c r="C1182" t="s">
        <v>86</v>
      </c>
      <c r="D1182" t="s">
        <v>54</v>
      </c>
      <c r="E1182" t="s">
        <v>55</v>
      </c>
      <c r="F1182">
        <v>1</v>
      </c>
      <c r="G1182">
        <v>8644</v>
      </c>
      <c r="H1182">
        <v>1</v>
      </c>
      <c r="I1182" t="s">
        <v>173</v>
      </c>
      <c r="J1182">
        <v>1</v>
      </c>
      <c r="K1182" s="6">
        <v>2.19</v>
      </c>
      <c r="L1182" t="s">
        <v>174</v>
      </c>
      <c r="M1182">
        <v>0</v>
      </c>
      <c r="N1182" t="s">
        <v>175</v>
      </c>
      <c r="O1182">
        <v>1</v>
      </c>
      <c r="P1182">
        <v>1</v>
      </c>
      <c r="Q1182" s="6">
        <v>32.299999999999997</v>
      </c>
      <c r="R1182">
        <v>1</v>
      </c>
      <c r="S1182" s="6">
        <v>2359</v>
      </c>
      <c r="T1182">
        <v>0</v>
      </c>
      <c r="U1182" s="6">
        <v>6757</v>
      </c>
      <c r="V1182">
        <v>0</v>
      </c>
      <c r="W1182">
        <v>0</v>
      </c>
      <c r="X1182">
        <v>0</v>
      </c>
      <c r="Y1182" s="6">
        <v>53.3</v>
      </c>
      <c r="Z1182">
        <v>0.06</v>
      </c>
      <c r="AA1182">
        <v>0.153</v>
      </c>
      <c r="AB1182">
        <v>3.6999999999999998E-2</v>
      </c>
      <c r="AC1182">
        <v>6</v>
      </c>
      <c r="AD1182" s="6">
        <v>50</v>
      </c>
      <c r="AE1182" s="6">
        <v>40</v>
      </c>
      <c r="AF1182" s="6">
        <v>0</v>
      </c>
      <c r="AG1182" s="6">
        <v>80.98</v>
      </c>
      <c r="AH1182" s="6">
        <v>98.1</v>
      </c>
      <c r="AI1182" s="6">
        <f t="shared" si="36"/>
        <v>17.11999999999999</v>
      </c>
      <c r="AJ1182" s="5">
        <f t="shared" si="37"/>
        <v>0.1745158002038735</v>
      </c>
    </row>
    <row r="1183" spans="1:36">
      <c r="A1183" t="s">
        <v>362</v>
      </c>
      <c r="B1183" t="s">
        <v>1468</v>
      </c>
      <c r="C1183" t="s">
        <v>86</v>
      </c>
      <c r="D1183" t="s">
        <v>54</v>
      </c>
      <c r="E1183" t="s">
        <v>55</v>
      </c>
      <c r="F1183">
        <v>1</v>
      </c>
      <c r="G1183">
        <v>8644</v>
      </c>
      <c r="H1183">
        <v>1</v>
      </c>
      <c r="I1183" t="s">
        <v>173</v>
      </c>
      <c r="J1183">
        <v>1</v>
      </c>
      <c r="K1183" s="6">
        <v>1.87</v>
      </c>
      <c r="L1183" t="s">
        <v>174</v>
      </c>
      <c r="M1183">
        <v>0</v>
      </c>
      <c r="N1183" t="s">
        <v>187</v>
      </c>
      <c r="O1183">
        <v>2</v>
      </c>
      <c r="P1183">
        <v>0</v>
      </c>
      <c r="Q1183" s="6">
        <v>7.7</v>
      </c>
      <c r="R1183">
        <v>1</v>
      </c>
      <c r="S1183" s="6">
        <v>571</v>
      </c>
      <c r="T1183">
        <v>0</v>
      </c>
      <c r="U1183" s="6">
        <v>7065</v>
      </c>
      <c r="V1183">
        <v>0</v>
      </c>
      <c r="W1183">
        <v>0</v>
      </c>
      <c r="X1183">
        <v>0</v>
      </c>
      <c r="Y1183" s="6">
        <v>53.3</v>
      </c>
      <c r="Z1183">
        <v>0.06</v>
      </c>
      <c r="AA1183">
        <v>0.153</v>
      </c>
      <c r="AB1183">
        <v>3.6999999999999998E-2</v>
      </c>
      <c r="AC1183">
        <v>6</v>
      </c>
      <c r="AD1183" s="6">
        <v>50</v>
      </c>
      <c r="AE1183" s="6">
        <v>25</v>
      </c>
      <c r="AF1183" s="6">
        <v>0</v>
      </c>
      <c r="AG1183" s="6">
        <v>48.8</v>
      </c>
      <c r="AH1183" s="6">
        <v>58.67</v>
      </c>
      <c r="AI1183" s="6">
        <f t="shared" si="36"/>
        <v>9.8700000000000045</v>
      </c>
      <c r="AJ1183" s="5">
        <f t="shared" si="37"/>
        <v>0.16822907789330158</v>
      </c>
    </row>
    <row r="1184" spans="1:36">
      <c r="A1184" t="s">
        <v>330</v>
      </c>
      <c r="B1184" t="s">
        <v>1469</v>
      </c>
      <c r="C1184" t="s">
        <v>86</v>
      </c>
      <c r="D1184" t="s">
        <v>54</v>
      </c>
      <c r="E1184" t="s">
        <v>55</v>
      </c>
      <c r="F1184">
        <v>1</v>
      </c>
      <c r="G1184">
        <v>8644</v>
      </c>
      <c r="H1184">
        <v>1</v>
      </c>
      <c r="I1184" t="s">
        <v>181</v>
      </c>
      <c r="J1184">
        <v>3</v>
      </c>
      <c r="K1184" s="6">
        <v>7.28</v>
      </c>
      <c r="L1184" t="s">
        <v>174</v>
      </c>
      <c r="M1184">
        <v>0</v>
      </c>
      <c r="N1184" t="s">
        <v>182</v>
      </c>
      <c r="O1184">
        <v>3</v>
      </c>
      <c r="P1184">
        <v>0</v>
      </c>
      <c r="Q1184" s="6">
        <v>123.3</v>
      </c>
      <c r="R1184">
        <v>0</v>
      </c>
      <c r="S1184" s="6">
        <v>0</v>
      </c>
      <c r="T1184">
        <v>0</v>
      </c>
      <c r="U1184" s="6">
        <v>8841</v>
      </c>
      <c r="V1184">
        <v>0</v>
      </c>
      <c r="W1184">
        <v>0</v>
      </c>
      <c r="X1184">
        <v>0</v>
      </c>
      <c r="Y1184" s="6">
        <v>53.3</v>
      </c>
      <c r="Z1184">
        <v>0.06</v>
      </c>
      <c r="AA1184">
        <v>0.153</v>
      </c>
      <c r="AB1184">
        <v>3.6999999999999998E-2</v>
      </c>
      <c r="AC1184">
        <v>6</v>
      </c>
      <c r="AD1184" s="6">
        <v>60</v>
      </c>
      <c r="AE1184" s="6">
        <v>0</v>
      </c>
      <c r="AF1184" s="6">
        <v>0</v>
      </c>
      <c r="AG1184" s="6">
        <v>78.58</v>
      </c>
      <c r="AH1184" s="6">
        <v>95.69</v>
      </c>
      <c r="AI1184" s="6">
        <f t="shared" si="36"/>
        <v>17.11</v>
      </c>
      <c r="AJ1184" s="5">
        <f t="shared" si="37"/>
        <v>0.17880656285923294</v>
      </c>
    </row>
    <row r="1185" spans="1:36">
      <c r="A1185" t="s">
        <v>355</v>
      </c>
      <c r="B1185" t="s">
        <v>1470</v>
      </c>
      <c r="C1185" t="s">
        <v>86</v>
      </c>
      <c r="D1185" t="s">
        <v>54</v>
      </c>
      <c r="E1185" t="s">
        <v>55</v>
      </c>
      <c r="F1185">
        <v>1</v>
      </c>
      <c r="G1185">
        <v>8644</v>
      </c>
      <c r="H1185">
        <v>1</v>
      </c>
      <c r="I1185" t="s">
        <v>220</v>
      </c>
      <c r="J1185">
        <v>2</v>
      </c>
      <c r="K1185" s="6">
        <v>4.58</v>
      </c>
      <c r="L1185" t="s">
        <v>174</v>
      </c>
      <c r="M1185">
        <v>0</v>
      </c>
      <c r="N1185" t="s">
        <v>175</v>
      </c>
      <c r="O1185">
        <v>1</v>
      </c>
      <c r="P1185">
        <v>1</v>
      </c>
      <c r="Q1185" s="6">
        <v>29.8</v>
      </c>
      <c r="R1185">
        <v>0</v>
      </c>
      <c r="S1185" s="6">
        <v>0</v>
      </c>
      <c r="T1185">
        <v>0</v>
      </c>
      <c r="U1185" s="6">
        <v>2245</v>
      </c>
      <c r="V1185">
        <v>0</v>
      </c>
      <c r="W1185">
        <v>0</v>
      </c>
      <c r="X1185">
        <v>0</v>
      </c>
      <c r="Y1185" s="6">
        <v>53.3</v>
      </c>
      <c r="Z1185">
        <v>0.06</v>
      </c>
      <c r="AA1185">
        <v>0.153</v>
      </c>
      <c r="AB1185">
        <v>3.6999999999999998E-2</v>
      </c>
      <c r="AC1185">
        <v>6</v>
      </c>
      <c r="AD1185" s="6">
        <v>50</v>
      </c>
      <c r="AE1185" s="6">
        <v>0</v>
      </c>
      <c r="AF1185" s="6">
        <v>0</v>
      </c>
      <c r="AG1185" s="6">
        <v>77.430000000000007</v>
      </c>
      <c r="AH1185" s="6">
        <v>96.45</v>
      </c>
      <c r="AI1185" s="6">
        <f t="shared" si="36"/>
        <v>19.019999999999996</v>
      </c>
      <c r="AJ1185" s="5">
        <f t="shared" si="37"/>
        <v>0.19720062208398129</v>
      </c>
    </row>
    <row r="1186" spans="1:36">
      <c r="A1186" t="s">
        <v>210</v>
      </c>
      <c r="B1186" t="s">
        <v>1471</v>
      </c>
      <c r="C1186" t="s">
        <v>86</v>
      </c>
      <c r="D1186" t="s">
        <v>54</v>
      </c>
      <c r="E1186" t="s">
        <v>55</v>
      </c>
      <c r="F1186">
        <v>1</v>
      </c>
      <c r="G1186">
        <v>8644</v>
      </c>
      <c r="H1186">
        <v>1</v>
      </c>
      <c r="I1186" t="s">
        <v>181</v>
      </c>
      <c r="J1186">
        <v>3</v>
      </c>
      <c r="K1186" s="6">
        <v>7.34</v>
      </c>
      <c r="L1186" t="s">
        <v>174</v>
      </c>
      <c r="M1186">
        <v>0</v>
      </c>
      <c r="N1186" t="s">
        <v>182</v>
      </c>
      <c r="O1186">
        <v>3</v>
      </c>
      <c r="P1186">
        <v>0</v>
      </c>
      <c r="Q1186" s="6">
        <v>128.19999999999999</v>
      </c>
      <c r="R1186">
        <v>1</v>
      </c>
      <c r="S1186" s="6">
        <v>2148</v>
      </c>
      <c r="T1186">
        <v>0</v>
      </c>
      <c r="U1186" s="6">
        <v>4934</v>
      </c>
      <c r="V1186">
        <v>0</v>
      </c>
      <c r="W1186">
        <v>0</v>
      </c>
      <c r="X1186">
        <v>0</v>
      </c>
      <c r="Y1186" s="6">
        <v>53.3</v>
      </c>
      <c r="Z1186">
        <v>0.06</v>
      </c>
      <c r="AA1186">
        <v>0.153</v>
      </c>
      <c r="AB1186">
        <v>3.6999999999999998E-2</v>
      </c>
      <c r="AC1186">
        <v>6</v>
      </c>
      <c r="AD1186" s="6">
        <v>60</v>
      </c>
      <c r="AE1186" s="6">
        <v>40</v>
      </c>
      <c r="AF1186" s="6">
        <v>0</v>
      </c>
      <c r="AG1186" s="6">
        <v>85.9</v>
      </c>
      <c r="AH1186" s="6">
        <v>105.83</v>
      </c>
      <c r="AI1186" s="6">
        <f t="shared" si="36"/>
        <v>19.929999999999993</v>
      </c>
      <c r="AJ1186" s="5">
        <f t="shared" si="37"/>
        <v>0.18832089199659824</v>
      </c>
    </row>
    <row r="1187" spans="1:36">
      <c r="A1187" t="s">
        <v>291</v>
      </c>
      <c r="B1187" t="s">
        <v>1472</v>
      </c>
      <c r="C1187" t="s">
        <v>86</v>
      </c>
      <c r="D1187" t="s">
        <v>54</v>
      </c>
      <c r="E1187" t="s">
        <v>55</v>
      </c>
      <c r="F1187">
        <v>1</v>
      </c>
      <c r="G1187">
        <v>8644</v>
      </c>
      <c r="H1187">
        <v>1</v>
      </c>
      <c r="I1187" t="s">
        <v>173</v>
      </c>
      <c r="J1187">
        <v>1</v>
      </c>
      <c r="K1187" s="6">
        <v>2.14</v>
      </c>
      <c r="L1187" t="s">
        <v>174</v>
      </c>
      <c r="M1187">
        <v>0</v>
      </c>
      <c r="N1187" t="s">
        <v>175</v>
      </c>
      <c r="O1187">
        <v>1</v>
      </c>
      <c r="P1187">
        <v>0</v>
      </c>
      <c r="Q1187" s="6">
        <v>20.9</v>
      </c>
      <c r="R1187">
        <v>1</v>
      </c>
      <c r="S1187" s="6">
        <v>2830</v>
      </c>
      <c r="T1187">
        <v>0</v>
      </c>
      <c r="U1187" s="6">
        <v>6689</v>
      </c>
      <c r="V1187">
        <v>0</v>
      </c>
      <c r="W1187">
        <v>0</v>
      </c>
      <c r="X1187">
        <v>0</v>
      </c>
      <c r="Y1187" s="6">
        <v>53.3</v>
      </c>
      <c r="Z1187">
        <v>0.06</v>
      </c>
      <c r="AA1187">
        <v>0.153</v>
      </c>
      <c r="AB1187">
        <v>3.6999999999999998E-2</v>
      </c>
      <c r="AC1187">
        <v>6</v>
      </c>
      <c r="AD1187" s="6">
        <v>50</v>
      </c>
      <c r="AE1187" s="6">
        <v>40</v>
      </c>
      <c r="AF1187" s="6">
        <v>0</v>
      </c>
      <c r="AG1187" s="6">
        <v>56.63</v>
      </c>
      <c r="AH1187" s="6">
        <v>72.13</v>
      </c>
      <c r="AI1187" s="6">
        <f t="shared" si="36"/>
        <v>15.499999999999993</v>
      </c>
      <c r="AJ1187" s="5">
        <f t="shared" si="37"/>
        <v>0.21488978233744618</v>
      </c>
    </row>
    <row r="1188" spans="1:36">
      <c r="A1188" t="s">
        <v>393</v>
      </c>
      <c r="B1188" t="s">
        <v>1473</v>
      </c>
      <c r="C1188" t="s">
        <v>86</v>
      </c>
      <c r="D1188" t="s">
        <v>54</v>
      </c>
      <c r="E1188" t="s">
        <v>55</v>
      </c>
      <c r="F1188">
        <v>1</v>
      </c>
      <c r="G1188">
        <v>8644</v>
      </c>
      <c r="H1188">
        <v>1</v>
      </c>
      <c r="I1188" t="s">
        <v>181</v>
      </c>
      <c r="J1188">
        <v>3</v>
      </c>
      <c r="K1188" s="6">
        <v>11.15</v>
      </c>
      <c r="L1188" t="s">
        <v>174</v>
      </c>
      <c r="M1188">
        <v>0</v>
      </c>
      <c r="N1188" t="s">
        <v>182</v>
      </c>
      <c r="O1188">
        <v>3</v>
      </c>
      <c r="P1188">
        <v>0</v>
      </c>
      <c r="Q1188" s="6">
        <v>136.5</v>
      </c>
      <c r="R1188">
        <v>0</v>
      </c>
      <c r="S1188" s="6">
        <v>0</v>
      </c>
      <c r="T1188">
        <v>0</v>
      </c>
      <c r="U1188" s="6">
        <v>2740</v>
      </c>
      <c r="V1188">
        <v>0</v>
      </c>
      <c r="W1188">
        <v>0</v>
      </c>
      <c r="X1188">
        <v>0</v>
      </c>
      <c r="Y1188" s="6">
        <v>53.3</v>
      </c>
      <c r="Z1188">
        <v>0.06</v>
      </c>
      <c r="AA1188">
        <v>0.153</v>
      </c>
      <c r="AB1188">
        <v>3.6999999999999998E-2</v>
      </c>
      <c r="AC1188">
        <v>6</v>
      </c>
      <c r="AD1188" s="6">
        <v>60</v>
      </c>
      <c r="AE1188" s="6">
        <v>0</v>
      </c>
      <c r="AF1188" s="6">
        <v>0</v>
      </c>
      <c r="AG1188" s="6">
        <v>105.74</v>
      </c>
      <c r="AH1188" s="6">
        <v>130.43</v>
      </c>
      <c r="AI1188" s="6">
        <f t="shared" si="36"/>
        <v>24.690000000000012</v>
      </c>
      <c r="AJ1188" s="5">
        <f t="shared" si="37"/>
        <v>0.18929694088783264</v>
      </c>
    </row>
    <row r="1189" spans="1:36">
      <c r="A1189" t="s">
        <v>478</v>
      </c>
      <c r="B1189" t="s">
        <v>1474</v>
      </c>
      <c r="C1189" t="s">
        <v>86</v>
      </c>
      <c r="D1189" t="s">
        <v>54</v>
      </c>
      <c r="E1189" t="s">
        <v>55</v>
      </c>
      <c r="F1189">
        <v>1</v>
      </c>
      <c r="G1189">
        <v>8644</v>
      </c>
      <c r="H1189">
        <v>1</v>
      </c>
      <c r="I1189" t="s">
        <v>173</v>
      </c>
      <c r="J1189">
        <v>1</v>
      </c>
      <c r="K1189" s="6">
        <v>1.97</v>
      </c>
      <c r="L1189" t="s">
        <v>174</v>
      </c>
      <c r="M1189">
        <v>0</v>
      </c>
      <c r="N1189" t="s">
        <v>175</v>
      </c>
      <c r="O1189">
        <v>1</v>
      </c>
      <c r="P1189">
        <v>0</v>
      </c>
      <c r="Q1189" s="6">
        <v>28</v>
      </c>
      <c r="R1189">
        <v>1</v>
      </c>
      <c r="S1189" s="6">
        <v>3906</v>
      </c>
      <c r="T1189">
        <v>0</v>
      </c>
      <c r="U1189" s="6">
        <v>3318</v>
      </c>
      <c r="V1189">
        <v>0</v>
      </c>
      <c r="W1189">
        <v>0</v>
      </c>
      <c r="X1189">
        <v>0</v>
      </c>
      <c r="Y1189" s="6">
        <v>53.3</v>
      </c>
      <c r="Z1189">
        <v>0.06</v>
      </c>
      <c r="AA1189">
        <v>0.153</v>
      </c>
      <c r="AB1189">
        <v>3.6999999999999998E-2</v>
      </c>
      <c r="AC1189">
        <v>6</v>
      </c>
      <c r="AD1189" s="6">
        <v>50</v>
      </c>
      <c r="AE1189" s="6">
        <v>40</v>
      </c>
      <c r="AF1189" s="6">
        <v>0</v>
      </c>
      <c r="AG1189" s="6">
        <v>47.77</v>
      </c>
      <c r="AH1189" s="6">
        <v>59.36</v>
      </c>
      <c r="AI1189" s="6">
        <f t="shared" si="36"/>
        <v>11.589999999999996</v>
      </c>
      <c r="AJ1189" s="5">
        <f t="shared" si="37"/>
        <v>0.19524932614555249</v>
      </c>
    </row>
    <row r="1190" spans="1:36">
      <c r="A1190" t="s">
        <v>355</v>
      </c>
      <c r="B1190" t="s">
        <v>1475</v>
      </c>
      <c r="C1190" t="s">
        <v>86</v>
      </c>
      <c r="D1190" t="s">
        <v>54</v>
      </c>
      <c r="E1190" t="s">
        <v>55</v>
      </c>
      <c r="F1190">
        <v>1</v>
      </c>
      <c r="G1190">
        <v>8644</v>
      </c>
      <c r="H1190">
        <v>1</v>
      </c>
      <c r="I1190" t="s">
        <v>181</v>
      </c>
      <c r="J1190">
        <v>3</v>
      </c>
      <c r="K1190" s="6">
        <v>8.18</v>
      </c>
      <c r="L1190" t="s">
        <v>200</v>
      </c>
      <c r="M1190">
        <v>1</v>
      </c>
      <c r="N1190" t="s">
        <v>175</v>
      </c>
      <c r="O1190">
        <v>1</v>
      </c>
      <c r="P1190">
        <v>0</v>
      </c>
      <c r="Q1190" s="6">
        <v>40.299999999999997</v>
      </c>
      <c r="R1190">
        <v>0</v>
      </c>
      <c r="S1190" s="6">
        <v>0</v>
      </c>
      <c r="T1190">
        <v>0</v>
      </c>
      <c r="U1190" s="6">
        <v>3533</v>
      </c>
      <c r="V1190">
        <v>0</v>
      </c>
      <c r="W1190">
        <v>0</v>
      </c>
      <c r="X1190">
        <v>0</v>
      </c>
      <c r="Y1190" s="6">
        <v>53.3</v>
      </c>
      <c r="Z1190">
        <v>0.06</v>
      </c>
      <c r="AA1190">
        <v>0.153</v>
      </c>
      <c r="AB1190">
        <v>3.6999999999999998E-2</v>
      </c>
      <c r="AC1190">
        <v>6</v>
      </c>
      <c r="AD1190" s="6">
        <v>139</v>
      </c>
      <c r="AE1190" s="6">
        <v>0</v>
      </c>
      <c r="AF1190" s="6">
        <v>0</v>
      </c>
      <c r="AG1190" s="6">
        <v>108.28</v>
      </c>
      <c r="AH1190" s="6">
        <v>140.91</v>
      </c>
      <c r="AI1190" s="6">
        <f t="shared" si="36"/>
        <v>32.629999999999995</v>
      </c>
      <c r="AJ1190" s="5">
        <f t="shared" si="37"/>
        <v>0.23156624795969055</v>
      </c>
    </row>
    <row r="1191" spans="1:36">
      <c r="A1191" t="s">
        <v>215</v>
      </c>
      <c r="B1191" t="s">
        <v>1476</v>
      </c>
      <c r="C1191" t="s">
        <v>86</v>
      </c>
      <c r="D1191" t="s">
        <v>54</v>
      </c>
      <c r="E1191" t="s">
        <v>55</v>
      </c>
      <c r="F1191">
        <v>1</v>
      </c>
      <c r="G1191">
        <v>8644</v>
      </c>
      <c r="H1191">
        <v>1</v>
      </c>
      <c r="I1191" t="s">
        <v>220</v>
      </c>
      <c r="J1191">
        <v>2</v>
      </c>
      <c r="K1191" s="6">
        <v>4.9800000000000004</v>
      </c>
      <c r="L1191" t="s">
        <v>174</v>
      </c>
      <c r="M1191">
        <v>0</v>
      </c>
      <c r="N1191" t="s">
        <v>175</v>
      </c>
      <c r="O1191">
        <v>1</v>
      </c>
      <c r="P1191">
        <v>1</v>
      </c>
      <c r="Q1191" s="6">
        <v>24.2</v>
      </c>
      <c r="R1191">
        <v>1</v>
      </c>
      <c r="S1191" s="6">
        <v>838</v>
      </c>
      <c r="T1191">
        <v>0</v>
      </c>
      <c r="U1191" s="6">
        <v>5036</v>
      </c>
      <c r="V1191">
        <v>0</v>
      </c>
      <c r="W1191">
        <v>0</v>
      </c>
      <c r="X1191">
        <v>0</v>
      </c>
      <c r="Y1191" s="6">
        <v>53.3</v>
      </c>
      <c r="Z1191">
        <v>0.06</v>
      </c>
      <c r="AA1191">
        <v>0.153</v>
      </c>
      <c r="AB1191">
        <v>3.6999999999999998E-2</v>
      </c>
      <c r="AC1191">
        <v>6</v>
      </c>
      <c r="AD1191" s="6">
        <v>50</v>
      </c>
      <c r="AE1191" s="6">
        <v>25</v>
      </c>
      <c r="AF1191" s="6">
        <v>0</v>
      </c>
      <c r="AG1191" s="6">
        <v>82.78</v>
      </c>
      <c r="AH1191" s="6">
        <v>103.2</v>
      </c>
      <c r="AI1191" s="6">
        <f t="shared" si="36"/>
        <v>20.420000000000002</v>
      </c>
      <c r="AJ1191" s="5">
        <f t="shared" si="37"/>
        <v>0.19786821705426358</v>
      </c>
    </row>
    <row r="1192" spans="1:36">
      <c r="A1192" t="s">
        <v>528</v>
      </c>
      <c r="B1192" t="s">
        <v>1477</v>
      </c>
      <c r="C1192" t="s">
        <v>86</v>
      </c>
      <c r="D1192" t="s">
        <v>54</v>
      </c>
      <c r="E1192" t="s">
        <v>55</v>
      </c>
      <c r="F1192">
        <v>1</v>
      </c>
      <c r="G1192">
        <v>8644</v>
      </c>
      <c r="H1192">
        <v>1</v>
      </c>
      <c r="I1192" t="s">
        <v>181</v>
      </c>
      <c r="J1192">
        <v>3</v>
      </c>
      <c r="K1192" s="6">
        <v>7.79</v>
      </c>
      <c r="L1192" t="s">
        <v>174</v>
      </c>
      <c r="M1192">
        <v>0</v>
      </c>
      <c r="N1192" t="s">
        <v>175</v>
      </c>
      <c r="O1192">
        <v>1</v>
      </c>
      <c r="P1192">
        <v>1</v>
      </c>
      <c r="Q1192" s="6">
        <v>27.4</v>
      </c>
      <c r="R1192">
        <v>1</v>
      </c>
      <c r="S1192" s="6">
        <v>2057</v>
      </c>
      <c r="T1192">
        <v>0</v>
      </c>
      <c r="U1192" s="6">
        <v>10775</v>
      </c>
      <c r="V1192">
        <v>0</v>
      </c>
      <c r="W1192">
        <v>0</v>
      </c>
      <c r="X1192">
        <v>0</v>
      </c>
      <c r="Y1192" s="6">
        <v>53.3</v>
      </c>
      <c r="Z1192">
        <v>0.06</v>
      </c>
      <c r="AA1192">
        <v>0.153</v>
      </c>
      <c r="AB1192">
        <v>3.6999999999999998E-2</v>
      </c>
      <c r="AC1192">
        <v>6</v>
      </c>
      <c r="AD1192" s="6">
        <v>60</v>
      </c>
      <c r="AE1192" s="6">
        <v>40</v>
      </c>
      <c r="AF1192" s="6">
        <v>0</v>
      </c>
      <c r="AG1192" s="6">
        <v>97.94</v>
      </c>
      <c r="AH1192" s="6">
        <v>118.72</v>
      </c>
      <c r="AI1192" s="6">
        <f t="shared" si="36"/>
        <v>20.78</v>
      </c>
      <c r="AJ1192" s="5">
        <f t="shared" si="37"/>
        <v>0.17503369272237199</v>
      </c>
    </row>
    <row r="1193" spans="1:36">
      <c r="A1193" t="s">
        <v>401</v>
      </c>
      <c r="B1193" t="s">
        <v>1478</v>
      </c>
      <c r="C1193" t="s">
        <v>86</v>
      </c>
      <c r="D1193" t="s">
        <v>54</v>
      </c>
      <c r="E1193" t="s">
        <v>55</v>
      </c>
      <c r="F1193">
        <v>1</v>
      </c>
      <c r="G1193">
        <v>8644</v>
      </c>
      <c r="H1193">
        <v>1</v>
      </c>
      <c r="I1193" t="s">
        <v>173</v>
      </c>
      <c r="J1193">
        <v>1</v>
      </c>
      <c r="K1193" s="6">
        <v>1.42</v>
      </c>
      <c r="L1193" t="s">
        <v>174</v>
      </c>
      <c r="M1193">
        <v>0</v>
      </c>
      <c r="N1193" t="s">
        <v>175</v>
      </c>
      <c r="O1193">
        <v>1</v>
      </c>
      <c r="P1193">
        <v>0</v>
      </c>
      <c r="Q1193" s="6">
        <v>43.6</v>
      </c>
      <c r="R1193">
        <v>1</v>
      </c>
      <c r="S1193" s="6">
        <v>2915</v>
      </c>
      <c r="T1193">
        <v>0</v>
      </c>
      <c r="U1193" s="6">
        <v>4162</v>
      </c>
      <c r="V1193">
        <v>0</v>
      </c>
      <c r="W1193">
        <v>1</v>
      </c>
      <c r="X1193">
        <v>0</v>
      </c>
      <c r="Y1193" s="6">
        <v>53.3</v>
      </c>
      <c r="Z1193">
        <v>0.06</v>
      </c>
      <c r="AA1193">
        <v>0.153</v>
      </c>
      <c r="AB1193">
        <v>3.6999999999999998E-2</v>
      </c>
      <c r="AC1193">
        <v>6</v>
      </c>
      <c r="AD1193" s="6">
        <v>50</v>
      </c>
      <c r="AE1193" s="6">
        <v>40</v>
      </c>
      <c r="AF1193" s="6">
        <v>0</v>
      </c>
      <c r="AG1193" s="6">
        <v>70.02</v>
      </c>
      <c r="AH1193" s="6">
        <v>88.33</v>
      </c>
      <c r="AI1193" s="6">
        <f t="shared" si="36"/>
        <v>18.310000000000002</v>
      </c>
      <c r="AJ1193" s="5">
        <f t="shared" si="37"/>
        <v>0.20729084116381752</v>
      </c>
    </row>
    <row r="1194" spans="1:36">
      <c r="A1194" t="s">
        <v>384</v>
      </c>
      <c r="B1194" t="s">
        <v>1479</v>
      </c>
      <c r="C1194" t="s">
        <v>86</v>
      </c>
      <c r="D1194" t="s">
        <v>54</v>
      </c>
      <c r="E1194" t="s">
        <v>55</v>
      </c>
      <c r="F1194">
        <v>1</v>
      </c>
      <c r="G1194">
        <v>8644</v>
      </c>
      <c r="H1194">
        <v>1</v>
      </c>
      <c r="I1194" t="s">
        <v>181</v>
      </c>
      <c r="J1194">
        <v>3</v>
      </c>
      <c r="K1194" s="6">
        <v>12.67</v>
      </c>
      <c r="L1194" t="s">
        <v>174</v>
      </c>
      <c r="M1194">
        <v>0</v>
      </c>
      <c r="N1194" t="s">
        <v>182</v>
      </c>
      <c r="O1194">
        <v>3</v>
      </c>
      <c r="P1194">
        <v>0</v>
      </c>
      <c r="Q1194" s="6">
        <v>58.9</v>
      </c>
      <c r="R1194">
        <v>1</v>
      </c>
      <c r="S1194" s="6">
        <v>1427</v>
      </c>
      <c r="T1194">
        <v>0</v>
      </c>
      <c r="U1194" s="6">
        <v>2439</v>
      </c>
      <c r="V1194">
        <v>0</v>
      </c>
      <c r="W1194">
        <v>0</v>
      </c>
      <c r="X1194">
        <v>0</v>
      </c>
      <c r="Y1194" s="6">
        <v>53.3</v>
      </c>
      <c r="Z1194">
        <v>0.06</v>
      </c>
      <c r="AA1194">
        <v>0.153</v>
      </c>
      <c r="AB1194">
        <v>3.6999999999999998E-2</v>
      </c>
      <c r="AC1194">
        <v>6</v>
      </c>
      <c r="AD1194" s="6">
        <v>60</v>
      </c>
      <c r="AE1194" s="6">
        <v>25</v>
      </c>
      <c r="AF1194" s="6">
        <v>0</v>
      </c>
      <c r="AG1194" s="6">
        <v>113.43</v>
      </c>
      <c r="AH1194" s="6">
        <v>138.57</v>
      </c>
      <c r="AI1194" s="6">
        <f t="shared" si="36"/>
        <v>25.139999999999986</v>
      </c>
      <c r="AJ1194" s="5">
        <f t="shared" si="37"/>
        <v>0.18142455076856454</v>
      </c>
    </row>
    <row r="1195" spans="1:36">
      <c r="A1195" t="s">
        <v>251</v>
      </c>
      <c r="B1195" t="s">
        <v>1480</v>
      </c>
      <c r="C1195" t="s">
        <v>86</v>
      </c>
      <c r="D1195" t="s">
        <v>54</v>
      </c>
      <c r="E1195" t="s">
        <v>55</v>
      </c>
      <c r="F1195">
        <v>1</v>
      </c>
      <c r="G1195">
        <v>8644</v>
      </c>
      <c r="H1195">
        <v>1</v>
      </c>
      <c r="I1195" t="s">
        <v>181</v>
      </c>
      <c r="J1195">
        <v>3</v>
      </c>
      <c r="K1195" s="6">
        <v>8.32</v>
      </c>
      <c r="L1195" t="s">
        <v>174</v>
      </c>
      <c r="M1195">
        <v>0</v>
      </c>
      <c r="N1195" t="s">
        <v>182</v>
      </c>
      <c r="O1195">
        <v>3</v>
      </c>
      <c r="P1195">
        <v>1</v>
      </c>
      <c r="Q1195" s="6">
        <v>98.4</v>
      </c>
      <c r="R1195">
        <v>0</v>
      </c>
      <c r="S1195" s="6">
        <v>0</v>
      </c>
      <c r="T1195">
        <v>0</v>
      </c>
      <c r="U1195" s="6">
        <v>2193</v>
      </c>
      <c r="V1195">
        <v>0</v>
      </c>
      <c r="W1195">
        <v>0</v>
      </c>
      <c r="X1195">
        <v>0</v>
      </c>
      <c r="Y1195" s="6">
        <v>53.3</v>
      </c>
      <c r="Z1195">
        <v>0.06</v>
      </c>
      <c r="AA1195">
        <v>0.153</v>
      </c>
      <c r="AB1195">
        <v>3.6999999999999998E-2</v>
      </c>
      <c r="AC1195">
        <v>6</v>
      </c>
      <c r="AD1195" s="6">
        <v>60</v>
      </c>
      <c r="AE1195" s="6">
        <v>0</v>
      </c>
      <c r="AF1195" s="6">
        <v>0</v>
      </c>
      <c r="AG1195" s="6">
        <v>117.74</v>
      </c>
      <c r="AH1195" s="6">
        <v>144.62</v>
      </c>
      <c r="AI1195" s="6">
        <f t="shared" si="36"/>
        <v>26.88000000000001</v>
      </c>
      <c r="AJ1195" s="5">
        <f t="shared" si="37"/>
        <v>0.18586640851887712</v>
      </c>
    </row>
    <row r="1196" spans="1:36">
      <c r="A1196" t="s">
        <v>381</v>
      </c>
      <c r="B1196" t="s">
        <v>1481</v>
      </c>
      <c r="C1196" t="s">
        <v>86</v>
      </c>
      <c r="D1196" t="s">
        <v>54</v>
      </c>
      <c r="E1196" t="s">
        <v>55</v>
      </c>
      <c r="F1196">
        <v>1</v>
      </c>
      <c r="G1196">
        <v>8644</v>
      </c>
      <c r="H1196">
        <v>1</v>
      </c>
      <c r="I1196" t="s">
        <v>181</v>
      </c>
      <c r="J1196">
        <v>3</v>
      </c>
      <c r="K1196" s="6">
        <v>12.23</v>
      </c>
      <c r="L1196" t="s">
        <v>174</v>
      </c>
      <c r="M1196">
        <v>0</v>
      </c>
      <c r="N1196" t="s">
        <v>182</v>
      </c>
      <c r="O1196">
        <v>3</v>
      </c>
      <c r="P1196">
        <v>0</v>
      </c>
      <c r="Q1196" s="6">
        <v>63</v>
      </c>
      <c r="R1196">
        <v>0</v>
      </c>
      <c r="S1196" s="6">
        <v>0</v>
      </c>
      <c r="T1196">
        <v>0</v>
      </c>
      <c r="U1196" s="6">
        <v>8834</v>
      </c>
      <c r="V1196">
        <v>0</v>
      </c>
      <c r="W1196">
        <v>0</v>
      </c>
      <c r="X1196">
        <v>0</v>
      </c>
      <c r="Y1196" s="6">
        <v>53.3</v>
      </c>
      <c r="Z1196">
        <v>0.06</v>
      </c>
      <c r="AA1196">
        <v>0.153</v>
      </c>
      <c r="AB1196">
        <v>3.6999999999999998E-2</v>
      </c>
      <c r="AC1196">
        <v>6</v>
      </c>
      <c r="AD1196" s="6">
        <v>60</v>
      </c>
      <c r="AE1196" s="6">
        <v>0</v>
      </c>
      <c r="AF1196" s="6">
        <v>0</v>
      </c>
      <c r="AG1196" s="6">
        <v>107.84</v>
      </c>
      <c r="AH1196" s="6">
        <v>132.53</v>
      </c>
      <c r="AI1196" s="6">
        <f t="shared" si="36"/>
        <v>24.689999999999998</v>
      </c>
      <c r="AJ1196" s="5">
        <f t="shared" si="37"/>
        <v>0.1862974420885837</v>
      </c>
    </row>
    <row r="1197" spans="1:36">
      <c r="A1197" t="s">
        <v>521</v>
      </c>
      <c r="B1197" t="s">
        <v>1482</v>
      </c>
      <c r="C1197" t="s">
        <v>86</v>
      </c>
      <c r="D1197" t="s">
        <v>54</v>
      </c>
      <c r="E1197" t="s">
        <v>55</v>
      </c>
      <c r="F1197">
        <v>1</v>
      </c>
      <c r="G1197">
        <v>8644</v>
      </c>
      <c r="H1197">
        <v>1</v>
      </c>
      <c r="I1197" t="s">
        <v>173</v>
      </c>
      <c r="J1197">
        <v>1</v>
      </c>
      <c r="K1197" s="6">
        <v>2.0699999999999998</v>
      </c>
      <c r="L1197" t="s">
        <v>174</v>
      </c>
      <c r="M1197">
        <v>0</v>
      </c>
      <c r="N1197" t="s">
        <v>182</v>
      </c>
      <c r="O1197">
        <v>3</v>
      </c>
      <c r="P1197">
        <v>0</v>
      </c>
      <c r="Q1197" s="6">
        <v>70.599999999999994</v>
      </c>
      <c r="R1197">
        <v>1</v>
      </c>
      <c r="S1197" s="6">
        <v>1207</v>
      </c>
      <c r="T1197">
        <v>0</v>
      </c>
      <c r="U1197" s="6">
        <v>4342</v>
      </c>
      <c r="V1197">
        <v>0</v>
      </c>
      <c r="W1197">
        <v>0</v>
      </c>
      <c r="X1197">
        <v>0</v>
      </c>
      <c r="Y1197" s="6">
        <v>53.3</v>
      </c>
      <c r="Z1197">
        <v>0.06</v>
      </c>
      <c r="AA1197">
        <v>0.153</v>
      </c>
      <c r="AB1197">
        <v>3.6999999999999998E-2</v>
      </c>
      <c r="AC1197">
        <v>6</v>
      </c>
      <c r="AD1197" s="6">
        <v>50</v>
      </c>
      <c r="AE1197" s="6">
        <v>25</v>
      </c>
      <c r="AF1197" s="6">
        <v>0</v>
      </c>
      <c r="AG1197" s="6">
        <v>60.02</v>
      </c>
      <c r="AH1197" s="6">
        <v>74.53</v>
      </c>
      <c r="AI1197" s="6">
        <f t="shared" si="36"/>
        <v>14.509999999999998</v>
      </c>
      <c r="AJ1197" s="5">
        <f t="shared" si="37"/>
        <v>0.19468670334093652</v>
      </c>
    </row>
    <row r="1198" spans="1:36">
      <c r="A1198" t="s">
        <v>693</v>
      </c>
      <c r="B1198" t="s">
        <v>1483</v>
      </c>
      <c r="C1198" t="s">
        <v>86</v>
      </c>
      <c r="D1198" t="s">
        <v>54</v>
      </c>
      <c r="E1198" t="s">
        <v>55</v>
      </c>
      <c r="F1198">
        <v>1</v>
      </c>
      <c r="G1198">
        <v>8644</v>
      </c>
      <c r="H1198">
        <v>1</v>
      </c>
      <c r="I1198" t="s">
        <v>173</v>
      </c>
      <c r="J1198">
        <v>1</v>
      </c>
      <c r="K1198" s="6">
        <v>2.83</v>
      </c>
      <c r="L1198" t="s">
        <v>174</v>
      </c>
      <c r="M1198">
        <v>0</v>
      </c>
      <c r="N1198" t="s">
        <v>217</v>
      </c>
      <c r="O1198">
        <v>4</v>
      </c>
      <c r="P1198">
        <v>1</v>
      </c>
      <c r="Q1198" s="6">
        <v>181.7</v>
      </c>
      <c r="R1198">
        <v>1</v>
      </c>
      <c r="S1198" s="6">
        <v>1835</v>
      </c>
      <c r="T1198">
        <v>0</v>
      </c>
      <c r="U1198" s="6">
        <v>1305</v>
      </c>
      <c r="V1198">
        <v>0</v>
      </c>
      <c r="W1198">
        <v>0</v>
      </c>
      <c r="X1198">
        <v>0</v>
      </c>
      <c r="Y1198" s="6">
        <v>53.3</v>
      </c>
      <c r="Z1198">
        <v>0.06</v>
      </c>
      <c r="AA1198">
        <v>0.153</v>
      </c>
      <c r="AB1198">
        <v>3.6999999999999998E-2</v>
      </c>
      <c r="AC1198">
        <v>6</v>
      </c>
      <c r="AD1198" s="6">
        <v>50</v>
      </c>
      <c r="AE1198" s="6">
        <v>25</v>
      </c>
      <c r="AF1198" s="6">
        <v>0</v>
      </c>
      <c r="AG1198" s="6">
        <v>96.35</v>
      </c>
      <c r="AH1198" s="6">
        <v>116.1</v>
      </c>
      <c r="AI1198" s="6">
        <f t="shared" si="36"/>
        <v>19.75</v>
      </c>
      <c r="AJ1198" s="5">
        <f t="shared" si="37"/>
        <v>0.17011197243755385</v>
      </c>
    </row>
    <row r="1199" spans="1:36">
      <c r="A1199" t="s">
        <v>251</v>
      </c>
      <c r="B1199" t="s">
        <v>1484</v>
      </c>
      <c r="C1199" t="s">
        <v>86</v>
      </c>
      <c r="D1199" t="s">
        <v>54</v>
      </c>
      <c r="E1199" t="s">
        <v>55</v>
      </c>
      <c r="F1199">
        <v>1</v>
      </c>
      <c r="G1199">
        <v>8644</v>
      </c>
      <c r="H1199">
        <v>1</v>
      </c>
      <c r="I1199" t="s">
        <v>173</v>
      </c>
      <c r="J1199">
        <v>1</v>
      </c>
      <c r="K1199" s="6">
        <v>1.19</v>
      </c>
      <c r="L1199" t="s">
        <v>174</v>
      </c>
      <c r="M1199">
        <v>0</v>
      </c>
      <c r="N1199" t="s">
        <v>187</v>
      </c>
      <c r="O1199">
        <v>2</v>
      </c>
      <c r="P1199">
        <v>0</v>
      </c>
      <c r="Q1199" s="6">
        <v>57.7</v>
      </c>
      <c r="R1199">
        <v>0</v>
      </c>
      <c r="S1199" s="6">
        <v>0</v>
      </c>
      <c r="T1199">
        <v>0</v>
      </c>
      <c r="U1199" s="6">
        <v>1464</v>
      </c>
      <c r="V1199">
        <v>0</v>
      </c>
      <c r="W1199">
        <v>0</v>
      </c>
      <c r="X1199">
        <v>0</v>
      </c>
      <c r="Y1199" s="6">
        <v>53.3</v>
      </c>
      <c r="Z1199">
        <v>0.06</v>
      </c>
      <c r="AA1199">
        <v>0.153</v>
      </c>
      <c r="AB1199">
        <v>3.6999999999999998E-2</v>
      </c>
      <c r="AC1199">
        <v>6</v>
      </c>
      <c r="AD1199" s="6">
        <v>50</v>
      </c>
      <c r="AE1199" s="6">
        <v>0</v>
      </c>
      <c r="AF1199" s="6">
        <v>0</v>
      </c>
      <c r="AG1199" s="6">
        <v>44.81</v>
      </c>
      <c r="AH1199" s="6">
        <v>54.17</v>
      </c>
      <c r="AI1199" s="6">
        <f t="shared" si="36"/>
        <v>9.36</v>
      </c>
      <c r="AJ1199" s="5">
        <f t="shared" si="37"/>
        <v>0.1727893668081964</v>
      </c>
    </row>
    <row r="1200" spans="1:36">
      <c r="A1200" t="s">
        <v>381</v>
      </c>
      <c r="B1200" t="s">
        <v>1485</v>
      </c>
      <c r="C1200" t="s">
        <v>86</v>
      </c>
      <c r="D1200" t="s">
        <v>54</v>
      </c>
      <c r="E1200" t="s">
        <v>55</v>
      </c>
      <c r="F1200">
        <v>1</v>
      </c>
      <c r="G1200">
        <v>8644</v>
      </c>
      <c r="H1200">
        <v>1</v>
      </c>
      <c r="I1200" t="s">
        <v>220</v>
      </c>
      <c r="J1200">
        <v>2</v>
      </c>
      <c r="K1200" s="6">
        <v>3.23</v>
      </c>
      <c r="L1200" t="s">
        <v>174</v>
      </c>
      <c r="M1200">
        <v>0</v>
      </c>
      <c r="N1200" t="s">
        <v>175</v>
      </c>
      <c r="O1200">
        <v>1</v>
      </c>
      <c r="P1200">
        <v>0</v>
      </c>
      <c r="Q1200" s="6">
        <v>36</v>
      </c>
      <c r="R1200">
        <v>1</v>
      </c>
      <c r="S1200" s="6">
        <v>758</v>
      </c>
      <c r="T1200">
        <v>0</v>
      </c>
      <c r="U1200" s="6">
        <v>1625</v>
      </c>
      <c r="V1200">
        <v>0</v>
      </c>
      <c r="W1200">
        <v>0</v>
      </c>
      <c r="X1200">
        <v>0</v>
      </c>
      <c r="Y1200" s="6">
        <v>53.3</v>
      </c>
      <c r="Z1200">
        <v>0.06</v>
      </c>
      <c r="AA1200">
        <v>0.153</v>
      </c>
      <c r="AB1200">
        <v>3.6999999999999998E-2</v>
      </c>
      <c r="AC1200">
        <v>6</v>
      </c>
      <c r="AD1200" s="6">
        <v>50</v>
      </c>
      <c r="AE1200" s="6">
        <v>25</v>
      </c>
      <c r="AF1200" s="6">
        <v>0</v>
      </c>
      <c r="AG1200" s="6">
        <v>57.61</v>
      </c>
      <c r="AH1200" s="6">
        <v>71.900000000000006</v>
      </c>
      <c r="AI1200" s="6">
        <f t="shared" si="36"/>
        <v>14.290000000000006</v>
      </c>
      <c r="AJ1200" s="5">
        <f t="shared" si="37"/>
        <v>0.19874826147426988</v>
      </c>
    </row>
    <row r="1201" spans="1:36">
      <c r="A1201" t="s">
        <v>391</v>
      </c>
      <c r="B1201" t="s">
        <v>1486</v>
      </c>
      <c r="C1201" t="s">
        <v>86</v>
      </c>
      <c r="D1201" t="s">
        <v>54</v>
      </c>
      <c r="E1201" t="s">
        <v>55</v>
      </c>
      <c r="F1201">
        <v>1</v>
      </c>
      <c r="G1201">
        <v>8644</v>
      </c>
      <c r="H1201">
        <v>1</v>
      </c>
      <c r="I1201" t="s">
        <v>173</v>
      </c>
      <c r="J1201">
        <v>1</v>
      </c>
      <c r="K1201" s="6">
        <v>2.4700000000000002</v>
      </c>
      <c r="L1201" t="s">
        <v>174</v>
      </c>
      <c r="M1201">
        <v>0</v>
      </c>
      <c r="N1201" t="s">
        <v>272</v>
      </c>
      <c r="O1201">
        <v>5</v>
      </c>
      <c r="P1201">
        <v>1</v>
      </c>
      <c r="Q1201" s="6">
        <v>261.5</v>
      </c>
      <c r="R1201">
        <v>0</v>
      </c>
      <c r="S1201" s="6">
        <v>0</v>
      </c>
      <c r="T1201">
        <v>0</v>
      </c>
      <c r="U1201" s="6">
        <v>4600</v>
      </c>
      <c r="V1201">
        <v>0</v>
      </c>
      <c r="W1201">
        <v>0</v>
      </c>
      <c r="X1201">
        <v>0</v>
      </c>
      <c r="Y1201" s="6">
        <v>53.3</v>
      </c>
      <c r="Z1201">
        <v>0.06</v>
      </c>
      <c r="AA1201">
        <v>0.153</v>
      </c>
      <c r="AB1201">
        <v>3.6999999999999998E-2</v>
      </c>
      <c r="AC1201">
        <v>6</v>
      </c>
      <c r="AD1201" s="6">
        <v>50</v>
      </c>
      <c r="AE1201" s="6">
        <v>0</v>
      </c>
      <c r="AF1201" s="6">
        <v>0</v>
      </c>
      <c r="AG1201" s="6">
        <v>136.22</v>
      </c>
      <c r="AH1201" s="6">
        <v>165.4</v>
      </c>
      <c r="AI1201" s="6">
        <f t="shared" si="36"/>
        <v>29.180000000000007</v>
      </c>
      <c r="AJ1201" s="5">
        <f t="shared" si="37"/>
        <v>0.17642079806529629</v>
      </c>
    </row>
    <row r="1202" spans="1:36">
      <c r="A1202" t="s">
        <v>258</v>
      </c>
      <c r="B1202" t="s">
        <v>1487</v>
      </c>
      <c r="C1202" t="s">
        <v>86</v>
      </c>
      <c r="D1202" t="s">
        <v>54</v>
      </c>
      <c r="E1202" t="s">
        <v>55</v>
      </c>
      <c r="F1202">
        <v>1</v>
      </c>
      <c r="G1202">
        <v>8644</v>
      </c>
      <c r="H1202">
        <v>1</v>
      </c>
      <c r="I1202" t="s">
        <v>220</v>
      </c>
      <c r="J1202">
        <v>2</v>
      </c>
      <c r="K1202" s="6">
        <v>3.16</v>
      </c>
      <c r="L1202" t="s">
        <v>174</v>
      </c>
      <c r="M1202">
        <v>0</v>
      </c>
      <c r="N1202" t="s">
        <v>182</v>
      </c>
      <c r="O1202">
        <v>3</v>
      </c>
      <c r="P1202">
        <v>0</v>
      </c>
      <c r="Q1202" s="6">
        <v>84.1</v>
      </c>
      <c r="R1202">
        <v>1</v>
      </c>
      <c r="S1202" s="6">
        <v>1708</v>
      </c>
      <c r="T1202">
        <v>0</v>
      </c>
      <c r="U1202" s="6">
        <v>4024</v>
      </c>
      <c r="V1202">
        <v>0</v>
      </c>
      <c r="W1202">
        <v>0</v>
      </c>
      <c r="X1202">
        <v>0</v>
      </c>
      <c r="Y1202" s="6">
        <v>53.3</v>
      </c>
      <c r="Z1202">
        <v>0.06</v>
      </c>
      <c r="AA1202">
        <v>0.153</v>
      </c>
      <c r="AB1202">
        <v>3.6999999999999998E-2</v>
      </c>
      <c r="AC1202">
        <v>6</v>
      </c>
      <c r="AD1202" s="6">
        <v>50</v>
      </c>
      <c r="AE1202" s="6">
        <v>25</v>
      </c>
      <c r="AF1202" s="6">
        <v>0</v>
      </c>
      <c r="AG1202" s="6">
        <v>68.59</v>
      </c>
      <c r="AH1202" s="6">
        <v>81.680000000000007</v>
      </c>
      <c r="AI1202" s="6">
        <f t="shared" si="36"/>
        <v>13.090000000000003</v>
      </c>
      <c r="AJ1202" s="5">
        <f t="shared" si="37"/>
        <v>0.16025954946131246</v>
      </c>
    </row>
    <row r="1203" spans="1:36">
      <c r="A1203" t="s">
        <v>240</v>
      </c>
      <c r="B1203" t="s">
        <v>1488</v>
      </c>
      <c r="C1203" t="s">
        <v>86</v>
      </c>
      <c r="D1203" t="s">
        <v>54</v>
      </c>
      <c r="E1203" t="s">
        <v>55</v>
      </c>
      <c r="F1203">
        <v>1</v>
      </c>
      <c r="G1203">
        <v>8644</v>
      </c>
      <c r="H1203">
        <v>1</v>
      </c>
      <c r="I1203" t="s">
        <v>173</v>
      </c>
      <c r="J1203">
        <v>1</v>
      </c>
      <c r="K1203" s="6">
        <v>1.77</v>
      </c>
      <c r="L1203" t="s">
        <v>174</v>
      </c>
      <c r="M1203">
        <v>0</v>
      </c>
      <c r="N1203" t="s">
        <v>175</v>
      </c>
      <c r="O1203">
        <v>1</v>
      </c>
      <c r="P1203">
        <v>0</v>
      </c>
      <c r="Q1203" s="6">
        <v>33</v>
      </c>
      <c r="R1203">
        <v>0</v>
      </c>
      <c r="S1203" s="6">
        <v>0</v>
      </c>
      <c r="T1203">
        <v>0</v>
      </c>
      <c r="U1203" s="6">
        <v>6476</v>
      </c>
      <c r="V1203">
        <v>0</v>
      </c>
      <c r="W1203">
        <v>0</v>
      </c>
      <c r="X1203">
        <v>0</v>
      </c>
      <c r="Y1203" s="6">
        <v>53.3</v>
      </c>
      <c r="Z1203">
        <v>0.06</v>
      </c>
      <c r="AA1203">
        <v>0.153</v>
      </c>
      <c r="AB1203">
        <v>3.6999999999999998E-2</v>
      </c>
      <c r="AC1203">
        <v>6</v>
      </c>
      <c r="AD1203" s="6">
        <v>50</v>
      </c>
      <c r="AE1203" s="6">
        <v>0</v>
      </c>
      <c r="AF1203" s="6">
        <v>0</v>
      </c>
      <c r="AG1203" s="6">
        <v>52.43</v>
      </c>
      <c r="AH1203" s="6">
        <v>63.01</v>
      </c>
      <c r="AI1203" s="6">
        <f t="shared" si="36"/>
        <v>10.579999999999998</v>
      </c>
      <c r="AJ1203" s="5">
        <f t="shared" si="37"/>
        <v>0.16790985557847959</v>
      </c>
    </row>
    <row r="1204" spans="1:36">
      <c r="A1204" t="s">
        <v>179</v>
      </c>
      <c r="B1204" t="s">
        <v>1489</v>
      </c>
      <c r="C1204" t="s">
        <v>86</v>
      </c>
      <c r="D1204" t="s">
        <v>54</v>
      </c>
      <c r="E1204" t="s">
        <v>55</v>
      </c>
      <c r="F1204">
        <v>1</v>
      </c>
      <c r="G1204">
        <v>8644</v>
      </c>
      <c r="H1204">
        <v>1</v>
      </c>
      <c r="I1204" t="s">
        <v>173</v>
      </c>
      <c r="J1204">
        <v>1</v>
      </c>
      <c r="K1204" s="6">
        <v>1.36</v>
      </c>
      <c r="L1204" t="s">
        <v>174</v>
      </c>
      <c r="M1204">
        <v>0</v>
      </c>
      <c r="N1204" t="s">
        <v>187</v>
      </c>
      <c r="O1204">
        <v>2</v>
      </c>
      <c r="P1204">
        <v>0</v>
      </c>
      <c r="Q1204" s="6">
        <v>53.1</v>
      </c>
      <c r="R1204">
        <v>1</v>
      </c>
      <c r="S1204" s="6">
        <v>1056</v>
      </c>
      <c r="T1204">
        <v>0</v>
      </c>
      <c r="U1204" s="6">
        <v>2450</v>
      </c>
      <c r="V1204">
        <v>0</v>
      </c>
      <c r="W1204">
        <v>0</v>
      </c>
      <c r="X1204">
        <v>0</v>
      </c>
      <c r="Y1204" s="6">
        <v>53.3</v>
      </c>
      <c r="Z1204">
        <v>0.06</v>
      </c>
      <c r="AA1204">
        <v>0.153</v>
      </c>
      <c r="AB1204">
        <v>3.6999999999999998E-2</v>
      </c>
      <c r="AC1204">
        <v>6</v>
      </c>
      <c r="AD1204" s="6">
        <v>50</v>
      </c>
      <c r="AE1204" s="6">
        <v>25</v>
      </c>
      <c r="AF1204" s="6">
        <v>0</v>
      </c>
      <c r="AG1204" s="6">
        <v>50.33</v>
      </c>
      <c r="AH1204" s="6">
        <v>63.79</v>
      </c>
      <c r="AI1204" s="6">
        <f t="shared" si="36"/>
        <v>13.46</v>
      </c>
      <c r="AJ1204" s="5">
        <f t="shared" si="37"/>
        <v>0.21100485969587712</v>
      </c>
    </row>
    <row r="1205" spans="1:36">
      <c r="A1205" t="s">
        <v>372</v>
      </c>
      <c r="B1205" t="s">
        <v>1490</v>
      </c>
      <c r="C1205" t="s">
        <v>86</v>
      </c>
      <c r="D1205" t="s">
        <v>54</v>
      </c>
      <c r="E1205" t="s">
        <v>55</v>
      </c>
      <c r="F1205">
        <v>1</v>
      </c>
      <c r="G1205">
        <v>8644</v>
      </c>
      <c r="H1205">
        <v>1</v>
      </c>
      <c r="I1205" t="s">
        <v>181</v>
      </c>
      <c r="J1205">
        <v>3</v>
      </c>
      <c r="K1205" s="6">
        <v>11.72</v>
      </c>
      <c r="L1205" t="s">
        <v>174</v>
      </c>
      <c r="M1205">
        <v>0</v>
      </c>
      <c r="N1205" t="s">
        <v>187</v>
      </c>
      <c r="O1205">
        <v>2</v>
      </c>
      <c r="P1205">
        <v>0</v>
      </c>
      <c r="Q1205" s="6">
        <v>47.5</v>
      </c>
      <c r="R1205">
        <v>1</v>
      </c>
      <c r="S1205" s="6">
        <v>1423</v>
      </c>
      <c r="T1205">
        <v>0</v>
      </c>
      <c r="U1205" s="6">
        <v>5490</v>
      </c>
      <c r="V1205">
        <v>0</v>
      </c>
      <c r="W1205">
        <v>0</v>
      </c>
      <c r="X1205">
        <v>0</v>
      </c>
      <c r="Y1205" s="6">
        <v>53.3</v>
      </c>
      <c r="Z1205">
        <v>0.06</v>
      </c>
      <c r="AA1205">
        <v>0.153</v>
      </c>
      <c r="AB1205">
        <v>3.6999999999999998E-2</v>
      </c>
      <c r="AC1205">
        <v>6</v>
      </c>
      <c r="AD1205" s="6">
        <v>60</v>
      </c>
      <c r="AE1205" s="6">
        <v>25</v>
      </c>
      <c r="AF1205" s="6">
        <v>0</v>
      </c>
      <c r="AG1205" s="6">
        <v>103.59</v>
      </c>
      <c r="AH1205" s="6">
        <v>125.7</v>
      </c>
      <c r="AI1205" s="6">
        <f t="shared" si="36"/>
        <v>22.11</v>
      </c>
      <c r="AJ1205" s="5">
        <f t="shared" si="37"/>
        <v>0.17589498806682577</v>
      </c>
    </row>
    <row r="1206" spans="1:36">
      <c r="A1206" t="s">
        <v>436</v>
      </c>
      <c r="B1206" t="s">
        <v>1491</v>
      </c>
      <c r="C1206" t="s">
        <v>86</v>
      </c>
      <c r="D1206" t="s">
        <v>54</v>
      </c>
      <c r="E1206" t="s">
        <v>55</v>
      </c>
      <c r="F1206">
        <v>1</v>
      </c>
      <c r="G1206">
        <v>8644</v>
      </c>
      <c r="H1206">
        <v>1</v>
      </c>
      <c r="I1206" t="s">
        <v>220</v>
      </c>
      <c r="J1206">
        <v>2</v>
      </c>
      <c r="K1206" s="6">
        <v>2.94</v>
      </c>
      <c r="L1206" t="s">
        <v>174</v>
      </c>
      <c r="M1206">
        <v>0</v>
      </c>
      <c r="N1206" t="s">
        <v>182</v>
      </c>
      <c r="O1206">
        <v>3</v>
      </c>
      <c r="P1206">
        <v>1</v>
      </c>
      <c r="Q1206" s="6">
        <v>69.900000000000006</v>
      </c>
      <c r="R1206">
        <v>0</v>
      </c>
      <c r="S1206" s="6">
        <v>0</v>
      </c>
      <c r="T1206">
        <v>0</v>
      </c>
      <c r="U1206" s="6">
        <v>6126</v>
      </c>
      <c r="V1206">
        <v>0</v>
      </c>
      <c r="W1206">
        <v>0</v>
      </c>
      <c r="X1206">
        <v>0</v>
      </c>
      <c r="Y1206" s="6">
        <v>53.3</v>
      </c>
      <c r="Z1206">
        <v>0.06</v>
      </c>
      <c r="AA1206">
        <v>0.153</v>
      </c>
      <c r="AB1206">
        <v>3.6999999999999998E-2</v>
      </c>
      <c r="AC1206">
        <v>6</v>
      </c>
      <c r="AD1206" s="6">
        <v>50</v>
      </c>
      <c r="AE1206" s="6">
        <v>0</v>
      </c>
      <c r="AF1206" s="6">
        <v>0</v>
      </c>
      <c r="AG1206" s="6">
        <v>88.22</v>
      </c>
      <c r="AH1206" s="6">
        <v>109.74</v>
      </c>
      <c r="AI1206" s="6">
        <f t="shared" si="36"/>
        <v>21.519999999999996</v>
      </c>
      <c r="AJ1206" s="5">
        <f t="shared" si="37"/>
        <v>0.19609987242573351</v>
      </c>
    </row>
    <row r="1207" spans="1:36">
      <c r="A1207" t="s">
        <v>345</v>
      </c>
      <c r="B1207" t="s">
        <v>1492</v>
      </c>
      <c r="C1207" t="s">
        <v>86</v>
      </c>
      <c r="D1207" t="s">
        <v>54</v>
      </c>
      <c r="E1207" t="s">
        <v>55</v>
      </c>
      <c r="F1207">
        <v>1</v>
      </c>
      <c r="G1207">
        <v>8644</v>
      </c>
      <c r="H1207">
        <v>1</v>
      </c>
      <c r="I1207" t="s">
        <v>173</v>
      </c>
      <c r="J1207">
        <v>1</v>
      </c>
      <c r="K1207" s="6">
        <v>0.35</v>
      </c>
      <c r="L1207" t="s">
        <v>174</v>
      </c>
      <c r="M1207">
        <v>0</v>
      </c>
      <c r="N1207" t="s">
        <v>187</v>
      </c>
      <c r="O1207">
        <v>2</v>
      </c>
      <c r="P1207">
        <v>0</v>
      </c>
      <c r="Q1207" s="6">
        <v>46.7</v>
      </c>
      <c r="R1207">
        <v>0</v>
      </c>
      <c r="S1207" s="6">
        <v>0</v>
      </c>
      <c r="T1207">
        <v>0</v>
      </c>
      <c r="U1207" s="6">
        <v>10000</v>
      </c>
      <c r="V1207">
        <v>0</v>
      </c>
      <c r="W1207">
        <v>0</v>
      </c>
      <c r="X1207">
        <v>0</v>
      </c>
      <c r="Y1207" s="6">
        <v>53.3</v>
      </c>
      <c r="Z1207">
        <v>0.06</v>
      </c>
      <c r="AA1207">
        <v>0.153</v>
      </c>
      <c r="AB1207">
        <v>3.6999999999999998E-2</v>
      </c>
      <c r="AC1207">
        <v>6</v>
      </c>
      <c r="AD1207" s="6">
        <v>50</v>
      </c>
      <c r="AE1207" s="6">
        <v>0</v>
      </c>
      <c r="AF1207" s="6">
        <v>0</v>
      </c>
      <c r="AG1207" s="6">
        <v>45.28</v>
      </c>
      <c r="AH1207" s="6">
        <v>57.31</v>
      </c>
      <c r="AI1207" s="6">
        <f t="shared" si="36"/>
        <v>12.030000000000001</v>
      </c>
      <c r="AJ1207" s="5">
        <f t="shared" si="37"/>
        <v>0.20991101029488746</v>
      </c>
    </row>
    <row r="1208" spans="1:36">
      <c r="A1208" t="s">
        <v>316</v>
      </c>
      <c r="B1208" t="s">
        <v>1493</v>
      </c>
      <c r="C1208" t="s">
        <v>86</v>
      </c>
      <c r="D1208" t="s">
        <v>54</v>
      </c>
      <c r="E1208" t="s">
        <v>55</v>
      </c>
      <c r="F1208">
        <v>1</v>
      </c>
      <c r="G1208">
        <v>8644</v>
      </c>
      <c r="H1208">
        <v>1</v>
      </c>
      <c r="I1208" t="s">
        <v>220</v>
      </c>
      <c r="J1208">
        <v>2</v>
      </c>
      <c r="K1208" s="6">
        <v>3.44</v>
      </c>
      <c r="L1208" t="s">
        <v>174</v>
      </c>
      <c r="M1208">
        <v>0</v>
      </c>
      <c r="N1208" t="s">
        <v>175</v>
      </c>
      <c r="O1208">
        <v>1</v>
      </c>
      <c r="P1208">
        <v>1</v>
      </c>
      <c r="Q1208" s="6">
        <v>33.9</v>
      </c>
      <c r="R1208">
        <v>1</v>
      </c>
      <c r="S1208" s="6">
        <v>2608</v>
      </c>
      <c r="T1208">
        <v>0</v>
      </c>
      <c r="U1208" s="6">
        <v>1701</v>
      </c>
      <c r="V1208">
        <v>0</v>
      </c>
      <c r="W1208">
        <v>0</v>
      </c>
      <c r="X1208">
        <v>0</v>
      </c>
      <c r="Y1208" s="6">
        <v>53.3</v>
      </c>
      <c r="Z1208">
        <v>0.06</v>
      </c>
      <c r="AA1208">
        <v>0.153</v>
      </c>
      <c r="AB1208">
        <v>3.6999999999999998E-2</v>
      </c>
      <c r="AC1208">
        <v>6</v>
      </c>
      <c r="AD1208" s="6">
        <v>50</v>
      </c>
      <c r="AE1208" s="6">
        <v>40</v>
      </c>
      <c r="AF1208" s="6">
        <v>0</v>
      </c>
      <c r="AG1208" s="6">
        <v>75.92</v>
      </c>
      <c r="AH1208" s="6">
        <v>92.84</v>
      </c>
      <c r="AI1208" s="6">
        <f t="shared" si="36"/>
        <v>16.920000000000002</v>
      </c>
      <c r="AJ1208" s="5">
        <f t="shared" si="37"/>
        <v>0.18224903059026282</v>
      </c>
    </row>
    <row r="1209" spans="1:36">
      <c r="A1209" t="s">
        <v>434</v>
      </c>
      <c r="B1209" t="s">
        <v>1494</v>
      </c>
      <c r="C1209" t="s">
        <v>86</v>
      </c>
      <c r="D1209" t="s">
        <v>54</v>
      </c>
      <c r="E1209" t="s">
        <v>55</v>
      </c>
      <c r="F1209">
        <v>1</v>
      </c>
      <c r="G1209">
        <v>8644</v>
      </c>
      <c r="H1209">
        <v>1</v>
      </c>
      <c r="I1209" t="s">
        <v>173</v>
      </c>
      <c r="J1209">
        <v>1</v>
      </c>
      <c r="K1209" s="6">
        <v>1.02</v>
      </c>
      <c r="L1209" t="s">
        <v>174</v>
      </c>
      <c r="M1209">
        <v>0</v>
      </c>
      <c r="N1209" t="s">
        <v>187</v>
      </c>
      <c r="O1209">
        <v>2</v>
      </c>
      <c r="P1209">
        <v>0</v>
      </c>
      <c r="Q1209" s="6">
        <v>72.8</v>
      </c>
      <c r="R1209">
        <v>0</v>
      </c>
      <c r="S1209" s="6">
        <v>0</v>
      </c>
      <c r="T1209">
        <v>0</v>
      </c>
      <c r="U1209" s="6">
        <v>4106</v>
      </c>
      <c r="V1209">
        <v>0</v>
      </c>
      <c r="W1209">
        <v>0</v>
      </c>
      <c r="X1209">
        <v>0</v>
      </c>
      <c r="Y1209" s="6">
        <v>53.3</v>
      </c>
      <c r="Z1209">
        <v>0.06</v>
      </c>
      <c r="AA1209">
        <v>0.153</v>
      </c>
      <c r="AB1209">
        <v>3.6999999999999998E-2</v>
      </c>
      <c r="AC1209">
        <v>6</v>
      </c>
      <c r="AD1209" s="6">
        <v>50</v>
      </c>
      <c r="AE1209" s="6">
        <v>0</v>
      </c>
      <c r="AF1209" s="6">
        <v>0</v>
      </c>
      <c r="AG1209" s="6">
        <v>44.06</v>
      </c>
      <c r="AH1209" s="6">
        <v>55.71</v>
      </c>
      <c r="AI1209" s="6">
        <f t="shared" si="36"/>
        <v>11.649999999999999</v>
      </c>
      <c r="AJ1209" s="5">
        <f t="shared" si="37"/>
        <v>0.2091186501525758</v>
      </c>
    </row>
    <row r="1210" spans="1:36">
      <c r="A1210" t="s">
        <v>253</v>
      </c>
      <c r="B1210" t="s">
        <v>1495</v>
      </c>
      <c r="C1210" t="s">
        <v>86</v>
      </c>
      <c r="D1210" t="s">
        <v>54</v>
      </c>
      <c r="E1210" t="s">
        <v>55</v>
      </c>
      <c r="F1210">
        <v>1</v>
      </c>
      <c r="G1210">
        <v>8644</v>
      </c>
      <c r="H1210">
        <v>1</v>
      </c>
      <c r="I1210" t="s">
        <v>181</v>
      </c>
      <c r="J1210">
        <v>3</v>
      </c>
      <c r="K1210" s="6">
        <v>10.26</v>
      </c>
      <c r="L1210" t="s">
        <v>174</v>
      </c>
      <c r="M1210">
        <v>0</v>
      </c>
      <c r="N1210" t="s">
        <v>217</v>
      </c>
      <c r="O1210">
        <v>4</v>
      </c>
      <c r="P1210">
        <v>1</v>
      </c>
      <c r="Q1210" s="6">
        <v>167.8</v>
      </c>
      <c r="R1210">
        <v>0</v>
      </c>
      <c r="S1210" s="6">
        <v>0</v>
      </c>
      <c r="T1210">
        <v>0</v>
      </c>
      <c r="U1210" s="6">
        <v>1937</v>
      </c>
      <c r="V1210">
        <v>1</v>
      </c>
      <c r="W1210">
        <v>0</v>
      </c>
      <c r="X1210">
        <v>0</v>
      </c>
      <c r="Y1210" s="6">
        <v>53.3</v>
      </c>
      <c r="Z1210">
        <v>0.06</v>
      </c>
      <c r="AA1210">
        <v>0.153</v>
      </c>
      <c r="AB1210">
        <v>3.6999999999999998E-2</v>
      </c>
      <c r="AC1210">
        <v>6</v>
      </c>
      <c r="AD1210" s="6">
        <v>60</v>
      </c>
      <c r="AE1210" s="6">
        <v>0</v>
      </c>
      <c r="AF1210" s="6">
        <v>0</v>
      </c>
      <c r="AG1210" s="6">
        <v>200.33</v>
      </c>
      <c r="AH1210" s="6">
        <v>242.2</v>
      </c>
      <c r="AI1210" s="6">
        <f t="shared" si="36"/>
        <v>41.869999999999976</v>
      </c>
      <c r="AJ1210" s="5">
        <f t="shared" si="37"/>
        <v>0.17287365813377364</v>
      </c>
    </row>
    <row r="1211" spans="1:36">
      <c r="A1211" t="s">
        <v>243</v>
      </c>
      <c r="B1211" t="s">
        <v>1496</v>
      </c>
      <c r="C1211" t="s">
        <v>86</v>
      </c>
      <c r="D1211" t="s">
        <v>54</v>
      </c>
      <c r="E1211" t="s">
        <v>55</v>
      </c>
      <c r="F1211">
        <v>1</v>
      </c>
      <c r="G1211">
        <v>8644</v>
      </c>
      <c r="H1211">
        <v>1</v>
      </c>
      <c r="I1211" t="s">
        <v>220</v>
      </c>
      <c r="J1211">
        <v>2</v>
      </c>
      <c r="K1211" s="6">
        <v>3.71</v>
      </c>
      <c r="L1211" t="s">
        <v>174</v>
      </c>
      <c r="M1211">
        <v>0</v>
      </c>
      <c r="N1211" t="s">
        <v>175</v>
      </c>
      <c r="O1211">
        <v>1</v>
      </c>
      <c r="P1211">
        <v>1</v>
      </c>
      <c r="Q1211" s="6">
        <v>42.9</v>
      </c>
      <c r="R1211">
        <v>1</v>
      </c>
      <c r="S1211" s="6">
        <v>1395</v>
      </c>
      <c r="T1211">
        <v>0</v>
      </c>
      <c r="U1211" s="6">
        <v>6522</v>
      </c>
      <c r="V1211">
        <v>0</v>
      </c>
      <c r="W1211">
        <v>0</v>
      </c>
      <c r="X1211">
        <v>0</v>
      </c>
      <c r="Y1211" s="6">
        <v>53.3</v>
      </c>
      <c r="Z1211">
        <v>0.06</v>
      </c>
      <c r="AA1211">
        <v>0.153</v>
      </c>
      <c r="AB1211">
        <v>3.6999999999999998E-2</v>
      </c>
      <c r="AC1211">
        <v>6</v>
      </c>
      <c r="AD1211" s="6">
        <v>50</v>
      </c>
      <c r="AE1211" s="6">
        <v>25</v>
      </c>
      <c r="AF1211" s="6">
        <v>0</v>
      </c>
      <c r="AG1211" s="6">
        <v>80.08</v>
      </c>
      <c r="AH1211" s="6">
        <v>99.38</v>
      </c>
      <c r="AI1211" s="6">
        <f t="shared" si="36"/>
        <v>19.299999999999997</v>
      </c>
      <c r="AJ1211" s="5">
        <f t="shared" si="37"/>
        <v>0.19420406520426645</v>
      </c>
    </row>
    <row r="1212" spans="1:36">
      <c r="A1212" t="s">
        <v>579</v>
      </c>
      <c r="B1212" t="s">
        <v>1497</v>
      </c>
      <c r="C1212" t="s">
        <v>86</v>
      </c>
      <c r="D1212" t="s">
        <v>54</v>
      </c>
      <c r="E1212" t="s">
        <v>55</v>
      </c>
      <c r="F1212">
        <v>1</v>
      </c>
      <c r="G1212">
        <v>8644</v>
      </c>
      <c r="H1212">
        <v>1</v>
      </c>
      <c r="I1212" t="s">
        <v>173</v>
      </c>
      <c r="J1212">
        <v>1</v>
      </c>
      <c r="K1212" s="6">
        <v>1.1499999999999999</v>
      </c>
      <c r="L1212" t="s">
        <v>174</v>
      </c>
      <c r="M1212">
        <v>0</v>
      </c>
      <c r="N1212" t="s">
        <v>175</v>
      </c>
      <c r="O1212">
        <v>1</v>
      </c>
      <c r="P1212">
        <v>0</v>
      </c>
      <c r="Q1212" s="6">
        <v>17.3</v>
      </c>
      <c r="R1212">
        <v>1</v>
      </c>
      <c r="S1212" s="6">
        <v>655</v>
      </c>
      <c r="T1212">
        <v>0</v>
      </c>
      <c r="U1212" s="6">
        <v>4926</v>
      </c>
      <c r="V1212">
        <v>0</v>
      </c>
      <c r="W1212">
        <v>0</v>
      </c>
      <c r="X1212">
        <v>0</v>
      </c>
      <c r="Y1212" s="6">
        <v>53.3</v>
      </c>
      <c r="Z1212">
        <v>0.06</v>
      </c>
      <c r="AA1212">
        <v>0.153</v>
      </c>
      <c r="AB1212">
        <v>3.6999999999999998E-2</v>
      </c>
      <c r="AC1212">
        <v>6</v>
      </c>
      <c r="AD1212" s="6">
        <v>50</v>
      </c>
      <c r="AE1212" s="6">
        <v>25</v>
      </c>
      <c r="AF1212" s="6">
        <v>0</v>
      </c>
      <c r="AG1212" s="6">
        <v>49.09</v>
      </c>
      <c r="AH1212" s="6">
        <v>63.4</v>
      </c>
      <c r="AI1212" s="6">
        <f t="shared" si="36"/>
        <v>14.309999999999995</v>
      </c>
      <c r="AJ1212" s="5">
        <f t="shared" si="37"/>
        <v>0.22570977917981067</v>
      </c>
    </row>
    <row r="1213" spans="1:36">
      <c r="A1213" t="s">
        <v>266</v>
      </c>
      <c r="B1213" t="s">
        <v>1498</v>
      </c>
      <c r="C1213" t="s">
        <v>86</v>
      </c>
      <c r="D1213" t="s">
        <v>54</v>
      </c>
      <c r="E1213" t="s">
        <v>55</v>
      </c>
      <c r="F1213">
        <v>1</v>
      </c>
      <c r="G1213">
        <v>8644</v>
      </c>
      <c r="H1213">
        <v>1</v>
      </c>
      <c r="I1213" t="s">
        <v>173</v>
      </c>
      <c r="J1213">
        <v>1</v>
      </c>
      <c r="K1213" s="6">
        <v>1.88</v>
      </c>
      <c r="L1213" t="s">
        <v>174</v>
      </c>
      <c r="M1213">
        <v>0</v>
      </c>
      <c r="N1213" t="s">
        <v>182</v>
      </c>
      <c r="O1213">
        <v>3</v>
      </c>
      <c r="P1213">
        <v>0</v>
      </c>
      <c r="Q1213" s="6">
        <v>128.69999999999999</v>
      </c>
      <c r="R1213">
        <v>1</v>
      </c>
      <c r="S1213" s="6">
        <v>3353</v>
      </c>
      <c r="T1213">
        <v>0</v>
      </c>
      <c r="U1213" s="6">
        <v>5056</v>
      </c>
      <c r="V1213">
        <v>0</v>
      </c>
      <c r="W1213">
        <v>0</v>
      </c>
      <c r="X1213">
        <v>0</v>
      </c>
      <c r="Y1213" s="6">
        <v>53.3</v>
      </c>
      <c r="Z1213">
        <v>0.06</v>
      </c>
      <c r="AA1213">
        <v>0.153</v>
      </c>
      <c r="AB1213">
        <v>3.6999999999999998E-2</v>
      </c>
      <c r="AC1213">
        <v>6</v>
      </c>
      <c r="AD1213" s="6">
        <v>50</v>
      </c>
      <c r="AE1213" s="6">
        <v>40</v>
      </c>
      <c r="AF1213" s="6">
        <v>0</v>
      </c>
      <c r="AG1213" s="6">
        <v>64.58</v>
      </c>
      <c r="AH1213" s="6">
        <v>81.81</v>
      </c>
      <c r="AI1213" s="6">
        <f t="shared" si="36"/>
        <v>17.230000000000004</v>
      </c>
      <c r="AJ1213" s="5">
        <f t="shared" si="37"/>
        <v>0.21060994988387732</v>
      </c>
    </row>
    <row r="1214" spans="1:36">
      <c r="A1214" t="s">
        <v>171</v>
      </c>
      <c r="B1214" t="s">
        <v>1499</v>
      </c>
      <c r="C1214" t="s">
        <v>86</v>
      </c>
      <c r="D1214" t="s">
        <v>54</v>
      </c>
      <c r="E1214" t="s">
        <v>55</v>
      </c>
      <c r="F1214">
        <v>1</v>
      </c>
      <c r="G1214">
        <v>8644</v>
      </c>
      <c r="H1214">
        <v>1</v>
      </c>
      <c r="I1214" t="s">
        <v>173</v>
      </c>
      <c r="J1214">
        <v>1</v>
      </c>
      <c r="K1214" s="6">
        <v>1.82</v>
      </c>
      <c r="L1214" t="s">
        <v>174</v>
      </c>
      <c r="M1214">
        <v>0</v>
      </c>
      <c r="N1214" t="s">
        <v>217</v>
      </c>
      <c r="O1214">
        <v>4</v>
      </c>
      <c r="P1214">
        <v>1</v>
      </c>
      <c r="Q1214" s="6">
        <v>146.6</v>
      </c>
      <c r="R1214">
        <v>1</v>
      </c>
      <c r="S1214" s="6">
        <v>1552</v>
      </c>
      <c r="T1214">
        <v>0</v>
      </c>
      <c r="U1214" s="6">
        <v>6469</v>
      </c>
      <c r="V1214">
        <v>0</v>
      </c>
      <c r="W1214">
        <v>0</v>
      </c>
      <c r="X1214">
        <v>0</v>
      </c>
      <c r="Y1214" s="6">
        <v>53.3</v>
      </c>
      <c r="Z1214">
        <v>0.06</v>
      </c>
      <c r="AA1214">
        <v>0.153</v>
      </c>
      <c r="AB1214">
        <v>3.6999999999999998E-2</v>
      </c>
      <c r="AC1214">
        <v>6</v>
      </c>
      <c r="AD1214" s="6">
        <v>50</v>
      </c>
      <c r="AE1214" s="6">
        <v>25</v>
      </c>
      <c r="AF1214" s="6">
        <v>0</v>
      </c>
      <c r="AG1214" s="6">
        <v>104.58</v>
      </c>
      <c r="AH1214" s="6">
        <v>125.87</v>
      </c>
      <c r="AI1214" s="6">
        <f t="shared" si="36"/>
        <v>21.290000000000006</v>
      </c>
      <c r="AJ1214" s="5">
        <f t="shared" si="37"/>
        <v>0.16914276634623029</v>
      </c>
    </row>
    <row r="1215" spans="1:36">
      <c r="A1215" t="s">
        <v>194</v>
      </c>
      <c r="B1215" t="s">
        <v>1500</v>
      </c>
      <c r="C1215" t="s">
        <v>86</v>
      </c>
      <c r="D1215" t="s">
        <v>54</v>
      </c>
      <c r="E1215" t="s">
        <v>55</v>
      </c>
      <c r="F1215">
        <v>1</v>
      </c>
      <c r="G1215">
        <v>8644</v>
      </c>
      <c r="H1215">
        <v>1</v>
      </c>
      <c r="I1215" t="s">
        <v>220</v>
      </c>
      <c r="J1215">
        <v>2</v>
      </c>
      <c r="K1215" s="6">
        <v>4.12</v>
      </c>
      <c r="L1215" t="s">
        <v>174</v>
      </c>
      <c r="M1215">
        <v>0</v>
      </c>
      <c r="N1215" t="s">
        <v>182</v>
      </c>
      <c r="O1215">
        <v>3</v>
      </c>
      <c r="P1215">
        <v>0</v>
      </c>
      <c r="Q1215" s="6">
        <v>104.5</v>
      </c>
      <c r="R1215">
        <v>1</v>
      </c>
      <c r="S1215" s="6">
        <v>1076</v>
      </c>
      <c r="T1215">
        <v>0</v>
      </c>
      <c r="U1215" s="6">
        <v>3161</v>
      </c>
      <c r="V1215">
        <v>0</v>
      </c>
      <c r="W1215">
        <v>0</v>
      </c>
      <c r="X1215">
        <v>0</v>
      </c>
      <c r="Y1215" s="6">
        <v>53.3</v>
      </c>
      <c r="Z1215">
        <v>0.06</v>
      </c>
      <c r="AA1215">
        <v>0.153</v>
      </c>
      <c r="AB1215">
        <v>3.6999999999999998E-2</v>
      </c>
      <c r="AC1215">
        <v>6</v>
      </c>
      <c r="AD1215" s="6">
        <v>50</v>
      </c>
      <c r="AE1215" s="6">
        <v>25</v>
      </c>
      <c r="AF1215" s="6">
        <v>0</v>
      </c>
      <c r="AG1215" s="6">
        <v>78.680000000000007</v>
      </c>
      <c r="AH1215" s="6">
        <v>95.74</v>
      </c>
      <c r="AI1215" s="6">
        <f t="shared" si="36"/>
        <v>17.059999999999988</v>
      </c>
      <c r="AJ1215" s="5">
        <f t="shared" si="37"/>
        <v>0.17819093377898462</v>
      </c>
    </row>
    <row r="1216" spans="1:36">
      <c r="A1216" t="s">
        <v>693</v>
      </c>
      <c r="B1216" t="s">
        <v>1501</v>
      </c>
      <c r="C1216" t="s">
        <v>86</v>
      </c>
      <c r="D1216" t="s">
        <v>54</v>
      </c>
      <c r="E1216" t="s">
        <v>55</v>
      </c>
      <c r="F1216">
        <v>1</v>
      </c>
      <c r="G1216">
        <v>8644</v>
      </c>
      <c r="H1216">
        <v>1</v>
      </c>
      <c r="I1216" t="s">
        <v>173</v>
      </c>
      <c r="J1216">
        <v>1</v>
      </c>
      <c r="K1216" s="6">
        <v>2.5099999999999998</v>
      </c>
      <c r="L1216" t="s">
        <v>174</v>
      </c>
      <c r="M1216">
        <v>0</v>
      </c>
      <c r="N1216" t="s">
        <v>187</v>
      </c>
      <c r="O1216">
        <v>2</v>
      </c>
      <c r="P1216">
        <v>0</v>
      </c>
      <c r="Q1216" s="6">
        <v>76.8</v>
      </c>
      <c r="R1216">
        <v>0</v>
      </c>
      <c r="S1216" s="6">
        <v>0</v>
      </c>
      <c r="T1216">
        <v>0</v>
      </c>
      <c r="U1216" s="6">
        <v>3677</v>
      </c>
      <c r="V1216">
        <v>0</v>
      </c>
      <c r="W1216">
        <v>0</v>
      </c>
      <c r="X1216">
        <v>0</v>
      </c>
      <c r="Y1216" s="6">
        <v>53.3</v>
      </c>
      <c r="Z1216">
        <v>0.06</v>
      </c>
      <c r="AA1216">
        <v>0.153</v>
      </c>
      <c r="AB1216">
        <v>3.6999999999999998E-2</v>
      </c>
      <c r="AC1216">
        <v>6</v>
      </c>
      <c r="AD1216" s="6">
        <v>50</v>
      </c>
      <c r="AE1216" s="6">
        <v>0</v>
      </c>
      <c r="AF1216" s="6">
        <v>0</v>
      </c>
      <c r="AG1216" s="6">
        <v>47.12</v>
      </c>
      <c r="AH1216" s="6">
        <v>57.35</v>
      </c>
      <c r="AI1216" s="6">
        <f t="shared" si="36"/>
        <v>10.230000000000004</v>
      </c>
      <c r="AJ1216" s="5">
        <f t="shared" si="37"/>
        <v>0.17837837837837844</v>
      </c>
    </row>
    <row r="1217" spans="1:36">
      <c r="A1217" t="s">
        <v>478</v>
      </c>
      <c r="B1217" t="s">
        <v>1502</v>
      </c>
      <c r="C1217" t="s">
        <v>86</v>
      </c>
      <c r="D1217" t="s">
        <v>54</v>
      </c>
      <c r="E1217" t="s">
        <v>55</v>
      </c>
      <c r="F1217">
        <v>1</v>
      </c>
      <c r="G1217">
        <v>8644</v>
      </c>
      <c r="H1217">
        <v>1</v>
      </c>
      <c r="I1217" t="s">
        <v>181</v>
      </c>
      <c r="J1217">
        <v>3</v>
      </c>
      <c r="K1217" s="6">
        <v>6.12</v>
      </c>
      <c r="L1217" t="s">
        <v>174</v>
      </c>
      <c r="M1217">
        <v>0</v>
      </c>
      <c r="N1217" t="s">
        <v>182</v>
      </c>
      <c r="O1217">
        <v>3</v>
      </c>
      <c r="P1217">
        <v>0</v>
      </c>
      <c r="Q1217" s="6">
        <v>69.5</v>
      </c>
      <c r="R1217">
        <v>0</v>
      </c>
      <c r="S1217" s="6">
        <v>0</v>
      </c>
      <c r="T1217">
        <v>0</v>
      </c>
      <c r="U1217" s="6">
        <v>2040</v>
      </c>
      <c r="V1217">
        <v>0</v>
      </c>
      <c r="W1217">
        <v>0</v>
      </c>
      <c r="X1217">
        <v>0</v>
      </c>
      <c r="Y1217" s="6">
        <v>53.3</v>
      </c>
      <c r="Z1217">
        <v>0.06</v>
      </c>
      <c r="AA1217">
        <v>0.153</v>
      </c>
      <c r="AB1217">
        <v>3.6999999999999998E-2</v>
      </c>
      <c r="AC1217">
        <v>6</v>
      </c>
      <c r="AD1217" s="6">
        <v>60</v>
      </c>
      <c r="AE1217" s="6">
        <v>0</v>
      </c>
      <c r="AF1217" s="6">
        <v>0</v>
      </c>
      <c r="AG1217" s="6">
        <v>76.16</v>
      </c>
      <c r="AH1217" s="6">
        <v>95.55</v>
      </c>
      <c r="AI1217" s="6">
        <f t="shared" si="36"/>
        <v>19.39</v>
      </c>
      <c r="AJ1217" s="5">
        <f t="shared" si="37"/>
        <v>0.20293040293040293</v>
      </c>
    </row>
    <row r="1218" spans="1:36">
      <c r="A1218" t="s">
        <v>537</v>
      </c>
      <c r="B1218" t="s">
        <v>1503</v>
      </c>
      <c r="C1218" t="s">
        <v>86</v>
      </c>
      <c r="D1218" t="s">
        <v>54</v>
      </c>
      <c r="E1218" t="s">
        <v>55</v>
      </c>
      <c r="F1218">
        <v>1</v>
      </c>
      <c r="G1218">
        <v>8644</v>
      </c>
      <c r="H1218">
        <v>1</v>
      </c>
      <c r="I1218" t="s">
        <v>173</v>
      </c>
      <c r="J1218">
        <v>1</v>
      </c>
      <c r="K1218" s="6">
        <v>1.74</v>
      </c>
      <c r="L1218" t="s">
        <v>174</v>
      </c>
      <c r="M1218">
        <v>0</v>
      </c>
      <c r="N1218" t="s">
        <v>187</v>
      </c>
      <c r="O1218">
        <v>2</v>
      </c>
      <c r="P1218">
        <v>0</v>
      </c>
      <c r="Q1218" s="6">
        <v>59.4</v>
      </c>
      <c r="R1218">
        <v>1</v>
      </c>
      <c r="S1218" s="6">
        <v>710</v>
      </c>
      <c r="T1218">
        <v>0</v>
      </c>
      <c r="U1218" s="6">
        <v>10358</v>
      </c>
      <c r="V1218">
        <v>0</v>
      </c>
      <c r="W1218">
        <v>0</v>
      </c>
      <c r="X1218">
        <v>0</v>
      </c>
      <c r="Y1218" s="6">
        <v>53.3</v>
      </c>
      <c r="Z1218">
        <v>0.06</v>
      </c>
      <c r="AA1218">
        <v>0.153</v>
      </c>
      <c r="AB1218">
        <v>3.6999999999999998E-2</v>
      </c>
      <c r="AC1218">
        <v>6</v>
      </c>
      <c r="AD1218" s="6">
        <v>50</v>
      </c>
      <c r="AE1218" s="6">
        <v>25</v>
      </c>
      <c r="AF1218" s="6">
        <v>0</v>
      </c>
      <c r="AG1218" s="6">
        <v>54.06</v>
      </c>
      <c r="AH1218" s="6">
        <v>65.83</v>
      </c>
      <c r="AI1218" s="6">
        <f t="shared" ref="AI1218:AI1281" si="38">AH1218-AG1218</f>
        <v>11.769999999999996</v>
      </c>
      <c r="AJ1218" s="5">
        <f t="shared" ref="AJ1218:AJ1281" si="39">IFERROR(AI1218/AH1218,0)</f>
        <v>0.17879386298040401</v>
      </c>
    </row>
    <row r="1219" spans="1:36">
      <c r="A1219" t="s">
        <v>196</v>
      </c>
      <c r="B1219" t="s">
        <v>1504</v>
      </c>
      <c r="C1219" t="s">
        <v>86</v>
      </c>
      <c r="D1219" t="s">
        <v>54</v>
      </c>
      <c r="E1219" t="s">
        <v>55</v>
      </c>
      <c r="F1219">
        <v>1</v>
      </c>
      <c r="G1219">
        <v>8644</v>
      </c>
      <c r="H1219">
        <v>1</v>
      </c>
      <c r="I1219" t="s">
        <v>181</v>
      </c>
      <c r="J1219">
        <v>3</v>
      </c>
      <c r="K1219" s="6">
        <v>7.91</v>
      </c>
      <c r="L1219" t="s">
        <v>174</v>
      </c>
      <c r="M1219">
        <v>0</v>
      </c>
      <c r="N1219" t="s">
        <v>175</v>
      </c>
      <c r="O1219">
        <v>1</v>
      </c>
      <c r="P1219">
        <v>0</v>
      </c>
      <c r="Q1219" s="6">
        <v>50.5</v>
      </c>
      <c r="R1219">
        <v>1</v>
      </c>
      <c r="S1219" s="6">
        <v>2261</v>
      </c>
      <c r="T1219">
        <v>0</v>
      </c>
      <c r="U1219" s="6">
        <v>2025</v>
      </c>
      <c r="V1219">
        <v>0</v>
      </c>
      <c r="W1219">
        <v>0</v>
      </c>
      <c r="X1219">
        <v>0</v>
      </c>
      <c r="Y1219" s="6">
        <v>53.3</v>
      </c>
      <c r="Z1219">
        <v>0.06</v>
      </c>
      <c r="AA1219">
        <v>0.153</v>
      </c>
      <c r="AB1219">
        <v>3.6999999999999998E-2</v>
      </c>
      <c r="AC1219">
        <v>6</v>
      </c>
      <c r="AD1219" s="6">
        <v>60</v>
      </c>
      <c r="AE1219" s="6">
        <v>40</v>
      </c>
      <c r="AF1219" s="6">
        <v>0</v>
      </c>
      <c r="AG1219" s="6">
        <v>80.45</v>
      </c>
      <c r="AH1219" s="6">
        <v>100.73</v>
      </c>
      <c r="AI1219" s="6">
        <f t="shared" si="38"/>
        <v>20.28</v>
      </c>
      <c r="AJ1219" s="5">
        <f t="shared" si="39"/>
        <v>0.201330288891095</v>
      </c>
    </row>
    <row r="1220" spans="1:36">
      <c r="A1220" t="s">
        <v>179</v>
      </c>
      <c r="B1220" t="s">
        <v>1505</v>
      </c>
      <c r="C1220" t="s">
        <v>86</v>
      </c>
      <c r="D1220" t="s">
        <v>54</v>
      </c>
      <c r="E1220" t="s">
        <v>55</v>
      </c>
      <c r="F1220">
        <v>1</v>
      </c>
      <c r="G1220">
        <v>8644</v>
      </c>
      <c r="H1220">
        <v>1</v>
      </c>
      <c r="I1220" t="s">
        <v>173</v>
      </c>
      <c r="J1220">
        <v>1</v>
      </c>
      <c r="K1220" s="6">
        <v>1.97</v>
      </c>
      <c r="L1220" t="s">
        <v>174</v>
      </c>
      <c r="M1220">
        <v>0</v>
      </c>
      <c r="N1220" t="s">
        <v>175</v>
      </c>
      <c r="O1220">
        <v>1</v>
      </c>
      <c r="P1220">
        <v>0</v>
      </c>
      <c r="Q1220" s="6">
        <v>22.8</v>
      </c>
      <c r="R1220">
        <v>0</v>
      </c>
      <c r="S1220" s="6">
        <v>0</v>
      </c>
      <c r="T1220">
        <v>0</v>
      </c>
      <c r="U1220" s="6">
        <v>1218</v>
      </c>
      <c r="V1220">
        <v>0</v>
      </c>
      <c r="W1220">
        <v>0</v>
      </c>
      <c r="X1220">
        <v>0</v>
      </c>
      <c r="Y1220" s="6">
        <v>53.3</v>
      </c>
      <c r="Z1220">
        <v>0.06</v>
      </c>
      <c r="AA1220">
        <v>0.153</v>
      </c>
      <c r="AB1220">
        <v>3.6999999999999998E-2</v>
      </c>
      <c r="AC1220">
        <v>6</v>
      </c>
      <c r="AD1220" s="6">
        <v>50</v>
      </c>
      <c r="AE1220" s="6">
        <v>0</v>
      </c>
      <c r="AF1220" s="6">
        <v>0</v>
      </c>
      <c r="AG1220" s="6">
        <v>47.18</v>
      </c>
      <c r="AH1220" s="6">
        <v>58.76</v>
      </c>
      <c r="AI1220" s="6">
        <f t="shared" si="38"/>
        <v>11.579999999999998</v>
      </c>
      <c r="AJ1220" s="5">
        <f t="shared" si="39"/>
        <v>0.197072838665759</v>
      </c>
    </row>
    <row r="1221" spans="1:36">
      <c r="A1221" t="s">
        <v>201</v>
      </c>
      <c r="B1221" t="s">
        <v>1506</v>
      </c>
      <c r="C1221" t="s">
        <v>86</v>
      </c>
      <c r="D1221" t="s">
        <v>54</v>
      </c>
      <c r="E1221" t="s">
        <v>55</v>
      </c>
      <c r="F1221">
        <v>1</v>
      </c>
      <c r="G1221">
        <v>8644</v>
      </c>
      <c r="H1221">
        <v>1</v>
      </c>
      <c r="I1221" t="s">
        <v>173</v>
      </c>
      <c r="J1221">
        <v>1</v>
      </c>
      <c r="K1221" s="6">
        <v>2.76</v>
      </c>
      <c r="L1221" t="s">
        <v>174</v>
      </c>
      <c r="M1221">
        <v>0</v>
      </c>
      <c r="N1221" t="s">
        <v>272</v>
      </c>
      <c r="O1221">
        <v>5</v>
      </c>
      <c r="P1221">
        <v>1</v>
      </c>
      <c r="Q1221" s="6">
        <v>205.8</v>
      </c>
      <c r="R1221">
        <v>0</v>
      </c>
      <c r="S1221" s="6">
        <v>0</v>
      </c>
      <c r="T1221">
        <v>0</v>
      </c>
      <c r="U1221" s="6">
        <v>3555</v>
      </c>
      <c r="V1221">
        <v>0</v>
      </c>
      <c r="W1221">
        <v>0</v>
      </c>
      <c r="X1221">
        <v>0</v>
      </c>
      <c r="Y1221" s="6">
        <v>53.3</v>
      </c>
      <c r="Z1221">
        <v>0.06</v>
      </c>
      <c r="AA1221">
        <v>0.153</v>
      </c>
      <c r="AB1221">
        <v>3.6999999999999998E-2</v>
      </c>
      <c r="AC1221">
        <v>6</v>
      </c>
      <c r="AD1221" s="6">
        <v>50</v>
      </c>
      <c r="AE1221" s="6">
        <v>0</v>
      </c>
      <c r="AF1221" s="6">
        <v>0</v>
      </c>
      <c r="AG1221" s="6">
        <v>138.94</v>
      </c>
      <c r="AH1221" s="6">
        <v>170.37</v>
      </c>
      <c r="AI1221" s="6">
        <f t="shared" si="38"/>
        <v>31.430000000000007</v>
      </c>
      <c r="AJ1221" s="5">
        <f t="shared" si="39"/>
        <v>0.18448083582790401</v>
      </c>
    </row>
    <row r="1222" spans="1:36">
      <c r="A1222" t="s">
        <v>284</v>
      </c>
      <c r="B1222" t="s">
        <v>1507</v>
      </c>
      <c r="C1222" t="s">
        <v>86</v>
      </c>
      <c r="D1222" t="s">
        <v>54</v>
      </c>
      <c r="E1222" t="s">
        <v>55</v>
      </c>
      <c r="F1222">
        <v>1</v>
      </c>
      <c r="G1222">
        <v>8644</v>
      </c>
      <c r="H1222">
        <v>1</v>
      </c>
      <c r="I1222" t="s">
        <v>173</v>
      </c>
      <c r="J1222">
        <v>1</v>
      </c>
      <c r="K1222" s="6">
        <v>1.61</v>
      </c>
      <c r="L1222" t="s">
        <v>174</v>
      </c>
      <c r="M1222">
        <v>0</v>
      </c>
      <c r="N1222" t="s">
        <v>175</v>
      </c>
      <c r="O1222">
        <v>1</v>
      </c>
      <c r="P1222">
        <v>0</v>
      </c>
      <c r="Q1222" s="6">
        <v>41.8</v>
      </c>
      <c r="R1222">
        <v>1</v>
      </c>
      <c r="S1222" s="6">
        <v>612</v>
      </c>
      <c r="T1222">
        <v>0</v>
      </c>
      <c r="U1222" s="6">
        <v>3135</v>
      </c>
      <c r="V1222">
        <v>0</v>
      </c>
      <c r="W1222">
        <v>0</v>
      </c>
      <c r="X1222">
        <v>0</v>
      </c>
      <c r="Y1222" s="6">
        <v>53.3</v>
      </c>
      <c r="Z1222">
        <v>0.06</v>
      </c>
      <c r="AA1222">
        <v>0.153</v>
      </c>
      <c r="AB1222">
        <v>3.6999999999999998E-2</v>
      </c>
      <c r="AC1222">
        <v>6</v>
      </c>
      <c r="AD1222" s="6">
        <v>50</v>
      </c>
      <c r="AE1222" s="6">
        <v>25</v>
      </c>
      <c r="AF1222" s="6">
        <v>0</v>
      </c>
      <c r="AG1222" s="6">
        <v>49.15</v>
      </c>
      <c r="AH1222" s="6">
        <v>62.84</v>
      </c>
      <c r="AI1222" s="6">
        <f t="shared" si="38"/>
        <v>13.690000000000005</v>
      </c>
      <c r="AJ1222" s="5">
        <f t="shared" si="39"/>
        <v>0.21785486950986641</v>
      </c>
    </row>
    <row r="1223" spans="1:36">
      <c r="A1223" t="s">
        <v>255</v>
      </c>
      <c r="B1223" t="s">
        <v>1508</v>
      </c>
      <c r="C1223" t="s">
        <v>86</v>
      </c>
      <c r="D1223" t="s">
        <v>54</v>
      </c>
      <c r="E1223" t="s">
        <v>55</v>
      </c>
      <c r="F1223">
        <v>1</v>
      </c>
      <c r="G1223">
        <v>8644</v>
      </c>
      <c r="H1223">
        <v>1</v>
      </c>
      <c r="I1223" t="s">
        <v>181</v>
      </c>
      <c r="J1223">
        <v>3</v>
      </c>
      <c r="K1223" s="6">
        <v>5.6</v>
      </c>
      <c r="L1223" t="s">
        <v>174</v>
      </c>
      <c r="M1223">
        <v>0</v>
      </c>
      <c r="N1223" t="s">
        <v>182</v>
      </c>
      <c r="O1223">
        <v>3</v>
      </c>
      <c r="P1223">
        <v>0</v>
      </c>
      <c r="Q1223" s="6">
        <v>92.2</v>
      </c>
      <c r="R1223">
        <v>0</v>
      </c>
      <c r="S1223" s="6">
        <v>0</v>
      </c>
      <c r="T1223">
        <v>0</v>
      </c>
      <c r="U1223" s="6">
        <v>6308</v>
      </c>
      <c r="V1223">
        <v>0</v>
      </c>
      <c r="W1223">
        <v>0</v>
      </c>
      <c r="X1223">
        <v>0</v>
      </c>
      <c r="Y1223" s="6">
        <v>53.3</v>
      </c>
      <c r="Z1223">
        <v>0.06</v>
      </c>
      <c r="AA1223">
        <v>0.153</v>
      </c>
      <c r="AB1223">
        <v>3.6999999999999998E-2</v>
      </c>
      <c r="AC1223">
        <v>6</v>
      </c>
      <c r="AD1223" s="6">
        <v>60</v>
      </c>
      <c r="AE1223" s="6">
        <v>0</v>
      </c>
      <c r="AF1223" s="6">
        <v>0</v>
      </c>
      <c r="AG1223" s="6">
        <v>75.75</v>
      </c>
      <c r="AH1223" s="6">
        <v>90.19</v>
      </c>
      <c r="AI1223" s="6">
        <f t="shared" si="38"/>
        <v>14.439999999999998</v>
      </c>
      <c r="AJ1223" s="5">
        <f t="shared" si="39"/>
        <v>0.16010644195587093</v>
      </c>
    </row>
    <row r="1224" spans="1:36">
      <c r="A1224" t="s">
        <v>365</v>
      </c>
      <c r="B1224" t="s">
        <v>1509</v>
      </c>
      <c r="C1224" t="s">
        <v>86</v>
      </c>
      <c r="D1224" t="s">
        <v>54</v>
      </c>
      <c r="E1224" t="s">
        <v>55</v>
      </c>
      <c r="F1224">
        <v>1</v>
      </c>
      <c r="G1224">
        <v>8644</v>
      </c>
      <c r="H1224">
        <v>1</v>
      </c>
      <c r="I1224" t="s">
        <v>220</v>
      </c>
      <c r="J1224">
        <v>2</v>
      </c>
      <c r="K1224" s="6">
        <v>2.4900000000000002</v>
      </c>
      <c r="L1224" t="s">
        <v>174</v>
      </c>
      <c r="M1224">
        <v>0</v>
      </c>
      <c r="N1224" t="s">
        <v>175</v>
      </c>
      <c r="O1224">
        <v>1</v>
      </c>
      <c r="P1224">
        <v>0</v>
      </c>
      <c r="Q1224" s="6">
        <v>34.700000000000003</v>
      </c>
      <c r="R1224">
        <v>1</v>
      </c>
      <c r="S1224" s="6">
        <v>2169</v>
      </c>
      <c r="T1224">
        <v>0</v>
      </c>
      <c r="U1224" s="6">
        <v>2543</v>
      </c>
      <c r="V1224">
        <v>0</v>
      </c>
      <c r="W1224">
        <v>0</v>
      </c>
      <c r="X1224">
        <v>0</v>
      </c>
      <c r="Y1224" s="6">
        <v>53.3</v>
      </c>
      <c r="Z1224">
        <v>0.06</v>
      </c>
      <c r="AA1224">
        <v>0.153</v>
      </c>
      <c r="AB1224">
        <v>3.6999999999999998E-2</v>
      </c>
      <c r="AC1224">
        <v>6</v>
      </c>
      <c r="AD1224" s="6">
        <v>50</v>
      </c>
      <c r="AE1224" s="6">
        <v>40</v>
      </c>
      <c r="AF1224" s="6">
        <v>0</v>
      </c>
      <c r="AG1224" s="6">
        <v>58.53</v>
      </c>
      <c r="AH1224" s="6">
        <v>71.67</v>
      </c>
      <c r="AI1224" s="6">
        <f t="shared" si="38"/>
        <v>13.14</v>
      </c>
      <c r="AJ1224" s="5">
        <f t="shared" si="39"/>
        <v>0.18334030975303475</v>
      </c>
    </row>
    <row r="1225" spans="1:36">
      <c r="A1225" t="s">
        <v>478</v>
      </c>
      <c r="B1225" t="s">
        <v>1510</v>
      </c>
      <c r="C1225" t="s">
        <v>86</v>
      </c>
      <c r="D1225" t="s">
        <v>54</v>
      </c>
      <c r="E1225" t="s">
        <v>55</v>
      </c>
      <c r="F1225">
        <v>1</v>
      </c>
      <c r="G1225">
        <v>8644</v>
      </c>
      <c r="H1225">
        <v>1</v>
      </c>
      <c r="I1225" t="s">
        <v>173</v>
      </c>
      <c r="J1225">
        <v>1</v>
      </c>
      <c r="K1225" s="6">
        <v>2.79</v>
      </c>
      <c r="L1225" t="s">
        <v>200</v>
      </c>
      <c r="M1225">
        <v>1</v>
      </c>
      <c r="N1225" t="s">
        <v>187</v>
      </c>
      <c r="O1225">
        <v>2</v>
      </c>
      <c r="P1225">
        <v>0</v>
      </c>
      <c r="Q1225" s="6">
        <v>74.599999999999994</v>
      </c>
      <c r="R1225">
        <v>1</v>
      </c>
      <c r="S1225" s="6">
        <v>2118</v>
      </c>
      <c r="T1225">
        <v>0</v>
      </c>
      <c r="U1225" s="6">
        <v>4402</v>
      </c>
      <c r="V1225">
        <v>0</v>
      </c>
      <c r="W1225">
        <v>0</v>
      </c>
      <c r="X1225">
        <v>0</v>
      </c>
      <c r="Y1225" s="6">
        <v>53.3</v>
      </c>
      <c r="Z1225">
        <v>0.06</v>
      </c>
      <c r="AA1225">
        <v>0.153</v>
      </c>
      <c r="AB1225">
        <v>3.6999999999999998E-2</v>
      </c>
      <c r="AC1225">
        <v>6</v>
      </c>
      <c r="AD1225" s="6">
        <v>99</v>
      </c>
      <c r="AE1225" s="6">
        <v>40</v>
      </c>
      <c r="AF1225" s="6">
        <v>0</v>
      </c>
      <c r="AG1225" s="6">
        <v>88.1</v>
      </c>
      <c r="AH1225" s="6">
        <v>107.58</v>
      </c>
      <c r="AI1225" s="6">
        <f t="shared" si="38"/>
        <v>19.480000000000004</v>
      </c>
      <c r="AJ1225" s="5">
        <f t="shared" si="39"/>
        <v>0.18107454917270871</v>
      </c>
    </row>
    <row r="1226" spans="1:36">
      <c r="A1226" t="s">
        <v>201</v>
      </c>
      <c r="B1226" t="s">
        <v>1511</v>
      </c>
      <c r="C1226" t="s">
        <v>86</v>
      </c>
      <c r="D1226" t="s">
        <v>54</v>
      </c>
      <c r="E1226" t="s">
        <v>55</v>
      </c>
      <c r="F1226">
        <v>1</v>
      </c>
      <c r="G1226">
        <v>8644</v>
      </c>
      <c r="H1226">
        <v>1</v>
      </c>
      <c r="I1226" t="s">
        <v>173</v>
      </c>
      <c r="J1226">
        <v>1</v>
      </c>
      <c r="K1226" s="6">
        <v>2.2200000000000002</v>
      </c>
      <c r="L1226" t="s">
        <v>174</v>
      </c>
      <c r="M1226">
        <v>0</v>
      </c>
      <c r="N1226" t="s">
        <v>217</v>
      </c>
      <c r="O1226">
        <v>4</v>
      </c>
      <c r="P1226">
        <v>1</v>
      </c>
      <c r="Q1226" s="6">
        <v>190.1</v>
      </c>
      <c r="R1226">
        <v>1</v>
      </c>
      <c r="S1226" s="6">
        <v>2681</v>
      </c>
      <c r="T1226">
        <v>0</v>
      </c>
      <c r="U1226" s="6">
        <v>2978</v>
      </c>
      <c r="V1226">
        <v>0</v>
      </c>
      <c r="W1226">
        <v>0</v>
      </c>
      <c r="X1226">
        <v>0</v>
      </c>
      <c r="Y1226" s="6">
        <v>53.3</v>
      </c>
      <c r="Z1226">
        <v>0.06</v>
      </c>
      <c r="AA1226">
        <v>0.153</v>
      </c>
      <c r="AB1226">
        <v>3.6999999999999998E-2</v>
      </c>
      <c r="AC1226">
        <v>6</v>
      </c>
      <c r="AD1226" s="6">
        <v>50</v>
      </c>
      <c r="AE1226" s="6">
        <v>40</v>
      </c>
      <c r="AF1226" s="6">
        <v>0</v>
      </c>
      <c r="AG1226" s="6">
        <v>92.18</v>
      </c>
      <c r="AH1226" s="6">
        <v>112.36</v>
      </c>
      <c r="AI1226" s="6">
        <f t="shared" si="38"/>
        <v>20.179999999999993</v>
      </c>
      <c r="AJ1226" s="5">
        <f t="shared" si="39"/>
        <v>0.17960128159487357</v>
      </c>
    </row>
    <row r="1227" spans="1:36">
      <c r="A1227" t="s">
        <v>274</v>
      </c>
      <c r="B1227" t="s">
        <v>1512</v>
      </c>
      <c r="C1227" t="s">
        <v>86</v>
      </c>
      <c r="D1227" t="s">
        <v>54</v>
      </c>
      <c r="E1227" t="s">
        <v>55</v>
      </c>
      <c r="F1227">
        <v>1</v>
      </c>
      <c r="G1227">
        <v>8644</v>
      </c>
      <c r="H1227">
        <v>1</v>
      </c>
      <c r="I1227" t="s">
        <v>181</v>
      </c>
      <c r="J1227">
        <v>3</v>
      </c>
      <c r="K1227" s="6">
        <v>12.98</v>
      </c>
      <c r="L1227" t="s">
        <v>174</v>
      </c>
      <c r="M1227">
        <v>0</v>
      </c>
      <c r="N1227" t="s">
        <v>272</v>
      </c>
      <c r="O1227">
        <v>5</v>
      </c>
      <c r="P1227">
        <v>1</v>
      </c>
      <c r="Q1227" s="6">
        <v>183.7</v>
      </c>
      <c r="R1227">
        <v>0</v>
      </c>
      <c r="S1227" s="6">
        <v>0</v>
      </c>
      <c r="T1227">
        <v>0</v>
      </c>
      <c r="U1227" s="6">
        <v>3250</v>
      </c>
      <c r="V1227">
        <v>0</v>
      </c>
      <c r="W1227">
        <v>0</v>
      </c>
      <c r="X1227">
        <v>0</v>
      </c>
      <c r="Y1227" s="6">
        <v>53.3</v>
      </c>
      <c r="Z1227">
        <v>0.06</v>
      </c>
      <c r="AA1227">
        <v>0.153</v>
      </c>
      <c r="AB1227">
        <v>3.6999999999999998E-2</v>
      </c>
      <c r="AC1227">
        <v>6</v>
      </c>
      <c r="AD1227" s="6">
        <v>60</v>
      </c>
      <c r="AE1227" s="6">
        <v>0</v>
      </c>
      <c r="AF1227" s="6">
        <v>0</v>
      </c>
      <c r="AG1227" s="6">
        <v>195.27</v>
      </c>
      <c r="AH1227" s="6">
        <v>233.85</v>
      </c>
      <c r="AI1227" s="6">
        <f t="shared" si="38"/>
        <v>38.579999999999984</v>
      </c>
      <c r="AJ1227" s="5">
        <f t="shared" si="39"/>
        <v>0.16497754971135337</v>
      </c>
    </row>
    <row r="1228" spans="1:36">
      <c r="A1228" t="s">
        <v>311</v>
      </c>
      <c r="B1228" t="s">
        <v>1513</v>
      </c>
      <c r="C1228" t="s">
        <v>86</v>
      </c>
      <c r="D1228" t="s">
        <v>54</v>
      </c>
      <c r="E1228" t="s">
        <v>55</v>
      </c>
      <c r="F1228">
        <v>1</v>
      </c>
      <c r="G1228">
        <v>8644</v>
      </c>
      <c r="H1228">
        <v>1</v>
      </c>
      <c r="I1228" t="s">
        <v>173</v>
      </c>
      <c r="J1228">
        <v>1</v>
      </c>
      <c r="K1228" s="6">
        <v>1.04</v>
      </c>
      <c r="L1228" t="s">
        <v>174</v>
      </c>
      <c r="M1228">
        <v>0</v>
      </c>
      <c r="N1228" t="s">
        <v>175</v>
      </c>
      <c r="O1228">
        <v>1</v>
      </c>
      <c r="P1228">
        <v>0</v>
      </c>
      <c r="Q1228" s="6">
        <v>47.7</v>
      </c>
      <c r="R1228">
        <v>0</v>
      </c>
      <c r="S1228" s="6">
        <v>0</v>
      </c>
      <c r="T1228">
        <v>0</v>
      </c>
      <c r="U1228" s="6">
        <v>4443</v>
      </c>
      <c r="V1228">
        <v>0</v>
      </c>
      <c r="W1228">
        <v>0</v>
      </c>
      <c r="X1228">
        <v>0</v>
      </c>
      <c r="Y1228" s="6">
        <v>53.3</v>
      </c>
      <c r="Z1228">
        <v>0.06</v>
      </c>
      <c r="AA1228">
        <v>0.153</v>
      </c>
      <c r="AB1228">
        <v>3.6999999999999998E-2</v>
      </c>
      <c r="AC1228">
        <v>6</v>
      </c>
      <c r="AD1228" s="6">
        <v>50</v>
      </c>
      <c r="AE1228" s="6">
        <v>0</v>
      </c>
      <c r="AF1228" s="6">
        <v>0</v>
      </c>
      <c r="AG1228" s="6">
        <v>46.94</v>
      </c>
      <c r="AH1228" s="6">
        <v>58.67</v>
      </c>
      <c r="AI1228" s="6">
        <f t="shared" si="38"/>
        <v>11.730000000000004</v>
      </c>
      <c r="AJ1228" s="5">
        <f t="shared" si="39"/>
        <v>0.19993182205556509</v>
      </c>
    </row>
    <row r="1229" spans="1:36">
      <c r="A1229" t="s">
        <v>436</v>
      </c>
      <c r="B1229" t="s">
        <v>1514</v>
      </c>
      <c r="C1229" t="s">
        <v>86</v>
      </c>
      <c r="D1229" t="s">
        <v>54</v>
      </c>
      <c r="E1229" t="s">
        <v>55</v>
      </c>
      <c r="F1229">
        <v>1</v>
      </c>
      <c r="G1229">
        <v>8644</v>
      </c>
      <c r="H1229">
        <v>1</v>
      </c>
      <c r="I1229" t="s">
        <v>173</v>
      </c>
      <c r="J1229">
        <v>1</v>
      </c>
      <c r="K1229" s="6">
        <v>1.62</v>
      </c>
      <c r="L1229" t="s">
        <v>174</v>
      </c>
      <c r="M1229">
        <v>0</v>
      </c>
      <c r="N1229" t="s">
        <v>187</v>
      </c>
      <c r="O1229">
        <v>2</v>
      </c>
      <c r="P1229">
        <v>0</v>
      </c>
      <c r="Q1229" s="6">
        <v>62.3</v>
      </c>
      <c r="R1229">
        <v>1</v>
      </c>
      <c r="S1229" s="6">
        <v>897</v>
      </c>
      <c r="T1229">
        <v>0</v>
      </c>
      <c r="U1229" s="6">
        <v>3779</v>
      </c>
      <c r="V1229">
        <v>0</v>
      </c>
      <c r="W1229">
        <v>0</v>
      </c>
      <c r="X1229">
        <v>0</v>
      </c>
      <c r="Y1229" s="6">
        <v>53.3</v>
      </c>
      <c r="Z1229">
        <v>0.06</v>
      </c>
      <c r="AA1229">
        <v>0.153</v>
      </c>
      <c r="AB1229">
        <v>3.6999999999999998E-2</v>
      </c>
      <c r="AC1229">
        <v>6</v>
      </c>
      <c r="AD1229" s="6">
        <v>50</v>
      </c>
      <c r="AE1229" s="6">
        <v>25</v>
      </c>
      <c r="AF1229" s="6">
        <v>0</v>
      </c>
      <c r="AG1229" s="6">
        <v>49.66</v>
      </c>
      <c r="AH1229" s="6">
        <v>59.37</v>
      </c>
      <c r="AI1229" s="6">
        <f t="shared" si="38"/>
        <v>9.7100000000000009</v>
      </c>
      <c r="AJ1229" s="5">
        <f t="shared" si="39"/>
        <v>0.1635506147886138</v>
      </c>
    </row>
    <row r="1230" spans="1:36">
      <c r="A1230" t="s">
        <v>288</v>
      </c>
      <c r="B1230" t="s">
        <v>1515</v>
      </c>
      <c r="C1230" t="s">
        <v>86</v>
      </c>
      <c r="D1230" t="s">
        <v>54</v>
      </c>
      <c r="E1230" t="s">
        <v>55</v>
      </c>
      <c r="F1230">
        <v>1</v>
      </c>
      <c r="G1230">
        <v>8644</v>
      </c>
      <c r="H1230">
        <v>1</v>
      </c>
      <c r="I1230" t="s">
        <v>181</v>
      </c>
      <c r="J1230">
        <v>3</v>
      </c>
      <c r="K1230" s="6">
        <v>3.16</v>
      </c>
      <c r="L1230" t="s">
        <v>174</v>
      </c>
      <c r="M1230">
        <v>0</v>
      </c>
      <c r="N1230" t="s">
        <v>182</v>
      </c>
      <c r="O1230">
        <v>3</v>
      </c>
      <c r="P1230">
        <v>1</v>
      </c>
      <c r="Q1230" s="6">
        <v>102.9</v>
      </c>
      <c r="R1230">
        <v>1</v>
      </c>
      <c r="S1230" s="6">
        <v>2122</v>
      </c>
      <c r="T1230">
        <v>0</v>
      </c>
      <c r="U1230" s="6">
        <v>1112</v>
      </c>
      <c r="V1230">
        <v>0</v>
      </c>
      <c r="W1230">
        <v>0</v>
      </c>
      <c r="X1230">
        <v>0</v>
      </c>
      <c r="Y1230" s="6">
        <v>53.3</v>
      </c>
      <c r="Z1230">
        <v>0.06</v>
      </c>
      <c r="AA1230">
        <v>0.153</v>
      </c>
      <c r="AB1230">
        <v>3.6999999999999998E-2</v>
      </c>
      <c r="AC1230">
        <v>6</v>
      </c>
      <c r="AD1230" s="6">
        <v>60</v>
      </c>
      <c r="AE1230" s="6">
        <v>40</v>
      </c>
      <c r="AF1230" s="6">
        <v>0</v>
      </c>
      <c r="AG1230" s="6">
        <v>103.32</v>
      </c>
      <c r="AH1230" s="6">
        <v>127.92</v>
      </c>
      <c r="AI1230" s="6">
        <f t="shared" si="38"/>
        <v>24.600000000000009</v>
      </c>
      <c r="AJ1230" s="5">
        <f t="shared" si="39"/>
        <v>0.19230769230769237</v>
      </c>
    </row>
    <row r="1231" spans="1:36">
      <c r="A1231" t="s">
        <v>218</v>
      </c>
      <c r="B1231" t="s">
        <v>1516</v>
      </c>
      <c r="C1231" t="s">
        <v>86</v>
      </c>
      <c r="D1231" t="s">
        <v>54</v>
      </c>
      <c r="E1231" t="s">
        <v>55</v>
      </c>
      <c r="F1231">
        <v>1</v>
      </c>
      <c r="G1231">
        <v>8644</v>
      </c>
      <c r="H1231">
        <v>1</v>
      </c>
      <c r="I1231" t="s">
        <v>173</v>
      </c>
      <c r="J1231">
        <v>1</v>
      </c>
      <c r="K1231" s="6">
        <v>0.76</v>
      </c>
      <c r="L1231" t="s">
        <v>174</v>
      </c>
      <c r="M1231">
        <v>0</v>
      </c>
      <c r="N1231" t="s">
        <v>187</v>
      </c>
      <c r="O1231">
        <v>2</v>
      </c>
      <c r="P1231">
        <v>0</v>
      </c>
      <c r="Q1231" s="6">
        <v>72.3</v>
      </c>
      <c r="R1231">
        <v>1</v>
      </c>
      <c r="S1231" s="6">
        <v>1491</v>
      </c>
      <c r="T1231">
        <v>0</v>
      </c>
      <c r="U1231" s="6">
        <v>3697</v>
      </c>
      <c r="V1231">
        <v>0</v>
      </c>
      <c r="W1231">
        <v>0</v>
      </c>
      <c r="X1231">
        <v>0</v>
      </c>
      <c r="Y1231" s="6">
        <v>53.3</v>
      </c>
      <c r="Z1231">
        <v>0.06</v>
      </c>
      <c r="AA1231">
        <v>0.153</v>
      </c>
      <c r="AB1231">
        <v>3.6999999999999998E-2</v>
      </c>
      <c r="AC1231">
        <v>6</v>
      </c>
      <c r="AD1231" s="6">
        <v>50</v>
      </c>
      <c r="AE1231" s="6">
        <v>25</v>
      </c>
      <c r="AF1231" s="6">
        <v>0</v>
      </c>
      <c r="AG1231" s="6">
        <v>55.18</v>
      </c>
      <c r="AH1231" s="6">
        <v>68.790000000000006</v>
      </c>
      <c r="AI1231" s="6">
        <f t="shared" si="38"/>
        <v>13.610000000000007</v>
      </c>
      <c r="AJ1231" s="5">
        <f t="shared" si="39"/>
        <v>0.19784852449483945</v>
      </c>
    </row>
    <row r="1232" spans="1:36">
      <c r="A1232" t="s">
        <v>218</v>
      </c>
      <c r="B1232" t="s">
        <v>1517</v>
      </c>
      <c r="C1232" t="s">
        <v>86</v>
      </c>
      <c r="D1232" t="s">
        <v>54</v>
      </c>
      <c r="E1232" t="s">
        <v>55</v>
      </c>
      <c r="F1232">
        <v>1</v>
      </c>
      <c r="G1232">
        <v>8644</v>
      </c>
      <c r="H1232">
        <v>1</v>
      </c>
      <c r="I1232" t="s">
        <v>220</v>
      </c>
      <c r="J1232">
        <v>2</v>
      </c>
      <c r="K1232" s="6">
        <v>3.77</v>
      </c>
      <c r="L1232" t="s">
        <v>174</v>
      </c>
      <c r="M1232">
        <v>0</v>
      </c>
      <c r="N1232" t="s">
        <v>175</v>
      </c>
      <c r="O1232">
        <v>1</v>
      </c>
      <c r="P1232">
        <v>0</v>
      </c>
      <c r="Q1232" s="6">
        <v>38.799999999999997</v>
      </c>
      <c r="R1232">
        <v>1</v>
      </c>
      <c r="S1232" s="6">
        <v>2715</v>
      </c>
      <c r="T1232">
        <v>0</v>
      </c>
      <c r="U1232" s="6">
        <v>6338</v>
      </c>
      <c r="V1232">
        <v>0</v>
      </c>
      <c r="W1232">
        <v>0</v>
      </c>
      <c r="X1232">
        <v>0</v>
      </c>
      <c r="Y1232" s="6">
        <v>53.3</v>
      </c>
      <c r="Z1232">
        <v>0.06</v>
      </c>
      <c r="AA1232">
        <v>0.153</v>
      </c>
      <c r="AB1232">
        <v>3.6999999999999998E-2</v>
      </c>
      <c r="AC1232">
        <v>6</v>
      </c>
      <c r="AD1232" s="6">
        <v>50</v>
      </c>
      <c r="AE1232" s="6">
        <v>40</v>
      </c>
      <c r="AF1232" s="6">
        <v>0</v>
      </c>
      <c r="AG1232" s="6">
        <v>57.71</v>
      </c>
      <c r="AH1232" s="6">
        <v>71.849999999999994</v>
      </c>
      <c r="AI1232" s="6">
        <f t="shared" si="38"/>
        <v>14.139999999999993</v>
      </c>
      <c r="AJ1232" s="5">
        <f t="shared" si="39"/>
        <v>0.19679888656924141</v>
      </c>
    </row>
    <row r="1233" spans="1:36">
      <c r="A1233" t="s">
        <v>381</v>
      </c>
      <c r="B1233" t="s">
        <v>1518</v>
      </c>
      <c r="C1233" t="s">
        <v>86</v>
      </c>
      <c r="D1233" t="s">
        <v>54</v>
      </c>
      <c r="E1233" t="s">
        <v>55</v>
      </c>
      <c r="F1233">
        <v>1</v>
      </c>
      <c r="G1233">
        <v>8644</v>
      </c>
      <c r="H1233">
        <v>1</v>
      </c>
      <c r="I1233" t="s">
        <v>178</v>
      </c>
      <c r="J1233">
        <v>4</v>
      </c>
      <c r="K1233" s="6">
        <v>12.94</v>
      </c>
      <c r="L1233" t="s">
        <v>174</v>
      </c>
      <c r="M1233">
        <v>0</v>
      </c>
      <c r="N1233" t="s">
        <v>182</v>
      </c>
      <c r="O1233">
        <v>3</v>
      </c>
      <c r="P1233">
        <v>0</v>
      </c>
      <c r="Q1233" s="6">
        <v>125.8</v>
      </c>
      <c r="R1233">
        <v>0</v>
      </c>
      <c r="S1233" s="6">
        <v>0</v>
      </c>
      <c r="T1233">
        <v>0</v>
      </c>
      <c r="U1233" s="6">
        <v>1342</v>
      </c>
      <c r="V1233">
        <v>0</v>
      </c>
      <c r="W1233">
        <v>0</v>
      </c>
      <c r="X1233">
        <v>0</v>
      </c>
      <c r="Y1233" s="6">
        <v>53.3</v>
      </c>
      <c r="Z1233">
        <v>0.06</v>
      </c>
      <c r="AA1233">
        <v>0.153</v>
      </c>
      <c r="AB1233">
        <v>3.6999999999999998E-2</v>
      </c>
      <c r="AC1233">
        <v>6</v>
      </c>
      <c r="AD1233" s="6">
        <v>65</v>
      </c>
      <c r="AE1233" s="6">
        <v>0</v>
      </c>
      <c r="AF1233" s="6">
        <v>0</v>
      </c>
      <c r="AG1233" s="6">
        <v>136.01</v>
      </c>
      <c r="AH1233" s="6">
        <v>163.59</v>
      </c>
      <c r="AI1233" s="6">
        <f t="shared" si="38"/>
        <v>27.580000000000013</v>
      </c>
      <c r="AJ1233" s="5">
        <f t="shared" si="39"/>
        <v>0.16859221223791193</v>
      </c>
    </row>
    <row r="1234" spans="1:36">
      <c r="A1234" t="s">
        <v>266</v>
      </c>
      <c r="B1234" t="s">
        <v>1519</v>
      </c>
      <c r="C1234" t="s">
        <v>86</v>
      </c>
      <c r="D1234" t="s">
        <v>54</v>
      </c>
      <c r="E1234" t="s">
        <v>55</v>
      </c>
      <c r="F1234">
        <v>1</v>
      </c>
      <c r="G1234">
        <v>8644</v>
      </c>
      <c r="H1234">
        <v>1</v>
      </c>
      <c r="I1234" t="s">
        <v>181</v>
      </c>
      <c r="J1234">
        <v>3</v>
      </c>
      <c r="K1234" s="6">
        <v>11.93</v>
      </c>
      <c r="L1234" t="s">
        <v>174</v>
      </c>
      <c r="M1234">
        <v>0</v>
      </c>
      <c r="N1234" t="s">
        <v>182</v>
      </c>
      <c r="O1234">
        <v>3</v>
      </c>
      <c r="P1234">
        <v>0</v>
      </c>
      <c r="Q1234" s="6">
        <v>88.5</v>
      </c>
      <c r="R1234">
        <v>1</v>
      </c>
      <c r="S1234" s="6">
        <v>6233</v>
      </c>
      <c r="T1234">
        <v>0</v>
      </c>
      <c r="U1234" s="6">
        <v>4336</v>
      </c>
      <c r="V1234">
        <v>0</v>
      </c>
      <c r="W1234">
        <v>0</v>
      </c>
      <c r="X1234">
        <v>0</v>
      </c>
      <c r="Y1234" s="6">
        <v>53.3</v>
      </c>
      <c r="Z1234">
        <v>0.06</v>
      </c>
      <c r="AA1234">
        <v>0.153</v>
      </c>
      <c r="AB1234">
        <v>3.6999999999999998E-2</v>
      </c>
      <c r="AC1234">
        <v>6</v>
      </c>
      <c r="AD1234" s="6">
        <v>60</v>
      </c>
      <c r="AE1234" s="6">
        <v>50</v>
      </c>
      <c r="AF1234" s="6">
        <v>0</v>
      </c>
      <c r="AG1234" s="6">
        <v>111.45</v>
      </c>
      <c r="AH1234" s="6">
        <v>135.61000000000001</v>
      </c>
      <c r="AI1234" s="6">
        <f t="shared" si="38"/>
        <v>24.160000000000011</v>
      </c>
      <c r="AJ1234" s="5">
        <f t="shared" si="39"/>
        <v>0.1781579529533221</v>
      </c>
    </row>
    <row r="1235" spans="1:36">
      <c r="A1235" t="s">
        <v>423</v>
      </c>
      <c r="B1235" t="s">
        <v>1520</v>
      </c>
      <c r="C1235" t="s">
        <v>86</v>
      </c>
      <c r="D1235" t="s">
        <v>54</v>
      </c>
      <c r="E1235" t="s">
        <v>55</v>
      </c>
      <c r="F1235">
        <v>1</v>
      </c>
      <c r="G1235">
        <v>8644</v>
      </c>
      <c r="H1235">
        <v>1</v>
      </c>
      <c r="I1235" t="s">
        <v>181</v>
      </c>
      <c r="J1235">
        <v>3</v>
      </c>
      <c r="K1235" s="6">
        <v>6.93</v>
      </c>
      <c r="L1235" t="s">
        <v>174</v>
      </c>
      <c r="M1235">
        <v>0</v>
      </c>
      <c r="N1235" t="s">
        <v>187</v>
      </c>
      <c r="O1235">
        <v>2</v>
      </c>
      <c r="P1235">
        <v>0</v>
      </c>
      <c r="Q1235" s="6">
        <v>64</v>
      </c>
      <c r="R1235">
        <v>0</v>
      </c>
      <c r="S1235" s="6">
        <v>0</v>
      </c>
      <c r="T1235">
        <v>0</v>
      </c>
      <c r="U1235" s="6">
        <v>4952</v>
      </c>
      <c r="V1235">
        <v>0</v>
      </c>
      <c r="W1235">
        <v>0</v>
      </c>
      <c r="X1235">
        <v>0</v>
      </c>
      <c r="Y1235" s="6">
        <v>53.3</v>
      </c>
      <c r="Z1235">
        <v>0.06</v>
      </c>
      <c r="AA1235">
        <v>0.153</v>
      </c>
      <c r="AB1235">
        <v>3.6999999999999998E-2</v>
      </c>
      <c r="AC1235">
        <v>6</v>
      </c>
      <c r="AD1235" s="6">
        <v>60</v>
      </c>
      <c r="AE1235" s="6">
        <v>0</v>
      </c>
      <c r="AF1235" s="6">
        <v>0</v>
      </c>
      <c r="AG1235" s="6">
        <v>76.239999999999995</v>
      </c>
      <c r="AH1235" s="6">
        <v>93.74</v>
      </c>
      <c r="AI1235" s="6">
        <f t="shared" si="38"/>
        <v>17.5</v>
      </c>
      <c r="AJ1235" s="5">
        <f t="shared" si="39"/>
        <v>0.18668657990185622</v>
      </c>
    </row>
    <row r="1236" spans="1:36">
      <c r="A1236" t="s">
        <v>338</v>
      </c>
      <c r="B1236" t="s">
        <v>1521</v>
      </c>
      <c r="C1236" t="s">
        <v>86</v>
      </c>
      <c r="D1236" t="s">
        <v>54</v>
      </c>
      <c r="E1236" t="s">
        <v>55</v>
      </c>
      <c r="F1236">
        <v>1</v>
      </c>
      <c r="G1236">
        <v>8644</v>
      </c>
      <c r="H1236">
        <v>1</v>
      </c>
      <c r="I1236" t="s">
        <v>173</v>
      </c>
      <c r="J1236">
        <v>1</v>
      </c>
      <c r="K1236" s="6">
        <v>1.85</v>
      </c>
      <c r="L1236" t="s">
        <v>174</v>
      </c>
      <c r="M1236">
        <v>0</v>
      </c>
      <c r="N1236" t="s">
        <v>182</v>
      </c>
      <c r="O1236">
        <v>3</v>
      </c>
      <c r="P1236">
        <v>1</v>
      </c>
      <c r="Q1236" s="6">
        <v>91.4</v>
      </c>
      <c r="R1236">
        <v>0</v>
      </c>
      <c r="S1236" s="6">
        <v>0</v>
      </c>
      <c r="T1236">
        <v>0</v>
      </c>
      <c r="U1236" s="6">
        <v>9757</v>
      </c>
      <c r="V1236">
        <v>0</v>
      </c>
      <c r="W1236">
        <v>0</v>
      </c>
      <c r="X1236">
        <v>0</v>
      </c>
      <c r="Y1236" s="6">
        <v>53.3</v>
      </c>
      <c r="Z1236">
        <v>0.06</v>
      </c>
      <c r="AA1236">
        <v>0.153</v>
      </c>
      <c r="AB1236">
        <v>3.6999999999999998E-2</v>
      </c>
      <c r="AC1236">
        <v>6</v>
      </c>
      <c r="AD1236" s="6">
        <v>50</v>
      </c>
      <c r="AE1236" s="6">
        <v>0</v>
      </c>
      <c r="AF1236" s="6">
        <v>0</v>
      </c>
      <c r="AG1236" s="6">
        <v>81.56</v>
      </c>
      <c r="AH1236" s="6">
        <v>99.08</v>
      </c>
      <c r="AI1236" s="6">
        <f t="shared" si="38"/>
        <v>17.519999999999996</v>
      </c>
      <c r="AJ1236" s="5">
        <f t="shared" si="39"/>
        <v>0.17682680662091235</v>
      </c>
    </row>
    <row r="1237" spans="1:36">
      <c r="A1237" t="s">
        <v>253</v>
      </c>
      <c r="B1237" t="s">
        <v>1522</v>
      </c>
      <c r="C1237" t="s">
        <v>86</v>
      </c>
      <c r="D1237" t="s">
        <v>54</v>
      </c>
      <c r="E1237" t="s">
        <v>55</v>
      </c>
      <c r="F1237">
        <v>1</v>
      </c>
      <c r="G1237">
        <v>8644</v>
      </c>
      <c r="H1237">
        <v>1</v>
      </c>
      <c r="I1237" t="s">
        <v>220</v>
      </c>
      <c r="J1237">
        <v>2</v>
      </c>
      <c r="K1237" s="6">
        <v>2.98</v>
      </c>
      <c r="L1237" t="s">
        <v>174</v>
      </c>
      <c r="M1237">
        <v>0</v>
      </c>
      <c r="N1237" t="s">
        <v>182</v>
      </c>
      <c r="O1237">
        <v>3</v>
      </c>
      <c r="P1237">
        <v>0</v>
      </c>
      <c r="Q1237" s="6">
        <v>100.5</v>
      </c>
      <c r="R1237">
        <v>1</v>
      </c>
      <c r="S1237" s="6">
        <v>1167</v>
      </c>
      <c r="T1237">
        <v>0</v>
      </c>
      <c r="U1237" s="6">
        <v>3222</v>
      </c>
      <c r="V1237">
        <v>0</v>
      </c>
      <c r="W1237">
        <v>0</v>
      </c>
      <c r="X1237">
        <v>0</v>
      </c>
      <c r="Y1237" s="6">
        <v>53.3</v>
      </c>
      <c r="Z1237">
        <v>0.06</v>
      </c>
      <c r="AA1237">
        <v>0.153</v>
      </c>
      <c r="AB1237">
        <v>3.6999999999999998E-2</v>
      </c>
      <c r="AC1237">
        <v>6</v>
      </c>
      <c r="AD1237" s="6">
        <v>50</v>
      </c>
      <c r="AE1237" s="6">
        <v>25</v>
      </c>
      <c r="AF1237" s="6">
        <v>0</v>
      </c>
      <c r="AG1237" s="6">
        <v>74.59</v>
      </c>
      <c r="AH1237" s="6">
        <v>92.33</v>
      </c>
      <c r="AI1237" s="6">
        <f t="shared" si="38"/>
        <v>17.739999999999995</v>
      </c>
      <c r="AJ1237" s="5">
        <f t="shared" si="39"/>
        <v>0.1921369002491064</v>
      </c>
    </row>
    <row r="1238" spans="1:36">
      <c r="A1238" t="s">
        <v>223</v>
      </c>
      <c r="B1238" t="s">
        <v>1523</v>
      </c>
      <c r="C1238" t="s">
        <v>86</v>
      </c>
      <c r="D1238" t="s">
        <v>54</v>
      </c>
      <c r="E1238" t="s">
        <v>55</v>
      </c>
      <c r="F1238">
        <v>1</v>
      </c>
      <c r="G1238">
        <v>8644</v>
      </c>
      <c r="H1238">
        <v>1</v>
      </c>
      <c r="I1238" t="s">
        <v>181</v>
      </c>
      <c r="J1238">
        <v>3</v>
      </c>
      <c r="K1238" s="6">
        <v>8</v>
      </c>
      <c r="L1238" t="s">
        <v>174</v>
      </c>
      <c r="M1238">
        <v>0</v>
      </c>
      <c r="N1238" t="s">
        <v>175</v>
      </c>
      <c r="O1238">
        <v>1</v>
      </c>
      <c r="P1238">
        <v>1</v>
      </c>
      <c r="Q1238" s="6">
        <v>42.1</v>
      </c>
      <c r="R1238">
        <v>0</v>
      </c>
      <c r="S1238" s="6">
        <v>0</v>
      </c>
      <c r="T1238">
        <v>0</v>
      </c>
      <c r="U1238" s="6">
        <v>2176</v>
      </c>
      <c r="V1238">
        <v>0</v>
      </c>
      <c r="W1238">
        <v>0</v>
      </c>
      <c r="X1238">
        <v>0</v>
      </c>
      <c r="Y1238" s="6">
        <v>53.3</v>
      </c>
      <c r="Z1238">
        <v>0.06</v>
      </c>
      <c r="AA1238">
        <v>0.153</v>
      </c>
      <c r="AB1238">
        <v>3.6999999999999998E-2</v>
      </c>
      <c r="AC1238">
        <v>6</v>
      </c>
      <c r="AD1238" s="6">
        <v>60</v>
      </c>
      <c r="AE1238" s="6">
        <v>0</v>
      </c>
      <c r="AF1238" s="6">
        <v>0</v>
      </c>
      <c r="AG1238" s="6">
        <v>92.82</v>
      </c>
      <c r="AH1238" s="6">
        <v>111.4</v>
      </c>
      <c r="AI1238" s="6">
        <f t="shared" si="38"/>
        <v>18.580000000000013</v>
      </c>
      <c r="AJ1238" s="5">
        <f t="shared" si="39"/>
        <v>0.16678635547576312</v>
      </c>
    </row>
    <row r="1239" spans="1:36">
      <c r="A1239" t="s">
        <v>602</v>
      </c>
      <c r="B1239" t="s">
        <v>1524</v>
      </c>
      <c r="C1239" t="s">
        <v>86</v>
      </c>
      <c r="D1239" t="s">
        <v>54</v>
      </c>
      <c r="E1239" t="s">
        <v>55</v>
      </c>
      <c r="F1239">
        <v>1</v>
      </c>
      <c r="G1239">
        <v>8644</v>
      </c>
      <c r="H1239">
        <v>1</v>
      </c>
      <c r="I1239" t="s">
        <v>173</v>
      </c>
      <c r="J1239">
        <v>1</v>
      </c>
      <c r="K1239" s="6">
        <v>1.36</v>
      </c>
      <c r="L1239" t="s">
        <v>174</v>
      </c>
      <c r="M1239">
        <v>0</v>
      </c>
      <c r="N1239" t="s">
        <v>175</v>
      </c>
      <c r="O1239">
        <v>1</v>
      </c>
      <c r="P1239">
        <v>0</v>
      </c>
      <c r="Q1239" s="6">
        <v>40</v>
      </c>
      <c r="R1239">
        <v>0</v>
      </c>
      <c r="S1239" s="6">
        <v>0</v>
      </c>
      <c r="T1239">
        <v>0</v>
      </c>
      <c r="U1239" s="6">
        <v>3573</v>
      </c>
      <c r="V1239">
        <v>0</v>
      </c>
      <c r="W1239">
        <v>0</v>
      </c>
      <c r="X1239">
        <v>0</v>
      </c>
      <c r="Y1239" s="6">
        <v>53.3</v>
      </c>
      <c r="Z1239">
        <v>0.06</v>
      </c>
      <c r="AA1239">
        <v>0.153</v>
      </c>
      <c r="AB1239">
        <v>3.6999999999999998E-2</v>
      </c>
      <c r="AC1239">
        <v>6</v>
      </c>
      <c r="AD1239" s="6">
        <v>50</v>
      </c>
      <c r="AE1239" s="6">
        <v>0</v>
      </c>
      <c r="AF1239" s="6">
        <v>0</v>
      </c>
      <c r="AG1239" s="6">
        <v>43.96</v>
      </c>
      <c r="AH1239" s="6">
        <v>55.82</v>
      </c>
      <c r="AI1239" s="6">
        <f t="shared" si="38"/>
        <v>11.86</v>
      </c>
      <c r="AJ1239" s="5">
        <f t="shared" si="39"/>
        <v>0.21246864922966677</v>
      </c>
    </row>
    <row r="1240" spans="1:36">
      <c r="A1240" t="s">
        <v>238</v>
      </c>
      <c r="B1240" t="s">
        <v>1525</v>
      </c>
      <c r="C1240" t="s">
        <v>86</v>
      </c>
      <c r="D1240" t="s">
        <v>54</v>
      </c>
      <c r="E1240" t="s">
        <v>55</v>
      </c>
      <c r="F1240">
        <v>1</v>
      </c>
      <c r="G1240">
        <v>8644</v>
      </c>
      <c r="H1240">
        <v>1</v>
      </c>
      <c r="I1240" t="s">
        <v>181</v>
      </c>
      <c r="J1240">
        <v>3</v>
      </c>
      <c r="K1240" s="6">
        <v>10.39</v>
      </c>
      <c r="L1240" t="s">
        <v>174</v>
      </c>
      <c r="M1240">
        <v>0</v>
      </c>
      <c r="N1240" t="s">
        <v>182</v>
      </c>
      <c r="O1240">
        <v>3</v>
      </c>
      <c r="P1240">
        <v>0</v>
      </c>
      <c r="Q1240" s="6">
        <v>100.3</v>
      </c>
      <c r="R1240">
        <v>0</v>
      </c>
      <c r="S1240" s="6">
        <v>0</v>
      </c>
      <c r="T1240">
        <v>0</v>
      </c>
      <c r="U1240" s="6">
        <v>1138</v>
      </c>
      <c r="V1240">
        <v>0</v>
      </c>
      <c r="W1240">
        <v>0</v>
      </c>
      <c r="X1240">
        <v>0</v>
      </c>
      <c r="Y1240" s="6">
        <v>53.3</v>
      </c>
      <c r="Z1240">
        <v>0.06</v>
      </c>
      <c r="AA1240">
        <v>0.153</v>
      </c>
      <c r="AB1240">
        <v>3.6999999999999998E-2</v>
      </c>
      <c r="AC1240">
        <v>6</v>
      </c>
      <c r="AD1240" s="6">
        <v>60</v>
      </c>
      <c r="AE1240" s="6">
        <v>0</v>
      </c>
      <c r="AF1240" s="6">
        <v>0</v>
      </c>
      <c r="AG1240" s="6">
        <v>107.58</v>
      </c>
      <c r="AH1240" s="6">
        <v>130.58000000000001</v>
      </c>
      <c r="AI1240" s="6">
        <f t="shared" si="38"/>
        <v>23.000000000000014</v>
      </c>
      <c r="AJ1240" s="5">
        <f t="shared" si="39"/>
        <v>0.17613723387961411</v>
      </c>
    </row>
    <row r="1241" spans="1:36">
      <c r="A1241" t="s">
        <v>431</v>
      </c>
      <c r="B1241" t="s">
        <v>1526</v>
      </c>
      <c r="C1241" t="s">
        <v>88</v>
      </c>
      <c r="D1241" t="s">
        <v>77</v>
      </c>
      <c r="E1241" t="s">
        <v>55</v>
      </c>
      <c r="F1241">
        <v>0</v>
      </c>
      <c r="G1241">
        <v>3259</v>
      </c>
      <c r="H1241">
        <v>1</v>
      </c>
      <c r="I1241" t="s">
        <v>181</v>
      </c>
      <c r="J1241">
        <v>3</v>
      </c>
      <c r="K1241" s="6">
        <v>7.7</v>
      </c>
      <c r="L1241" t="s">
        <v>174</v>
      </c>
      <c r="M1241">
        <v>0</v>
      </c>
      <c r="N1241" t="s">
        <v>187</v>
      </c>
      <c r="O1241">
        <v>2</v>
      </c>
      <c r="P1241">
        <v>1</v>
      </c>
      <c r="Q1241" s="6">
        <v>95.1</v>
      </c>
      <c r="R1241">
        <v>0</v>
      </c>
      <c r="S1241" s="6">
        <v>0</v>
      </c>
      <c r="T1241">
        <v>0</v>
      </c>
      <c r="U1241" s="6">
        <v>4706</v>
      </c>
      <c r="V1241">
        <v>0</v>
      </c>
      <c r="W1241">
        <v>0</v>
      </c>
      <c r="X1241">
        <v>0</v>
      </c>
      <c r="Y1241" s="6">
        <v>53.1</v>
      </c>
      <c r="Z1241">
        <v>4.7E-2</v>
      </c>
      <c r="AA1241">
        <v>8.7999999999999995E-2</v>
      </c>
      <c r="AB1241">
        <v>9.1999999999999998E-2</v>
      </c>
      <c r="AC1241">
        <v>6</v>
      </c>
      <c r="AD1241" s="6">
        <v>60</v>
      </c>
      <c r="AE1241" s="6">
        <v>0</v>
      </c>
      <c r="AF1241" s="6">
        <v>0</v>
      </c>
      <c r="AG1241" s="6">
        <v>107.03</v>
      </c>
      <c r="AH1241" s="6">
        <v>138.33000000000001</v>
      </c>
      <c r="AI1241" s="6">
        <f t="shared" si="38"/>
        <v>31.300000000000011</v>
      </c>
      <c r="AJ1241" s="5">
        <f t="shared" si="39"/>
        <v>0.22627051254247096</v>
      </c>
    </row>
    <row r="1242" spans="1:36">
      <c r="A1242" t="s">
        <v>291</v>
      </c>
      <c r="B1242" t="s">
        <v>1527</v>
      </c>
      <c r="C1242" t="s">
        <v>88</v>
      </c>
      <c r="D1242" t="s">
        <v>77</v>
      </c>
      <c r="E1242" t="s">
        <v>55</v>
      </c>
      <c r="F1242">
        <v>0</v>
      </c>
      <c r="G1242">
        <v>3259</v>
      </c>
      <c r="H1242">
        <v>1</v>
      </c>
      <c r="I1242" t="s">
        <v>181</v>
      </c>
      <c r="J1242">
        <v>3</v>
      </c>
      <c r="K1242" s="6">
        <v>8.3699999999999992</v>
      </c>
      <c r="L1242" t="s">
        <v>174</v>
      </c>
      <c r="M1242">
        <v>0</v>
      </c>
      <c r="N1242" t="s">
        <v>182</v>
      </c>
      <c r="O1242">
        <v>3</v>
      </c>
      <c r="P1242">
        <v>0</v>
      </c>
      <c r="Q1242" s="6">
        <v>94.9</v>
      </c>
      <c r="R1242">
        <v>0</v>
      </c>
      <c r="S1242" s="6">
        <v>0</v>
      </c>
      <c r="T1242">
        <v>0</v>
      </c>
      <c r="U1242" s="6">
        <v>5225</v>
      </c>
      <c r="V1242">
        <v>0</v>
      </c>
      <c r="W1242">
        <v>0</v>
      </c>
      <c r="X1242">
        <v>0</v>
      </c>
      <c r="Y1242" s="6">
        <v>53.1</v>
      </c>
      <c r="Z1242">
        <v>4.7E-2</v>
      </c>
      <c r="AA1242">
        <v>8.7999999999999995E-2</v>
      </c>
      <c r="AB1242">
        <v>9.1999999999999998E-2</v>
      </c>
      <c r="AC1242">
        <v>6</v>
      </c>
      <c r="AD1242" s="6">
        <v>60</v>
      </c>
      <c r="AE1242" s="6">
        <v>0</v>
      </c>
      <c r="AF1242" s="6">
        <v>0</v>
      </c>
      <c r="AG1242" s="6">
        <v>100.43</v>
      </c>
      <c r="AH1242" s="6">
        <v>129.28</v>
      </c>
      <c r="AI1242" s="6">
        <f t="shared" si="38"/>
        <v>28.849999999999994</v>
      </c>
      <c r="AJ1242" s="5">
        <f t="shared" si="39"/>
        <v>0.22315903465346529</v>
      </c>
    </row>
    <row r="1243" spans="1:36">
      <c r="A1243" t="s">
        <v>411</v>
      </c>
      <c r="B1243" t="s">
        <v>1528</v>
      </c>
      <c r="C1243" t="s">
        <v>88</v>
      </c>
      <c r="D1243" t="s">
        <v>77</v>
      </c>
      <c r="E1243" t="s">
        <v>55</v>
      </c>
      <c r="F1243">
        <v>0</v>
      </c>
      <c r="G1243">
        <v>3259</v>
      </c>
      <c r="H1243">
        <v>1</v>
      </c>
      <c r="I1243" t="s">
        <v>220</v>
      </c>
      <c r="J1243">
        <v>2</v>
      </c>
      <c r="K1243" s="6">
        <v>4.01</v>
      </c>
      <c r="L1243" t="s">
        <v>174</v>
      </c>
      <c r="M1243">
        <v>0</v>
      </c>
      <c r="N1243" t="s">
        <v>175</v>
      </c>
      <c r="O1243">
        <v>1</v>
      </c>
      <c r="P1243">
        <v>0</v>
      </c>
      <c r="Q1243" s="6">
        <v>40.799999999999997</v>
      </c>
      <c r="R1243">
        <v>1</v>
      </c>
      <c r="S1243" s="6">
        <v>221</v>
      </c>
      <c r="T1243">
        <v>0</v>
      </c>
      <c r="U1243" s="6">
        <v>2355</v>
      </c>
      <c r="V1243">
        <v>0</v>
      </c>
      <c r="W1243">
        <v>0</v>
      </c>
      <c r="X1243">
        <v>0</v>
      </c>
      <c r="Y1243" s="6">
        <v>53.1</v>
      </c>
      <c r="Z1243">
        <v>4.7E-2</v>
      </c>
      <c r="AA1243">
        <v>8.7999999999999995E-2</v>
      </c>
      <c r="AB1243">
        <v>9.1999999999999998E-2</v>
      </c>
      <c r="AC1243">
        <v>6</v>
      </c>
      <c r="AD1243" s="6">
        <v>50</v>
      </c>
      <c r="AE1243" s="6">
        <v>25</v>
      </c>
      <c r="AF1243" s="6">
        <v>0</v>
      </c>
      <c r="AG1243" s="6">
        <v>60.32</v>
      </c>
      <c r="AH1243" s="6">
        <v>79.540000000000006</v>
      </c>
      <c r="AI1243" s="6">
        <f t="shared" si="38"/>
        <v>19.220000000000006</v>
      </c>
      <c r="AJ1243" s="5">
        <f t="shared" si="39"/>
        <v>0.24163942670354543</v>
      </c>
    </row>
    <row r="1244" spans="1:36">
      <c r="A1244" t="s">
        <v>192</v>
      </c>
      <c r="B1244" t="s">
        <v>1529</v>
      </c>
      <c r="C1244" t="s">
        <v>88</v>
      </c>
      <c r="D1244" t="s">
        <v>77</v>
      </c>
      <c r="E1244" t="s">
        <v>55</v>
      </c>
      <c r="F1244">
        <v>0</v>
      </c>
      <c r="G1244">
        <v>3259</v>
      </c>
      <c r="H1244">
        <v>1</v>
      </c>
      <c r="I1244" t="s">
        <v>181</v>
      </c>
      <c r="J1244">
        <v>3</v>
      </c>
      <c r="K1244" s="6">
        <v>10.06</v>
      </c>
      <c r="L1244" t="s">
        <v>174</v>
      </c>
      <c r="M1244">
        <v>0</v>
      </c>
      <c r="N1244" t="s">
        <v>187</v>
      </c>
      <c r="O1244">
        <v>2</v>
      </c>
      <c r="P1244">
        <v>0</v>
      </c>
      <c r="Q1244" s="6">
        <v>61.9</v>
      </c>
      <c r="R1244">
        <v>0</v>
      </c>
      <c r="S1244" s="6">
        <v>0</v>
      </c>
      <c r="T1244">
        <v>0</v>
      </c>
      <c r="U1244" s="6">
        <v>2012</v>
      </c>
      <c r="V1244">
        <v>0</v>
      </c>
      <c r="W1244">
        <v>0</v>
      </c>
      <c r="X1244">
        <v>0</v>
      </c>
      <c r="Y1244" s="6">
        <v>53.1</v>
      </c>
      <c r="Z1244">
        <v>4.7E-2</v>
      </c>
      <c r="AA1244">
        <v>8.7999999999999995E-2</v>
      </c>
      <c r="AB1244">
        <v>9.1999999999999998E-2</v>
      </c>
      <c r="AC1244">
        <v>6</v>
      </c>
      <c r="AD1244" s="6">
        <v>60</v>
      </c>
      <c r="AE1244" s="6">
        <v>0</v>
      </c>
      <c r="AF1244" s="6">
        <v>0</v>
      </c>
      <c r="AG1244" s="6">
        <v>106.9</v>
      </c>
      <c r="AH1244" s="6">
        <v>137.88</v>
      </c>
      <c r="AI1244" s="6">
        <f t="shared" si="38"/>
        <v>30.97999999999999</v>
      </c>
      <c r="AJ1244" s="5">
        <f t="shared" si="39"/>
        <v>0.22468813460980555</v>
      </c>
    </row>
    <row r="1245" spans="1:36">
      <c r="A1245" t="s">
        <v>316</v>
      </c>
      <c r="B1245" t="s">
        <v>1530</v>
      </c>
      <c r="C1245" t="s">
        <v>88</v>
      </c>
      <c r="D1245" t="s">
        <v>77</v>
      </c>
      <c r="E1245" t="s">
        <v>55</v>
      </c>
      <c r="F1245">
        <v>0</v>
      </c>
      <c r="G1245">
        <v>3259</v>
      </c>
      <c r="H1245">
        <v>1</v>
      </c>
      <c r="I1245" t="s">
        <v>181</v>
      </c>
      <c r="J1245">
        <v>3</v>
      </c>
      <c r="K1245" s="6">
        <v>13.02</v>
      </c>
      <c r="L1245" t="s">
        <v>174</v>
      </c>
      <c r="M1245">
        <v>0</v>
      </c>
      <c r="N1245" t="s">
        <v>175</v>
      </c>
      <c r="O1245">
        <v>1</v>
      </c>
      <c r="P1245">
        <v>0</v>
      </c>
      <c r="Q1245" s="6">
        <v>46.1</v>
      </c>
      <c r="R1245">
        <v>0</v>
      </c>
      <c r="S1245" s="6">
        <v>0</v>
      </c>
      <c r="T1245">
        <v>0</v>
      </c>
      <c r="U1245" s="6">
        <v>3641</v>
      </c>
      <c r="V1245">
        <v>1</v>
      </c>
      <c r="W1245">
        <v>0</v>
      </c>
      <c r="X1245">
        <v>0</v>
      </c>
      <c r="Y1245" s="6">
        <v>53.1</v>
      </c>
      <c r="Z1245">
        <v>4.7E-2</v>
      </c>
      <c r="AA1245">
        <v>8.7999999999999995E-2</v>
      </c>
      <c r="AB1245">
        <v>9.1999999999999998E-2</v>
      </c>
      <c r="AC1245">
        <v>6</v>
      </c>
      <c r="AD1245" s="6">
        <v>60</v>
      </c>
      <c r="AE1245" s="6">
        <v>0</v>
      </c>
      <c r="AF1245" s="6">
        <v>0</v>
      </c>
      <c r="AG1245" s="6">
        <v>145.69</v>
      </c>
      <c r="AH1245" s="6">
        <v>185.62</v>
      </c>
      <c r="AI1245" s="6">
        <f t="shared" si="38"/>
        <v>39.930000000000007</v>
      </c>
      <c r="AJ1245" s="5">
        <f t="shared" si="39"/>
        <v>0.21511690550587223</v>
      </c>
    </row>
    <row r="1246" spans="1:36">
      <c r="A1246" t="s">
        <v>459</v>
      </c>
      <c r="B1246" t="s">
        <v>1531</v>
      </c>
      <c r="C1246" t="s">
        <v>88</v>
      </c>
      <c r="D1246" t="s">
        <v>77</v>
      </c>
      <c r="E1246" t="s">
        <v>55</v>
      </c>
      <c r="F1246">
        <v>0</v>
      </c>
      <c r="G1246">
        <v>3259</v>
      </c>
      <c r="H1246">
        <v>1</v>
      </c>
      <c r="I1246" t="s">
        <v>220</v>
      </c>
      <c r="J1246">
        <v>2</v>
      </c>
      <c r="K1246" s="6">
        <v>3.6</v>
      </c>
      <c r="L1246" t="s">
        <v>174</v>
      </c>
      <c r="M1246">
        <v>0</v>
      </c>
      <c r="N1246" t="s">
        <v>187</v>
      </c>
      <c r="O1246">
        <v>2</v>
      </c>
      <c r="P1246">
        <v>0</v>
      </c>
      <c r="Q1246" s="6">
        <v>71.3</v>
      </c>
      <c r="R1246">
        <v>0</v>
      </c>
      <c r="S1246" s="6">
        <v>0</v>
      </c>
      <c r="T1246">
        <v>0</v>
      </c>
      <c r="U1246" s="6">
        <v>1917</v>
      </c>
      <c r="V1246">
        <v>0</v>
      </c>
      <c r="W1246">
        <v>0</v>
      </c>
      <c r="X1246">
        <v>0</v>
      </c>
      <c r="Y1246" s="6">
        <v>53.1</v>
      </c>
      <c r="Z1246">
        <v>4.7E-2</v>
      </c>
      <c r="AA1246">
        <v>8.7999999999999995E-2</v>
      </c>
      <c r="AB1246">
        <v>9.1999999999999998E-2</v>
      </c>
      <c r="AC1246">
        <v>6</v>
      </c>
      <c r="AD1246" s="6">
        <v>50</v>
      </c>
      <c r="AE1246" s="6">
        <v>0</v>
      </c>
      <c r="AF1246" s="6">
        <v>0</v>
      </c>
      <c r="AG1246" s="6">
        <v>71.23</v>
      </c>
      <c r="AH1246" s="6">
        <v>93.23</v>
      </c>
      <c r="AI1246" s="6">
        <f t="shared" si="38"/>
        <v>22</v>
      </c>
      <c r="AJ1246" s="5">
        <f t="shared" si="39"/>
        <v>0.23597554435267618</v>
      </c>
    </row>
    <row r="1247" spans="1:36">
      <c r="A1247" t="s">
        <v>228</v>
      </c>
      <c r="B1247" t="s">
        <v>1532</v>
      </c>
      <c r="C1247" t="s">
        <v>88</v>
      </c>
      <c r="D1247" t="s">
        <v>77</v>
      </c>
      <c r="E1247" t="s">
        <v>55</v>
      </c>
      <c r="F1247">
        <v>0</v>
      </c>
      <c r="G1247">
        <v>3259</v>
      </c>
      <c r="H1247">
        <v>1</v>
      </c>
      <c r="I1247" t="s">
        <v>181</v>
      </c>
      <c r="J1247">
        <v>3</v>
      </c>
      <c r="K1247" s="6">
        <v>7.61</v>
      </c>
      <c r="L1247" t="s">
        <v>174</v>
      </c>
      <c r="M1247">
        <v>0</v>
      </c>
      <c r="N1247" t="s">
        <v>175</v>
      </c>
      <c r="O1247">
        <v>1</v>
      </c>
      <c r="P1247">
        <v>0</v>
      </c>
      <c r="Q1247" s="6">
        <v>45.6</v>
      </c>
      <c r="R1247">
        <v>1</v>
      </c>
      <c r="S1247" s="6">
        <v>4099</v>
      </c>
      <c r="T1247">
        <v>0</v>
      </c>
      <c r="U1247" s="6">
        <v>5871</v>
      </c>
      <c r="V1247">
        <v>0</v>
      </c>
      <c r="W1247">
        <v>0</v>
      </c>
      <c r="X1247">
        <v>0</v>
      </c>
      <c r="Y1247" s="6">
        <v>53.1</v>
      </c>
      <c r="Z1247">
        <v>4.7E-2</v>
      </c>
      <c r="AA1247">
        <v>8.7999999999999995E-2</v>
      </c>
      <c r="AB1247">
        <v>9.1999999999999998E-2</v>
      </c>
      <c r="AC1247">
        <v>6</v>
      </c>
      <c r="AD1247" s="6">
        <v>60</v>
      </c>
      <c r="AE1247" s="6">
        <v>40</v>
      </c>
      <c r="AF1247" s="6">
        <v>0</v>
      </c>
      <c r="AG1247" s="6">
        <v>83.66</v>
      </c>
      <c r="AH1247" s="6">
        <v>107.98</v>
      </c>
      <c r="AI1247" s="6">
        <f t="shared" si="38"/>
        <v>24.320000000000007</v>
      </c>
      <c r="AJ1247" s="5">
        <f t="shared" si="39"/>
        <v>0.22522689386923511</v>
      </c>
    </row>
    <row r="1248" spans="1:36">
      <c r="A1248" t="s">
        <v>765</v>
      </c>
      <c r="B1248" t="s">
        <v>1533</v>
      </c>
      <c r="C1248" t="s">
        <v>88</v>
      </c>
      <c r="D1248" t="s">
        <v>77</v>
      </c>
      <c r="E1248" t="s">
        <v>55</v>
      </c>
      <c r="F1248">
        <v>0</v>
      </c>
      <c r="G1248">
        <v>3259</v>
      </c>
      <c r="H1248">
        <v>1</v>
      </c>
      <c r="I1248" t="s">
        <v>173</v>
      </c>
      <c r="J1248">
        <v>1</v>
      </c>
      <c r="K1248" s="6">
        <v>1.33</v>
      </c>
      <c r="L1248" t="s">
        <v>174</v>
      </c>
      <c r="M1248">
        <v>0</v>
      </c>
      <c r="N1248" t="s">
        <v>187</v>
      </c>
      <c r="O1248">
        <v>2</v>
      </c>
      <c r="P1248">
        <v>0</v>
      </c>
      <c r="Q1248" s="6">
        <v>59.3</v>
      </c>
      <c r="R1248">
        <v>0</v>
      </c>
      <c r="S1248" s="6">
        <v>0</v>
      </c>
      <c r="T1248">
        <v>0</v>
      </c>
      <c r="U1248" s="6">
        <v>2555</v>
      </c>
      <c r="V1248">
        <v>0</v>
      </c>
      <c r="W1248">
        <v>0</v>
      </c>
      <c r="X1248">
        <v>0</v>
      </c>
      <c r="Y1248" s="6">
        <v>53.1</v>
      </c>
      <c r="Z1248">
        <v>4.7E-2</v>
      </c>
      <c r="AA1248">
        <v>8.7999999999999995E-2</v>
      </c>
      <c r="AB1248">
        <v>9.1999999999999998E-2</v>
      </c>
      <c r="AC1248">
        <v>6</v>
      </c>
      <c r="AD1248" s="6">
        <v>50</v>
      </c>
      <c r="AE1248" s="6">
        <v>0</v>
      </c>
      <c r="AF1248" s="6">
        <v>0</v>
      </c>
      <c r="AG1248" s="6">
        <v>53.26</v>
      </c>
      <c r="AH1248" s="6">
        <v>68.08</v>
      </c>
      <c r="AI1248" s="6">
        <f t="shared" si="38"/>
        <v>14.82</v>
      </c>
      <c r="AJ1248" s="5">
        <f t="shared" si="39"/>
        <v>0.21768507638072856</v>
      </c>
    </row>
    <row r="1249" spans="1:36">
      <c r="A1249" t="s">
        <v>210</v>
      </c>
      <c r="B1249" t="s">
        <v>1534</v>
      </c>
      <c r="C1249" t="s">
        <v>88</v>
      </c>
      <c r="D1249" t="s">
        <v>77</v>
      </c>
      <c r="E1249" t="s">
        <v>55</v>
      </c>
      <c r="F1249">
        <v>0</v>
      </c>
      <c r="G1249">
        <v>3259</v>
      </c>
      <c r="H1249">
        <v>1</v>
      </c>
      <c r="I1249" t="s">
        <v>173</v>
      </c>
      <c r="J1249">
        <v>1</v>
      </c>
      <c r="K1249" s="6">
        <v>2.14</v>
      </c>
      <c r="L1249" t="s">
        <v>174</v>
      </c>
      <c r="M1249">
        <v>0</v>
      </c>
      <c r="N1249" t="s">
        <v>182</v>
      </c>
      <c r="O1249">
        <v>3</v>
      </c>
      <c r="P1249">
        <v>0</v>
      </c>
      <c r="Q1249" s="6">
        <v>110.7</v>
      </c>
      <c r="R1249">
        <v>0</v>
      </c>
      <c r="S1249" s="6">
        <v>0</v>
      </c>
      <c r="T1249">
        <v>0</v>
      </c>
      <c r="U1249" s="6">
        <v>2882</v>
      </c>
      <c r="V1249">
        <v>0</v>
      </c>
      <c r="W1249">
        <v>0</v>
      </c>
      <c r="X1249">
        <v>0</v>
      </c>
      <c r="Y1249" s="6">
        <v>53.1</v>
      </c>
      <c r="Z1249">
        <v>4.7E-2</v>
      </c>
      <c r="AA1249">
        <v>8.7999999999999995E-2</v>
      </c>
      <c r="AB1249">
        <v>9.1999999999999998E-2</v>
      </c>
      <c r="AC1249">
        <v>6</v>
      </c>
      <c r="AD1249" s="6">
        <v>50</v>
      </c>
      <c r="AE1249" s="6">
        <v>0</v>
      </c>
      <c r="AF1249" s="6">
        <v>0</v>
      </c>
      <c r="AG1249" s="6">
        <v>58.48</v>
      </c>
      <c r="AH1249" s="6">
        <v>76.739999999999995</v>
      </c>
      <c r="AI1249" s="6">
        <f t="shared" si="38"/>
        <v>18.259999999999998</v>
      </c>
      <c r="AJ1249" s="5">
        <f t="shared" si="39"/>
        <v>0.23794631222309096</v>
      </c>
    </row>
    <row r="1250" spans="1:36">
      <c r="A1250" t="s">
        <v>635</v>
      </c>
      <c r="B1250" t="s">
        <v>1535</v>
      </c>
      <c r="C1250" t="s">
        <v>88</v>
      </c>
      <c r="D1250" t="s">
        <v>77</v>
      </c>
      <c r="E1250" t="s">
        <v>55</v>
      </c>
      <c r="F1250">
        <v>0</v>
      </c>
      <c r="G1250">
        <v>3259</v>
      </c>
      <c r="H1250">
        <v>1</v>
      </c>
      <c r="I1250" t="s">
        <v>173</v>
      </c>
      <c r="J1250">
        <v>1</v>
      </c>
      <c r="K1250" s="6">
        <v>1.79</v>
      </c>
      <c r="L1250" t="s">
        <v>174</v>
      </c>
      <c r="M1250">
        <v>0</v>
      </c>
      <c r="N1250" t="s">
        <v>187</v>
      </c>
      <c r="O1250">
        <v>2</v>
      </c>
      <c r="P1250">
        <v>0</v>
      </c>
      <c r="Q1250" s="6">
        <v>51.4</v>
      </c>
      <c r="R1250">
        <v>0</v>
      </c>
      <c r="S1250" s="6">
        <v>0</v>
      </c>
      <c r="T1250">
        <v>0</v>
      </c>
      <c r="U1250" s="6">
        <v>1621</v>
      </c>
      <c r="V1250">
        <v>0</v>
      </c>
      <c r="W1250">
        <v>0</v>
      </c>
      <c r="X1250">
        <v>0</v>
      </c>
      <c r="Y1250" s="6">
        <v>53.1</v>
      </c>
      <c r="Z1250">
        <v>4.7E-2</v>
      </c>
      <c r="AA1250">
        <v>8.7999999999999995E-2</v>
      </c>
      <c r="AB1250">
        <v>9.1999999999999998E-2</v>
      </c>
      <c r="AC1250">
        <v>6</v>
      </c>
      <c r="AD1250" s="6">
        <v>50</v>
      </c>
      <c r="AE1250" s="6">
        <v>0</v>
      </c>
      <c r="AF1250" s="6">
        <v>0</v>
      </c>
      <c r="AG1250" s="6">
        <v>50.48</v>
      </c>
      <c r="AH1250" s="6">
        <v>65.89</v>
      </c>
      <c r="AI1250" s="6">
        <f t="shared" si="38"/>
        <v>15.410000000000004</v>
      </c>
      <c r="AJ1250" s="5">
        <f t="shared" si="39"/>
        <v>0.23387463955076648</v>
      </c>
    </row>
    <row r="1251" spans="1:36">
      <c r="A1251" t="s">
        <v>350</v>
      </c>
      <c r="B1251" t="s">
        <v>1536</v>
      </c>
      <c r="C1251" t="s">
        <v>88</v>
      </c>
      <c r="D1251" t="s">
        <v>77</v>
      </c>
      <c r="E1251" t="s">
        <v>55</v>
      </c>
      <c r="F1251">
        <v>0</v>
      </c>
      <c r="G1251">
        <v>3259</v>
      </c>
      <c r="H1251">
        <v>1</v>
      </c>
      <c r="I1251" t="s">
        <v>173</v>
      </c>
      <c r="J1251">
        <v>1</v>
      </c>
      <c r="K1251" s="6">
        <v>2.02</v>
      </c>
      <c r="L1251" t="s">
        <v>174</v>
      </c>
      <c r="M1251">
        <v>0</v>
      </c>
      <c r="N1251" t="s">
        <v>175</v>
      </c>
      <c r="O1251">
        <v>1</v>
      </c>
      <c r="P1251">
        <v>1</v>
      </c>
      <c r="Q1251" s="6">
        <v>39</v>
      </c>
      <c r="R1251">
        <v>1</v>
      </c>
      <c r="S1251" s="6">
        <v>4820</v>
      </c>
      <c r="T1251">
        <v>0</v>
      </c>
      <c r="U1251" s="6">
        <v>3088</v>
      </c>
      <c r="V1251">
        <v>0</v>
      </c>
      <c r="W1251">
        <v>0</v>
      </c>
      <c r="X1251">
        <v>0</v>
      </c>
      <c r="Y1251" s="6">
        <v>53.1</v>
      </c>
      <c r="Z1251">
        <v>4.7E-2</v>
      </c>
      <c r="AA1251">
        <v>8.7999999999999995E-2</v>
      </c>
      <c r="AB1251">
        <v>9.1999999999999998E-2</v>
      </c>
      <c r="AC1251">
        <v>6</v>
      </c>
      <c r="AD1251" s="6">
        <v>50</v>
      </c>
      <c r="AE1251" s="6">
        <v>40</v>
      </c>
      <c r="AF1251" s="6">
        <v>0</v>
      </c>
      <c r="AG1251" s="6">
        <v>73.67</v>
      </c>
      <c r="AH1251" s="6">
        <v>93.18</v>
      </c>
      <c r="AI1251" s="6">
        <f t="shared" si="38"/>
        <v>19.510000000000005</v>
      </c>
      <c r="AJ1251" s="5">
        <f t="shared" si="39"/>
        <v>0.20937969521356517</v>
      </c>
    </row>
    <row r="1252" spans="1:36">
      <c r="A1252" t="s">
        <v>233</v>
      </c>
      <c r="B1252" t="s">
        <v>1537</v>
      </c>
      <c r="C1252" t="s">
        <v>88</v>
      </c>
      <c r="D1252" t="s">
        <v>77</v>
      </c>
      <c r="E1252" t="s">
        <v>55</v>
      </c>
      <c r="F1252">
        <v>0</v>
      </c>
      <c r="G1252">
        <v>3259</v>
      </c>
      <c r="H1252">
        <v>1</v>
      </c>
      <c r="I1252" t="s">
        <v>173</v>
      </c>
      <c r="J1252">
        <v>1</v>
      </c>
      <c r="K1252" s="6">
        <v>1.65</v>
      </c>
      <c r="L1252" t="s">
        <v>174</v>
      </c>
      <c r="M1252">
        <v>0</v>
      </c>
      <c r="N1252" t="s">
        <v>175</v>
      </c>
      <c r="O1252">
        <v>1</v>
      </c>
      <c r="P1252">
        <v>0</v>
      </c>
      <c r="Q1252" s="6">
        <v>15.2</v>
      </c>
      <c r="R1252">
        <v>0</v>
      </c>
      <c r="S1252" s="6">
        <v>0</v>
      </c>
      <c r="T1252">
        <v>0</v>
      </c>
      <c r="U1252" s="6">
        <v>1652</v>
      </c>
      <c r="V1252">
        <v>0</v>
      </c>
      <c r="W1252">
        <v>0</v>
      </c>
      <c r="X1252">
        <v>0</v>
      </c>
      <c r="Y1252" s="6">
        <v>53.1</v>
      </c>
      <c r="Z1252">
        <v>4.7E-2</v>
      </c>
      <c r="AA1252">
        <v>8.7999999999999995E-2</v>
      </c>
      <c r="AB1252">
        <v>9.1999999999999998E-2</v>
      </c>
      <c r="AC1252">
        <v>6</v>
      </c>
      <c r="AD1252" s="6">
        <v>50</v>
      </c>
      <c r="AE1252" s="6">
        <v>0</v>
      </c>
      <c r="AF1252" s="6">
        <v>0</v>
      </c>
      <c r="AG1252" s="6">
        <v>44.04</v>
      </c>
      <c r="AH1252" s="6">
        <v>55.88</v>
      </c>
      <c r="AI1252" s="6">
        <f t="shared" si="38"/>
        <v>11.840000000000003</v>
      </c>
      <c r="AJ1252" s="5">
        <f t="shared" si="39"/>
        <v>0.21188260558339303</v>
      </c>
    </row>
    <row r="1253" spans="1:36">
      <c r="A1253" t="s">
        <v>185</v>
      </c>
      <c r="B1253" t="s">
        <v>1538</v>
      </c>
      <c r="C1253" t="s">
        <v>88</v>
      </c>
      <c r="D1253" t="s">
        <v>77</v>
      </c>
      <c r="E1253" t="s">
        <v>55</v>
      </c>
      <c r="F1253">
        <v>0</v>
      </c>
      <c r="G1253">
        <v>3259</v>
      </c>
      <c r="H1253">
        <v>1</v>
      </c>
      <c r="I1253" t="s">
        <v>173</v>
      </c>
      <c r="J1253">
        <v>1</v>
      </c>
      <c r="K1253" s="6">
        <v>1.18</v>
      </c>
      <c r="L1253" t="s">
        <v>174</v>
      </c>
      <c r="M1253">
        <v>0</v>
      </c>
      <c r="N1253" t="s">
        <v>182</v>
      </c>
      <c r="O1253">
        <v>3</v>
      </c>
      <c r="P1253">
        <v>0</v>
      </c>
      <c r="Q1253" s="6">
        <v>123.1</v>
      </c>
      <c r="R1253">
        <v>0</v>
      </c>
      <c r="S1253" s="6">
        <v>0</v>
      </c>
      <c r="T1253">
        <v>0</v>
      </c>
      <c r="U1253" s="6">
        <v>2729</v>
      </c>
      <c r="V1253">
        <v>0</v>
      </c>
      <c r="W1253">
        <v>0</v>
      </c>
      <c r="X1253">
        <v>0</v>
      </c>
      <c r="Y1253" s="6">
        <v>53.1</v>
      </c>
      <c r="Z1253">
        <v>4.7E-2</v>
      </c>
      <c r="AA1253">
        <v>8.7999999999999995E-2</v>
      </c>
      <c r="AB1253">
        <v>9.1999999999999998E-2</v>
      </c>
      <c r="AC1253">
        <v>6</v>
      </c>
      <c r="AD1253" s="6">
        <v>50</v>
      </c>
      <c r="AE1253" s="6">
        <v>0</v>
      </c>
      <c r="AF1253" s="6">
        <v>0</v>
      </c>
      <c r="AG1253" s="6">
        <v>63.27</v>
      </c>
      <c r="AH1253" s="6">
        <v>82.4</v>
      </c>
      <c r="AI1253" s="6">
        <f t="shared" si="38"/>
        <v>19.130000000000003</v>
      </c>
      <c r="AJ1253" s="5">
        <f t="shared" si="39"/>
        <v>0.23216019417475731</v>
      </c>
    </row>
    <row r="1254" spans="1:36">
      <c r="A1254" t="s">
        <v>330</v>
      </c>
      <c r="B1254" t="s">
        <v>1539</v>
      </c>
      <c r="C1254" t="s">
        <v>88</v>
      </c>
      <c r="D1254" t="s">
        <v>77</v>
      </c>
      <c r="E1254" t="s">
        <v>55</v>
      </c>
      <c r="F1254">
        <v>0</v>
      </c>
      <c r="G1254">
        <v>3259</v>
      </c>
      <c r="H1254">
        <v>1</v>
      </c>
      <c r="I1254" t="s">
        <v>173</v>
      </c>
      <c r="J1254">
        <v>1</v>
      </c>
      <c r="K1254" s="6">
        <v>1.68</v>
      </c>
      <c r="L1254" t="s">
        <v>200</v>
      </c>
      <c r="M1254">
        <v>1</v>
      </c>
      <c r="N1254" t="s">
        <v>182</v>
      </c>
      <c r="O1254">
        <v>3</v>
      </c>
      <c r="P1254">
        <v>0</v>
      </c>
      <c r="Q1254" s="6">
        <v>61.1</v>
      </c>
      <c r="R1254">
        <v>0</v>
      </c>
      <c r="S1254" s="6">
        <v>0</v>
      </c>
      <c r="T1254">
        <v>0</v>
      </c>
      <c r="U1254" s="6">
        <v>8245</v>
      </c>
      <c r="V1254">
        <v>0</v>
      </c>
      <c r="W1254">
        <v>0</v>
      </c>
      <c r="X1254">
        <v>0</v>
      </c>
      <c r="Y1254" s="6">
        <v>53.1</v>
      </c>
      <c r="Z1254">
        <v>4.7E-2</v>
      </c>
      <c r="AA1254">
        <v>8.7999999999999995E-2</v>
      </c>
      <c r="AB1254">
        <v>9.1999999999999998E-2</v>
      </c>
      <c r="AC1254">
        <v>6</v>
      </c>
      <c r="AD1254" s="6">
        <v>99</v>
      </c>
      <c r="AE1254" s="6">
        <v>0</v>
      </c>
      <c r="AF1254" s="6">
        <v>0</v>
      </c>
      <c r="AG1254" s="6">
        <v>87.28</v>
      </c>
      <c r="AH1254" s="6">
        <v>112.77</v>
      </c>
      <c r="AI1254" s="6">
        <f t="shared" si="38"/>
        <v>25.489999999999995</v>
      </c>
      <c r="AJ1254" s="5">
        <f t="shared" si="39"/>
        <v>0.22603529307439918</v>
      </c>
    </row>
    <row r="1255" spans="1:36">
      <c r="A1255" t="s">
        <v>488</v>
      </c>
      <c r="B1255" t="s">
        <v>1540</v>
      </c>
      <c r="C1255" t="s">
        <v>88</v>
      </c>
      <c r="D1255" t="s">
        <v>77</v>
      </c>
      <c r="E1255" t="s">
        <v>55</v>
      </c>
      <c r="F1255">
        <v>0</v>
      </c>
      <c r="G1255">
        <v>3259</v>
      </c>
      <c r="H1255">
        <v>1</v>
      </c>
      <c r="I1255" t="s">
        <v>173</v>
      </c>
      <c r="J1255">
        <v>1</v>
      </c>
      <c r="K1255" s="6">
        <v>1.49</v>
      </c>
      <c r="L1255" t="s">
        <v>174</v>
      </c>
      <c r="M1255">
        <v>0</v>
      </c>
      <c r="N1255" t="s">
        <v>175</v>
      </c>
      <c r="O1255">
        <v>1</v>
      </c>
      <c r="P1255">
        <v>0</v>
      </c>
      <c r="Q1255" s="6">
        <v>15.4</v>
      </c>
      <c r="R1255">
        <v>0</v>
      </c>
      <c r="S1255" s="6">
        <v>0</v>
      </c>
      <c r="T1255">
        <v>0</v>
      </c>
      <c r="U1255" s="6">
        <v>2924</v>
      </c>
      <c r="V1255">
        <v>0</v>
      </c>
      <c r="W1255">
        <v>0</v>
      </c>
      <c r="X1255">
        <v>0</v>
      </c>
      <c r="Y1255" s="6">
        <v>53.1</v>
      </c>
      <c r="Z1255">
        <v>4.7E-2</v>
      </c>
      <c r="AA1255">
        <v>8.7999999999999995E-2</v>
      </c>
      <c r="AB1255">
        <v>9.1999999999999998E-2</v>
      </c>
      <c r="AC1255">
        <v>6</v>
      </c>
      <c r="AD1255" s="6">
        <v>50</v>
      </c>
      <c r="AE1255" s="6">
        <v>0</v>
      </c>
      <c r="AF1255" s="6">
        <v>0</v>
      </c>
      <c r="AG1255" s="6">
        <v>44.87</v>
      </c>
      <c r="AH1255" s="6">
        <v>60.16</v>
      </c>
      <c r="AI1255" s="6">
        <f t="shared" si="38"/>
        <v>15.29</v>
      </c>
      <c r="AJ1255" s="5">
        <f t="shared" si="39"/>
        <v>0.25415558510638298</v>
      </c>
    </row>
    <row r="1256" spans="1:36">
      <c r="A1256" t="s">
        <v>204</v>
      </c>
      <c r="B1256" t="s">
        <v>1541</v>
      </c>
      <c r="C1256" t="s">
        <v>88</v>
      </c>
      <c r="D1256" t="s">
        <v>77</v>
      </c>
      <c r="E1256" t="s">
        <v>55</v>
      </c>
      <c r="F1256">
        <v>0</v>
      </c>
      <c r="G1256">
        <v>3259</v>
      </c>
      <c r="H1256">
        <v>1</v>
      </c>
      <c r="I1256" t="s">
        <v>181</v>
      </c>
      <c r="J1256">
        <v>3</v>
      </c>
      <c r="K1256" s="6">
        <v>10.99</v>
      </c>
      <c r="L1256" t="s">
        <v>200</v>
      </c>
      <c r="M1256">
        <v>1</v>
      </c>
      <c r="N1256" t="s">
        <v>182</v>
      </c>
      <c r="O1256">
        <v>3</v>
      </c>
      <c r="P1256">
        <v>0</v>
      </c>
      <c r="Q1256" s="6">
        <v>105.3</v>
      </c>
      <c r="R1256">
        <v>0</v>
      </c>
      <c r="S1256" s="6">
        <v>0</v>
      </c>
      <c r="T1256">
        <v>0</v>
      </c>
      <c r="U1256" s="6">
        <v>2239</v>
      </c>
      <c r="V1256">
        <v>0</v>
      </c>
      <c r="W1256">
        <v>0</v>
      </c>
      <c r="X1256">
        <v>0</v>
      </c>
      <c r="Y1256" s="6">
        <v>53.1</v>
      </c>
      <c r="Z1256">
        <v>4.7E-2</v>
      </c>
      <c r="AA1256">
        <v>8.7999999999999995E-2</v>
      </c>
      <c r="AB1256">
        <v>9.1999999999999998E-2</v>
      </c>
      <c r="AC1256">
        <v>6</v>
      </c>
      <c r="AD1256" s="6">
        <v>139</v>
      </c>
      <c r="AE1256" s="6">
        <v>0</v>
      </c>
      <c r="AF1256" s="6">
        <v>0</v>
      </c>
      <c r="AG1256" s="6">
        <v>139.33000000000001</v>
      </c>
      <c r="AH1256" s="6">
        <v>175.94</v>
      </c>
      <c r="AI1256" s="6">
        <f t="shared" si="38"/>
        <v>36.609999999999985</v>
      </c>
      <c r="AJ1256" s="5">
        <f t="shared" si="39"/>
        <v>0.20808230078435822</v>
      </c>
    </row>
    <row r="1257" spans="1:36">
      <c r="A1257" t="s">
        <v>521</v>
      </c>
      <c r="B1257" t="s">
        <v>1542</v>
      </c>
      <c r="C1257" t="s">
        <v>88</v>
      </c>
      <c r="D1257" t="s">
        <v>77</v>
      </c>
      <c r="E1257" t="s">
        <v>55</v>
      </c>
      <c r="F1257">
        <v>0</v>
      </c>
      <c r="G1257">
        <v>3259</v>
      </c>
      <c r="H1257">
        <v>1</v>
      </c>
      <c r="I1257" t="s">
        <v>220</v>
      </c>
      <c r="J1257">
        <v>2</v>
      </c>
      <c r="K1257" s="6">
        <v>5.69</v>
      </c>
      <c r="L1257" t="s">
        <v>174</v>
      </c>
      <c r="M1257">
        <v>0</v>
      </c>
      <c r="N1257" t="s">
        <v>175</v>
      </c>
      <c r="O1257">
        <v>1</v>
      </c>
      <c r="P1257">
        <v>1</v>
      </c>
      <c r="Q1257" s="6">
        <v>23</v>
      </c>
      <c r="R1257">
        <v>0</v>
      </c>
      <c r="S1257" s="6">
        <v>0</v>
      </c>
      <c r="T1257">
        <v>0</v>
      </c>
      <c r="U1257" s="6">
        <v>2538</v>
      </c>
      <c r="V1257">
        <v>0</v>
      </c>
      <c r="W1257">
        <v>0</v>
      </c>
      <c r="X1257">
        <v>0</v>
      </c>
      <c r="Y1257" s="6">
        <v>53.1</v>
      </c>
      <c r="Z1257">
        <v>4.7E-2</v>
      </c>
      <c r="AA1257">
        <v>8.7999999999999995E-2</v>
      </c>
      <c r="AB1257">
        <v>9.1999999999999998E-2</v>
      </c>
      <c r="AC1257">
        <v>6</v>
      </c>
      <c r="AD1257" s="6">
        <v>50</v>
      </c>
      <c r="AE1257" s="6">
        <v>0</v>
      </c>
      <c r="AF1257" s="6">
        <v>0</v>
      </c>
      <c r="AG1257" s="6">
        <v>78.86</v>
      </c>
      <c r="AH1257" s="6">
        <v>101.22</v>
      </c>
      <c r="AI1257" s="6">
        <f t="shared" si="38"/>
        <v>22.36</v>
      </c>
      <c r="AJ1257" s="5">
        <f t="shared" si="39"/>
        <v>0.2209049594941711</v>
      </c>
    </row>
    <row r="1258" spans="1:36">
      <c r="A1258" t="s">
        <v>431</v>
      </c>
      <c r="B1258" t="s">
        <v>1543</v>
      </c>
      <c r="C1258" t="s">
        <v>88</v>
      </c>
      <c r="D1258" t="s">
        <v>77</v>
      </c>
      <c r="E1258" t="s">
        <v>55</v>
      </c>
      <c r="F1258">
        <v>0</v>
      </c>
      <c r="G1258">
        <v>3259</v>
      </c>
      <c r="H1258">
        <v>1</v>
      </c>
      <c r="I1258" t="s">
        <v>173</v>
      </c>
      <c r="J1258">
        <v>1</v>
      </c>
      <c r="K1258" s="6">
        <v>1.6</v>
      </c>
      <c r="L1258" t="s">
        <v>174</v>
      </c>
      <c r="M1258">
        <v>0</v>
      </c>
      <c r="N1258" t="s">
        <v>182</v>
      </c>
      <c r="O1258">
        <v>3</v>
      </c>
      <c r="P1258">
        <v>0</v>
      </c>
      <c r="Q1258" s="6">
        <v>84.3</v>
      </c>
      <c r="R1258">
        <v>1</v>
      </c>
      <c r="S1258" s="6">
        <v>496</v>
      </c>
      <c r="T1258">
        <v>0</v>
      </c>
      <c r="U1258" s="6">
        <v>1969</v>
      </c>
      <c r="V1258">
        <v>0</v>
      </c>
      <c r="W1258">
        <v>0</v>
      </c>
      <c r="X1258">
        <v>0</v>
      </c>
      <c r="Y1258" s="6">
        <v>53.1</v>
      </c>
      <c r="Z1258">
        <v>4.7E-2</v>
      </c>
      <c r="AA1258">
        <v>8.7999999999999995E-2</v>
      </c>
      <c r="AB1258">
        <v>9.1999999999999998E-2</v>
      </c>
      <c r="AC1258">
        <v>6</v>
      </c>
      <c r="AD1258" s="6">
        <v>50</v>
      </c>
      <c r="AE1258" s="6">
        <v>25</v>
      </c>
      <c r="AF1258" s="6">
        <v>0</v>
      </c>
      <c r="AG1258" s="6">
        <v>66.23</v>
      </c>
      <c r="AH1258" s="6">
        <v>85.68</v>
      </c>
      <c r="AI1258" s="6">
        <f t="shared" si="38"/>
        <v>19.450000000000003</v>
      </c>
      <c r="AJ1258" s="5">
        <f t="shared" si="39"/>
        <v>0.2270074696545285</v>
      </c>
    </row>
    <row r="1259" spans="1:36">
      <c r="A1259" t="s">
        <v>279</v>
      </c>
      <c r="B1259" t="s">
        <v>1544</v>
      </c>
      <c r="C1259" t="s">
        <v>88</v>
      </c>
      <c r="D1259" t="s">
        <v>77</v>
      </c>
      <c r="E1259" t="s">
        <v>55</v>
      </c>
      <c r="F1259">
        <v>0</v>
      </c>
      <c r="G1259">
        <v>3259</v>
      </c>
      <c r="H1259">
        <v>1</v>
      </c>
      <c r="I1259" t="s">
        <v>173</v>
      </c>
      <c r="J1259">
        <v>1</v>
      </c>
      <c r="K1259" s="6">
        <v>1.54</v>
      </c>
      <c r="L1259" t="s">
        <v>174</v>
      </c>
      <c r="M1259">
        <v>0</v>
      </c>
      <c r="N1259" t="s">
        <v>175</v>
      </c>
      <c r="O1259">
        <v>1</v>
      </c>
      <c r="P1259">
        <v>0</v>
      </c>
      <c r="Q1259" s="6">
        <v>62.3</v>
      </c>
      <c r="R1259">
        <v>1</v>
      </c>
      <c r="S1259" s="6">
        <v>1508</v>
      </c>
      <c r="T1259">
        <v>0</v>
      </c>
      <c r="U1259" s="6">
        <v>5104</v>
      </c>
      <c r="V1259">
        <v>1</v>
      </c>
      <c r="W1259">
        <v>0</v>
      </c>
      <c r="X1259">
        <v>0</v>
      </c>
      <c r="Y1259" s="6">
        <v>53.1</v>
      </c>
      <c r="Z1259">
        <v>4.7E-2</v>
      </c>
      <c r="AA1259">
        <v>8.7999999999999995E-2</v>
      </c>
      <c r="AB1259">
        <v>9.1999999999999998E-2</v>
      </c>
      <c r="AC1259">
        <v>6</v>
      </c>
      <c r="AD1259" s="6">
        <v>50</v>
      </c>
      <c r="AE1259" s="6">
        <v>25</v>
      </c>
      <c r="AF1259" s="6">
        <v>0</v>
      </c>
      <c r="AG1259" s="6">
        <v>88.99</v>
      </c>
      <c r="AH1259" s="6">
        <v>116.06</v>
      </c>
      <c r="AI1259" s="6">
        <f t="shared" si="38"/>
        <v>27.070000000000007</v>
      </c>
      <c r="AJ1259" s="5">
        <f t="shared" si="39"/>
        <v>0.23324142684818203</v>
      </c>
    </row>
    <row r="1260" spans="1:36">
      <c r="A1260" t="s">
        <v>319</v>
      </c>
      <c r="B1260" t="s">
        <v>1545</v>
      </c>
      <c r="C1260" t="s">
        <v>88</v>
      </c>
      <c r="D1260" t="s">
        <v>77</v>
      </c>
      <c r="E1260" t="s">
        <v>55</v>
      </c>
      <c r="F1260">
        <v>0</v>
      </c>
      <c r="G1260">
        <v>3259</v>
      </c>
      <c r="H1260">
        <v>1</v>
      </c>
      <c r="I1260" t="s">
        <v>173</v>
      </c>
      <c r="J1260">
        <v>1</v>
      </c>
      <c r="K1260" s="6">
        <v>1.75</v>
      </c>
      <c r="L1260" t="s">
        <v>174</v>
      </c>
      <c r="M1260">
        <v>0</v>
      </c>
      <c r="N1260" t="s">
        <v>175</v>
      </c>
      <c r="O1260">
        <v>1</v>
      </c>
      <c r="P1260">
        <v>0</v>
      </c>
      <c r="Q1260" s="6">
        <v>47.8</v>
      </c>
      <c r="R1260">
        <v>0</v>
      </c>
      <c r="S1260" s="6">
        <v>0</v>
      </c>
      <c r="T1260">
        <v>0</v>
      </c>
      <c r="U1260" s="6">
        <v>3549</v>
      </c>
      <c r="V1260">
        <v>0</v>
      </c>
      <c r="W1260">
        <v>0</v>
      </c>
      <c r="X1260">
        <v>0</v>
      </c>
      <c r="Y1260" s="6">
        <v>53.1</v>
      </c>
      <c r="Z1260">
        <v>4.7E-2</v>
      </c>
      <c r="AA1260">
        <v>8.7999999999999995E-2</v>
      </c>
      <c r="AB1260">
        <v>9.1999999999999998E-2</v>
      </c>
      <c r="AC1260">
        <v>6</v>
      </c>
      <c r="AD1260" s="6">
        <v>50</v>
      </c>
      <c r="AE1260" s="6">
        <v>0</v>
      </c>
      <c r="AF1260" s="6">
        <v>0</v>
      </c>
      <c r="AG1260" s="6">
        <v>49.18</v>
      </c>
      <c r="AH1260" s="6">
        <v>64.58</v>
      </c>
      <c r="AI1260" s="6">
        <f t="shared" si="38"/>
        <v>15.399999999999999</v>
      </c>
      <c r="AJ1260" s="5">
        <f t="shared" si="39"/>
        <v>0.23846392071848868</v>
      </c>
    </row>
    <row r="1261" spans="1:36">
      <c r="A1261" t="s">
        <v>188</v>
      </c>
      <c r="B1261" t="s">
        <v>1546</v>
      </c>
      <c r="C1261" t="s">
        <v>88</v>
      </c>
      <c r="D1261" t="s">
        <v>77</v>
      </c>
      <c r="E1261" t="s">
        <v>55</v>
      </c>
      <c r="F1261">
        <v>0</v>
      </c>
      <c r="G1261">
        <v>3259</v>
      </c>
      <c r="H1261">
        <v>1</v>
      </c>
      <c r="I1261" t="s">
        <v>181</v>
      </c>
      <c r="J1261">
        <v>3</v>
      </c>
      <c r="K1261" s="6">
        <v>10.78</v>
      </c>
      <c r="L1261" t="s">
        <v>174</v>
      </c>
      <c r="M1261">
        <v>0</v>
      </c>
      <c r="N1261" t="s">
        <v>182</v>
      </c>
      <c r="O1261">
        <v>3</v>
      </c>
      <c r="P1261">
        <v>0</v>
      </c>
      <c r="Q1261" s="6">
        <v>72.400000000000006</v>
      </c>
      <c r="R1261">
        <v>1</v>
      </c>
      <c r="S1261" s="6">
        <v>875</v>
      </c>
      <c r="T1261">
        <v>0</v>
      </c>
      <c r="U1261" s="6">
        <v>2048</v>
      </c>
      <c r="V1261">
        <v>0</v>
      </c>
      <c r="W1261">
        <v>0</v>
      </c>
      <c r="X1261">
        <v>0</v>
      </c>
      <c r="Y1261" s="6">
        <v>53.1</v>
      </c>
      <c r="Z1261">
        <v>4.7E-2</v>
      </c>
      <c r="AA1261">
        <v>8.7999999999999995E-2</v>
      </c>
      <c r="AB1261">
        <v>9.1999999999999998E-2</v>
      </c>
      <c r="AC1261">
        <v>6</v>
      </c>
      <c r="AD1261" s="6">
        <v>60</v>
      </c>
      <c r="AE1261" s="6">
        <v>25</v>
      </c>
      <c r="AF1261" s="6">
        <v>0</v>
      </c>
      <c r="AG1261" s="6">
        <v>113.47</v>
      </c>
      <c r="AH1261" s="6">
        <v>146.41999999999999</v>
      </c>
      <c r="AI1261" s="6">
        <f t="shared" si="38"/>
        <v>32.949999999999989</v>
      </c>
      <c r="AJ1261" s="5">
        <f t="shared" si="39"/>
        <v>0.22503756317442966</v>
      </c>
    </row>
    <row r="1262" spans="1:36">
      <c r="A1262" t="s">
        <v>223</v>
      </c>
      <c r="B1262" t="s">
        <v>1547</v>
      </c>
      <c r="C1262" t="s">
        <v>88</v>
      </c>
      <c r="D1262" t="s">
        <v>77</v>
      </c>
      <c r="E1262" t="s">
        <v>55</v>
      </c>
      <c r="F1262">
        <v>0</v>
      </c>
      <c r="G1262">
        <v>3259</v>
      </c>
      <c r="H1262">
        <v>1</v>
      </c>
      <c r="I1262" t="s">
        <v>220</v>
      </c>
      <c r="J1262">
        <v>2</v>
      </c>
      <c r="K1262" s="6">
        <v>3.74</v>
      </c>
      <c r="L1262" t="s">
        <v>174</v>
      </c>
      <c r="M1262">
        <v>0</v>
      </c>
      <c r="N1262" t="s">
        <v>175</v>
      </c>
      <c r="O1262">
        <v>1</v>
      </c>
      <c r="P1262">
        <v>0</v>
      </c>
      <c r="Q1262" s="6">
        <v>31.2</v>
      </c>
      <c r="R1262">
        <v>1</v>
      </c>
      <c r="S1262" s="6">
        <v>400</v>
      </c>
      <c r="T1262">
        <v>0</v>
      </c>
      <c r="U1262" s="6">
        <v>2435</v>
      </c>
      <c r="V1262">
        <v>0</v>
      </c>
      <c r="W1262">
        <v>0</v>
      </c>
      <c r="X1262">
        <v>0</v>
      </c>
      <c r="Y1262" s="6">
        <v>53.1</v>
      </c>
      <c r="Z1262">
        <v>4.7E-2</v>
      </c>
      <c r="AA1262">
        <v>8.7999999999999995E-2</v>
      </c>
      <c r="AB1262">
        <v>9.1999999999999998E-2</v>
      </c>
      <c r="AC1262">
        <v>6</v>
      </c>
      <c r="AD1262" s="6">
        <v>50</v>
      </c>
      <c r="AE1262" s="6">
        <v>25</v>
      </c>
      <c r="AF1262" s="6">
        <v>0</v>
      </c>
      <c r="AG1262" s="6">
        <v>64.16</v>
      </c>
      <c r="AH1262" s="6">
        <v>81.290000000000006</v>
      </c>
      <c r="AI1262" s="6">
        <f t="shared" si="38"/>
        <v>17.13000000000001</v>
      </c>
      <c r="AJ1262" s="5">
        <f t="shared" si="39"/>
        <v>0.21072702669455048</v>
      </c>
    </row>
    <row r="1263" spans="1:36">
      <c r="A1263" t="s">
        <v>436</v>
      </c>
      <c r="B1263" t="s">
        <v>1548</v>
      </c>
      <c r="C1263" t="s">
        <v>88</v>
      </c>
      <c r="D1263" t="s">
        <v>77</v>
      </c>
      <c r="E1263" t="s">
        <v>55</v>
      </c>
      <c r="F1263">
        <v>0</v>
      </c>
      <c r="G1263">
        <v>3259</v>
      </c>
      <c r="H1263">
        <v>1</v>
      </c>
      <c r="I1263" t="s">
        <v>173</v>
      </c>
      <c r="J1263">
        <v>1</v>
      </c>
      <c r="K1263" s="6">
        <v>1.79</v>
      </c>
      <c r="L1263" t="s">
        <v>174</v>
      </c>
      <c r="M1263">
        <v>0</v>
      </c>
      <c r="N1263" t="s">
        <v>175</v>
      </c>
      <c r="O1263">
        <v>1</v>
      </c>
      <c r="P1263">
        <v>0</v>
      </c>
      <c r="Q1263" s="6">
        <v>37.5</v>
      </c>
      <c r="R1263">
        <v>0</v>
      </c>
      <c r="S1263" s="6">
        <v>0</v>
      </c>
      <c r="T1263">
        <v>0</v>
      </c>
      <c r="U1263" s="6">
        <v>1212</v>
      </c>
      <c r="V1263">
        <v>0</v>
      </c>
      <c r="W1263">
        <v>0</v>
      </c>
      <c r="X1263">
        <v>0</v>
      </c>
      <c r="Y1263" s="6">
        <v>53.1</v>
      </c>
      <c r="Z1263">
        <v>4.7E-2</v>
      </c>
      <c r="AA1263">
        <v>8.7999999999999995E-2</v>
      </c>
      <c r="AB1263">
        <v>9.1999999999999998E-2</v>
      </c>
      <c r="AC1263">
        <v>6</v>
      </c>
      <c r="AD1263" s="6">
        <v>50</v>
      </c>
      <c r="AE1263" s="6">
        <v>0</v>
      </c>
      <c r="AF1263" s="6">
        <v>0</v>
      </c>
      <c r="AG1263" s="6">
        <v>53.8</v>
      </c>
      <c r="AH1263" s="6">
        <v>71.33</v>
      </c>
      <c r="AI1263" s="6">
        <f t="shared" si="38"/>
        <v>17.53</v>
      </c>
      <c r="AJ1263" s="5">
        <f t="shared" si="39"/>
        <v>0.24575914762372075</v>
      </c>
    </row>
    <row r="1264" spans="1:36">
      <c r="A1264" t="s">
        <v>517</v>
      </c>
      <c r="B1264" t="s">
        <v>1549</v>
      </c>
      <c r="C1264" t="s">
        <v>88</v>
      </c>
      <c r="D1264" t="s">
        <v>77</v>
      </c>
      <c r="E1264" t="s">
        <v>55</v>
      </c>
      <c r="F1264">
        <v>0</v>
      </c>
      <c r="G1264">
        <v>3259</v>
      </c>
      <c r="H1264">
        <v>1</v>
      </c>
      <c r="I1264" t="s">
        <v>220</v>
      </c>
      <c r="J1264">
        <v>2</v>
      </c>
      <c r="K1264" s="6">
        <v>3.55</v>
      </c>
      <c r="L1264" t="s">
        <v>174</v>
      </c>
      <c r="M1264">
        <v>0</v>
      </c>
      <c r="N1264" t="s">
        <v>187</v>
      </c>
      <c r="O1264">
        <v>2</v>
      </c>
      <c r="P1264">
        <v>0</v>
      </c>
      <c r="Q1264" s="6">
        <v>41.8</v>
      </c>
      <c r="R1264">
        <v>0</v>
      </c>
      <c r="S1264" s="6">
        <v>0</v>
      </c>
      <c r="T1264">
        <v>0</v>
      </c>
      <c r="U1264" s="6">
        <v>3060</v>
      </c>
      <c r="V1264">
        <v>0</v>
      </c>
      <c r="W1264">
        <v>0</v>
      </c>
      <c r="X1264">
        <v>0</v>
      </c>
      <c r="Y1264" s="6">
        <v>53.1</v>
      </c>
      <c r="Z1264">
        <v>4.7E-2</v>
      </c>
      <c r="AA1264">
        <v>8.7999999999999995E-2</v>
      </c>
      <c r="AB1264">
        <v>9.1999999999999998E-2</v>
      </c>
      <c r="AC1264">
        <v>6</v>
      </c>
      <c r="AD1264" s="6">
        <v>50</v>
      </c>
      <c r="AE1264" s="6">
        <v>0</v>
      </c>
      <c r="AF1264" s="6">
        <v>0</v>
      </c>
      <c r="AG1264" s="6">
        <v>60.87</v>
      </c>
      <c r="AH1264" s="6">
        <v>79.62</v>
      </c>
      <c r="AI1264" s="6">
        <f t="shared" si="38"/>
        <v>18.750000000000007</v>
      </c>
      <c r="AJ1264" s="5">
        <f t="shared" si="39"/>
        <v>0.23549359457422767</v>
      </c>
    </row>
    <row r="1265" spans="1:36">
      <c r="A1265" t="s">
        <v>269</v>
      </c>
      <c r="B1265" t="s">
        <v>1550</v>
      </c>
      <c r="C1265" t="s">
        <v>88</v>
      </c>
      <c r="D1265" t="s">
        <v>77</v>
      </c>
      <c r="E1265" t="s">
        <v>55</v>
      </c>
      <c r="F1265">
        <v>0</v>
      </c>
      <c r="G1265">
        <v>3259</v>
      </c>
      <c r="H1265">
        <v>1</v>
      </c>
      <c r="I1265" t="s">
        <v>220</v>
      </c>
      <c r="J1265">
        <v>2</v>
      </c>
      <c r="K1265" s="6">
        <v>4.63</v>
      </c>
      <c r="L1265" t="s">
        <v>174</v>
      </c>
      <c r="M1265">
        <v>0</v>
      </c>
      <c r="N1265" t="s">
        <v>175</v>
      </c>
      <c r="O1265">
        <v>1</v>
      </c>
      <c r="P1265">
        <v>0</v>
      </c>
      <c r="Q1265" s="6">
        <v>31.6</v>
      </c>
      <c r="R1265">
        <v>0</v>
      </c>
      <c r="S1265" s="6">
        <v>0</v>
      </c>
      <c r="T1265">
        <v>0</v>
      </c>
      <c r="U1265" s="6">
        <v>4158</v>
      </c>
      <c r="V1265">
        <v>0</v>
      </c>
      <c r="W1265">
        <v>0</v>
      </c>
      <c r="X1265">
        <v>0</v>
      </c>
      <c r="Y1265" s="6">
        <v>53.1</v>
      </c>
      <c r="Z1265">
        <v>4.7E-2</v>
      </c>
      <c r="AA1265">
        <v>8.7999999999999995E-2</v>
      </c>
      <c r="AB1265">
        <v>9.1999999999999998E-2</v>
      </c>
      <c r="AC1265">
        <v>6</v>
      </c>
      <c r="AD1265" s="6">
        <v>50</v>
      </c>
      <c r="AE1265" s="6">
        <v>0</v>
      </c>
      <c r="AF1265" s="6">
        <v>0</v>
      </c>
      <c r="AG1265" s="6">
        <v>56.91</v>
      </c>
      <c r="AH1265" s="6">
        <v>71.150000000000006</v>
      </c>
      <c r="AI1265" s="6">
        <f t="shared" si="38"/>
        <v>14.240000000000009</v>
      </c>
      <c r="AJ1265" s="5">
        <f t="shared" si="39"/>
        <v>0.2001405481377373</v>
      </c>
    </row>
    <row r="1266" spans="1:36">
      <c r="A1266" t="s">
        <v>255</v>
      </c>
      <c r="B1266" t="s">
        <v>1551</v>
      </c>
      <c r="C1266" t="s">
        <v>88</v>
      </c>
      <c r="D1266" t="s">
        <v>77</v>
      </c>
      <c r="E1266" t="s">
        <v>55</v>
      </c>
      <c r="F1266">
        <v>0</v>
      </c>
      <c r="G1266">
        <v>3259</v>
      </c>
      <c r="H1266">
        <v>1</v>
      </c>
      <c r="I1266" t="s">
        <v>181</v>
      </c>
      <c r="J1266">
        <v>3</v>
      </c>
      <c r="K1266" s="6">
        <v>7.41</v>
      </c>
      <c r="L1266" t="s">
        <v>174</v>
      </c>
      <c r="M1266">
        <v>0</v>
      </c>
      <c r="N1266" t="s">
        <v>175</v>
      </c>
      <c r="O1266">
        <v>1</v>
      </c>
      <c r="P1266">
        <v>0</v>
      </c>
      <c r="Q1266" s="6">
        <v>37.6</v>
      </c>
      <c r="R1266">
        <v>0</v>
      </c>
      <c r="S1266" s="6">
        <v>0</v>
      </c>
      <c r="T1266">
        <v>0</v>
      </c>
      <c r="U1266" s="6">
        <v>2393</v>
      </c>
      <c r="V1266">
        <v>0</v>
      </c>
      <c r="W1266">
        <v>0</v>
      </c>
      <c r="X1266">
        <v>0</v>
      </c>
      <c r="Y1266" s="6">
        <v>53.1</v>
      </c>
      <c r="Z1266">
        <v>4.7E-2</v>
      </c>
      <c r="AA1266">
        <v>8.7999999999999995E-2</v>
      </c>
      <c r="AB1266">
        <v>9.1999999999999998E-2</v>
      </c>
      <c r="AC1266">
        <v>6</v>
      </c>
      <c r="AD1266" s="6">
        <v>60</v>
      </c>
      <c r="AE1266" s="6">
        <v>0</v>
      </c>
      <c r="AF1266" s="6">
        <v>0</v>
      </c>
      <c r="AG1266" s="6">
        <v>80.92</v>
      </c>
      <c r="AH1266" s="6">
        <v>105.94</v>
      </c>
      <c r="AI1266" s="6">
        <f t="shared" si="38"/>
        <v>25.019999999999996</v>
      </c>
      <c r="AJ1266" s="5">
        <f t="shared" si="39"/>
        <v>0.23617141778365108</v>
      </c>
    </row>
    <row r="1267" spans="1:36">
      <c r="A1267" t="s">
        <v>300</v>
      </c>
      <c r="B1267" t="s">
        <v>1552</v>
      </c>
      <c r="C1267" t="s">
        <v>88</v>
      </c>
      <c r="D1267" t="s">
        <v>77</v>
      </c>
      <c r="E1267" t="s">
        <v>55</v>
      </c>
      <c r="F1267">
        <v>0</v>
      </c>
      <c r="G1267">
        <v>3259</v>
      </c>
      <c r="H1267">
        <v>1</v>
      </c>
      <c r="I1267" t="s">
        <v>173</v>
      </c>
      <c r="J1267">
        <v>1</v>
      </c>
      <c r="K1267" s="6">
        <v>1.17</v>
      </c>
      <c r="L1267" t="s">
        <v>174</v>
      </c>
      <c r="M1267">
        <v>0</v>
      </c>
      <c r="N1267" t="s">
        <v>175</v>
      </c>
      <c r="O1267">
        <v>1</v>
      </c>
      <c r="P1267">
        <v>0</v>
      </c>
      <c r="Q1267" s="6">
        <v>38.799999999999997</v>
      </c>
      <c r="R1267">
        <v>0</v>
      </c>
      <c r="S1267" s="6">
        <v>0</v>
      </c>
      <c r="T1267">
        <v>0</v>
      </c>
      <c r="U1267" s="6">
        <v>1489</v>
      </c>
      <c r="V1267">
        <v>0</v>
      </c>
      <c r="W1267">
        <v>0</v>
      </c>
      <c r="X1267">
        <v>0</v>
      </c>
      <c r="Y1267" s="6">
        <v>53.1</v>
      </c>
      <c r="Z1267">
        <v>4.7E-2</v>
      </c>
      <c r="AA1267">
        <v>8.7999999999999995E-2</v>
      </c>
      <c r="AB1267">
        <v>9.1999999999999998E-2</v>
      </c>
      <c r="AC1267">
        <v>6</v>
      </c>
      <c r="AD1267" s="6">
        <v>50</v>
      </c>
      <c r="AE1267" s="6">
        <v>0</v>
      </c>
      <c r="AF1267" s="6">
        <v>0</v>
      </c>
      <c r="AG1267" s="6">
        <v>47.25</v>
      </c>
      <c r="AH1267" s="6">
        <v>60.31</v>
      </c>
      <c r="AI1267" s="6">
        <f t="shared" si="38"/>
        <v>13.060000000000002</v>
      </c>
      <c r="AJ1267" s="5">
        <f t="shared" si="39"/>
        <v>0.21654783617973805</v>
      </c>
    </row>
    <row r="1268" spans="1:36">
      <c r="A1268" t="s">
        <v>353</v>
      </c>
      <c r="B1268" t="s">
        <v>1553</v>
      </c>
      <c r="C1268" t="s">
        <v>88</v>
      </c>
      <c r="D1268" t="s">
        <v>77</v>
      </c>
      <c r="E1268" t="s">
        <v>55</v>
      </c>
      <c r="F1268">
        <v>0</v>
      </c>
      <c r="G1268">
        <v>3259</v>
      </c>
      <c r="H1268">
        <v>1</v>
      </c>
      <c r="I1268" t="s">
        <v>181</v>
      </c>
      <c r="J1268">
        <v>3</v>
      </c>
      <c r="K1268" s="6">
        <v>8.01</v>
      </c>
      <c r="L1268" t="s">
        <v>174</v>
      </c>
      <c r="M1268">
        <v>0</v>
      </c>
      <c r="N1268" t="s">
        <v>182</v>
      </c>
      <c r="O1268">
        <v>3</v>
      </c>
      <c r="P1268">
        <v>1</v>
      </c>
      <c r="Q1268" s="6">
        <v>115</v>
      </c>
      <c r="R1268">
        <v>0</v>
      </c>
      <c r="S1268" s="6">
        <v>0</v>
      </c>
      <c r="T1268">
        <v>0</v>
      </c>
      <c r="U1268" s="6">
        <v>2002</v>
      </c>
      <c r="V1268">
        <v>0</v>
      </c>
      <c r="W1268">
        <v>0</v>
      </c>
      <c r="X1268">
        <v>0</v>
      </c>
      <c r="Y1268" s="6">
        <v>53.1</v>
      </c>
      <c r="Z1268">
        <v>4.7E-2</v>
      </c>
      <c r="AA1268">
        <v>8.7999999999999995E-2</v>
      </c>
      <c r="AB1268">
        <v>9.1999999999999998E-2</v>
      </c>
      <c r="AC1268">
        <v>6</v>
      </c>
      <c r="AD1268" s="6">
        <v>60</v>
      </c>
      <c r="AE1268" s="6">
        <v>0</v>
      </c>
      <c r="AF1268" s="6">
        <v>0</v>
      </c>
      <c r="AG1268" s="6">
        <v>125.36</v>
      </c>
      <c r="AH1268" s="6">
        <v>158.21</v>
      </c>
      <c r="AI1268" s="6">
        <f t="shared" si="38"/>
        <v>32.850000000000009</v>
      </c>
      <c r="AJ1268" s="5">
        <f t="shared" si="39"/>
        <v>0.20763542127551993</v>
      </c>
    </row>
    <row r="1269" spans="1:36">
      <c r="A1269" t="s">
        <v>579</v>
      </c>
      <c r="B1269" t="s">
        <v>1554</v>
      </c>
      <c r="C1269" t="s">
        <v>88</v>
      </c>
      <c r="D1269" t="s">
        <v>77</v>
      </c>
      <c r="E1269" t="s">
        <v>55</v>
      </c>
      <c r="F1269">
        <v>0</v>
      </c>
      <c r="G1269">
        <v>3259</v>
      </c>
      <c r="H1269">
        <v>1</v>
      </c>
      <c r="I1269" t="s">
        <v>173</v>
      </c>
      <c r="J1269">
        <v>1</v>
      </c>
      <c r="K1269" s="6">
        <v>1.72</v>
      </c>
      <c r="L1269" t="s">
        <v>174</v>
      </c>
      <c r="M1269">
        <v>0</v>
      </c>
      <c r="N1269" t="s">
        <v>217</v>
      </c>
      <c r="O1269">
        <v>4</v>
      </c>
      <c r="P1269">
        <v>1</v>
      </c>
      <c r="Q1269" s="6">
        <v>152.19999999999999</v>
      </c>
      <c r="R1269">
        <v>1</v>
      </c>
      <c r="S1269" s="6">
        <v>2683</v>
      </c>
      <c r="T1269">
        <v>0</v>
      </c>
      <c r="U1269" s="6">
        <v>1982</v>
      </c>
      <c r="V1269">
        <v>0</v>
      </c>
      <c r="W1269">
        <v>0</v>
      </c>
      <c r="X1269">
        <v>0</v>
      </c>
      <c r="Y1269" s="6">
        <v>53.1</v>
      </c>
      <c r="Z1269">
        <v>4.7E-2</v>
      </c>
      <c r="AA1269">
        <v>8.7999999999999995E-2</v>
      </c>
      <c r="AB1269">
        <v>9.1999999999999998E-2</v>
      </c>
      <c r="AC1269">
        <v>6</v>
      </c>
      <c r="AD1269" s="6">
        <v>50</v>
      </c>
      <c r="AE1269" s="6">
        <v>40</v>
      </c>
      <c r="AF1269" s="6">
        <v>0</v>
      </c>
      <c r="AG1269" s="6">
        <v>94.71</v>
      </c>
      <c r="AH1269" s="6">
        <v>123.13</v>
      </c>
      <c r="AI1269" s="6">
        <f t="shared" si="38"/>
        <v>28.42</v>
      </c>
      <c r="AJ1269" s="5">
        <f t="shared" si="39"/>
        <v>0.23081296191017625</v>
      </c>
    </row>
    <row r="1270" spans="1:36">
      <c r="A1270" t="s">
        <v>190</v>
      </c>
      <c r="B1270" t="s">
        <v>1555</v>
      </c>
      <c r="C1270" t="s">
        <v>88</v>
      </c>
      <c r="D1270" t="s">
        <v>77</v>
      </c>
      <c r="E1270" t="s">
        <v>55</v>
      </c>
      <c r="F1270">
        <v>0</v>
      </c>
      <c r="G1270">
        <v>3259</v>
      </c>
      <c r="H1270">
        <v>1</v>
      </c>
      <c r="I1270" t="s">
        <v>181</v>
      </c>
      <c r="J1270">
        <v>3</v>
      </c>
      <c r="K1270" s="6">
        <v>10.4</v>
      </c>
      <c r="L1270" t="s">
        <v>174</v>
      </c>
      <c r="M1270">
        <v>0</v>
      </c>
      <c r="N1270" t="s">
        <v>217</v>
      </c>
      <c r="O1270">
        <v>4</v>
      </c>
      <c r="P1270">
        <v>1</v>
      </c>
      <c r="Q1270" s="6">
        <v>115.8</v>
      </c>
      <c r="R1270">
        <v>0</v>
      </c>
      <c r="S1270" s="6">
        <v>0</v>
      </c>
      <c r="T1270">
        <v>0</v>
      </c>
      <c r="U1270" s="6">
        <v>1586</v>
      </c>
      <c r="V1270">
        <v>0</v>
      </c>
      <c r="W1270">
        <v>0</v>
      </c>
      <c r="X1270">
        <v>0</v>
      </c>
      <c r="Y1270" s="6">
        <v>53.1</v>
      </c>
      <c r="Z1270">
        <v>4.7E-2</v>
      </c>
      <c r="AA1270">
        <v>8.7999999999999995E-2</v>
      </c>
      <c r="AB1270">
        <v>9.1999999999999998E-2</v>
      </c>
      <c r="AC1270">
        <v>6</v>
      </c>
      <c r="AD1270" s="6">
        <v>60</v>
      </c>
      <c r="AE1270" s="6">
        <v>0</v>
      </c>
      <c r="AF1270" s="6">
        <v>0</v>
      </c>
      <c r="AG1270" s="6">
        <v>149.26</v>
      </c>
      <c r="AH1270" s="6">
        <v>189.33</v>
      </c>
      <c r="AI1270" s="6">
        <f t="shared" si="38"/>
        <v>40.070000000000022</v>
      </c>
      <c r="AJ1270" s="5">
        <f t="shared" si="39"/>
        <v>0.21164105001848635</v>
      </c>
    </row>
    <row r="1271" spans="1:36">
      <c r="A1271" t="s">
        <v>286</v>
      </c>
      <c r="B1271" t="s">
        <v>1556</v>
      </c>
      <c r="C1271" t="s">
        <v>88</v>
      </c>
      <c r="D1271" t="s">
        <v>77</v>
      </c>
      <c r="E1271" t="s">
        <v>55</v>
      </c>
      <c r="F1271">
        <v>0</v>
      </c>
      <c r="G1271">
        <v>3259</v>
      </c>
      <c r="H1271">
        <v>1</v>
      </c>
      <c r="I1271" t="s">
        <v>173</v>
      </c>
      <c r="J1271">
        <v>1</v>
      </c>
      <c r="K1271" s="6">
        <v>1.62</v>
      </c>
      <c r="L1271" t="s">
        <v>174</v>
      </c>
      <c r="M1271">
        <v>0</v>
      </c>
      <c r="N1271" t="s">
        <v>175</v>
      </c>
      <c r="O1271">
        <v>1</v>
      </c>
      <c r="P1271">
        <v>0</v>
      </c>
      <c r="Q1271" s="6">
        <v>36</v>
      </c>
      <c r="R1271">
        <v>0</v>
      </c>
      <c r="S1271" s="6">
        <v>0</v>
      </c>
      <c r="T1271">
        <v>0</v>
      </c>
      <c r="U1271" s="6">
        <v>3042</v>
      </c>
      <c r="V1271">
        <v>0</v>
      </c>
      <c r="W1271">
        <v>0</v>
      </c>
      <c r="X1271">
        <v>0</v>
      </c>
      <c r="Y1271" s="6">
        <v>53.1</v>
      </c>
      <c r="Z1271">
        <v>4.7E-2</v>
      </c>
      <c r="AA1271">
        <v>8.7999999999999995E-2</v>
      </c>
      <c r="AB1271">
        <v>9.1999999999999998E-2</v>
      </c>
      <c r="AC1271">
        <v>6</v>
      </c>
      <c r="AD1271" s="6">
        <v>50</v>
      </c>
      <c r="AE1271" s="6">
        <v>0</v>
      </c>
      <c r="AF1271" s="6">
        <v>0</v>
      </c>
      <c r="AG1271" s="6">
        <v>53.24</v>
      </c>
      <c r="AH1271" s="6">
        <v>67.78</v>
      </c>
      <c r="AI1271" s="6">
        <f t="shared" si="38"/>
        <v>14.54</v>
      </c>
      <c r="AJ1271" s="5">
        <f t="shared" si="39"/>
        <v>0.21451755680141632</v>
      </c>
    </row>
    <row r="1272" spans="1:36">
      <c r="A1272" t="s">
        <v>303</v>
      </c>
      <c r="B1272" t="s">
        <v>1557</v>
      </c>
      <c r="C1272" t="s">
        <v>88</v>
      </c>
      <c r="D1272" t="s">
        <v>77</v>
      </c>
      <c r="E1272" t="s">
        <v>55</v>
      </c>
      <c r="F1272">
        <v>0</v>
      </c>
      <c r="G1272">
        <v>3259</v>
      </c>
      <c r="H1272">
        <v>1</v>
      </c>
      <c r="I1272" t="s">
        <v>181</v>
      </c>
      <c r="J1272">
        <v>3</v>
      </c>
      <c r="K1272" s="6">
        <v>7.63</v>
      </c>
      <c r="L1272" t="s">
        <v>174</v>
      </c>
      <c r="M1272">
        <v>0</v>
      </c>
      <c r="N1272" t="s">
        <v>187</v>
      </c>
      <c r="O1272">
        <v>2</v>
      </c>
      <c r="P1272">
        <v>0</v>
      </c>
      <c r="Q1272" s="6">
        <v>60.4</v>
      </c>
      <c r="R1272">
        <v>0</v>
      </c>
      <c r="S1272" s="6">
        <v>0</v>
      </c>
      <c r="T1272">
        <v>0</v>
      </c>
      <c r="U1272" s="6">
        <v>1092</v>
      </c>
      <c r="V1272">
        <v>0</v>
      </c>
      <c r="W1272">
        <v>0</v>
      </c>
      <c r="X1272">
        <v>0</v>
      </c>
      <c r="Y1272" s="6">
        <v>53.1</v>
      </c>
      <c r="Z1272">
        <v>4.7E-2</v>
      </c>
      <c r="AA1272">
        <v>8.7999999999999995E-2</v>
      </c>
      <c r="AB1272">
        <v>9.1999999999999998E-2</v>
      </c>
      <c r="AC1272">
        <v>6</v>
      </c>
      <c r="AD1272" s="6">
        <v>60</v>
      </c>
      <c r="AE1272" s="6">
        <v>0</v>
      </c>
      <c r="AF1272" s="6">
        <v>0</v>
      </c>
      <c r="AG1272" s="6">
        <v>86.82</v>
      </c>
      <c r="AH1272" s="6">
        <v>113.1</v>
      </c>
      <c r="AI1272" s="6">
        <f t="shared" si="38"/>
        <v>26.28</v>
      </c>
      <c r="AJ1272" s="5">
        <f t="shared" si="39"/>
        <v>0.23236074270557031</v>
      </c>
    </row>
    <row r="1273" spans="1:36">
      <c r="A1273" t="s">
        <v>253</v>
      </c>
      <c r="B1273" t="s">
        <v>1558</v>
      </c>
      <c r="C1273" t="s">
        <v>88</v>
      </c>
      <c r="D1273" t="s">
        <v>77</v>
      </c>
      <c r="E1273" t="s">
        <v>55</v>
      </c>
      <c r="F1273">
        <v>0</v>
      </c>
      <c r="G1273">
        <v>3259</v>
      </c>
      <c r="H1273">
        <v>1</v>
      </c>
      <c r="I1273" t="s">
        <v>173</v>
      </c>
      <c r="J1273">
        <v>1</v>
      </c>
      <c r="K1273" s="6">
        <v>1.69</v>
      </c>
      <c r="L1273" t="s">
        <v>174</v>
      </c>
      <c r="M1273">
        <v>0</v>
      </c>
      <c r="N1273" t="s">
        <v>187</v>
      </c>
      <c r="O1273">
        <v>2</v>
      </c>
      <c r="P1273">
        <v>0</v>
      </c>
      <c r="Q1273" s="6">
        <v>56.7</v>
      </c>
      <c r="R1273">
        <v>0</v>
      </c>
      <c r="S1273" s="6">
        <v>0</v>
      </c>
      <c r="T1273">
        <v>0</v>
      </c>
      <c r="U1273" s="6">
        <v>6316</v>
      </c>
      <c r="V1273">
        <v>0</v>
      </c>
      <c r="W1273">
        <v>0</v>
      </c>
      <c r="X1273">
        <v>0</v>
      </c>
      <c r="Y1273" s="6">
        <v>53.1</v>
      </c>
      <c r="Z1273">
        <v>4.7E-2</v>
      </c>
      <c r="AA1273">
        <v>8.7999999999999995E-2</v>
      </c>
      <c r="AB1273">
        <v>9.1999999999999998E-2</v>
      </c>
      <c r="AC1273">
        <v>6</v>
      </c>
      <c r="AD1273" s="6">
        <v>50</v>
      </c>
      <c r="AE1273" s="6">
        <v>0</v>
      </c>
      <c r="AF1273" s="6">
        <v>0</v>
      </c>
      <c r="AG1273" s="6">
        <v>57.86</v>
      </c>
      <c r="AH1273" s="6">
        <v>73.69</v>
      </c>
      <c r="AI1273" s="6">
        <f t="shared" si="38"/>
        <v>15.829999999999998</v>
      </c>
      <c r="AJ1273" s="5">
        <f t="shared" si="39"/>
        <v>0.21481883566291218</v>
      </c>
    </row>
    <row r="1274" spans="1:36">
      <c r="A1274" t="s">
        <v>212</v>
      </c>
      <c r="B1274" t="s">
        <v>1559</v>
      </c>
      <c r="C1274" t="s">
        <v>88</v>
      </c>
      <c r="D1274" t="s">
        <v>77</v>
      </c>
      <c r="E1274" t="s">
        <v>55</v>
      </c>
      <c r="F1274">
        <v>0</v>
      </c>
      <c r="G1274">
        <v>3259</v>
      </c>
      <c r="H1274">
        <v>1</v>
      </c>
      <c r="I1274" t="s">
        <v>220</v>
      </c>
      <c r="J1274">
        <v>2</v>
      </c>
      <c r="K1274" s="6">
        <v>3.68</v>
      </c>
      <c r="L1274" t="s">
        <v>174</v>
      </c>
      <c r="M1274">
        <v>0</v>
      </c>
      <c r="N1274" t="s">
        <v>175</v>
      </c>
      <c r="O1274">
        <v>1</v>
      </c>
      <c r="P1274">
        <v>0</v>
      </c>
      <c r="Q1274" s="6">
        <v>49.5</v>
      </c>
      <c r="R1274">
        <v>0</v>
      </c>
      <c r="S1274" s="6">
        <v>0</v>
      </c>
      <c r="T1274">
        <v>0</v>
      </c>
      <c r="U1274" s="6">
        <v>1625</v>
      </c>
      <c r="V1274">
        <v>0</v>
      </c>
      <c r="W1274">
        <v>0</v>
      </c>
      <c r="X1274">
        <v>0</v>
      </c>
      <c r="Y1274" s="6">
        <v>53.1</v>
      </c>
      <c r="Z1274">
        <v>4.7E-2</v>
      </c>
      <c r="AA1274">
        <v>8.7999999999999995E-2</v>
      </c>
      <c r="AB1274">
        <v>9.1999999999999998E-2</v>
      </c>
      <c r="AC1274">
        <v>6</v>
      </c>
      <c r="AD1274" s="6">
        <v>50</v>
      </c>
      <c r="AE1274" s="6">
        <v>0</v>
      </c>
      <c r="AF1274" s="6">
        <v>0</v>
      </c>
      <c r="AG1274" s="6">
        <v>65.98</v>
      </c>
      <c r="AH1274" s="6">
        <v>86.93</v>
      </c>
      <c r="AI1274" s="6">
        <f t="shared" si="38"/>
        <v>20.950000000000003</v>
      </c>
      <c r="AJ1274" s="5">
        <f t="shared" si="39"/>
        <v>0.24099850454388591</v>
      </c>
    </row>
    <row r="1275" spans="1:36">
      <c r="A1275" t="s">
        <v>478</v>
      </c>
      <c r="B1275" t="s">
        <v>1560</v>
      </c>
      <c r="C1275" t="s">
        <v>88</v>
      </c>
      <c r="D1275" t="s">
        <v>77</v>
      </c>
      <c r="E1275" t="s">
        <v>55</v>
      </c>
      <c r="F1275">
        <v>0</v>
      </c>
      <c r="G1275">
        <v>3259</v>
      </c>
      <c r="H1275">
        <v>1</v>
      </c>
      <c r="I1275" t="s">
        <v>220</v>
      </c>
      <c r="J1275">
        <v>2</v>
      </c>
      <c r="K1275" s="6">
        <v>4.55</v>
      </c>
      <c r="L1275" t="s">
        <v>174</v>
      </c>
      <c r="M1275">
        <v>0</v>
      </c>
      <c r="N1275" t="s">
        <v>175</v>
      </c>
      <c r="O1275">
        <v>1</v>
      </c>
      <c r="P1275">
        <v>0</v>
      </c>
      <c r="Q1275" s="6">
        <v>27.9</v>
      </c>
      <c r="R1275">
        <v>0</v>
      </c>
      <c r="S1275" s="6">
        <v>0</v>
      </c>
      <c r="T1275">
        <v>0</v>
      </c>
      <c r="U1275" s="6">
        <v>2111</v>
      </c>
      <c r="V1275">
        <v>0</v>
      </c>
      <c r="W1275">
        <v>0</v>
      </c>
      <c r="X1275">
        <v>0</v>
      </c>
      <c r="Y1275" s="6">
        <v>53.1</v>
      </c>
      <c r="Z1275">
        <v>4.7E-2</v>
      </c>
      <c r="AA1275">
        <v>8.7999999999999995E-2</v>
      </c>
      <c r="AB1275">
        <v>9.1999999999999998E-2</v>
      </c>
      <c r="AC1275">
        <v>6</v>
      </c>
      <c r="AD1275" s="6">
        <v>50</v>
      </c>
      <c r="AE1275" s="6">
        <v>0</v>
      </c>
      <c r="AF1275" s="6">
        <v>0</v>
      </c>
      <c r="AG1275" s="6">
        <v>63.44</v>
      </c>
      <c r="AH1275" s="6">
        <v>79.849999999999994</v>
      </c>
      <c r="AI1275" s="6">
        <f t="shared" si="38"/>
        <v>16.409999999999997</v>
      </c>
      <c r="AJ1275" s="5">
        <f t="shared" si="39"/>
        <v>0.20551033187226045</v>
      </c>
    </row>
    <row r="1276" spans="1:36">
      <c r="A1276" t="s">
        <v>365</v>
      </c>
      <c r="B1276" t="s">
        <v>1561</v>
      </c>
      <c r="C1276" t="s">
        <v>88</v>
      </c>
      <c r="D1276" t="s">
        <v>77</v>
      </c>
      <c r="E1276" t="s">
        <v>55</v>
      </c>
      <c r="F1276">
        <v>0</v>
      </c>
      <c r="G1276">
        <v>3259</v>
      </c>
      <c r="H1276">
        <v>1</v>
      </c>
      <c r="I1276" t="s">
        <v>181</v>
      </c>
      <c r="J1276">
        <v>3</v>
      </c>
      <c r="K1276" s="6">
        <v>7.05</v>
      </c>
      <c r="L1276" t="s">
        <v>174</v>
      </c>
      <c r="M1276">
        <v>0</v>
      </c>
      <c r="N1276" t="s">
        <v>175</v>
      </c>
      <c r="O1276">
        <v>1</v>
      </c>
      <c r="P1276">
        <v>0</v>
      </c>
      <c r="Q1276" s="6">
        <v>25.7</v>
      </c>
      <c r="R1276">
        <v>0</v>
      </c>
      <c r="S1276" s="6">
        <v>0</v>
      </c>
      <c r="T1276">
        <v>0</v>
      </c>
      <c r="U1276" s="6">
        <v>2637</v>
      </c>
      <c r="V1276">
        <v>0</v>
      </c>
      <c r="W1276">
        <v>0</v>
      </c>
      <c r="X1276">
        <v>0</v>
      </c>
      <c r="Y1276" s="6">
        <v>53.1</v>
      </c>
      <c r="Z1276">
        <v>4.7E-2</v>
      </c>
      <c r="AA1276">
        <v>8.7999999999999995E-2</v>
      </c>
      <c r="AB1276">
        <v>9.1999999999999998E-2</v>
      </c>
      <c r="AC1276">
        <v>6</v>
      </c>
      <c r="AD1276" s="6">
        <v>60</v>
      </c>
      <c r="AE1276" s="6">
        <v>0</v>
      </c>
      <c r="AF1276" s="6">
        <v>0</v>
      </c>
      <c r="AG1276" s="6">
        <v>73.25</v>
      </c>
      <c r="AH1276" s="6">
        <v>96.25</v>
      </c>
      <c r="AI1276" s="6">
        <f t="shared" si="38"/>
        <v>23</v>
      </c>
      <c r="AJ1276" s="5">
        <f t="shared" si="39"/>
        <v>0.23896103896103896</v>
      </c>
    </row>
    <row r="1277" spans="1:36">
      <c r="A1277" t="s">
        <v>323</v>
      </c>
      <c r="B1277" t="s">
        <v>1562</v>
      </c>
      <c r="C1277" t="s">
        <v>88</v>
      </c>
      <c r="D1277" t="s">
        <v>77</v>
      </c>
      <c r="E1277" t="s">
        <v>55</v>
      </c>
      <c r="F1277">
        <v>0</v>
      </c>
      <c r="G1277">
        <v>3259</v>
      </c>
      <c r="H1277">
        <v>1</v>
      </c>
      <c r="I1277" t="s">
        <v>181</v>
      </c>
      <c r="J1277">
        <v>3</v>
      </c>
      <c r="K1277" s="6">
        <v>4.3899999999999997</v>
      </c>
      <c r="L1277" t="s">
        <v>174</v>
      </c>
      <c r="M1277">
        <v>0</v>
      </c>
      <c r="N1277" t="s">
        <v>187</v>
      </c>
      <c r="O1277">
        <v>2</v>
      </c>
      <c r="P1277">
        <v>0</v>
      </c>
      <c r="Q1277" s="6">
        <v>62.1</v>
      </c>
      <c r="R1277">
        <v>1</v>
      </c>
      <c r="S1277" s="6">
        <v>14384</v>
      </c>
      <c r="T1277">
        <v>0</v>
      </c>
      <c r="U1277" s="6">
        <v>1619</v>
      </c>
      <c r="V1277">
        <v>1</v>
      </c>
      <c r="W1277">
        <v>0</v>
      </c>
      <c r="X1277">
        <v>0</v>
      </c>
      <c r="Y1277" s="6">
        <v>53.1</v>
      </c>
      <c r="Z1277">
        <v>4.7E-2</v>
      </c>
      <c r="AA1277">
        <v>8.7999999999999995E-2</v>
      </c>
      <c r="AB1277">
        <v>9.1999999999999998E-2</v>
      </c>
      <c r="AC1277">
        <v>6</v>
      </c>
      <c r="AD1277" s="6">
        <v>60</v>
      </c>
      <c r="AE1277" s="6">
        <v>100</v>
      </c>
      <c r="AF1277" s="6">
        <v>0</v>
      </c>
      <c r="AG1277" s="6">
        <v>124.9</v>
      </c>
      <c r="AH1277" s="6">
        <v>157.94</v>
      </c>
      <c r="AI1277" s="6">
        <f t="shared" si="38"/>
        <v>33.039999999999992</v>
      </c>
      <c r="AJ1277" s="5">
        <f t="shared" si="39"/>
        <v>0.20919336456882356</v>
      </c>
    </row>
    <row r="1278" spans="1:36">
      <c r="A1278" t="s">
        <v>288</v>
      </c>
      <c r="B1278" t="s">
        <v>1563</v>
      </c>
      <c r="C1278" t="s">
        <v>88</v>
      </c>
      <c r="D1278" t="s">
        <v>77</v>
      </c>
      <c r="E1278" t="s">
        <v>55</v>
      </c>
      <c r="F1278">
        <v>0</v>
      </c>
      <c r="G1278">
        <v>3259</v>
      </c>
      <c r="H1278">
        <v>1</v>
      </c>
      <c r="I1278" t="s">
        <v>181</v>
      </c>
      <c r="J1278">
        <v>3</v>
      </c>
      <c r="K1278" s="6">
        <v>7.87</v>
      </c>
      <c r="L1278" t="s">
        <v>174</v>
      </c>
      <c r="M1278">
        <v>0</v>
      </c>
      <c r="N1278" t="s">
        <v>272</v>
      </c>
      <c r="O1278">
        <v>5</v>
      </c>
      <c r="P1278">
        <v>1</v>
      </c>
      <c r="Q1278" s="6">
        <v>130.19999999999999</v>
      </c>
      <c r="R1278">
        <v>0</v>
      </c>
      <c r="S1278" s="6">
        <v>0</v>
      </c>
      <c r="T1278">
        <v>0</v>
      </c>
      <c r="U1278" s="6">
        <v>5748</v>
      </c>
      <c r="V1278">
        <v>0</v>
      </c>
      <c r="W1278">
        <v>0</v>
      </c>
      <c r="X1278">
        <v>0</v>
      </c>
      <c r="Y1278" s="6">
        <v>53.1</v>
      </c>
      <c r="Z1278">
        <v>4.7E-2</v>
      </c>
      <c r="AA1278">
        <v>8.7999999999999995E-2</v>
      </c>
      <c r="AB1278">
        <v>9.1999999999999998E-2</v>
      </c>
      <c r="AC1278">
        <v>6</v>
      </c>
      <c r="AD1278" s="6">
        <v>60</v>
      </c>
      <c r="AE1278" s="6">
        <v>0</v>
      </c>
      <c r="AF1278" s="6">
        <v>0</v>
      </c>
      <c r="AG1278" s="6">
        <v>173.51</v>
      </c>
      <c r="AH1278" s="6">
        <v>218.28</v>
      </c>
      <c r="AI1278" s="6">
        <f t="shared" si="38"/>
        <v>44.77000000000001</v>
      </c>
      <c r="AJ1278" s="5">
        <f t="shared" si="39"/>
        <v>0.20510353674179957</v>
      </c>
    </row>
    <row r="1279" spans="1:36">
      <c r="A1279" t="s">
        <v>311</v>
      </c>
      <c r="B1279" t="s">
        <v>1564</v>
      </c>
      <c r="C1279" t="s">
        <v>88</v>
      </c>
      <c r="D1279" t="s">
        <v>77</v>
      </c>
      <c r="E1279" t="s">
        <v>55</v>
      </c>
      <c r="F1279">
        <v>0</v>
      </c>
      <c r="G1279">
        <v>3259</v>
      </c>
      <c r="H1279">
        <v>1</v>
      </c>
      <c r="I1279" t="s">
        <v>173</v>
      </c>
      <c r="J1279">
        <v>1</v>
      </c>
      <c r="K1279" s="6">
        <v>1.6</v>
      </c>
      <c r="L1279" t="s">
        <v>174</v>
      </c>
      <c r="M1279">
        <v>0</v>
      </c>
      <c r="N1279" t="s">
        <v>175</v>
      </c>
      <c r="O1279">
        <v>1</v>
      </c>
      <c r="P1279">
        <v>1</v>
      </c>
      <c r="Q1279" s="6">
        <v>30.8</v>
      </c>
      <c r="R1279">
        <v>0</v>
      </c>
      <c r="S1279" s="6">
        <v>0</v>
      </c>
      <c r="T1279">
        <v>0</v>
      </c>
      <c r="U1279" s="6">
        <v>3405</v>
      </c>
      <c r="V1279">
        <v>0</v>
      </c>
      <c r="W1279">
        <v>0</v>
      </c>
      <c r="X1279">
        <v>0</v>
      </c>
      <c r="Y1279" s="6">
        <v>53.1</v>
      </c>
      <c r="Z1279">
        <v>4.7E-2</v>
      </c>
      <c r="AA1279">
        <v>8.7999999999999995E-2</v>
      </c>
      <c r="AB1279">
        <v>9.1999999999999998E-2</v>
      </c>
      <c r="AC1279">
        <v>6</v>
      </c>
      <c r="AD1279" s="6">
        <v>50</v>
      </c>
      <c r="AE1279" s="6">
        <v>0</v>
      </c>
      <c r="AF1279" s="6">
        <v>0</v>
      </c>
      <c r="AG1279" s="6">
        <v>73.430000000000007</v>
      </c>
      <c r="AH1279" s="6">
        <v>92.53</v>
      </c>
      <c r="AI1279" s="6">
        <f t="shared" si="38"/>
        <v>19.099999999999994</v>
      </c>
      <c r="AJ1279" s="5">
        <f t="shared" si="39"/>
        <v>0.20641953960877546</v>
      </c>
    </row>
    <row r="1280" spans="1:36">
      <c r="A1280" t="s">
        <v>406</v>
      </c>
      <c r="B1280" t="s">
        <v>1565</v>
      </c>
      <c r="C1280" t="s">
        <v>88</v>
      </c>
      <c r="D1280" t="s">
        <v>77</v>
      </c>
      <c r="E1280" t="s">
        <v>55</v>
      </c>
      <c r="F1280">
        <v>0</v>
      </c>
      <c r="G1280">
        <v>3259</v>
      </c>
      <c r="H1280">
        <v>1</v>
      </c>
      <c r="I1280" t="s">
        <v>220</v>
      </c>
      <c r="J1280">
        <v>2</v>
      </c>
      <c r="K1280" s="6">
        <v>3.53</v>
      </c>
      <c r="L1280" t="s">
        <v>174</v>
      </c>
      <c r="M1280">
        <v>0</v>
      </c>
      <c r="N1280" t="s">
        <v>217</v>
      </c>
      <c r="O1280">
        <v>4</v>
      </c>
      <c r="P1280">
        <v>1</v>
      </c>
      <c r="Q1280" s="6">
        <v>191.6</v>
      </c>
      <c r="R1280">
        <v>0</v>
      </c>
      <c r="S1280" s="6">
        <v>0</v>
      </c>
      <c r="T1280">
        <v>0</v>
      </c>
      <c r="U1280" s="6">
        <v>1862</v>
      </c>
      <c r="V1280">
        <v>1</v>
      </c>
      <c r="W1280">
        <v>0</v>
      </c>
      <c r="X1280">
        <v>0</v>
      </c>
      <c r="Y1280" s="6">
        <v>53.1</v>
      </c>
      <c r="Z1280">
        <v>4.7E-2</v>
      </c>
      <c r="AA1280">
        <v>8.7999999999999995E-2</v>
      </c>
      <c r="AB1280">
        <v>9.1999999999999998E-2</v>
      </c>
      <c r="AC1280">
        <v>6</v>
      </c>
      <c r="AD1280" s="6">
        <v>50</v>
      </c>
      <c r="AE1280" s="6">
        <v>0</v>
      </c>
      <c r="AF1280" s="6">
        <v>0</v>
      </c>
      <c r="AG1280" s="6">
        <v>166.64</v>
      </c>
      <c r="AH1280" s="6">
        <v>210.79</v>
      </c>
      <c r="AI1280" s="6">
        <f t="shared" si="38"/>
        <v>44.150000000000006</v>
      </c>
      <c r="AJ1280" s="5">
        <f t="shared" si="39"/>
        <v>0.20945016367000335</v>
      </c>
    </row>
    <row r="1281" spans="1:36">
      <c r="A1281" t="s">
        <v>528</v>
      </c>
      <c r="B1281" t="s">
        <v>1566</v>
      </c>
      <c r="C1281" t="s">
        <v>88</v>
      </c>
      <c r="D1281" t="s">
        <v>77</v>
      </c>
      <c r="E1281" t="s">
        <v>55</v>
      </c>
      <c r="F1281">
        <v>0</v>
      </c>
      <c r="G1281">
        <v>3259</v>
      </c>
      <c r="H1281">
        <v>1</v>
      </c>
      <c r="I1281" t="s">
        <v>220</v>
      </c>
      <c r="J1281">
        <v>2</v>
      </c>
      <c r="K1281" s="6">
        <v>2.96</v>
      </c>
      <c r="L1281" t="s">
        <v>174</v>
      </c>
      <c r="M1281">
        <v>0</v>
      </c>
      <c r="N1281" t="s">
        <v>187</v>
      </c>
      <c r="O1281">
        <v>2</v>
      </c>
      <c r="P1281">
        <v>0</v>
      </c>
      <c r="Q1281" s="6">
        <v>59.2</v>
      </c>
      <c r="R1281">
        <v>1</v>
      </c>
      <c r="S1281" s="6">
        <v>4809</v>
      </c>
      <c r="T1281">
        <v>0</v>
      </c>
      <c r="U1281" s="6">
        <v>2454</v>
      </c>
      <c r="V1281">
        <v>0</v>
      </c>
      <c r="W1281">
        <v>0</v>
      </c>
      <c r="X1281">
        <v>0</v>
      </c>
      <c r="Y1281" s="6">
        <v>53.1</v>
      </c>
      <c r="Z1281">
        <v>4.7E-2</v>
      </c>
      <c r="AA1281">
        <v>8.7999999999999995E-2</v>
      </c>
      <c r="AB1281">
        <v>9.1999999999999998E-2</v>
      </c>
      <c r="AC1281">
        <v>6</v>
      </c>
      <c r="AD1281" s="6">
        <v>50</v>
      </c>
      <c r="AE1281" s="6">
        <v>40</v>
      </c>
      <c r="AF1281" s="6">
        <v>0</v>
      </c>
      <c r="AG1281" s="6">
        <v>73.819999999999993</v>
      </c>
      <c r="AH1281" s="6">
        <v>94.97</v>
      </c>
      <c r="AI1281" s="6">
        <f t="shared" si="38"/>
        <v>21.150000000000006</v>
      </c>
      <c r="AJ1281" s="5">
        <f t="shared" si="39"/>
        <v>0.22270190586501007</v>
      </c>
    </row>
    <row r="1282" spans="1:36">
      <c r="A1282" t="s">
        <v>221</v>
      </c>
      <c r="B1282" t="s">
        <v>1567</v>
      </c>
      <c r="C1282" t="s">
        <v>88</v>
      </c>
      <c r="D1282" t="s">
        <v>77</v>
      </c>
      <c r="E1282" t="s">
        <v>55</v>
      </c>
      <c r="F1282">
        <v>0</v>
      </c>
      <c r="G1282">
        <v>3259</v>
      </c>
      <c r="H1282">
        <v>1</v>
      </c>
      <c r="I1282" t="s">
        <v>173</v>
      </c>
      <c r="J1282">
        <v>1</v>
      </c>
      <c r="K1282" s="6">
        <v>1.83</v>
      </c>
      <c r="L1282" t="s">
        <v>174</v>
      </c>
      <c r="M1282">
        <v>0</v>
      </c>
      <c r="N1282" t="s">
        <v>187</v>
      </c>
      <c r="O1282">
        <v>2</v>
      </c>
      <c r="P1282">
        <v>0</v>
      </c>
      <c r="Q1282" s="6">
        <v>46.1</v>
      </c>
      <c r="R1282">
        <v>1</v>
      </c>
      <c r="S1282" s="6">
        <v>1345</v>
      </c>
      <c r="T1282">
        <v>0</v>
      </c>
      <c r="U1282" s="6">
        <v>2295</v>
      </c>
      <c r="V1282">
        <v>0</v>
      </c>
      <c r="W1282">
        <v>0</v>
      </c>
      <c r="X1282">
        <v>0</v>
      </c>
      <c r="Y1282" s="6">
        <v>53.1</v>
      </c>
      <c r="Z1282">
        <v>4.7E-2</v>
      </c>
      <c r="AA1282">
        <v>8.7999999999999995E-2</v>
      </c>
      <c r="AB1282">
        <v>9.1999999999999998E-2</v>
      </c>
      <c r="AC1282">
        <v>6</v>
      </c>
      <c r="AD1282" s="6">
        <v>50</v>
      </c>
      <c r="AE1282" s="6">
        <v>25</v>
      </c>
      <c r="AF1282" s="6">
        <v>0</v>
      </c>
      <c r="AG1282" s="6">
        <v>59.98</v>
      </c>
      <c r="AH1282" s="6">
        <v>75.67</v>
      </c>
      <c r="AI1282" s="6">
        <f t="shared" ref="AI1282:AI1345" si="40">AH1282-AG1282</f>
        <v>15.690000000000005</v>
      </c>
      <c r="AJ1282" s="5">
        <f t="shared" ref="AJ1282:AJ1345" si="41">IFERROR(AI1282/AH1282,0)</f>
        <v>0.20734769393418798</v>
      </c>
    </row>
    <row r="1283" spans="1:36">
      <c r="A1283" t="s">
        <v>602</v>
      </c>
      <c r="B1283" t="s">
        <v>1568</v>
      </c>
      <c r="C1283" t="s">
        <v>88</v>
      </c>
      <c r="D1283" t="s">
        <v>77</v>
      </c>
      <c r="E1283" t="s">
        <v>55</v>
      </c>
      <c r="F1283">
        <v>0</v>
      </c>
      <c r="G1283">
        <v>3259</v>
      </c>
      <c r="H1283">
        <v>1</v>
      </c>
      <c r="I1283" t="s">
        <v>181</v>
      </c>
      <c r="J1283">
        <v>3</v>
      </c>
      <c r="K1283" s="6">
        <v>5.54</v>
      </c>
      <c r="L1283" t="s">
        <v>174</v>
      </c>
      <c r="M1283">
        <v>0</v>
      </c>
      <c r="N1283" t="s">
        <v>182</v>
      </c>
      <c r="O1283">
        <v>3</v>
      </c>
      <c r="P1283">
        <v>0</v>
      </c>
      <c r="Q1283" s="6">
        <v>114.2</v>
      </c>
      <c r="R1283">
        <v>0</v>
      </c>
      <c r="S1283" s="6">
        <v>0</v>
      </c>
      <c r="T1283">
        <v>0</v>
      </c>
      <c r="U1283" s="6">
        <v>3642</v>
      </c>
      <c r="V1283">
        <v>0</v>
      </c>
      <c r="W1283">
        <v>0</v>
      </c>
      <c r="X1283">
        <v>0</v>
      </c>
      <c r="Y1283" s="6">
        <v>53.1</v>
      </c>
      <c r="Z1283">
        <v>4.7E-2</v>
      </c>
      <c r="AA1283">
        <v>8.7999999999999995E-2</v>
      </c>
      <c r="AB1283">
        <v>9.1999999999999998E-2</v>
      </c>
      <c r="AC1283">
        <v>6</v>
      </c>
      <c r="AD1283" s="6">
        <v>60</v>
      </c>
      <c r="AE1283" s="6">
        <v>0</v>
      </c>
      <c r="AF1283" s="6">
        <v>0</v>
      </c>
      <c r="AG1283" s="6">
        <v>91.5</v>
      </c>
      <c r="AH1283" s="6">
        <v>114.89</v>
      </c>
      <c r="AI1283" s="6">
        <f t="shared" si="40"/>
        <v>23.39</v>
      </c>
      <c r="AJ1283" s="5">
        <f t="shared" si="41"/>
        <v>0.20358603881974063</v>
      </c>
    </row>
    <row r="1284" spans="1:36">
      <c r="A1284" t="s">
        <v>240</v>
      </c>
      <c r="B1284" t="s">
        <v>1569</v>
      </c>
      <c r="C1284" t="s">
        <v>88</v>
      </c>
      <c r="D1284" t="s">
        <v>77</v>
      </c>
      <c r="E1284" t="s">
        <v>55</v>
      </c>
      <c r="F1284">
        <v>0</v>
      </c>
      <c r="G1284">
        <v>3259</v>
      </c>
      <c r="H1284">
        <v>1</v>
      </c>
      <c r="I1284" t="s">
        <v>181</v>
      </c>
      <c r="J1284">
        <v>3</v>
      </c>
      <c r="K1284" s="6">
        <v>8.17</v>
      </c>
      <c r="L1284" t="s">
        <v>174</v>
      </c>
      <c r="M1284">
        <v>0</v>
      </c>
      <c r="N1284" t="s">
        <v>175</v>
      </c>
      <c r="O1284">
        <v>1</v>
      </c>
      <c r="P1284">
        <v>0</v>
      </c>
      <c r="Q1284" s="6">
        <v>43.3</v>
      </c>
      <c r="R1284">
        <v>0</v>
      </c>
      <c r="S1284" s="6">
        <v>0</v>
      </c>
      <c r="T1284">
        <v>0</v>
      </c>
      <c r="U1284" s="6">
        <v>2915</v>
      </c>
      <c r="V1284">
        <v>0</v>
      </c>
      <c r="W1284">
        <v>0</v>
      </c>
      <c r="X1284">
        <v>0</v>
      </c>
      <c r="Y1284" s="6">
        <v>53.1</v>
      </c>
      <c r="Z1284">
        <v>4.7E-2</v>
      </c>
      <c r="AA1284">
        <v>8.7999999999999995E-2</v>
      </c>
      <c r="AB1284">
        <v>9.1999999999999998E-2</v>
      </c>
      <c r="AC1284">
        <v>6</v>
      </c>
      <c r="AD1284" s="6">
        <v>60</v>
      </c>
      <c r="AE1284" s="6">
        <v>0</v>
      </c>
      <c r="AF1284" s="6">
        <v>0</v>
      </c>
      <c r="AG1284" s="6">
        <v>94.05</v>
      </c>
      <c r="AH1284" s="6">
        <v>118.78</v>
      </c>
      <c r="AI1284" s="6">
        <f t="shared" si="40"/>
        <v>24.730000000000004</v>
      </c>
      <c r="AJ1284" s="5">
        <f t="shared" si="41"/>
        <v>0.208200033675703</v>
      </c>
    </row>
    <row r="1285" spans="1:36">
      <c r="A1285" t="s">
        <v>306</v>
      </c>
      <c r="B1285" t="s">
        <v>1570</v>
      </c>
      <c r="C1285" t="s">
        <v>88</v>
      </c>
      <c r="D1285" t="s">
        <v>77</v>
      </c>
      <c r="E1285" t="s">
        <v>55</v>
      </c>
      <c r="F1285">
        <v>0</v>
      </c>
      <c r="G1285">
        <v>3259</v>
      </c>
      <c r="H1285">
        <v>1</v>
      </c>
      <c r="I1285" t="s">
        <v>173</v>
      </c>
      <c r="J1285">
        <v>1</v>
      </c>
      <c r="K1285" s="6">
        <v>0.83</v>
      </c>
      <c r="L1285" t="s">
        <v>174</v>
      </c>
      <c r="M1285">
        <v>0</v>
      </c>
      <c r="N1285" t="s">
        <v>187</v>
      </c>
      <c r="O1285">
        <v>2</v>
      </c>
      <c r="P1285">
        <v>0</v>
      </c>
      <c r="Q1285" s="6">
        <v>67.2</v>
      </c>
      <c r="R1285">
        <v>0</v>
      </c>
      <c r="S1285" s="6">
        <v>0</v>
      </c>
      <c r="T1285">
        <v>0</v>
      </c>
      <c r="U1285" s="6">
        <v>4572</v>
      </c>
      <c r="V1285">
        <v>0</v>
      </c>
      <c r="W1285">
        <v>0</v>
      </c>
      <c r="X1285">
        <v>0</v>
      </c>
      <c r="Y1285" s="6">
        <v>53.1</v>
      </c>
      <c r="Z1285">
        <v>4.7E-2</v>
      </c>
      <c r="AA1285">
        <v>8.7999999999999995E-2</v>
      </c>
      <c r="AB1285">
        <v>9.1999999999999998E-2</v>
      </c>
      <c r="AC1285">
        <v>6</v>
      </c>
      <c r="AD1285" s="6">
        <v>50</v>
      </c>
      <c r="AE1285" s="6">
        <v>0</v>
      </c>
      <c r="AF1285" s="6">
        <v>0</v>
      </c>
      <c r="AG1285" s="6">
        <v>48.61</v>
      </c>
      <c r="AH1285" s="6">
        <v>62.68</v>
      </c>
      <c r="AI1285" s="6">
        <f t="shared" si="40"/>
        <v>14.07</v>
      </c>
      <c r="AJ1285" s="5">
        <f t="shared" si="41"/>
        <v>0.22447351627313339</v>
      </c>
    </row>
    <row r="1286" spans="1:36">
      <c r="A1286" t="s">
        <v>204</v>
      </c>
      <c r="B1286" t="s">
        <v>1571</v>
      </c>
      <c r="C1286" t="s">
        <v>88</v>
      </c>
      <c r="D1286" t="s">
        <v>77</v>
      </c>
      <c r="E1286" t="s">
        <v>55</v>
      </c>
      <c r="F1286">
        <v>0</v>
      </c>
      <c r="G1286">
        <v>3259</v>
      </c>
      <c r="H1286">
        <v>1</v>
      </c>
      <c r="I1286" t="s">
        <v>181</v>
      </c>
      <c r="J1286">
        <v>3</v>
      </c>
      <c r="K1286" s="6">
        <v>7.75</v>
      </c>
      <c r="L1286" t="s">
        <v>174</v>
      </c>
      <c r="M1286">
        <v>0</v>
      </c>
      <c r="N1286" t="s">
        <v>175</v>
      </c>
      <c r="O1286">
        <v>1</v>
      </c>
      <c r="P1286">
        <v>0</v>
      </c>
      <c r="Q1286" s="6">
        <v>36.5</v>
      </c>
      <c r="R1286">
        <v>0</v>
      </c>
      <c r="S1286" s="6">
        <v>0</v>
      </c>
      <c r="T1286">
        <v>0</v>
      </c>
      <c r="U1286" s="6">
        <v>1325</v>
      </c>
      <c r="V1286">
        <v>0</v>
      </c>
      <c r="W1286">
        <v>0</v>
      </c>
      <c r="X1286">
        <v>0</v>
      </c>
      <c r="Y1286" s="6">
        <v>53.1</v>
      </c>
      <c r="Z1286">
        <v>4.7E-2</v>
      </c>
      <c r="AA1286">
        <v>8.7999999999999995E-2</v>
      </c>
      <c r="AB1286">
        <v>9.1999999999999998E-2</v>
      </c>
      <c r="AC1286">
        <v>6</v>
      </c>
      <c r="AD1286" s="6">
        <v>60</v>
      </c>
      <c r="AE1286" s="6">
        <v>0</v>
      </c>
      <c r="AF1286" s="6">
        <v>0</v>
      </c>
      <c r="AG1286" s="6">
        <v>69.72</v>
      </c>
      <c r="AH1286" s="6">
        <v>88.78</v>
      </c>
      <c r="AI1286" s="6">
        <f t="shared" si="40"/>
        <v>19.060000000000002</v>
      </c>
      <c r="AJ1286" s="5">
        <f t="shared" si="41"/>
        <v>0.21468799279116921</v>
      </c>
    </row>
    <row r="1287" spans="1:36">
      <c r="A1287" t="s">
        <v>330</v>
      </c>
      <c r="B1287" t="s">
        <v>1572</v>
      </c>
      <c r="C1287" t="s">
        <v>88</v>
      </c>
      <c r="D1287" t="s">
        <v>77</v>
      </c>
      <c r="E1287" t="s">
        <v>55</v>
      </c>
      <c r="F1287">
        <v>0</v>
      </c>
      <c r="G1287">
        <v>3259</v>
      </c>
      <c r="H1287">
        <v>1</v>
      </c>
      <c r="I1287" t="s">
        <v>173</v>
      </c>
      <c r="J1287">
        <v>1</v>
      </c>
      <c r="K1287" s="6">
        <v>2.31</v>
      </c>
      <c r="L1287" t="s">
        <v>174</v>
      </c>
      <c r="M1287">
        <v>0</v>
      </c>
      <c r="N1287" t="s">
        <v>182</v>
      </c>
      <c r="O1287">
        <v>3</v>
      </c>
      <c r="P1287">
        <v>0</v>
      </c>
      <c r="Q1287" s="6">
        <v>78.099999999999994</v>
      </c>
      <c r="R1287">
        <v>0</v>
      </c>
      <c r="S1287" s="6">
        <v>0</v>
      </c>
      <c r="T1287">
        <v>0</v>
      </c>
      <c r="U1287" s="6">
        <v>4784</v>
      </c>
      <c r="V1287">
        <v>0</v>
      </c>
      <c r="W1287">
        <v>0</v>
      </c>
      <c r="X1287">
        <v>1</v>
      </c>
      <c r="Y1287" s="6">
        <v>53.1</v>
      </c>
      <c r="Z1287">
        <v>4.7E-2</v>
      </c>
      <c r="AA1287">
        <v>8.7999999999999995E-2</v>
      </c>
      <c r="AB1287">
        <v>9.1999999999999998E-2</v>
      </c>
      <c r="AC1287">
        <v>6</v>
      </c>
      <c r="AD1287" s="6">
        <v>50</v>
      </c>
      <c r="AE1287" s="6">
        <v>0</v>
      </c>
      <c r="AF1287" s="6">
        <v>0</v>
      </c>
      <c r="AG1287" s="6">
        <v>48.31</v>
      </c>
      <c r="AH1287" s="6">
        <v>61.15</v>
      </c>
      <c r="AI1287" s="6">
        <f t="shared" si="40"/>
        <v>12.839999999999996</v>
      </c>
      <c r="AJ1287" s="5">
        <f t="shared" si="41"/>
        <v>0.20997547015535561</v>
      </c>
    </row>
    <row r="1288" spans="1:36">
      <c r="A1288" t="s">
        <v>243</v>
      </c>
      <c r="B1288" t="s">
        <v>1573</v>
      </c>
      <c r="C1288" t="s">
        <v>88</v>
      </c>
      <c r="D1288" t="s">
        <v>77</v>
      </c>
      <c r="E1288" t="s">
        <v>55</v>
      </c>
      <c r="F1288">
        <v>0</v>
      </c>
      <c r="G1288">
        <v>3259</v>
      </c>
      <c r="H1288">
        <v>1</v>
      </c>
      <c r="I1288" t="s">
        <v>173</v>
      </c>
      <c r="J1288">
        <v>1</v>
      </c>
      <c r="K1288" s="6">
        <v>2.38</v>
      </c>
      <c r="L1288" t="s">
        <v>174</v>
      </c>
      <c r="M1288">
        <v>0</v>
      </c>
      <c r="N1288" t="s">
        <v>175</v>
      </c>
      <c r="O1288">
        <v>1</v>
      </c>
      <c r="P1288">
        <v>0</v>
      </c>
      <c r="Q1288" s="6">
        <v>36.799999999999997</v>
      </c>
      <c r="R1288">
        <v>0</v>
      </c>
      <c r="S1288" s="6">
        <v>0</v>
      </c>
      <c r="T1288">
        <v>0</v>
      </c>
      <c r="U1288" s="6">
        <v>3541</v>
      </c>
      <c r="V1288">
        <v>0</v>
      </c>
      <c r="W1288">
        <v>0</v>
      </c>
      <c r="X1288">
        <v>0</v>
      </c>
      <c r="Y1288" s="6">
        <v>53.1</v>
      </c>
      <c r="Z1288">
        <v>4.7E-2</v>
      </c>
      <c r="AA1288">
        <v>8.7999999999999995E-2</v>
      </c>
      <c r="AB1288">
        <v>9.1999999999999998E-2</v>
      </c>
      <c r="AC1288">
        <v>6</v>
      </c>
      <c r="AD1288" s="6">
        <v>50</v>
      </c>
      <c r="AE1288" s="6">
        <v>0</v>
      </c>
      <c r="AF1288" s="6">
        <v>0</v>
      </c>
      <c r="AG1288" s="6">
        <v>52.46</v>
      </c>
      <c r="AH1288" s="6">
        <v>69.319999999999993</v>
      </c>
      <c r="AI1288" s="6">
        <f t="shared" si="40"/>
        <v>16.859999999999992</v>
      </c>
      <c r="AJ1288" s="5">
        <f t="shared" si="41"/>
        <v>0.24321984997114821</v>
      </c>
    </row>
    <row r="1289" spans="1:36">
      <c r="A1289" t="s">
        <v>512</v>
      </c>
      <c r="B1289" t="s">
        <v>1574</v>
      </c>
      <c r="C1289" t="s">
        <v>88</v>
      </c>
      <c r="D1289" t="s">
        <v>77</v>
      </c>
      <c r="E1289" t="s">
        <v>55</v>
      </c>
      <c r="F1289">
        <v>0</v>
      </c>
      <c r="G1289">
        <v>3259</v>
      </c>
      <c r="H1289">
        <v>1</v>
      </c>
      <c r="I1289" t="s">
        <v>220</v>
      </c>
      <c r="J1289">
        <v>2</v>
      </c>
      <c r="K1289" s="6">
        <v>4.66</v>
      </c>
      <c r="L1289" t="s">
        <v>174</v>
      </c>
      <c r="M1289">
        <v>0</v>
      </c>
      <c r="N1289" t="s">
        <v>187</v>
      </c>
      <c r="O1289">
        <v>2</v>
      </c>
      <c r="P1289">
        <v>0</v>
      </c>
      <c r="Q1289" s="6">
        <v>68.3</v>
      </c>
      <c r="R1289">
        <v>0</v>
      </c>
      <c r="S1289" s="6">
        <v>0</v>
      </c>
      <c r="T1289">
        <v>0</v>
      </c>
      <c r="U1289" s="6">
        <v>1361</v>
      </c>
      <c r="V1289">
        <v>0</v>
      </c>
      <c r="W1289">
        <v>0</v>
      </c>
      <c r="X1289">
        <v>0</v>
      </c>
      <c r="Y1289" s="6">
        <v>53.1</v>
      </c>
      <c r="Z1289">
        <v>4.7E-2</v>
      </c>
      <c r="AA1289">
        <v>8.7999999999999995E-2</v>
      </c>
      <c r="AB1289">
        <v>9.1999999999999998E-2</v>
      </c>
      <c r="AC1289">
        <v>6</v>
      </c>
      <c r="AD1289" s="6">
        <v>50</v>
      </c>
      <c r="AE1289" s="6">
        <v>0</v>
      </c>
      <c r="AF1289" s="6">
        <v>0</v>
      </c>
      <c r="AG1289" s="6">
        <v>62.57</v>
      </c>
      <c r="AH1289" s="6">
        <v>78.87</v>
      </c>
      <c r="AI1289" s="6">
        <f t="shared" si="40"/>
        <v>16.300000000000004</v>
      </c>
      <c r="AJ1289" s="5">
        <f t="shared" si="41"/>
        <v>0.20666920248510212</v>
      </c>
    </row>
    <row r="1290" spans="1:36">
      <c r="A1290" t="s">
        <v>343</v>
      </c>
      <c r="B1290" t="s">
        <v>1575</v>
      </c>
      <c r="C1290" t="s">
        <v>88</v>
      </c>
      <c r="D1290" t="s">
        <v>77</v>
      </c>
      <c r="E1290" t="s">
        <v>55</v>
      </c>
      <c r="F1290">
        <v>0</v>
      </c>
      <c r="G1290">
        <v>3259</v>
      </c>
      <c r="H1290">
        <v>1</v>
      </c>
      <c r="I1290" t="s">
        <v>173</v>
      </c>
      <c r="J1290">
        <v>1</v>
      </c>
      <c r="K1290" s="6">
        <v>3.04</v>
      </c>
      <c r="L1290" t="s">
        <v>174</v>
      </c>
      <c r="M1290">
        <v>0</v>
      </c>
      <c r="N1290" t="s">
        <v>175</v>
      </c>
      <c r="O1290">
        <v>1</v>
      </c>
      <c r="P1290">
        <v>1</v>
      </c>
      <c r="Q1290" s="6">
        <v>25</v>
      </c>
      <c r="R1290">
        <v>0</v>
      </c>
      <c r="S1290" s="6">
        <v>0</v>
      </c>
      <c r="T1290">
        <v>0</v>
      </c>
      <c r="U1290" s="6">
        <v>2147</v>
      </c>
      <c r="V1290">
        <v>0</v>
      </c>
      <c r="W1290">
        <v>0</v>
      </c>
      <c r="X1290">
        <v>0</v>
      </c>
      <c r="Y1290" s="6">
        <v>53.1</v>
      </c>
      <c r="Z1290">
        <v>4.7E-2</v>
      </c>
      <c r="AA1290">
        <v>8.7999999999999995E-2</v>
      </c>
      <c r="AB1290">
        <v>9.1999999999999998E-2</v>
      </c>
      <c r="AC1290">
        <v>6</v>
      </c>
      <c r="AD1290" s="6">
        <v>50</v>
      </c>
      <c r="AE1290" s="6">
        <v>0</v>
      </c>
      <c r="AF1290" s="6">
        <v>0</v>
      </c>
      <c r="AG1290" s="6">
        <v>67.77</v>
      </c>
      <c r="AH1290" s="6">
        <v>88.59</v>
      </c>
      <c r="AI1290" s="6">
        <f t="shared" si="40"/>
        <v>20.820000000000007</v>
      </c>
      <c r="AJ1290" s="5">
        <f t="shared" si="41"/>
        <v>0.23501523874026423</v>
      </c>
    </row>
    <row r="1291" spans="1:36">
      <c r="A1291" t="s">
        <v>238</v>
      </c>
      <c r="B1291" t="s">
        <v>1576</v>
      </c>
      <c r="C1291" t="s">
        <v>88</v>
      </c>
      <c r="D1291" t="s">
        <v>77</v>
      </c>
      <c r="E1291" t="s">
        <v>55</v>
      </c>
      <c r="F1291">
        <v>0</v>
      </c>
      <c r="G1291">
        <v>3259</v>
      </c>
      <c r="H1291">
        <v>1</v>
      </c>
      <c r="I1291" t="s">
        <v>220</v>
      </c>
      <c r="J1291">
        <v>2</v>
      </c>
      <c r="K1291" s="6">
        <v>4.76</v>
      </c>
      <c r="L1291" t="s">
        <v>174</v>
      </c>
      <c r="M1291">
        <v>0</v>
      </c>
      <c r="N1291" t="s">
        <v>182</v>
      </c>
      <c r="O1291">
        <v>3</v>
      </c>
      <c r="P1291">
        <v>0</v>
      </c>
      <c r="Q1291" s="6">
        <v>84.6</v>
      </c>
      <c r="R1291">
        <v>0</v>
      </c>
      <c r="S1291" s="6">
        <v>0</v>
      </c>
      <c r="T1291">
        <v>0</v>
      </c>
      <c r="U1291" s="6">
        <v>2893</v>
      </c>
      <c r="V1291">
        <v>1</v>
      </c>
      <c r="W1291">
        <v>0</v>
      </c>
      <c r="X1291">
        <v>0</v>
      </c>
      <c r="Y1291" s="6">
        <v>53.1</v>
      </c>
      <c r="Z1291">
        <v>4.7E-2</v>
      </c>
      <c r="AA1291">
        <v>8.7999999999999995E-2</v>
      </c>
      <c r="AB1291">
        <v>9.1999999999999998E-2</v>
      </c>
      <c r="AC1291">
        <v>6</v>
      </c>
      <c r="AD1291" s="6">
        <v>50</v>
      </c>
      <c r="AE1291" s="6">
        <v>0</v>
      </c>
      <c r="AF1291" s="6">
        <v>0</v>
      </c>
      <c r="AG1291" s="6">
        <v>109.88</v>
      </c>
      <c r="AH1291" s="6">
        <v>141.84</v>
      </c>
      <c r="AI1291" s="6">
        <f t="shared" si="40"/>
        <v>31.960000000000008</v>
      </c>
      <c r="AJ1291" s="5">
        <f t="shared" si="41"/>
        <v>0.22532430908065432</v>
      </c>
    </row>
    <row r="1292" spans="1:36">
      <c r="A1292" t="s">
        <v>635</v>
      </c>
      <c r="B1292" t="s">
        <v>1577</v>
      </c>
      <c r="C1292" t="s">
        <v>88</v>
      </c>
      <c r="D1292" t="s">
        <v>77</v>
      </c>
      <c r="E1292" t="s">
        <v>55</v>
      </c>
      <c r="F1292">
        <v>0</v>
      </c>
      <c r="G1292">
        <v>3259</v>
      </c>
      <c r="H1292">
        <v>1</v>
      </c>
      <c r="I1292" t="s">
        <v>181</v>
      </c>
      <c r="J1292">
        <v>3</v>
      </c>
      <c r="K1292" s="6">
        <v>9.56</v>
      </c>
      <c r="L1292" t="s">
        <v>174</v>
      </c>
      <c r="M1292">
        <v>0</v>
      </c>
      <c r="N1292" t="s">
        <v>187</v>
      </c>
      <c r="O1292">
        <v>2</v>
      </c>
      <c r="P1292">
        <v>1</v>
      </c>
      <c r="Q1292" s="6">
        <v>46.8</v>
      </c>
      <c r="R1292">
        <v>0</v>
      </c>
      <c r="S1292" s="6">
        <v>0</v>
      </c>
      <c r="T1292">
        <v>0</v>
      </c>
      <c r="U1292" s="6">
        <v>1969</v>
      </c>
      <c r="V1292">
        <v>0</v>
      </c>
      <c r="W1292">
        <v>0</v>
      </c>
      <c r="X1292">
        <v>0</v>
      </c>
      <c r="Y1292" s="6">
        <v>53.1</v>
      </c>
      <c r="Z1292">
        <v>4.7E-2</v>
      </c>
      <c r="AA1292">
        <v>8.7999999999999995E-2</v>
      </c>
      <c r="AB1292">
        <v>9.1999999999999998E-2</v>
      </c>
      <c r="AC1292">
        <v>6</v>
      </c>
      <c r="AD1292" s="6">
        <v>60</v>
      </c>
      <c r="AE1292" s="6">
        <v>0</v>
      </c>
      <c r="AF1292" s="6">
        <v>0</v>
      </c>
      <c r="AG1292" s="6">
        <v>116.38</v>
      </c>
      <c r="AH1292" s="6">
        <v>146.61000000000001</v>
      </c>
      <c r="AI1292" s="6">
        <f t="shared" si="40"/>
        <v>30.230000000000018</v>
      </c>
      <c r="AJ1292" s="5">
        <f t="shared" si="41"/>
        <v>0.20619330195757463</v>
      </c>
    </row>
    <row r="1293" spans="1:36">
      <c r="A1293" t="s">
        <v>375</v>
      </c>
      <c r="B1293" t="s">
        <v>1578</v>
      </c>
      <c r="C1293" t="s">
        <v>88</v>
      </c>
      <c r="D1293" t="s">
        <v>77</v>
      </c>
      <c r="E1293" t="s">
        <v>55</v>
      </c>
      <c r="F1293">
        <v>0</v>
      </c>
      <c r="G1293">
        <v>3259</v>
      </c>
      <c r="H1293">
        <v>1</v>
      </c>
      <c r="I1293" t="s">
        <v>173</v>
      </c>
      <c r="J1293">
        <v>1</v>
      </c>
      <c r="K1293" s="6">
        <v>1.71</v>
      </c>
      <c r="L1293" t="s">
        <v>174</v>
      </c>
      <c r="M1293">
        <v>0</v>
      </c>
      <c r="N1293" t="s">
        <v>217</v>
      </c>
      <c r="O1293">
        <v>4</v>
      </c>
      <c r="P1293">
        <v>1</v>
      </c>
      <c r="Q1293" s="6">
        <v>144.1</v>
      </c>
      <c r="R1293">
        <v>0</v>
      </c>
      <c r="S1293" s="6">
        <v>0</v>
      </c>
      <c r="T1293">
        <v>0</v>
      </c>
      <c r="U1293" s="6">
        <v>3067</v>
      </c>
      <c r="V1293">
        <v>0</v>
      </c>
      <c r="W1293">
        <v>0</v>
      </c>
      <c r="X1293">
        <v>0</v>
      </c>
      <c r="Y1293" s="6">
        <v>53.1</v>
      </c>
      <c r="Z1293">
        <v>4.7E-2</v>
      </c>
      <c r="AA1293">
        <v>8.7999999999999995E-2</v>
      </c>
      <c r="AB1293">
        <v>9.1999999999999998E-2</v>
      </c>
      <c r="AC1293">
        <v>6</v>
      </c>
      <c r="AD1293" s="6">
        <v>50</v>
      </c>
      <c r="AE1293" s="6">
        <v>0</v>
      </c>
      <c r="AF1293" s="6">
        <v>0</v>
      </c>
      <c r="AG1293" s="6">
        <v>100.66</v>
      </c>
      <c r="AH1293" s="6">
        <v>128.79</v>
      </c>
      <c r="AI1293" s="6">
        <f t="shared" si="40"/>
        <v>28.129999999999995</v>
      </c>
      <c r="AJ1293" s="5">
        <f t="shared" si="41"/>
        <v>0.21841757900458109</v>
      </c>
    </row>
    <row r="1294" spans="1:36">
      <c r="A1294" t="s">
        <v>190</v>
      </c>
      <c r="B1294" t="s">
        <v>1579</v>
      </c>
      <c r="C1294" t="s">
        <v>88</v>
      </c>
      <c r="D1294" t="s">
        <v>77</v>
      </c>
      <c r="E1294" t="s">
        <v>55</v>
      </c>
      <c r="F1294">
        <v>0</v>
      </c>
      <c r="G1294">
        <v>3259</v>
      </c>
      <c r="H1294">
        <v>1</v>
      </c>
      <c r="I1294" t="s">
        <v>173</v>
      </c>
      <c r="J1294">
        <v>1</v>
      </c>
      <c r="K1294" s="6">
        <v>1.1000000000000001</v>
      </c>
      <c r="L1294" t="s">
        <v>174</v>
      </c>
      <c r="M1294">
        <v>0</v>
      </c>
      <c r="N1294" t="s">
        <v>182</v>
      </c>
      <c r="O1294">
        <v>3</v>
      </c>
      <c r="P1294">
        <v>1</v>
      </c>
      <c r="Q1294" s="6">
        <v>75.099999999999994</v>
      </c>
      <c r="R1294">
        <v>0</v>
      </c>
      <c r="S1294" s="6">
        <v>0</v>
      </c>
      <c r="T1294">
        <v>0</v>
      </c>
      <c r="U1294" s="6">
        <v>2401</v>
      </c>
      <c r="V1294">
        <v>0</v>
      </c>
      <c r="W1294">
        <v>0</v>
      </c>
      <c r="X1294">
        <v>0</v>
      </c>
      <c r="Y1294" s="6">
        <v>53.1</v>
      </c>
      <c r="Z1294">
        <v>4.7E-2</v>
      </c>
      <c r="AA1294">
        <v>8.7999999999999995E-2</v>
      </c>
      <c r="AB1294">
        <v>9.1999999999999998E-2</v>
      </c>
      <c r="AC1294">
        <v>6</v>
      </c>
      <c r="AD1294" s="6">
        <v>50</v>
      </c>
      <c r="AE1294" s="6">
        <v>0</v>
      </c>
      <c r="AF1294" s="6">
        <v>0</v>
      </c>
      <c r="AG1294" s="6">
        <v>84.96</v>
      </c>
      <c r="AH1294" s="6">
        <v>106.61</v>
      </c>
      <c r="AI1294" s="6">
        <f t="shared" si="40"/>
        <v>21.650000000000006</v>
      </c>
      <c r="AJ1294" s="5">
        <f t="shared" si="41"/>
        <v>0.20307663446205801</v>
      </c>
    </row>
    <row r="1295" spans="1:36">
      <c r="A1295" t="s">
        <v>365</v>
      </c>
      <c r="B1295" t="s">
        <v>1580</v>
      </c>
      <c r="C1295" t="s">
        <v>88</v>
      </c>
      <c r="D1295" t="s">
        <v>77</v>
      </c>
      <c r="E1295" t="s">
        <v>55</v>
      </c>
      <c r="F1295">
        <v>0</v>
      </c>
      <c r="G1295">
        <v>3259</v>
      </c>
      <c r="H1295">
        <v>1</v>
      </c>
      <c r="I1295" t="s">
        <v>220</v>
      </c>
      <c r="J1295">
        <v>2</v>
      </c>
      <c r="K1295" s="6">
        <v>4.71</v>
      </c>
      <c r="L1295" t="s">
        <v>174</v>
      </c>
      <c r="M1295">
        <v>0</v>
      </c>
      <c r="N1295" t="s">
        <v>272</v>
      </c>
      <c r="O1295">
        <v>5</v>
      </c>
      <c r="P1295">
        <v>1</v>
      </c>
      <c r="Q1295" s="6">
        <v>205</v>
      </c>
      <c r="R1295">
        <v>0</v>
      </c>
      <c r="S1295" s="6">
        <v>0</v>
      </c>
      <c r="T1295">
        <v>0</v>
      </c>
      <c r="U1295" s="6">
        <v>3556</v>
      </c>
      <c r="V1295">
        <v>0</v>
      </c>
      <c r="W1295">
        <v>0</v>
      </c>
      <c r="X1295">
        <v>0</v>
      </c>
      <c r="Y1295" s="6">
        <v>53.1</v>
      </c>
      <c r="Z1295">
        <v>4.7E-2</v>
      </c>
      <c r="AA1295">
        <v>8.7999999999999995E-2</v>
      </c>
      <c r="AB1295">
        <v>9.1999999999999998E-2</v>
      </c>
      <c r="AC1295">
        <v>6</v>
      </c>
      <c r="AD1295" s="6">
        <v>50</v>
      </c>
      <c r="AE1295" s="6">
        <v>0</v>
      </c>
      <c r="AF1295" s="6">
        <v>0</v>
      </c>
      <c r="AG1295" s="6">
        <v>152.91999999999999</v>
      </c>
      <c r="AH1295" s="6">
        <v>194.26</v>
      </c>
      <c r="AI1295" s="6">
        <f t="shared" si="40"/>
        <v>41.34</v>
      </c>
      <c r="AJ1295" s="5">
        <f t="shared" si="41"/>
        <v>0.21280757747348916</v>
      </c>
    </row>
    <row r="1296" spans="1:36">
      <c r="A1296" t="s">
        <v>255</v>
      </c>
      <c r="B1296" t="s">
        <v>1581</v>
      </c>
      <c r="C1296" t="s">
        <v>88</v>
      </c>
      <c r="D1296" t="s">
        <v>77</v>
      </c>
      <c r="E1296" t="s">
        <v>55</v>
      </c>
      <c r="F1296">
        <v>0</v>
      </c>
      <c r="G1296">
        <v>3259</v>
      </c>
      <c r="H1296">
        <v>1</v>
      </c>
      <c r="I1296" t="s">
        <v>173</v>
      </c>
      <c r="J1296">
        <v>1</v>
      </c>
      <c r="K1296" s="6">
        <v>1.53</v>
      </c>
      <c r="L1296" t="s">
        <v>174</v>
      </c>
      <c r="M1296">
        <v>0</v>
      </c>
      <c r="N1296" t="s">
        <v>187</v>
      </c>
      <c r="O1296">
        <v>2</v>
      </c>
      <c r="P1296">
        <v>0</v>
      </c>
      <c r="Q1296" s="6">
        <v>46.5</v>
      </c>
      <c r="R1296">
        <v>0</v>
      </c>
      <c r="S1296" s="6">
        <v>0</v>
      </c>
      <c r="T1296">
        <v>0</v>
      </c>
      <c r="U1296" s="6">
        <v>2949</v>
      </c>
      <c r="V1296">
        <v>0</v>
      </c>
      <c r="W1296">
        <v>0</v>
      </c>
      <c r="X1296">
        <v>0</v>
      </c>
      <c r="Y1296" s="6">
        <v>53.1</v>
      </c>
      <c r="Z1296">
        <v>4.7E-2</v>
      </c>
      <c r="AA1296">
        <v>8.7999999999999995E-2</v>
      </c>
      <c r="AB1296">
        <v>9.1999999999999998E-2</v>
      </c>
      <c r="AC1296">
        <v>6</v>
      </c>
      <c r="AD1296" s="6">
        <v>50</v>
      </c>
      <c r="AE1296" s="6">
        <v>0</v>
      </c>
      <c r="AF1296" s="6">
        <v>0</v>
      </c>
      <c r="AG1296" s="6">
        <v>51.14</v>
      </c>
      <c r="AH1296" s="6">
        <v>67.47</v>
      </c>
      <c r="AI1296" s="6">
        <f t="shared" si="40"/>
        <v>16.329999999999998</v>
      </c>
      <c r="AJ1296" s="5">
        <f t="shared" si="41"/>
        <v>0.24203349636875646</v>
      </c>
    </row>
    <row r="1297" spans="1:36">
      <c r="A1297" t="s">
        <v>208</v>
      </c>
      <c r="B1297" t="s">
        <v>1582</v>
      </c>
      <c r="C1297" t="s">
        <v>88</v>
      </c>
      <c r="D1297" t="s">
        <v>77</v>
      </c>
      <c r="E1297" t="s">
        <v>55</v>
      </c>
      <c r="F1297">
        <v>0</v>
      </c>
      <c r="G1297">
        <v>3259</v>
      </c>
      <c r="H1297">
        <v>1</v>
      </c>
      <c r="I1297" t="s">
        <v>173</v>
      </c>
      <c r="J1297">
        <v>1</v>
      </c>
      <c r="K1297" s="6">
        <v>2.16</v>
      </c>
      <c r="L1297" t="s">
        <v>174</v>
      </c>
      <c r="M1297">
        <v>0</v>
      </c>
      <c r="N1297" t="s">
        <v>187</v>
      </c>
      <c r="O1297">
        <v>2</v>
      </c>
      <c r="P1297">
        <v>0</v>
      </c>
      <c r="Q1297" s="6">
        <v>51.1</v>
      </c>
      <c r="R1297">
        <v>0</v>
      </c>
      <c r="S1297" s="6">
        <v>0</v>
      </c>
      <c r="T1297">
        <v>0</v>
      </c>
      <c r="U1297" s="6">
        <v>1352</v>
      </c>
      <c r="V1297">
        <v>0</v>
      </c>
      <c r="W1297">
        <v>0</v>
      </c>
      <c r="X1297">
        <v>0</v>
      </c>
      <c r="Y1297" s="6">
        <v>53.1</v>
      </c>
      <c r="Z1297">
        <v>4.7E-2</v>
      </c>
      <c r="AA1297">
        <v>8.7999999999999995E-2</v>
      </c>
      <c r="AB1297">
        <v>9.1999999999999998E-2</v>
      </c>
      <c r="AC1297">
        <v>6</v>
      </c>
      <c r="AD1297" s="6">
        <v>50</v>
      </c>
      <c r="AE1297" s="6">
        <v>0</v>
      </c>
      <c r="AF1297" s="6">
        <v>0</v>
      </c>
      <c r="AG1297" s="6">
        <v>56.72</v>
      </c>
      <c r="AH1297" s="6">
        <v>75.11</v>
      </c>
      <c r="AI1297" s="6">
        <f t="shared" si="40"/>
        <v>18.39</v>
      </c>
      <c r="AJ1297" s="5">
        <f t="shared" si="41"/>
        <v>0.24484090001331382</v>
      </c>
    </row>
    <row r="1298" spans="1:36">
      <c r="A1298" t="s">
        <v>243</v>
      </c>
      <c r="B1298" t="s">
        <v>1583</v>
      </c>
      <c r="C1298" t="s">
        <v>88</v>
      </c>
      <c r="D1298" t="s">
        <v>77</v>
      </c>
      <c r="E1298" t="s">
        <v>55</v>
      </c>
      <c r="F1298">
        <v>0</v>
      </c>
      <c r="G1298">
        <v>3259</v>
      </c>
      <c r="H1298">
        <v>1</v>
      </c>
      <c r="I1298" t="s">
        <v>181</v>
      </c>
      <c r="J1298">
        <v>3</v>
      </c>
      <c r="K1298" s="6">
        <v>9.76</v>
      </c>
      <c r="L1298" t="s">
        <v>174</v>
      </c>
      <c r="M1298">
        <v>0</v>
      </c>
      <c r="N1298" t="s">
        <v>187</v>
      </c>
      <c r="O1298">
        <v>2</v>
      </c>
      <c r="P1298">
        <v>0</v>
      </c>
      <c r="Q1298" s="6">
        <v>78.3</v>
      </c>
      <c r="R1298">
        <v>0</v>
      </c>
      <c r="S1298" s="6">
        <v>0</v>
      </c>
      <c r="T1298">
        <v>0</v>
      </c>
      <c r="U1298" s="6">
        <v>4821</v>
      </c>
      <c r="V1298">
        <v>0</v>
      </c>
      <c r="W1298">
        <v>0</v>
      </c>
      <c r="X1298">
        <v>0</v>
      </c>
      <c r="Y1298" s="6">
        <v>53.1</v>
      </c>
      <c r="Z1298">
        <v>4.7E-2</v>
      </c>
      <c r="AA1298">
        <v>8.7999999999999995E-2</v>
      </c>
      <c r="AB1298">
        <v>9.1999999999999998E-2</v>
      </c>
      <c r="AC1298">
        <v>6</v>
      </c>
      <c r="AD1298" s="6">
        <v>60</v>
      </c>
      <c r="AE1298" s="6">
        <v>0</v>
      </c>
      <c r="AF1298" s="6">
        <v>0</v>
      </c>
      <c r="AG1298" s="6">
        <v>101.74</v>
      </c>
      <c r="AH1298" s="6">
        <v>129.97999999999999</v>
      </c>
      <c r="AI1298" s="6">
        <f t="shared" si="40"/>
        <v>28.239999999999995</v>
      </c>
      <c r="AJ1298" s="5">
        <f t="shared" si="41"/>
        <v>0.2172641944914602</v>
      </c>
    </row>
    <row r="1299" spans="1:36">
      <c r="A1299" t="s">
        <v>431</v>
      </c>
      <c r="B1299" t="s">
        <v>1584</v>
      </c>
      <c r="C1299" t="s">
        <v>88</v>
      </c>
      <c r="D1299" t="s">
        <v>77</v>
      </c>
      <c r="E1299" t="s">
        <v>55</v>
      </c>
      <c r="F1299">
        <v>0</v>
      </c>
      <c r="G1299">
        <v>3259</v>
      </c>
      <c r="H1299">
        <v>1</v>
      </c>
      <c r="I1299" t="s">
        <v>181</v>
      </c>
      <c r="J1299">
        <v>3</v>
      </c>
      <c r="K1299" s="6">
        <v>5.54</v>
      </c>
      <c r="L1299" t="s">
        <v>174</v>
      </c>
      <c r="M1299">
        <v>0</v>
      </c>
      <c r="N1299" t="s">
        <v>175</v>
      </c>
      <c r="O1299">
        <v>1</v>
      </c>
      <c r="P1299">
        <v>1</v>
      </c>
      <c r="Q1299" s="6">
        <v>28.8</v>
      </c>
      <c r="R1299">
        <v>1</v>
      </c>
      <c r="S1299" s="6">
        <v>1319</v>
      </c>
      <c r="T1299">
        <v>0</v>
      </c>
      <c r="U1299" s="6">
        <v>2730</v>
      </c>
      <c r="V1299">
        <v>0</v>
      </c>
      <c r="W1299">
        <v>0</v>
      </c>
      <c r="X1299">
        <v>0</v>
      </c>
      <c r="Y1299" s="6">
        <v>53.1</v>
      </c>
      <c r="Z1299">
        <v>4.7E-2</v>
      </c>
      <c r="AA1299">
        <v>8.7999999999999995E-2</v>
      </c>
      <c r="AB1299">
        <v>9.1999999999999998E-2</v>
      </c>
      <c r="AC1299">
        <v>6</v>
      </c>
      <c r="AD1299" s="6">
        <v>60</v>
      </c>
      <c r="AE1299" s="6">
        <v>25</v>
      </c>
      <c r="AF1299" s="6">
        <v>0</v>
      </c>
      <c r="AG1299" s="6">
        <v>99.53</v>
      </c>
      <c r="AH1299" s="6">
        <v>129.02000000000001</v>
      </c>
      <c r="AI1299" s="6">
        <f t="shared" si="40"/>
        <v>29.490000000000009</v>
      </c>
      <c r="AJ1299" s="5">
        <f t="shared" si="41"/>
        <v>0.2285692140753372</v>
      </c>
    </row>
    <row r="1300" spans="1:36">
      <c r="A1300" t="s">
        <v>249</v>
      </c>
      <c r="B1300" t="s">
        <v>1585</v>
      </c>
      <c r="C1300" t="s">
        <v>88</v>
      </c>
      <c r="D1300" t="s">
        <v>77</v>
      </c>
      <c r="E1300" t="s">
        <v>55</v>
      </c>
      <c r="F1300">
        <v>0</v>
      </c>
      <c r="G1300">
        <v>3259</v>
      </c>
      <c r="H1300">
        <v>1</v>
      </c>
      <c r="I1300" t="s">
        <v>181</v>
      </c>
      <c r="J1300">
        <v>3</v>
      </c>
      <c r="K1300" s="6">
        <v>11.72</v>
      </c>
      <c r="L1300" t="s">
        <v>174</v>
      </c>
      <c r="M1300">
        <v>0</v>
      </c>
      <c r="N1300" t="s">
        <v>175</v>
      </c>
      <c r="O1300">
        <v>1</v>
      </c>
      <c r="P1300">
        <v>0</v>
      </c>
      <c r="Q1300" s="6">
        <v>46.8</v>
      </c>
      <c r="R1300">
        <v>0</v>
      </c>
      <c r="S1300" s="6">
        <v>0</v>
      </c>
      <c r="T1300">
        <v>0</v>
      </c>
      <c r="U1300" s="6">
        <v>2367</v>
      </c>
      <c r="V1300">
        <v>1</v>
      </c>
      <c r="W1300">
        <v>0</v>
      </c>
      <c r="X1300">
        <v>0</v>
      </c>
      <c r="Y1300" s="6">
        <v>53.1</v>
      </c>
      <c r="Z1300">
        <v>4.7E-2</v>
      </c>
      <c r="AA1300">
        <v>8.7999999999999995E-2</v>
      </c>
      <c r="AB1300">
        <v>9.1999999999999998E-2</v>
      </c>
      <c r="AC1300">
        <v>6</v>
      </c>
      <c r="AD1300" s="6">
        <v>60</v>
      </c>
      <c r="AE1300" s="6">
        <v>0</v>
      </c>
      <c r="AF1300" s="6">
        <v>0</v>
      </c>
      <c r="AG1300" s="6">
        <v>143.16999999999999</v>
      </c>
      <c r="AH1300" s="6">
        <v>182.88</v>
      </c>
      <c r="AI1300" s="6">
        <f t="shared" si="40"/>
        <v>39.710000000000008</v>
      </c>
      <c r="AJ1300" s="5">
        <f t="shared" si="41"/>
        <v>0.21713692038495194</v>
      </c>
    </row>
    <row r="1301" spans="1:36">
      <c r="A1301" t="s">
        <v>251</v>
      </c>
      <c r="B1301" t="s">
        <v>1586</v>
      </c>
      <c r="C1301" t="s">
        <v>88</v>
      </c>
      <c r="D1301" t="s">
        <v>77</v>
      </c>
      <c r="E1301" t="s">
        <v>55</v>
      </c>
      <c r="F1301">
        <v>0</v>
      </c>
      <c r="G1301">
        <v>3259</v>
      </c>
      <c r="H1301">
        <v>1</v>
      </c>
      <c r="I1301" t="s">
        <v>220</v>
      </c>
      <c r="J1301">
        <v>2</v>
      </c>
      <c r="K1301" s="6">
        <v>1.7</v>
      </c>
      <c r="L1301" t="s">
        <v>174</v>
      </c>
      <c r="M1301">
        <v>0</v>
      </c>
      <c r="N1301" t="s">
        <v>182</v>
      </c>
      <c r="O1301">
        <v>3</v>
      </c>
      <c r="P1301">
        <v>0</v>
      </c>
      <c r="Q1301" s="6">
        <v>68.599999999999994</v>
      </c>
      <c r="R1301">
        <v>0</v>
      </c>
      <c r="S1301" s="6">
        <v>0</v>
      </c>
      <c r="T1301">
        <v>0</v>
      </c>
      <c r="U1301" s="6">
        <v>1519</v>
      </c>
      <c r="V1301">
        <v>0</v>
      </c>
      <c r="W1301">
        <v>0</v>
      </c>
      <c r="X1301">
        <v>0</v>
      </c>
      <c r="Y1301" s="6">
        <v>53.1</v>
      </c>
      <c r="Z1301">
        <v>4.7E-2</v>
      </c>
      <c r="AA1301">
        <v>8.7999999999999995E-2</v>
      </c>
      <c r="AB1301">
        <v>9.1999999999999998E-2</v>
      </c>
      <c r="AC1301">
        <v>6</v>
      </c>
      <c r="AD1301" s="6">
        <v>50</v>
      </c>
      <c r="AE1301" s="6">
        <v>0</v>
      </c>
      <c r="AF1301" s="6">
        <v>0</v>
      </c>
      <c r="AG1301" s="6">
        <v>63.77</v>
      </c>
      <c r="AH1301" s="6">
        <v>84.32</v>
      </c>
      <c r="AI1301" s="6">
        <f t="shared" si="40"/>
        <v>20.54999999999999</v>
      </c>
      <c r="AJ1301" s="5">
        <f t="shared" si="41"/>
        <v>0.2437144212523718</v>
      </c>
    </row>
    <row r="1302" spans="1:36">
      <c r="A1302" t="s">
        <v>481</v>
      </c>
      <c r="B1302" t="s">
        <v>1587</v>
      </c>
      <c r="C1302" t="s">
        <v>88</v>
      </c>
      <c r="D1302" t="s">
        <v>77</v>
      </c>
      <c r="E1302" t="s">
        <v>55</v>
      </c>
      <c r="F1302">
        <v>0</v>
      </c>
      <c r="G1302">
        <v>3259</v>
      </c>
      <c r="H1302">
        <v>1</v>
      </c>
      <c r="I1302" t="s">
        <v>173</v>
      </c>
      <c r="J1302">
        <v>1</v>
      </c>
      <c r="K1302" s="6">
        <v>3.33</v>
      </c>
      <c r="L1302" t="s">
        <v>174</v>
      </c>
      <c r="M1302">
        <v>0</v>
      </c>
      <c r="N1302" t="s">
        <v>182</v>
      </c>
      <c r="O1302">
        <v>3</v>
      </c>
      <c r="P1302">
        <v>0</v>
      </c>
      <c r="Q1302" s="6">
        <v>101.4</v>
      </c>
      <c r="R1302">
        <v>0</v>
      </c>
      <c r="S1302" s="6">
        <v>0</v>
      </c>
      <c r="T1302">
        <v>0</v>
      </c>
      <c r="U1302" s="6">
        <v>1968</v>
      </c>
      <c r="V1302">
        <v>0</v>
      </c>
      <c r="W1302">
        <v>0</v>
      </c>
      <c r="X1302">
        <v>0</v>
      </c>
      <c r="Y1302" s="6">
        <v>53.1</v>
      </c>
      <c r="Z1302">
        <v>4.7E-2</v>
      </c>
      <c r="AA1302">
        <v>8.7999999999999995E-2</v>
      </c>
      <c r="AB1302">
        <v>9.1999999999999998E-2</v>
      </c>
      <c r="AC1302">
        <v>6</v>
      </c>
      <c r="AD1302" s="6">
        <v>50</v>
      </c>
      <c r="AE1302" s="6">
        <v>0</v>
      </c>
      <c r="AF1302" s="6">
        <v>0</v>
      </c>
      <c r="AG1302" s="6">
        <v>61.87</v>
      </c>
      <c r="AH1302" s="6">
        <v>77.38</v>
      </c>
      <c r="AI1302" s="6">
        <f t="shared" si="40"/>
        <v>15.509999999999998</v>
      </c>
      <c r="AJ1302" s="5">
        <f t="shared" si="41"/>
        <v>0.2004393900232618</v>
      </c>
    </row>
    <row r="1303" spans="1:36">
      <c r="A1303" t="s">
        <v>251</v>
      </c>
      <c r="B1303" t="s">
        <v>1588</v>
      </c>
      <c r="C1303" t="s">
        <v>88</v>
      </c>
      <c r="D1303" t="s">
        <v>77</v>
      </c>
      <c r="E1303" t="s">
        <v>55</v>
      </c>
      <c r="F1303">
        <v>0</v>
      </c>
      <c r="G1303">
        <v>3259</v>
      </c>
      <c r="H1303">
        <v>1</v>
      </c>
      <c r="I1303" t="s">
        <v>220</v>
      </c>
      <c r="J1303">
        <v>2</v>
      </c>
      <c r="K1303" s="6">
        <v>2.3199999999999998</v>
      </c>
      <c r="L1303" t="s">
        <v>174</v>
      </c>
      <c r="M1303">
        <v>0</v>
      </c>
      <c r="N1303" t="s">
        <v>187</v>
      </c>
      <c r="O1303">
        <v>2</v>
      </c>
      <c r="P1303">
        <v>0</v>
      </c>
      <c r="Q1303" s="6">
        <v>70.400000000000006</v>
      </c>
      <c r="R1303">
        <v>0</v>
      </c>
      <c r="S1303" s="6">
        <v>0</v>
      </c>
      <c r="T1303">
        <v>0</v>
      </c>
      <c r="U1303" s="6">
        <v>3167</v>
      </c>
      <c r="V1303">
        <v>0</v>
      </c>
      <c r="W1303">
        <v>0</v>
      </c>
      <c r="X1303">
        <v>0</v>
      </c>
      <c r="Y1303" s="6">
        <v>53.1</v>
      </c>
      <c r="Z1303">
        <v>4.7E-2</v>
      </c>
      <c r="AA1303">
        <v>8.7999999999999995E-2</v>
      </c>
      <c r="AB1303">
        <v>9.1999999999999998E-2</v>
      </c>
      <c r="AC1303">
        <v>6</v>
      </c>
      <c r="AD1303" s="6">
        <v>50</v>
      </c>
      <c r="AE1303" s="6">
        <v>0</v>
      </c>
      <c r="AF1303" s="6">
        <v>0</v>
      </c>
      <c r="AG1303" s="6">
        <v>63.26</v>
      </c>
      <c r="AH1303" s="6">
        <v>79.209999999999994</v>
      </c>
      <c r="AI1303" s="6">
        <f t="shared" si="40"/>
        <v>15.949999999999996</v>
      </c>
      <c r="AJ1303" s="5">
        <f t="shared" si="41"/>
        <v>0.20136346420906448</v>
      </c>
    </row>
    <row r="1304" spans="1:36">
      <c r="A1304" t="s">
        <v>269</v>
      </c>
      <c r="B1304" t="s">
        <v>1589</v>
      </c>
      <c r="C1304" t="s">
        <v>88</v>
      </c>
      <c r="D1304" t="s">
        <v>77</v>
      </c>
      <c r="E1304" t="s">
        <v>55</v>
      </c>
      <c r="F1304">
        <v>0</v>
      </c>
      <c r="G1304">
        <v>3259</v>
      </c>
      <c r="H1304">
        <v>1</v>
      </c>
      <c r="I1304" t="s">
        <v>181</v>
      </c>
      <c r="J1304">
        <v>3</v>
      </c>
      <c r="K1304" s="6">
        <v>8.1999999999999993</v>
      </c>
      <c r="L1304" t="s">
        <v>174</v>
      </c>
      <c r="M1304">
        <v>0</v>
      </c>
      <c r="N1304" t="s">
        <v>182</v>
      </c>
      <c r="O1304">
        <v>3</v>
      </c>
      <c r="P1304">
        <v>0</v>
      </c>
      <c r="Q1304" s="6">
        <v>109.5</v>
      </c>
      <c r="R1304">
        <v>0</v>
      </c>
      <c r="S1304" s="6">
        <v>0</v>
      </c>
      <c r="T1304">
        <v>0</v>
      </c>
      <c r="U1304" s="6">
        <v>4169</v>
      </c>
      <c r="V1304">
        <v>0</v>
      </c>
      <c r="W1304">
        <v>0</v>
      </c>
      <c r="X1304">
        <v>0</v>
      </c>
      <c r="Y1304" s="6">
        <v>53.1</v>
      </c>
      <c r="Z1304">
        <v>4.7E-2</v>
      </c>
      <c r="AA1304">
        <v>8.7999999999999995E-2</v>
      </c>
      <c r="AB1304">
        <v>9.1999999999999998E-2</v>
      </c>
      <c r="AC1304">
        <v>6</v>
      </c>
      <c r="AD1304" s="6">
        <v>60</v>
      </c>
      <c r="AE1304" s="6">
        <v>0</v>
      </c>
      <c r="AF1304" s="6">
        <v>0</v>
      </c>
      <c r="AG1304" s="6">
        <v>100.23</v>
      </c>
      <c r="AH1304" s="6">
        <v>130.26</v>
      </c>
      <c r="AI1304" s="6">
        <f t="shared" si="40"/>
        <v>30.029999999999987</v>
      </c>
      <c r="AJ1304" s="5">
        <f t="shared" si="41"/>
        <v>0.23053892215568852</v>
      </c>
    </row>
    <row r="1305" spans="1:36">
      <c r="A1305" t="s">
        <v>338</v>
      </c>
      <c r="B1305" t="s">
        <v>1590</v>
      </c>
      <c r="C1305" t="s">
        <v>88</v>
      </c>
      <c r="D1305" t="s">
        <v>77</v>
      </c>
      <c r="E1305" t="s">
        <v>55</v>
      </c>
      <c r="F1305">
        <v>0</v>
      </c>
      <c r="G1305">
        <v>3259</v>
      </c>
      <c r="H1305">
        <v>1</v>
      </c>
      <c r="I1305" t="s">
        <v>220</v>
      </c>
      <c r="J1305">
        <v>2</v>
      </c>
      <c r="K1305" s="6">
        <v>4.7300000000000004</v>
      </c>
      <c r="L1305" t="s">
        <v>174</v>
      </c>
      <c r="M1305">
        <v>0</v>
      </c>
      <c r="N1305" t="s">
        <v>175</v>
      </c>
      <c r="O1305">
        <v>1</v>
      </c>
      <c r="P1305">
        <v>0</v>
      </c>
      <c r="Q1305" s="6">
        <v>38.5</v>
      </c>
      <c r="R1305">
        <v>0</v>
      </c>
      <c r="S1305" s="6">
        <v>0</v>
      </c>
      <c r="T1305">
        <v>0</v>
      </c>
      <c r="U1305" s="6">
        <v>1667</v>
      </c>
      <c r="V1305">
        <v>0</v>
      </c>
      <c r="W1305">
        <v>0</v>
      </c>
      <c r="X1305">
        <v>0</v>
      </c>
      <c r="Y1305" s="6">
        <v>53.1</v>
      </c>
      <c r="Z1305">
        <v>4.7E-2</v>
      </c>
      <c r="AA1305">
        <v>8.7999999999999995E-2</v>
      </c>
      <c r="AB1305">
        <v>9.1999999999999998E-2</v>
      </c>
      <c r="AC1305">
        <v>6</v>
      </c>
      <c r="AD1305" s="6">
        <v>50</v>
      </c>
      <c r="AE1305" s="6">
        <v>0</v>
      </c>
      <c r="AF1305" s="6">
        <v>0</v>
      </c>
      <c r="AG1305" s="6">
        <v>63.22</v>
      </c>
      <c r="AH1305" s="6">
        <v>80.86</v>
      </c>
      <c r="AI1305" s="6">
        <f t="shared" si="40"/>
        <v>17.64</v>
      </c>
      <c r="AJ1305" s="5">
        <f t="shared" si="41"/>
        <v>0.21815483551817957</v>
      </c>
    </row>
    <row r="1306" spans="1:36">
      <c r="A1306" t="s">
        <v>469</v>
      </c>
      <c r="B1306" t="s">
        <v>1591</v>
      </c>
      <c r="C1306" t="s">
        <v>88</v>
      </c>
      <c r="D1306" t="s">
        <v>77</v>
      </c>
      <c r="E1306" t="s">
        <v>55</v>
      </c>
      <c r="F1306">
        <v>0</v>
      </c>
      <c r="G1306">
        <v>3259</v>
      </c>
      <c r="H1306">
        <v>1</v>
      </c>
      <c r="I1306" t="s">
        <v>220</v>
      </c>
      <c r="J1306">
        <v>2</v>
      </c>
      <c r="K1306" s="6">
        <v>5.1100000000000003</v>
      </c>
      <c r="L1306" t="s">
        <v>174</v>
      </c>
      <c r="M1306">
        <v>0</v>
      </c>
      <c r="N1306" t="s">
        <v>175</v>
      </c>
      <c r="O1306">
        <v>1</v>
      </c>
      <c r="P1306">
        <v>0</v>
      </c>
      <c r="Q1306" s="6">
        <v>32.700000000000003</v>
      </c>
      <c r="R1306">
        <v>0</v>
      </c>
      <c r="S1306" s="6">
        <v>0</v>
      </c>
      <c r="T1306">
        <v>0</v>
      </c>
      <c r="U1306" s="6">
        <v>2622</v>
      </c>
      <c r="V1306">
        <v>0</v>
      </c>
      <c r="W1306">
        <v>0</v>
      </c>
      <c r="X1306">
        <v>0</v>
      </c>
      <c r="Y1306" s="6">
        <v>53.1</v>
      </c>
      <c r="Z1306">
        <v>4.7E-2</v>
      </c>
      <c r="AA1306">
        <v>8.7999999999999995E-2</v>
      </c>
      <c r="AB1306">
        <v>9.1999999999999998E-2</v>
      </c>
      <c r="AC1306">
        <v>6</v>
      </c>
      <c r="AD1306" s="6">
        <v>50</v>
      </c>
      <c r="AE1306" s="6">
        <v>0</v>
      </c>
      <c r="AF1306" s="6">
        <v>0</v>
      </c>
      <c r="AG1306" s="6">
        <v>57.15</v>
      </c>
      <c r="AH1306" s="6">
        <v>76.010000000000005</v>
      </c>
      <c r="AI1306" s="6">
        <f t="shared" si="40"/>
        <v>18.860000000000007</v>
      </c>
      <c r="AJ1306" s="5">
        <f t="shared" si="41"/>
        <v>0.24812524667806873</v>
      </c>
    </row>
    <row r="1307" spans="1:36">
      <c r="A1307" t="s">
        <v>238</v>
      </c>
      <c r="B1307" t="s">
        <v>1592</v>
      </c>
      <c r="C1307" t="s">
        <v>88</v>
      </c>
      <c r="D1307" t="s">
        <v>77</v>
      </c>
      <c r="E1307" t="s">
        <v>55</v>
      </c>
      <c r="F1307">
        <v>0</v>
      </c>
      <c r="G1307">
        <v>3259</v>
      </c>
      <c r="H1307">
        <v>1</v>
      </c>
      <c r="I1307" t="s">
        <v>220</v>
      </c>
      <c r="J1307">
        <v>2</v>
      </c>
      <c r="K1307" s="6">
        <v>5.23</v>
      </c>
      <c r="L1307" t="s">
        <v>174</v>
      </c>
      <c r="M1307">
        <v>0</v>
      </c>
      <c r="N1307" t="s">
        <v>175</v>
      </c>
      <c r="O1307">
        <v>1</v>
      </c>
      <c r="P1307">
        <v>0</v>
      </c>
      <c r="Q1307" s="6">
        <v>34.6</v>
      </c>
      <c r="R1307">
        <v>1</v>
      </c>
      <c r="S1307" s="6">
        <v>1804</v>
      </c>
      <c r="T1307">
        <v>0</v>
      </c>
      <c r="U1307" s="6">
        <v>3952</v>
      </c>
      <c r="V1307">
        <v>0</v>
      </c>
      <c r="W1307">
        <v>0</v>
      </c>
      <c r="X1307">
        <v>0</v>
      </c>
      <c r="Y1307" s="6">
        <v>53.1</v>
      </c>
      <c r="Z1307">
        <v>4.7E-2</v>
      </c>
      <c r="AA1307">
        <v>8.7999999999999995E-2</v>
      </c>
      <c r="AB1307">
        <v>9.1999999999999998E-2</v>
      </c>
      <c r="AC1307">
        <v>6</v>
      </c>
      <c r="AD1307" s="6">
        <v>50</v>
      </c>
      <c r="AE1307" s="6">
        <v>25</v>
      </c>
      <c r="AF1307" s="6">
        <v>0</v>
      </c>
      <c r="AG1307" s="6">
        <v>68.28</v>
      </c>
      <c r="AH1307" s="6">
        <v>90.33</v>
      </c>
      <c r="AI1307" s="6">
        <f t="shared" si="40"/>
        <v>22.049999999999997</v>
      </c>
      <c r="AJ1307" s="5">
        <f t="shared" si="41"/>
        <v>0.24410494852208567</v>
      </c>
    </row>
    <row r="1308" spans="1:36">
      <c r="A1308" t="s">
        <v>255</v>
      </c>
      <c r="B1308" t="s">
        <v>1593</v>
      </c>
      <c r="C1308" t="s">
        <v>88</v>
      </c>
      <c r="D1308" t="s">
        <v>77</v>
      </c>
      <c r="E1308" t="s">
        <v>55</v>
      </c>
      <c r="F1308">
        <v>0</v>
      </c>
      <c r="G1308">
        <v>3259</v>
      </c>
      <c r="H1308">
        <v>1</v>
      </c>
      <c r="I1308" t="s">
        <v>173</v>
      </c>
      <c r="J1308">
        <v>1</v>
      </c>
      <c r="K1308" s="6">
        <v>1.48</v>
      </c>
      <c r="L1308" t="s">
        <v>174</v>
      </c>
      <c r="M1308">
        <v>0</v>
      </c>
      <c r="N1308" t="s">
        <v>175</v>
      </c>
      <c r="O1308">
        <v>1</v>
      </c>
      <c r="P1308">
        <v>0</v>
      </c>
      <c r="Q1308" s="6">
        <v>41.9</v>
      </c>
      <c r="R1308">
        <v>0</v>
      </c>
      <c r="S1308" s="6">
        <v>0</v>
      </c>
      <c r="T1308">
        <v>0</v>
      </c>
      <c r="U1308" s="6">
        <v>3460</v>
      </c>
      <c r="V1308">
        <v>0</v>
      </c>
      <c r="W1308">
        <v>0</v>
      </c>
      <c r="X1308">
        <v>0</v>
      </c>
      <c r="Y1308" s="6">
        <v>53.1</v>
      </c>
      <c r="Z1308">
        <v>4.7E-2</v>
      </c>
      <c r="AA1308">
        <v>8.7999999999999995E-2</v>
      </c>
      <c r="AB1308">
        <v>9.1999999999999998E-2</v>
      </c>
      <c r="AC1308">
        <v>6</v>
      </c>
      <c r="AD1308" s="6">
        <v>50</v>
      </c>
      <c r="AE1308" s="6">
        <v>0</v>
      </c>
      <c r="AF1308" s="6">
        <v>0</v>
      </c>
      <c r="AG1308" s="6">
        <v>51.2</v>
      </c>
      <c r="AH1308" s="6">
        <v>67.349999999999994</v>
      </c>
      <c r="AI1308" s="6">
        <f t="shared" si="40"/>
        <v>16.149999999999991</v>
      </c>
      <c r="AJ1308" s="5">
        <f t="shared" si="41"/>
        <v>0.23979213066072744</v>
      </c>
    </row>
    <row r="1309" spans="1:36">
      <c r="A1309" t="s">
        <v>230</v>
      </c>
      <c r="B1309" t="s">
        <v>1594</v>
      </c>
      <c r="C1309" t="s">
        <v>88</v>
      </c>
      <c r="D1309" t="s">
        <v>77</v>
      </c>
      <c r="E1309" t="s">
        <v>55</v>
      </c>
      <c r="F1309">
        <v>0</v>
      </c>
      <c r="G1309">
        <v>3259</v>
      </c>
      <c r="H1309">
        <v>1</v>
      </c>
      <c r="I1309" t="s">
        <v>181</v>
      </c>
      <c r="J1309">
        <v>3</v>
      </c>
      <c r="K1309" s="6">
        <v>11.12</v>
      </c>
      <c r="L1309" t="s">
        <v>174</v>
      </c>
      <c r="M1309">
        <v>0</v>
      </c>
      <c r="N1309" t="s">
        <v>187</v>
      </c>
      <c r="O1309">
        <v>2</v>
      </c>
      <c r="P1309">
        <v>0</v>
      </c>
      <c r="Q1309" s="6">
        <v>64.400000000000006</v>
      </c>
      <c r="R1309">
        <v>0</v>
      </c>
      <c r="S1309" s="6">
        <v>0</v>
      </c>
      <c r="T1309">
        <v>0</v>
      </c>
      <c r="U1309" s="6">
        <v>3854</v>
      </c>
      <c r="V1309">
        <v>0</v>
      </c>
      <c r="W1309">
        <v>0</v>
      </c>
      <c r="X1309">
        <v>0</v>
      </c>
      <c r="Y1309" s="6">
        <v>53.1</v>
      </c>
      <c r="Z1309">
        <v>4.7E-2</v>
      </c>
      <c r="AA1309">
        <v>8.7999999999999995E-2</v>
      </c>
      <c r="AB1309">
        <v>9.1999999999999998E-2</v>
      </c>
      <c r="AC1309">
        <v>6</v>
      </c>
      <c r="AD1309" s="6">
        <v>60</v>
      </c>
      <c r="AE1309" s="6">
        <v>0</v>
      </c>
      <c r="AF1309" s="6">
        <v>0</v>
      </c>
      <c r="AG1309" s="6">
        <v>105.61</v>
      </c>
      <c r="AH1309" s="6">
        <v>134</v>
      </c>
      <c r="AI1309" s="6">
        <f t="shared" si="40"/>
        <v>28.39</v>
      </c>
      <c r="AJ1309" s="5">
        <f t="shared" si="41"/>
        <v>0.21186567164179104</v>
      </c>
    </row>
    <row r="1310" spans="1:36">
      <c r="A1310" t="s">
        <v>263</v>
      </c>
      <c r="B1310" t="s">
        <v>1595</v>
      </c>
      <c r="C1310" t="s">
        <v>88</v>
      </c>
      <c r="D1310" t="s">
        <v>77</v>
      </c>
      <c r="E1310" t="s">
        <v>55</v>
      </c>
      <c r="F1310">
        <v>0</v>
      </c>
      <c r="G1310">
        <v>3259</v>
      </c>
      <c r="H1310">
        <v>1</v>
      </c>
      <c r="I1310" t="s">
        <v>173</v>
      </c>
      <c r="J1310">
        <v>1</v>
      </c>
      <c r="K1310" s="6">
        <v>1.04</v>
      </c>
      <c r="L1310" t="s">
        <v>174</v>
      </c>
      <c r="M1310">
        <v>0</v>
      </c>
      <c r="N1310" t="s">
        <v>182</v>
      </c>
      <c r="O1310">
        <v>3</v>
      </c>
      <c r="P1310">
        <v>0</v>
      </c>
      <c r="Q1310" s="6">
        <v>73.400000000000006</v>
      </c>
      <c r="R1310">
        <v>0</v>
      </c>
      <c r="S1310" s="6">
        <v>0</v>
      </c>
      <c r="T1310">
        <v>0</v>
      </c>
      <c r="U1310" s="6">
        <v>1848</v>
      </c>
      <c r="V1310">
        <v>0</v>
      </c>
      <c r="W1310">
        <v>0</v>
      </c>
      <c r="X1310">
        <v>0</v>
      </c>
      <c r="Y1310" s="6">
        <v>53.1</v>
      </c>
      <c r="Z1310">
        <v>4.7E-2</v>
      </c>
      <c r="AA1310">
        <v>8.7999999999999995E-2</v>
      </c>
      <c r="AB1310">
        <v>9.1999999999999998E-2</v>
      </c>
      <c r="AC1310">
        <v>6</v>
      </c>
      <c r="AD1310" s="6">
        <v>50</v>
      </c>
      <c r="AE1310" s="6">
        <v>0</v>
      </c>
      <c r="AF1310" s="6">
        <v>0</v>
      </c>
      <c r="AG1310" s="6">
        <v>58.97</v>
      </c>
      <c r="AH1310" s="6">
        <v>75.790000000000006</v>
      </c>
      <c r="AI1310" s="6">
        <f t="shared" si="40"/>
        <v>16.820000000000007</v>
      </c>
      <c r="AJ1310" s="5">
        <f t="shared" si="41"/>
        <v>0.22192901438184465</v>
      </c>
    </row>
    <row r="1311" spans="1:36">
      <c r="A1311" t="s">
        <v>345</v>
      </c>
      <c r="B1311" t="s">
        <v>1596</v>
      </c>
      <c r="C1311" t="s">
        <v>88</v>
      </c>
      <c r="D1311" t="s">
        <v>77</v>
      </c>
      <c r="E1311" t="s">
        <v>55</v>
      </c>
      <c r="F1311">
        <v>0</v>
      </c>
      <c r="G1311">
        <v>3259</v>
      </c>
      <c r="H1311">
        <v>1</v>
      </c>
      <c r="I1311" t="s">
        <v>220</v>
      </c>
      <c r="J1311">
        <v>2</v>
      </c>
      <c r="K1311" s="6">
        <v>5.14</v>
      </c>
      <c r="L1311" t="s">
        <v>174</v>
      </c>
      <c r="M1311">
        <v>0</v>
      </c>
      <c r="N1311" t="s">
        <v>187</v>
      </c>
      <c r="O1311">
        <v>2</v>
      </c>
      <c r="P1311">
        <v>0</v>
      </c>
      <c r="Q1311" s="6">
        <v>40.299999999999997</v>
      </c>
      <c r="R1311">
        <v>1</v>
      </c>
      <c r="S1311" s="6">
        <v>754</v>
      </c>
      <c r="T1311">
        <v>0</v>
      </c>
      <c r="U1311" s="6">
        <v>8223</v>
      </c>
      <c r="V1311">
        <v>1</v>
      </c>
      <c r="W1311">
        <v>0</v>
      </c>
      <c r="X1311">
        <v>1</v>
      </c>
      <c r="Y1311" s="6">
        <v>53.1</v>
      </c>
      <c r="Z1311">
        <v>4.7E-2</v>
      </c>
      <c r="AA1311">
        <v>8.7999999999999995E-2</v>
      </c>
      <c r="AB1311">
        <v>9.1999999999999998E-2</v>
      </c>
      <c r="AC1311">
        <v>6</v>
      </c>
      <c r="AD1311" s="6">
        <v>50</v>
      </c>
      <c r="AE1311" s="6">
        <v>25</v>
      </c>
      <c r="AF1311" s="6">
        <v>0</v>
      </c>
      <c r="AG1311" s="6">
        <v>104.08</v>
      </c>
      <c r="AH1311" s="6">
        <v>132.94999999999999</v>
      </c>
      <c r="AI1311" s="6">
        <f t="shared" si="40"/>
        <v>28.86999999999999</v>
      </c>
      <c r="AJ1311" s="5">
        <f t="shared" si="41"/>
        <v>0.21714930424971787</v>
      </c>
    </row>
    <row r="1312" spans="1:36">
      <c r="A1312" t="s">
        <v>365</v>
      </c>
      <c r="B1312" t="s">
        <v>1597</v>
      </c>
      <c r="C1312" t="s">
        <v>88</v>
      </c>
      <c r="D1312" t="s">
        <v>77</v>
      </c>
      <c r="E1312" t="s">
        <v>55</v>
      </c>
      <c r="F1312">
        <v>0</v>
      </c>
      <c r="G1312">
        <v>3259</v>
      </c>
      <c r="H1312">
        <v>1</v>
      </c>
      <c r="I1312" t="s">
        <v>181</v>
      </c>
      <c r="J1312">
        <v>3</v>
      </c>
      <c r="K1312" s="6">
        <v>5.57</v>
      </c>
      <c r="L1312" t="s">
        <v>174</v>
      </c>
      <c r="M1312">
        <v>0</v>
      </c>
      <c r="N1312" t="s">
        <v>175</v>
      </c>
      <c r="O1312">
        <v>1</v>
      </c>
      <c r="P1312">
        <v>0</v>
      </c>
      <c r="Q1312" s="6">
        <v>39</v>
      </c>
      <c r="R1312">
        <v>0</v>
      </c>
      <c r="S1312" s="6">
        <v>0</v>
      </c>
      <c r="T1312">
        <v>0</v>
      </c>
      <c r="U1312" s="6">
        <v>2229</v>
      </c>
      <c r="V1312">
        <v>0</v>
      </c>
      <c r="W1312">
        <v>0</v>
      </c>
      <c r="X1312">
        <v>0</v>
      </c>
      <c r="Y1312" s="6">
        <v>53.1</v>
      </c>
      <c r="Z1312">
        <v>4.7E-2</v>
      </c>
      <c r="AA1312">
        <v>8.7999999999999995E-2</v>
      </c>
      <c r="AB1312">
        <v>9.1999999999999998E-2</v>
      </c>
      <c r="AC1312">
        <v>6</v>
      </c>
      <c r="AD1312" s="6">
        <v>60</v>
      </c>
      <c r="AE1312" s="6">
        <v>0</v>
      </c>
      <c r="AF1312" s="6">
        <v>0</v>
      </c>
      <c r="AG1312" s="6">
        <v>77.28</v>
      </c>
      <c r="AH1312" s="6">
        <v>100.89</v>
      </c>
      <c r="AI1312" s="6">
        <f t="shared" si="40"/>
        <v>23.61</v>
      </c>
      <c r="AJ1312" s="5">
        <f t="shared" si="41"/>
        <v>0.23401724650609573</v>
      </c>
    </row>
    <row r="1313" spans="1:36">
      <c r="A1313" t="s">
        <v>208</v>
      </c>
      <c r="B1313" t="s">
        <v>1598</v>
      </c>
      <c r="C1313" t="s">
        <v>88</v>
      </c>
      <c r="D1313" t="s">
        <v>77</v>
      </c>
      <c r="E1313" t="s">
        <v>55</v>
      </c>
      <c r="F1313">
        <v>0</v>
      </c>
      <c r="G1313">
        <v>3259</v>
      </c>
      <c r="H1313">
        <v>1</v>
      </c>
      <c r="I1313" t="s">
        <v>181</v>
      </c>
      <c r="J1313">
        <v>3</v>
      </c>
      <c r="K1313" s="6">
        <v>8.39</v>
      </c>
      <c r="L1313" t="s">
        <v>174</v>
      </c>
      <c r="M1313">
        <v>0</v>
      </c>
      <c r="N1313" t="s">
        <v>175</v>
      </c>
      <c r="O1313">
        <v>1</v>
      </c>
      <c r="P1313">
        <v>0</v>
      </c>
      <c r="Q1313" s="6">
        <v>28.3</v>
      </c>
      <c r="R1313">
        <v>0</v>
      </c>
      <c r="S1313" s="6">
        <v>0</v>
      </c>
      <c r="T1313">
        <v>0</v>
      </c>
      <c r="U1313" s="6">
        <v>3410</v>
      </c>
      <c r="V1313">
        <v>0</v>
      </c>
      <c r="W1313">
        <v>0</v>
      </c>
      <c r="X1313">
        <v>0</v>
      </c>
      <c r="Y1313" s="6">
        <v>53.1</v>
      </c>
      <c r="Z1313">
        <v>4.7E-2</v>
      </c>
      <c r="AA1313">
        <v>8.7999999999999995E-2</v>
      </c>
      <c r="AB1313">
        <v>9.1999999999999998E-2</v>
      </c>
      <c r="AC1313">
        <v>6</v>
      </c>
      <c r="AD1313" s="6">
        <v>60</v>
      </c>
      <c r="AE1313" s="6">
        <v>0</v>
      </c>
      <c r="AF1313" s="6">
        <v>0</v>
      </c>
      <c r="AG1313" s="6">
        <v>85</v>
      </c>
      <c r="AH1313" s="6">
        <v>110.74</v>
      </c>
      <c r="AI1313" s="6">
        <f t="shared" si="40"/>
        <v>25.739999999999995</v>
      </c>
      <c r="AJ1313" s="5">
        <f t="shared" si="41"/>
        <v>0.23243633736680511</v>
      </c>
    </row>
    <row r="1314" spans="1:36">
      <c r="A1314" t="s">
        <v>261</v>
      </c>
      <c r="B1314" t="s">
        <v>1599</v>
      </c>
      <c r="C1314" t="s">
        <v>88</v>
      </c>
      <c r="D1314" t="s">
        <v>77</v>
      </c>
      <c r="E1314" t="s">
        <v>55</v>
      </c>
      <c r="F1314">
        <v>0</v>
      </c>
      <c r="G1314">
        <v>3259</v>
      </c>
      <c r="H1314">
        <v>1</v>
      </c>
      <c r="I1314" t="s">
        <v>173</v>
      </c>
      <c r="J1314">
        <v>1</v>
      </c>
      <c r="K1314" s="6">
        <v>2.71</v>
      </c>
      <c r="L1314" t="s">
        <v>174</v>
      </c>
      <c r="M1314">
        <v>0</v>
      </c>
      <c r="N1314" t="s">
        <v>182</v>
      </c>
      <c r="O1314">
        <v>3</v>
      </c>
      <c r="P1314">
        <v>1</v>
      </c>
      <c r="Q1314" s="6">
        <v>100</v>
      </c>
      <c r="R1314">
        <v>0</v>
      </c>
      <c r="S1314" s="6">
        <v>0</v>
      </c>
      <c r="T1314">
        <v>0</v>
      </c>
      <c r="U1314" s="6">
        <v>2279</v>
      </c>
      <c r="V1314">
        <v>0</v>
      </c>
      <c r="W1314">
        <v>0</v>
      </c>
      <c r="X1314">
        <v>0</v>
      </c>
      <c r="Y1314" s="6">
        <v>53.1</v>
      </c>
      <c r="Z1314">
        <v>4.7E-2</v>
      </c>
      <c r="AA1314">
        <v>8.7999999999999995E-2</v>
      </c>
      <c r="AB1314">
        <v>9.1999999999999998E-2</v>
      </c>
      <c r="AC1314">
        <v>6</v>
      </c>
      <c r="AD1314" s="6">
        <v>50</v>
      </c>
      <c r="AE1314" s="6">
        <v>0</v>
      </c>
      <c r="AF1314" s="6">
        <v>0</v>
      </c>
      <c r="AG1314" s="6">
        <v>82.79</v>
      </c>
      <c r="AH1314" s="6">
        <v>104.38</v>
      </c>
      <c r="AI1314" s="6">
        <f t="shared" si="40"/>
        <v>21.589999999999989</v>
      </c>
      <c r="AJ1314" s="5">
        <f t="shared" si="41"/>
        <v>0.20684039087947872</v>
      </c>
    </row>
    <row r="1315" spans="1:36">
      <c r="A1315" t="s">
        <v>512</v>
      </c>
      <c r="B1315" t="s">
        <v>1600</v>
      </c>
      <c r="C1315" t="s">
        <v>88</v>
      </c>
      <c r="D1315" t="s">
        <v>77</v>
      </c>
      <c r="E1315" t="s">
        <v>55</v>
      </c>
      <c r="F1315">
        <v>0</v>
      </c>
      <c r="G1315">
        <v>3259</v>
      </c>
      <c r="H1315">
        <v>1</v>
      </c>
      <c r="I1315" t="s">
        <v>181</v>
      </c>
      <c r="J1315">
        <v>3</v>
      </c>
      <c r="K1315" s="6">
        <v>5.73</v>
      </c>
      <c r="L1315" t="s">
        <v>174</v>
      </c>
      <c r="M1315">
        <v>0</v>
      </c>
      <c r="N1315" t="s">
        <v>187</v>
      </c>
      <c r="O1315">
        <v>2</v>
      </c>
      <c r="P1315">
        <v>0</v>
      </c>
      <c r="Q1315" s="6">
        <v>25</v>
      </c>
      <c r="R1315">
        <v>0</v>
      </c>
      <c r="S1315" s="6">
        <v>0</v>
      </c>
      <c r="T1315">
        <v>0</v>
      </c>
      <c r="U1315" s="6">
        <v>5391</v>
      </c>
      <c r="V1315">
        <v>0</v>
      </c>
      <c r="W1315">
        <v>0</v>
      </c>
      <c r="X1315">
        <v>0</v>
      </c>
      <c r="Y1315" s="6">
        <v>53.1</v>
      </c>
      <c r="Z1315">
        <v>4.7E-2</v>
      </c>
      <c r="AA1315">
        <v>8.7999999999999995E-2</v>
      </c>
      <c r="AB1315">
        <v>9.1999999999999998E-2</v>
      </c>
      <c r="AC1315">
        <v>6</v>
      </c>
      <c r="AD1315" s="6">
        <v>60</v>
      </c>
      <c r="AE1315" s="6">
        <v>0</v>
      </c>
      <c r="AF1315" s="6">
        <v>0</v>
      </c>
      <c r="AG1315" s="6">
        <v>80.56</v>
      </c>
      <c r="AH1315" s="6">
        <v>100.87</v>
      </c>
      <c r="AI1315" s="6">
        <f t="shared" si="40"/>
        <v>20.310000000000002</v>
      </c>
      <c r="AJ1315" s="5">
        <f t="shared" si="41"/>
        <v>0.20134827005056014</v>
      </c>
    </row>
    <row r="1316" spans="1:36">
      <c r="A1316" t="s">
        <v>263</v>
      </c>
      <c r="B1316" t="s">
        <v>1601</v>
      </c>
      <c r="C1316" t="s">
        <v>88</v>
      </c>
      <c r="D1316" t="s">
        <v>77</v>
      </c>
      <c r="E1316" t="s">
        <v>55</v>
      </c>
      <c r="F1316">
        <v>0</v>
      </c>
      <c r="G1316">
        <v>3259</v>
      </c>
      <c r="H1316">
        <v>1</v>
      </c>
      <c r="I1316" t="s">
        <v>181</v>
      </c>
      <c r="J1316">
        <v>3</v>
      </c>
      <c r="K1316" s="6">
        <v>5.93</v>
      </c>
      <c r="L1316" t="s">
        <v>174</v>
      </c>
      <c r="M1316">
        <v>0</v>
      </c>
      <c r="N1316" t="s">
        <v>187</v>
      </c>
      <c r="O1316">
        <v>2</v>
      </c>
      <c r="P1316">
        <v>0</v>
      </c>
      <c r="Q1316" s="6">
        <v>54.6</v>
      </c>
      <c r="R1316">
        <v>0</v>
      </c>
      <c r="S1316" s="6">
        <v>0</v>
      </c>
      <c r="T1316">
        <v>0</v>
      </c>
      <c r="U1316" s="6">
        <v>2615</v>
      </c>
      <c r="V1316">
        <v>0</v>
      </c>
      <c r="W1316">
        <v>0</v>
      </c>
      <c r="X1316">
        <v>0</v>
      </c>
      <c r="Y1316" s="6">
        <v>53.1</v>
      </c>
      <c r="Z1316">
        <v>4.7E-2</v>
      </c>
      <c r="AA1316">
        <v>8.7999999999999995E-2</v>
      </c>
      <c r="AB1316">
        <v>9.1999999999999998E-2</v>
      </c>
      <c r="AC1316">
        <v>6</v>
      </c>
      <c r="AD1316" s="6">
        <v>60</v>
      </c>
      <c r="AE1316" s="6">
        <v>0</v>
      </c>
      <c r="AF1316" s="6">
        <v>0</v>
      </c>
      <c r="AG1316" s="6">
        <v>76.73</v>
      </c>
      <c r="AH1316" s="6">
        <v>100.44</v>
      </c>
      <c r="AI1316" s="6">
        <f t="shared" si="40"/>
        <v>23.709999999999994</v>
      </c>
      <c r="AJ1316" s="5">
        <f t="shared" si="41"/>
        <v>0.23606133014735159</v>
      </c>
    </row>
    <row r="1317" spans="1:36">
      <c r="A1317" t="s">
        <v>228</v>
      </c>
      <c r="B1317" t="s">
        <v>1602</v>
      </c>
      <c r="C1317" t="s">
        <v>88</v>
      </c>
      <c r="D1317" t="s">
        <v>77</v>
      </c>
      <c r="E1317" t="s">
        <v>55</v>
      </c>
      <c r="F1317">
        <v>0</v>
      </c>
      <c r="G1317">
        <v>3259</v>
      </c>
      <c r="H1317">
        <v>1</v>
      </c>
      <c r="I1317" t="s">
        <v>181</v>
      </c>
      <c r="J1317">
        <v>3</v>
      </c>
      <c r="K1317" s="6">
        <v>8.66</v>
      </c>
      <c r="L1317" t="s">
        <v>174</v>
      </c>
      <c r="M1317">
        <v>0</v>
      </c>
      <c r="N1317" t="s">
        <v>175</v>
      </c>
      <c r="O1317">
        <v>1</v>
      </c>
      <c r="P1317">
        <v>0</v>
      </c>
      <c r="Q1317" s="6">
        <v>40</v>
      </c>
      <c r="R1317">
        <v>1</v>
      </c>
      <c r="S1317" s="6">
        <v>2342</v>
      </c>
      <c r="T1317">
        <v>0</v>
      </c>
      <c r="U1317" s="6">
        <v>5546</v>
      </c>
      <c r="V1317">
        <v>0</v>
      </c>
      <c r="W1317">
        <v>0</v>
      </c>
      <c r="X1317">
        <v>0</v>
      </c>
      <c r="Y1317" s="6">
        <v>53.1</v>
      </c>
      <c r="Z1317">
        <v>4.7E-2</v>
      </c>
      <c r="AA1317">
        <v>8.7999999999999995E-2</v>
      </c>
      <c r="AB1317">
        <v>9.1999999999999998E-2</v>
      </c>
      <c r="AC1317">
        <v>6</v>
      </c>
      <c r="AD1317" s="6">
        <v>60</v>
      </c>
      <c r="AE1317" s="6">
        <v>40</v>
      </c>
      <c r="AF1317" s="6">
        <v>0</v>
      </c>
      <c r="AG1317" s="6">
        <v>102.47</v>
      </c>
      <c r="AH1317" s="6">
        <v>132.81</v>
      </c>
      <c r="AI1317" s="6">
        <f t="shared" si="40"/>
        <v>30.340000000000003</v>
      </c>
      <c r="AJ1317" s="5">
        <f t="shared" si="41"/>
        <v>0.2284466531134704</v>
      </c>
    </row>
    <row r="1318" spans="1:36">
      <c r="A1318" t="s">
        <v>233</v>
      </c>
      <c r="B1318" t="s">
        <v>1603</v>
      </c>
      <c r="C1318" t="s">
        <v>88</v>
      </c>
      <c r="D1318" t="s">
        <v>77</v>
      </c>
      <c r="E1318" t="s">
        <v>55</v>
      </c>
      <c r="F1318">
        <v>0</v>
      </c>
      <c r="G1318">
        <v>3259</v>
      </c>
      <c r="H1318">
        <v>1</v>
      </c>
      <c r="I1318" t="s">
        <v>181</v>
      </c>
      <c r="J1318">
        <v>3</v>
      </c>
      <c r="K1318" s="6">
        <v>10.42</v>
      </c>
      <c r="L1318" t="s">
        <v>174</v>
      </c>
      <c r="M1318">
        <v>0</v>
      </c>
      <c r="N1318" t="s">
        <v>182</v>
      </c>
      <c r="O1318">
        <v>3</v>
      </c>
      <c r="P1318">
        <v>0</v>
      </c>
      <c r="Q1318" s="6">
        <v>76</v>
      </c>
      <c r="R1318">
        <v>0</v>
      </c>
      <c r="S1318" s="6">
        <v>0</v>
      </c>
      <c r="T1318">
        <v>0</v>
      </c>
      <c r="U1318" s="6">
        <v>2110</v>
      </c>
      <c r="V1318">
        <v>0</v>
      </c>
      <c r="W1318">
        <v>0</v>
      </c>
      <c r="X1318">
        <v>0</v>
      </c>
      <c r="Y1318" s="6">
        <v>53.1</v>
      </c>
      <c r="Z1318">
        <v>4.7E-2</v>
      </c>
      <c r="AA1318">
        <v>8.7999999999999995E-2</v>
      </c>
      <c r="AB1318">
        <v>9.1999999999999998E-2</v>
      </c>
      <c r="AC1318">
        <v>6</v>
      </c>
      <c r="AD1318" s="6">
        <v>60</v>
      </c>
      <c r="AE1318" s="6">
        <v>0</v>
      </c>
      <c r="AF1318" s="6">
        <v>0</v>
      </c>
      <c r="AG1318" s="6">
        <v>109.7</v>
      </c>
      <c r="AH1318" s="6">
        <v>140.16</v>
      </c>
      <c r="AI1318" s="6">
        <f t="shared" si="40"/>
        <v>30.459999999999994</v>
      </c>
      <c r="AJ1318" s="5">
        <f t="shared" si="41"/>
        <v>0.21732305936073054</v>
      </c>
    </row>
    <row r="1319" spans="1:36">
      <c r="A1319" t="s">
        <v>512</v>
      </c>
      <c r="B1319" t="s">
        <v>1604</v>
      </c>
      <c r="C1319" t="s">
        <v>88</v>
      </c>
      <c r="D1319" t="s">
        <v>77</v>
      </c>
      <c r="E1319" t="s">
        <v>55</v>
      </c>
      <c r="F1319">
        <v>0</v>
      </c>
      <c r="G1319">
        <v>3259</v>
      </c>
      <c r="H1319">
        <v>1</v>
      </c>
      <c r="I1319" t="s">
        <v>220</v>
      </c>
      <c r="J1319">
        <v>2</v>
      </c>
      <c r="K1319" s="6">
        <v>3.82</v>
      </c>
      <c r="L1319" t="s">
        <v>174</v>
      </c>
      <c r="M1319">
        <v>0</v>
      </c>
      <c r="N1319" t="s">
        <v>217</v>
      </c>
      <c r="O1319">
        <v>4</v>
      </c>
      <c r="P1319">
        <v>1</v>
      </c>
      <c r="Q1319" s="6">
        <v>119.8</v>
      </c>
      <c r="R1319">
        <v>0</v>
      </c>
      <c r="S1319" s="6">
        <v>0</v>
      </c>
      <c r="T1319">
        <v>0</v>
      </c>
      <c r="U1319" s="6">
        <v>4691</v>
      </c>
      <c r="V1319">
        <v>0</v>
      </c>
      <c r="W1319">
        <v>0</v>
      </c>
      <c r="X1319">
        <v>0</v>
      </c>
      <c r="Y1319" s="6">
        <v>53.1</v>
      </c>
      <c r="Z1319">
        <v>4.7E-2</v>
      </c>
      <c r="AA1319">
        <v>8.7999999999999995E-2</v>
      </c>
      <c r="AB1319">
        <v>9.1999999999999998E-2</v>
      </c>
      <c r="AC1319">
        <v>6</v>
      </c>
      <c r="AD1319" s="6">
        <v>50</v>
      </c>
      <c r="AE1319" s="6">
        <v>0</v>
      </c>
      <c r="AF1319" s="6">
        <v>0</v>
      </c>
      <c r="AG1319" s="6">
        <v>104.61</v>
      </c>
      <c r="AH1319" s="6">
        <v>132.22</v>
      </c>
      <c r="AI1319" s="6">
        <f t="shared" si="40"/>
        <v>27.61</v>
      </c>
      <c r="AJ1319" s="5">
        <f t="shared" si="41"/>
        <v>0.20881863560732114</v>
      </c>
    </row>
    <row r="1320" spans="1:36">
      <c r="A1320" t="s">
        <v>279</v>
      </c>
      <c r="B1320" t="s">
        <v>1605</v>
      </c>
      <c r="C1320" t="s">
        <v>88</v>
      </c>
      <c r="D1320" t="s">
        <v>77</v>
      </c>
      <c r="E1320" t="s">
        <v>55</v>
      </c>
      <c r="F1320">
        <v>0</v>
      </c>
      <c r="G1320">
        <v>3259</v>
      </c>
      <c r="H1320">
        <v>1</v>
      </c>
      <c r="I1320" t="s">
        <v>181</v>
      </c>
      <c r="J1320">
        <v>3</v>
      </c>
      <c r="K1320" s="6">
        <v>9.68</v>
      </c>
      <c r="L1320" t="s">
        <v>174</v>
      </c>
      <c r="M1320">
        <v>0</v>
      </c>
      <c r="N1320" t="s">
        <v>187</v>
      </c>
      <c r="O1320">
        <v>2</v>
      </c>
      <c r="P1320">
        <v>0</v>
      </c>
      <c r="Q1320" s="6">
        <v>49.3</v>
      </c>
      <c r="R1320">
        <v>0</v>
      </c>
      <c r="S1320" s="6">
        <v>0</v>
      </c>
      <c r="T1320">
        <v>0</v>
      </c>
      <c r="U1320" s="6">
        <v>2597</v>
      </c>
      <c r="V1320">
        <v>0</v>
      </c>
      <c r="W1320">
        <v>0</v>
      </c>
      <c r="X1320">
        <v>0</v>
      </c>
      <c r="Y1320" s="6">
        <v>53.1</v>
      </c>
      <c r="Z1320">
        <v>4.7E-2</v>
      </c>
      <c r="AA1320">
        <v>8.7999999999999995E-2</v>
      </c>
      <c r="AB1320">
        <v>9.1999999999999998E-2</v>
      </c>
      <c r="AC1320">
        <v>6</v>
      </c>
      <c r="AD1320" s="6">
        <v>60</v>
      </c>
      <c r="AE1320" s="6">
        <v>0</v>
      </c>
      <c r="AF1320" s="6">
        <v>0</v>
      </c>
      <c r="AG1320" s="6">
        <v>97.98</v>
      </c>
      <c r="AH1320" s="6">
        <v>126.99</v>
      </c>
      <c r="AI1320" s="6">
        <f t="shared" si="40"/>
        <v>29.009999999999991</v>
      </c>
      <c r="AJ1320" s="5">
        <f t="shared" si="41"/>
        <v>0.2284431845027167</v>
      </c>
    </row>
    <row r="1321" spans="1:36">
      <c r="A1321" t="s">
        <v>258</v>
      </c>
      <c r="B1321" t="s">
        <v>1606</v>
      </c>
      <c r="C1321" t="s">
        <v>88</v>
      </c>
      <c r="D1321" t="s">
        <v>77</v>
      </c>
      <c r="E1321" t="s">
        <v>55</v>
      </c>
      <c r="F1321">
        <v>0</v>
      </c>
      <c r="G1321">
        <v>3259</v>
      </c>
      <c r="H1321">
        <v>1</v>
      </c>
      <c r="I1321" t="s">
        <v>181</v>
      </c>
      <c r="J1321">
        <v>3</v>
      </c>
      <c r="K1321" s="6">
        <v>4.9000000000000004</v>
      </c>
      <c r="L1321" t="s">
        <v>174</v>
      </c>
      <c r="M1321">
        <v>0</v>
      </c>
      <c r="N1321" t="s">
        <v>187</v>
      </c>
      <c r="O1321">
        <v>2</v>
      </c>
      <c r="P1321">
        <v>0</v>
      </c>
      <c r="Q1321" s="6">
        <v>69.599999999999994</v>
      </c>
      <c r="R1321">
        <v>0</v>
      </c>
      <c r="S1321" s="6">
        <v>0</v>
      </c>
      <c r="T1321">
        <v>0</v>
      </c>
      <c r="U1321" s="6">
        <v>1160</v>
      </c>
      <c r="V1321">
        <v>0</v>
      </c>
      <c r="W1321">
        <v>0</v>
      </c>
      <c r="X1321">
        <v>0</v>
      </c>
      <c r="Y1321" s="6">
        <v>53.1</v>
      </c>
      <c r="Z1321">
        <v>4.7E-2</v>
      </c>
      <c r="AA1321">
        <v>8.7999999999999995E-2</v>
      </c>
      <c r="AB1321">
        <v>9.1999999999999998E-2</v>
      </c>
      <c r="AC1321">
        <v>6</v>
      </c>
      <c r="AD1321" s="6">
        <v>60</v>
      </c>
      <c r="AE1321" s="6">
        <v>0</v>
      </c>
      <c r="AF1321" s="6">
        <v>0</v>
      </c>
      <c r="AG1321" s="6">
        <v>77.09</v>
      </c>
      <c r="AH1321" s="6">
        <v>98.7</v>
      </c>
      <c r="AI1321" s="6">
        <f t="shared" si="40"/>
        <v>21.61</v>
      </c>
      <c r="AJ1321" s="5">
        <f t="shared" si="41"/>
        <v>0.21894630192502532</v>
      </c>
    </row>
    <row r="1322" spans="1:36">
      <c r="A1322" t="s">
        <v>240</v>
      </c>
      <c r="B1322" t="s">
        <v>1607</v>
      </c>
      <c r="C1322" t="s">
        <v>88</v>
      </c>
      <c r="D1322" t="s">
        <v>77</v>
      </c>
      <c r="E1322" t="s">
        <v>55</v>
      </c>
      <c r="F1322">
        <v>0</v>
      </c>
      <c r="G1322">
        <v>3259</v>
      </c>
      <c r="H1322">
        <v>1</v>
      </c>
      <c r="I1322" t="s">
        <v>173</v>
      </c>
      <c r="J1322">
        <v>1</v>
      </c>
      <c r="K1322" s="6">
        <v>2.78</v>
      </c>
      <c r="L1322" t="s">
        <v>174</v>
      </c>
      <c r="M1322">
        <v>0</v>
      </c>
      <c r="N1322" t="s">
        <v>182</v>
      </c>
      <c r="O1322">
        <v>3</v>
      </c>
      <c r="P1322">
        <v>0</v>
      </c>
      <c r="Q1322" s="6">
        <v>97</v>
      </c>
      <c r="R1322">
        <v>0</v>
      </c>
      <c r="S1322" s="6">
        <v>0</v>
      </c>
      <c r="T1322">
        <v>0</v>
      </c>
      <c r="U1322" s="6">
        <v>5310</v>
      </c>
      <c r="V1322">
        <v>1</v>
      </c>
      <c r="W1322">
        <v>0</v>
      </c>
      <c r="X1322">
        <v>0</v>
      </c>
      <c r="Y1322" s="6">
        <v>53.1</v>
      </c>
      <c r="Z1322">
        <v>4.7E-2</v>
      </c>
      <c r="AA1322">
        <v>8.7999999999999995E-2</v>
      </c>
      <c r="AB1322">
        <v>9.1999999999999998E-2</v>
      </c>
      <c r="AC1322">
        <v>6</v>
      </c>
      <c r="AD1322" s="6">
        <v>50</v>
      </c>
      <c r="AE1322" s="6">
        <v>0</v>
      </c>
      <c r="AF1322" s="6">
        <v>0</v>
      </c>
      <c r="AG1322" s="6">
        <v>106.7</v>
      </c>
      <c r="AH1322" s="6">
        <v>134.37</v>
      </c>
      <c r="AI1322" s="6">
        <f t="shared" si="40"/>
        <v>27.67</v>
      </c>
      <c r="AJ1322" s="5">
        <f t="shared" si="41"/>
        <v>0.20592394135595743</v>
      </c>
    </row>
    <row r="1323" spans="1:36">
      <c r="A1323" t="s">
        <v>212</v>
      </c>
      <c r="B1323" t="s">
        <v>1608</v>
      </c>
      <c r="C1323" t="s">
        <v>88</v>
      </c>
      <c r="D1323" t="s">
        <v>77</v>
      </c>
      <c r="E1323" t="s">
        <v>55</v>
      </c>
      <c r="F1323">
        <v>0</v>
      </c>
      <c r="G1323">
        <v>3259</v>
      </c>
      <c r="H1323">
        <v>1</v>
      </c>
      <c r="I1323" t="s">
        <v>181</v>
      </c>
      <c r="J1323">
        <v>3</v>
      </c>
      <c r="K1323" s="6">
        <v>7.54</v>
      </c>
      <c r="L1323" t="s">
        <v>174</v>
      </c>
      <c r="M1323">
        <v>0</v>
      </c>
      <c r="N1323" t="s">
        <v>182</v>
      </c>
      <c r="O1323">
        <v>3</v>
      </c>
      <c r="P1323">
        <v>0</v>
      </c>
      <c r="Q1323" s="6">
        <v>75.7</v>
      </c>
      <c r="R1323">
        <v>1</v>
      </c>
      <c r="S1323" s="6">
        <v>1720</v>
      </c>
      <c r="T1323">
        <v>0</v>
      </c>
      <c r="U1323" s="6">
        <v>3078</v>
      </c>
      <c r="V1323">
        <v>0</v>
      </c>
      <c r="W1323">
        <v>0</v>
      </c>
      <c r="X1323">
        <v>0</v>
      </c>
      <c r="Y1323" s="6">
        <v>53.1</v>
      </c>
      <c r="Z1323">
        <v>4.7E-2</v>
      </c>
      <c r="AA1323">
        <v>8.7999999999999995E-2</v>
      </c>
      <c r="AB1323">
        <v>9.1999999999999998E-2</v>
      </c>
      <c r="AC1323">
        <v>6</v>
      </c>
      <c r="AD1323" s="6">
        <v>60</v>
      </c>
      <c r="AE1323" s="6">
        <v>25</v>
      </c>
      <c r="AF1323" s="6">
        <v>0</v>
      </c>
      <c r="AG1323" s="6">
        <v>90.88</v>
      </c>
      <c r="AH1323" s="6">
        <v>115.51</v>
      </c>
      <c r="AI1323" s="6">
        <f t="shared" si="40"/>
        <v>24.63000000000001</v>
      </c>
      <c r="AJ1323" s="5">
        <f t="shared" si="41"/>
        <v>0.21322829192277731</v>
      </c>
    </row>
    <row r="1324" spans="1:36">
      <c r="A1324" t="s">
        <v>316</v>
      </c>
      <c r="B1324" t="s">
        <v>1609</v>
      </c>
      <c r="C1324" t="s">
        <v>88</v>
      </c>
      <c r="D1324" t="s">
        <v>77</v>
      </c>
      <c r="E1324" t="s">
        <v>55</v>
      </c>
      <c r="F1324">
        <v>0</v>
      </c>
      <c r="G1324">
        <v>3259</v>
      </c>
      <c r="H1324">
        <v>1</v>
      </c>
      <c r="I1324" t="s">
        <v>181</v>
      </c>
      <c r="J1324">
        <v>3</v>
      </c>
      <c r="K1324" s="6">
        <v>10.91</v>
      </c>
      <c r="L1324" t="s">
        <v>174</v>
      </c>
      <c r="M1324">
        <v>0</v>
      </c>
      <c r="N1324" t="s">
        <v>175</v>
      </c>
      <c r="O1324">
        <v>1</v>
      </c>
      <c r="P1324">
        <v>0</v>
      </c>
      <c r="Q1324" s="6">
        <v>39.9</v>
      </c>
      <c r="R1324">
        <v>0</v>
      </c>
      <c r="S1324" s="6">
        <v>0</v>
      </c>
      <c r="T1324">
        <v>0</v>
      </c>
      <c r="U1324" s="6">
        <v>2018</v>
      </c>
      <c r="V1324">
        <v>0</v>
      </c>
      <c r="W1324">
        <v>0</v>
      </c>
      <c r="X1324">
        <v>0</v>
      </c>
      <c r="Y1324" s="6">
        <v>53.1</v>
      </c>
      <c r="Z1324">
        <v>4.7E-2</v>
      </c>
      <c r="AA1324">
        <v>8.7999999999999995E-2</v>
      </c>
      <c r="AB1324">
        <v>9.1999999999999998E-2</v>
      </c>
      <c r="AC1324">
        <v>6</v>
      </c>
      <c r="AD1324" s="6">
        <v>60</v>
      </c>
      <c r="AE1324" s="6">
        <v>0</v>
      </c>
      <c r="AF1324" s="6">
        <v>0</v>
      </c>
      <c r="AG1324" s="6">
        <v>101.83</v>
      </c>
      <c r="AH1324" s="6">
        <v>127.64</v>
      </c>
      <c r="AI1324" s="6">
        <f t="shared" si="40"/>
        <v>25.810000000000002</v>
      </c>
      <c r="AJ1324" s="5">
        <f t="shared" si="41"/>
        <v>0.20220933876527736</v>
      </c>
    </row>
    <row r="1325" spans="1:36">
      <c r="A1325" t="s">
        <v>286</v>
      </c>
      <c r="B1325" t="s">
        <v>1610</v>
      </c>
      <c r="C1325" t="s">
        <v>88</v>
      </c>
      <c r="D1325" t="s">
        <v>77</v>
      </c>
      <c r="E1325" t="s">
        <v>55</v>
      </c>
      <c r="F1325">
        <v>0</v>
      </c>
      <c r="G1325">
        <v>3259</v>
      </c>
      <c r="H1325">
        <v>1</v>
      </c>
      <c r="I1325" t="s">
        <v>220</v>
      </c>
      <c r="J1325">
        <v>2</v>
      </c>
      <c r="K1325" s="6">
        <v>4.46</v>
      </c>
      <c r="L1325" t="s">
        <v>174</v>
      </c>
      <c r="M1325">
        <v>0</v>
      </c>
      <c r="N1325" t="s">
        <v>175</v>
      </c>
      <c r="O1325">
        <v>1</v>
      </c>
      <c r="P1325">
        <v>0</v>
      </c>
      <c r="Q1325" s="6">
        <v>40.9</v>
      </c>
      <c r="R1325">
        <v>1</v>
      </c>
      <c r="S1325" s="6">
        <v>296</v>
      </c>
      <c r="T1325">
        <v>0</v>
      </c>
      <c r="U1325" s="6">
        <v>1014</v>
      </c>
      <c r="V1325">
        <v>0</v>
      </c>
      <c r="W1325">
        <v>0</v>
      </c>
      <c r="X1325">
        <v>0</v>
      </c>
      <c r="Y1325" s="6">
        <v>53.1</v>
      </c>
      <c r="Z1325">
        <v>4.7E-2</v>
      </c>
      <c r="AA1325">
        <v>8.7999999999999995E-2</v>
      </c>
      <c r="AB1325">
        <v>9.1999999999999998E-2</v>
      </c>
      <c r="AC1325">
        <v>6</v>
      </c>
      <c r="AD1325" s="6">
        <v>50</v>
      </c>
      <c r="AE1325" s="6">
        <v>25</v>
      </c>
      <c r="AF1325" s="6">
        <v>0</v>
      </c>
      <c r="AG1325" s="6">
        <v>66.25</v>
      </c>
      <c r="AH1325" s="6">
        <v>87.04</v>
      </c>
      <c r="AI1325" s="6">
        <f t="shared" si="40"/>
        <v>20.790000000000006</v>
      </c>
      <c r="AJ1325" s="5">
        <f t="shared" si="41"/>
        <v>0.23885569852941183</v>
      </c>
    </row>
    <row r="1326" spans="1:36">
      <c r="A1326" t="s">
        <v>306</v>
      </c>
      <c r="B1326" t="s">
        <v>1611</v>
      </c>
      <c r="C1326" t="s">
        <v>88</v>
      </c>
      <c r="D1326" t="s">
        <v>77</v>
      </c>
      <c r="E1326" t="s">
        <v>55</v>
      </c>
      <c r="F1326">
        <v>0</v>
      </c>
      <c r="G1326">
        <v>3259</v>
      </c>
      <c r="H1326">
        <v>1</v>
      </c>
      <c r="I1326" t="s">
        <v>173</v>
      </c>
      <c r="J1326">
        <v>1</v>
      </c>
      <c r="K1326" s="6">
        <v>2.75</v>
      </c>
      <c r="L1326" t="s">
        <v>174</v>
      </c>
      <c r="M1326">
        <v>0</v>
      </c>
      <c r="N1326" t="s">
        <v>175</v>
      </c>
      <c r="O1326">
        <v>1</v>
      </c>
      <c r="P1326">
        <v>0</v>
      </c>
      <c r="Q1326" s="6">
        <v>21.9</v>
      </c>
      <c r="R1326">
        <v>1</v>
      </c>
      <c r="S1326" s="6">
        <v>1941</v>
      </c>
      <c r="T1326">
        <v>0</v>
      </c>
      <c r="U1326" s="6">
        <v>1422</v>
      </c>
      <c r="V1326">
        <v>0</v>
      </c>
      <c r="W1326">
        <v>0</v>
      </c>
      <c r="X1326">
        <v>0</v>
      </c>
      <c r="Y1326" s="6">
        <v>53.1</v>
      </c>
      <c r="Z1326">
        <v>4.7E-2</v>
      </c>
      <c r="AA1326">
        <v>8.7999999999999995E-2</v>
      </c>
      <c r="AB1326">
        <v>9.1999999999999998E-2</v>
      </c>
      <c r="AC1326">
        <v>6</v>
      </c>
      <c r="AD1326" s="6">
        <v>50</v>
      </c>
      <c r="AE1326" s="6">
        <v>25</v>
      </c>
      <c r="AF1326" s="6">
        <v>0</v>
      </c>
      <c r="AG1326" s="6">
        <v>50.42</v>
      </c>
      <c r="AH1326" s="6">
        <v>67.62</v>
      </c>
      <c r="AI1326" s="6">
        <f t="shared" si="40"/>
        <v>17.200000000000003</v>
      </c>
      <c r="AJ1326" s="5">
        <f t="shared" si="41"/>
        <v>0.25436261461106185</v>
      </c>
    </row>
    <row r="1327" spans="1:36">
      <c r="A1327" t="s">
        <v>338</v>
      </c>
      <c r="B1327" t="s">
        <v>1612</v>
      </c>
      <c r="C1327" t="s">
        <v>88</v>
      </c>
      <c r="D1327" t="s">
        <v>77</v>
      </c>
      <c r="E1327" t="s">
        <v>55</v>
      </c>
      <c r="F1327">
        <v>0</v>
      </c>
      <c r="G1327">
        <v>3259</v>
      </c>
      <c r="H1327">
        <v>1</v>
      </c>
      <c r="I1327" t="s">
        <v>220</v>
      </c>
      <c r="J1327">
        <v>2</v>
      </c>
      <c r="K1327" s="6">
        <v>3.17</v>
      </c>
      <c r="L1327" t="s">
        <v>174</v>
      </c>
      <c r="M1327">
        <v>0</v>
      </c>
      <c r="N1327" t="s">
        <v>182</v>
      </c>
      <c r="O1327">
        <v>3</v>
      </c>
      <c r="P1327">
        <v>0</v>
      </c>
      <c r="Q1327" s="6">
        <v>109.7</v>
      </c>
      <c r="R1327">
        <v>0</v>
      </c>
      <c r="S1327" s="6">
        <v>0</v>
      </c>
      <c r="T1327">
        <v>0</v>
      </c>
      <c r="U1327" s="6">
        <v>2711</v>
      </c>
      <c r="V1327">
        <v>0</v>
      </c>
      <c r="W1327">
        <v>0</v>
      </c>
      <c r="X1327">
        <v>0</v>
      </c>
      <c r="Y1327" s="6">
        <v>53.1</v>
      </c>
      <c r="Z1327">
        <v>4.7E-2</v>
      </c>
      <c r="AA1327">
        <v>8.7999999999999995E-2</v>
      </c>
      <c r="AB1327">
        <v>9.1999999999999998E-2</v>
      </c>
      <c r="AC1327">
        <v>6</v>
      </c>
      <c r="AD1327" s="6">
        <v>50</v>
      </c>
      <c r="AE1327" s="6">
        <v>0</v>
      </c>
      <c r="AF1327" s="6">
        <v>0</v>
      </c>
      <c r="AG1327" s="6">
        <v>67.06</v>
      </c>
      <c r="AH1327" s="6">
        <v>88.69</v>
      </c>
      <c r="AI1327" s="6">
        <f t="shared" si="40"/>
        <v>21.629999999999995</v>
      </c>
      <c r="AJ1327" s="5">
        <f t="shared" si="41"/>
        <v>0.24388318863456981</v>
      </c>
    </row>
    <row r="1328" spans="1:36">
      <c r="A1328" t="s">
        <v>481</v>
      </c>
      <c r="B1328" t="s">
        <v>1613</v>
      </c>
      <c r="C1328" t="s">
        <v>88</v>
      </c>
      <c r="D1328" t="s">
        <v>77</v>
      </c>
      <c r="E1328" t="s">
        <v>55</v>
      </c>
      <c r="F1328">
        <v>0</v>
      </c>
      <c r="G1328">
        <v>3259</v>
      </c>
      <c r="H1328">
        <v>1</v>
      </c>
      <c r="I1328" t="s">
        <v>173</v>
      </c>
      <c r="J1328">
        <v>1</v>
      </c>
      <c r="K1328" s="6">
        <v>1.27</v>
      </c>
      <c r="L1328" t="s">
        <v>174</v>
      </c>
      <c r="M1328">
        <v>0</v>
      </c>
      <c r="N1328" t="s">
        <v>217</v>
      </c>
      <c r="O1328">
        <v>4</v>
      </c>
      <c r="P1328">
        <v>1</v>
      </c>
      <c r="Q1328" s="6">
        <v>244.5</v>
      </c>
      <c r="R1328">
        <v>0</v>
      </c>
      <c r="S1328" s="6">
        <v>0</v>
      </c>
      <c r="T1328">
        <v>0</v>
      </c>
      <c r="U1328" s="6">
        <v>996</v>
      </c>
      <c r="V1328">
        <v>1</v>
      </c>
      <c r="W1328">
        <v>0</v>
      </c>
      <c r="X1328">
        <v>0</v>
      </c>
      <c r="Y1328" s="6">
        <v>53.1</v>
      </c>
      <c r="Z1328">
        <v>4.7E-2</v>
      </c>
      <c r="AA1328">
        <v>8.7999999999999995E-2</v>
      </c>
      <c r="AB1328">
        <v>9.1999999999999998E-2</v>
      </c>
      <c r="AC1328">
        <v>6</v>
      </c>
      <c r="AD1328" s="6">
        <v>50</v>
      </c>
      <c r="AE1328" s="6">
        <v>0</v>
      </c>
      <c r="AF1328" s="6">
        <v>0</v>
      </c>
      <c r="AG1328" s="6">
        <v>161.96</v>
      </c>
      <c r="AH1328" s="6">
        <v>205.44</v>
      </c>
      <c r="AI1328" s="6">
        <f t="shared" si="40"/>
        <v>43.47999999999999</v>
      </c>
      <c r="AJ1328" s="5">
        <f t="shared" si="41"/>
        <v>0.21164330218068531</v>
      </c>
    </row>
    <row r="1329" spans="1:36">
      <c r="A1329" t="s">
        <v>201</v>
      </c>
      <c r="B1329" t="s">
        <v>1614</v>
      </c>
      <c r="C1329" t="s">
        <v>88</v>
      </c>
      <c r="D1329" t="s">
        <v>77</v>
      </c>
      <c r="E1329" t="s">
        <v>55</v>
      </c>
      <c r="F1329">
        <v>0</v>
      </c>
      <c r="G1329">
        <v>3259</v>
      </c>
      <c r="H1329">
        <v>1</v>
      </c>
      <c r="I1329" t="s">
        <v>181</v>
      </c>
      <c r="J1329">
        <v>3</v>
      </c>
      <c r="K1329" s="6">
        <v>8.0399999999999991</v>
      </c>
      <c r="L1329" t="s">
        <v>174</v>
      </c>
      <c r="M1329">
        <v>0</v>
      </c>
      <c r="N1329" t="s">
        <v>175</v>
      </c>
      <c r="O1329">
        <v>1</v>
      </c>
      <c r="P1329">
        <v>0</v>
      </c>
      <c r="Q1329" s="6">
        <v>36.5</v>
      </c>
      <c r="R1329">
        <v>1</v>
      </c>
      <c r="S1329" s="6">
        <v>1454</v>
      </c>
      <c r="T1329">
        <v>0</v>
      </c>
      <c r="U1329" s="6">
        <v>3085</v>
      </c>
      <c r="V1329">
        <v>0</v>
      </c>
      <c r="W1329">
        <v>0</v>
      </c>
      <c r="X1329">
        <v>0</v>
      </c>
      <c r="Y1329" s="6">
        <v>53.1</v>
      </c>
      <c r="Z1329">
        <v>4.7E-2</v>
      </c>
      <c r="AA1329">
        <v>8.7999999999999995E-2</v>
      </c>
      <c r="AB1329">
        <v>9.1999999999999998E-2</v>
      </c>
      <c r="AC1329">
        <v>6</v>
      </c>
      <c r="AD1329" s="6">
        <v>60</v>
      </c>
      <c r="AE1329" s="6">
        <v>25</v>
      </c>
      <c r="AF1329" s="6">
        <v>0</v>
      </c>
      <c r="AG1329" s="6">
        <v>99.07</v>
      </c>
      <c r="AH1329" s="6">
        <v>124.11</v>
      </c>
      <c r="AI1329" s="6">
        <f t="shared" si="40"/>
        <v>25.040000000000006</v>
      </c>
      <c r="AJ1329" s="5">
        <f t="shared" si="41"/>
        <v>0.20175650632503431</v>
      </c>
    </row>
    <row r="1330" spans="1:36">
      <c r="A1330" t="s">
        <v>303</v>
      </c>
      <c r="B1330" t="s">
        <v>1615</v>
      </c>
      <c r="C1330" t="s">
        <v>88</v>
      </c>
      <c r="D1330" t="s">
        <v>77</v>
      </c>
      <c r="E1330" t="s">
        <v>55</v>
      </c>
      <c r="F1330">
        <v>0</v>
      </c>
      <c r="G1330">
        <v>3259</v>
      </c>
      <c r="H1330">
        <v>1</v>
      </c>
      <c r="I1330" t="s">
        <v>173</v>
      </c>
      <c r="J1330">
        <v>1</v>
      </c>
      <c r="K1330" s="6">
        <v>1.08</v>
      </c>
      <c r="L1330" t="s">
        <v>174</v>
      </c>
      <c r="M1330">
        <v>0</v>
      </c>
      <c r="N1330" t="s">
        <v>217</v>
      </c>
      <c r="O1330">
        <v>4</v>
      </c>
      <c r="P1330">
        <v>1</v>
      </c>
      <c r="Q1330" s="6">
        <v>125.7</v>
      </c>
      <c r="R1330">
        <v>0</v>
      </c>
      <c r="S1330" s="6">
        <v>0</v>
      </c>
      <c r="T1330">
        <v>0</v>
      </c>
      <c r="U1330" s="6">
        <v>5204</v>
      </c>
      <c r="V1330">
        <v>0</v>
      </c>
      <c r="W1330">
        <v>0</v>
      </c>
      <c r="X1330">
        <v>0</v>
      </c>
      <c r="Y1330" s="6">
        <v>53.1</v>
      </c>
      <c r="Z1330">
        <v>4.7E-2</v>
      </c>
      <c r="AA1330">
        <v>8.7999999999999995E-2</v>
      </c>
      <c r="AB1330">
        <v>9.1999999999999998E-2</v>
      </c>
      <c r="AC1330">
        <v>6</v>
      </c>
      <c r="AD1330" s="6">
        <v>50</v>
      </c>
      <c r="AE1330" s="6">
        <v>0</v>
      </c>
      <c r="AF1330" s="6">
        <v>0</v>
      </c>
      <c r="AG1330" s="6">
        <v>95.37</v>
      </c>
      <c r="AH1330" s="6">
        <v>124.14</v>
      </c>
      <c r="AI1330" s="6">
        <f t="shared" si="40"/>
        <v>28.769999999999996</v>
      </c>
      <c r="AJ1330" s="5">
        <f t="shared" si="41"/>
        <v>0.23175447075882066</v>
      </c>
    </row>
    <row r="1331" spans="1:36">
      <c r="A1331" t="s">
        <v>249</v>
      </c>
      <c r="B1331" t="s">
        <v>1616</v>
      </c>
      <c r="C1331" t="s">
        <v>88</v>
      </c>
      <c r="D1331" t="s">
        <v>77</v>
      </c>
      <c r="E1331" t="s">
        <v>55</v>
      </c>
      <c r="F1331">
        <v>0</v>
      </c>
      <c r="G1331">
        <v>3259</v>
      </c>
      <c r="H1331">
        <v>1</v>
      </c>
      <c r="I1331" t="s">
        <v>220</v>
      </c>
      <c r="J1331">
        <v>2</v>
      </c>
      <c r="K1331" s="6">
        <v>3.67</v>
      </c>
      <c r="L1331" t="s">
        <v>174</v>
      </c>
      <c r="M1331">
        <v>0</v>
      </c>
      <c r="N1331" t="s">
        <v>187</v>
      </c>
      <c r="O1331">
        <v>2</v>
      </c>
      <c r="P1331">
        <v>0</v>
      </c>
      <c r="Q1331" s="6">
        <v>48.7</v>
      </c>
      <c r="R1331">
        <v>1</v>
      </c>
      <c r="S1331" s="6">
        <v>775</v>
      </c>
      <c r="T1331">
        <v>0</v>
      </c>
      <c r="U1331" s="6">
        <v>3399</v>
      </c>
      <c r="V1331">
        <v>0</v>
      </c>
      <c r="W1331">
        <v>0</v>
      </c>
      <c r="X1331">
        <v>0</v>
      </c>
      <c r="Y1331" s="6">
        <v>53.1</v>
      </c>
      <c r="Z1331">
        <v>4.7E-2</v>
      </c>
      <c r="AA1331">
        <v>8.7999999999999995E-2</v>
      </c>
      <c r="AB1331">
        <v>9.1999999999999998E-2</v>
      </c>
      <c r="AC1331">
        <v>6</v>
      </c>
      <c r="AD1331" s="6">
        <v>50</v>
      </c>
      <c r="AE1331" s="6">
        <v>25</v>
      </c>
      <c r="AF1331" s="6">
        <v>0</v>
      </c>
      <c r="AG1331" s="6">
        <v>61.05</v>
      </c>
      <c r="AH1331" s="6">
        <v>76.45</v>
      </c>
      <c r="AI1331" s="6">
        <f t="shared" si="40"/>
        <v>15.400000000000006</v>
      </c>
      <c r="AJ1331" s="5">
        <f t="shared" si="41"/>
        <v>0.20143884892086339</v>
      </c>
    </row>
    <row r="1332" spans="1:36">
      <c r="A1332" t="s">
        <v>501</v>
      </c>
      <c r="B1332" t="s">
        <v>1617</v>
      </c>
      <c r="C1332" t="s">
        <v>88</v>
      </c>
      <c r="D1332" t="s">
        <v>77</v>
      </c>
      <c r="E1332" t="s">
        <v>55</v>
      </c>
      <c r="F1332">
        <v>0</v>
      </c>
      <c r="G1332">
        <v>3259</v>
      </c>
      <c r="H1332">
        <v>1</v>
      </c>
      <c r="I1332" t="s">
        <v>220</v>
      </c>
      <c r="J1332">
        <v>2</v>
      </c>
      <c r="K1332" s="6">
        <v>5.55</v>
      </c>
      <c r="L1332" t="s">
        <v>174</v>
      </c>
      <c r="M1332">
        <v>0</v>
      </c>
      <c r="N1332" t="s">
        <v>175</v>
      </c>
      <c r="O1332">
        <v>1</v>
      </c>
      <c r="P1332">
        <v>0</v>
      </c>
      <c r="Q1332" s="6">
        <v>42.8</v>
      </c>
      <c r="R1332">
        <v>0</v>
      </c>
      <c r="S1332" s="6">
        <v>0</v>
      </c>
      <c r="T1332">
        <v>0</v>
      </c>
      <c r="U1332" s="6">
        <v>1348</v>
      </c>
      <c r="V1332">
        <v>0</v>
      </c>
      <c r="W1332">
        <v>0</v>
      </c>
      <c r="X1332">
        <v>0</v>
      </c>
      <c r="Y1332" s="6">
        <v>53.1</v>
      </c>
      <c r="Z1332">
        <v>4.7E-2</v>
      </c>
      <c r="AA1332">
        <v>8.7999999999999995E-2</v>
      </c>
      <c r="AB1332">
        <v>9.1999999999999998E-2</v>
      </c>
      <c r="AC1332">
        <v>6</v>
      </c>
      <c r="AD1332" s="6">
        <v>50</v>
      </c>
      <c r="AE1332" s="6">
        <v>0</v>
      </c>
      <c r="AF1332" s="6">
        <v>0</v>
      </c>
      <c r="AG1332" s="6">
        <v>66.98</v>
      </c>
      <c r="AH1332" s="6">
        <v>87.05</v>
      </c>
      <c r="AI1332" s="6">
        <f t="shared" si="40"/>
        <v>20.069999999999993</v>
      </c>
      <c r="AJ1332" s="5">
        <f t="shared" si="41"/>
        <v>0.23055715106260763</v>
      </c>
    </row>
    <row r="1333" spans="1:36">
      <c r="A1333" t="s">
        <v>348</v>
      </c>
      <c r="B1333" t="s">
        <v>1618</v>
      </c>
      <c r="C1333" t="s">
        <v>88</v>
      </c>
      <c r="D1333" t="s">
        <v>77</v>
      </c>
      <c r="E1333" t="s">
        <v>55</v>
      </c>
      <c r="F1333">
        <v>0</v>
      </c>
      <c r="G1333">
        <v>3259</v>
      </c>
      <c r="H1333">
        <v>1</v>
      </c>
      <c r="I1333" t="s">
        <v>173</v>
      </c>
      <c r="J1333">
        <v>1</v>
      </c>
      <c r="K1333" s="6">
        <v>1.78</v>
      </c>
      <c r="L1333" t="s">
        <v>174</v>
      </c>
      <c r="M1333">
        <v>0</v>
      </c>
      <c r="N1333" t="s">
        <v>175</v>
      </c>
      <c r="O1333">
        <v>1</v>
      </c>
      <c r="P1333">
        <v>0</v>
      </c>
      <c r="Q1333" s="6">
        <v>48.9</v>
      </c>
      <c r="R1333">
        <v>0</v>
      </c>
      <c r="S1333" s="6">
        <v>0</v>
      </c>
      <c r="T1333">
        <v>0</v>
      </c>
      <c r="U1333" s="6">
        <v>2832</v>
      </c>
      <c r="V1333">
        <v>0</v>
      </c>
      <c r="W1333">
        <v>0</v>
      </c>
      <c r="X1333">
        <v>0</v>
      </c>
      <c r="Y1333" s="6">
        <v>53.1</v>
      </c>
      <c r="Z1333">
        <v>4.7E-2</v>
      </c>
      <c r="AA1333">
        <v>8.7999999999999995E-2</v>
      </c>
      <c r="AB1333">
        <v>9.1999999999999998E-2</v>
      </c>
      <c r="AC1333">
        <v>6</v>
      </c>
      <c r="AD1333" s="6">
        <v>50</v>
      </c>
      <c r="AE1333" s="6">
        <v>0</v>
      </c>
      <c r="AF1333" s="6">
        <v>0</v>
      </c>
      <c r="AG1333" s="6">
        <v>49.26</v>
      </c>
      <c r="AH1333" s="6">
        <v>64.849999999999994</v>
      </c>
      <c r="AI1333" s="6">
        <f t="shared" si="40"/>
        <v>15.589999999999996</v>
      </c>
      <c r="AJ1333" s="5">
        <f t="shared" si="41"/>
        <v>0.24040092521202772</v>
      </c>
    </row>
    <row r="1334" spans="1:36">
      <c r="A1334" t="s">
        <v>338</v>
      </c>
      <c r="B1334" t="s">
        <v>1619</v>
      </c>
      <c r="C1334" t="s">
        <v>88</v>
      </c>
      <c r="D1334" t="s">
        <v>77</v>
      </c>
      <c r="E1334" t="s">
        <v>55</v>
      </c>
      <c r="F1334">
        <v>0</v>
      </c>
      <c r="G1334">
        <v>3259</v>
      </c>
      <c r="H1334">
        <v>1</v>
      </c>
      <c r="I1334" t="s">
        <v>173</v>
      </c>
      <c r="J1334">
        <v>1</v>
      </c>
      <c r="K1334" s="6">
        <v>1.98</v>
      </c>
      <c r="L1334" t="s">
        <v>174</v>
      </c>
      <c r="M1334">
        <v>0</v>
      </c>
      <c r="N1334" t="s">
        <v>217</v>
      </c>
      <c r="O1334">
        <v>4</v>
      </c>
      <c r="P1334">
        <v>1</v>
      </c>
      <c r="Q1334" s="6">
        <v>115.4</v>
      </c>
      <c r="R1334">
        <v>0</v>
      </c>
      <c r="S1334" s="6">
        <v>0</v>
      </c>
      <c r="T1334">
        <v>0</v>
      </c>
      <c r="U1334" s="6">
        <v>2838</v>
      </c>
      <c r="V1334">
        <v>0</v>
      </c>
      <c r="W1334">
        <v>0</v>
      </c>
      <c r="X1334">
        <v>0</v>
      </c>
      <c r="Y1334" s="6">
        <v>53.1</v>
      </c>
      <c r="Z1334">
        <v>4.7E-2</v>
      </c>
      <c r="AA1334">
        <v>8.7999999999999995E-2</v>
      </c>
      <c r="AB1334">
        <v>9.1999999999999998E-2</v>
      </c>
      <c r="AC1334">
        <v>6</v>
      </c>
      <c r="AD1334" s="6">
        <v>50</v>
      </c>
      <c r="AE1334" s="6">
        <v>0</v>
      </c>
      <c r="AF1334" s="6">
        <v>0</v>
      </c>
      <c r="AG1334" s="6">
        <v>101.81</v>
      </c>
      <c r="AH1334" s="6">
        <v>130.35</v>
      </c>
      <c r="AI1334" s="6">
        <f t="shared" si="40"/>
        <v>28.539999999999992</v>
      </c>
      <c r="AJ1334" s="5">
        <f t="shared" si="41"/>
        <v>0.21894898350594549</v>
      </c>
    </row>
    <row r="1335" spans="1:36">
      <c r="A1335" t="s">
        <v>434</v>
      </c>
      <c r="B1335" t="s">
        <v>1620</v>
      </c>
      <c r="C1335" t="s">
        <v>88</v>
      </c>
      <c r="D1335" t="s">
        <v>77</v>
      </c>
      <c r="E1335" t="s">
        <v>55</v>
      </c>
      <c r="F1335">
        <v>0</v>
      </c>
      <c r="G1335">
        <v>3259</v>
      </c>
      <c r="H1335">
        <v>1</v>
      </c>
      <c r="I1335" t="s">
        <v>220</v>
      </c>
      <c r="J1335">
        <v>2</v>
      </c>
      <c r="K1335" s="6">
        <v>4.18</v>
      </c>
      <c r="L1335" t="s">
        <v>174</v>
      </c>
      <c r="M1335">
        <v>0</v>
      </c>
      <c r="N1335" t="s">
        <v>175</v>
      </c>
      <c r="O1335">
        <v>1</v>
      </c>
      <c r="P1335">
        <v>0</v>
      </c>
      <c r="Q1335" s="6">
        <v>22</v>
      </c>
      <c r="R1335">
        <v>1</v>
      </c>
      <c r="S1335" s="6">
        <v>368</v>
      </c>
      <c r="T1335">
        <v>0</v>
      </c>
      <c r="U1335" s="6">
        <v>12748</v>
      </c>
      <c r="V1335">
        <v>0</v>
      </c>
      <c r="W1335">
        <v>0</v>
      </c>
      <c r="X1335">
        <v>0</v>
      </c>
      <c r="Y1335" s="6">
        <v>53.1</v>
      </c>
      <c r="Z1335">
        <v>4.7E-2</v>
      </c>
      <c r="AA1335">
        <v>8.7999999999999995E-2</v>
      </c>
      <c r="AB1335">
        <v>9.1999999999999998E-2</v>
      </c>
      <c r="AC1335">
        <v>6</v>
      </c>
      <c r="AD1335" s="6">
        <v>50</v>
      </c>
      <c r="AE1335" s="6">
        <v>25</v>
      </c>
      <c r="AF1335" s="6">
        <v>0</v>
      </c>
      <c r="AG1335" s="6">
        <v>61.66</v>
      </c>
      <c r="AH1335" s="6">
        <v>78.25</v>
      </c>
      <c r="AI1335" s="6">
        <f t="shared" si="40"/>
        <v>16.590000000000003</v>
      </c>
      <c r="AJ1335" s="5">
        <f t="shared" si="41"/>
        <v>0.21201277955271569</v>
      </c>
    </row>
    <row r="1336" spans="1:36">
      <c r="A1336" t="s">
        <v>348</v>
      </c>
      <c r="B1336" t="s">
        <v>1621</v>
      </c>
      <c r="C1336" t="s">
        <v>88</v>
      </c>
      <c r="D1336" t="s">
        <v>77</v>
      </c>
      <c r="E1336" t="s">
        <v>55</v>
      </c>
      <c r="F1336">
        <v>0</v>
      </c>
      <c r="G1336">
        <v>3259</v>
      </c>
      <c r="H1336">
        <v>1</v>
      </c>
      <c r="I1336" t="s">
        <v>173</v>
      </c>
      <c r="J1336">
        <v>1</v>
      </c>
      <c r="K1336" s="6">
        <v>1.72</v>
      </c>
      <c r="L1336" t="s">
        <v>174</v>
      </c>
      <c r="M1336">
        <v>0</v>
      </c>
      <c r="N1336" t="s">
        <v>187</v>
      </c>
      <c r="O1336">
        <v>2</v>
      </c>
      <c r="P1336">
        <v>0</v>
      </c>
      <c r="Q1336" s="6">
        <v>66.2</v>
      </c>
      <c r="R1336">
        <v>0</v>
      </c>
      <c r="S1336" s="6">
        <v>0</v>
      </c>
      <c r="T1336">
        <v>0</v>
      </c>
      <c r="U1336" s="6">
        <v>1717</v>
      </c>
      <c r="V1336">
        <v>0</v>
      </c>
      <c r="W1336">
        <v>0</v>
      </c>
      <c r="X1336">
        <v>0</v>
      </c>
      <c r="Y1336" s="6">
        <v>53.1</v>
      </c>
      <c r="Z1336">
        <v>4.7E-2</v>
      </c>
      <c r="AA1336">
        <v>8.7999999999999995E-2</v>
      </c>
      <c r="AB1336">
        <v>9.1999999999999998E-2</v>
      </c>
      <c r="AC1336">
        <v>6</v>
      </c>
      <c r="AD1336" s="6">
        <v>50</v>
      </c>
      <c r="AE1336" s="6">
        <v>0</v>
      </c>
      <c r="AF1336" s="6">
        <v>0</v>
      </c>
      <c r="AG1336" s="6">
        <v>55.89</v>
      </c>
      <c r="AH1336" s="6">
        <v>73.010000000000005</v>
      </c>
      <c r="AI1336" s="6">
        <f t="shared" si="40"/>
        <v>17.120000000000005</v>
      </c>
      <c r="AJ1336" s="5">
        <f t="shared" si="41"/>
        <v>0.23448842624298047</v>
      </c>
    </row>
    <row r="1337" spans="1:36">
      <c r="A1337" t="s">
        <v>330</v>
      </c>
      <c r="B1337" t="s">
        <v>1622</v>
      </c>
      <c r="C1337" t="s">
        <v>88</v>
      </c>
      <c r="D1337" t="s">
        <v>77</v>
      </c>
      <c r="E1337" t="s">
        <v>55</v>
      </c>
      <c r="F1337">
        <v>0</v>
      </c>
      <c r="G1337">
        <v>3259</v>
      </c>
      <c r="H1337">
        <v>1</v>
      </c>
      <c r="I1337" t="s">
        <v>181</v>
      </c>
      <c r="J1337">
        <v>3</v>
      </c>
      <c r="K1337" s="6">
        <v>7.69</v>
      </c>
      <c r="L1337" t="s">
        <v>174</v>
      </c>
      <c r="M1337">
        <v>0</v>
      </c>
      <c r="N1337" t="s">
        <v>217</v>
      </c>
      <c r="O1337">
        <v>4</v>
      </c>
      <c r="P1337">
        <v>1</v>
      </c>
      <c r="Q1337" s="6">
        <v>208.6</v>
      </c>
      <c r="R1337">
        <v>0</v>
      </c>
      <c r="S1337" s="6">
        <v>0</v>
      </c>
      <c r="T1337">
        <v>0</v>
      </c>
      <c r="U1337" s="6">
        <v>2717</v>
      </c>
      <c r="V1337">
        <v>0</v>
      </c>
      <c r="W1337">
        <v>0</v>
      </c>
      <c r="X1337">
        <v>0</v>
      </c>
      <c r="Y1337" s="6">
        <v>53.1</v>
      </c>
      <c r="Z1337">
        <v>4.7E-2</v>
      </c>
      <c r="AA1337">
        <v>8.7999999999999995E-2</v>
      </c>
      <c r="AB1337">
        <v>9.1999999999999998E-2</v>
      </c>
      <c r="AC1337">
        <v>6</v>
      </c>
      <c r="AD1337" s="6">
        <v>60</v>
      </c>
      <c r="AE1337" s="6">
        <v>0</v>
      </c>
      <c r="AF1337" s="6">
        <v>0</v>
      </c>
      <c r="AG1337" s="6">
        <v>128.44</v>
      </c>
      <c r="AH1337" s="6">
        <v>165.28</v>
      </c>
      <c r="AI1337" s="6">
        <f t="shared" si="40"/>
        <v>36.840000000000003</v>
      </c>
      <c r="AJ1337" s="5">
        <f t="shared" si="41"/>
        <v>0.2228944820909971</v>
      </c>
    </row>
    <row r="1338" spans="1:36">
      <c r="A1338" t="s">
        <v>263</v>
      </c>
      <c r="B1338" t="s">
        <v>1623</v>
      </c>
      <c r="C1338" t="s">
        <v>88</v>
      </c>
      <c r="D1338" t="s">
        <v>77</v>
      </c>
      <c r="E1338" t="s">
        <v>55</v>
      </c>
      <c r="F1338">
        <v>0</v>
      </c>
      <c r="G1338">
        <v>3259</v>
      </c>
      <c r="H1338">
        <v>1</v>
      </c>
      <c r="I1338" t="s">
        <v>181</v>
      </c>
      <c r="J1338">
        <v>3</v>
      </c>
      <c r="K1338" s="6">
        <v>10.18</v>
      </c>
      <c r="L1338" t="s">
        <v>174</v>
      </c>
      <c r="M1338">
        <v>0</v>
      </c>
      <c r="N1338" t="s">
        <v>175</v>
      </c>
      <c r="O1338">
        <v>1</v>
      </c>
      <c r="P1338">
        <v>0</v>
      </c>
      <c r="Q1338" s="6">
        <v>34.5</v>
      </c>
      <c r="R1338">
        <v>0</v>
      </c>
      <c r="S1338" s="6">
        <v>0</v>
      </c>
      <c r="T1338">
        <v>0</v>
      </c>
      <c r="U1338" s="6">
        <v>6285</v>
      </c>
      <c r="V1338">
        <v>0</v>
      </c>
      <c r="W1338">
        <v>0</v>
      </c>
      <c r="X1338">
        <v>0</v>
      </c>
      <c r="Y1338" s="6">
        <v>53.1</v>
      </c>
      <c r="Z1338">
        <v>4.7E-2</v>
      </c>
      <c r="AA1338">
        <v>8.7999999999999995E-2</v>
      </c>
      <c r="AB1338">
        <v>9.1999999999999998E-2</v>
      </c>
      <c r="AC1338">
        <v>6</v>
      </c>
      <c r="AD1338" s="6">
        <v>60</v>
      </c>
      <c r="AE1338" s="6">
        <v>0</v>
      </c>
      <c r="AF1338" s="6">
        <v>0</v>
      </c>
      <c r="AG1338" s="6">
        <v>95.43</v>
      </c>
      <c r="AH1338" s="6">
        <v>122.26</v>
      </c>
      <c r="AI1338" s="6">
        <f t="shared" si="40"/>
        <v>26.83</v>
      </c>
      <c r="AJ1338" s="5">
        <f t="shared" si="41"/>
        <v>0.21945035170947161</v>
      </c>
    </row>
    <row r="1339" spans="1:36">
      <c r="A1339" t="s">
        <v>240</v>
      </c>
      <c r="B1339" t="s">
        <v>1624</v>
      </c>
      <c r="C1339" t="s">
        <v>88</v>
      </c>
      <c r="D1339" t="s">
        <v>77</v>
      </c>
      <c r="E1339" t="s">
        <v>55</v>
      </c>
      <c r="F1339">
        <v>0</v>
      </c>
      <c r="G1339">
        <v>3259</v>
      </c>
      <c r="H1339">
        <v>1</v>
      </c>
      <c r="I1339" t="s">
        <v>220</v>
      </c>
      <c r="J1339">
        <v>2</v>
      </c>
      <c r="K1339" s="6">
        <v>4.05</v>
      </c>
      <c r="L1339" t="s">
        <v>174</v>
      </c>
      <c r="M1339">
        <v>0</v>
      </c>
      <c r="N1339" t="s">
        <v>175</v>
      </c>
      <c r="O1339">
        <v>1</v>
      </c>
      <c r="P1339">
        <v>0</v>
      </c>
      <c r="Q1339" s="6">
        <v>28.9</v>
      </c>
      <c r="R1339">
        <v>1</v>
      </c>
      <c r="S1339" s="6">
        <v>2668</v>
      </c>
      <c r="T1339">
        <v>0</v>
      </c>
      <c r="U1339" s="6">
        <v>2066</v>
      </c>
      <c r="V1339">
        <v>1</v>
      </c>
      <c r="W1339">
        <v>1</v>
      </c>
      <c r="X1339">
        <v>0</v>
      </c>
      <c r="Y1339" s="6">
        <v>53.1</v>
      </c>
      <c r="Z1339">
        <v>4.7E-2</v>
      </c>
      <c r="AA1339">
        <v>8.7999999999999995E-2</v>
      </c>
      <c r="AB1339">
        <v>9.1999999999999998E-2</v>
      </c>
      <c r="AC1339">
        <v>6</v>
      </c>
      <c r="AD1339" s="6">
        <v>50</v>
      </c>
      <c r="AE1339" s="6">
        <v>40</v>
      </c>
      <c r="AF1339" s="6">
        <v>0</v>
      </c>
      <c r="AG1339" s="6">
        <v>135.62</v>
      </c>
      <c r="AH1339" s="6">
        <v>172.78</v>
      </c>
      <c r="AI1339" s="6">
        <f t="shared" si="40"/>
        <v>37.159999999999997</v>
      </c>
      <c r="AJ1339" s="5">
        <f t="shared" si="41"/>
        <v>0.2150711887949994</v>
      </c>
    </row>
    <row r="1340" spans="1:36">
      <c r="A1340" t="s">
        <v>176</v>
      </c>
      <c r="B1340" t="s">
        <v>1625</v>
      </c>
      <c r="C1340" t="s">
        <v>88</v>
      </c>
      <c r="D1340" t="s">
        <v>77</v>
      </c>
      <c r="E1340" t="s">
        <v>55</v>
      </c>
      <c r="F1340">
        <v>0</v>
      </c>
      <c r="G1340">
        <v>3259</v>
      </c>
      <c r="H1340">
        <v>1</v>
      </c>
      <c r="I1340" t="s">
        <v>181</v>
      </c>
      <c r="J1340">
        <v>3</v>
      </c>
      <c r="K1340" s="6">
        <v>11.15</v>
      </c>
      <c r="L1340" t="s">
        <v>200</v>
      </c>
      <c r="M1340">
        <v>1</v>
      </c>
      <c r="N1340" t="s">
        <v>187</v>
      </c>
      <c r="O1340">
        <v>2</v>
      </c>
      <c r="P1340">
        <v>0</v>
      </c>
      <c r="Q1340" s="6">
        <v>34.200000000000003</v>
      </c>
      <c r="R1340">
        <v>1</v>
      </c>
      <c r="S1340" s="6">
        <v>1145</v>
      </c>
      <c r="T1340">
        <v>0</v>
      </c>
      <c r="U1340" s="6">
        <v>2543</v>
      </c>
      <c r="V1340">
        <v>0</v>
      </c>
      <c r="W1340">
        <v>0</v>
      </c>
      <c r="X1340">
        <v>0</v>
      </c>
      <c r="Y1340" s="6">
        <v>53.1</v>
      </c>
      <c r="Z1340">
        <v>4.7E-2</v>
      </c>
      <c r="AA1340">
        <v>8.7999999999999995E-2</v>
      </c>
      <c r="AB1340">
        <v>9.1999999999999998E-2</v>
      </c>
      <c r="AC1340">
        <v>6</v>
      </c>
      <c r="AD1340" s="6">
        <v>139</v>
      </c>
      <c r="AE1340" s="6">
        <v>25</v>
      </c>
      <c r="AF1340" s="6">
        <v>0</v>
      </c>
      <c r="AG1340" s="6">
        <v>135.41</v>
      </c>
      <c r="AH1340" s="6">
        <v>173.23</v>
      </c>
      <c r="AI1340" s="6">
        <f t="shared" si="40"/>
        <v>37.819999999999993</v>
      </c>
      <c r="AJ1340" s="5">
        <f t="shared" si="41"/>
        <v>0.21832246146741324</v>
      </c>
    </row>
    <row r="1341" spans="1:36">
      <c r="A1341" t="s">
        <v>279</v>
      </c>
      <c r="B1341" t="s">
        <v>1626</v>
      </c>
      <c r="C1341" t="s">
        <v>88</v>
      </c>
      <c r="D1341" t="s">
        <v>77</v>
      </c>
      <c r="E1341" t="s">
        <v>55</v>
      </c>
      <c r="F1341">
        <v>0</v>
      </c>
      <c r="G1341">
        <v>3259</v>
      </c>
      <c r="H1341">
        <v>1</v>
      </c>
      <c r="I1341" t="s">
        <v>173</v>
      </c>
      <c r="J1341">
        <v>1</v>
      </c>
      <c r="K1341" s="6">
        <v>2.39</v>
      </c>
      <c r="L1341" t="s">
        <v>174</v>
      </c>
      <c r="M1341">
        <v>0</v>
      </c>
      <c r="N1341" t="s">
        <v>187</v>
      </c>
      <c r="O1341">
        <v>2</v>
      </c>
      <c r="P1341">
        <v>0</v>
      </c>
      <c r="Q1341" s="6">
        <v>39.200000000000003</v>
      </c>
      <c r="R1341">
        <v>0</v>
      </c>
      <c r="S1341" s="6">
        <v>0</v>
      </c>
      <c r="T1341">
        <v>0</v>
      </c>
      <c r="U1341" s="6">
        <v>1543</v>
      </c>
      <c r="V1341">
        <v>0</v>
      </c>
      <c r="W1341">
        <v>0</v>
      </c>
      <c r="X1341">
        <v>0</v>
      </c>
      <c r="Y1341" s="6">
        <v>53.1</v>
      </c>
      <c r="Z1341">
        <v>4.7E-2</v>
      </c>
      <c r="AA1341">
        <v>8.7999999999999995E-2</v>
      </c>
      <c r="AB1341">
        <v>9.1999999999999998E-2</v>
      </c>
      <c r="AC1341">
        <v>6</v>
      </c>
      <c r="AD1341" s="6">
        <v>50</v>
      </c>
      <c r="AE1341" s="6">
        <v>0</v>
      </c>
      <c r="AF1341" s="6">
        <v>0</v>
      </c>
      <c r="AG1341" s="6">
        <v>57.53</v>
      </c>
      <c r="AH1341" s="6">
        <v>71.92</v>
      </c>
      <c r="AI1341" s="6">
        <f t="shared" si="40"/>
        <v>14.39</v>
      </c>
      <c r="AJ1341" s="5">
        <f t="shared" si="41"/>
        <v>0.20008342602892101</v>
      </c>
    </row>
    <row r="1342" spans="1:36">
      <c r="A1342" t="s">
        <v>521</v>
      </c>
      <c r="B1342" t="s">
        <v>1627</v>
      </c>
      <c r="C1342" t="s">
        <v>88</v>
      </c>
      <c r="D1342" t="s">
        <v>77</v>
      </c>
      <c r="E1342" t="s">
        <v>55</v>
      </c>
      <c r="F1342">
        <v>0</v>
      </c>
      <c r="G1342">
        <v>3259</v>
      </c>
      <c r="H1342">
        <v>1</v>
      </c>
      <c r="I1342" t="s">
        <v>181</v>
      </c>
      <c r="J1342">
        <v>3</v>
      </c>
      <c r="K1342" s="6">
        <v>7.28</v>
      </c>
      <c r="L1342" t="s">
        <v>174</v>
      </c>
      <c r="M1342">
        <v>0</v>
      </c>
      <c r="N1342" t="s">
        <v>187</v>
      </c>
      <c r="O1342">
        <v>2</v>
      </c>
      <c r="P1342">
        <v>0</v>
      </c>
      <c r="Q1342" s="6">
        <v>55.5</v>
      </c>
      <c r="R1342">
        <v>1</v>
      </c>
      <c r="S1342" s="6">
        <v>1119</v>
      </c>
      <c r="T1342">
        <v>0</v>
      </c>
      <c r="U1342" s="6">
        <v>3968</v>
      </c>
      <c r="V1342">
        <v>0</v>
      </c>
      <c r="W1342">
        <v>0</v>
      </c>
      <c r="X1342">
        <v>0</v>
      </c>
      <c r="Y1342" s="6">
        <v>53.1</v>
      </c>
      <c r="Z1342">
        <v>4.7E-2</v>
      </c>
      <c r="AA1342">
        <v>8.7999999999999995E-2</v>
      </c>
      <c r="AB1342">
        <v>9.1999999999999998E-2</v>
      </c>
      <c r="AC1342">
        <v>6</v>
      </c>
      <c r="AD1342" s="6">
        <v>60</v>
      </c>
      <c r="AE1342" s="6">
        <v>25</v>
      </c>
      <c r="AF1342" s="6">
        <v>0</v>
      </c>
      <c r="AG1342" s="6">
        <v>87.88</v>
      </c>
      <c r="AH1342" s="6">
        <v>111.34</v>
      </c>
      <c r="AI1342" s="6">
        <f t="shared" si="40"/>
        <v>23.460000000000008</v>
      </c>
      <c r="AJ1342" s="5">
        <f t="shared" si="41"/>
        <v>0.21070594575175144</v>
      </c>
    </row>
    <row r="1343" spans="1:36">
      <c r="A1343" t="s">
        <v>171</v>
      </c>
      <c r="B1343" t="s">
        <v>1628</v>
      </c>
      <c r="C1343" t="s">
        <v>88</v>
      </c>
      <c r="D1343" t="s">
        <v>77</v>
      </c>
      <c r="E1343" t="s">
        <v>55</v>
      </c>
      <c r="F1343">
        <v>0</v>
      </c>
      <c r="G1343">
        <v>3259</v>
      </c>
      <c r="H1343">
        <v>1</v>
      </c>
      <c r="I1343" t="s">
        <v>181</v>
      </c>
      <c r="J1343">
        <v>3</v>
      </c>
      <c r="K1343" s="6">
        <v>9.3699999999999992</v>
      </c>
      <c r="L1343" t="s">
        <v>174</v>
      </c>
      <c r="M1343">
        <v>0</v>
      </c>
      <c r="N1343" t="s">
        <v>175</v>
      </c>
      <c r="O1343">
        <v>1</v>
      </c>
      <c r="P1343">
        <v>0</v>
      </c>
      <c r="Q1343" s="6">
        <v>46.4</v>
      </c>
      <c r="R1343">
        <v>0</v>
      </c>
      <c r="S1343" s="6">
        <v>0</v>
      </c>
      <c r="T1343">
        <v>0</v>
      </c>
      <c r="U1343" s="6">
        <v>7025</v>
      </c>
      <c r="V1343">
        <v>0</v>
      </c>
      <c r="W1343">
        <v>0</v>
      </c>
      <c r="X1343">
        <v>0</v>
      </c>
      <c r="Y1343" s="6">
        <v>53.1</v>
      </c>
      <c r="Z1343">
        <v>4.7E-2</v>
      </c>
      <c r="AA1343">
        <v>8.7999999999999995E-2</v>
      </c>
      <c r="AB1343">
        <v>9.1999999999999998E-2</v>
      </c>
      <c r="AC1343">
        <v>6</v>
      </c>
      <c r="AD1343" s="6">
        <v>60</v>
      </c>
      <c r="AE1343" s="6">
        <v>0</v>
      </c>
      <c r="AF1343" s="6">
        <v>0</v>
      </c>
      <c r="AG1343" s="6">
        <v>96.05</v>
      </c>
      <c r="AH1343" s="6">
        <v>121.57</v>
      </c>
      <c r="AI1343" s="6">
        <f t="shared" si="40"/>
        <v>25.519999999999996</v>
      </c>
      <c r="AJ1343" s="5">
        <f t="shared" si="41"/>
        <v>0.20992021057826765</v>
      </c>
    </row>
    <row r="1344" spans="1:36">
      <c r="A1344" t="s">
        <v>223</v>
      </c>
      <c r="B1344" t="s">
        <v>1629</v>
      </c>
      <c r="C1344" t="s">
        <v>88</v>
      </c>
      <c r="D1344" t="s">
        <v>77</v>
      </c>
      <c r="E1344" t="s">
        <v>55</v>
      </c>
      <c r="F1344">
        <v>0</v>
      </c>
      <c r="G1344">
        <v>3259</v>
      </c>
      <c r="H1344">
        <v>1</v>
      </c>
      <c r="I1344" t="s">
        <v>173</v>
      </c>
      <c r="J1344">
        <v>1</v>
      </c>
      <c r="K1344" s="6">
        <v>2.23</v>
      </c>
      <c r="L1344" t="s">
        <v>174</v>
      </c>
      <c r="M1344">
        <v>0</v>
      </c>
      <c r="N1344" t="s">
        <v>175</v>
      </c>
      <c r="O1344">
        <v>1</v>
      </c>
      <c r="P1344">
        <v>0</v>
      </c>
      <c r="Q1344" s="6">
        <v>23.7</v>
      </c>
      <c r="R1344">
        <v>0</v>
      </c>
      <c r="S1344" s="6">
        <v>0</v>
      </c>
      <c r="T1344">
        <v>0</v>
      </c>
      <c r="U1344" s="6">
        <v>2128</v>
      </c>
      <c r="V1344">
        <v>0</v>
      </c>
      <c r="W1344">
        <v>0</v>
      </c>
      <c r="X1344">
        <v>0</v>
      </c>
      <c r="Y1344" s="6">
        <v>53.1</v>
      </c>
      <c r="Z1344">
        <v>4.7E-2</v>
      </c>
      <c r="AA1344">
        <v>8.7999999999999995E-2</v>
      </c>
      <c r="AB1344">
        <v>9.1999999999999998E-2</v>
      </c>
      <c r="AC1344">
        <v>6</v>
      </c>
      <c r="AD1344" s="6">
        <v>50</v>
      </c>
      <c r="AE1344" s="6">
        <v>0</v>
      </c>
      <c r="AF1344" s="6">
        <v>0</v>
      </c>
      <c r="AG1344" s="6">
        <v>48.31</v>
      </c>
      <c r="AH1344" s="6">
        <v>60.84</v>
      </c>
      <c r="AI1344" s="6">
        <f t="shared" si="40"/>
        <v>12.530000000000001</v>
      </c>
      <c r="AJ1344" s="5">
        <f t="shared" si="41"/>
        <v>0.20595003287310981</v>
      </c>
    </row>
    <row r="1345" spans="1:36">
      <c r="A1345" t="s">
        <v>212</v>
      </c>
      <c r="B1345" t="s">
        <v>1630</v>
      </c>
      <c r="C1345" t="s">
        <v>88</v>
      </c>
      <c r="D1345" t="s">
        <v>77</v>
      </c>
      <c r="E1345" t="s">
        <v>55</v>
      </c>
      <c r="F1345">
        <v>0</v>
      </c>
      <c r="G1345">
        <v>3259</v>
      </c>
      <c r="H1345">
        <v>1</v>
      </c>
      <c r="I1345" t="s">
        <v>181</v>
      </c>
      <c r="J1345">
        <v>3</v>
      </c>
      <c r="K1345" s="6">
        <v>4.5199999999999996</v>
      </c>
      <c r="L1345" t="s">
        <v>174</v>
      </c>
      <c r="M1345">
        <v>0</v>
      </c>
      <c r="N1345" t="s">
        <v>217</v>
      </c>
      <c r="O1345">
        <v>4</v>
      </c>
      <c r="P1345">
        <v>1</v>
      </c>
      <c r="Q1345" s="6">
        <v>123</v>
      </c>
      <c r="R1345">
        <v>0</v>
      </c>
      <c r="S1345" s="6">
        <v>0</v>
      </c>
      <c r="T1345">
        <v>0</v>
      </c>
      <c r="U1345" s="6">
        <v>2517</v>
      </c>
      <c r="V1345">
        <v>0</v>
      </c>
      <c r="W1345">
        <v>0</v>
      </c>
      <c r="X1345">
        <v>0</v>
      </c>
      <c r="Y1345" s="6">
        <v>53.1</v>
      </c>
      <c r="Z1345">
        <v>4.7E-2</v>
      </c>
      <c r="AA1345">
        <v>8.7999999999999995E-2</v>
      </c>
      <c r="AB1345">
        <v>9.1999999999999998E-2</v>
      </c>
      <c r="AC1345">
        <v>6</v>
      </c>
      <c r="AD1345" s="6">
        <v>60</v>
      </c>
      <c r="AE1345" s="6">
        <v>0</v>
      </c>
      <c r="AF1345" s="6">
        <v>0</v>
      </c>
      <c r="AG1345" s="6">
        <v>124.99</v>
      </c>
      <c r="AH1345" s="6">
        <v>160.04</v>
      </c>
      <c r="AI1345" s="6">
        <f t="shared" si="40"/>
        <v>35.049999999999997</v>
      </c>
      <c r="AJ1345" s="5">
        <f t="shared" si="41"/>
        <v>0.21900774806298426</v>
      </c>
    </row>
    <row r="1346" spans="1:36">
      <c r="A1346" t="s">
        <v>183</v>
      </c>
      <c r="B1346" t="s">
        <v>1631</v>
      </c>
      <c r="C1346" t="s">
        <v>90</v>
      </c>
      <c r="D1346" t="s">
        <v>68</v>
      </c>
      <c r="E1346" t="s">
        <v>55</v>
      </c>
      <c r="F1346">
        <v>0</v>
      </c>
      <c r="G1346">
        <v>5317</v>
      </c>
      <c r="H1346">
        <v>1</v>
      </c>
      <c r="I1346" t="s">
        <v>220</v>
      </c>
      <c r="J1346">
        <v>2</v>
      </c>
      <c r="K1346" s="6">
        <v>5.57</v>
      </c>
      <c r="L1346" t="s">
        <v>174</v>
      </c>
      <c r="M1346">
        <v>0</v>
      </c>
      <c r="N1346" t="s">
        <v>217</v>
      </c>
      <c r="O1346">
        <v>4</v>
      </c>
      <c r="P1346">
        <v>1</v>
      </c>
      <c r="Q1346" s="6">
        <v>139</v>
      </c>
      <c r="R1346">
        <v>1</v>
      </c>
      <c r="S1346" s="6">
        <v>876</v>
      </c>
      <c r="T1346">
        <v>0</v>
      </c>
      <c r="U1346" s="6">
        <v>5020</v>
      </c>
      <c r="V1346">
        <v>0</v>
      </c>
      <c r="W1346">
        <v>0</v>
      </c>
      <c r="X1346">
        <v>0</v>
      </c>
      <c r="Y1346" s="6">
        <v>51.7</v>
      </c>
      <c r="Z1346">
        <v>1.7999999999999999E-2</v>
      </c>
      <c r="AA1346">
        <v>8.7999999999999995E-2</v>
      </c>
      <c r="AB1346">
        <v>7.8E-2</v>
      </c>
      <c r="AC1346">
        <v>6</v>
      </c>
      <c r="AD1346" s="6">
        <v>50</v>
      </c>
      <c r="AE1346" s="6">
        <v>25</v>
      </c>
      <c r="AF1346" s="6">
        <v>0</v>
      </c>
      <c r="AG1346" s="6">
        <v>107.21</v>
      </c>
      <c r="AH1346" s="6">
        <v>130.58000000000001</v>
      </c>
      <c r="AI1346" s="6">
        <f t="shared" ref="AI1346:AI1409" si="42">AH1346-AG1346</f>
        <v>23.370000000000019</v>
      </c>
      <c r="AJ1346" s="5">
        <f t="shared" ref="AJ1346:AJ1409" si="43">IFERROR(AI1346/AH1346,0)</f>
        <v>0.17897074590289491</v>
      </c>
    </row>
    <row r="1347" spans="1:36">
      <c r="A1347" t="s">
        <v>311</v>
      </c>
      <c r="B1347" t="s">
        <v>1632</v>
      </c>
      <c r="C1347" t="s">
        <v>90</v>
      </c>
      <c r="D1347" t="s">
        <v>68</v>
      </c>
      <c r="E1347" t="s">
        <v>55</v>
      </c>
      <c r="F1347">
        <v>0</v>
      </c>
      <c r="G1347">
        <v>5317</v>
      </c>
      <c r="H1347">
        <v>1</v>
      </c>
      <c r="I1347" t="s">
        <v>181</v>
      </c>
      <c r="J1347">
        <v>3</v>
      </c>
      <c r="K1347" s="6">
        <v>4.8</v>
      </c>
      <c r="L1347" t="s">
        <v>174</v>
      </c>
      <c r="M1347">
        <v>0</v>
      </c>
      <c r="N1347" t="s">
        <v>175</v>
      </c>
      <c r="O1347">
        <v>1</v>
      </c>
      <c r="P1347">
        <v>1</v>
      </c>
      <c r="Q1347" s="6">
        <v>29.8</v>
      </c>
      <c r="R1347">
        <v>0</v>
      </c>
      <c r="S1347" s="6">
        <v>0</v>
      </c>
      <c r="T1347">
        <v>0</v>
      </c>
      <c r="U1347" s="6">
        <v>13824</v>
      </c>
      <c r="V1347">
        <v>0</v>
      </c>
      <c r="W1347">
        <v>0</v>
      </c>
      <c r="X1347">
        <v>0</v>
      </c>
      <c r="Y1347" s="6">
        <v>51.7</v>
      </c>
      <c r="Z1347">
        <v>1.7999999999999999E-2</v>
      </c>
      <c r="AA1347">
        <v>8.7999999999999995E-2</v>
      </c>
      <c r="AB1347">
        <v>7.8E-2</v>
      </c>
      <c r="AC1347">
        <v>6</v>
      </c>
      <c r="AD1347" s="6">
        <v>60</v>
      </c>
      <c r="AE1347" s="6">
        <v>0</v>
      </c>
      <c r="AF1347" s="6">
        <v>0</v>
      </c>
      <c r="AG1347" s="6">
        <v>92.71</v>
      </c>
      <c r="AH1347" s="6">
        <v>111.23</v>
      </c>
      <c r="AI1347" s="6">
        <f t="shared" si="42"/>
        <v>18.52000000000001</v>
      </c>
      <c r="AJ1347" s="5">
        <f t="shared" si="43"/>
        <v>0.16650184302796017</v>
      </c>
    </row>
    <row r="1348" spans="1:36">
      <c r="A1348" t="s">
        <v>403</v>
      </c>
      <c r="B1348" t="s">
        <v>1633</v>
      </c>
      <c r="C1348" t="s">
        <v>90</v>
      </c>
      <c r="D1348" t="s">
        <v>68</v>
      </c>
      <c r="E1348" t="s">
        <v>55</v>
      </c>
      <c r="F1348">
        <v>0</v>
      </c>
      <c r="G1348">
        <v>5317</v>
      </c>
      <c r="H1348">
        <v>1</v>
      </c>
      <c r="I1348" t="s">
        <v>178</v>
      </c>
      <c r="J1348">
        <v>4</v>
      </c>
      <c r="K1348" s="6">
        <v>10.73</v>
      </c>
      <c r="L1348" t="s">
        <v>174</v>
      </c>
      <c r="M1348">
        <v>0</v>
      </c>
      <c r="N1348" t="s">
        <v>175</v>
      </c>
      <c r="O1348">
        <v>1</v>
      </c>
      <c r="P1348">
        <v>0</v>
      </c>
      <c r="Q1348" s="6">
        <v>33.200000000000003</v>
      </c>
      <c r="R1348">
        <v>1</v>
      </c>
      <c r="S1348" s="6">
        <v>1461</v>
      </c>
      <c r="T1348">
        <v>0</v>
      </c>
      <c r="U1348" s="6">
        <v>9514</v>
      </c>
      <c r="V1348">
        <v>1</v>
      </c>
      <c r="W1348">
        <v>0</v>
      </c>
      <c r="X1348">
        <v>0</v>
      </c>
      <c r="Y1348" s="6">
        <v>51.7</v>
      </c>
      <c r="Z1348">
        <v>1.7999999999999999E-2</v>
      </c>
      <c r="AA1348">
        <v>8.7999999999999995E-2</v>
      </c>
      <c r="AB1348">
        <v>7.8E-2</v>
      </c>
      <c r="AC1348">
        <v>6</v>
      </c>
      <c r="AD1348" s="6">
        <v>65</v>
      </c>
      <c r="AE1348" s="6">
        <v>25</v>
      </c>
      <c r="AF1348" s="6">
        <v>0</v>
      </c>
      <c r="AG1348" s="6">
        <v>159.1</v>
      </c>
      <c r="AH1348" s="6">
        <v>191.05</v>
      </c>
      <c r="AI1348" s="6">
        <f t="shared" si="42"/>
        <v>31.950000000000017</v>
      </c>
      <c r="AJ1348" s="5">
        <f t="shared" si="43"/>
        <v>0.16723370845328456</v>
      </c>
    </row>
    <row r="1349" spans="1:36">
      <c r="A1349" t="s">
        <v>296</v>
      </c>
      <c r="B1349" t="s">
        <v>1634</v>
      </c>
      <c r="C1349" t="s">
        <v>90</v>
      </c>
      <c r="D1349" t="s">
        <v>68</v>
      </c>
      <c r="E1349" t="s">
        <v>55</v>
      </c>
      <c r="F1349">
        <v>0</v>
      </c>
      <c r="G1349">
        <v>5317</v>
      </c>
      <c r="H1349">
        <v>1</v>
      </c>
      <c r="I1349" t="s">
        <v>178</v>
      </c>
      <c r="J1349">
        <v>4</v>
      </c>
      <c r="K1349" s="6">
        <v>13.58</v>
      </c>
      <c r="L1349" t="s">
        <v>174</v>
      </c>
      <c r="M1349">
        <v>0</v>
      </c>
      <c r="N1349" t="s">
        <v>182</v>
      </c>
      <c r="O1349">
        <v>3</v>
      </c>
      <c r="P1349">
        <v>0</v>
      </c>
      <c r="Q1349" s="6">
        <v>71.8</v>
      </c>
      <c r="R1349">
        <v>0</v>
      </c>
      <c r="S1349" s="6">
        <v>0</v>
      </c>
      <c r="T1349">
        <v>0</v>
      </c>
      <c r="U1349" s="6">
        <v>4785</v>
      </c>
      <c r="V1349">
        <v>0</v>
      </c>
      <c r="W1349">
        <v>0</v>
      </c>
      <c r="X1349">
        <v>0</v>
      </c>
      <c r="Y1349" s="6">
        <v>51.7</v>
      </c>
      <c r="Z1349">
        <v>1.7999999999999999E-2</v>
      </c>
      <c r="AA1349">
        <v>8.7999999999999995E-2</v>
      </c>
      <c r="AB1349">
        <v>7.8E-2</v>
      </c>
      <c r="AC1349">
        <v>6</v>
      </c>
      <c r="AD1349" s="6">
        <v>65</v>
      </c>
      <c r="AE1349" s="6">
        <v>0</v>
      </c>
      <c r="AF1349" s="6">
        <v>0</v>
      </c>
      <c r="AG1349" s="6">
        <v>124.55</v>
      </c>
      <c r="AH1349" s="6">
        <v>149.22999999999999</v>
      </c>
      <c r="AI1349" s="6">
        <f t="shared" si="42"/>
        <v>24.679999999999993</v>
      </c>
      <c r="AJ1349" s="5">
        <f t="shared" si="43"/>
        <v>0.16538229578502978</v>
      </c>
    </row>
    <row r="1350" spans="1:36">
      <c r="A1350" t="s">
        <v>311</v>
      </c>
      <c r="B1350" t="s">
        <v>1635</v>
      </c>
      <c r="C1350" t="s">
        <v>90</v>
      </c>
      <c r="D1350" t="s">
        <v>68</v>
      </c>
      <c r="E1350" t="s">
        <v>55</v>
      </c>
      <c r="F1350">
        <v>0</v>
      </c>
      <c r="G1350">
        <v>5317</v>
      </c>
      <c r="H1350">
        <v>1</v>
      </c>
      <c r="I1350" t="s">
        <v>181</v>
      </c>
      <c r="J1350">
        <v>3</v>
      </c>
      <c r="K1350" s="6">
        <v>10.24</v>
      </c>
      <c r="L1350" t="s">
        <v>174</v>
      </c>
      <c r="M1350">
        <v>0</v>
      </c>
      <c r="N1350" t="s">
        <v>175</v>
      </c>
      <c r="O1350">
        <v>1</v>
      </c>
      <c r="P1350">
        <v>1</v>
      </c>
      <c r="Q1350" s="6">
        <v>37.700000000000003</v>
      </c>
      <c r="R1350">
        <v>0</v>
      </c>
      <c r="S1350" s="6">
        <v>0</v>
      </c>
      <c r="T1350">
        <v>0</v>
      </c>
      <c r="U1350" s="6">
        <v>5826</v>
      </c>
      <c r="V1350">
        <v>0</v>
      </c>
      <c r="W1350">
        <v>0</v>
      </c>
      <c r="X1350">
        <v>0</v>
      </c>
      <c r="Y1350" s="6">
        <v>51.7</v>
      </c>
      <c r="Z1350">
        <v>1.7999999999999999E-2</v>
      </c>
      <c r="AA1350">
        <v>8.7999999999999995E-2</v>
      </c>
      <c r="AB1350">
        <v>7.8E-2</v>
      </c>
      <c r="AC1350">
        <v>6</v>
      </c>
      <c r="AD1350" s="6">
        <v>60</v>
      </c>
      <c r="AE1350" s="6">
        <v>0</v>
      </c>
      <c r="AF1350" s="6">
        <v>0</v>
      </c>
      <c r="AG1350" s="6">
        <v>114.77</v>
      </c>
      <c r="AH1350" s="6">
        <v>141.5</v>
      </c>
      <c r="AI1350" s="6">
        <f t="shared" si="42"/>
        <v>26.730000000000004</v>
      </c>
      <c r="AJ1350" s="5">
        <f t="shared" si="43"/>
        <v>0.18890459363957601</v>
      </c>
    </row>
    <row r="1351" spans="1:36">
      <c r="A1351" t="s">
        <v>353</v>
      </c>
      <c r="B1351" t="s">
        <v>1636</v>
      </c>
      <c r="C1351" t="s">
        <v>90</v>
      </c>
      <c r="D1351" t="s">
        <v>68</v>
      </c>
      <c r="E1351" t="s">
        <v>55</v>
      </c>
      <c r="F1351">
        <v>0</v>
      </c>
      <c r="G1351">
        <v>5317</v>
      </c>
      <c r="H1351">
        <v>1</v>
      </c>
      <c r="I1351" t="s">
        <v>181</v>
      </c>
      <c r="J1351">
        <v>3</v>
      </c>
      <c r="K1351" s="6">
        <v>8.84</v>
      </c>
      <c r="L1351" t="s">
        <v>174</v>
      </c>
      <c r="M1351">
        <v>0</v>
      </c>
      <c r="N1351" t="s">
        <v>175</v>
      </c>
      <c r="O1351">
        <v>1</v>
      </c>
      <c r="P1351">
        <v>0</v>
      </c>
      <c r="Q1351" s="6">
        <v>26</v>
      </c>
      <c r="R1351">
        <v>1</v>
      </c>
      <c r="S1351" s="6">
        <v>1314</v>
      </c>
      <c r="T1351">
        <v>0</v>
      </c>
      <c r="U1351" s="6">
        <v>8077</v>
      </c>
      <c r="V1351">
        <v>0</v>
      </c>
      <c r="W1351">
        <v>0</v>
      </c>
      <c r="X1351">
        <v>0</v>
      </c>
      <c r="Y1351" s="6">
        <v>51.7</v>
      </c>
      <c r="Z1351">
        <v>1.7999999999999999E-2</v>
      </c>
      <c r="AA1351">
        <v>8.7999999999999995E-2</v>
      </c>
      <c r="AB1351">
        <v>7.8E-2</v>
      </c>
      <c r="AC1351">
        <v>6</v>
      </c>
      <c r="AD1351" s="6">
        <v>60</v>
      </c>
      <c r="AE1351" s="6">
        <v>25</v>
      </c>
      <c r="AF1351" s="6">
        <v>0</v>
      </c>
      <c r="AG1351" s="6">
        <v>94.02</v>
      </c>
      <c r="AH1351" s="6">
        <v>113.61</v>
      </c>
      <c r="AI1351" s="6">
        <f t="shared" si="42"/>
        <v>19.590000000000003</v>
      </c>
      <c r="AJ1351" s="5">
        <f t="shared" si="43"/>
        <v>0.17243200422498023</v>
      </c>
    </row>
    <row r="1352" spans="1:36">
      <c r="A1352" t="s">
        <v>258</v>
      </c>
      <c r="B1352" t="s">
        <v>1637</v>
      </c>
      <c r="C1352" t="s">
        <v>90</v>
      </c>
      <c r="D1352" t="s">
        <v>68</v>
      </c>
      <c r="E1352" t="s">
        <v>55</v>
      </c>
      <c r="F1352">
        <v>0</v>
      </c>
      <c r="G1352">
        <v>5317</v>
      </c>
      <c r="H1352">
        <v>1</v>
      </c>
      <c r="I1352" t="s">
        <v>181</v>
      </c>
      <c r="J1352">
        <v>3</v>
      </c>
      <c r="K1352" s="6">
        <v>7.39</v>
      </c>
      <c r="L1352" t="s">
        <v>200</v>
      </c>
      <c r="M1352">
        <v>1</v>
      </c>
      <c r="N1352" t="s">
        <v>175</v>
      </c>
      <c r="O1352">
        <v>1</v>
      </c>
      <c r="P1352">
        <v>0</v>
      </c>
      <c r="Q1352" s="6">
        <v>35.299999999999997</v>
      </c>
      <c r="R1352">
        <v>1</v>
      </c>
      <c r="S1352" s="6">
        <v>258</v>
      </c>
      <c r="T1352">
        <v>0</v>
      </c>
      <c r="U1352" s="6">
        <v>3049</v>
      </c>
      <c r="V1352">
        <v>0</v>
      </c>
      <c r="W1352">
        <v>0</v>
      </c>
      <c r="X1352">
        <v>0</v>
      </c>
      <c r="Y1352" s="6">
        <v>51.7</v>
      </c>
      <c r="Z1352">
        <v>1.7999999999999999E-2</v>
      </c>
      <c r="AA1352">
        <v>8.7999999999999995E-2</v>
      </c>
      <c r="AB1352">
        <v>7.8E-2</v>
      </c>
      <c r="AC1352">
        <v>6</v>
      </c>
      <c r="AD1352" s="6">
        <v>139</v>
      </c>
      <c r="AE1352" s="6">
        <v>25</v>
      </c>
      <c r="AF1352" s="6">
        <v>0</v>
      </c>
      <c r="AG1352" s="6">
        <v>107.18</v>
      </c>
      <c r="AH1352" s="6">
        <v>142.09</v>
      </c>
      <c r="AI1352" s="6">
        <f t="shared" si="42"/>
        <v>34.909999999999997</v>
      </c>
      <c r="AJ1352" s="5">
        <f t="shared" si="43"/>
        <v>0.24568935181926946</v>
      </c>
    </row>
    <row r="1353" spans="1:36">
      <c r="A1353" t="s">
        <v>300</v>
      </c>
      <c r="B1353" t="s">
        <v>1638</v>
      </c>
      <c r="C1353" t="s">
        <v>90</v>
      </c>
      <c r="D1353" t="s">
        <v>68</v>
      </c>
      <c r="E1353" t="s">
        <v>55</v>
      </c>
      <c r="F1353">
        <v>0</v>
      </c>
      <c r="G1353">
        <v>5317</v>
      </c>
      <c r="H1353">
        <v>1</v>
      </c>
      <c r="I1353" t="s">
        <v>173</v>
      </c>
      <c r="J1353">
        <v>1</v>
      </c>
      <c r="K1353" s="6">
        <v>1.79</v>
      </c>
      <c r="L1353" t="s">
        <v>174</v>
      </c>
      <c r="M1353">
        <v>0</v>
      </c>
      <c r="N1353" t="s">
        <v>217</v>
      </c>
      <c r="O1353">
        <v>4</v>
      </c>
      <c r="P1353">
        <v>1</v>
      </c>
      <c r="Q1353" s="6">
        <v>233.1</v>
      </c>
      <c r="R1353">
        <v>0</v>
      </c>
      <c r="S1353" s="6">
        <v>0</v>
      </c>
      <c r="T1353">
        <v>0</v>
      </c>
      <c r="U1353" s="6">
        <v>6163</v>
      </c>
      <c r="V1353">
        <v>0</v>
      </c>
      <c r="W1353">
        <v>0</v>
      </c>
      <c r="X1353">
        <v>0</v>
      </c>
      <c r="Y1353" s="6">
        <v>51.7</v>
      </c>
      <c r="Z1353">
        <v>1.7999999999999999E-2</v>
      </c>
      <c r="AA1353">
        <v>8.7999999999999995E-2</v>
      </c>
      <c r="AB1353">
        <v>7.8E-2</v>
      </c>
      <c r="AC1353">
        <v>6</v>
      </c>
      <c r="AD1353" s="6">
        <v>50</v>
      </c>
      <c r="AE1353" s="6">
        <v>0</v>
      </c>
      <c r="AF1353" s="6">
        <v>0</v>
      </c>
      <c r="AG1353" s="6">
        <v>90.28</v>
      </c>
      <c r="AH1353" s="6">
        <v>111.44</v>
      </c>
      <c r="AI1353" s="6">
        <f t="shared" si="42"/>
        <v>21.159999999999997</v>
      </c>
      <c r="AJ1353" s="5">
        <f t="shared" si="43"/>
        <v>0.18987796123474512</v>
      </c>
    </row>
    <row r="1354" spans="1:36">
      <c r="A1354" t="s">
        <v>537</v>
      </c>
      <c r="B1354" t="s">
        <v>1639</v>
      </c>
      <c r="C1354" t="s">
        <v>90</v>
      </c>
      <c r="D1354" t="s">
        <v>68</v>
      </c>
      <c r="E1354" t="s">
        <v>55</v>
      </c>
      <c r="F1354">
        <v>0</v>
      </c>
      <c r="G1354">
        <v>5317</v>
      </c>
      <c r="H1354">
        <v>1</v>
      </c>
      <c r="I1354" t="s">
        <v>181</v>
      </c>
      <c r="J1354">
        <v>3</v>
      </c>
      <c r="K1354" s="6">
        <v>5.36</v>
      </c>
      <c r="L1354" t="s">
        <v>174</v>
      </c>
      <c r="M1354">
        <v>0</v>
      </c>
      <c r="N1354" t="s">
        <v>182</v>
      </c>
      <c r="O1354">
        <v>3</v>
      </c>
      <c r="P1354">
        <v>1</v>
      </c>
      <c r="Q1354" s="6">
        <v>74.599999999999994</v>
      </c>
      <c r="R1354">
        <v>0</v>
      </c>
      <c r="S1354" s="6">
        <v>0</v>
      </c>
      <c r="T1354">
        <v>0</v>
      </c>
      <c r="U1354" s="6">
        <v>9857</v>
      </c>
      <c r="V1354">
        <v>0</v>
      </c>
      <c r="W1354">
        <v>0</v>
      </c>
      <c r="X1354">
        <v>0</v>
      </c>
      <c r="Y1354" s="6">
        <v>51.7</v>
      </c>
      <c r="Z1354">
        <v>1.7999999999999999E-2</v>
      </c>
      <c r="AA1354">
        <v>8.7999999999999995E-2</v>
      </c>
      <c r="AB1354">
        <v>7.8E-2</v>
      </c>
      <c r="AC1354">
        <v>6</v>
      </c>
      <c r="AD1354" s="6">
        <v>60</v>
      </c>
      <c r="AE1354" s="6">
        <v>0</v>
      </c>
      <c r="AF1354" s="6">
        <v>0</v>
      </c>
      <c r="AG1354" s="6">
        <v>98.63</v>
      </c>
      <c r="AH1354" s="6">
        <v>122.23</v>
      </c>
      <c r="AI1354" s="6">
        <f t="shared" si="42"/>
        <v>23.600000000000009</v>
      </c>
      <c r="AJ1354" s="5">
        <f t="shared" si="43"/>
        <v>0.19307862226949202</v>
      </c>
    </row>
    <row r="1355" spans="1:36">
      <c r="A1355" t="s">
        <v>328</v>
      </c>
      <c r="B1355" t="s">
        <v>1640</v>
      </c>
      <c r="C1355" t="s">
        <v>90</v>
      </c>
      <c r="D1355" t="s">
        <v>68</v>
      </c>
      <c r="E1355" t="s">
        <v>55</v>
      </c>
      <c r="F1355">
        <v>0</v>
      </c>
      <c r="G1355">
        <v>5317</v>
      </c>
      <c r="H1355">
        <v>1</v>
      </c>
      <c r="I1355" t="s">
        <v>181</v>
      </c>
      <c r="J1355">
        <v>3</v>
      </c>
      <c r="K1355" s="6">
        <v>8.6</v>
      </c>
      <c r="L1355" t="s">
        <v>200</v>
      </c>
      <c r="M1355">
        <v>1</v>
      </c>
      <c r="N1355" t="s">
        <v>217</v>
      </c>
      <c r="O1355">
        <v>4</v>
      </c>
      <c r="P1355">
        <v>1</v>
      </c>
      <c r="Q1355" s="6">
        <v>123</v>
      </c>
      <c r="R1355">
        <v>0</v>
      </c>
      <c r="S1355" s="6">
        <v>0</v>
      </c>
      <c r="T1355">
        <v>0</v>
      </c>
      <c r="U1355" s="6">
        <v>4298</v>
      </c>
      <c r="V1355">
        <v>0</v>
      </c>
      <c r="W1355">
        <v>0</v>
      </c>
      <c r="X1355">
        <v>0</v>
      </c>
      <c r="Y1355" s="6">
        <v>51.7</v>
      </c>
      <c r="Z1355">
        <v>1.7999999999999999E-2</v>
      </c>
      <c r="AA1355">
        <v>8.7999999999999995E-2</v>
      </c>
      <c r="AB1355">
        <v>7.8E-2</v>
      </c>
      <c r="AC1355">
        <v>6</v>
      </c>
      <c r="AD1355" s="6">
        <v>139</v>
      </c>
      <c r="AE1355" s="6">
        <v>0</v>
      </c>
      <c r="AF1355" s="6">
        <v>0</v>
      </c>
      <c r="AG1355" s="6">
        <v>187.31</v>
      </c>
      <c r="AH1355" s="6">
        <v>223.47</v>
      </c>
      <c r="AI1355" s="6">
        <f t="shared" si="42"/>
        <v>36.159999999999997</v>
      </c>
      <c r="AJ1355" s="5">
        <f t="shared" si="43"/>
        <v>0.16181142882713562</v>
      </c>
    </row>
    <row r="1356" spans="1:36">
      <c r="A1356" t="s">
        <v>311</v>
      </c>
      <c r="B1356" t="s">
        <v>1641</v>
      </c>
      <c r="C1356" t="s">
        <v>90</v>
      </c>
      <c r="D1356" t="s">
        <v>68</v>
      </c>
      <c r="E1356" t="s">
        <v>55</v>
      </c>
      <c r="F1356">
        <v>0</v>
      </c>
      <c r="G1356">
        <v>5317</v>
      </c>
      <c r="H1356">
        <v>1</v>
      </c>
      <c r="I1356" t="s">
        <v>173</v>
      </c>
      <c r="J1356">
        <v>1</v>
      </c>
      <c r="K1356" s="6">
        <v>2.1800000000000002</v>
      </c>
      <c r="L1356" t="s">
        <v>174</v>
      </c>
      <c r="M1356">
        <v>0</v>
      </c>
      <c r="N1356" t="s">
        <v>182</v>
      </c>
      <c r="O1356">
        <v>3</v>
      </c>
      <c r="P1356">
        <v>0</v>
      </c>
      <c r="Q1356" s="6">
        <v>58.6</v>
      </c>
      <c r="R1356">
        <v>0</v>
      </c>
      <c r="S1356" s="6">
        <v>0</v>
      </c>
      <c r="T1356">
        <v>0</v>
      </c>
      <c r="U1356" s="6">
        <v>5930</v>
      </c>
      <c r="V1356">
        <v>0</v>
      </c>
      <c r="W1356">
        <v>0</v>
      </c>
      <c r="X1356">
        <v>0</v>
      </c>
      <c r="Y1356" s="6">
        <v>51.7</v>
      </c>
      <c r="Z1356">
        <v>1.7999999999999999E-2</v>
      </c>
      <c r="AA1356">
        <v>8.7999999999999995E-2</v>
      </c>
      <c r="AB1356">
        <v>7.8E-2</v>
      </c>
      <c r="AC1356">
        <v>6</v>
      </c>
      <c r="AD1356" s="6">
        <v>50</v>
      </c>
      <c r="AE1356" s="6">
        <v>0</v>
      </c>
      <c r="AF1356" s="6">
        <v>0</v>
      </c>
      <c r="AG1356" s="6">
        <v>59.71</v>
      </c>
      <c r="AH1356" s="6">
        <v>74.06</v>
      </c>
      <c r="AI1356" s="6">
        <f t="shared" si="42"/>
        <v>14.350000000000001</v>
      </c>
      <c r="AJ1356" s="5">
        <f t="shared" si="43"/>
        <v>0.19376181474480153</v>
      </c>
    </row>
    <row r="1357" spans="1:36">
      <c r="A1357" t="s">
        <v>343</v>
      </c>
      <c r="B1357" t="s">
        <v>1642</v>
      </c>
      <c r="C1357" t="s">
        <v>90</v>
      </c>
      <c r="D1357" t="s">
        <v>68</v>
      </c>
      <c r="E1357" t="s">
        <v>55</v>
      </c>
      <c r="F1357">
        <v>0</v>
      </c>
      <c r="G1357">
        <v>5317</v>
      </c>
      <c r="H1357">
        <v>1</v>
      </c>
      <c r="I1357" t="s">
        <v>181</v>
      </c>
      <c r="J1357">
        <v>3</v>
      </c>
      <c r="K1357" s="6">
        <v>9.35</v>
      </c>
      <c r="L1357" t="s">
        <v>174</v>
      </c>
      <c r="M1357">
        <v>0</v>
      </c>
      <c r="N1357" t="s">
        <v>187</v>
      </c>
      <c r="O1357">
        <v>2</v>
      </c>
      <c r="P1357">
        <v>0</v>
      </c>
      <c r="Q1357" s="6">
        <v>51.2</v>
      </c>
      <c r="R1357">
        <v>0</v>
      </c>
      <c r="S1357" s="6">
        <v>0</v>
      </c>
      <c r="T1357">
        <v>0</v>
      </c>
      <c r="U1357" s="6">
        <v>3420</v>
      </c>
      <c r="V1357">
        <v>0</v>
      </c>
      <c r="W1357">
        <v>0</v>
      </c>
      <c r="X1357">
        <v>0</v>
      </c>
      <c r="Y1357" s="6">
        <v>51.7</v>
      </c>
      <c r="Z1357">
        <v>1.7999999999999999E-2</v>
      </c>
      <c r="AA1357">
        <v>8.7999999999999995E-2</v>
      </c>
      <c r="AB1357">
        <v>7.8E-2</v>
      </c>
      <c r="AC1357">
        <v>6</v>
      </c>
      <c r="AD1357" s="6">
        <v>60</v>
      </c>
      <c r="AE1357" s="6">
        <v>0</v>
      </c>
      <c r="AF1357" s="6">
        <v>0</v>
      </c>
      <c r="AG1357" s="6">
        <v>85.98</v>
      </c>
      <c r="AH1357" s="6">
        <v>107.28</v>
      </c>
      <c r="AI1357" s="6">
        <f t="shared" si="42"/>
        <v>21.299999999999997</v>
      </c>
      <c r="AJ1357" s="5">
        <f t="shared" si="43"/>
        <v>0.19854586129753912</v>
      </c>
    </row>
    <row r="1358" spans="1:36">
      <c r="A1358" t="s">
        <v>411</v>
      </c>
      <c r="B1358" t="s">
        <v>1643</v>
      </c>
      <c r="C1358" t="s">
        <v>90</v>
      </c>
      <c r="D1358" t="s">
        <v>68</v>
      </c>
      <c r="E1358" t="s">
        <v>55</v>
      </c>
      <c r="F1358">
        <v>0</v>
      </c>
      <c r="G1358">
        <v>5317</v>
      </c>
      <c r="H1358">
        <v>1</v>
      </c>
      <c r="I1358" t="s">
        <v>173</v>
      </c>
      <c r="J1358">
        <v>1</v>
      </c>
      <c r="K1358" s="6">
        <v>0.74</v>
      </c>
      <c r="L1358" t="s">
        <v>174</v>
      </c>
      <c r="M1358">
        <v>0</v>
      </c>
      <c r="N1358" t="s">
        <v>175</v>
      </c>
      <c r="O1358">
        <v>1</v>
      </c>
      <c r="P1358">
        <v>0</v>
      </c>
      <c r="Q1358" s="6">
        <v>28.8</v>
      </c>
      <c r="R1358">
        <v>1</v>
      </c>
      <c r="S1358" s="6">
        <v>466</v>
      </c>
      <c r="T1358">
        <v>0</v>
      </c>
      <c r="U1358" s="6">
        <v>3420</v>
      </c>
      <c r="V1358">
        <v>1</v>
      </c>
      <c r="W1358">
        <v>0</v>
      </c>
      <c r="X1358">
        <v>0</v>
      </c>
      <c r="Y1358" s="6">
        <v>51.7</v>
      </c>
      <c r="Z1358">
        <v>1.7999999999999999E-2</v>
      </c>
      <c r="AA1358">
        <v>8.7999999999999995E-2</v>
      </c>
      <c r="AB1358">
        <v>7.8E-2</v>
      </c>
      <c r="AC1358">
        <v>6</v>
      </c>
      <c r="AD1358" s="6">
        <v>50</v>
      </c>
      <c r="AE1358" s="6">
        <v>25</v>
      </c>
      <c r="AF1358" s="6">
        <v>0</v>
      </c>
      <c r="AG1358" s="6">
        <v>80.77</v>
      </c>
      <c r="AH1358" s="6">
        <v>96.76</v>
      </c>
      <c r="AI1358" s="6">
        <f t="shared" si="42"/>
        <v>15.990000000000009</v>
      </c>
      <c r="AJ1358" s="5">
        <f t="shared" si="43"/>
        <v>0.16525423728813568</v>
      </c>
    </row>
    <row r="1359" spans="1:36">
      <c r="A1359" t="s">
        <v>343</v>
      </c>
      <c r="B1359" t="s">
        <v>1644</v>
      </c>
      <c r="C1359" t="s">
        <v>90</v>
      </c>
      <c r="D1359" t="s">
        <v>68</v>
      </c>
      <c r="E1359" t="s">
        <v>55</v>
      </c>
      <c r="F1359">
        <v>0</v>
      </c>
      <c r="G1359">
        <v>5317</v>
      </c>
      <c r="H1359">
        <v>1</v>
      </c>
      <c r="I1359" t="s">
        <v>181</v>
      </c>
      <c r="J1359">
        <v>3</v>
      </c>
      <c r="K1359" s="6">
        <v>6.18</v>
      </c>
      <c r="L1359" t="s">
        <v>174</v>
      </c>
      <c r="M1359">
        <v>0</v>
      </c>
      <c r="N1359" t="s">
        <v>187</v>
      </c>
      <c r="O1359">
        <v>2</v>
      </c>
      <c r="P1359">
        <v>0</v>
      </c>
      <c r="Q1359" s="6">
        <v>43.7</v>
      </c>
      <c r="R1359">
        <v>1</v>
      </c>
      <c r="S1359" s="6">
        <v>723</v>
      </c>
      <c r="T1359">
        <v>0</v>
      </c>
      <c r="U1359" s="6">
        <v>17983</v>
      </c>
      <c r="V1359">
        <v>0</v>
      </c>
      <c r="W1359">
        <v>0</v>
      </c>
      <c r="X1359">
        <v>0</v>
      </c>
      <c r="Y1359" s="6">
        <v>51.7</v>
      </c>
      <c r="Z1359">
        <v>1.7999999999999999E-2</v>
      </c>
      <c r="AA1359">
        <v>8.7999999999999995E-2</v>
      </c>
      <c r="AB1359">
        <v>7.8E-2</v>
      </c>
      <c r="AC1359">
        <v>6</v>
      </c>
      <c r="AD1359" s="6">
        <v>60</v>
      </c>
      <c r="AE1359" s="6">
        <v>25</v>
      </c>
      <c r="AF1359" s="6">
        <v>0</v>
      </c>
      <c r="AG1359" s="6">
        <v>76.94</v>
      </c>
      <c r="AH1359" s="6">
        <v>95.22</v>
      </c>
      <c r="AI1359" s="6">
        <f t="shared" si="42"/>
        <v>18.28</v>
      </c>
      <c r="AJ1359" s="5">
        <f t="shared" si="43"/>
        <v>0.19197647553035077</v>
      </c>
    </row>
    <row r="1360" spans="1:36">
      <c r="A1360" t="s">
        <v>230</v>
      </c>
      <c r="B1360" t="s">
        <v>1645</v>
      </c>
      <c r="C1360" t="s">
        <v>90</v>
      </c>
      <c r="D1360" t="s">
        <v>68</v>
      </c>
      <c r="E1360" t="s">
        <v>55</v>
      </c>
      <c r="F1360">
        <v>0</v>
      </c>
      <c r="G1360">
        <v>5317</v>
      </c>
      <c r="H1360">
        <v>1</v>
      </c>
      <c r="I1360" t="s">
        <v>181</v>
      </c>
      <c r="J1360">
        <v>3</v>
      </c>
      <c r="K1360" s="6">
        <v>6.18</v>
      </c>
      <c r="L1360" t="s">
        <v>174</v>
      </c>
      <c r="M1360">
        <v>0</v>
      </c>
      <c r="N1360" t="s">
        <v>187</v>
      </c>
      <c r="O1360">
        <v>2</v>
      </c>
      <c r="P1360">
        <v>0</v>
      </c>
      <c r="Q1360" s="6">
        <v>48.1</v>
      </c>
      <c r="R1360">
        <v>0</v>
      </c>
      <c r="S1360" s="6">
        <v>0</v>
      </c>
      <c r="T1360">
        <v>0</v>
      </c>
      <c r="U1360" s="6">
        <v>2519</v>
      </c>
      <c r="V1360">
        <v>0</v>
      </c>
      <c r="W1360">
        <v>0</v>
      </c>
      <c r="X1360">
        <v>0</v>
      </c>
      <c r="Y1360" s="6">
        <v>51.7</v>
      </c>
      <c r="Z1360">
        <v>1.7999999999999999E-2</v>
      </c>
      <c r="AA1360">
        <v>8.7999999999999995E-2</v>
      </c>
      <c r="AB1360">
        <v>7.8E-2</v>
      </c>
      <c r="AC1360">
        <v>6</v>
      </c>
      <c r="AD1360" s="6">
        <v>60</v>
      </c>
      <c r="AE1360" s="6">
        <v>0</v>
      </c>
      <c r="AF1360" s="6">
        <v>0</v>
      </c>
      <c r="AG1360" s="6">
        <v>75.84</v>
      </c>
      <c r="AH1360" s="6">
        <v>92.88</v>
      </c>
      <c r="AI1360" s="6">
        <f t="shared" si="42"/>
        <v>17.039999999999992</v>
      </c>
      <c r="AJ1360" s="5">
        <f t="shared" si="43"/>
        <v>0.18346253229974152</v>
      </c>
    </row>
    <row r="1361" spans="1:36">
      <c r="A1361" t="s">
        <v>194</v>
      </c>
      <c r="B1361" t="s">
        <v>1646</v>
      </c>
      <c r="C1361" t="s">
        <v>90</v>
      </c>
      <c r="D1361" t="s">
        <v>68</v>
      </c>
      <c r="E1361" t="s">
        <v>55</v>
      </c>
      <c r="F1361">
        <v>0</v>
      </c>
      <c r="G1361">
        <v>5317</v>
      </c>
      <c r="H1361">
        <v>1</v>
      </c>
      <c r="I1361" t="s">
        <v>181</v>
      </c>
      <c r="J1361">
        <v>3</v>
      </c>
      <c r="K1361" s="6">
        <v>5.87</v>
      </c>
      <c r="L1361" t="s">
        <v>174</v>
      </c>
      <c r="M1361">
        <v>0</v>
      </c>
      <c r="N1361" t="s">
        <v>187</v>
      </c>
      <c r="O1361">
        <v>2</v>
      </c>
      <c r="P1361">
        <v>0</v>
      </c>
      <c r="Q1361" s="6">
        <v>43.6</v>
      </c>
      <c r="R1361">
        <v>0</v>
      </c>
      <c r="S1361" s="6">
        <v>0</v>
      </c>
      <c r="T1361">
        <v>0</v>
      </c>
      <c r="U1361" s="6">
        <v>6312</v>
      </c>
      <c r="V1361">
        <v>0</v>
      </c>
      <c r="W1361">
        <v>0</v>
      </c>
      <c r="X1361">
        <v>0</v>
      </c>
      <c r="Y1361" s="6">
        <v>51.7</v>
      </c>
      <c r="Z1361">
        <v>1.7999999999999999E-2</v>
      </c>
      <c r="AA1361">
        <v>8.7999999999999995E-2</v>
      </c>
      <c r="AB1361">
        <v>7.8E-2</v>
      </c>
      <c r="AC1361">
        <v>6</v>
      </c>
      <c r="AD1361" s="6">
        <v>60</v>
      </c>
      <c r="AE1361" s="6">
        <v>0</v>
      </c>
      <c r="AF1361" s="6">
        <v>0</v>
      </c>
      <c r="AG1361" s="6">
        <v>73.900000000000006</v>
      </c>
      <c r="AH1361" s="6">
        <v>90.97</v>
      </c>
      <c r="AI1361" s="6">
        <f t="shared" si="42"/>
        <v>17.069999999999993</v>
      </c>
      <c r="AJ1361" s="5">
        <f t="shared" si="43"/>
        <v>0.18764427833351646</v>
      </c>
    </row>
    <row r="1362" spans="1:36">
      <c r="A1362" t="s">
        <v>375</v>
      </c>
      <c r="B1362" t="s">
        <v>1647</v>
      </c>
      <c r="C1362" t="s">
        <v>90</v>
      </c>
      <c r="D1362" t="s">
        <v>68</v>
      </c>
      <c r="E1362" t="s">
        <v>55</v>
      </c>
      <c r="F1362">
        <v>0</v>
      </c>
      <c r="G1362">
        <v>5317</v>
      </c>
      <c r="H1362">
        <v>1</v>
      </c>
      <c r="I1362" t="s">
        <v>220</v>
      </c>
      <c r="J1362">
        <v>2</v>
      </c>
      <c r="K1362" s="6">
        <v>3.11</v>
      </c>
      <c r="L1362" t="s">
        <v>174</v>
      </c>
      <c r="M1362">
        <v>0</v>
      </c>
      <c r="N1362" t="s">
        <v>182</v>
      </c>
      <c r="O1362">
        <v>3</v>
      </c>
      <c r="P1362">
        <v>0</v>
      </c>
      <c r="Q1362" s="6">
        <v>139.4</v>
      </c>
      <c r="R1362">
        <v>0</v>
      </c>
      <c r="S1362" s="6">
        <v>0</v>
      </c>
      <c r="T1362">
        <v>0</v>
      </c>
      <c r="U1362" s="6">
        <v>7094</v>
      </c>
      <c r="V1362">
        <v>0</v>
      </c>
      <c r="W1362">
        <v>0</v>
      </c>
      <c r="X1362">
        <v>0</v>
      </c>
      <c r="Y1362" s="6">
        <v>51.7</v>
      </c>
      <c r="Z1362">
        <v>1.7999999999999999E-2</v>
      </c>
      <c r="AA1362">
        <v>8.7999999999999995E-2</v>
      </c>
      <c r="AB1362">
        <v>7.8E-2</v>
      </c>
      <c r="AC1362">
        <v>6</v>
      </c>
      <c r="AD1362" s="6">
        <v>50</v>
      </c>
      <c r="AE1362" s="6">
        <v>0</v>
      </c>
      <c r="AF1362" s="6">
        <v>0</v>
      </c>
      <c r="AG1362" s="6">
        <v>74.599999999999994</v>
      </c>
      <c r="AH1362" s="6">
        <v>93.48</v>
      </c>
      <c r="AI1362" s="6">
        <f t="shared" si="42"/>
        <v>18.88000000000001</v>
      </c>
      <c r="AJ1362" s="5">
        <f t="shared" si="43"/>
        <v>0.2019683354728285</v>
      </c>
    </row>
    <row r="1363" spans="1:36">
      <c r="A1363" t="s">
        <v>215</v>
      </c>
      <c r="B1363" t="s">
        <v>1648</v>
      </c>
      <c r="C1363" t="s">
        <v>90</v>
      </c>
      <c r="D1363" t="s">
        <v>68</v>
      </c>
      <c r="E1363" t="s">
        <v>55</v>
      </c>
      <c r="F1363">
        <v>0</v>
      </c>
      <c r="G1363">
        <v>5317</v>
      </c>
      <c r="H1363">
        <v>1</v>
      </c>
      <c r="I1363" t="s">
        <v>181</v>
      </c>
      <c r="J1363">
        <v>3</v>
      </c>
      <c r="K1363" s="6">
        <v>8.2100000000000009</v>
      </c>
      <c r="L1363" t="s">
        <v>174</v>
      </c>
      <c r="M1363">
        <v>0</v>
      </c>
      <c r="N1363" t="s">
        <v>217</v>
      </c>
      <c r="O1363">
        <v>4</v>
      </c>
      <c r="P1363">
        <v>1</v>
      </c>
      <c r="Q1363" s="6">
        <v>153.19999999999999</v>
      </c>
      <c r="R1363">
        <v>1</v>
      </c>
      <c r="S1363" s="6">
        <v>2492</v>
      </c>
      <c r="T1363">
        <v>0</v>
      </c>
      <c r="U1363" s="6">
        <v>3021</v>
      </c>
      <c r="V1363">
        <v>0</v>
      </c>
      <c r="W1363">
        <v>0</v>
      </c>
      <c r="X1363">
        <v>0</v>
      </c>
      <c r="Y1363" s="6">
        <v>51.7</v>
      </c>
      <c r="Z1363">
        <v>1.7999999999999999E-2</v>
      </c>
      <c r="AA1363">
        <v>8.7999999999999995E-2</v>
      </c>
      <c r="AB1363">
        <v>7.8E-2</v>
      </c>
      <c r="AC1363">
        <v>6</v>
      </c>
      <c r="AD1363" s="6">
        <v>60</v>
      </c>
      <c r="AE1363" s="6">
        <v>40</v>
      </c>
      <c r="AF1363" s="6">
        <v>0</v>
      </c>
      <c r="AG1363" s="6">
        <v>141.91</v>
      </c>
      <c r="AH1363" s="6">
        <v>172.74</v>
      </c>
      <c r="AI1363" s="6">
        <f t="shared" si="42"/>
        <v>30.830000000000013</v>
      </c>
      <c r="AJ1363" s="5">
        <f t="shared" si="43"/>
        <v>0.17847632279726763</v>
      </c>
    </row>
    <row r="1364" spans="1:36">
      <c r="A1364" t="s">
        <v>185</v>
      </c>
      <c r="B1364" t="s">
        <v>1649</v>
      </c>
      <c r="C1364" t="s">
        <v>90</v>
      </c>
      <c r="D1364" t="s">
        <v>68</v>
      </c>
      <c r="E1364" t="s">
        <v>55</v>
      </c>
      <c r="F1364">
        <v>0</v>
      </c>
      <c r="G1364">
        <v>5317</v>
      </c>
      <c r="H1364">
        <v>1</v>
      </c>
      <c r="I1364" t="s">
        <v>181</v>
      </c>
      <c r="J1364">
        <v>3</v>
      </c>
      <c r="K1364" s="6">
        <v>1.77</v>
      </c>
      <c r="L1364" t="s">
        <v>174</v>
      </c>
      <c r="M1364">
        <v>0</v>
      </c>
      <c r="N1364" t="s">
        <v>272</v>
      </c>
      <c r="O1364">
        <v>5</v>
      </c>
      <c r="P1364">
        <v>1</v>
      </c>
      <c r="Q1364" s="6">
        <v>276.10000000000002</v>
      </c>
      <c r="R1364">
        <v>0</v>
      </c>
      <c r="S1364" s="6">
        <v>0</v>
      </c>
      <c r="T1364">
        <v>0</v>
      </c>
      <c r="U1364" s="6">
        <v>4864</v>
      </c>
      <c r="V1364">
        <v>0</v>
      </c>
      <c r="W1364">
        <v>0</v>
      </c>
      <c r="X1364">
        <v>0</v>
      </c>
      <c r="Y1364" s="6">
        <v>51.7</v>
      </c>
      <c r="Z1364">
        <v>1.7999999999999999E-2</v>
      </c>
      <c r="AA1364">
        <v>8.7999999999999995E-2</v>
      </c>
      <c r="AB1364">
        <v>7.8E-2</v>
      </c>
      <c r="AC1364">
        <v>6</v>
      </c>
      <c r="AD1364" s="6">
        <v>60</v>
      </c>
      <c r="AE1364" s="6">
        <v>0</v>
      </c>
      <c r="AF1364" s="6">
        <v>0</v>
      </c>
      <c r="AG1364" s="6">
        <v>162.63</v>
      </c>
      <c r="AH1364" s="6">
        <v>195.31</v>
      </c>
      <c r="AI1364" s="6">
        <f t="shared" si="42"/>
        <v>32.680000000000007</v>
      </c>
      <c r="AJ1364" s="5">
        <f t="shared" si="43"/>
        <v>0.16732374174389436</v>
      </c>
    </row>
    <row r="1365" spans="1:36">
      <c r="A1365" t="s">
        <v>338</v>
      </c>
      <c r="B1365" t="s">
        <v>1650</v>
      </c>
      <c r="C1365" t="s">
        <v>90</v>
      </c>
      <c r="D1365" t="s">
        <v>68</v>
      </c>
      <c r="E1365" t="s">
        <v>55</v>
      </c>
      <c r="F1365">
        <v>0</v>
      </c>
      <c r="G1365">
        <v>5317</v>
      </c>
      <c r="H1365">
        <v>1</v>
      </c>
      <c r="I1365" t="s">
        <v>181</v>
      </c>
      <c r="J1365">
        <v>3</v>
      </c>
      <c r="K1365" s="6">
        <v>7.23</v>
      </c>
      <c r="L1365" t="s">
        <v>174</v>
      </c>
      <c r="M1365">
        <v>0</v>
      </c>
      <c r="N1365" t="s">
        <v>187</v>
      </c>
      <c r="O1365">
        <v>2</v>
      </c>
      <c r="P1365">
        <v>0</v>
      </c>
      <c r="Q1365" s="6">
        <v>30.3</v>
      </c>
      <c r="R1365">
        <v>1</v>
      </c>
      <c r="S1365" s="6">
        <v>3668</v>
      </c>
      <c r="T1365">
        <v>0</v>
      </c>
      <c r="U1365" s="6">
        <v>7071</v>
      </c>
      <c r="V1365">
        <v>0</v>
      </c>
      <c r="W1365">
        <v>0</v>
      </c>
      <c r="X1365">
        <v>0</v>
      </c>
      <c r="Y1365" s="6">
        <v>51.7</v>
      </c>
      <c r="Z1365">
        <v>1.7999999999999999E-2</v>
      </c>
      <c r="AA1365">
        <v>8.7999999999999995E-2</v>
      </c>
      <c r="AB1365">
        <v>7.8E-2</v>
      </c>
      <c r="AC1365">
        <v>6</v>
      </c>
      <c r="AD1365" s="6">
        <v>60</v>
      </c>
      <c r="AE1365" s="6">
        <v>40</v>
      </c>
      <c r="AF1365" s="6">
        <v>0</v>
      </c>
      <c r="AG1365" s="6">
        <v>79.400000000000006</v>
      </c>
      <c r="AH1365" s="6">
        <v>97.45</v>
      </c>
      <c r="AI1365" s="6">
        <f t="shared" si="42"/>
        <v>18.049999999999997</v>
      </c>
      <c r="AJ1365" s="5">
        <f t="shared" si="43"/>
        <v>0.18522319138019494</v>
      </c>
    </row>
    <row r="1366" spans="1:36">
      <c r="A1366" t="s">
        <v>397</v>
      </c>
      <c r="B1366" t="s">
        <v>1651</v>
      </c>
      <c r="C1366" t="s">
        <v>90</v>
      </c>
      <c r="D1366" t="s">
        <v>68</v>
      </c>
      <c r="E1366" t="s">
        <v>55</v>
      </c>
      <c r="F1366">
        <v>0</v>
      </c>
      <c r="G1366">
        <v>5317</v>
      </c>
      <c r="H1366">
        <v>1</v>
      </c>
      <c r="I1366" t="s">
        <v>181</v>
      </c>
      <c r="J1366">
        <v>3</v>
      </c>
      <c r="K1366" s="6">
        <v>5.53</v>
      </c>
      <c r="L1366" t="s">
        <v>174</v>
      </c>
      <c r="M1366">
        <v>0</v>
      </c>
      <c r="N1366" t="s">
        <v>175</v>
      </c>
      <c r="O1366">
        <v>1</v>
      </c>
      <c r="P1366">
        <v>0</v>
      </c>
      <c r="Q1366" s="6">
        <v>34.6</v>
      </c>
      <c r="R1366">
        <v>1</v>
      </c>
      <c r="S1366" s="6">
        <v>1956</v>
      </c>
      <c r="T1366">
        <v>0</v>
      </c>
      <c r="U1366" s="6">
        <v>1725</v>
      </c>
      <c r="V1366">
        <v>0</v>
      </c>
      <c r="W1366">
        <v>0</v>
      </c>
      <c r="X1366">
        <v>0</v>
      </c>
      <c r="Y1366" s="6">
        <v>51.7</v>
      </c>
      <c r="Z1366">
        <v>1.7999999999999999E-2</v>
      </c>
      <c r="AA1366">
        <v>8.7999999999999995E-2</v>
      </c>
      <c r="AB1366">
        <v>7.8E-2</v>
      </c>
      <c r="AC1366">
        <v>6</v>
      </c>
      <c r="AD1366" s="6">
        <v>60</v>
      </c>
      <c r="AE1366" s="6">
        <v>25</v>
      </c>
      <c r="AF1366" s="6">
        <v>0</v>
      </c>
      <c r="AG1366" s="6">
        <v>72.3</v>
      </c>
      <c r="AH1366" s="6">
        <v>88.88</v>
      </c>
      <c r="AI1366" s="6">
        <f t="shared" si="42"/>
        <v>16.579999999999998</v>
      </c>
      <c r="AJ1366" s="5">
        <f t="shared" si="43"/>
        <v>0.18654365436543655</v>
      </c>
    </row>
    <row r="1367" spans="1:36">
      <c r="A1367" t="s">
        <v>481</v>
      </c>
      <c r="B1367" t="s">
        <v>1652</v>
      </c>
      <c r="C1367" t="s">
        <v>90</v>
      </c>
      <c r="D1367" t="s">
        <v>68</v>
      </c>
      <c r="E1367" t="s">
        <v>55</v>
      </c>
      <c r="F1367">
        <v>0</v>
      </c>
      <c r="G1367">
        <v>5317</v>
      </c>
      <c r="H1367">
        <v>1</v>
      </c>
      <c r="I1367" t="s">
        <v>173</v>
      </c>
      <c r="J1367">
        <v>1</v>
      </c>
      <c r="K1367" s="6">
        <v>1.61</v>
      </c>
      <c r="L1367" t="s">
        <v>174</v>
      </c>
      <c r="M1367">
        <v>0</v>
      </c>
      <c r="N1367" t="s">
        <v>175</v>
      </c>
      <c r="O1367">
        <v>1</v>
      </c>
      <c r="P1367">
        <v>0</v>
      </c>
      <c r="Q1367" s="6">
        <v>36.799999999999997</v>
      </c>
      <c r="R1367">
        <v>0</v>
      </c>
      <c r="S1367" s="6">
        <v>0</v>
      </c>
      <c r="T1367">
        <v>0</v>
      </c>
      <c r="U1367" s="6">
        <v>5083</v>
      </c>
      <c r="V1367">
        <v>0</v>
      </c>
      <c r="W1367">
        <v>0</v>
      </c>
      <c r="X1367">
        <v>0</v>
      </c>
      <c r="Y1367" s="6">
        <v>51.7</v>
      </c>
      <c r="Z1367">
        <v>1.7999999999999999E-2</v>
      </c>
      <c r="AA1367">
        <v>8.7999999999999995E-2</v>
      </c>
      <c r="AB1367">
        <v>7.8E-2</v>
      </c>
      <c r="AC1367">
        <v>6</v>
      </c>
      <c r="AD1367" s="6">
        <v>50</v>
      </c>
      <c r="AE1367" s="6">
        <v>0</v>
      </c>
      <c r="AF1367" s="6">
        <v>0</v>
      </c>
      <c r="AG1367" s="6">
        <v>43.93</v>
      </c>
      <c r="AH1367" s="6">
        <v>52.4</v>
      </c>
      <c r="AI1367" s="6">
        <f t="shared" si="42"/>
        <v>8.4699999999999989</v>
      </c>
      <c r="AJ1367" s="5">
        <f t="shared" si="43"/>
        <v>0.1616412213740458</v>
      </c>
    </row>
    <row r="1368" spans="1:36">
      <c r="A1368" t="s">
        <v>236</v>
      </c>
      <c r="B1368" t="s">
        <v>1653</v>
      </c>
      <c r="C1368" t="s">
        <v>90</v>
      </c>
      <c r="D1368" t="s">
        <v>68</v>
      </c>
      <c r="E1368" t="s">
        <v>55</v>
      </c>
      <c r="F1368">
        <v>0</v>
      </c>
      <c r="G1368">
        <v>5317</v>
      </c>
      <c r="H1368">
        <v>1</v>
      </c>
      <c r="I1368" t="s">
        <v>173</v>
      </c>
      <c r="J1368">
        <v>1</v>
      </c>
      <c r="K1368" s="6">
        <v>1.62</v>
      </c>
      <c r="L1368" t="s">
        <v>174</v>
      </c>
      <c r="M1368">
        <v>0</v>
      </c>
      <c r="N1368" t="s">
        <v>187</v>
      </c>
      <c r="O1368">
        <v>2</v>
      </c>
      <c r="P1368">
        <v>0</v>
      </c>
      <c r="Q1368" s="6">
        <v>75.8</v>
      </c>
      <c r="R1368">
        <v>1</v>
      </c>
      <c r="S1368" s="6">
        <v>3126</v>
      </c>
      <c r="T1368">
        <v>0</v>
      </c>
      <c r="U1368" s="6">
        <v>4328</v>
      </c>
      <c r="V1368">
        <v>1</v>
      </c>
      <c r="W1368">
        <v>0</v>
      </c>
      <c r="X1368">
        <v>0</v>
      </c>
      <c r="Y1368" s="6">
        <v>51.7</v>
      </c>
      <c r="Z1368">
        <v>1.7999999999999999E-2</v>
      </c>
      <c r="AA1368">
        <v>8.7999999999999995E-2</v>
      </c>
      <c r="AB1368">
        <v>7.8E-2</v>
      </c>
      <c r="AC1368">
        <v>6</v>
      </c>
      <c r="AD1368" s="6">
        <v>50</v>
      </c>
      <c r="AE1368" s="6">
        <v>40</v>
      </c>
      <c r="AF1368" s="6">
        <v>0</v>
      </c>
      <c r="AG1368" s="6">
        <v>90.9</v>
      </c>
      <c r="AH1368" s="6">
        <v>110</v>
      </c>
      <c r="AI1368" s="6">
        <f t="shared" si="42"/>
        <v>19.099999999999994</v>
      </c>
      <c r="AJ1368" s="5">
        <f t="shared" si="43"/>
        <v>0.17363636363636359</v>
      </c>
    </row>
    <row r="1369" spans="1:36">
      <c r="A1369" t="s">
        <v>431</v>
      </c>
      <c r="B1369" t="s">
        <v>1654</v>
      </c>
      <c r="C1369" t="s">
        <v>90</v>
      </c>
      <c r="D1369" t="s">
        <v>68</v>
      </c>
      <c r="E1369" t="s">
        <v>55</v>
      </c>
      <c r="F1369">
        <v>0</v>
      </c>
      <c r="G1369">
        <v>5317</v>
      </c>
      <c r="H1369">
        <v>1</v>
      </c>
      <c r="I1369" t="s">
        <v>178</v>
      </c>
      <c r="J1369">
        <v>4</v>
      </c>
      <c r="K1369" s="6">
        <v>14.82</v>
      </c>
      <c r="L1369" t="s">
        <v>174</v>
      </c>
      <c r="M1369">
        <v>0</v>
      </c>
      <c r="N1369" t="s">
        <v>217</v>
      </c>
      <c r="O1369">
        <v>4</v>
      </c>
      <c r="P1369">
        <v>1</v>
      </c>
      <c r="Q1369" s="6">
        <v>138.30000000000001</v>
      </c>
      <c r="R1369">
        <v>0</v>
      </c>
      <c r="S1369" s="6">
        <v>0</v>
      </c>
      <c r="T1369">
        <v>0</v>
      </c>
      <c r="U1369" s="6">
        <v>1466</v>
      </c>
      <c r="V1369">
        <v>0</v>
      </c>
      <c r="W1369">
        <v>0</v>
      </c>
      <c r="X1369">
        <v>0</v>
      </c>
      <c r="Y1369" s="6">
        <v>51.7</v>
      </c>
      <c r="Z1369">
        <v>1.7999999999999999E-2</v>
      </c>
      <c r="AA1369">
        <v>8.7999999999999995E-2</v>
      </c>
      <c r="AB1369">
        <v>7.8E-2</v>
      </c>
      <c r="AC1369">
        <v>6</v>
      </c>
      <c r="AD1369" s="6">
        <v>65</v>
      </c>
      <c r="AE1369" s="6">
        <v>0</v>
      </c>
      <c r="AF1369" s="6">
        <v>0</v>
      </c>
      <c r="AG1369" s="6">
        <v>172.99</v>
      </c>
      <c r="AH1369" s="6">
        <v>209.23</v>
      </c>
      <c r="AI1369" s="6">
        <f t="shared" si="42"/>
        <v>36.239999999999981</v>
      </c>
      <c r="AJ1369" s="5">
        <f t="shared" si="43"/>
        <v>0.17320651914161442</v>
      </c>
    </row>
    <row r="1370" spans="1:36">
      <c r="A1370" t="s">
        <v>478</v>
      </c>
      <c r="B1370" t="s">
        <v>1655</v>
      </c>
      <c r="C1370" t="s">
        <v>90</v>
      </c>
      <c r="D1370" t="s">
        <v>68</v>
      </c>
      <c r="E1370" t="s">
        <v>55</v>
      </c>
      <c r="F1370">
        <v>0</v>
      </c>
      <c r="G1370">
        <v>5317</v>
      </c>
      <c r="H1370">
        <v>1</v>
      </c>
      <c r="I1370" t="s">
        <v>220</v>
      </c>
      <c r="J1370">
        <v>2</v>
      </c>
      <c r="K1370" s="6">
        <v>5.29</v>
      </c>
      <c r="L1370" t="s">
        <v>174</v>
      </c>
      <c r="M1370">
        <v>0</v>
      </c>
      <c r="N1370" t="s">
        <v>187</v>
      </c>
      <c r="O1370">
        <v>2</v>
      </c>
      <c r="P1370">
        <v>0</v>
      </c>
      <c r="Q1370" s="6">
        <v>38.799999999999997</v>
      </c>
      <c r="R1370">
        <v>0</v>
      </c>
      <c r="S1370" s="6">
        <v>0</v>
      </c>
      <c r="T1370">
        <v>0</v>
      </c>
      <c r="U1370" s="6">
        <v>18564</v>
      </c>
      <c r="V1370">
        <v>0</v>
      </c>
      <c r="W1370">
        <v>0</v>
      </c>
      <c r="X1370">
        <v>0</v>
      </c>
      <c r="Y1370" s="6">
        <v>51.7</v>
      </c>
      <c r="Z1370">
        <v>1.7999999999999999E-2</v>
      </c>
      <c r="AA1370">
        <v>8.7999999999999995E-2</v>
      </c>
      <c r="AB1370">
        <v>7.8E-2</v>
      </c>
      <c r="AC1370">
        <v>6</v>
      </c>
      <c r="AD1370" s="6">
        <v>50</v>
      </c>
      <c r="AE1370" s="6">
        <v>0</v>
      </c>
      <c r="AF1370" s="6">
        <v>0</v>
      </c>
      <c r="AG1370" s="6">
        <v>57.54</v>
      </c>
      <c r="AH1370" s="6">
        <v>72.28</v>
      </c>
      <c r="AI1370" s="6">
        <f t="shared" si="42"/>
        <v>14.740000000000002</v>
      </c>
      <c r="AJ1370" s="5">
        <f t="shared" si="43"/>
        <v>0.20392916436081907</v>
      </c>
    </row>
    <row r="1371" spans="1:36">
      <c r="A1371" t="s">
        <v>406</v>
      </c>
      <c r="B1371" t="s">
        <v>1656</v>
      </c>
      <c r="C1371" t="s">
        <v>90</v>
      </c>
      <c r="D1371" t="s">
        <v>68</v>
      </c>
      <c r="E1371" t="s">
        <v>55</v>
      </c>
      <c r="F1371">
        <v>0</v>
      </c>
      <c r="G1371">
        <v>5317</v>
      </c>
      <c r="H1371">
        <v>1</v>
      </c>
      <c r="I1371" t="s">
        <v>181</v>
      </c>
      <c r="J1371">
        <v>3</v>
      </c>
      <c r="K1371" s="6">
        <v>5.97</v>
      </c>
      <c r="L1371" t="s">
        <v>174</v>
      </c>
      <c r="M1371">
        <v>0</v>
      </c>
      <c r="N1371" t="s">
        <v>217</v>
      </c>
      <c r="O1371">
        <v>4</v>
      </c>
      <c r="P1371">
        <v>1</v>
      </c>
      <c r="Q1371" s="6">
        <v>103.8</v>
      </c>
      <c r="R1371">
        <v>1</v>
      </c>
      <c r="S1371" s="6">
        <v>1507</v>
      </c>
      <c r="T1371">
        <v>0</v>
      </c>
      <c r="U1371" s="6">
        <v>1213</v>
      </c>
      <c r="V1371">
        <v>0</v>
      </c>
      <c r="W1371">
        <v>0</v>
      </c>
      <c r="X1371">
        <v>0</v>
      </c>
      <c r="Y1371" s="6">
        <v>51.7</v>
      </c>
      <c r="Z1371">
        <v>1.7999999999999999E-2</v>
      </c>
      <c r="AA1371">
        <v>8.7999999999999995E-2</v>
      </c>
      <c r="AB1371">
        <v>7.8E-2</v>
      </c>
      <c r="AC1371">
        <v>6</v>
      </c>
      <c r="AD1371" s="6">
        <v>60</v>
      </c>
      <c r="AE1371" s="6">
        <v>25</v>
      </c>
      <c r="AF1371" s="6">
        <v>0</v>
      </c>
      <c r="AG1371" s="6">
        <v>125.92</v>
      </c>
      <c r="AH1371" s="6">
        <v>152.22</v>
      </c>
      <c r="AI1371" s="6">
        <f t="shared" si="42"/>
        <v>26.299999999999997</v>
      </c>
      <c r="AJ1371" s="5">
        <f t="shared" si="43"/>
        <v>0.17277624490868479</v>
      </c>
    </row>
    <row r="1372" spans="1:36">
      <c r="A1372" t="s">
        <v>494</v>
      </c>
      <c r="B1372" t="s">
        <v>1657</v>
      </c>
      <c r="C1372" t="s">
        <v>90</v>
      </c>
      <c r="D1372" t="s">
        <v>68</v>
      </c>
      <c r="E1372" t="s">
        <v>55</v>
      </c>
      <c r="F1372">
        <v>0</v>
      </c>
      <c r="G1372">
        <v>5317</v>
      </c>
      <c r="H1372">
        <v>1</v>
      </c>
      <c r="I1372" t="s">
        <v>173</v>
      </c>
      <c r="J1372">
        <v>1</v>
      </c>
      <c r="K1372" s="6">
        <v>2.15</v>
      </c>
      <c r="L1372" t="s">
        <v>174</v>
      </c>
      <c r="M1372">
        <v>0</v>
      </c>
      <c r="N1372" t="s">
        <v>175</v>
      </c>
      <c r="O1372">
        <v>1</v>
      </c>
      <c r="P1372">
        <v>0</v>
      </c>
      <c r="Q1372" s="6">
        <v>39.799999999999997</v>
      </c>
      <c r="R1372">
        <v>0</v>
      </c>
      <c r="S1372" s="6">
        <v>0</v>
      </c>
      <c r="T1372">
        <v>0</v>
      </c>
      <c r="U1372" s="6">
        <v>3856</v>
      </c>
      <c r="V1372">
        <v>0</v>
      </c>
      <c r="W1372">
        <v>1</v>
      </c>
      <c r="X1372">
        <v>0</v>
      </c>
      <c r="Y1372" s="6">
        <v>51.7</v>
      </c>
      <c r="Z1372">
        <v>1.7999999999999999E-2</v>
      </c>
      <c r="AA1372">
        <v>8.7999999999999995E-2</v>
      </c>
      <c r="AB1372">
        <v>7.8E-2</v>
      </c>
      <c r="AC1372">
        <v>6</v>
      </c>
      <c r="AD1372" s="6">
        <v>50</v>
      </c>
      <c r="AE1372" s="6">
        <v>0</v>
      </c>
      <c r="AF1372" s="6">
        <v>0</v>
      </c>
      <c r="AG1372" s="6">
        <v>78.819999999999993</v>
      </c>
      <c r="AH1372" s="6">
        <v>97.08</v>
      </c>
      <c r="AI1372" s="6">
        <f t="shared" si="42"/>
        <v>18.260000000000005</v>
      </c>
      <c r="AJ1372" s="5">
        <f t="shared" si="43"/>
        <v>0.18809229501442115</v>
      </c>
    </row>
    <row r="1373" spans="1:36">
      <c r="A1373" t="s">
        <v>434</v>
      </c>
      <c r="B1373" t="s">
        <v>1658</v>
      </c>
      <c r="C1373" t="s">
        <v>90</v>
      </c>
      <c r="D1373" t="s">
        <v>68</v>
      </c>
      <c r="E1373" t="s">
        <v>55</v>
      </c>
      <c r="F1373">
        <v>0</v>
      </c>
      <c r="G1373">
        <v>5317</v>
      </c>
      <c r="H1373">
        <v>1</v>
      </c>
      <c r="I1373" t="s">
        <v>181</v>
      </c>
      <c r="J1373">
        <v>3</v>
      </c>
      <c r="K1373" s="6">
        <v>10.38</v>
      </c>
      <c r="L1373" t="s">
        <v>174</v>
      </c>
      <c r="M1373">
        <v>0</v>
      </c>
      <c r="N1373" t="s">
        <v>187</v>
      </c>
      <c r="O1373">
        <v>2</v>
      </c>
      <c r="P1373">
        <v>0</v>
      </c>
      <c r="Q1373" s="6">
        <v>56.2</v>
      </c>
      <c r="R1373">
        <v>0</v>
      </c>
      <c r="S1373" s="6">
        <v>0</v>
      </c>
      <c r="T1373">
        <v>0</v>
      </c>
      <c r="U1373" s="6">
        <v>6678</v>
      </c>
      <c r="V1373">
        <v>0</v>
      </c>
      <c r="W1373">
        <v>0</v>
      </c>
      <c r="X1373">
        <v>0</v>
      </c>
      <c r="Y1373" s="6">
        <v>51.7</v>
      </c>
      <c r="Z1373">
        <v>1.7999999999999999E-2</v>
      </c>
      <c r="AA1373">
        <v>8.7999999999999995E-2</v>
      </c>
      <c r="AB1373">
        <v>7.8E-2</v>
      </c>
      <c r="AC1373">
        <v>6</v>
      </c>
      <c r="AD1373" s="6">
        <v>60</v>
      </c>
      <c r="AE1373" s="6">
        <v>0</v>
      </c>
      <c r="AF1373" s="6">
        <v>0</v>
      </c>
      <c r="AG1373" s="6">
        <v>95.5</v>
      </c>
      <c r="AH1373" s="6">
        <v>116.32</v>
      </c>
      <c r="AI1373" s="6">
        <f t="shared" si="42"/>
        <v>20.819999999999993</v>
      </c>
      <c r="AJ1373" s="5">
        <f t="shared" si="43"/>
        <v>0.17898899587345249</v>
      </c>
    </row>
    <row r="1374" spans="1:36">
      <c r="A1374" t="s">
        <v>403</v>
      </c>
      <c r="B1374" t="s">
        <v>1659</v>
      </c>
      <c r="C1374" t="s">
        <v>90</v>
      </c>
      <c r="D1374" t="s">
        <v>68</v>
      </c>
      <c r="E1374" t="s">
        <v>55</v>
      </c>
      <c r="F1374">
        <v>0</v>
      </c>
      <c r="G1374">
        <v>5317</v>
      </c>
      <c r="H1374">
        <v>1</v>
      </c>
      <c r="I1374" t="s">
        <v>181</v>
      </c>
      <c r="J1374">
        <v>3</v>
      </c>
      <c r="K1374" s="6">
        <v>12.13</v>
      </c>
      <c r="L1374" t="s">
        <v>174</v>
      </c>
      <c r="M1374">
        <v>0</v>
      </c>
      <c r="N1374" t="s">
        <v>182</v>
      </c>
      <c r="O1374">
        <v>3</v>
      </c>
      <c r="P1374">
        <v>0</v>
      </c>
      <c r="Q1374" s="6">
        <v>119.9</v>
      </c>
      <c r="R1374">
        <v>0</v>
      </c>
      <c r="S1374" s="6">
        <v>0</v>
      </c>
      <c r="T1374">
        <v>0</v>
      </c>
      <c r="U1374" s="6">
        <v>4100</v>
      </c>
      <c r="V1374">
        <v>0</v>
      </c>
      <c r="W1374">
        <v>0</v>
      </c>
      <c r="X1374">
        <v>0</v>
      </c>
      <c r="Y1374" s="6">
        <v>51.7</v>
      </c>
      <c r="Z1374">
        <v>1.7999999999999999E-2</v>
      </c>
      <c r="AA1374">
        <v>8.7999999999999995E-2</v>
      </c>
      <c r="AB1374">
        <v>7.8E-2</v>
      </c>
      <c r="AC1374">
        <v>6</v>
      </c>
      <c r="AD1374" s="6">
        <v>60</v>
      </c>
      <c r="AE1374" s="6">
        <v>0</v>
      </c>
      <c r="AF1374" s="6">
        <v>0</v>
      </c>
      <c r="AG1374" s="6">
        <v>109.58</v>
      </c>
      <c r="AH1374" s="6">
        <v>132.38999999999999</v>
      </c>
      <c r="AI1374" s="6">
        <f t="shared" si="42"/>
        <v>22.809999999999988</v>
      </c>
      <c r="AJ1374" s="5">
        <f t="shared" si="43"/>
        <v>0.17229397990784795</v>
      </c>
    </row>
    <row r="1375" spans="1:36">
      <c r="A1375" t="s">
        <v>457</v>
      </c>
      <c r="B1375" t="s">
        <v>1660</v>
      </c>
      <c r="C1375" t="s">
        <v>90</v>
      </c>
      <c r="D1375" t="s">
        <v>68</v>
      </c>
      <c r="E1375" t="s">
        <v>55</v>
      </c>
      <c r="F1375">
        <v>0</v>
      </c>
      <c r="G1375">
        <v>5317</v>
      </c>
      <c r="H1375">
        <v>1</v>
      </c>
      <c r="I1375" t="s">
        <v>181</v>
      </c>
      <c r="J1375">
        <v>3</v>
      </c>
      <c r="K1375" s="6">
        <v>4.96</v>
      </c>
      <c r="L1375" t="s">
        <v>174</v>
      </c>
      <c r="M1375">
        <v>0</v>
      </c>
      <c r="N1375" t="s">
        <v>175</v>
      </c>
      <c r="O1375">
        <v>1</v>
      </c>
      <c r="P1375">
        <v>0</v>
      </c>
      <c r="Q1375" s="6">
        <v>38.9</v>
      </c>
      <c r="R1375">
        <v>1</v>
      </c>
      <c r="S1375" s="6">
        <v>1116</v>
      </c>
      <c r="T1375">
        <v>0</v>
      </c>
      <c r="U1375" s="6">
        <v>17469</v>
      </c>
      <c r="V1375">
        <v>0</v>
      </c>
      <c r="W1375">
        <v>0</v>
      </c>
      <c r="X1375">
        <v>0</v>
      </c>
      <c r="Y1375" s="6">
        <v>51.7</v>
      </c>
      <c r="Z1375">
        <v>1.7999999999999999E-2</v>
      </c>
      <c r="AA1375">
        <v>8.7999999999999995E-2</v>
      </c>
      <c r="AB1375">
        <v>7.8E-2</v>
      </c>
      <c r="AC1375">
        <v>6</v>
      </c>
      <c r="AD1375" s="6">
        <v>60</v>
      </c>
      <c r="AE1375" s="6">
        <v>25</v>
      </c>
      <c r="AF1375" s="6">
        <v>0</v>
      </c>
      <c r="AG1375" s="6">
        <v>72.599999999999994</v>
      </c>
      <c r="AH1375" s="6">
        <v>90.45</v>
      </c>
      <c r="AI1375" s="6">
        <f t="shared" si="42"/>
        <v>17.850000000000009</v>
      </c>
      <c r="AJ1375" s="5">
        <f t="shared" si="43"/>
        <v>0.19734660033167506</v>
      </c>
    </row>
    <row r="1376" spans="1:36">
      <c r="A1376" t="s">
        <v>190</v>
      </c>
      <c r="B1376" t="s">
        <v>1661</v>
      </c>
      <c r="C1376" t="s">
        <v>90</v>
      </c>
      <c r="D1376" t="s">
        <v>68</v>
      </c>
      <c r="E1376" t="s">
        <v>55</v>
      </c>
      <c r="F1376">
        <v>0</v>
      </c>
      <c r="G1376">
        <v>5317</v>
      </c>
      <c r="H1376">
        <v>1</v>
      </c>
      <c r="I1376" t="s">
        <v>173</v>
      </c>
      <c r="J1376">
        <v>1</v>
      </c>
      <c r="K1376" s="6">
        <v>1.75</v>
      </c>
      <c r="L1376" t="s">
        <v>174</v>
      </c>
      <c r="M1376">
        <v>0</v>
      </c>
      <c r="N1376" t="s">
        <v>187</v>
      </c>
      <c r="O1376">
        <v>2</v>
      </c>
      <c r="P1376">
        <v>0</v>
      </c>
      <c r="Q1376" s="6">
        <v>63.9</v>
      </c>
      <c r="R1376">
        <v>1</v>
      </c>
      <c r="S1376" s="6">
        <v>7803</v>
      </c>
      <c r="T1376">
        <v>0</v>
      </c>
      <c r="U1376" s="6">
        <v>3547</v>
      </c>
      <c r="V1376">
        <v>0</v>
      </c>
      <c r="W1376">
        <v>0</v>
      </c>
      <c r="X1376">
        <v>0</v>
      </c>
      <c r="Y1376" s="6">
        <v>51.7</v>
      </c>
      <c r="Z1376">
        <v>1.7999999999999999E-2</v>
      </c>
      <c r="AA1376">
        <v>8.7999999999999995E-2</v>
      </c>
      <c r="AB1376">
        <v>7.8E-2</v>
      </c>
      <c r="AC1376">
        <v>6</v>
      </c>
      <c r="AD1376" s="6">
        <v>50</v>
      </c>
      <c r="AE1376" s="6">
        <v>50</v>
      </c>
      <c r="AF1376" s="6">
        <v>0</v>
      </c>
      <c r="AG1376" s="6">
        <v>55.18</v>
      </c>
      <c r="AH1376" s="6">
        <v>67.36</v>
      </c>
      <c r="AI1376" s="6">
        <f t="shared" si="42"/>
        <v>12.18</v>
      </c>
      <c r="AJ1376" s="5">
        <f t="shared" si="43"/>
        <v>0.18081947743467933</v>
      </c>
    </row>
    <row r="1377" spans="1:36">
      <c r="A1377" t="s">
        <v>431</v>
      </c>
      <c r="B1377" t="s">
        <v>1662</v>
      </c>
      <c r="C1377" t="s">
        <v>90</v>
      </c>
      <c r="D1377" t="s">
        <v>68</v>
      </c>
      <c r="E1377" t="s">
        <v>55</v>
      </c>
      <c r="F1377">
        <v>0</v>
      </c>
      <c r="G1377">
        <v>5317</v>
      </c>
      <c r="H1377">
        <v>1</v>
      </c>
      <c r="I1377" t="s">
        <v>181</v>
      </c>
      <c r="J1377">
        <v>3</v>
      </c>
      <c r="K1377" s="6">
        <v>5.95</v>
      </c>
      <c r="L1377" t="s">
        <v>174</v>
      </c>
      <c r="M1377">
        <v>0</v>
      </c>
      <c r="N1377" t="s">
        <v>175</v>
      </c>
      <c r="O1377">
        <v>1</v>
      </c>
      <c r="P1377">
        <v>0</v>
      </c>
      <c r="Q1377" s="6">
        <v>32.200000000000003</v>
      </c>
      <c r="R1377">
        <v>0</v>
      </c>
      <c r="S1377" s="6">
        <v>0</v>
      </c>
      <c r="T1377">
        <v>0</v>
      </c>
      <c r="U1377" s="6">
        <v>8507</v>
      </c>
      <c r="V1377">
        <v>0</v>
      </c>
      <c r="W1377">
        <v>0</v>
      </c>
      <c r="X1377">
        <v>0</v>
      </c>
      <c r="Y1377" s="6">
        <v>51.7</v>
      </c>
      <c r="Z1377">
        <v>1.7999999999999999E-2</v>
      </c>
      <c r="AA1377">
        <v>8.7999999999999995E-2</v>
      </c>
      <c r="AB1377">
        <v>7.8E-2</v>
      </c>
      <c r="AC1377">
        <v>6</v>
      </c>
      <c r="AD1377" s="6">
        <v>60</v>
      </c>
      <c r="AE1377" s="6">
        <v>0</v>
      </c>
      <c r="AF1377" s="6">
        <v>0</v>
      </c>
      <c r="AG1377" s="6">
        <v>63.52</v>
      </c>
      <c r="AH1377" s="6">
        <v>76.77</v>
      </c>
      <c r="AI1377" s="6">
        <f t="shared" si="42"/>
        <v>13.249999999999993</v>
      </c>
      <c r="AJ1377" s="5">
        <f t="shared" si="43"/>
        <v>0.17259346098736478</v>
      </c>
    </row>
    <row r="1378" spans="1:36">
      <c r="A1378" t="s">
        <v>311</v>
      </c>
      <c r="B1378" t="s">
        <v>1663</v>
      </c>
      <c r="C1378" t="s">
        <v>90</v>
      </c>
      <c r="D1378" t="s">
        <v>68</v>
      </c>
      <c r="E1378" t="s">
        <v>55</v>
      </c>
      <c r="F1378">
        <v>0</v>
      </c>
      <c r="G1378">
        <v>5317</v>
      </c>
      <c r="H1378">
        <v>1</v>
      </c>
      <c r="I1378" t="s">
        <v>181</v>
      </c>
      <c r="J1378">
        <v>3</v>
      </c>
      <c r="K1378" s="6">
        <v>7.64</v>
      </c>
      <c r="L1378" t="s">
        <v>174</v>
      </c>
      <c r="M1378">
        <v>0</v>
      </c>
      <c r="N1378" t="s">
        <v>175</v>
      </c>
      <c r="O1378">
        <v>1</v>
      </c>
      <c r="P1378">
        <v>1</v>
      </c>
      <c r="Q1378" s="6">
        <v>20.100000000000001</v>
      </c>
      <c r="R1378">
        <v>0</v>
      </c>
      <c r="S1378" s="6">
        <v>0</v>
      </c>
      <c r="T1378">
        <v>0</v>
      </c>
      <c r="U1378" s="6">
        <v>2793</v>
      </c>
      <c r="V1378">
        <v>1</v>
      </c>
      <c r="W1378">
        <v>1</v>
      </c>
      <c r="X1378">
        <v>0</v>
      </c>
      <c r="Y1378" s="6">
        <v>51.7</v>
      </c>
      <c r="Z1378">
        <v>1.7999999999999999E-2</v>
      </c>
      <c r="AA1378">
        <v>8.7999999999999995E-2</v>
      </c>
      <c r="AB1378">
        <v>7.8E-2</v>
      </c>
      <c r="AC1378">
        <v>6</v>
      </c>
      <c r="AD1378" s="6">
        <v>60</v>
      </c>
      <c r="AE1378" s="6">
        <v>0</v>
      </c>
      <c r="AF1378" s="6">
        <v>0</v>
      </c>
      <c r="AG1378" s="6">
        <v>176.35</v>
      </c>
      <c r="AH1378" s="6">
        <v>211.25</v>
      </c>
      <c r="AI1378" s="6">
        <f t="shared" si="42"/>
        <v>34.900000000000006</v>
      </c>
      <c r="AJ1378" s="5">
        <f t="shared" si="43"/>
        <v>0.16520710059171601</v>
      </c>
    </row>
    <row r="1379" spans="1:36">
      <c r="A1379" t="s">
        <v>223</v>
      </c>
      <c r="B1379" t="s">
        <v>1664</v>
      </c>
      <c r="C1379" t="s">
        <v>90</v>
      </c>
      <c r="D1379" t="s">
        <v>68</v>
      </c>
      <c r="E1379" t="s">
        <v>55</v>
      </c>
      <c r="F1379">
        <v>0</v>
      </c>
      <c r="G1379">
        <v>5317</v>
      </c>
      <c r="H1379">
        <v>1</v>
      </c>
      <c r="I1379" t="s">
        <v>181</v>
      </c>
      <c r="J1379">
        <v>3</v>
      </c>
      <c r="K1379" s="6">
        <v>5.52</v>
      </c>
      <c r="L1379" t="s">
        <v>174</v>
      </c>
      <c r="M1379">
        <v>0</v>
      </c>
      <c r="N1379" t="s">
        <v>175</v>
      </c>
      <c r="O1379">
        <v>1</v>
      </c>
      <c r="P1379">
        <v>0</v>
      </c>
      <c r="Q1379" s="6">
        <v>49.5</v>
      </c>
      <c r="R1379">
        <v>0</v>
      </c>
      <c r="S1379" s="6">
        <v>0</v>
      </c>
      <c r="T1379">
        <v>0</v>
      </c>
      <c r="U1379" s="6">
        <v>5400</v>
      </c>
      <c r="V1379">
        <v>0</v>
      </c>
      <c r="W1379">
        <v>0</v>
      </c>
      <c r="X1379">
        <v>0</v>
      </c>
      <c r="Y1379" s="6">
        <v>51.7</v>
      </c>
      <c r="Z1379">
        <v>1.7999999999999999E-2</v>
      </c>
      <c r="AA1379">
        <v>8.7999999999999995E-2</v>
      </c>
      <c r="AB1379">
        <v>7.8E-2</v>
      </c>
      <c r="AC1379">
        <v>6</v>
      </c>
      <c r="AD1379" s="6">
        <v>60</v>
      </c>
      <c r="AE1379" s="6">
        <v>0</v>
      </c>
      <c r="AF1379" s="6">
        <v>0</v>
      </c>
      <c r="AG1379" s="6">
        <v>66.55</v>
      </c>
      <c r="AH1379" s="6">
        <v>79.84</v>
      </c>
      <c r="AI1379" s="6">
        <f t="shared" si="42"/>
        <v>13.290000000000006</v>
      </c>
      <c r="AJ1379" s="5">
        <f t="shared" si="43"/>
        <v>0.16645791583166339</v>
      </c>
    </row>
    <row r="1380" spans="1:36">
      <c r="A1380" t="s">
        <v>360</v>
      </c>
      <c r="B1380" t="s">
        <v>1665</v>
      </c>
      <c r="C1380" t="s">
        <v>90</v>
      </c>
      <c r="D1380" t="s">
        <v>68</v>
      </c>
      <c r="E1380" t="s">
        <v>55</v>
      </c>
      <c r="F1380">
        <v>0</v>
      </c>
      <c r="G1380">
        <v>5317</v>
      </c>
      <c r="H1380">
        <v>1</v>
      </c>
      <c r="I1380" t="s">
        <v>181</v>
      </c>
      <c r="J1380">
        <v>3</v>
      </c>
      <c r="K1380" s="6">
        <v>5.95</v>
      </c>
      <c r="L1380" t="s">
        <v>174</v>
      </c>
      <c r="M1380">
        <v>0</v>
      </c>
      <c r="N1380" t="s">
        <v>175</v>
      </c>
      <c r="O1380">
        <v>1</v>
      </c>
      <c r="P1380">
        <v>0</v>
      </c>
      <c r="Q1380" s="6">
        <v>36</v>
      </c>
      <c r="R1380">
        <v>1</v>
      </c>
      <c r="S1380" s="6">
        <v>2101</v>
      </c>
      <c r="T1380">
        <v>0</v>
      </c>
      <c r="U1380" s="6">
        <v>8502</v>
      </c>
      <c r="V1380">
        <v>0</v>
      </c>
      <c r="W1380">
        <v>0</v>
      </c>
      <c r="X1380">
        <v>0</v>
      </c>
      <c r="Y1380" s="6">
        <v>51.7</v>
      </c>
      <c r="Z1380">
        <v>1.7999999999999999E-2</v>
      </c>
      <c r="AA1380">
        <v>8.7999999999999995E-2</v>
      </c>
      <c r="AB1380">
        <v>7.8E-2</v>
      </c>
      <c r="AC1380">
        <v>6</v>
      </c>
      <c r="AD1380" s="6">
        <v>60</v>
      </c>
      <c r="AE1380" s="6">
        <v>40</v>
      </c>
      <c r="AF1380" s="6">
        <v>0</v>
      </c>
      <c r="AG1380" s="6">
        <v>71.37</v>
      </c>
      <c r="AH1380" s="6">
        <v>89.82</v>
      </c>
      <c r="AI1380" s="6">
        <f t="shared" si="42"/>
        <v>18.449999999999989</v>
      </c>
      <c r="AJ1380" s="5">
        <f t="shared" si="43"/>
        <v>0.20541082164328647</v>
      </c>
    </row>
    <row r="1381" spans="1:36">
      <c r="A1381" t="s">
        <v>457</v>
      </c>
      <c r="B1381" t="s">
        <v>1666</v>
      </c>
      <c r="C1381" t="s">
        <v>90</v>
      </c>
      <c r="D1381" t="s">
        <v>68</v>
      </c>
      <c r="E1381" t="s">
        <v>55</v>
      </c>
      <c r="F1381">
        <v>0</v>
      </c>
      <c r="G1381">
        <v>5317</v>
      </c>
      <c r="H1381">
        <v>1</v>
      </c>
      <c r="I1381" t="s">
        <v>173</v>
      </c>
      <c r="J1381">
        <v>1</v>
      </c>
      <c r="K1381" s="6">
        <v>1.55</v>
      </c>
      <c r="L1381" t="s">
        <v>174</v>
      </c>
      <c r="M1381">
        <v>0</v>
      </c>
      <c r="N1381" t="s">
        <v>175</v>
      </c>
      <c r="O1381">
        <v>1</v>
      </c>
      <c r="P1381">
        <v>0</v>
      </c>
      <c r="Q1381" s="6">
        <v>41.2</v>
      </c>
      <c r="R1381">
        <v>1</v>
      </c>
      <c r="S1381" s="6">
        <v>5410</v>
      </c>
      <c r="T1381">
        <v>0</v>
      </c>
      <c r="U1381" s="6">
        <v>4341</v>
      </c>
      <c r="V1381">
        <v>0</v>
      </c>
      <c r="W1381">
        <v>0</v>
      </c>
      <c r="X1381">
        <v>0</v>
      </c>
      <c r="Y1381" s="6">
        <v>51.7</v>
      </c>
      <c r="Z1381">
        <v>1.7999999999999999E-2</v>
      </c>
      <c r="AA1381">
        <v>8.7999999999999995E-2</v>
      </c>
      <c r="AB1381">
        <v>7.8E-2</v>
      </c>
      <c r="AC1381">
        <v>6</v>
      </c>
      <c r="AD1381" s="6">
        <v>50</v>
      </c>
      <c r="AE1381" s="6">
        <v>50</v>
      </c>
      <c r="AF1381" s="6">
        <v>0</v>
      </c>
      <c r="AG1381" s="6">
        <v>53.59</v>
      </c>
      <c r="AH1381" s="6">
        <v>64.930000000000007</v>
      </c>
      <c r="AI1381" s="6">
        <f t="shared" si="42"/>
        <v>11.340000000000003</v>
      </c>
      <c r="AJ1381" s="5">
        <f t="shared" si="43"/>
        <v>0.17464962267056833</v>
      </c>
    </row>
    <row r="1382" spans="1:36">
      <c r="A1382" t="s">
        <v>635</v>
      </c>
      <c r="B1382" t="s">
        <v>1667</v>
      </c>
      <c r="C1382" t="s">
        <v>90</v>
      </c>
      <c r="D1382" t="s">
        <v>68</v>
      </c>
      <c r="E1382" t="s">
        <v>55</v>
      </c>
      <c r="F1382">
        <v>0</v>
      </c>
      <c r="G1382">
        <v>5317</v>
      </c>
      <c r="H1382">
        <v>1</v>
      </c>
      <c r="I1382" t="s">
        <v>181</v>
      </c>
      <c r="J1382">
        <v>3</v>
      </c>
      <c r="K1382" s="6">
        <v>9.1199999999999992</v>
      </c>
      <c r="L1382" t="s">
        <v>174</v>
      </c>
      <c r="M1382">
        <v>0</v>
      </c>
      <c r="N1382" t="s">
        <v>187</v>
      </c>
      <c r="O1382">
        <v>2</v>
      </c>
      <c r="P1382">
        <v>0</v>
      </c>
      <c r="Q1382" s="6">
        <v>57.3</v>
      </c>
      <c r="R1382">
        <v>0</v>
      </c>
      <c r="S1382" s="6">
        <v>0</v>
      </c>
      <c r="T1382">
        <v>0</v>
      </c>
      <c r="U1382" s="6">
        <v>4897</v>
      </c>
      <c r="V1382">
        <v>0</v>
      </c>
      <c r="W1382">
        <v>0</v>
      </c>
      <c r="X1382">
        <v>0</v>
      </c>
      <c r="Y1382" s="6">
        <v>51.7</v>
      </c>
      <c r="Z1382">
        <v>1.7999999999999999E-2</v>
      </c>
      <c r="AA1382">
        <v>8.7999999999999995E-2</v>
      </c>
      <c r="AB1382">
        <v>7.8E-2</v>
      </c>
      <c r="AC1382">
        <v>6</v>
      </c>
      <c r="AD1382" s="6">
        <v>60</v>
      </c>
      <c r="AE1382" s="6">
        <v>0</v>
      </c>
      <c r="AF1382" s="6">
        <v>0</v>
      </c>
      <c r="AG1382" s="6">
        <v>94.87</v>
      </c>
      <c r="AH1382" s="6">
        <v>114.2</v>
      </c>
      <c r="AI1382" s="6">
        <f t="shared" si="42"/>
        <v>19.329999999999998</v>
      </c>
      <c r="AJ1382" s="5">
        <f t="shared" si="43"/>
        <v>0.16926444833625218</v>
      </c>
    </row>
    <row r="1383" spans="1:36">
      <c r="A1383" t="s">
        <v>196</v>
      </c>
      <c r="B1383" t="s">
        <v>1668</v>
      </c>
      <c r="C1383" t="s">
        <v>90</v>
      </c>
      <c r="D1383" t="s">
        <v>68</v>
      </c>
      <c r="E1383" t="s">
        <v>55</v>
      </c>
      <c r="F1383">
        <v>0</v>
      </c>
      <c r="G1383">
        <v>5317</v>
      </c>
      <c r="H1383">
        <v>1</v>
      </c>
      <c r="I1383" t="s">
        <v>173</v>
      </c>
      <c r="J1383">
        <v>1</v>
      </c>
      <c r="K1383" s="6">
        <v>1.88</v>
      </c>
      <c r="L1383" t="s">
        <v>174</v>
      </c>
      <c r="M1383">
        <v>0</v>
      </c>
      <c r="N1383" t="s">
        <v>187</v>
      </c>
      <c r="O1383">
        <v>2</v>
      </c>
      <c r="P1383">
        <v>0</v>
      </c>
      <c r="Q1383" s="6">
        <v>55.2</v>
      </c>
      <c r="R1383">
        <v>0</v>
      </c>
      <c r="S1383" s="6">
        <v>0</v>
      </c>
      <c r="T1383">
        <v>0</v>
      </c>
      <c r="U1383" s="6">
        <v>3943</v>
      </c>
      <c r="V1383">
        <v>0</v>
      </c>
      <c r="W1383">
        <v>0</v>
      </c>
      <c r="X1383">
        <v>0</v>
      </c>
      <c r="Y1383" s="6">
        <v>51.7</v>
      </c>
      <c r="Z1383">
        <v>1.7999999999999999E-2</v>
      </c>
      <c r="AA1383">
        <v>8.7999999999999995E-2</v>
      </c>
      <c r="AB1383">
        <v>7.8E-2</v>
      </c>
      <c r="AC1383">
        <v>6</v>
      </c>
      <c r="AD1383" s="6">
        <v>50</v>
      </c>
      <c r="AE1383" s="6">
        <v>0</v>
      </c>
      <c r="AF1383" s="6">
        <v>0</v>
      </c>
      <c r="AG1383" s="6">
        <v>47.71</v>
      </c>
      <c r="AH1383" s="6">
        <v>57.61</v>
      </c>
      <c r="AI1383" s="6">
        <f t="shared" si="42"/>
        <v>9.8999999999999986</v>
      </c>
      <c r="AJ1383" s="5">
        <f t="shared" si="43"/>
        <v>0.17184516576983161</v>
      </c>
    </row>
    <row r="1384" spans="1:36">
      <c r="A1384" t="s">
        <v>179</v>
      </c>
      <c r="B1384" t="s">
        <v>1669</v>
      </c>
      <c r="C1384" t="s">
        <v>90</v>
      </c>
      <c r="D1384" t="s">
        <v>68</v>
      </c>
      <c r="E1384" t="s">
        <v>55</v>
      </c>
      <c r="F1384">
        <v>0</v>
      </c>
      <c r="G1384">
        <v>5317</v>
      </c>
      <c r="H1384">
        <v>1</v>
      </c>
      <c r="I1384" t="s">
        <v>181</v>
      </c>
      <c r="J1384">
        <v>3</v>
      </c>
      <c r="K1384" s="6">
        <v>8.3800000000000008</v>
      </c>
      <c r="L1384" t="s">
        <v>174</v>
      </c>
      <c r="M1384">
        <v>0</v>
      </c>
      <c r="N1384" t="s">
        <v>182</v>
      </c>
      <c r="O1384">
        <v>3</v>
      </c>
      <c r="P1384">
        <v>0</v>
      </c>
      <c r="Q1384" s="6">
        <v>60.6</v>
      </c>
      <c r="R1384">
        <v>1</v>
      </c>
      <c r="S1384" s="6">
        <v>1059</v>
      </c>
      <c r="T1384">
        <v>0</v>
      </c>
      <c r="U1384" s="6">
        <v>9141</v>
      </c>
      <c r="V1384">
        <v>0</v>
      </c>
      <c r="W1384">
        <v>0</v>
      </c>
      <c r="X1384">
        <v>0</v>
      </c>
      <c r="Y1384" s="6">
        <v>51.7</v>
      </c>
      <c r="Z1384">
        <v>1.7999999999999999E-2</v>
      </c>
      <c r="AA1384">
        <v>8.7999999999999995E-2</v>
      </c>
      <c r="AB1384">
        <v>7.8E-2</v>
      </c>
      <c r="AC1384">
        <v>6</v>
      </c>
      <c r="AD1384" s="6">
        <v>60</v>
      </c>
      <c r="AE1384" s="6">
        <v>25</v>
      </c>
      <c r="AF1384" s="6">
        <v>0</v>
      </c>
      <c r="AG1384" s="6">
        <v>100.5</v>
      </c>
      <c r="AH1384" s="6">
        <v>120.66</v>
      </c>
      <c r="AI1384" s="6">
        <f t="shared" si="42"/>
        <v>20.159999999999997</v>
      </c>
      <c r="AJ1384" s="5">
        <f t="shared" si="43"/>
        <v>0.1670810542018896</v>
      </c>
    </row>
    <row r="1385" spans="1:36">
      <c r="A1385" t="s">
        <v>691</v>
      </c>
      <c r="B1385" t="s">
        <v>1670</v>
      </c>
      <c r="C1385" t="s">
        <v>90</v>
      </c>
      <c r="D1385" t="s">
        <v>68</v>
      </c>
      <c r="E1385" t="s">
        <v>55</v>
      </c>
      <c r="F1385">
        <v>0</v>
      </c>
      <c r="G1385">
        <v>5317</v>
      </c>
      <c r="H1385">
        <v>1</v>
      </c>
      <c r="I1385" t="s">
        <v>181</v>
      </c>
      <c r="J1385">
        <v>3</v>
      </c>
      <c r="K1385" s="6">
        <v>11.72</v>
      </c>
      <c r="L1385" t="s">
        <v>174</v>
      </c>
      <c r="M1385">
        <v>0</v>
      </c>
      <c r="N1385" t="s">
        <v>175</v>
      </c>
      <c r="O1385">
        <v>1</v>
      </c>
      <c r="P1385">
        <v>0</v>
      </c>
      <c r="Q1385" s="6">
        <v>25.1</v>
      </c>
      <c r="R1385">
        <v>1</v>
      </c>
      <c r="S1385" s="6">
        <v>946</v>
      </c>
      <c r="T1385">
        <v>0</v>
      </c>
      <c r="U1385" s="6">
        <v>11815</v>
      </c>
      <c r="V1385">
        <v>0</v>
      </c>
      <c r="W1385">
        <v>0</v>
      </c>
      <c r="X1385">
        <v>0</v>
      </c>
      <c r="Y1385" s="6">
        <v>51.7</v>
      </c>
      <c r="Z1385">
        <v>1.7999999999999999E-2</v>
      </c>
      <c r="AA1385">
        <v>8.7999999999999995E-2</v>
      </c>
      <c r="AB1385">
        <v>7.8E-2</v>
      </c>
      <c r="AC1385">
        <v>6</v>
      </c>
      <c r="AD1385" s="6">
        <v>60</v>
      </c>
      <c r="AE1385" s="6">
        <v>25</v>
      </c>
      <c r="AF1385" s="6">
        <v>0</v>
      </c>
      <c r="AG1385" s="6">
        <v>100.41</v>
      </c>
      <c r="AH1385" s="6">
        <v>122.88</v>
      </c>
      <c r="AI1385" s="6">
        <f t="shared" si="42"/>
        <v>22.47</v>
      </c>
      <c r="AJ1385" s="5">
        <f t="shared" si="43"/>
        <v>0.182861328125</v>
      </c>
    </row>
    <row r="1386" spans="1:36">
      <c r="A1386" t="s">
        <v>353</v>
      </c>
      <c r="B1386" t="s">
        <v>1671</v>
      </c>
      <c r="C1386" t="s">
        <v>90</v>
      </c>
      <c r="D1386" t="s">
        <v>68</v>
      </c>
      <c r="E1386" t="s">
        <v>55</v>
      </c>
      <c r="F1386">
        <v>0</v>
      </c>
      <c r="G1386">
        <v>5317</v>
      </c>
      <c r="H1386">
        <v>1</v>
      </c>
      <c r="I1386" t="s">
        <v>181</v>
      </c>
      <c r="J1386">
        <v>3</v>
      </c>
      <c r="K1386" s="6">
        <v>12.75</v>
      </c>
      <c r="L1386" t="s">
        <v>174</v>
      </c>
      <c r="M1386">
        <v>0</v>
      </c>
      <c r="N1386" t="s">
        <v>175</v>
      </c>
      <c r="O1386">
        <v>1</v>
      </c>
      <c r="P1386">
        <v>0</v>
      </c>
      <c r="Q1386" s="6">
        <v>24.7</v>
      </c>
      <c r="R1386">
        <v>1</v>
      </c>
      <c r="S1386" s="6">
        <v>872</v>
      </c>
      <c r="T1386">
        <v>0</v>
      </c>
      <c r="U1386" s="6">
        <v>3750</v>
      </c>
      <c r="V1386">
        <v>0</v>
      </c>
      <c r="W1386">
        <v>0</v>
      </c>
      <c r="X1386">
        <v>0</v>
      </c>
      <c r="Y1386" s="6">
        <v>51.7</v>
      </c>
      <c r="Z1386">
        <v>1.7999999999999999E-2</v>
      </c>
      <c r="AA1386">
        <v>8.7999999999999995E-2</v>
      </c>
      <c r="AB1386">
        <v>7.8E-2</v>
      </c>
      <c r="AC1386">
        <v>6</v>
      </c>
      <c r="AD1386" s="6">
        <v>60</v>
      </c>
      <c r="AE1386" s="6">
        <v>25</v>
      </c>
      <c r="AF1386" s="6">
        <v>0</v>
      </c>
      <c r="AG1386" s="6">
        <v>96.97</v>
      </c>
      <c r="AH1386" s="6">
        <v>119.8</v>
      </c>
      <c r="AI1386" s="6">
        <f t="shared" si="42"/>
        <v>22.83</v>
      </c>
      <c r="AJ1386" s="5">
        <f t="shared" si="43"/>
        <v>0.190567612687813</v>
      </c>
    </row>
    <row r="1387" spans="1:36">
      <c r="A1387" t="s">
        <v>194</v>
      </c>
      <c r="B1387" t="s">
        <v>1672</v>
      </c>
      <c r="C1387" t="s">
        <v>90</v>
      </c>
      <c r="D1387" t="s">
        <v>68</v>
      </c>
      <c r="E1387" t="s">
        <v>55</v>
      </c>
      <c r="F1387">
        <v>0</v>
      </c>
      <c r="G1387">
        <v>5317</v>
      </c>
      <c r="H1387">
        <v>1</v>
      </c>
      <c r="I1387" t="s">
        <v>181</v>
      </c>
      <c r="J1387">
        <v>3</v>
      </c>
      <c r="K1387" s="6">
        <v>5.83</v>
      </c>
      <c r="L1387" t="s">
        <v>174</v>
      </c>
      <c r="M1387">
        <v>0</v>
      </c>
      <c r="N1387" t="s">
        <v>217</v>
      </c>
      <c r="O1387">
        <v>4</v>
      </c>
      <c r="P1387">
        <v>1</v>
      </c>
      <c r="Q1387" s="6">
        <v>171.1</v>
      </c>
      <c r="R1387">
        <v>0</v>
      </c>
      <c r="S1387" s="6">
        <v>0</v>
      </c>
      <c r="T1387">
        <v>0</v>
      </c>
      <c r="U1387" s="6">
        <v>3334</v>
      </c>
      <c r="V1387">
        <v>0</v>
      </c>
      <c r="W1387">
        <v>0</v>
      </c>
      <c r="X1387">
        <v>0</v>
      </c>
      <c r="Y1387" s="6">
        <v>51.7</v>
      </c>
      <c r="Z1387">
        <v>1.7999999999999999E-2</v>
      </c>
      <c r="AA1387">
        <v>8.7999999999999995E-2</v>
      </c>
      <c r="AB1387">
        <v>7.8E-2</v>
      </c>
      <c r="AC1387">
        <v>6</v>
      </c>
      <c r="AD1387" s="6">
        <v>60</v>
      </c>
      <c r="AE1387" s="6">
        <v>0</v>
      </c>
      <c r="AF1387" s="6">
        <v>0</v>
      </c>
      <c r="AG1387" s="6">
        <v>118.52</v>
      </c>
      <c r="AH1387" s="6">
        <v>141.69999999999999</v>
      </c>
      <c r="AI1387" s="6">
        <f t="shared" si="42"/>
        <v>23.179999999999993</v>
      </c>
      <c r="AJ1387" s="5">
        <f t="shared" si="43"/>
        <v>0.16358503881439657</v>
      </c>
    </row>
    <row r="1388" spans="1:36">
      <c r="A1388" t="s">
        <v>579</v>
      </c>
      <c r="B1388" t="s">
        <v>1673</v>
      </c>
      <c r="C1388" t="s">
        <v>90</v>
      </c>
      <c r="D1388" t="s">
        <v>68</v>
      </c>
      <c r="E1388" t="s">
        <v>55</v>
      </c>
      <c r="F1388">
        <v>0</v>
      </c>
      <c r="G1388">
        <v>5317</v>
      </c>
      <c r="H1388">
        <v>1</v>
      </c>
      <c r="I1388" t="s">
        <v>181</v>
      </c>
      <c r="J1388">
        <v>3</v>
      </c>
      <c r="K1388" s="6">
        <v>8.4499999999999993</v>
      </c>
      <c r="L1388" t="s">
        <v>174</v>
      </c>
      <c r="M1388">
        <v>0</v>
      </c>
      <c r="N1388" t="s">
        <v>175</v>
      </c>
      <c r="O1388">
        <v>1</v>
      </c>
      <c r="P1388">
        <v>0</v>
      </c>
      <c r="Q1388" s="6">
        <v>23.6</v>
      </c>
      <c r="R1388">
        <v>0</v>
      </c>
      <c r="S1388" s="6">
        <v>0</v>
      </c>
      <c r="T1388">
        <v>0</v>
      </c>
      <c r="U1388" s="6">
        <v>3980</v>
      </c>
      <c r="V1388">
        <v>0</v>
      </c>
      <c r="W1388">
        <v>0</v>
      </c>
      <c r="X1388">
        <v>0</v>
      </c>
      <c r="Y1388" s="6">
        <v>51.7</v>
      </c>
      <c r="Z1388">
        <v>1.7999999999999999E-2</v>
      </c>
      <c r="AA1388">
        <v>8.7999999999999995E-2</v>
      </c>
      <c r="AB1388">
        <v>7.8E-2</v>
      </c>
      <c r="AC1388">
        <v>6</v>
      </c>
      <c r="AD1388" s="6">
        <v>60</v>
      </c>
      <c r="AE1388" s="6">
        <v>0</v>
      </c>
      <c r="AF1388" s="6">
        <v>0</v>
      </c>
      <c r="AG1388" s="6">
        <v>81</v>
      </c>
      <c r="AH1388" s="6">
        <v>100.55</v>
      </c>
      <c r="AI1388" s="6">
        <f t="shared" si="42"/>
        <v>19.549999999999997</v>
      </c>
      <c r="AJ1388" s="5">
        <f t="shared" si="43"/>
        <v>0.19443063152660367</v>
      </c>
    </row>
    <row r="1389" spans="1:36">
      <c r="A1389" t="s">
        <v>431</v>
      </c>
      <c r="B1389" t="s">
        <v>1674</v>
      </c>
      <c r="C1389" t="s">
        <v>90</v>
      </c>
      <c r="D1389" t="s">
        <v>68</v>
      </c>
      <c r="E1389" t="s">
        <v>55</v>
      </c>
      <c r="F1389">
        <v>0</v>
      </c>
      <c r="G1389">
        <v>5317</v>
      </c>
      <c r="H1389">
        <v>1</v>
      </c>
      <c r="I1389" t="s">
        <v>181</v>
      </c>
      <c r="J1389">
        <v>3</v>
      </c>
      <c r="K1389" s="6">
        <v>6.23</v>
      </c>
      <c r="L1389" t="s">
        <v>174</v>
      </c>
      <c r="M1389">
        <v>0</v>
      </c>
      <c r="N1389" t="s">
        <v>175</v>
      </c>
      <c r="O1389">
        <v>1</v>
      </c>
      <c r="P1389">
        <v>0</v>
      </c>
      <c r="Q1389" s="6">
        <v>35.1</v>
      </c>
      <c r="R1389">
        <v>0</v>
      </c>
      <c r="S1389" s="6">
        <v>0</v>
      </c>
      <c r="T1389">
        <v>0</v>
      </c>
      <c r="U1389" s="6">
        <v>11362</v>
      </c>
      <c r="V1389">
        <v>0</v>
      </c>
      <c r="W1389">
        <v>0</v>
      </c>
      <c r="X1389">
        <v>0</v>
      </c>
      <c r="Y1389" s="6">
        <v>51.7</v>
      </c>
      <c r="Z1389">
        <v>1.7999999999999999E-2</v>
      </c>
      <c r="AA1389">
        <v>8.7999999999999995E-2</v>
      </c>
      <c r="AB1389">
        <v>7.8E-2</v>
      </c>
      <c r="AC1389">
        <v>6</v>
      </c>
      <c r="AD1389" s="6">
        <v>60</v>
      </c>
      <c r="AE1389" s="6">
        <v>0</v>
      </c>
      <c r="AF1389" s="6">
        <v>0</v>
      </c>
      <c r="AG1389" s="6">
        <v>61.24</v>
      </c>
      <c r="AH1389" s="6">
        <v>76.3</v>
      </c>
      <c r="AI1389" s="6">
        <f t="shared" si="42"/>
        <v>15.059999999999995</v>
      </c>
      <c r="AJ1389" s="5">
        <f t="shared" si="43"/>
        <v>0.19737876802096979</v>
      </c>
    </row>
    <row r="1390" spans="1:36">
      <c r="A1390" t="s">
        <v>255</v>
      </c>
      <c r="B1390" t="s">
        <v>1675</v>
      </c>
      <c r="C1390" t="s">
        <v>90</v>
      </c>
      <c r="D1390" t="s">
        <v>68</v>
      </c>
      <c r="E1390" t="s">
        <v>55</v>
      </c>
      <c r="F1390">
        <v>0</v>
      </c>
      <c r="G1390">
        <v>5317</v>
      </c>
      <c r="H1390">
        <v>1</v>
      </c>
      <c r="I1390" t="s">
        <v>173</v>
      </c>
      <c r="J1390">
        <v>1</v>
      </c>
      <c r="K1390" s="6">
        <v>1.93</v>
      </c>
      <c r="L1390" t="s">
        <v>174</v>
      </c>
      <c r="M1390">
        <v>0</v>
      </c>
      <c r="N1390" t="s">
        <v>272</v>
      </c>
      <c r="O1390">
        <v>5</v>
      </c>
      <c r="P1390">
        <v>1</v>
      </c>
      <c r="Q1390" s="6">
        <v>241.1</v>
      </c>
      <c r="R1390">
        <v>1</v>
      </c>
      <c r="S1390" s="6">
        <v>1387</v>
      </c>
      <c r="T1390">
        <v>0</v>
      </c>
      <c r="U1390" s="6">
        <v>8468</v>
      </c>
      <c r="V1390">
        <v>0</v>
      </c>
      <c r="W1390">
        <v>0</v>
      </c>
      <c r="X1390">
        <v>0</v>
      </c>
      <c r="Y1390" s="6">
        <v>51.7</v>
      </c>
      <c r="Z1390">
        <v>1.7999999999999999E-2</v>
      </c>
      <c r="AA1390">
        <v>8.7999999999999995E-2</v>
      </c>
      <c r="AB1390">
        <v>7.8E-2</v>
      </c>
      <c r="AC1390">
        <v>6</v>
      </c>
      <c r="AD1390" s="6">
        <v>50</v>
      </c>
      <c r="AE1390" s="6">
        <v>25</v>
      </c>
      <c r="AF1390" s="6">
        <v>0</v>
      </c>
      <c r="AG1390" s="6">
        <v>143.16</v>
      </c>
      <c r="AH1390" s="6">
        <v>175.14</v>
      </c>
      <c r="AI1390" s="6">
        <f t="shared" si="42"/>
        <v>31.97999999999999</v>
      </c>
      <c r="AJ1390" s="5">
        <f t="shared" si="43"/>
        <v>0.18259677971908184</v>
      </c>
    </row>
    <row r="1391" spans="1:36">
      <c r="A1391" t="s">
        <v>303</v>
      </c>
      <c r="B1391" t="s">
        <v>1676</v>
      </c>
      <c r="C1391" t="s">
        <v>90</v>
      </c>
      <c r="D1391" t="s">
        <v>68</v>
      </c>
      <c r="E1391" t="s">
        <v>55</v>
      </c>
      <c r="F1391">
        <v>0</v>
      </c>
      <c r="G1391">
        <v>5317</v>
      </c>
      <c r="H1391">
        <v>1</v>
      </c>
      <c r="I1391" t="s">
        <v>173</v>
      </c>
      <c r="J1391">
        <v>1</v>
      </c>
      <c r="K1391" s="6">
        <v>1.85</v>
      </c>
      <c r="L1391" t="s">
        <v>174</v>
      </c>
      <c r="M1391">
        <v>0</v>
      </c>
      <c r="N1391" t="s">
        <v>182</v>
      </c>
      <c r="O1391">
        <v>3</v>
      </c>
      <c r="P1391">
        <v>0</v>
      </c>
      <c r="Q1391" s="6">
        <v>122.3</v>
      </c>
      <c r="R1391">
        <v>0</v>
      </c>
      <c r="S1391" s="6">
        <v>0</v>
      </c>
      <c r="T1391">
        <v>0</v>
      </c>
      <c r="U1391" s="6">
        <v>4442</v>
      </c>
      <c r="V1391">
        <v>0</v>
      </c>
      <c r="W1391">
        <v>0</v>
      </c>
      <c r="X1391">
        <v>0</v>
      </c>
      <c r="Y1391" s="6">
        <v>51.7</v>
      </c>
      <c r="Z1391">
        <v>1.7999999999999999E-2</v>
      </c>
      <c r="AA1391">
        <v>8.7999999999999995E-2</v>
      </c>
      <c r="AB1391">
        <v>7.8E-2</v>
      </c>
      <c r="AC1391">
        <v>6</v>
      </c>
      <c r="AD1391" s="6">
        <v>50</v>
      </c>
      <c r="AE1391" s="6">
        <v>0</v>
      </c>
      <c r="AF1391" s="6">
        <v>0</v>
      </c>
      <c r="AG1391" s="6">
        <v>54.03</v>
      </c>
      <c r="AH1391" s="6">
        <v>66.05</v>
      </c>
      <c r="AI1391" s="6">
        <f t="shared" si="42"/>
        <v>12.019999999999996</v>
      </c>
      <c r="AJ1391" s="5">
        <f t="shared" si="43"/>
        <v>0.18198334595003779</v>
      </c>
    </row>
    <row r="1392" spans="1:36">
      <c r="A1392" t="s">
        <v>233</v>
      </c>
      <c r="B1392" t="s">
        <v>1677</v>
      </c>
      <c r="C1392" t="s">
        <v>90</v>
      </c>
      <c r="D1392" t="s">
        <v>68</v>
      </c>
      <c r="E1392" t="s">
        <v>55</v>
      </c>
      <c r="F1392">
        <v>0</v>
      </c>
      <c r="G1392">
        <v>5317</v>
      </c>
      <c r="H1392">
        <v>1</v>
      </c>
      <c r="I1392" t="s">
        <v>178</v>
      </c>
      <c r="J1392">
        <v>4</v>
      </c>
      <c r="K1392" s="6">
        <v>12.52</v>
      </c>
      <c r="L1392" t="s">
        <v>174</v>
      </c>
      <c r="M1392">
        <v>0</v>
      </c>
      <c r="N1392" t="s">
        <v>175</v>
      </c>
      <c r="O1392">
        <v>1</v>
      </c>
      <c r="P1392">
        <v>0</v>
      </c>
      <c r="Q1392" s="6">
        <v>29.6</v>
      </c>
      <c r="R1392">
        <v>1</v>
      </c>
      <c r="S1392" s="6">
        <v>1027</v>
      </c>
      <c r="T1392">
        <v>0</v>
      </c>
      <c r="U1392" s="6">
        <v>6563</v>
      </c>
      <c r="V1392">
        <v>0</v>
      </c>
      <c r="W1392">
        <v>0</v>
      </c>
      <c r="X1392">
        <v>0</v>
      </c>
      <c r="Y1392" s="6">
        <v>51.7</v>
      </c>
      <c r="Z1392">
        <v>1.7999999999999999E-2</v>
      </c>
      <c r="AA1392">
        <v>8.7999999999999995E-2</v>
      </c>
      <c r="AB1392">
        <v>7.8E-2</v>
      </c>
      <c r="AC1392">
        <v>6</v>
      </c>
      <c r="AD1392" s="6">
        <v>65</v>
      </c>
      <c r="AE1392" s="6">
        <v>25</v>
      </c>
      <c r="AF1392" s="6">
        <v>0</v>
      </c>
      <c r="AG1392" s="6">
        <v>114.36</v>
      </c>
      <c r="AH1392" s="6">
        <v>136.75</v>
      </c>
      <c r="AI1392" s="6">
        <f t="shared" si="42"/>
        <v>22.39</v>
      </c>
      <c r="AJ1392" s="5">
        <f t="shared" si="43"/>
        <v>0.16372943327239489</v>
      </c>
    </row>
    <row r="1393" spans="1:36">
      <c r="A1393" t="s">
        <v>481</v>
      </c>
      <c r="B1393" t="s">
        <v>1678</v>
      </c>
      <c r="C1393" t="s">
        <v>90</v>
      </c>
      <c r="D1393" t="s">
        <v>68</v>
      </c>
      <c r="E1393" t="s">
        <v>55</v>
      </c>
      <c r="F1393">
        <v>0</v>
      </c>
      <c r="G1393">
        <v>5317</v>
      </c>
      <c r="H1393">
        <v>1</v>
      </c>
      <c r="I1393" t="s">
        <v>181</v>
      </c>
      <c r="J1393">
        <v>3</v>
      </c>
      <c r="K1393" s="6">
        <v>6.78</v>
      </c>
      <c r="L1393" t="s">
        <v>174</v>
      </c>
      <c r="M1393">
        <v>0</v>
      </c>
      <c r="N1393" t="s">
        <v>175</v>
      </c>
      <c r="O1393">
        <v>1</v>
      </c>
      <c r="P1393">
        <v>1</v>
      </c>
      <c r="Q1393" s="6">
        <v>52.9</v>
      </c>
      <c r="R1393">
        <v>1</v>
      </c>
      <c r="S1393" s="6">
        <v>280</v>
      </c>
      <c r="T1393">
        <v>0</v>
      </c>
      <c r="U1393" s="6">
        <v>6685</v>
      </c>
      <c r="V1393">
        <v>0</v>
      </c>
      <c r="W1393">
        <v>0</v>
      </c>
      <c r="X1393">
        <v>0</v>
      </c>
      <c r="Y1393" s="6">
        <v>51.7</v>
      </c>
      <c r="Z1393">
        <v>1.7999999999999999E-2</v>
      </c>
      <c r="AA1393">
        <v>8.7999999999999995E-2</v>
      </c>
      <c r="AB1393">
        <v>7.8E-2</v>
      </c>
      <c r="AC1393">
        <v>6</v>
      </c>
      <c r="AD1393" s="6">
        <v>60</v>
      </c>
      <c r="AE1393" s="6">
        <v>25</v>
      </c>
      <c r="AF1393" s="6">
        <v>0</v>
      </c>
      <c r="AG1393" s="6">
        <v>99.38</v>
      </c>
      <c r="AH1393" s="6">
        <v>123.21</v>
      </c>
      <c r="AI1393" s="6">
        <f t="shared" si="42"/>
        <v>23.83</v>
      </c>
      <c r="AJ1393" s="5">
        <f t="shared" si="43"/>
        <v>0.19340962584205826</v>
      </c>
    </row>
    <row r="1394" spans="1:36">
      <c r="A1394" t="s">
        <v>263</v>
      </c>
      <c r="B1394" t="s">
        <v>1679</v>
      </c>
      <c r="C1394" t="s">
        <v>90</v>
      </c>
      <c r="D1394" t="s">
        <v>68</v>
      </c>
      <c r="E1394" t="s">
        <v>55</v>
      </c>
      <c r="F1394">
        <v>0</v>
      </c>
      <c r="G1394">
        <v>5317</v>
      </c>
      <c r="H1394">
        <v>1</v>
      </c>
      <c r="I1394" t="s">
        <v>181</v>
      </c>
      <c r="J1394">
        <v>3</v>
      </c>
      <c r="K1394" s="6">
        <v>3.96</v>
      </c>
      <c r="L1394" t="s">
        <v>174</v>
      </c>
      <c r="M1394">
        <v>0</v>
      </c>
      <c r="N1394" t="s">
        <v>182</v>
      </c>
      <c r="O1394">
        <v>3</v>
      </c>
      <c r="P1394">
        <v>0</v>
      </c>
      <c r="Q1394" s="6">
        <v>68.8</v>
      </c>
      <c r="R1394">
        <v>1</v>
      </c>
      <c r="S1394" s="6">
        <v>1012</v>
      </c>
      <c r="T1394">
        <v>0</v>
      </c>
      <c r="U1394" s="6">
        <v>5216</v>
      </c>
      <c r="V1394">
        <v>0</v>
      </c>
      <c r="W1394">
        <v>0</v>
      </c>
      <c r="X1394">
        <v>0</v>
      </c>
      <c r="Y1394" s="6">
        <v>51.7</v>
      </c>
      <c r="Z1394">
        <v>1.7999999999999999E-2</v>
      </c>
      <c r="AA1394">
        <v>8.7999999999999995E-2</v>
      </c>
      <c r="AB1394">
        <v>7.8E-2</v>
      </c>
      <c r="AC1394">
        <v>6</v>
      </c>
      <c r="AD1394" s="6">
        <v>60</v>
      </c>
      <c r="AE1394" s="6">
        <v>25</v>
      </c>
      <c r="AF1394" s="6">
        <v>0</v>
      </c>
      <c r="AG1394" s="6">
        <v>84.04</v>
      </c>
      <c r="AH1394" s="6">
        <v>104.92</v>
      </c>
      <c r="AI1394" s="6">
        <f t="shared" si="42"/>
        <v>20.879999999999995</v>
      </c>
      <c r="AJ1394" s="5">
        <f t="shared" si="43"/>
        <v>0.19900876858558897</v>
      </c>
    </row>
    <row r="1395" spans="1:36">
      <c r="A1395" t="s">
        <v>459</v>
      </c>
      <c r="B1395" t="s">
        <v>1680</v>
      </c>
      <c r="C1395" t="s">
        <v>90</v>
      </c>
      <c r="D1395" t="s">
        <v>68</v>
      </c>
      <c r="E1395" t="s">
        <v>55</v>
      </c>
      <c r="F1395">
        <v>0</v>
      </c>
      <c r="G1395">
        <v>5317</v>
      </c>
      <c r="H1395">
        <v>1</v>
      </c>
      <c r="I1395" t="s">
        <v>178</v>
      </c>
      <c r="J1395">
        <v>4</v>
      </c>
      <c r="K1395" s="6">
        <v>13.06</v>
      </c>
      <c r="L1395" t="s">
        <v>174</v>
      </c>
      <c r="M1395">
        <v>0</v>
      </c>
      <c r="N1395" t="s">
        <v>175</v>
      </c>
      <c r="O1395">
        <v>1</v>
      </c>
      <c r="P1395">
        <v>0</v>
      </c>
      <c r="Q1395" s="6">
        <v>50</v>
      </c>
      <c r="R1395">
        <v>1</v>
      </c>
      <c r="S1395" s="6">
        <v>1977</v>
      </c>
      <c r="T1395">
        <v>0</v>
      </c>
      <c r="U1395" s="6">
        <v>5083</v>
      </c>
      <c r="V1395">
        <v>0</v>
      </c>
      <c r="W1395">
        <v>0</v>
      </c>
      <c r="X1395">
        <v>0</v>
      </c>
      <c r="Y1395" s="6">
        <v>51.7</v>
      </c>
      <c r="Z1395">
        <v>1.7999999999999999E-2</v>
      </c>
      <c r="AA1395">
        <v>8.7999999999999995E-2</v>
      </c>
      <c r="AB1395">
        <v>7.8E-2</v>
      </c>
      <c r="AC1395">
        <v>6</v>
      </c>
      <c r="AD1395" s="6">
        <v>65</v>
      </c>
      <c r="AE1395" s="6">
        <v>25</v>
      </c>
      <c r="AF1395" s="6">
        <v>0</v>
      </c>
      <c r="AG1395" s="6">
        <v>123.67</v>
      </c>
      <c r="AH1395" s="6">
        <v>152.16</v>
      </c>
      <c r="AI1395" s="6">
        <f t="shared" si="42"/>
        <v>28.489999999999995</v>
      </c>
      <c r="AJ1395" s="5">
        <f t="shared" si="43"/>
        <v>0.1872371188222923</v>
      </c>
    </row>
    <row r="1396" spans="1:36">
      <c r="A1396" t="s">
        <v>269</v>
      </c>
      <c r="B1396" t="s">
        <v>1681</v>
      </c>
      <c r="C1396" t="s">
        <v>90</v>
      </c>
      <c r="D1396" t="s">
        <v>68</v>
      </c>
      <c r="E1396" t="s">
        <v>55</v>
      </c>
      <c r="F1396">
        <v>0</v>
      </c>
      <c r="G1396">
        <v>5317</v>
      </c>
      <c r="H1396">
        <v>1</v>
      </c>
      <c r="I1396" t="s">
        <v>181</v>
      </c>
      <c r="J1396">
        <v>3</v>
      </c>
      <c r="K1396" s="6">
        <v>5.84</v>
      </c>
      <c r="L1396" t="s">
        <v>174</v>
      </c>
      <c r="M1396">
        <v>0</v>
      </c>
      <c r="N1396" t="s">
        <v>182</v>
      </c>
      <c r="O1396">
        <v>3</v>
      </c>
      <c r="P1396">
        <v>0</v>
      </c>
      <c r="Q1396" s="6">
        <v>108.9</v>
      </c>
      <c r="R1396">
        <v>1</v>
      </c>
      <c r="S1396" s="6">
        <v>3206</v>
      </c>
      <c r="T1396">
        <v>0</v>
      </c>
      <c r="U1396" s="6">
        <v>10769</v>
      </c>
      <c r="V1396">
        <v>1</v>
      </c>
      <c r="W1396">
        <v>0</v>
      </c>
      <c r="X1396">
        <v>0</v>
      </c>
      <c r="Y1396" s="6">
        <v>51.7</v>
      </c>
      <c r="Z1396">
        <v>1.7999999999999999E-2</v>
      </c>
      <c r="AA1396">
        <v>8.7999999999999995E-2</v>
      </c>
      <c r="AB1396">
        <v>7.8E-2</v>
      </c>
      <c r="AC1396">
        <v>6</v>
      </c>
      <c r="AD1396" s="6">
        <v>60</v>
      </c>
      <c r="AE1396" s="6">
        <v>40</v>
      </c>
      <c r="AF1396" s="6">
        <v>0</v>
      </c>
      <c r="AG1396" s="6">
        <v>126.7</v>
      </c>
      <c r="AH1396" s="6">
        <v>152.84</v>
      </c>
      <c r="AI1396" s="6">
        <f t="shared" si="42"/>
        <v>26.14</v>
      </c>
      <c r="AJ1396" s="5">
        <f t="shared" si="43"/>
        <v>0.17102852656372677</v>
      </c>
    </row>
    <row r="1397" spans="1:36">
      <c r="A1397" t="s">
        <v>293</v>
      </c>
      <c r="B1397" t="s">
        <v>1682</v>
      </c>
      <c r="C1397" t="s">
        <v>90</v>
      </c>
      <c r="D1397" t="s">
        <v>68</v>
      </c>
      <c r="E1397" t="s">
        <v>55</v>
      </c>
      <c r="F1397">
        <v>0</v>
      </c>
      <c r="G1397">
        <v>5317</v>
      </c>
      <c r="H1397">
        <v>1</v>
      </c>
      <c r="I1397" t="s">
        <v>181</v>
      </c>
      <c r="J1397">
        <v>3</v>
      </c>
      <c r="K1397" s="6">
        <v>3.74</v>
      </c>
      <c r="L1397" t="s">
        <v>174</v>
      </c>
      <c r="M1397">
        <v>0</v>
      </c>
      <c r="N1397" t="s">
        <v>175</v>
      </c>
      <c r="O1397">
        <v>1</v>
      </c>
      <c r="P1397">
        <v>0</v>
      </c>
      <c r="Q1397" s="6">
        <v>41.8</v>
      </c>
      <c r="R1397">
        <v>1</v>
      </c>
      <c r="S1397" s="6">
        <v>2153</v>
      </c>
      <c r="T1397">
        <v>0</v>
      </c>
      <c r="U1397" s="6">
        <v>2865</v>
      </c>
      <c r="V1397">
        <v>0</v>
      </c>
      <c r="W1397">
        <v>0</v>
      </c>
      <c r="X1397">
        <v>0</v>
      </c>
      <c r="Y1397" s="6">
        <v>51.7</v>
      </c>
      <c r="Z1397">
        <v>1.7999999999999999E-2</v>
      </c>
      <c r="AA1397">
        <v>8.7999999999999995E-2</v>
      </c>
      <c r="AB1397">
        <v>7.8E-2</v>
      </c>
      <c r="AC1397">
        <v>6</v>
      </c>
      <c r="AD1397" s="6">
        <v>60</v>
      </c>
      <c r="AE1397" s="6">
        <v>40</v>
      </c>
      <c r="AF1397" s="6">
        <v>0</v>
      </c>
      <c r="AG1397" s="6">
        <v>65.12</v>
      </c>
      <c r="AH1397" s="6">
        <v>81.23</v>
      </c>
      <c r="AI1397" s="6">
        <f t="shared" si="42"/>
        <v>16.11</v>
      </c>
      <c r="AJ1397" s="5">
        <f t="shared" si="43"/>
        <v>0.19832574172103901</v>
      </c>
    </row>
    <row r="1398" spans="1:36">
      <c r="A1398" t="s">
        <v>517</v>
      </c>
      <c r="B1398" t="s">
        <v>1683</v>
      </c>
      <c r="C1398" t="s">
        <v>90</v>
      </c>
      <c r="D1398" t="s">
        <v>68</v>
      </c>
      <c r="E1398" t="s">
        <v>55</v>
      </c>
      <c r="F1398">
        <v>0</v>
      </c>
      <c r="G1398">
        <v>5317</v>
      </c>
      <c r="H1398">
        <v>1</v>
      </c>
      <c r="I1398" t="s">
        <v>181</v>
      </c>
      <c r="J1398">
        <v>3</v>
      </c>
      <c r="K1398" s="6">
        <v>7.68</v>
      </c>
      <c r="L1398" t="s">
        <v>174</v>
      </c>
      <c r="M1398">
        <v>0</v>
      </c>
      <c r="N1398" t="s">
        <v>182</v>
      </c>
      <c r="O1398">
        <v>3</v>
      </c>
      <c r="P1398">
        <v>0</v>
      </c>
      <c r="Q1398" s="6">
        <v>132.1</v>
      </c>
      <c r="R1398">
        <v>1</v>
      </c>
      <c r="S1398" s="6">
        <v>1465</v>
      </c>
      <c r="T1398">
        <v>0</v>
      </c>
      <c r="U1398" s="6">
        <v>10840</v>
      </c>
      <c r="V1398">
        <v>0</v>
      </c>
      <c r="W1398">
        <v>0</v>
      </c>
      <c r="X1398">
        <v>0</v>
      </c>
      <c r="Y1398" s="6">
        <v>51.7</v>
      </c>
      <c r="Z1398">
        <v>1.7999999999999999E-2</v>
      </c>
      <c r="AA1398">
        <v>8.7999999999999995E-2</v>
      </c>
      <c r="AB1398">
        <v>7.8E-2</v>
      </c>
      <c r="AC1398">
        <v>6</v>
      </c>
      <c r="AD1398" s="6">
        <v>60</v>
      </c>
      <c r="AE1398" s="6">
        <v>25</v>
      </c>
      <c r="AF1398" s="6">
        <v>0</v>
      </c>
      <c r="AG1398" s="6">
        <v>84.77</v>
      </c>
      <c r="AH1398" s="6">
        <v>101.25</v>
      </c>
      <c r="AI1398" s="6">
        <f t="shared" si="42"/>
        <v>16.480000000000004</v>
      </c>
      <c r="AJ1398" s="5">
        <f t="shared" si="43"/>
        <v>0.16276543209876548</v>
      </c>
    </row>
    <row r="1399" spans="1:36">
      <c r="A1399" t="s">
        <v>198</v>
      </c>
      <c r="B1399" t="s">
        <v>1684</v>
      </c>
      <c r="C1399" t="s">
        <v>90</v>
      </c>
      <c r="D1399" t="s">
        <v>68</v>
      </c>
      <c r="E1399" t="s">
        <v>55</v>
      </c>
      <c r="F1399">
        <v>0</v>
      </c>
      <c r="G1399">
        <v>5317</v>
      </c>
      <c r="H1399">
        <v>1</v>
      </c>
      <c r="I1399" t="s">
        <v>220</v>
      </c>
      <c r="J1399">
        <v>2</v>
      </c>
      <c r="K1399" s="6">
        <v>5.31</v>
      </c>
      <c r="L1399" t="s">
        <v>174</v>
      </c>
      <c r="M1399">
        <v>0</v>
      </c>
      <c r="N1399" t="s">
        <v>175</v>
      </c>
      <c r="O1399">
        <v>1</v>
      </c>
      <c r="P1399">
        <v>0</v>
      </c>
      <c r="Q1399" s="6">
        <v>32.1</v>
      </c>
      <c r="R1399">
        <v>0</v>
      </c>
      <c r="S1399" s="6">
        <v>0</v>
      </c>
      <c r="T1399">
        <v>0</v>
      </c>
      <c r="U1399" s="6">
        <v>4650</v>
      </c>
      <c r="V1399">
        <v>0</v>
      </c>
      <c r="W1399">
        <v>1</v>
      </c>
      <c r="X1399">
        <v>0</v>
      </c>
      <c r="Y1399" s="6">
        <v>51.7</v>
      </c>
      <c r="Z1399">
        <v>1.7999999999999999E-2</v>
      </c>
      <c r="AA1399">
        <v>8.7999999999999995E-2</v>
      </c>
      <c r="AB1399">
        <v>7.8E-2</v>
      </c>
      <c r="AC1399">
        <v>6</v>
      </c>
      <c r="AD1399" s="6">
        <v>50</v>
      </c>
      <c r="AE1399" s="6">
        <v>0</v>
      </c>
      <c r="AF1399" s="6">
        <v>0</v>
      </c>
      <c r="AG1399" s="6">
        <v>80.760000000000005</v>
      </c>
      <c r="AH1399" s="6">
        <v>96.66</v>
      </c>
      <c r="AI1399" s="6">
        <f t="shared" si="42"/>
        <v>15.899999999999991</v>
      </c>
      <c r="AJ1399" s="5">
        <f t="shared" si="43"/>
        <v>0.16449410304158898</v>
      </c>
    </row>
    <row r="1400" spans="1:36">
      <c r="A1400" t="s">
        <v>171</v>
      </c>
      <c r="B1400" t="s">
        <v>1685</v>
      </c>
      <c r="C1400" t="s">
        <v>90</v>
      </c>
      <c r="D1400" t="s">
        <v>68</v>
      </c>
      <c r="E1400" t="s">
        <v>55</v>
      </c>
      <c r="F1400">
        <v>0</v>
      </c>
      <c r="G1400">
        <v>5317</v>
      </c>
      <c r="H1400">
        <v>1</v>
      </c>
      <c r="I1400" t="s">
        <v>181</v>
      </c>
      <c r="J1400">
        <v>3</v>
      </c>
      <c r="K1400" s="6">
        <v>10.15</v>
      </c>
      <c r="L1400" t="s">
        <v>174</v>
      </c>
      <c r="M1400">
        <v>0</v>
      </c>
      <c r="N1400" t="s">
        <v>182</v>
      </c>
      <c r="O1400">
        <v>3</v>
      </c>
      <c r="P1400">
        <v>0</v>
      </c>
      <c r="Q1400" s="6">
        <v>110.2</v>
      </c>
      <c r="R1400">
        <v>0</v>
      </c>
      <c r="S1400" s="6">
        <v>0</v>
      </c>
      <c r="T1400">
        <v>0</v>
      </c>
      <c r="U1400" s="6">
        <v>5617</v>
      </c>
      <c r="V1400">
        <v>0</v>
      </c>
      <c r="W1400">
        <v>0</v>
      </c>
      <c r="X1400">
        <v>0</v>
      </c>
      <c r="Y1400" s="6">
        <v>51.7</v>
      </c>
      <c r="Z1400">
        <v>1.7999999999999999E-2</v>
      </c>
      <c r="AA1400">
        <v>8.7999999999999995E-2</v>
      </c>
      <c r="AB1400">
        <v>7.8E-2</v>
      </c>
      <c r="AC1400">
        <v>6</v>
      </c>
      <c r="AD1400" s="6">
        <v>60</v>
      </c>
      <c r="AE1400" s="6">
        <v>0</v>
      </c>
      <c r="AF1400" s="6">
        <v>0</v>
      </c>
      <c r="AG1400" s="6">
        <v>96.4</v>
      </c>
      <c r="AH1400" s="6">
        <v>118.9</v>
      </c>
      <c r="AI1400" s="6">
        <f t="shared" si="42"/>
        <v>22.5</v>
      </c>
      <c r="AJ1400" s="5">
        <f t="shared" si="43"/>
        <v>0.18923465096719932</v>
      </c>
    </row>
    <row r="1401" spans="1:36">
      <c r="A1401" t="s">
        <v>298</v>
      </c>
      <c r="B1401" t="s">
        <v>1686</v>
      </c>
      <c r="C1401" t="s">
        <v>90</v>
      </c>
      <c r="D1401" t="s">
        <v>68</v>
      </c>
      <c r="E1401" t="s">
        <v>55</v>
      </c>
      <c r="F1401">
        <v>0</v>
      </c>
      <c r="G1401">
        <v>5317</v>
      </c>
      <c r="H1401">
        <v>1</v>
      </c>
      <c r="I1401" t="s">
        <v>220</v>
      </c>
      <c r="J1401">
        <v>2</v>
      </c>
      <c r="K1401" s="6">
        <v>5.24</v>
      </c>
      <c r="L1401" t="s">
        <v>200</v>
      </c>
      <c r="M1401">
        <v>1</v>
      </c>
      <c r="N1401" t="s">
        <v>217</v>
      </c>
      <c r="O1401">
        <v>4</v>
      </c>
      <c r="P1401">
        <v>1</v>
      </c>
      <c r="Q1401" s="6">
        <v>160.69999999999999</v>
      </c>
      <c r="R1401">
        <v>0</v>
      </c>
      <c r="S1401" s="6">
        <v>0</v>
      </c>
      <c r="T1401">
        <v>0</v>
      </c>
      <c r="U1401" s="6">
        <v>4579</v>
      </c>
      <c r="V1401">
        <v>0</v>
      </c>
      <c r="W1401">
        <v>0</v>
      </c>
      <c r="X1401">
        <v>0</v>
      </c>
      <c r="Y1401" s="6">
        <v>51.7</v>
      </c>
      <c r="Z1401">
        <v>1.7999999999999999E-2</v>
      </c>
      <c r="AA1401">
        <v>8.7999999999999995E-2</v>
      </c>
      <c r="AB1401">
        <v>7.8E-2</v>
      </c>
      <c r="AC1401">
        <v>6</v>
      </c>
      <c r="AD1401" s="6">
        <v>119</v>
      </c>
      <c r="AE1401" s="6">
        <v>0</v>
      </c>
      <c r="AF1401" s="6">
        <v>0</v>
      </c>
      <c r="AG1401" s="6">
        <v>159.15</v>
      </c>
      <c r="AH1401" s="6">
        <v>194.05</v>
      </c>
      <c r="AI1401" s="6">
        <f t="shared" si="42"/>
        <v>34.900000000000006</v>
      </c>
      <c r="AJ1401" s="5">
        <f t="shared" si="43"/>
        <v>0.17985055398093278</v>
      </c>
    </row>
    <row r="1402" spans="1:36">
      <c r="A1402" t="s">
        <v>286</v>
      </c>
      <c r="B1402" t="s">
        <v>1687</v>
      </c>
      <c r="C1402" t="s">
        <v>90</v>
      </c>
      <c r="D1402" t="s">
        <v>68</v>
      </c>
      <c r="E1402" t="s">
        <v>55</v>
      </c>
      <c r="F1402">
        <v>0</v>
      </c>
      <c r="G1402">
        <v>5317</v>
      </c>
      <c r="H1402">
        <v>1</v>
      </c>
      <c r="I1402" t="s">
        <v>181</v>
      </c>
      <c r="J1402">
        <v>3</v>
      </c>
      <c r="K1402" s="6">
        <v>6.98</v>
      </c>
      <c r="L1402" t="s">
        <v>174</v>
      </c>
      <c r="M1402">
        <v>0</v>
      </c>
      <c r="N1402" t="s">
        <v>187</v>
      </c>
      <c r="O1402">
        <v>2</v>
      </c>
      <c r="P1402">
        <v>0</v>
      </c>
      <c r="Q1402" s="6">
        <v>36.6</v>
      </c>
      <c r="R1402">
        <v>0</v>
      </c>
      <c r="S1402" s="6">
        <v>0</v>
      </c>
      <c r="T1402">
        <v>0</v>
      </c>
      <c r="U1402" s="6">
        <v>8236</v>
      </c>
      <c r="V1402">
        <v>1</v>
      </c>
      <c r="W1402">
        <v>0</v>
      </c>
      <c r="X1402">
        <v>0</v>
      </c>
      <c r="Y1402" s="6">
        <v>51.7</v>
      </c>
      <c r="Z1402">
        <v>1.7999999999999999E-2</v>
      </c>
      <c r="AA1402">
        <v>8.7999999999999995E-2</v>
      </c>
      <c r="AB1402">
        <v>7.8E-2</v>
      </c>
      <c r="AC1402">
        <v>6</v>
      </c>
      <c r="AD1402" s="6">
        <v>60</v>
      </c>
      <c r="AE1402" s="6">
        <v>0</v>
      </c>
      <c r="AF1402" s="6">
        <v>0</v>
      </c>
      <c r="AG1402" s="6">
        <v>110.05</v>
      </c>
      <c r="AH1402" s="6">
        <v>134.61000000000001</v>
      </c>
      <c r="AI1402" s="6">
        <f t="shared" si="42"/>
        <v>24.560000000000016</v>
      </c>
      <c r="AJ1402" s="5">
        <f t="shared" si="43"/>
        <v>0.18245301240621065</v>
      </c>
    </row>
    <row r="1403" spans="1:36">
      <c r="A1403" t="s">
        <v>401</v>
      </c>
      <c r="B1403" t="s">
        <v>1688</v>
      </c>
      <c r="C1403" t="s">
        <v>90</v>
      </c>
      <c r="D1403" t="s">
        <v>68</v>
      </c>
      <c r="E1403" t="s">
        <v>55</v>
      </c>
      <c r="F1403">
        <v>0</v>
      </c>
      <c r="G1403">
        <v>5317</v>
      </c>
      <c r="H1403">
        <v>1</v>
      </c>
      <c r="I1403" t="s">
        <v>181</v>
      </c>
      <c r="J1403">
        <v>3</v>
      </c>
      <c r="K1403" s="6">
        <v>7.95</v>
      </c>
      <c r="L1403" t="s">
        <v>174</v>
      </c>
      <c r="M1403">
        <v>0</v>
      </c>
      <c r="N1403" t="s">
        <v>187</v>
      </c>
      <c r="O1403">
        <v>2</v>
      </c>
      <c r="P1403">
        <v>0</v>
      </c>
      <c r="Q1403" s="6">
        <v>62</v>
      </c>
      <c r="R1403">
        <v>1</v>
      </c>
      <c r="S1403" s="6">
        <v>816</v>
      </c>
      <c r="T1403">
        <v>0</v>
      </c>
      <c r="U1403" s="6">
        <v>7252</v>
      </c>
      <c r="V1403">
        <v>0</v>
      </c>
      <c r="W1403">
        <v>0</v>
      </c>
      <c r="X1403">
        <v>0</v>
      </c>
      <c r="Y1403" s="6">
        <v>51.7</v>
      </c>
      <c r="Z1403">
        <v>1.7999999999999999E-2</v>
      </c>
      <c r="AA1403">
        <v>8.7999999999999995E-2</v>
      </c>
      <c r="AB1403">
        <v>7.8E-2</v>
      </c>
      <c r="AC1403">
        <v>6</v>
      </c>
      <c r="AD1403" s="6">
        <v>60</v>
      </c>
      <c r="AE1403" s="6">
        <v>25</v>
      </c>
      <c r="AF1403" s="6">
        <v>0</v>
      </c>
      <c r="AG1403" s="6">
        <v>80.790000000000006</v>
      </c>
      <c r="AH1403" s="6">
        <v>97.51</v>
      </c>
      <c r="AI1403" s="6">
        <f t="shared" si="42"/>
        <v>16.72</v>
      </c>
      <c r="AJ1403" s="5">
        <f t="shared" si="43"/>
        <v>0.17146959286227051</v>
      </c>
    </row>
    <row r="1404" spans="1:36">
      <c r="A1404" t="s">
        <v>338</v>
      </c>
      <c r="B1404" t="s">
        <v>1689</v>
      </c>
      <c r="C1404" t="s">
        <v>90</v>
      </c>
      <c r="D1404" t="s">
        <v>68</v>
      </c>
      <c r="E1404" t="s">
        <v>55</v>
      </c>
      <c r="F1404">
        <v>0</v>
      </c>
      <c r="G1404">
        <v>5317</v>
      </c>
      <c r="H1404">
        <v>1</v>
      </c>
      <c r="I1404" t="s">
        <v>173</v>
      </c>
      <c r="J1404">
        <v>1</v>
      </c>
      <c r="K1404" s="6">
        <v>2.93</v>
      </c>
      <c r="L1404" t="s">
        <v>174</v>
      </c>
      <c r="M1404">
        <v>0</v>
      </c>
      <c r="N1404" t="s">
        <v>217</v>
      </c>
      <c r="O1404">
        <v>4</v>
      </c>
      <c r="P1404">
        <v>1</v>
      </c>
      <c r="Q1404" s="6">
        <v>115.6</v>
      </c>
      <c r="R1404">
        <v>1</v>
      </c>
      <c r="S1404" s="6">
        <v>221</v>
      </c>
      <c r="T1404">
        <v>0</v>
      </c>
      <c r="U1404" s="6">
        <v>5673</v>
      </c>
      <c r="V1404">
        <v>0</v>
      </c>
      <c r="W1404">
        <v>0</v>
      </c>
      <c r="X1404">
        <v>0</v>
      </c>
      <c r="Y1404" s="6">
        <v>51.7</v>
      </c>
      <c r="Z1404">
        <v>1.7999999999999999E-2</v>
      </c>
      <c r="AA1404">
        <v>8.7999999999999995E-2</v>
      </c>
      <c r="AB1404">
        <v>7.8E-2</v>
      </c>
      <c r="AC1404">
        <v>6</v>
      </c>
      <c r="AD1404" s="6">
        <v>50</v>
      </c>
      <c r="AE1404" s="6">
        <v>25</v>
      </c>
      <c r="AF1404" s="6">
        <v>0</v>
      </c>
      <c r="AG1404" s="6">
        <v>94.53</v>
      </c>
      <c r="AH1404" s="6">
        <v>113.67</v>
      </c>
      <c r="AI1404" s="6">
        <f t="shared" si="42"/>
        <v>19.14</v>
      </c>
      <c r="AJ1404" s="5">
        <f t="shared" si="43"/>
        <v>0.16838215888097124</v>
      </c>
    </row>
    <row r="1405" spans="1:36">
      <c r="A1405" t="s">
        <v>240</v>
      </c>
      <c r="B1405" t="s">
        <v>1690</v>
      </c>
      <c r="C1405" t="s">
        <v>90</v>
      </c>
      <c r="D1405" t="s">
        <v>68</v>
      </c>
      <c r="E1405" t="s">
        <v>55</v>
      </c>
      <c r="F1405">
        <v>0</v>
      </c>
      <c r="G1405">
        <v>5317</v>
      </c>
      <c r="H1405">
        <v>1</v>
      </c>
      <c r="I1405" t="s">
        <v>181</v>
      </c>
      <c r="J1405">
        <v>3</v>
      </c>
      <c r="K1405" s="6">
        <v>9.83</v>
      </c>
      <c r="L1405" t="s">
        <v>174</v>
      </c>
      <c r="M1405">
        <v>0</v>
      </c>
      <c r="N1405" t="s">
        <v>187</v>
      </c>
      <c r="O1405">
        <v>2</v>
      </c>
      <c r="P1405">
        <v>0</v>
      </c>
      <c r="Q1405" s="6">
        <v>47.2</v>
      </c>
      <c r="R1405">
        <v>0</v>
      </c>
      <c r="S1405" s="6">
        <v>0</v>
      </c>
      <c r="T1405">
        <v>0</v>
      </c>
      <c r="U1405" s="6">
        <v>4474</v>
      </c>
      <c r="V1405">
        <v>0</v>
      </c>
      <c r="W1405">
        <v>0</v>
      </c>
      <c r="X1405">
        <v>0</v>
      </c>
      <c r="Y1405" s="6">
        <v>51.7</v>
      </c>
      <c r="Z1405">
        <v>1.7999999999999999E-2</v>
      </c>
      <c r="AA1405">
        <v>8.7999999999999995E-2</v>
      </c>
      <c r="AB1405">
        <v>7.8E-2</v>
      </c>
      <c r="AC1405">
        <v>6</v>
      </c>
      <c r="AD1405" s="6">
        <v>60</v>
      </c>
      <c r="AE1405" s="6">
        <v>0</v>
      </c>
      <c r="AF1405" s="6">
        <v>0</v>
      </c>
      <c r="AG1405" s="6">
        <v>107.58</v>
      </c>
      <c r="AH1405" s="6">
        <v>128.44</v>
      </c>
      <c r="AI1405" s="6">
        <f t="shared" si="42"/>
        <v>20.86</v>
      </c>
      <c r="AJ1405" s="5">
        <f t="shared" si="43"/>
        <v>0.16241046402989723</v>
      </c>
    </row>
    <row r="1406" spans="1:36">
      <c r="A1406" t="s">
        <v>212</v>
      </c>
      <c r="B1406" t="s">
        <v>1691</v>
      </c>
      <c r="C1406" t="s">
        <v>90</v>
      </c>
      <c r="D1406" t="s">
        <v>68</v>
      </c>
      <c r="E1406" t="s">
        <v>55</v>
      </c>
      <c r="F1406">
        <v>0</v>
      </c>
      <c r="G1406">
        <v>5317</v>
      </c>
      <c r="H1406">
        <v>1</v>
      </c>
      <c r="I1406" t="s">
        <v>181</v>
      </c>
      <c r="J1406">
        <v>3</v>
      </c>
      <c r="K1406" s="6">
        <v>6.32</v>
      </c>
      <c r="L1406" t="s">
        <v>174</v>
      </c>
      <c r="M1406">
        <v>0</v>
      </c>
      <c r="N1406" t="s">
        <v>175</v>
      </c>
      <c r="O1406">
        <v>1</v>
      </c>
      <c r="P1406">
        <v>0</v>
      </c>
      <c r="Q1406" s="6">
        <v>19</v>
      </c>
      <c r="R1406">
        <v>1</v>
      </c>
      <c r="S1406" s="6">
        <v>657</v>
      </c>
      <c r="T1406">
        <v>0</v>
      </c>
      <c r="U1406" s="6">
        <v>3019</v>
      </c>
      <c r="V1406">
        <v>0</v>
      </c>
      <c r="W1406">
        <v>0</v>
      </c>
      <c r="X1406">
        <v>0</v>
      </c>
      <c r="Y1406" s="6">
        <v>51.7</v>
      </c>
      <c r="Z1406">
        <v>1.7999999999999999E-2</v>
      </c>
      <c r="AA1406">
        <v>8.7999999999999995E-2</v>
      </c>
      <c r="AB1406">
        <v>7.8E-2</v>
      </c>
      <c r="AC1406">
        <v>6</v>
      </c>
      <c r="AD1406" s="6">
        <v>60</v>
      </c>
      <c r="AE1406" s="6">
        <v>25</v>
      </c>
      <c r="AF1406" s="6">
        <v>0</v>
      </c>
      <c r="AG1406" s="6">
        <v>66.72</v>
      </c>
      <c r="AH1406" s="6">
        <v>84.24</v>
      </c>
      <c r="AI1406" s="6">
        <f t="shared" si="42"/>
        <v>17.519999999999996</v>
      </c>
      <c r="AJ1406" s="5">
        <f t="shared" si="43"/>
        <v>0.20797720797720795</v>
      </c>
    </row>
    <row r="1407" spans="1:36">
      <c r="A1407" t="s">
        <v>512</v>
      </c>
      <c r="B1407" t="s">
        <v>1692</v>
      </c>
      <c r="C1407" t="s">
        <v>90</v>
      </c>
      <c r="D1407" t="s">
        <v>68</v>
      </c>
      <c r="E1407" t="s">
        <v>55</v>
      </c>
      <c r="F1407">
        <v>0</v>
      </c>
      <c r="G1407">
        <v>5317</v>
      </c>
      <c r="H1407">
        <v>1</v>
      </c>
      <c r="I1407" t="s">
        <v>173</v>
      </c>
      <c r="J1407">
        <v>1</v>
      </c>
      <c r="K1407" s="6">
        <v>1.67</v>
      </c>
      <c r="L1407" t="s">
        <v>174</v>
      </c>
      <c r="M1407">
        <v>0</v>
      </c>
      <c r="N1407" t="s">
        <v>182</v>
      </c>
      <c r="O1407">
        <v>3</v>
      </c>
      <c r="P1407">
        <v>0</v>
      </c>
      <c r="Q1407" s="6">
        <v>92.5</v>
      </c>
      <c r="R1407">
        <v>1</v>
      </c>
      <c r="S1407" s="6">
        <v>3735</v>
      </c>
      <c r="T1407">
        <v>0</v>
      </c>
      <c r="U1407" s="6">
        <v>2366</v>
      </c>
      <c r="V1407">
        <v>0</v>
      </c>
      <c r="W1407">
        <v>0</v>
      </c>
      <c r="X1407">
        <v>0</v>
      </c>
      <c r="Y1407" s="6">
        <v>51.7</v>
      </c>
      <c r="Z1407">
        <v>1.7999999999999999E-2</v>
      </c>
      <c r="AA1407">
        <v>8.7999999999999995E-2</v>
      </c>
      <c r="AB1407">
        <v>7.8E-2</v>
      </c>
      <c r="AC1407">
        <v>6</v>
      </c>
      <c r="AD1407" s="6">
        <v>50</v>
      </c>
      <c r="AE1407" s="6">
        <v>40</v>
      </c>
      <c r="AF1407" s="6">
        <v>0</v>
      </c>
      <c r="AG1407" s="6">
        <v>60.76</v>
      </c>
      <c r="AH1407" s="6">
        <v>74.069999999999993</v>
      </c>
      <c r="AI1407" s="6">
        <f t="shared" si="42"/>
        <v>13.309999999999995</v>
      </c>
      <c r="AJ1407" s="5">
        <f t="shared" si="43"/>
        <v>0.17969488321857696</v>
      </c>
    </row>
    <row r="1408" spans="1:36">
      <c r="A1408" t="s">
        <v>279</v>
      </c>
      <c r="B1408" t="s">
        <v>1693</v>
      </c>
      <c r="C1408" t="s">
        <v>90</v>
      </c>
      <c r="D1408" t="s">
        <v>68</v>
      </c>
      <c r="E1408" t="s">
        <v>55</v>
      </c>
      <c r="F1408">
        <v>0</v>
      </c>
      <c r="G1408">
        <v>5317</v>
      </c>
      <c r="H1408">
        <v>1</v>
      </c>
      <c r="I1408" t="s">
        <v>181</v>
      </c>
      <c r="J1408">
        <v>3</v>
      </c>
      <c r="K1408" s="6">
        <v>8.52</v>
      </c>
      <c r="L1408" t="s">
        <v>174</v>
      </c>
      <c r="M1408">
        <v>0</v>
      </c>
      <c r="N1408" t="s">
        <v>175</v>
      </c>
      <c r="O1408">
        <v>1</v>
      </c>
      <c r="P1408">
        <v>0</v>
      </c>
      <c r="Q1408" s="6">
        <v>39.799999999999997</v>
      </c>
      <c r="R1408">
        <v>0</v>
      </c>
      <c r="S1408" s="6">
        <v>0</v>
      </c>
      <c r="T1408">
        <v>0</v>
      </c>
      <c r="U1408" s="6">
        <v>2177</v>
      </c>
      <c r="V1408">
        <v>0</v>
      </c>
      <c r="W1408">
        <v>0</v>
      </c>
      <c r="X1408">
        <v>0</v>
      </c>
      <c r="Y1408" s="6">
        <v>51.7</v>
      </c>
      <c r="Z1408">
        <v>1.7999999999999999E-2</v>
      </c>
      <c r="AA1408">
        <v>8.7999999999999995E-2</v>
      </c>
      <c r="AB1408">
        <v>7.8E-2</v>
      </c>
      <c r="AC1408">
        <v>6</v>
      </c>
      <c r="AD1408" s="6">
        <v>60</v>
      </c>
      <c r="AE1408" s="6">
        <v>0</v>
      </c>
      <c r="AF1408" s="6">
        <v>0</v>
      </c>
      <c r="AG1408" s="6">
        <v>86.52</v>
      </c>
      <c r="AH1408" s="6">
        <v>105.8</v>
      </c>
      <c r="AI1408" s="6">
        <f t="shared" si="42"/>
        <v>19.28</v>
      </c>
      <c r="AJ1408" s="5">
        <f t="shared" si="43"/>
        <v>0.18223062381852553</v>
      </c>
    </row>
    <row r="1409" spans="1:36">
      <c r="A1409" t="s">
        <v>362</v>
      </c>
      <c r="B1409" t="s">
        <v>1694</v>
      </c>
      <c r="C1409" t="s">
        <v>90</v>
      </c>
      <c r="D1409" t="s">
        <v>68</v>
      </c>
      <c r="E1409" t="s">
        <v>55</v>
      </c>
      <c r="F1409">
        <v>0</v>
      </c>
      <c r="G1409">
        <v>5317</v>
      </c>
      <c r="H1409">
        <v>1</v>
      </c>
      <c r="I1409" t="s">
        <v>181</v>
      </c>
      <c r="J1409">
        <v>3</v>
      </c>
      <c r="K1409" s="6">
        <v>8.1</v>
      </c>
      <c r="L1409" t="s">
        <v>174</v>
      </c>
      <c r="M1409">
        <v>0</v>
      </c>
      <c r="N1409" t="s">
        <v>182</v>
      </c>
      <c r="O1409">
        <v>3</v>
      </c>
      <c r="P1409">
        <v>0</v>
      </c>
      <c r="Q1409" s="6">
        <v>109.5</v>
      </c>
      <c r="R1409">
        <v>0</v>
      </c>
      <c r="S1409" s="6">
        <v>0</v>
      </c>
      <c r="T1409">
        <v>0</v>
      </c>
      <c r="U1409" s="6">
        <v>3687</v>
      </c>
      <c r="V1409">
        <v>0</v>
      </c>
      <c r="W1409">
        <v>0</v>
      </c>
      <c r="X1409">
        <v>0</v>
      </c>
      <c r="Y1409" s="6">
        <v>51.7</v>
      </c>
      <c r="Z1409">
        <v>1.7999999999999999E-2</v>
      </c>
      <c r="AA1409">
        <v>8.7999999999999995E-2</v>
      </c>
      <c r="AB1409">
        <v>7.8E-2</v>
      </c>
      <c r="AC1409">
        <v>6</v>
      </c>
      <c r="AD1409" s="6">
        <v>60</v>
      </c>
      <c r="AE1409" s="6">
        <v>0</v>
      </c>
      <c r="AF1409" s="6">
        <v>0</v>
      </c>
      <c r="AG1409" s="6">
        <v>96.25</v>
      </c>
      <c r="AH1409" s="6">
        <v>117.17</v>
      </c>
      <c r="AI1409" s="6">
        <f t="shared" si="42"/>
        <v>20.92</v>
      </c>
      <c r="AJ1409" s="5">
        <f t="shared" si="43"/>
        <v>0.17854399590338826</v>
      </c>
    </row>
    <row r="1410" spans="1:36">
      <c r="A1410" t="s">
        <v>218</v>
      </c>
      <c r="B1410" t="s">
        <v>1695</v>
      </c>
      <c r="C1410" t="s">
        <v>90</v>
      </c>
      <c r="D1410" t="s">
        <v>68</v>
      </c>
      <c r="E1410" t="s">
        <v>55</v>
      </c>
      <c r="F1410">
        <v>0</v>
      </c>
      <c r="G1410">
        <v>5317</v>
      </c>
      <c r="H1410">
        <v>1</v>
      </c>
      <c r="I1410" t="s">
        <v>181</v>
      </c>
      <c r="J1410">
        <v>3</v>
      </c>
      <c r="K1410" s="6">
        <v>12.94</v>
      </c>
      <c r="L1410" t="s">
        <v>174</v>
      </c>
      <c r="M1410">
        <v>0</v>
      </c>
      <c r="N1410" t="s">
        <v>187</v>
      </c>
      <c r="O1410">
        <v>2</v>
      </c>
      <c r="P1410">
        <v>0</v>
      </c>
      <c r="Q1410" s="6">
        <v>70.5</v>
      </c>
      <c r="R1410">
        <v>1</v>
      </c>
      <c r="S1410" s="6">
        <v>3212</v>
      </c>
      <c r="T1410">
        <v>0</v>
      </c>
      <c r="U1410" s="6">
        <v>2008</v>
      </c>
      <c r="V1410">
        <v>0</v>
      </c>
      <c r="W1410">
        <v>0</v>
      </c>
      <c r="X1410">
        <v>0</v>
      </c>
      <c r="Y1410" s="6">
        <v>51.7</v>
      </c>
      <c r="Z1410">
        <v>1.7999999999999999E-2</v>
      </c>
      <c r="AA1410">
        <v>8.7999999999999995E-2</v>
      </c>
      <c r="AB1410">
        <v>7.8E-2</v>
      </c>
      <c r="AC1410">
        <v>6</v>
      </c>
      <c r="AD1410" s="6">
        <v>60</v>
      </c>
      <c r="AE1410" s="6">
        <v>40</v>
      </c>
      <c r="AF1410" s="6">
        <v>0</v>
      </c>
      <c r="AG1410" s="6">
        <v>102.86</v>
      </c>
      <c r="AH1410" s="6">
        <v>124.93</v>
      </c>
      <c r="AI1410" s="6">
        <f t="shared" ref="AI1410:AI1473" si="44">AH1410-AG1410</f>
        <v>22.070000000000007</v>
      </c>
      <c r="AJ1410" s="5">
        <f t="shared" ref="AJ1410:AJ1473" si="45">IFERROR(AI1410/AH1410,0)</f>
        <v>0.17665892900024019</v>
      </c>
    </row>
    <row r="1411" spans="1:36">
      <c r="A1411" t="s">
        <v>266</v>
      </c>
      <c r="B1411" t="s">
        <v>1696</v>
      </c>
      <c r="C1411" t="s">
        <v>90</v>
      </c>
      <c r="D1411" t="s">
        <v>68</v>
      </c>
      <c r="E1411" t="s">
        <v>55</v>
      </c>
      <c r="F1411">
        <v>0</v>
      </c>
      <c r="G1411">
        <v>5317</v>
      </c>
      <c r="H1411">
        <v>1</v>
      </c>
      <c r="I1411" t="s">
        <v>181</v>
      </c>
      <c r="J1411">
        <v>3</v>
      </c>
      <c r="K1411" s="6">
        <v>9.68</v>
      </c>
      <c r="L1411" t="s">
        <v>174</v>
      </c>
      <c r="M1411">
        <v>0</v>
      </c>
      <c r="N1411" t="s">
        <v>187</v>
      </c>
      <c r="O1411">
        <v>2</v>
      </c>
      <c r="P1411">
        <v>0</v>
      </c>
      <c r="Q1411" s="6">
        <v>54.3</v>
      </c>
      <c r="R1411">
        <v>0</v>
      </c>
      <c r="S1411" s="6">
        <v>0</v>
      </c>
      <c r="T1411">
        <v>0</v>
      </c>
      <c r="U1411" s="6">
        <v>5806</v>
      </c>
      <c r="V1411">
        <v>0</v>
      </c>
      <c r="W1411">
        <v>0</v>
      </c>
      <c r="X1411">
        <v>0</v>
      </c>
      <c r="Y1411" s="6">
        <v>51.7</v>
      </c>
      <c r="Z1411">
        <v>1.7999999999999999E-2</v>
      </c>
      <c r="AA1411">
        <v>8.7999999999999995E-2</v>
      </c>
      <c r="AB1411">
        <v>7.8E-2</v>
      </c>
      <c r="AC1411">
        <v>6</v>
      </c>
      <c r="AD1411" s="6">
        <v>60</v>
      </c>
      <c r="AE1411" s="6">
        <v>0</v>
      </c>
      <c r="AF1411" s="6">
        <v>0</v>
      </c>
      <c r="AG1411" s="6">
        <v>93.1</v>
      </c>
      <c r="AH1411" s="6">
        <v>112.95</v>
      </c>
      <c r="AI1411" s="6">
        <f t="shared" si="44"/>
        <v>19.850000000000009</v>
      </c>
      <c r="AJ1411" s="5">
        <f t="shared" si="45"/>
        <v>0.17574147853032324</v>
      </c>
    </row>
    <row r="1412" spans="1:36">
      <c r="A1412" t="s">
        <v>362</v>
      </c>
      <c r="B1412" t="s">
        <v>1697</v>
      </c>
      <c r="C1412" t="s">
        <v>90</v>
      </c>
      <c r="D1412" t="s">
        <v>68</v>
      </c>
      <c r="E1412" t="s">
        <v>55</v>
      </c>
      <c r="F1412">
        <v>0</v>
      </c>
      <c r="G1412">
        <v>5317</v>
      </c>
      <c r="H1412">
        <v>1</v>
      </c>
      <c r="I1412" t="s">
        <v>181</v>
      </c>
      <c r="J1412">
        <v>3</v>
      </c>
      <c r="K1412" s="6">
        <v>5.8</v>
      </c>
      <c r="L1412" t="s">
        <v>174</v>
      </c>
      <c r="M1412">
        <v>0</v>
      </c>
      <c r="N1412" t="s">
        <v>187</v>
      </c>
      <c r="O1412">
        <v>2</v>
      </c>
      <c r="P1412">
        <v>0</v>
      </c>
      <c r="Q1412" s="6">
        <v>60.5</v>
      </c>
      <c r="R1412">
        <v>0</v>
      </c>
      <c r="S1412" s="6">
        <v>0</v>
      </c>
      <c r="T1412">
        <v>0</v>
      </c>
      <c r="U1412" s="6">
        <v>2266</v>
      </c>
      <c r="V1412">
        <v>0</v>
      </c>
      <c r="W1412">
        <v>0</v>
      </c>
      <c r="X1412">
        <v>0</v>
      </c>
      <c r="Y1412" s="6">
        <v>51.7</v>
      </c>
      <c r="Z1412">
        <v>1.7999999999999999E-2</v>
      </c>
      <c r="AA1412">
        <v>8.7999999999999995E-2</v>
      </c>
      <c r="AB1412">
        <v>7.8E-2</v>
      </c>
      <c r="AC1412">
        <v>6</v>
      </c>
      <c r="AD1412" s="6">
        <v>60</v>
      </c>
      <c r="AE1412" s="6">
        <v>0</v>
      </c>
      <c r="AF1412" s="6">
        <v>0</v>
      </c>
      <c r="AG1412" s="6">
        <v>80.86</v>
      </c>
      <c r="AH1412" s="6">
        <v>98.61</v>
      </c>
      <c r="AI1412" s="6">
        <f t="shared" si="44"/>
        <v>17.75</v>
      </c>
      <c r="AJ1412" s="5">
        <f t="shared" si="45"/>
        <v>0.18000202819186695</v>
      </c>
    </row>
    <row r="1413" spans="1:36">
      <c r="A1413" t="s">
        <v>303</v>
      </c>
      <c r="B1413" t="s">
        <v>1698</v>
      </c>
      <c r="C1413" t="s">
        <v>90</v>
      </c>
      <c r="D1413" t="s">
        <v>68</v>
      </c>
      <c r="E1413" t="s">
        <v>55</v>
      </c>
      <c r="F1413">
        <v>0</v>
      </c>
      <c r="G1413">
        <v>5317</v>
      </c>
      <c r="H1413">
        <v>1</v>
      </c>
      <c r="I1413" t="s">
        <v>181</v>
      </c>
      <c r="J1413">
        <v>3</v>
      </c>
      <c r="K1413" s="6">
        <v>9.2100000000000009</v>
      </c>
      <c r="L1413" t="s">
        <v>174</v>
      </c>
      <c r="M1413">
        <v>0</v>
      </c>
      <c r="N1413" t="s">
        <v>217</v>
      </c>
      <c r="O1413">
        <v>4</v>
      </c>
      <c r="P1413">
        <v>1</v>
      </c>
      <c r="Q1413" s="6">
        <v>123.4</v>
      </c>
      <c r="R1413">
        <v>1</v>
      </c>
      <c r="S1413" s="6">
        <v>882</v>
      </c>
      <c r="T1413">
        <v>0</v>
      </c>
      <c r="U1413" s="6">
        <v>9591</v>
      </c>
      <c r="V1413">
        <v>0</v>
      </c>
      <c r="W1413">
        <v>0</v>
      </c>
      <c r="X1413">
        <v>0</v>
      </c>
      <c r="Y1413" s="6">
        <v>51.7</v>
      </c>
      <c r="Z1413">
        <v>1.7999999999999999E-2</v>
      </c>
      <c r="AA1413">
        <v>8.7999999999999995E-2</v>
      </c>
      <c r="AB1413">
        <v>7.8E-2</v>
      </c>
      <c r="AC1413">
        <v>6</v>
      </c>
      <c r="AD1413" s="6">
        <v>60</v>
      </c>
      <c r="AE1413" s="6">
        <v>25</v>
      </c>
      <c r="AF1413" s="6">
        <v>0</v>
      </c>
      <c r="AG1413" s="6">
        <v>143.31</v>
      </c>
      <c r="AH1413" s="6">
        <v>170.72</v>
      </c>
      <c r="AI1413" s="6">
        <f t="shared" si="44"/>
        <v>27.409999999999997</v>
      </c>
      <c r="AJ1413" s="5">
        <f t="shared" si="45"/>
        <v>0.16055529522024364</v>
      </c>
    </row>
    <row r="1414" spans="1:36">
      <c r="A1414" t="s">
        <v>293</v>
      </c>
      <c r="B1414" t="s">
        <v>1699</v>
      </c>
      <c r="C1414" t="s">
        <v>90</v>
      </c>
      <c r="D1414" t="s">
        <v>68</v>
      </c>
      <c r="E1414" t="s">
        <v>55</v>
      </c>
      <c r="F1414">
        <v>0</v>
      </c>
      <c r="G1414">
        <v>5317</v>
      </c>
      <c r="H1414">
        <v>1</v>
      </c>
      <c r="I1414" t="s">
        <v>181</v>
      </c>
      <c r="J1414">
        <v>3</v>
      </c>
      <c r="K1414" s="6">
        <v>10.28</v>
      </c>
      <c r="L1414" t="s">
        <v>174</v>
      </c>
      <c r="M1414">
        <v>0</v>
      </c>
      <c r="N1414" t="s">
        <v>187</v>
      </c>
      <c r="O1414">
        <v>2</v>
      </c>
      <c r="P1414">
        <v>0</v>
      </c>
      <c r="Q1414" s="6">
        <v>36.200000000000003</v>
      </c>
      <c r="R1414">
        <v>1</v>
      </c>
      <c r="S1414" s="6">
        <v>2890</v>
      </c>
      <c r="T1414">
        <v>0</v>
      </c>
      <c r="U1414" s="6">
        <v>9331</v>
      </c>
      <c r="V1414">
        <v>0</v>
      </c>
      <c r="W1414">
        <v>0</v>
      </c>
      <c r="X1414">
        <v>0</v>
      </c>
      <c r="Y1414" s="6">
        <v>51.7</v>
      </c>
      <c r="Z1414">
        <v>1.7999999999999999E-2</v>
      </c>
      <c r="AA1414">
        <v>8.7999999999999995E-2</v>
      </c>
      <c r="AB1414">
        <v>7.8E-2</v>
      </c>
      <c r="AC1414">
        <v>6</v>
      </c>
      <c r="AD1414" s="6">
        <v>60</v>
      </c>
      <c r="AE1414" s="6">
        <v>40</v>
      </c>
      <c r="AF1414" s="6">
        <v>0</v>
      </c>
      <c r="AG1414" s="6">
        <v>96.02</v>
      </c>
      <c r="AH1414" s="6">
        <v>115.44</v>
      </c>
      <c r="AI1414" s="6">
        <f t="shared" si="44"/>
        <v>19.420000000000002</v>
      </c>
      <c r="AJ1414" s="5">
        <f t="shared" si="45"/>
        <v>0.16822591822591823</v>
      </c>
    </row>
    <row r="1415" spans="1:36">
      <c r="A1415" t="s">
        <v>194</v>
      </c>
      <c r="B1415" t="s">
        <v>1700</v>
      </c>
      <c r="C1415" t="s">
        <v>90</v>
      </c>
      <c r="D1415" t="s">
        <v>68</v>
      </c>
      <c r="E1415" t="s">
        <v>55</v>
      </c>
      <c r="F1415">
        <v>0</v>
      </c>
      <c r="G1415">
        <v>5317</v>
      </c>
      <c r="H1415">
        <v>1</v>
      </c>
      <c r="I1415" t="s">
        <v>181</v>
      </c>
      <c r="J1415">
        <v>3</v>
      </c>
      <c r="K1415" s="6">
        <v>8.48</v>
      </c>
      <c r="L1415" t="s">
        <v>174</v>
      </c>
      <c r="M1415">
        <v>0</v>
      </c>
      <c r="N1415" t="s">
        <v>175</v>
      </c>
      <c r="O1415">
        <v>1</v>
      </c>
      <c r="P1415">
        <v>0</v>
      </c>
      <c r="Q1415" s="6">
        <v>49.1</v>
      </c>
      <c r="R1415">
        <v>1</v>
      </c>
      <c r="S1415" s="6">
        <v>865</v>
      </c>
      <c r="T1415">
        <v>0</v>
      </c>
      <c r="U1415" s="6">
        <v>3588</v>
      </c>
      <c r="V1415">
        <v>1</v>
      </c>
      <c r="W1415">
        <v>0</v>
      </c>
      <c r="X1415">
        <v>0</v>
      </c>
      <c r="Y1415" s="6">
        <v>51.7</v>
      </c>
      <c r="Z1415">
        <v>1.7999999999999999E-2</v>
      </c>
      <c r="AA1415">
        <v>8.7999999999999995E-2</v>
      </c>
      <c r="AB1415">
        <v>7.8E-2</v>
      </c>
      <c r="AC1415">
        <v>6</v>
      </c>
      <c r="AD1415" s="6">
        <v>60</v>
      </c>
      <c r="AE1415" s="6">
        <v>25</v>
      </c>
      <c r="AF1415" s="6">
        <v>0</v>
      </c>
      <c r="AG1415" s="6">
        <v>136.43</v>
      </c>
      <c r="AH1415" s="6">
        <v>163.94</v>
      </c>
      <c r="AI1415" s="6">
        <f t="shared" si="44"/>
        <v>27.509999999999991</v>
      </c>
      <c r="AJ1415" s="5">
        <f t="shared" si="45"/>
        <v>0.16780529461998286</v>
      </c>
    </row>
    <row r="1416" spans="1:36">
      <c r="A1416" t="s">
        <v>537</v>
      </c>
      <c r="B1416" t="s">
        <v>1701</v>
      </c>
      <c r="C1416" t="s">
        <v>90</v>
      </c>
      <c r="D1416" t="s">
        <v>68</v>
      </c>
      <c r="E1416" t="s">
        <v>55</v>
      </c>
      <c r="F1416">
        <v>0</v>
      </c>
      <c r="G1416">
        <v>5317</v>
      </c>
      <c r="H1416">
        <v>1</v>
      </c>
      <c r="I1416" t="s">
        <v>181</v>
      </c>
      <c r="J1416">
        <v>3</v>
      </c>
      <c r="K1416" s="6">
        <v>9.84</v>
      </c>
      <c r="L1416" t="s">
        <v>174</v>
      </c>
      <c r="M1416">
        <v>0</v>
      </c>
      <c r="N1416" t="s">
        <v>187</v>
      </c>
      <c r="O1416">
        <v>2</v>
      </c>
      <c r="P1416">
        <v>1</v>
      </c>
      <c r="Q1416" s="6">
        <v>64.599999999999994</v>
      </c>
      <c r="R1416">
        <v>0</v>
      </c>
      <c r="S1416" s="6">
        <v>0</v>
      </c>
      <c r="T1416">
        <v>0</v>
      </c>
      <c r="U1416" s="6">
        <v>11344</v>
      </c>
      <c r="V1416">
        <v>0</v>
      </c>
      <c r="W1416">
        <v>0</v>
      </c>
      <c r="X1416">
        <v>0</v>
      </c>
      <c r="Y1416" s="6">
        <v>51.7</v>
      </c>
      <c r="Z1416">
        <v>1.7999999999999999E-2</v>
      </c>
      <c r="AA1416">
        <v>8.7999999999999995E-2</v>
      </c>
      <c r="AB1416">
        <v>7.8E-2</v>
      </c>
      <c r="AC1416">
        <v>6</v>
      </c>
      <c r="AD1416" s="6">
        <v>60</v>
      </c>
      <c r="AE1416" s="6">
        <v>0</v>
      </c>
      <c r="AF1416" s="6">
        <v>0</v>
      </c>
      <c r="AG1416" s="6">
        <v>112.36</v>
      </c>
      <c r="AH1416" s="6">
        <v>137.28</v>
      </c>
      <c r="AI1416" s="6">
        <f t="shared" si="44"/>
        <v>24.92</v>
      </c>
      <c r="AJ1416" s="5">
        <f t="shared" si="45"/>
        <v>0.18152680652680653</v>
      </c>
    </row>
    <row r="1417" spans="1:36">
      <c r="A1417" t="s">
        <v>198</v>
      </c>
      <c r="B1417" t="s">
        <v>1702</v>
      </c>
      <c r="C1417" t="s">
        <v>90</v>
      </c>
      <c r="D1417" t="s">
        <v>68</v>
      </c>
      <c r="E1417" t="s">
        <v>55</v>
      </c>
      <c r="F1417">
        <v>0</v>
      </c>
      <c r="G1417">
        <v>5317</v>
      </c>
      <c r="H1417">
        <v>1</v>
      </c>
      <c r="I1417" t="s">
        <v>181</v>
      </c>
      <c r="J1417">
        <v>3</v>
      </c>
      <c r="K1417" s="6">
        <v>7.64</v>
      </c>
      <c r="L1417" t="s">
        <v>174</v>
      </c>
      <c r="M1417">
        <v>0</v>
      </c>
      <c r="N1417" t="s">
        <v>187</v>
      </c>
      <c r="O1417">
        <v>2</v>
      </c>
      <c r="P1417">
        <v>0</v>
      </c>
      <c r="Q1417" s="6">
        <v>64.7</v>
      </c>
      <c r="R1417">
        <v>0</v>
      </c>
      <c r="S1417" s="6">
        <v>0</v>
      </c>
      <c r="T1417">
        <v>0</v>
      </c>
      <c r="U1417" s="6">
        <v>3653</v>
      </c>
      <c r="V1417">
        <v>0</v>
      </c>
      <c r="W1417">
        <v>0</v>
      </c>
      <c r="X1417">
        <v>0</v>
      </c>
      <c r="Y1417" s="6">
        <v>51.7</v>
      </c>
      <c r="Z1417">
        <v>1.7999999999999999E-2</v>
      </c>
      <c r="AA1417">
        <v>8.7999999999999995E-2</v>
      </c>
      <c r="AB1417">
        <v>7.8E-2</v>
      </c>
      <c r="AC1417">
        <v>6</v>
      </c>
      <c r="AD1417" s="6">
        <v>60</v>
      </c>
      <c r="AE1417" s="6">
        <v>0</v>
      </c>
      <c r="AF1417" s="6">
        <v>0</v>
      </c>
      <c r="AG1417" s="6">
        <v>76.180000000000007</v>
      </c>
      <c r="AH1417" s="6">
        <v>94.78</v>
      </c>
      <c r="AI1417" s="6">
        <f t="shared" si="44"/>
        <v>18.599999999999994</v>
      </c>
      <c r="AJ1417" s="5">
        <f t="shared" si="45"/>
        <v>0.1962439333192656</v>
      </c>
    </row>
    <row r="1418" spans="1:36">
      <c r="A1418" t="s">
        <v>221</v>
      </c>
      <c r="B1418" t="s">
        <v>1703</v>
      </c>
      <c r="C1418" t="s">
        <v>90</v>
      </c>
      <c r="D1418" t="s">
        <v>68</v>
      </c>
      <c r="E1418" t="s">
        <v>55</v>
      </c>
      <c r="F1418">
        <v>0</v>
      </c>
      <c r="G1418">
        <v>5317</v>
      </c>
      <c r="H1418">
        <v>1</v>
      </c>
      <c r="I1418" t="s">
        <v>220</v>
      </c>
      <c r="J1418">
        <v>2</v>
      </c>
      <c r="K1418" s="6">
        <v>1.83</v>
      </c>
      <c r="L1418" t="s">
        <v>174</v>
      </c>
      <c r="M1418">
        <v>0</v>
      </c>
      <c r="N1418" t="s">
        <v>175</v>
      </c>
      <c r="O1418">
        <v>1</v>
      </c>
      <c r="P1418">
        <v>0</v>
      </c>
      <c r="Q1418" s="6">
        <v>42.8</v>
      </c>
      <c r="R1418">
        <v>0</v>
      </c>
      <c r="S1418" s="6">
        <v>0</v>
      </c>
      <c r="T1418">
        <v>0</v>
      </c>
      <c r="U1418" s="6">
        <v>6696</v>
      </c>
      <c r="V1418">
        <v>0</v>
      </c>
      <c r="W1418">
        <v>0</v>
      </c>
      <c r="X1418">
        <v>0</v>
      </c>
      <c r="Y1418" s="6">
        <v>51.7</v>
      </c>
      <c r="Z1418">
        <v>1.7999999999999999E-2</v>
      </c>
      <c r="AA1418">
        <v>8.7999999999999995E-2</v>
      </c>
      <c r="AB1418">
        <v>7.8E-2</v>
      </c>
      <c r="AC1418">
        <v>6</v>
      </c>
      <c r="AD1418" s="6">
        <v>50</v>
      </c>
      <c r="AE1418" s="6">
        <v>0</v>
      </c>
      <c r="AF1418" s="6">
        <v>0</v>
      </c>
      <c r="AG1418" s="6">
        <v>55.5</v>
      </c>
      <c r="AH1418" s="6">
        <v>68.77</v>
      </c>
      <c r="AI1418" s="6">
        <f t="shared" si="44"/>
        <v>13.269999999999996</v>
      </c>
      <c r="AJ1418" s="5">
        <f t="shared" si="45"/>
        <v>0.19296204740439141</v>
      </c>
    </row>
    <row r="1419" spans="1:36">
      <c r="A1419" t="s">
        <v>372</v>
      </c>
      <c r="B1419" t="s">
        <v>1704</v>
      </c>
      <c r="C1419" t="s">
        <v>90</v>
      </c>
      <c r="D1419" t="s">
        <v>68</v>
      </c>
      <c r="E1419" t="s">
        <v>55</v>
      </c>
      <c r="F1419">
        <v>0</v>
      </c>
      <c r="G1419">
        <v>5317</v>
      </c>
      <c r="H1419">
        <v>1</v>
      </c>
      <c r="I1419" t="s">
        <v>181</v>
      </c>
      <c r="J1419">
        <v>3</v>
      </c>
      <c r="K1419" s="6">
        <v>6.61</v>
      </c>
      <c r="L1419" t="s">
        <v>174</v>
      </c>
      <c r="M1419">
        <v>0</v>
      </c>
      <c r="N1419" t="s">
        <v>182</v>
      </c>
      <c r="O1419">
        <v>3</v>
      </c>
      <c r="P1419">
        <v>1</v>
      </c>
      <c r="Q1419" s="6">
        <v>115.2</v>
      </c>
      <c r="R1419">
        <v>1</v>
      </c>
      <c r="S1419" s="6">
        <v>2093</v>
      </c>
      <c r="T1419">
        <v>0</v>
      </c>
      <c r="U1419" s="6">
        <v>13995</v>
      </c>
      <c r="V1419">
        <v>0</v>
      </c>
      <c r="W1419">
        <v>0</v>
      </c>
      <c r="X1419">
        <v>0</v>
      </c>
      <c r="Y1419" s="6">
        <v>51.7</v>
      </c>
      <c r="Z1419">
        <v>1.7999999999999999E-2</v>
      </c>
      <c r="AA1419">
        <v>8.7999999999999995E-2</v>
      </c>
      <c r="AB1419">
        <v>7.8E-2</v>
      </c>
      <c r="AC1419">
        <v>6</v>
      </c>
      <c r="AD1419" s="6">
        <v>60</v>
      </c>
      <c r="AE1419" s="6">
        <v>40</v>
      </c>
      <c r="AF1419" s="6">
        <v>0</v>
      </c>
      <c r="AG1419" s="6">
        <v>102.09</v>
      </c>
      <c r="AH1419" s="6">
        <v>125.28</v>
      </c>
      <c r="AI1419" s="6">
        <f t="shared" si="44"/>
        <v>23.189999999999998</v>
      </c>
      <c r="AJ1419" s="5">
        <f t="shared" si="45"/>
        <v>0.18510536398467431</v>
      </c>
    </row>
    <row r="1420" spans="1:36">
      <c r="A1420" t="s">
        <v>365</v>
      </c>
      <c r="B1420" t="s">
        <v>1705</v>
      </c>
      <c r="C1420" t="s">
        <v>90</v>
      </c>
      <c r="D1420" t="s">
        <v>68</v>
      </c>
      <c r="E1420" t="s">
        <v>55</v>
      </c>
      <c r="F1420">
        <v>0</v>
      </c>
      <c r="G1420">
        <v>5317</v>
      </c>
      <c r="H1420">
        <v>1</v>
      </c>
      <c r="I1420" t="s">
        <v>181</v>
      </c>
      <c r="J1420">
        <v>3</v>
      </c>
      <c r="K1420" s="6">
        <v>9.23</v>
      </c>
      <c r="L1420" t="s">
        <v>174</v>
      </c>
      <c r="M1420">
        <v>0</v>
      </c>
      <c r="N1420" t="s">
        <v>217</v>
      </c>
      <c r="O1420">
        <v>4</v>
      </c>
      <c r="P1420">
        <v>1</v>
      </c>
      <c r="Q1420" s="6">
        <v>150</v>
      </c>
      <c r="R1420">
        <v>0</v>
      </c>
      <c r="S1420" s="6">
        <v>0</v>
      </c>
      <c r="T1420">
        <v>0</v>
      </c>
      <c r="U1420" s="6">
        <v>5075</v>
      </c>
      <c r="V1420">
        <v>0</v>
      </c>
      <c r="W1420">
        <v>0</v>
      </c>
      <c r="X1420">
        <v>0</v>
      </c>
      <c r="Y1420" s="6">
        <v>51.7</v>
      </c>
      <c r="Z1420">
        <v>1.7999999999999999E-2</v>
      </c>
      <c r="AA1420">
        <v>8.7999999999999995E-2</v>
      </c>
      <c r="AB1420">
        <v>7.8E-2</v>
      </c>
      <c r="AC1420">
        <v>6</v>
      </c>
      <c r="AD1420" s="6">
        <v>60</v>
      </c>
      <c r="AE1420" s="6">
        <v>0</v>
      </c>
      <c r="AF1420" s="6">
        <v>0</v>
      </c>
      <c r="AG1420" s="6">
        <v>129.93</v>
      </c>
      <c r="AH1420" s="6">
        <v>157.05000000000001</v>
      </c>
      <c r="AI1420" s="6">
        <f t="shared" si="44"/>
        <v>27.120000000000005</v>
      </c>
      <c r="AJ1420" s="5">
        <f t="shared" si="45"/>
        <v>0.17268385864374405</v>
      </c>
    </row>
    <row r="1421" spans="1:36">
      <c r="A1421" t="s">
        <v>436</v>
      </c>
      <c r="B1421" t="s">
        <v>1706</v>
      </c>
      <c r="C1421" t="s">
        <v>90</v>
      </c>
      <c r="D1421" t="s">
        <v>68</v>
      </c>
      <c r="E1421" t="s">
        <v>55</v>
      </c>
      <c r="F1421">
        <v>0</v>
      </c>
      <c r="G1421">
        <v>5317</v>
      </c>
      <c r="H1421">
        <v>1</v>
      </c>
      <c r="I1421" t="s">
        <v>181</v>
      </c>
      <c r="J1421">
        <v>3</v>
      </c>
      <c r="K1421" s="6">
        <v>6.53</v>
      </c>
      <c r="L1421" t="s">
        <v>174</v>
      </c>
      <c r="M1421">
        <v>0</v>
      </c>
      <c r="N1421" t="s">
        <v>175</v>
      </c>
      <c r="O1421">
        <v>1</v>
      </c>
      <c r="P1421">
        <v>0</v>
      </c>
      <c r="Q1421" s="6">
        <v>40.200000000000003</v>
      </c>
      <c r="R1421">
        <v>1</v>
      </c>
      <c r="S1421" s="6">
        <v>3427</v>
      </c>
      <c r="T1421">
        <v>0</v>
      </c>
      <c r="U1421" s="6">
        <v>3004</v>
      </c>
      <c r="V1421">
        <v>1</v>
      </c>
      <c r="W1421">
        <v>0</v>
      </c>
      <c r="X1421">
        <v>0</v>
      </c>
      <c r="Y1421" s="6">
        <v>51.7</v>
      </c>
      <c r="Z1421">
        <v>1.7999999999999999E-2</v>
      </c>
      <c r="AA1421">
        <v>8.7999999999999995E-2</v>
      </c>
      <c r="AB1421">
        <v>7.8E-2</v>
      </c>
      <c r="AC1421">
        <v>6</v>
      </c>
      <c r="AD1421" s="6">
        <v>60</v>
      </c>
      <c r="AE1421" s="6">
        <v>40</v>
      </c>
      <c r="AF1421" s="6">
        <v>0</v>
      </c>
      <c r="AG1421" s="6">
        <v>112.32</v>
      </c>
      <c r="AH1421" s="6">
        <v>138.05000000000001</v>
      </c>
      <c r="AI1421" s="6">
        <f t="shared" si="44"/>
        <v>25.730000000000018</v>
      </c>
      <c r="AJ1421" s="5">
        <f t="shared" si="45"/>
        <v>0.18638174574429567</v>
      </c>
    </row>
    <row r="1422" spans="1:36">
      <c r="A1422" t="s">
        <v>249</v>
      </c>
      <c r="B1422" t="s">
        <v>1707</v>
      </c>
      <c r="C1422" t="s">
        <v>90</v>
      </c>
      <c r="D1422" t="s">
        <v>68</v>
      </c>
      <c r="E1422" t="s">
        <v>55</v>
      </c>
      <c r="F1422">
        <v>0</v>
      </c>
      <c r="G1422">
        <v>5317</v>
      </c>
      <c r="H1422">
        <v>1</v>
      </c>
      <c r="I1422" t="s">
        <v>181</v>
      </c>
      <c r="J1422">
        <v>3</v>
      </c>
      <c r="K1422" s="6">
        <v>10.95</v>
      </c>
      <c r="L1422" t="s">
        <v>174</v>
      </c>
      <c r="M1422">
        <v>0</v>
      </c>
      <c r="N1422" t="s">
        <v>175</v>
      </c>
      <c r="O1422">
        <v>1</v>
      </c>
      <c r="P1422">
        <v>0</v>
      </c>
      <c r="Q1422" s="6">
        <v>27.4</v>
      </c>
      <c r="R1422">
        <v>0</v>
      </c>
      <c r="S1422" s="6">
        <v>0</v>
      </c>
      <c r="T1422">
        <v>0</v>
      </c>
      <c r="U1422" s="6">
        <v>2314</v>
      </c>
      <c r="V1422">
        <v>0</v>
      </c>
      <c r="W1422">
        <v>0</v>
      </c>
      <c r="X1422">
        <v>0</v>
      </c>
      <c r="Y1422" s="6">
        <v>51.7</v>
      </c>
      <c r="Z1422">
        <v>1.7999999999999999E-2</v>
      </c>
      <c r="AA1422">
        <v>8.7999999999999995E-2</v>
      </c>
      <c r="AB1422">
        <v>7.8E-2</v>
      </c>
      <c r="AC1422">
        <v>6</v>
      </c>
      <c r="AD1422" s="6">
        <v>60</v>
      </c>
      <c r="AE1422" s="6">
        <v>0</v>
      </c>
      <c r="AF1422" s="6">
        <v>0</v>
      </c>
      <c r="AG1422" s="6">
        <v>94.3</v>
      </c>
      <c r="AH1422" s="6">
        <v>115.54</v>
      </c>
      <c r="AI1422" s="6">
        <f t="shared" si="44"/>
        <v>21.240000000000009</v>
      </c>
      <c r="AJ1422" s="5">
        <f t="shared" si="45"/>
        <v>0.18383243898217075</v>
      </c>
    </row>
    <row r="1423" spans="1:36">
      <c r="A1423" t="s">
        <v>311</v>
      </c>
      <c r="B1423" t="s">
        <v>1708</v>
      </c>
      <c r="C1423" t="s">
        <v>90</v>
      </c>
      <c r="D1423" t="s">
        <v>68</v>
      </c>
      <c r="E1423" t="s">
        <v>55</v>
      </c>
      <c r="F1423">
        <v>0</v>
      </c>
      <c r="G1423">
        <v>5317</v>
      </c>
      <c r="H1423">
        <v>1</v>
      </c>
      <c r="I1423" t="s">
        <v>181</v>
      </c>
      <c r="J1423">
        <v>3</v>
      </c>
      <c r="K1423" s="6">
        <v>5.37</v>
      </c>
      <c r="L1423" t="s">
        <v>174</v>
      </c>
      <c r="M1423">
        <v>0</v>
      </c>
      <c r="N1423" t="s">
        <v>272</v>
      </c>
      <c r="O1423">
        <v>5</v>
      </c>
      <c r="P1423">
        <v>1</v>
      </c>
      <c r="Q1423" s="6">
        <v>245.5</v>
      </c>
      <c r="R1423">
        <v>1</v>
      </c>
      <c r="S1423" s="6">
        <v>2106</v>
      </c>
      <c r="T1423">
        <v>0</v>
      </c>
      <c r="U1423" s="6">
        <v>2060</v>
      </c>
      <c r="V1423">
        <v>0</v>
      </c>
      <c r="W1423">
        <v>0</v>
      </c>
      <c r="X1423">
        <v>0</v>
      </c>
      <c r="Y1423" s="6">
        <v>51.7</v>
      </c>
      <c r="Z1423">
        <v>1.7999999999999999E-2</v>
      </c>
      <c r="AA1423">
        <v>8.7999999999999995E-2</v>
      </c>
      <c r="AB1423">
        <v>7.8E-2</v>
      </c>
      <c r="AC1423">
        <v>6</v>
      </c>
      <c r="AD1423" s="6">
        <v>60</v>
      </c>
      <c r="AE1423" s="6">
        <v>40</v>
      </c>
      <c r="AF1423" s="6">
        <v>0</v>
      </c>
      <c r="AG1423" s="6">
        <v>160.87</v>
      </c>
      <c r="AH1423" s="6">
        <v>192.7</v>
      </c>
      <c r="AI1423" s="6">
        <f t="shared" si="44"/>
        <v>31.829999999999984</v>
      </c>
      <c r="AJ1423" s="5">
        <f t="shared" si="45"/>
        <v>0.16517903476907103</v>
      </c>
    </row>
    <row r="1424" spans="1:36">
      <c r="A1424" t="s">
        <v>372</v>
      </c>
      <c r="B1424" t="s">
        <v>1709</v>
      </c>
      <c r="C1424" t="s">
        <v>90</v>
      </c>
      <c r="D1424" t="s">
        <v>68</v>
      </c>
      <c r="E1424" t="s">
        <v>55</v>
      </c>
      <c r="F1424">
        <v>0</v>
      </c>
      <c r="G1424">
        <v>5317</v>
      </c>
      <c r="H1424">
        <v>1</v>
      </c>
      <c r="I1424" t="s">
        <v>181</v>
      </c>
      <c r="J1424">
        <v>3</v>
      </c>
      <c r="K1424" s="6">
        <v>11.32</v>
      </c>
      <c r="L1424" t="s">
        <v>174</v>
      </c>
      <c r="M1424">
        <v>0</v>
      </c>
      <c r="N1424" t="s">
        <v>187</v>
      </c>
      <c r="O1424">
        <v>2</v>
      </c>
      <c r="P1424">
        <v>0</v>
      </c>
      <c r="Q1424" s="6">
        <v>43.8</v>
      </c>
      <c r="R1424">
        <v>1</v>
      </c>
      <c r="S1424" s="6">
        <v>9470</v>
      </c>
      <c r="T1424">
        <v>0</v>
      </c>
      <c r="U1424" s="6">
        <v>5093</v>
      </c>
      <c r="V1424">
        <v>0</v>
      </c>
      <c r="W1424">
        <v>0</v>
      </c>
      <c r="X1424">
        <v>0</v>
      </c>
      <c r="Y1424" s="6">
        <v>51.7</v>
      </c>
      <c r="Z1424">
        <v>1.7999999999999999E-2</v>
      </c>
      <c r="AA1424">
        <v>8.7999999999999995E-2</v>
      </c>
      <c r="AB1424">
        <v>7.8E-2</v>
      </c>
      <c r="AC1424">
        <v>6</v>
      </c>
      <c r="AD1424" s="6">
        <v>60</v>
      </c>
      <c r="AE1424" s="6">
        <v>50</v>
      </c>
      <c r="AF1424" s="6">
        <v>0</v>
      </c>
      <c r="AG1424" s="6">
        <v>98.45</v>
      </c>
      <c r="AH1424" s="6">
        <v>120.98</v>
      </c>
      <c r="AI1424" s="6">
        <f t="shared" si="44"/>
        <v>22.53</v>
      </c>
      <c r="AJ1424" s="5">
        <f t="shared" si="45"/>
        <v>0.18622912878161679</v>
      </c>
    </row>
    <row r="1425" spans="1:36">
      <c r="A1425" t="s">
        <v>635</v>
      </c>
      <c r="B1425" t="s">
        <v>1710</v>
      </c>
      <c r="C1425" t="s">
        <v>90</v>
      </c>
      <c r="D1425" t="s">
        <v>68</v>
      </c>
      <c r="E1425" t="s">
        <v>55</v>
      </c>
      <c r="F1425">
        <v>0</v>
      </c>
      <c r="G1425">
        <v>5317</v>
      </c>
      <c r="H1425">
        <v>1</v>
      </c>
      <c r="I1425" t="s">
        <v>181</v>
      </c>
      <c r="J1425">
        <v>3</v>
      </c>
      <c r="K1425" s="6">
        <v>6.98</v>
      </c>
      <c r="L1425" t="s">
        <v>174</v>
      </c>
      <c r="M1425">
        <v>0</v>
      </c>
      <c r="N1425" t="s">
        <v>187</v>
      </c>
      <c r="O1425">
        <v>2</v>
      </c>
      <c r="P1425">
        <v>0</v>
      </c>
      <c r="Q1425" s="6">
        <v>72</v>
      </c>
      <c r="R1425">
        <v>1</v>
      </c>
      <c r="S1425" s="6">
        <v>1424</v>
      </c>
      <c r="T1425">
        <v>0</v>
      </c>
      <c r="U1425" s="6">
        <v>5622</v>
      </c>
      <c r="V1425">
        <v>0</v>
      </c>
      <c r="W1425">
        <v>0</v>
      </c>
      <c r="X1425">
        <v>0</v>
      </c>
      <c r="Y1425" s="6">
        <v>51.7</v>
      </c>
      <c r="Z1425">
        <v>1.7999999999999999E-2</v>
      </c>
      <c r="AA1425">
        <v>8.7999999999999995E-2</v>
      </c>
      <c r="AB1425">
        <v>7.8E-2</v>
      </c>
      <c r="AC1425">
        <v>6</v>
      </c>
      <c r="AD1425" s="6">
        <v>60</v>
      </c>
      <c r="AE1425" s="6">
        <v>25</v>
      </c>
      <c r="AF1425" s="6">
        <v>0</v>
      </c>
      <c r="AG1425" s="6">
        <v>73.790000000000006</v>
      </c>
      <c r="AH1425" s="6">
        <v>92.01</v>
      </c>
      <c r="AI1425" s="6">
        <f t="shared" si="44"/>
        <v>18.22</v>
      </c>
      <c r="AJ1425" s="5">
        <f t="shared" si="45"/>
        <v>0.19802195413542004</v>
      </c>
    </row>
    <row r="1426" spans="1:36">
      <c r="A1426" t="s">
        <v>269</v>
      </c>
      <c r="B1426" t="s">
        <v>1711</v>
      </c>
      <c r="C1426" t="s">
        <v>90</v>
      </c>
      <c r="D1426" t="s">
        <v>68</v>
      </c>
      <c r="E1426" t="s">
        <v>55</v>
      </c>
      <c r="F1426">
        <v>0</v>
      </c>
      <c r="G1426">
        <v>5317</v>
      </c>
      <c r="H1426">
        <v>1</v>
      </c>
      <c r="I1426" t="s">
        <v>181</v>
      </c>
      <c r="J1426">
        <v>3</v>
      </c>
      <c r="K1426" s="6">
        <v>12.4</v>
      </c>
      <c r="L1426" t="s">
        <v>174</v>
      </c>
      <c r="M1426">
        <v>0</v>
      </c>
      <c r="N1426" t="s">
        <v>175</v>
      </c>
      <c r="O1426">
        <v>1</v>
      </c>
      <c r="P1426">
        <v>0</v>
      </c>
      <c r="Q1426" s="6">
        <v>50.1</v>
      </c>
      <c r="R1426">
        <v>0</v>
      </c>
      <c r="S1426" s="6">
        <v>0</v>
      </c>
      <c r="T1426">
        <v>0</v>
      </c>
      <c r="U1426" s="6">
        <v>9681</v>
      </c>
      <c r="V1426">
        <v>0</v>
      </c>
      <c r="W1426">
        <v>0</v>
      </c>
      <c r="X1426">
        <v>0</v>
      </c>
      <c r="Y1426" s="6">
        <v>51.7</v>
      </c>
      <c r="Z1426">
        <v>1.7999999999999999E-2</v>
      </c>
      <c r="AA1426">
        <v>8.7999999999999995E-2</v>
      </c>
      <c r="AB1426">
        <v>7.8E-2</v>
      </c>
      <c r="AC1426">
        <v>6</v>
      </c>
      <c r="AD1426" s="6">
        <v>60</v>
      </c>
      <c r="AE1426" s="6">
        <v>0</v>
      </c>
      <c r="AF1426" s="6">
        <v>0</v>
      </c>
      <c r="AG1426" s="6">
        <v>95.24</v>
      </c>
      <c r="AH1426" s="6">
        <v>115.36</v>
      </c>
      <c r="AI1426" s="6">
        <f t="shared" si="44"/>
        <v>20.120000000000005</v>
      </c>
      <c r="AJ1426" s="5">
        <f t="shared" si="45"/>
        <v>0.17441054091539532</v>
      </c>
    </row>
    <row r="1427" spans="1:36">
      <c r="A1427" t="s">
        <v>397</v>
      </c>
      <c r="B1427" t="s">
        <v>1712</v>
      </c>
      <c r="C1427" t="s">
        <v>90</v>
      </c>
      <c r="D1427" t="s">
        <v>68</v>
      </c>
      <c r="E1427" t="s">
        <v>55</v>
      </c>
      <c r="F1427">
        <v>0</v>
      </c>
      <c r="G1427">
        <v>5317</v>
      </c>
      <c r="H1427">
        <v>1</v>
      </c>
      <c r="I1427" t="s">
        <v>181</v>
      </c>
      <c r="J1427">
        <v>3</v>
      </c>
      <c r="K1427" s="6">
        <v>10.06</v>
      </c>
      <c r="L1427" t="s">
        <v>174</v>
      </c>
      <c r="M1427">
        <v>0</v>
      </c>
      <c r="N1427" t="s">
        <v>175</v>
      </c>
      <c r="O1427">
        <v>1</v>
      </c>
      <c r="P1427">
        <v>1</v>
      </c>
      <c r="Q1427" s="6">
        <v>30.2</v>
      </c>
      <c r="R1427">
        <v>1</v>
      </c>
      <c r="S1427" s="6">
        <v>1732</v>
      </c>
      <c r="T1427">
        <v>0</v>
      </c>
      <c r="U1427" s="6">
        <v>1727</v>
      </c>
      <c r="V1427">
        <v>1</v>
      </c>
      <c r="W1427">
        <v>0</v>
      </c>
      <c r="X1427">
        <v>0</v>
      </c>
      <c r="Y1427" s="6">
        <v>51.7</v>
      </c>
      <c r="Z1427">
        <v>1.7999999999999999E-2</v>
      </c>
      <c r="AA1427">
        <v>8.7999999999999995E-2</v>
      </c>
      <c r="AB1427">
        <v>7.8E-2</v>
      </c>
      <c r="AC1427">
        <v>6</v>
      </c>
      <c r="AD1427" s="6">
        <v>60</v>
      </c>
      <c r="AE1427" s="6">
        <v>25</v>
      </c>
      <c r="AF1427" s="6">
        <v>0</v>
      </c>
      <c r="AG1427" s="6">
        <v>174.46</v>
      </c>
      <c r="AH1427" s="6">
        <v>211.46</v>
      </c>
      <c r="AI1427" s="6">
        <f t="shared" si="44"/>
        <v>37</v>
      </c>
      <c r="AJ1427" s="5">
        <f t="shared" si="45"/>
        <v>0.17497399035278538</v>
      </c>
    </row>
    <row r="1428" spans="1:36">
      <c r="A1428" t="s">
        <v>353</v>
      </c>
      <c r="B1428" t="s">
        <v>1713</v>
      </c>
      <c r="C1428" t="s">
        <v>90</v>
      </c>
      <c r="D1428" t="s">
        <v>68</v>
      </c>
      <c r="E1428" t="s">
        <v>55</v>
      </c>
      <c r="F1428">
        <v>0</v>
      </c>
      <c r="G1428">
        <v>5317</v>
      </c>
      <c r="H1428">
        <v>1</v>
      </c>
      <c r="I1428" t="s">
        <v>181</v>
      </c>
      <c r="J1428">
        <v>3</v>
      </c>
      <c r="K1428" s="6">
        <v>7.33</v>
      </c>
      <c r="L1428" t="s">
        <v>174</v>
      </c>
      <c r="M1428">
        <v>0</v>
      </c>
      <c r="N1428" t="s">
        <v>182</v>
      </c>
      <c r="O1428">
        <v>3</v>
      </c>
      <c r="P1428">
        <v>0</v>
      </c>
      <c r="Q1428" s="6">
        <v>101.7</v>
      </c>
      <c r="R1428">
        <v>0</v>
      </c>
      <c r="S1428" s="6">
        <v>0</v>
      </c>
      <c r="T1428">
        <v>0</v>
      </c>
      <c r="U1428" s="6">
        <v>6173</v>
      </c>
      <c r="V1428">
        <v>0</v>
      </c>
      <c r="W1428">
        <v>0</v>
      </c>
      <c r="X1428">
        <v>0</v>
      </c>
      <c r="Y1428" s="6">
        <v>51.7</v>
      </c>
      <c r="Z1428">
        <v>1.7999999999999999E-2</v>
      </c>
      <c r="AA1428">
        <v>8.7999999999999995E-2</v>
      </c>
      <c r="AB1428">
        <v>7.8E-2</v>
      </c>
      <c r="AC1428">
        <v>6</v>
      </c>
      <c r="AD1428" s="6">
        <v>60</v>
      </c>
      <c r="AE1428" s="6">
        <v>0</v>
      </c>
      <c r="AF1428" s="6">
        <v>0</v>
      </c>
      <c r="AG1428" s="6">
        <v>88.47</v>
      </c>
      <c r="AH1428" s="6">
        <v>106.4</v>
      </c>
      <c r="AI1428" s="6">
        <f t="shared" si="44"/>
        <v>17.930000000000007</v>
      </c>
      <c r="AJ1428" s="5">
        <f t="shared" si="45"/>
        <v>0.16851503759398501</v>
      </c>
    </row>
    <row r="1429" spans="1:36">
      <c r="A1429" t="s">
        <v>277</v>
      </c>
      <c r="B1429" t="s">
        <v>1714</v>
      </c>
      <c r="C1429" t="s">
        <v>90</v>
      </c>
      <c r="D1429" t="s">
        <v>68</v>
      </c>
      <c r="E1429" t="s">
        <v>55</v>
      </c>
      <c r="F1429">
        <v>0</v>
      </c>
      <c r="G1429">
        <v>5317</v>
      </c>
      <c r="H1429">
        <v>1</v>
      </c>
      <c r="I1429" t="s">
        <v>178</v>
      </c>
      <c r="J1429">
        <v>4</v>
      </c>
      <c r="K1429" s="6">
        <v>10.99</v>
      </c>
      <c r="L1429" t="s">
        <v>174</v>
      </c>
      <c r="M1429">
        <v>0</v>
      </c>
      <c r="N1429" t="s">
        <v>187</v>
      </c>
      <c r="O1429">
        <v>2</v>
      </c>
      <c r="P1429">
        <v>0</v>
      </c>
      <c r="Q1429" s="6">
        <v>46.7</v>
      </c>
      <c r="R1429">
        <v>1</v>
      </c>
      <c r="S1429" s="6">
        <v>1673</v>
      </c>
      <c r="T1429">
        <v>0</v>
      </c>
      <c r="U1429" s="6">
        <v>3159</v>
      </c>
      <c r="V1429">
        <v>0</v>
      </c>
      <c r="W1429">
        <v>0</v>
      </c>
      <c r="X1429">
        <v>0</v>
      </c>
      <c r="Y1429" s="6">
        <v>51.7</v>
      </c>
      <c r="Z1429">
        <v>1.7999999999999999E-2</v>
      </c>
      <c r="AA1429">
        <v>8.7999999999999995E-2</v>
      </c>
      <c r="AB1429">
        <v>7.8E-2</v>
      </c>
      <c r="AC1429">
        <v>6</v>
      </c>
      <c r="AD1429" s="6">
        <v>65</v>
      </c>
      <c r="AE1429" s="6">
        <v>25</v>
      </c>
      <c r="AF1429" s="6">
        <v>0</v>
      </c>
      <c r="AG1429" s="6">
        <v>114.73</v>
      </c>
      <c r="AH1429" s="6">
        <v>141.22</v>
      </c>
      <c r="AI1429" s="6">
        <f t="shared" si="44"/>
        <v>26.489999999999995</v>
      </c>
      <c r="AJ1429" s="5">
        <f t="shared" si="45"/>
        <v>0.18757966293726097</v>
      </c>
    </row>
    <row r="1430" spans="1:36">
      <c r="A1430" t="s">
        <v>228</v>
      </c>
      <c r="B1430" t="s">
        <v>1715</v>
      </c>
      <c r="C1430" t="s">
        <v>90</v>
      </c>
      <c r="D1430" t="s">
        <v>68</v>
      </c>
      <c r="E1430" t="s">
        <v>55</v>
      </c>
      <c r="F1430">
        <v>0</v>
      </c>
      <c r="G1430">
        <v>5317</v>
      </c>
      <c r="H1430">
        <v>1</v>
      </c>
      <c r="I1430" t="s">
        <v>181</v>
      </c>
      <c r="J1430">
        <v>3</v>
      </c>
      <c r="K1430" s="6">
        <v>10.35</v>
      </c>
      <c r="L1430" t="s">
        <v>174</v>
      </c>
      <c r="M1430">
        <v>0</v>
      </c>
      <c r="N1430" t="s">
        <v>175</v>
      </c>
      <c r="O1430">
        <v>1</v>
      </c>
      <c r="P1430">
        <v>1</v>
      </c>
      <c r="Q1430" s="6">
        <v>27.3</v>
      </c>
      <c r="R1430">
        <v>1</v>
      </c>
      <c r="S1430" s="6">
        <v>1613</v>
      </c>
      <c r="T1430">
        <v>0</v>
      </c>
      <c r="U1430" s="6">
        <v>12118</v>
      </c>
      <c r="V1430">
        <v>0</v>
      </c>
      <c r="W1430">
        <v>0</v>
      </c>
      <c r="X1430">
        <v>0</v>
      </c>
      <c r="Y1430" s="6">
        <v>51.7</v>
      </c>
      <c r="Z1430">
        <v>1.7999999999999999E-2</v>
      </c>
      <c r="AA1430">
        <v>8.7999999999999995E-2</v>
      </c>
      <c r="AB1430">
        <v>7.8E-2</v>
      </c>
      <c r="AC1430">
        <v>6</v>
      </c>
      <c r="AD1430" s="6">
        <v>60</v>
      </c>
      <c r="AE1430" s="6">
        <v>25</v>
      </c>
      <c r="AF1430" s="6">
        <v>0</v>
      </c>
      <c r="AG1430" s="6">
        <v>118.71</v>
      </c>
      <c r="AH1430" s="6">
        <v>141.72999999999999</v>
      </c>
      <c r="AI1430" s="6">
        <f t="shared" si="44"/>
        <v>23.019999999999996</v>
      </c>
      <c r="AJ1430" s="5">
        <f t="shared" si="45"/>
        <v>0.16242150567981373</v>
      </c>
    </row>
    <row r="1431" spans="1:36">
      <c r="A1431" t="s">
        <v>338</v>
      </c>
      <c r="B1431" t="s">
        <v>1716</v>
      </c>
      <c r="C1431" t="s">
        <v>90</v>
      </c>
      <c r="D1431" t="s">
        <v>68</v>
      </c>
      <c r="E1431" t="s">
        <v>55</v>
      </c>
      <c r="F1431">
        <v>0</v>
      </c>
      <c r="G1431">
        <v>5317</v>
      </c>
      <c r="H1431">
        <v>1</v>
      </c>
      <c r="I1431" t="s">
        <v>173</v>
      </c>
      <c r="J1431">
        <v>1</v>
      </c>
      <c r="K1431" s="6">
        <v>2.4</v>
      </c>
      <c r="L1431" t="s">
        <v>174</v>
      </c>
      <c r="M1431">
        <v>0</v>
      </c>
      <c r="N1431" t="s">
        <v>182</v>
      </c>
      <c r="O1431">
        <v>3</v>
      </c>
      <c r="P1431">
        <v>1</v>
      </c>
      <c r="Q1431" s="6">
        <v>99.8</v>
      </c>
      <c r="R1431">
        <v>0</v>
      </c>
      <c r="S1431" s="6">
        <v>0</v>
      </c>
      <c r="T1431">
        <v>0</v>
      </c>
      <c r="U1431" s="6">
        <v>2731</v>
      </c>
      <c r="V1431">
        <v>0</v>
      </c>
      <c r="W1431">
        <v>0</v>
      </c>
      <c r="X1431">
        <v>0</v>
      </c>
      <c r="Y1431" s="6">
        <v>51.7</v>
      </c>
      <c r="Z1431">
        <v>1.7999999999999999E-2</v>
      </c>
      <c r="AA1431">
        <v>8.7999999999999995E-2</v>
      </c>
      <c r="AB1431">
        <v>7.8E-2</v>
      </c>
      <c r="AC1431">
        <v>6</v>
      </c>
      <c r="AD1431" s="6">
        <v>50</v>
      </c>
      <c r="AE1431" s="6">
        <v>0</v>
      </c>
      <c r="AF1431" s="6">
        <v>0</v>
      </c>
      <c r="AG1431" s="6">
        <v>85.47</v>
      </c>
      <c r="AH1431" s="6">
        <v>102.55</v>
      </c>
      <c r="AI1431" s="6">
        <f t="shared" si="44"/>
        <v>17.079999999999998</v>
      </c>
      <c r="AJ1431" s="5">
        <f t="shared" si="45"/>
        <v>0.16655290102389078</v>
      </c>
    </row>
    <row r="1432" spans="1:36">
      <c r="A1432" t="s">
        <v>243</v>
      </c>
      <c r="B1432" t="s">
        <v>1717</v>
      </c>
      <c r="C1432" t="s">
        <v>90</v>
      </c>
      <c r="D1432" t="s">
        <v>68</v>
      </c>
      <c r="E1432" t="s">
        <v>55</v>
      </c>
      <c r="F1432">
        <v>0</v>
      </c>
      <c r="G1432">
        <v>5317</v>
      </c>
      <c r="H1432">
        <v>1</v>
      </c>
      <c r="I1432" t="s">
        <v>181</v>
      </c>
      <c r="J1432">
        <v>3</v>
      </c>
      <c r="K1432" s="6">
        <v>7.08</v>
      </c>
      <c r="L1432" t="s">
        <v>174</v>
      </c>
      <c r="M1432">
        <v>0</v>
      </c>
      <c r="N1432" t="s">
        <v>187</v>
      </c>
      <c r="O1432">
        <v>2</v>
      </c>
      <c r="P1432">
        <v>0</v>
      </c>
      <c r="Q1432" s="6">
        <v>77</v>
      </c>
      <c r="R1432">
        <v>0</v>
      </c>
      <c r="S1432" s="6">
        <v>0</v>
      </c>
      <c r="T1432">
        <v>0</v>
      </c>
      <c r="U1432" s="6">
        <v>7297</v>
      </c>
      <c r="V1432">
        <v>0</v>
      </c>
      <c r="W1432">
        <v>0</v>
      </c>
      <c r="X1432">
        <v>0</v>
      </c>
      <c r="Y1432" s="6">
        <v>51.7</v>
      </c>
      <c r="Z1432">
        <v>1.7999999999999999E-2</v>
      </c>
      <c r="AA1432">
        <v>8.7999999999999995E-2</v>
      </c>
      <c r="AB1432">
        <v>7.8E-2</v>
      </c>
      <c r="AC1432">
        <v>6</v>
      </c>
      <c r="AD1432" s="6">
        <v>60</v>
      </c>
      <c r="AE1432" s="6">
        <v>0</v>
      </c>
      <c r="AF1432" s="6">
        <v>0</v>
      </c>
      <c r="AG1432" s="6">
        <v>82.13</v>
      </c>
      <c r="AH1432" s="6">
        <v>99.47</v>
      </c>
      <c r="AI1432" s="6">
        <f t="shared" si="44"/>
        <v>17.340000000000003</v>
      </c>
      <c r="AJ1432" s="5">
        <f t="shared" si="45"/>
        <v>0.17432391675882178</v>
      </c>
    </row>
    <row r="1433" spans="1:36">
      <c r="A1433" t="s">
        <v>478</v>
      </c>
      <c r="B1433" t="s">
        <v>1718</v>
      </c>
      <c r="C1433" t="s">
        <v>90</v>
      </c>
      <c r="D1433" t="s">
        <v>68</v>
      </c>
      <c r="E1433" t="s">
        <v>55</v>
      </c>
      <c r="F1433">
        <v>0</v>
      </c>
      <c r="G1433">
        <v>5317</v>
      </c>
      <c r="H1433">
        <v>1</v>
      </c>
      <c r="I1433" t="s">
        <v>181</v>
      </c>
      <c r="J1433">
        <v>3</v>
      </c>
      <c r="K1433" s="6">
        <v>7.15</v>
      </c>
      <c r="L1433" t="s">
        <v>174</v>
      </c>
      <c r="M1433">
        <v>0</v>
      </c>
      <c r="N1433" t="s">
        <v>175</v>
      </c>
      <c r="O1433">
        <v>1</v>
      </c>
      <c r="P1433">
        <v>0</v>
      </c>
      <c r="Q1433" s="6">
        <v>30.4</v>
      </c>
      <c r="R1433">
        <v>0</v>
      </c>
      <c r="S1433" s="6">
        <v>0</v>
      </c>
      <c r="T1433">
        <v>0</v>
      </c>
      <c r="U1433" s="6">
        <v>8255</v>
      </c>
      <c r="V1433">
        <v>0</v>
      </c>
      <c r="W1433">
        <v>0</v>
      </c>
      <c r="X1433">
        <v>0</v>
      </c>
      <c r="Y1433" s="6">
        <v>51.7</v>
      </c>
      <c r="Z1433">
        <v>1.7999999999999999E-2</v>
      </c>
      <c r="AA1433">
        <v>8.7999999999999995E-2</v>
      </c>
      <c r="AB1433">
        <v>7.8E-2</v>
      </c>
      <c r="AC1433">
        <v>6</v>
      </c>
      <c r="AD1433" s="6">
        <v>60</v>
      </c>
      <c r="AE1433" s="6">
        <v>0</v>
      </c>
      <c r="AF1433" s="6">
        <v>0</v>
      </c>
      <c r="AG1433" s="6">
        <v>79.36</v>
      </c>
      <c r="AH1433" s="6">
        <v>97.35</v>
      </c>
      <c r="AI1433" s="6">
        <f t="shared" si="44"/>
        <v>17.989999999999995</v>
      </c>
      <c r="AJ1433" s="5">
        <f t="shared" si="45"/>
        <v>0.1847971237801746</v>
      </c>
    </row>
    <row r="1434" spans="1:36">
      <c r="A1434" t="s">
        <v>343</v>
      </c>
      <c r="B1434" t="s">
        <v>1719</v>
      </c>
      <c r="C1434" t="s">
        <v>90</v>
      </c>
      <c r="D1434" t="s">
        <v>68</v>
      </c>
      <c r="E1434" t="s">
        <v>55</v>
      </c>
      <c r="F1434">
        <v>0</v>
      </c>
      <c r="G1434">
        <v>5317</v>
      </c>
      <c r="H1434">
        <v>1</v>
      </c>
      <c r="I1434" t="s">
        <v>178</v>
      </c>
      <c r="J1434">
        <v>4</v>
      </c>
      <c r="K1434" s="6">
        <v>8.6999999999999993</v>
      </c>
      <c r="L1434" t="s">
        <v>174</v>
      </c>
      <c r="M1434">
        <v>0</v>
      </c>
      <c r="N1434" t="s">
        <v>187</v>
      </c>
      <c r="O1434">
        <v>2</v>
      </c>
      <c r="P1434">
        <v>0</v>
      </c>
      <c r="Q1434" s="6">
        <v>63.8</v>
      </c>
      <c r="R1434">
        <v>1</v>
      </c>
      <c r="S1434" s="6">
        <v>2416</v>
      </c>
      <c r="T1434">
        <v>0</v>
      </c>
      <c r="U1434" s="6">
        <v>7561</v>
      </c>
      <c r="V1434">
        <v>0</v>
      </c>
      <c r="W1434">
        <v>0</v>
      </c>
      <c r="X1434">
        <v>0</v>
      </c>
      <c r="Y1434" s="6">
        <v>51.7</v>
      </c>
      <c r="Z1434">
        <v>1.7999999999999999E-2</v>
      </c>
      <c r="AA1434">
        <v>8.7999999999999995E-2</v>
      </c>
      <c r="AB1434">
        <v>7.8E-2</v>
      </c>
      <c r="AC1434">
        <v>6</v>
      </c>
      <c r="AD1434" s="6">
        <v>65</v>
      </c>
      <c r="AE1434" s="6">
        <v>40</v>
      </c>
      <c r="AF1434" s="6">
        <v>0</v>
      </c>
      <c r="AG1434" s="6">
        <v>114.52</v>
      </c>
      <c r="AH1434" s="6">
        <v>139.30000000000001</v>
      </c>
      <c r="AI1434" s="6">
        <f t="shared" si="44"/>
        <v>24.780000000000015</v>
      </c>
      <c r="AJ1434" s="5">
        <f t="shared" si="45"/>
        <v>0.177889447236181</v>
      </c>
    </row>
    <row r="1435" spans="1:36">
      <c r="A1435" t="s">
        <v>236</v>
      </c>
      <c r="B1435" t="s">
        <v>1720</v>
      </c>
      <c r="C1435" t="s">
        <v>90</v>
      </c>
      <c r="D1435" t="s">
        <v>68</v>
      </c>
      <c r="E1435" t="s">
        <v>55</v>
      </c>
      <c r="F1435">
        <v>0</v>
      </c>
      <c r="G1435">
        <v>5317</v>
      </c>
      <c r="H1435">
        <v>1</v>
      </c>
      <c r="I1435" t="s">
        <v>181</v>
      </c>
      <c r="J1435">
        <v>3</v>
      </c>
      <c r="K1435" s="6">
        <v>13.7</v>
      </c>
      <c r="L1435" t="s">
        <v>174</v>
      </c>
      <c r="M1435">
        <v>0</v>
      </c>
      <c r="N1435" t="s">
        <v>182</v>
      </c>
      <c r="O1435">
        <v>3</v>
      </c>
      <c r="P1435">
        <v>0</v>
      </c>
      <c r="Q1435" s="6">
        <v>165.7</v>
      </c>
      <c r="R1435">
        <v>0</v>
      </c>
      <c r="S1435" s="6">
        <v>0</v>
      </c>
      <c r="T1435">
        <v>0</v>
      </c>
      <c r="U1435" s="6">
        <v>3848</v>
      </c>
      <c r="V1435">
        <v>0</v>
      </c>
      <c r="W1435">
        <v>0</v>
      </c>
      <c r="X1435">
        <v>0</v>
      </c>
      <c r="Y1435" s="6">
        <v>51.7</v>
      </c>
      <c r="Z1435">
        <v>1.7999999999999999E-2</v>
      </c>
      <c r="AA1435">
        <v>8.7999999999999995E-2</v>
      </c>
      <c r="AB1435">
        <v>7.8E-2</v>
      </c>
      <c r="AC1435">
        <v>6</v>
      </c>
      <c r="AD1435" s="6">
        <v>60</v>
      </c>
      <c r="AE1435" s="6">
        <v>0</v>
      </c>
      <c r="AF1435" s="6">
        <v>0</v>
      </c>
      <c r="AG1435" s="6">
        <v>115.53</v>
      </c>
      <c r="AH1435" s="6">
        <v>139.05000000000001</v>
      </c>
      <c r="AI1435" s="6">
        <f t="shared" si="44"/>
        <v>23.52000000000001</v>
      </c>
      <c r="AJ1435" s="5">
        <f t="shared" si="45"/>
        <v>0.16914778856526436</v>
      </c>
    </row>
    <row r="1436" spans="1:36">
      <c r="A1436" t="s">
        <v>228</v>
      </c>
      <c r="B1436" t="s">
        <v>1721</v>
      </c>
      <c r="C1436" t="s">
        <v>90</v>
      </c>
      <c r="D1436" t="s">
        <v>68</v>
      </c>
      <c r="E1436" t="s">
        <v>55</v>
      </c>
      <c r="F1436">
        <v>0</v>
      </c>
      <c r="G1436">
        <v>5317</v>
      </c>
      <c r="H1436">
        <v>1</v>
      </c>
      <c r="I1436" t="s">
        <v>173</v>
      </c>
      <c r="J1436">
        <v>1</v>
      </c>
      <c r="K1436" s="6">
        <v>2.2999999999999998</v>
      </c>
      <c r="L1436" t="s">
        <v>174</v>
      </c>
      <c r="M1436">
        <v>0</v>
      </c>
      <c r="N1436" t="s">
        <v>175</v>
      </c>
      <c r="O1436">
        <v>1</v>
      </c>
      <c r="P1436">
        <v>0</v>
      </c>
      <c r="Q1436" s="6">
        <v>35.799999999999997</v>
      </c>
      <c r="R1436">
        <v>0</v>
      </c>
      <c r="S1436" s="6">
        <v>0</v>
      </c>
      <c r="T1436">
        <v>0</v>
      </c>
      <c r="U1436" s="6">
        <v>10923</v>
      </c>
      <c r="V1436">
        <v>0</v>
      </c>
      <c r="W1436">
        <v>0</v>
      </c>
      <c r="X1436">
        <v>0</v>
      </c>
      <c r="Y1436" s="6">
        <v>51.7</v>
      </c>
      <c r="Z1436">
        <v>1.7999999999999999E-2</v>
      </c>
      <c r="AA1436">
        <v>8.7999999999999995E-2</v>
      </c>
      <c r="AB1436">
        <v>7.8E-2</v>
      </c>
      <c r="AC1436">
        <v>6</v>
      </c>
      <c r="AD1436" s="6">
        <v>50</v>
      </c>
      <c r="AE1436" s="6">
        <v>0</v>
      </c>
      <c r="AF1436" s="6">
        <v>0</v>
      </c>
      <c r="AG1436" s="6">
        <v>50.42</v>
      </c>
      <c r="AH1436" s="6">
        <v>64.180000000000007</v>
      </c>
      <c r="AI1436" s="6">
        <f t="shared" si="44"/>
        <v>13.760000000000005</v>
      </c>
      <c r="AJ1436" s="5">
        <f t="shared" si="45"/>
        <v>0.21439700841383613</v>
      </c>
    </row>
    <row r="1437" spans="1:36">
      <c r="A1437" t="s">
        <v>206</v>
      </c>
      <c r="B1437" t="s">
        <v>1722</v>
      </c>
      <c r="C1437" t="s">
        <v>90</v>
      </c>
      <c r="D1437" t="s">
        <v>68</v>
      </c>
      <c r="E1437" t="s">
        <v>55</v>
      </c>
      <c r="F1437">
        <v>0</v>
      </c>
      <c r="G1437">
        <v>5317</v>
      </c>
      <c r="H1437">
        <v>1</v>
      </c>
      <c r="I1437" t="s">
        <v>173</v>
      </c>
      <c r="J1437">
        <v>1</v>
      </c>
      <c r="K1437" s="6">
        <v>2.04</v>
      </c>
      <c r="L1437" t="s">
        <v>174</v>
      </c>
      <c r="M1437">
        <v>0</v>
      </c>
      <c r="N1437" t="s">
        <v>217</v>
      </c>
      <c r="O1437">
        <v>4</v>
      </c>
      <c r="P1437">
        <v>1</v>
      </c>
      <c r="Q1437" s="6">
        <v>136.30000000000001</v>
      </c>
      <c r="R1437">
        <v>1</v>
      </c>
      <c r="S1437" s="6">
        <v>2807</v>
      </c>
      <c r="T1437">
        <v>0</v>
      </c>
      <c r="U1437" s="6">
        <v>4788</v>
      </c>
      <c r="V1437">
        <v>0</v>
      </c>
      <c r="W1437">
        <v>0</v>
      </c>
      <c r="X1437">
        <v>0</v>
      </c>
      <c r="Y1437" s="6">
        <v>51.7</v>
      </c>
      <c r="Z1437">
        <v>1.7999999999999999E-2</v>
      </c>
      <c r="AA1437">
        <v>8.7999999999999995E-2</v>
      </c>
      <c r="AB1437">
        <v>7.8E-2</v>
      </c>
      <c r="AC1437">
        <v>6</v>
      </c>
      <c r="AD1437" s="6">
        <v>50</v>
      </c>
      <c r="AE1437" s="6">
        <v>40</v>
      </c>
      <c r="AF1437" s="6">
        <v>0</v>
      </c>
      <c r="AG1437" s="6">
        <v>99.82</v>
      </c>
      <c r="AH1437" s="6">
        <v>122.07</v>
      </c>
      <c r="AI1437" s="6">
        <f t="shared" si="44"/>
        <v>22.25</v>
      </c>
      <c r="AJ1437" s="5">
        <f t="shared" si="45"/>
        <v>0.18227246661751456</v>
      </c>
    </row>
    <row r="1438" spans="1:36">
      <c r="A1438" t="s">
        <v>765</v>
      </c>
      <c r="B1438" t="s">
        <v>1723</v>
      </c>
      <c r="C1438" t="s">
        <v>90</v>
      </c>
      <c r="D1438" t="s">
        <v>68</v>
      </c>
      <c r="E1438" t="s">
        <v>55</v>
      </c>
      <c r="F1438">
        <v>0</v>
      </c>
      <c r="G1438">
        <v>5317</v>
      </c>
      <c r="H1438">
        <v>1</v>
      </c>
      <c r="I1438" t="s">
        <v>178</v>
      </c>
      <c r="J1438">
        <v>4</v>
      </c>
      <c r="K1438" s="6">
        <v>10.68</v>
      </c>
      <c r="L1438" t="s">
        <v>174</v>
      </c>
      <c r="M1438">
        <v>0</v>
      </c>
      <c r="N1438" t="s">
        <v>187</v>
      </c>
      <c r="O1438">
        <v>2</v>
      </c>
      <c r="P1438">
        <v>1</v>
      </c>
      <c r="Q1438" s="6">
        <v>63.1</v>
      </c>
      <c r="R1438">
        <v>0</v>
      </c>
      <c r="S1438" s="6">
        <v>0</v>
      </c>
      <c r="T1438">
        <v>0</v>
      </c>
      <c r="U1438" s="6">
        <v>7697</v>
      </c>
      <c r="V1438">
        <v>0</v>
      </c>
      <c r="W1438">
        <v>0</v>
      </c>
      <c r="X1438">
        <v>0</v>
      </c>
      <c r="Y1438" s="6">
        <v>51.7</v>
      </c>
      <c r="Z1438">
        <v>1.7999999999999999E-2</v>
      </c>
      <c r="AA1438">
        <v>8.7999999999999995E-2</v>
      </c>
      <c r="AB1438">
        <v>7.8E-2</v>
      </c>
      <c r="AC1438">
        <v>6</v>
      </c>
      <c r="AD1438" s="6">
        <v>65</v>
      </c>
      <c r="AE1438" s="6">
        <v>0</v>
      </c>
      <c r="AF1438" s="6">
        <v>0</v>
      </c>
      <c r="AG1438" s="6">
        <v>139.47</v>
      </c>
      <c r="AH1438" s="6">
        <v>168.75</v>
      </c>
      <c r="AI1438" s="6">
        <f t="shared" si="44"/>
        <v>29.28</v>
      </c>
      <c r="AJ1438" s="5">
        <f t="shared" si="45"/>
        <v>0.17351111111111112</v>
      </c>
    </row>
    <row r="1439" spans="1:36">
      <c r="A1439" t="s">
        <v>236</v>
      </c>
      <c r="B1439" t="s">
        <v>1724</v>
      </c>
      <c r="C1439" t="s">
        <v>90</v>
      </c>
      <c r="D1439" t="s">
        <v>68</v>
      </c>
      <c r="E1439" t="s">
        <v>55</v>
      </c>
      <c r="F1439">
        <v>0</v>
      </c>
      <c r="G1439">
        <v>5317</v>
      </c>
      <c r="H1439">
        <v>1</v>
      </c>
      <c r="I1439" t="s">
        <v>173</v>
      </c>
      <c r="J1439">
        <v>1</v>
      </c>
      <c r="K1439" s="6">
        <v>0.75</v>
      </c>
      <c r="L1439" t="s">
        <v>174</v>
      </c>
      <c r="M1439">
        <v>0</v>
      </c>
      <c r="N1439" t="s">
        <v>182</v>
      </c>
      <c r="O1439">
        <v>3</v>
      </c>
      <c r="P1439">
        <v>0</v>
      </c>
      <c r="Q1439" s="6">
        <v>85.8</v>
      </c>
      <c r="R1439">
        <v>1</v>
      </c>
      <c r="S1439" s="6">
        <v>1377</v>
      </c>
      <c r="T1439">
        <v>0</v>
      </c>
      <c r="U1439" s="6">
        <v>4633</v>
      </c>
      <c r="V1439">
        <v>0</v>
      </c>
      <c r="W1439">
        <v>0</v>
      </c>
      <c r="X1439">
        <v>0</v>
      </c>
      <c r="Y1439" s="6">
        <v>51.7</v>
      </c>
      <c r="Z1439">
        <v>1.7999999999999999E-2</v>
      </c>
      <c r="AA1439">
        <v>8.7999999999999995E-2</v>
      </c>
      <c r="AB1439">
        <v>7.8E-2</v>
      </c>
      <c r="AC1439">
        <v>6</v>
      </c>
      <c r="AD1439" s="6">
        <v>50</v>
      </c>
      <c r="AE1439" s="6">
        <v>25</v>
      </c>
      <c r="AF1439" s="6">
        <v>0</v>
      </c>
      <c r="AG1439" s="6">
        <v>59.87</v>
      </c>
      <c r="AH1439" s="6">
        <v>74.17</v>
      </c>
      <c r="AI1439" s="6">
        <f t="shared" si="44"/>
        <v>14.300000000000004</v>
      </c>
      <c r="AJ1439" s="5">
        <f t="shared" si="45"/>
        <v>0.19280032358096272</v>
      </c>
    </row>
    <row r="1440" spans="1:36">
      <c r="A1440" t="s">
        <v>225</v>
      </c>
      <c r="B1440" t="s">
        <v>1725</v>
      </c>
      <c r="C1440" t="s">
        <v>90</v>
      </c>
      <c r="D1440" t="s">
        <v>68</v>
      </c>
      <c r="E1440" t="s">
        <v>55</v>
      </c>
      <c r="F1440">
        <v>0</v>
      </c>
      <c r="G1440">
        <v>5317</v>
      </c>
      <c r="H1440">
        <v>1</v>
      </c>
      <c r="I1440" t="s">
        <v>181</v>
      </c>
      <c r="J1440">
        <v>3</v>
      </c>
      <c r="K1440" s="6">
        <v>7.03</v>
      </c>
      <c r="L1440" t="s">
        <v>174</v>
      </c>
      <c r="M1440">
        <v>0</v>
      </c>
      <c r="N1440" t="s">
        <v>217</v>
      </c>
      <c r="O1440">
        <v>4</v>
      </c>
      <c r="P1440">
        <v>1</v>
      </c>
      <c r="Q1440" s="6">
        <v>111</v>
      </c>
      <c r="R1440">
        <v>1</v>
      </c>
      <c r="S1440" s="6">
        <v>1833</v>
      </c>
      <c r="T1440">
        <v>0</v>
      </c>
      <c r="U1440" s="6">
        <v>7633</v>
      </c>
      <c r="V1440">
        <v>0</v>
      </c>
      <c r="W1440">
        <v>0</v>
      </c>
      <c r="X1440">
        <v>0</v>
      </c>
      <c r="Y1440" s="6">
        <v>51.7</v>
      </c>
      <c r="Z1440">
        <v>1.7999999999999999E-2</v>
      </c>
      <c r="AA1440">
        <v>8.7999999999999995E-2</v>
      </c>
      <c r="AB1440">
        <v>7.8E-2</v>
      </c>
      <c r="AC1440">
        <v>6</v>
      </c>
      <c r="AD1440" s="6">
        <v>60</v>
      </c>
      <c r="AE1440" s="6">
        <v>25</v>
      </c>
      <c r="AF1440" s="6">
        <v>0</v>
      </c>
      <c r="AG1440" s="6">
        <v>122.22</v>
      </c>
      <c r="AH1440" s="6">
        <v>147.65</v>
      </c>
      <c r="AI1440" s="6">
        <f t="shared" si="44"/>
        <v>25.430000000000007</v>
      </c>
      <c r="AJ1440" s="5">
        <f t="shared" si="45"/>
        <v>0.17223162885201493</v>
      </c>
    </row>
    <row r="1441" spans="1:36">
      <c r="A1441" t="s">
        <v>478</v>
      </c>
      <c r="B1441" t="s">
        <v>1726</v>
      </c>
      <c r="C1441" t="s">
        <v>90</v>
      </c>
      <c r="D1441" t="s">
        <v>68</v>
      </c>
      <c r="E1441" t="s">
        <v>55</v>
      </c>
      <c r="F1441">
        <v>0</v>
      </c>
      <c r="G1441">
        <v>5317</v>
      </c>
      <c r="H1441">
        <v>1</v>
      </c>
      <c r="I1441" t="s">
        <v>181</v>
      </c>
      <c r="J1441">
        <v>3</v>
      </c>
      <c r="K1441" s="6">
        <v>5.52</v>
      </c>
      <c r="L1441" t="s">
        <v>174</v>
      </c>
      <c r="M1441">
        <v>0</v>
      </c>
      <c r="N1441" t="s">
        <v>175</v>
      </c>
      <c r="O1441">
        <v>1</v>
      </c>
      <c r="P1441">
        <v>0</v>
      </c>
      <c r="Q1441" s="6">
        <v>42.2</v>
      </c>
      <c r="R1441">
        <v>1</v>
      </c>
      <c r="S1441" s="6">
        <v>3364</v>
      </c>
      <c r="T1441">
        <v>0</v>
      </c>
      <c r="U1441" s="6">
        <v>23589</v>
      </c>
      <c r="V1441">
        <v>0</v>
      </c>
      <c r="W1441">
        <v>0</v>
      </c>
      <c r="X1441">
        <v>0</v>
      </c>
      <c r="Y1441" s="6">
        <v>51.7</v>
      </c>
      <c r="Z1441">
        <v>1.7999999999999999E-2</v>
      </c>
      <c r="AA1441">
        <v>8.7999999999999995E-2</v>
      </c>
      <c r="AB1441">
        <v>7.8E-2</v>
      </c>
      <c r="AC1441">
        <v>6</v>
      </c>
      <c r="AD1441" s="6">
        <v>60</v>
      </c>
      <c r="AE1441" s="6">
        <v>40</v>
      </c>
      <c r="AF1441" s="6">
        <v>0</v>
      </c>
      <c r="AG1441" s="6">
        <v>69.569999999999993</v>
      </c>
      <c r="AH1441" s="6">
        <v>87.18</v>
      </c>
      <c r="AI1441" s="6">
        <f t="shared" si="44"/>
        <v>17.610000000000014</v>
      </c>
      <c r="AJ1441" s="5">
        <f t="shared" si="45"/>
        <v>0.20199587061252594</v>
      </c>
    </row>
    <row r="1442" spans="1:36">
      <c r="A1442" t="s">
        <v>375</v>
      </c>
      <c r="B1442" t="s">
        <v>1727</v>
      </c>
      <c r="C1442" t="s">
        <v>90</v>
      </c>
      <c r="D1442" t="s">
        <v>68</v>
      </c>
      <c r="E1442" t="s">
        <v>55</v>
      </c>
      <c r="F1442">
        <v>0</v>
      </c>
      <c r="G1442">
        <v>5317</v>
      </c>
      <c r="H1442">
        <v>1</v>
      </c>
      <c r="I1442" t="s">
        <v>181</v>
      </c>
      <c r="J1442">
        <v>3</v>
      </c>
      <c r="K1442" s="6">
        <v>10.48</v>
      </c>
      <c r="L1442" t="s">
        <v>174</v>
      </c>
      <c r="M1442">
        <v>0</v>
      </c>
      <c r="N1442" t="s">
        <v>175</v>
      </c>
      <c r="O1442">
        <v>1</v>
      </c>
      <c r="P1442">
        <v>0</v>
      </c>
      <c r="Q1442" s="6">
        <v>40.4</v>
      </c>
      <c r="R1442">
        <v>1</v>
      </c>
      <c r="S1442" s="6">
        <v>1100</v>
      </c>
      <c r="T1442">
        <v>0</v>
      </c>
      <c r="U1442" s="6">
        <v>8469</v>
      </c>
      <c r="V1442">
        <v>0</v>
      </c>
      <c r="W1442">
        <v>0</v>
      </c>
      <c r="X1442">
        <v>0</v>
      </c>
      <c r="Y1442" s="6">
        <v>51.7</v>
      </c>
      <c r="Z1442">
        <v>1.7999999999999999E-2</v>
      </c>
      <c r="AA1442">
        <v>8.7999999999999995E-2</v>
      </c>
      <c r="AB1442">
        <v>7.8E-2</v>
      </c>
      <c r="AC1442">
        <v>6</v>
      </c>
      <c r="AD1442" s="6">
        <v>60</v>
      </c>
      <c r="AE1442" s="6">
        <v>25</v>
      </c>
      <c r="AF1442" s="6">
        <v>0</v>
      </c>
      <c r="AG1442" s="6">
        <v>98.37</v>
      </c>
      <c r="AH1442" s="6">
        <v>119.93</v>
      </c>
      <c r="AI1442" s="6">
        <f t="shared" si="44"/>
        <v>21.560000000000002</v>
      </c>
      <c r="AJ1442" s="5">
        <f t="shared" si="45"/>
        <v>0.17977153339448013</v>
      </c>
    </row>
    <row r="1443" spans="1:36">
      <c r="A1443" t="s">
        <v>194</v>
      </c>
      <c r="B1443" t="s">
        <v>1728</v>
      </c>
      <c r="C1443" t="s">
        <v>90</v>
      </c>
      <c r="D1443" t="s">
        <v>68</v>
      </c>
      <c r="E1443" t="s">
        <v>55</v>
      </c>
      <c r="F1443">
        <v>0</v>
      </c>
      <c r="G1443">
        <v>5317</v>
      </c>
      <c r="H1443">
        <v>1</v>
      </c>
      <c r="I1443" t="s">
        <v>181</v>
      </c>
      <c r="J1443">
        <v>3</v>
      </c>
      <c r="K1443" s="6">
        <v>10.6</v>
      </c>
      <c r="L1443" t="s">
        <v>174</v>
      </c>
      <c r="M1443">
        <v>0</v>
      </c>
      <c r="N1443" t="s">
        <v>175</v>
      </c>
      <c r="O1443">
        <v>1</v>
      </c>
      <c r="P1443">
        <v>0</v>
      </c>
      <c r="Q1443" s="6">
        <v>36.299999999999997</v>
      </c>
      <c r="R1443">
        <v>1</v>
      </c>
      <c r="S1443" s="6">
        <v>1230</v>
      </c>
      <c r="T1443">
        <v>0</v>
      </c>
      <c r="U1443" s="6">
        <v>4345</v>
      </c>
      <c r="V1443">
        <v>0</v>
      </c>
      <c r="W1443">
        <v>0</v>
      </c>
      <c r="X1443">
        <v>0</v>
      </c>
      <c r="Y1443" s="6">
        <v>51.7</v>
      </c>
      <c r="Z1443">
        <v>1.7999999999999999E-2</v>
      </c>
      <c r="AA1443">
        <v>8.7999999999999995E-2</v>
      </c>
      <c r="AB1443">
        <v>7.8E-2</v>
      </c>
      <c r="AC1443">
        <v>6</v>
      </c>
      <c r="AD1443" s="6">
        <v>60</v>
      </c>
      <c r="AE1443" s="6">
        <v>25</v>
      </c>
      <c r="AF1443" s="6">
        <v>0</v>
      </c>
      <c r="AG1443" s="6">
        <v>90.65</v>
      </c>
      <c r="AH1443" s="6">
        <v>110.08</v>
      </c>
      <c r="AI1443" s="6">
        <f t="shared" si="44"/>
        <v>19.429999999999993</v>
      </c>
      <c r="AJ1443" s="5">
        <f t="shared" si="45"/>
        <v>0.17650799418604646</v>
      </c>
    </row>
    <row r="1444" spans="1:36">
      <c r="A1444" t="s">
        <v>274</v>
      </c>
      <c r="B1444" t="s">
        <v>1729</v>
      </c>
      <c r="C1444" t="s">
        <v>90</v>
      </c>
      <c r="D1444" t="s">
        <v>68</v>
      </c>
      <c r="E1444" t="s">
        <v>55</v>
      </c>
      <c r="F1444">
        <v>0</v>
      </c>
      <c r="G1444">
        <v>5317</v>
      </c>
      <c r="H1444">
        <v>1</v>
      </c>
      <c r="I1444" t="s">
        <v>181</v>
      </c>
      <c r="J1444">
        <v>3</v>
      </c>
      <c r="K1444" s="6">
        <v>6.84</v>
      </c>
      <c r="L1444" t="s">
        <v>174</v>
      </c>
      <c r="M1444">
        <v>0</v>
      </c>
      <c r="N1444" t="s">
        <v>175</v>
      </c>
      <c r="O1444">
        <v>1</v>
      </c>
      <c r="P1444">
        <v>0</v>
      </c>
      <c r="Q1444" s="6">
        <v>41.1</v>
      </c>
      <c r="R1444">
        <v>0</v>
      </c>
      <c r="S1444" s="6">
        <v>0</v>
      </c>
      <c r="T1444">
        <v>0</v>
      </c>
      <c r="U1444" s="6">
        <v>4936</v>
      </c>
      <c r="V1444">
        <v>0</v>
      </c>
      <c r="W1444">
        <v>0</v>
      </c>
      <c r="X1444">
        <v>0</v>
      </c>
      <c r="Y1444" s="6">
        <v>51.7</v>
      </c>
      <c r="Z1444">
        <v>1.7999999999999999E-2</v>
      </c>
      <c r="AA1444">
        <v>8.7999999999999995E-2</v>
      </c>
      <c r="AB1444">
        <v>7.8E-2</v>
      </c>
      <c r="AC1444">
        <v>6</v>
      </c>
      <c r="AD1444" s="6">
        <v>60</v>
      </c>
      <c r="AE1444" s="6">
        <v>0</v>
      </c>
      <c r="AF1444" s="6">
        <v>0</v>
      </c>
      <c r="AG1444" s="6">
        <v>71.22</v>
      </c>
      <c r="AH1444" s="6">
        <v>87.64</v>
      </c>
      <c r="AI1444" s="6">
        <f t="shared" si="44"/>
        <v>16.420000000000002</v>
      </c>
      <c r="AJ1444" s="5">
        <f t="shared" si="45"/>
        <v>0.18735737106344136</v>
      </c>
    </row>
    <row r="1445" spans="1:36">
      <c r="A1445" t="s">
        <v>230</v>
      </c>
      <c r="B1445" t="s">
        <v>1730</v>
      </c>
      <c r="C1445" t="s">
        <v>90</v>
      </c>
      <c r="D1445" t="s">
        <v>68</v>
      </c>
      <c r="E1445" t="s">
        <v>55</v>
      </c>
      <c r="F1445">
        <v>0</v>
      </c>
      <c r="G1445">
        <v>5317</v>
      </c>
      <c r="H1445">
        <v>1</v>
      </c>
      <c r="I1445" t="s">
        <v>173</v>
      </c>
      <c r="J1445">
        <v>1</v>
      </c>
      <c r="K1445" s="6">
        <v>2.0699999999999998</v>
      </c>
      <c r="L1445" t="s">
        <v>174</v>
      </c>
      <c r="M1445">
        <v>0</v>
      </c>
      <c r="N1445" t="s">
        <v>175</v>
      </c>
      <c r="O1445">
        <v>1</v>
      </c>
      <c r="P1445">
        <v>0</v>
      </c>
      <c r="Q1445" s="6">
        <v>29.7</v>
      </c>
      <c r="R1445">
        <v>1</v>
      </c>
      <c r="S1445" s="6">
        <v>697</v>
      </c>
      <c r="T1445">
        <v>0</v>
      </c>
      <c r="U1445" s="6">
        <v>3929</v>
      </c>
      <c r="V1445">
        <v>0</v>
      </c>
      <c r="W1445">
        <v>0</v>
      </c>
      <c r="X1445">
        <v>0</v>
      </c>
      <c r="Y1445" s="6">
        <v>51.7</v>
      </c>
      <c r="Z1445">
        <v>1.7999999999999999E-2</v>
      </c>
      <c r="AA1445">
        <v>8.7999999999999995E-2</v>
      </c>
      <c r="AB1445">
        <v>7.8E-2</v>
      </c>
      <c r="AC1445">
        <v>6</v>
      </c>
      <c r="AD1445" s="6">
        <v>50</v>
      </c>
      <c r="AE1445" s="6">
        <v>25</v>
      </c>
      <c r="AF1445" s="6">
        <v>0</v>
      </c>
      <c r="AG1445" s="6">
        <v>55.07</v>
      </c>
      <c r="AH1445" s="6">
        <v>70.16</v>
      </c>
      <c r="AI1445" s="6">
        <f t="shared" si="44"/>
        <v>15.089999999999996</v>
      </c>
      <c r="AJ1445" s="5">
        <f t="shared" si="45"/>
        <v>0.21507981755986313</v>
      </c>
    </row>
    <row r="1446" spans="1:36">
      <c r="A1446" t="s">
        <v>215</v>
      </c>
      <c r="B1446" t="s">
        <v>1731</v>
      </c>
      <c r="C1446" t="s">
        <v>90</v>
      </c>
      <c r="D1446" t="s">
        <v>68</v>
      </c>
      <c r="E1446" t="s">
        <v>55</v>
      </c>
      <c r="F1446">
        <v>0</v>
      </c>
      <c r="G1446">
        <v>5317</v>
      </c>
      <c r="H1446">
        <v>1</v>
      </c>
      <c r="I1446" t="s">
        <v>181</v>
      </c>
      <c r="J1446">
        <v>3</v>
      </c>
      <c r="K1446" s="6">
        <v>7.7</v>
      </c>
      <c r="L1446" t="s">
        <v>174</v>
      </c>
      <c r="M1446">
        <v>0</v>
      </c>
      <c r="N1446" t="s">
        <v>175</v>
      </c>
      <c r="O1446">
        <v>1</v>
      </c>
      <c r="P1446">
        <v>0</v>
      </c>
      <c r="Q1446" s="6">
        <v>36.299999999999997</v>
      </c>
      <c r="R1446">
        <v>0</v>
      </c>
      <c r="S1446" s="6">
        <v>0</v>
      </c>
      <c r="T1446">
        <v>0</v>
      </c>
      <c r="U1446" s="6">
        <v>8467</v>
      </c>
      <c r="V1446">
        <v>0</v>
      </c>
      <c r="W1446">
        <v>0</v>
      </c>
      <c r="X1446">
        <v>0</v>
      </c>
      <c r="Y1446" s="6">
        <v>51.7</v>
      </c>
      <c r="Z1446">
        <v>1.7999999999999999E-2</v>
      </c>
      <c r="AA1446">
        <v>8.7999999999999995E-2</v>
      </c>
      <c r="AB1446">
        <v>7.8E-2</v>
      </c>
      <c r="AC1446">
        <v>6</v>
      </c>
      <c r="AD1446" s="6">
        <v>60</v>
      </c>
      <c r="AE1446" s="6">
        <v>0</v>
      </c>
      <c r="AF1446" s="6">
        <v>0</v>
      </c>
      <c r="AG1446" s="6">
        <v>74.67</v>
      </c>
      <c r="AH1446" s="6">
        <v>92.98</v>
      </c>
      <c r="AI1446" s="6">
        <f t="shared" si="44"/>
        <v>18.310000000000002</v>
      </c>
      <c r="AJ1446" s="5">
        <f t="shared" si="45"/>
        <v>0.19692406969240697</v>
      </c>
    </row>
    <row r="1447" spans="1:36">
      <c r="A1447" t="s">
        <v>198</v>
      </c>
      <c r="B1447" t="s">
        <v>1732</v>
      </c>
      <c r="C1447" t="s">
        <v>90</v>
      </c>
      <c r="D1447" t="s">
        <v>68</v>
      </c>
      <c r="E1447" t="s">
        <v>55</v>
      </c>
      <c r="F1447">
        <v>0</v>
      </c>
      <c r="G1447">
        <v>5317</v>
      </c>
      <c r="H1447">
        <v>1</v>
      </c>
      <c r="I1447" t="s">
        <v>181</v>
      </c>
      <c r="J1447">
        <v>3</v>
      </c>
      <c r="K1447" s="6">
        <v>8.1199999999999992</v>
      </c>
      <c r="L1447" t="s">
        <v>174</v>
      </c>
      <c r="M1447">
        <v>0</v>
      </c>
      <c r="N1447" t="s">
        <v>187</v>
      </c>
      <c r="O1447">
        <v>2</v>
      </c>
      <c r="P1447">
        <v>0</v>
      </c>
      <c r="Q1447" s="6">
        <v>69.8</v>
      </c>
      <c r="R1447">
        <v>1</v>
      </c>
      <c r="S1447" s="6">
        <v>1757</v>
      </c>
      <c r="T1447">
        <v>0</v>
      </c>
      <c r="U1447" s="6">
        <v>6236</v>
      </c>
      <c r="V1447">
        <v>0</v>
      </c>
      <c r="W1447">
        <v>0</v>
      </c>
      <c r="X1447">
        <v>0</v>
      </c>
      <c r="Y1447" s="6">
        <v>51.7</v>
      </c>
      <c r="Z1447">
        <v>1.7999999999999999E-2</v>
      </c>
      <c r="AA1447">
        <v>8.7999999999999995E-2</v>
      </c>
      <c r="AB1447">
        <v>7.8E-2</v>
      </c>
      <c r="AC1447">
        <v>6</v>
      </c>
      <c r="AD1447" s="6">
        <v>60</v>
      </c>
      <c r="AE1447" s="6">
        <v>25</v>
      </c>
      <c r="AF1447" s="6">
        <v>0</v>
      </c>
      <c r="AG1447" s="6">
        <v>88.82</v>
      </c>
      <c r="AH1447" s="6">
        <v>108.97</v>
      </c>
      <c r="AI1447" s="6">
        <f t="shared" si="44"/>
        <v>20.150000000000006</v>
      </c>
      <c r="AJ1447" s="5">
        <f t="shared" si="45"/>
        <v>0.18491327888409659</v>
      </c>
    </row>
    <row r="1448" spans="1:36">
      <c r="A1448" t="s">
        <v>323</v>
      </c>
      <c r="B1448" t="s">
        <v>1733</v>
      </c>
      <c r="C1448" t="s">
        <v>90</v>
      </c>
      <c r="D1448" t="s">
        <v>68</v>
      </c>
      <c r="E1448" t="s">
        <v>55</v>
      </c>
      <c r="F1448">
        <v>0</v>
      </c>
      <c r="G1448">
        <v>5317</v>
      </c>
      <c r="H1448">
        <v>1</v>
      </c>
      <c r="I1448" t="s">
        <v>181</v>
      </c>
      <c r="J1448">
        <v>3</v>
      </c>
      <c r="K1448" s="6">
        <v>6.36</v>
      </c>
      <c r="L1448" t="s">
        <v>174</v>
      </c>
      <c r="M1448">
        <v>0</v>
      </c>
      <c r="N1448" t="s">
        <v>175</v>
      </c>
      <c r="O1448">
        <v>1</v>
      </c>
      <c r="P1448">
        <v>1</v>
      </c>
      <c r="Q1448" s="6">
        <v>29.8</v>
      </c>
      <c r="R1448">
        <v>1</v>
      </c>
      <c r="S1448" s="6">
        <v>820</v>
      </c>
      <c r="T1448">
        <v>0</v>
      </c>
      <c r="U1448" s="6">
        <v>3468</v>
      </c>
      <c r="V1448">
        <v>0</v>
      </c>
      <c r="W1448">
        <v>0</v>
      </c>
      <c r="X1448">
        <v>0</v>
      </c>
      <c r="Y1448" s="6">
        <v>51.7</v>
      </c>
      <c r="Z1448">
        <v>1.7999999999999999E-2</v>
      </c>
      <c r="AA1448">
        <v>8.7999999999999995E-2</v>
      </c>
      <c r="AB1448">
        <v>7.8E-2</v>
      </c>
      <c r="AC1448">
        <v>6</v>
      </c>
      <c r="AD1448" s="6">
        <v>60</v>
      </c>
      <c r="AE1448" s="6">
        <v>25</v>
      </c>
      <c r="AF1448" s="6">
        <v>0</v>
      </c>
      <c r="AG1448" s="6">
        <v>91.42</v>
      </c>
      <c r="AH1448" s="6">
        <v>112.19</v>
      </c>
      <c r="AI1448" s="6">
        <f t="shared" si="44"/>
        <v>20.769999999999996</v>
      </c>
      <c r="AJ1448" s="5">
        <f t="shared" si="45"/>
        <v>0.1851323647383902</v>
      </c>
    </row>
    <row r="1449" spans="1:36">
      <c r="A1449" t="s">
        <v>384</v>
      </c>
      <c r="B1449" t="s">
        <v>1734</v>
      </c>
      <c r="C1449" t="s">
        <v>90</v>
      </c>
      <c r="D1449" t="s">
        <v>68</v>
      </c>
      <c r="E1449" t="s">
        <v>55</v>
      </c>
      <c r="F1449">
        <v>0</v>
      </c>
      <c r="G1449">
        <v>5317</v>
      </c>
      <c r="H1449">
        <v>1</v>
      </c>
      <c r="I1449" t="s">
        <v>181</v>
      </c>
      <c r="J1449">
        <v>3</v>
      </c>
      <c r="K1449" s="6">
        <v>9.7799999999999994</v>
      </c>
      <c r="L1449" t="s">
        <v>174</v>
      </c>
      <c r="M1449">
        <v>0</v>
      </c>
      <c r="N1449" t="s">
        <v>175</v>
      </c>
      <c r="O1449">
        <v>1</v>
      </c>
      <c r="P1449">
        <v>0</v>
      </c>
      <c r="Q1449" s="6">
        <v>46.8</v>
      </c>
      <c r="R1449">
        <v>0</v>
      </c>
      <c r="S1449" s="6">
        <v>0</v>
      </c>
      <c r="T1449">
        <v>0</v>
      </c>
      <c r="U1449" s="6">
        <v>1578</v>
      </c>
      <c r="V1449">
        <v>0</v>
      </c>
      <c r="W1449">
        <v>0</v>
      </c>
      <c r="X1449">
        <v>0</v>
      </c>
      <c r="Y1449" s="6">
        <v>51.7</v>
      </c>
      <c r="Z1449">
        <v>1.7999999999999999E-2</v>
      </c>
      <c r="AA1449">
        <v>8.7999999999999995E-2</v>
      </c>
      <c r="AB1449">
        <v>7.8E-2</v>
      </c>
      <c r="AC1449">
        <v>6</v>
      </c>
      <c r="AD1449" s="6">
        <v>60</v>
      </c>
      <c r="AE1449" s="6">
        <v>0</v>
      </c>
      <c r="AF1449" s="6">
        <v>0</v>
      </c>
      <c r="AG1449" s="6">
        <v>89.42</v>
      </c>
      <c r="AH1449" s="6">
        <v>107.04</v>
      </c>
      <c r="AI1449" s="6">
        <f t="shared" si="44"/>
        <v>17.620000000000005</v>
      </c>
      <c r="AJ1449" s="5">
        <f t="shared" si="45"/>
        <v>0.16461136023916295</v>
      </c>
    </row>
    <row r="1450" spans="1:36">
      <c r="A1450" t="s">
        <v>311</v>
      </c>
      <c r="B1450" t="s">
        <v>1735</v>
      </c>
      <c r="C1450" t="s">
        <v>90</v>
      </c>
      <c r="D1450" t="s">
        <v>68</v>
      </c>
      <c r="E1450" t="s">
        <v>55</v>
      </c>
      <c r="F1450">
        <v>0</v>
      </c>
      <c r="G1450">
        <v>5317</v>
      </c>
      <c r="H1450">
        <v>1</v>
      </c>
      <c r="I1450" t="s">
        <v>181</v>
      </c>
      <c r="J1450">
        <v>3</v>
      </c>
      <c r="K1450" s="6">
        <v>5.7</v>
      </c>
      <c r="L1450" t="s">
        <v>174</v>
      </c>
      <c r="M1450">
        <v>0</v>
      </c>
      <c r="N1450" t="s">
        <v>217</v>
      </c>
      <c r="O1450">
        <v>4</v>
      </c>
      <c r="P1450">
        <v>1</v>
      </c>
      <c r="Q1450" s="6">
        <v>158.5</v>
      </c>
      <c r="R1450">
        <v>0</v>
      </c>
      <c r="S1450" s="6">
        <v>0</v>
      </c>
      <c r="T1450">
        <v>0</v>
      </c>
      <c r="U1450" s="6">
        <v>8321</v>
      </c>
      <c r="V1450">
        <v>0</v>
      </c>
      <c r="W1450">
        <v>0</v>
      </c>
      <c r="X1450">
        <v>0</v>
      </c>
      <c r="Y1450" s="6">
        <v>51.7</v>
      </c>
      <c r="Z1450">
        <v>1.7999999999999999E-2</v>
      </c>
      <c r="AA1450">
        <v>8.7999999999999995E-2</v>
      </c>
      <c r="AB1450">
        <v>7.8E-2</v>
      </c>
      <c r="AC1450">
        <v>6</v>
      </c>
      <c r="AD1450" s="6">
        <v>60</v>
      </c>
      <c r="AE1450" s="6">
        <v>0</v>
      </c>
      <c r="AF1450" s="6">
        <v>0</v>
      </c>
      <c r="AG1450" s="6">
        <v>114.32</v>
      </c>
      <c r="AH1450" s="6">
        <v>138.69</v>
      </c>
      <c r="AI1450" s="6">
        <f t="shared" si="44"/>
        <v>24.370000000000005</v>
      </c>
      <c r="AJ1450" s="5">
        <f t="shared" si="45"/>
        <v>0.17571562477467736</v>
      </c>
    </row>
    <row r="1451" spans="1:36">
      <c r="A1451" t="s">
        <v>457</v>
      </c>
      <c r="B1451" t="s">
        <v>1736</v>
      </c>
      <c r="C1451" t="s">
        <v>92</v>
      </c>
      <c r="D1451" t="s">
        <v>60</v>
      </c>
      <c r="E1451" t="s">
        <v>55</v>
      </c>
      <c r="F1451">
        <v>0</v>
      </c>
      <c r="G1451">
        <v>1685</v>
      </c>
      <c r="H1451">
        <v>1</v>
      </c>
      <c r="I1451" t="s">
        <v>173</v>
      </c>
      <c r="J1451">
        <v>1</v>
      </c>
      <c r="K1451" s="6">
        <v>2.0499999999999998</v>
      </c>
      <c r="L1451" t="s">
        <v>174</v>
      </c>
      <c r="M1451">
        <v>0</v>
      </c>
      <c r="N1451" t="s">
        <v>187</v>
      </c>
      <c r="O1451">
        <v>2</v>
      </c>
      <c r="P1451">
        <v>0</v>
      </c>
      <c r="Q1451" s="6">
        <v>60.7</v>
      </c>
      <c r="R1451">
        <v>1</v>
      </c>
      <c r="S1451" s="6">
        <v>540</v>
      </c>
      <c r="T1451">
        <v>0</v>
      </c>
      <c r="U1451" s="6">
        <v>1090</v>
      </c>
      <c r="V1451">
        <v>0</v>
      </c>
      <c r="W1451">
        <v>0</v>
      </c>
      <c r="X1451">
        <v>0</v>
      </c>
      <c r="Y1451" s="6">
        <v>47.8</v>
      </c>
      <c r="Z1451">
        <v>0.46800000000000003</v>
      </c>
      <c r="AA1451">
        <v>7.9000000000000001E-2</v>
      </c>
      <c r="AB1451">
        <v>6.2E-2</v>
      </c>
      <c r="AC1451">
        <v>6</v>
      </c>
      <c r="AD1451" s="6">
        <v>50</v>
      </c>
      <c r="AE1451" s="6">
        <v>25</v>
      </c>
      <c r="AF1451" s="6">
        <v>0</v>
      </c>
      <c r="AG1451" s="6">
        <v>53.26</v>
      </c>
      <c r="AH1451" s="6">
        <v>68.95</v>
      </c>
      <c r="AI1451" s="6">
        <f t="shared" si="44"/>
        <v>15.690000000000005</v>
      </c>
      <c r="AJ1451" s="5">
        <f t="shared" si="45"/>
        <v>0.22755620014503269</v>
      </c>
    </row>
    <row r="1452" spans="1:36">
      <c r="A1452" t="s">
        <v>397</v>
      </c>
      <c r="B1452" t="s">
        <v>1737</v>
      </c>
      <c r="C1452" t="s">
        <v>92</v>
      </c>
      <c r="D1452" t="s">
        <v>60</v>
      </c>
      <c r="E1452" t="s">
        <v>55</v>
      </c>
      <c r="F1452">
        <v>0</v>
      </c>
      <c r="G1452">
        <v>1685</v>
      </c>
      <c r="H1452">
        <v>1.22</v>
      </c>
      <c r="I1452" t="s">
        <v>220</v>
      </c>
      <c r="J1452">
        <v>2</v>
      </c>
      <c r="K1452" s="6">
        <v>5.6</v>
      </c>
      <c r="L1452" t="s">
        <v>174</v>
      </c>
      <c r="M1452">
        <v>0</v>
      </c>
      <c r="N1452" t="s">
        <v>217</v>
      </c>
      <c r="O1452">
        <v>4</v>
      </c>
      <c r="P1452">
        <v>1</v>
      </c>
      <c r="Q1452" s="6">
        <v>131.4</v>
      </c>
      <c r="R1452">
        <v>0</v>
      </c>
      <c r="S1452" s="6">
        <v>0</v>
      </c>
      <c r="T1452">
        <v>0</v>
      </c>
      <c r="U1452" s="6">
        <v>2035</v>
      </c>
      <c r="V1452">
        <v>0</v>
      </c>
      <c r="W1452">
        <v>0</v>
      </c>
      <c r="X1452">
        <v>0</v>
      </c>
      <c r="Y1452" s="6">
        <v>47.8</v>
      </c>
      <c r="Z1452">
        <v>0.46800000000000003</v>
      </c>
      <c r="AA1452">
        <v>7.9000000000000001E-2</v>
      </c>
      <c r="AB1452">
        <v>6.2E-2</v>
      </c>
      <c r="AC1452">
        <v>6</v>
      </c>
      <c r="AD1452" s="6">
        <v>50</v>
      </c>
      <c r="AE1452" s="6">
        <v>0</v>
      </c>
      <c r="AF1452" s="6">
        <v>0</v>
      </c>
      <c r="AG1452" s="6">
        <v>119.1</v>
      </c>
      <c r="AH1452" s="6">
        <v>153.69999999999999</v>
      </c>
      <c r="AI1452" s="6">
        <f t="shared" si="44"/>
        <v>34.599999999999994</v>
      </c>
      <c r="AJ1452" s="5">
        <f t="shared" si="45"/>
        <v>0.22511385816525697</v>
      </c>
    </row>
    <row r="1453" spans="1:36">
      <c r="A1453" t="s">
        <v>411</v>
      </c>
      <c r="B1453" t="s">
        <v>1738</v>
      </c>
      <c r="C1453" t="s">
        <v>92</v>
      </c>
      <c r="D1453" t="s">
        <v>60</v>
      </c>
      <c r="E1453" t="s">
        <v>55</v>
      </c>
      <c r="F1453">
        <v>0</v>
      </c>
      <c r="G1453">
        <v>1685</v>
      </c>
      <c r="H1453">
        <v>1.22</v>
      </c>
      <c r="I1453" t="s">
        <v>173</v>
      </c>
      <c r="J1453">
        <v>1</v>
      </c>
      <c r="K1453" s="6">
        <v>1.53</v>
      </c>
      <c r="L1453" t="s">
        <v>200</v>
      </c>
      <c r="M1453">
        <v>1</v>
      </c>
      <c r="N1453" t="s">
        <v>175</v>
      </c>
      <c r="O1453">
        <v>1</v>
      </c>
      <c r="P1453">
        <v>0</v>
      </c>
      <c r="Q1453" s="6">
        <v>35</v>
      </c>
      <c r="R1453">
        <v>0</v>
      </c>
      <c r="S1453" s="6">
        <v>0</v>
      </c>
      <c r="T1453">
        <v>0</v>
      </c>
      <c r="U1453" s="6">
        <v>1017</v>
      </c>
      <c r="V1453">
        <v>0</v>
      </c>
      <c r="W1453">
        <v>0</v>
      </c>
      <c r="X1453">
        <v>0</v>
      </c>
      <c r="Y1453" s="6">
        <v>47.8</v>
      </c>
      <c r="Z1453">
        <v>0.46800000000000003</v>
      </c>
      <c r="AA1453">
        <v>7.9000000000000001E-2</v>
      </c>
      <c r="AB1453">
        <v>6.2E-2</v>
      </c>
      <c r="AC1453">
        <v>6</v>
      </c>
      <c r="AD1453" s="6">
        <v>99</v>
      </c>
      <c r="AE1453" s="6">
        <v>0</v>
      </c>
      <c r="AF1453" s="6">
        <v>0</v>
      </c>
      <c r="AG1453" s="6">
        <v>89.88</v>
      </c>
      <c r="AH1453" s="6">
        <v>115.52</v>
      </c>
      <c r="AI1453" s="6">
        <f t="shared" si="44"/>
        <v>25.64</v>
      </c>
      <c r="AJ1453" s="5">
        <f t="shared" si="45"/>
        <v>0.22195290858725764</v>
      </c>
    </row>
    <row r="1454" spans="1:36">
      <c r="A1454" t="s">
        <v>238</v>
      </c>
      <c r="B1454" t="s">
        <v>1739</v>
      </c>
      <c r="C1454" t="s">
        <v>92</v>
      </c>
      <c r="D1454" t="s">
        <v>60</v>
      </c>
      <c r="E1454" t="s">
        <v>55</v>
      </c>
      <c r="F1454">
        <v>0</v>
      </c>
      <c r="G1454">
        <v>1685</v>
      </c>
      <c r="H1454">
        <v>1</v>
      </c>
      <c r="I1454" t="s">
        <v>220</v>
      </c>
      <c r="J1454">
        <v>2</v>
      </c>
      <c r="K1454" s="6">
        <v>1.64</v>
      </c>
      <c r="L1454" t="s">
        <v>174</v>
      </c>
      <c r="M1454">
        <v>0</v>
      </c>
      <c r="N1454" t="s">
        <v>182</v>
      </c>
      <c r="O1454">
        <v>3</v>
      </c>
      <c r="P1454">
        <v>1</v>
      </c>
      <c r="Q1454" s="6">
        <v>117.5</v>
      </c>
      <c r="R1454">
        <v>1</v>
      </c>
      <c r="S1454" s="6">
        <v>3365</v>
      </c>
      <c r="T1454">
        <v>0</v>
      </c>
      <c r="U1454" s="6">
        <v>737</v>
      </c>
      <c r="V1454">
        <v>0</v>
      </c>
      <c r="W1454">
        <v>0</v>
      </c>
      <c r="X1454">
        <v>0</v>
      </c>
      <c r="Y1454" s="6">
        <v>47.8</v>
      </c>
      <c r="Z1454">
        <v>0.46800000000000003</v>
      </c>
      <c r="AA1454">
        <v>7.9000000000000001E-2</v>
      </c>
      <c r="AB1454">
        <v>6.2E-2</v>
      </c>
      <c r="AC1454">
        <v>6</v>
      </c>
      <c r="AD1454" s="6">
        <v>50</v>
      </c>
      <c r="AE1454" s="6">
        <v>40</v>
      </c>
      <c r="AF1454" s="6">
        <v>0</v>
      </c>
      <c r="AG1454" s="6">
        <v>94.96</v>
      </c>
      <c r="AH1454" s="6">
        <v>119.52</v>
      </c>
      <c r="AI1454" s="6">
        <f t="shared" si="44"/>
        <v>24.560000000000002</v>
      </c>
      <c r="AJ1454" s="5">
        <f t="shared" si="45"/>
        <v>0.20548862115127178</v>
      </c>
    </row>
    <row r="1455" spans="1:36">
      <c r="A1455" t="s">
        <v>218</v>
      </c>
      <c r="B1455" t="s">
        <v>1740</v>
      </c>
      <c r="C1455" t="s">
        <v>92</v>
      </c>
      <c r="D1455" t="s">
        <v>60</v>
      </c>
      <c r="E1455" t="s">
        <v>55</v>
      </c>
      <c r="F1455">
        <v>0</v>
      </c>
      <c r="G1455">
        <v>1685</v>
      </c>
      <c r="H1455">
        <v>1.22</v>
      </c>
      <c r="I1455" t="s">
        <v>173</v>
      </c>
      <c r="J1455">
        <v>1</v>
      </c>
      <c r="K1455" s="6">
        <v>2.17</v>
      </c>
      <c r="L1455" t="s">
        <v>174</v>
      </c>
      <c r="M1455">
        <v>0</v>
      </c>
      <c r="N1455" t="s">
        <v>182</v>
      </c>
      <c r="O1455">
        <v>3</v>
      </c>
      <c r="P1455">
        <v>1</v>
      </c>
      <c r="Q1455" s="6">
        <v>153.30000000000001</v>
      </c>
      <c r="R1455">
        <v>0</v>
      </c>
      <c r="S1455" s="6">
        <v>0</v>
      </c>
      <c r="T1455">
        <v>0</v>
      </c>
      <c r="U1455" s="6">
        <v>2881</v>
      </c>
      <c r="V1455">
        <v>0</v>
      </c>
      <c r="W1455">
        <v>0</v>
      </c>
      <c r="X1455">
        <v>0</v>
      </c>
      <c r="Y1455" s="6">
        <v>47.8</v>
      </c>
      <c r="Z1455">
        <v>0.46800000000000003</v>
      </c>
      <c r="AA1455">
        <v>7.9000000000000001E-2</v>
      </c>
      <c r="AB1455">
        <v>6.2E-2</v>
      </c>
      <c r="AC1455">
        <v>6</v>
      </c>
      <c r="AD1455" s="6">
        <v>50</v>
      </c>
      <c r="AE1455" s="6">
        <v>0</v>
      </c>
      <c r="AF1455" s="6">
        <v>0</v>
      </c>
      <c r="AG1455" s="6">
        <v>92.3</v>
      </c>
      <c r="AH1455" s="6">
        <v>117.25</v>
      </c>
      <c r="AI1455" s="6">
        <f t="shared" si="44"/>
        <v>24.950000000000003</v>
      </c>
      <c r="AJ1455" s="5">
        <f t="shared" si="45"/>
        <v>0.21279317697228148</v>
      </c>
    </row>
    <row r="1456" spans="1:36">
      <c r="A1456" t="s">
        <v>391</v>
      </c>
      <c r="B1456" t="s">
        <v>1741</v>
      </c>
      <c r="C1456" t="s">
        <v>92</v>
      </c>
      <c r="D1456" t="s">
        <v>60</v>
      </c>
      <c r="E1456" t="s">
        <v>55</v>
      </c>
      <c r="F1456">
        <v>0</v>
      </c>
      <c r="G1456">
        <v>1685</v>
      </c>
      <c r="H1456">
        <v>1</v>
      </c>
      <c r="I1456" t="s">
        <v>173</v>
      </c>
      <c r="J1456">
        <v>1</v>
      </c>
      <c r="K1456" s="6">
        <v>2.2799999999999998</v>
      </c>
      <c r="L1456" t="s">
        <v>200</v>
      </c>
      <c r="M1456">
        <v>1</v>
      </c>
      <c r="N1456" t="s">
        <v>187</v>
      </c>
      <c r="O1456">
        <v>2</v>
      </c>
      <c r="P1456">
        <v>0</v>
      </c>
      <c r="Q1456" s="6">
        <v>71.5</v>
      </c>
      <c r="R1456">
        <v>0</v>
      </c>
      <c r="S1456" s="6">
        <v>0</v>
      </c>
      <c r="T1456">
        <v>0</v>
      </c>
      <c r="U1456" s="6">
        <v>2633</v>
      </c>
      <c r="V1456">
        <v>0</v>
      </c>
      <c r="W1456">
        <v>0</v>
      </c>
      <c r="X1456">
        <v>0</v>
      </c>
      <c r="Y1456" s="6">
        <v>47.8</v>
      </c>
      <c r="Z1456">
        <v>0.46800000000000003</v>
      </c>
      <c r="AA1456">
        <v>7.9000000000000001E-2</v>
      </c>
      <c r="AB1456">
        <v>6.2E-2</v>
      </c>
      <c r="AC1456">
        <v>6</v>
      </c>
      <c r="AD1456" s="6">
        <v>99</v>
      </c>
      <c r="AE1456" s="6">
        <v>0</v>
      </c>
      <c r="AF1456" s="6">
        <v>0</v>
      </c>
      <c r="AG1456" s="6">
        <v>83.61</v>
      </c>
      <c r="AH1456" s="6">
        <v>105.09</v>
      </c>
      <c r="AI1456" s="6">
        <f t="shared" si="44"/>
        <v>21.480000000000004</v>
      </c>
      <c r="AJ1456" s="5">
        <f t="shared" si="45"/>
        <v>0.20439623180131319</v>
      </c>
    </row>
    <row r="1457" spans="1:36">
      <c r="A1457" t="s">
        <v>517</v>
      </c>
      <c r="B1457" t="s">
        <v>1742</v>
      </c>
      <c r="C1457" t="s">
        <v>92</v>
      </c>
      <c r="D1457" t="s">
        <v>60</v>
      </c>
      <c r="E1457" t="s">
        <v>55</v>
      </c>
      <c r="F1457">
        <v>0</v>
      </c>
      <c r="G1457">
        <v>1685</v>
      </c>
      <c r="H1457">
        <v>1</v>
      </c>
      <c r="I1457" t="s">
        <v>220</v>
      </c>
      <c r="J1457">
        <v>2</v>
      </c>
      <c r="K1457" s="6">
        <v>2.8</v>
      </c>
      <c r="L1457" t="s">
        <v>174</v>
      </c>
      <c r="M1457">
        <v>0</v>
      </c>
      <c r="N1457" t="s">
        <v>187</v>
      </c>
      <c r="O1457">
        <v>2</v>
      </c>
      <c r="P1457">
        <v>0</v>
      </c>
      <c r="Q1457" s="6">
        <v>46.6</v>
      </c>
      <c r="R1457">
        <v>1</v>
      </c>
      <c r="S1457" s="6">
        <v>1850</v>
      </c>
      <c r="T1457">
        <v>0</v>
      </c>
      <c r="U1457" s="6">
        <v>3141</v>
      </c>
      <c r="V1457">
        <v>0</v>
      </c>
      <c r="W1457">
        <v>0</v>
      </c>
      <c r="X1457">
        <v>0</v>
      </c>
      <c r="Y1457" s="6">
        <v>47.8</v>
      </c>
      <c r="Z1457">
        <v>0.46800000000000003</v>
      </c>
      <c r="AA1457">
        <v>7.9000000000000001E-2</v>
      </c>
      <c r="AB1457">
        <v>6.2E-2</v>
      </c>
      <c r="AC1457">
        <v>6</v>
      </c>
      <c r="AD1457" s="6">
        <v>50</v>
      </c>
      <c r="AE1457" s="6">
        <v>25</v>
      </c>
      <c r="AF1457" s="6">
        <v>0</v>
      </c>
      <c r="AG1457" s="6">
        <v>64.39</v>
      </c>
      <c r="AH1457" s="6">
        <v>84.03</v>
      </c>
      <c r="AI1457" s="6">
        <f t="shared" si="44"/>
        <v>19.64</v>
      </c>
      <c r="AJ1457" s="5">
        <f t="shared" si="45"/>
        <v>0.23372605022015946</v>
      </c>
    </row>
    <row r="1458" spans="1:36">
      <c r="A1458" t="s">
        <v>196</v>
      </c>
      <c r="B1458" t="s">
        <v>1743</v>
      </c>
      <c r="C1458" t="s">
        <v>92</v>
      </c>
      <c r="D1458" t="s">
        <v>60</v>
      </c>
      <c r="E1458" t="s">
        <v>55</v>
      </c>
      <c r="F1458">
        <v>0</v>
      </c>
      <c r="G1458">
        <v>1685</v>
      </c>
      <c r="H1458">
        <v>1</v>
      </c>
      <c r="I1458" t="s">
        <v>173</v>
      </c>
      <c r="J1458">
        <v>1</v>
      </c>
      <c r="K1458" s="6">
        <v>1.32</v>
      </c>
      <c r="L1458" t="s">
        <v>200</v>
      </c>
      <c r="M1458">
        <v>1</v>
      </c>
      <c r="N1458" t="s">
        <v>182</v>
      </c>
      <c r="O1458">
        <v>3</v>
      </c>
      <c r="P1458">
        <v>0</v>
      </c>
      <c r="Q1458" s="6">
        <v>101.7</v>
      </c>
      <c r="R1458">
        <v>0</v>
      </c>
      <c r="S1458" s="6">
        <v>0</v>
      </c>
      <c r="T1458">
        <v>0</v>
      </c>
      <c r="U1458" s="6">
        <v>3102</v>
      </c>
      <c r="V1458">
        <v>0</v>
      </c>
      <c r="W1458">
        <v>0</v>
      </c>
      <c r="X1458">
        <v>0</v>
      </c>
      <c r="Y1458" s="6">
        <v>47.8</v>
      </c>
      <c r="Z1458">
        <v>0.46800000000000003</v>
      </c>
      <c r="AA1458">
        <v>7.9000000000000001E-2</v>
      </c>
      <c r="AB1458">
        <v>6.2E-2</v>
      </c>
      <c r="AC1458">
        <v>6</v>
      </c>
      <c r="AD1458" s="6">
        <v>99</v>
      </c>
      <c r="AE1458" s="6">
        <v>0</v>
      </c>
      <c r="AF1458" s="6">
        <v>0</v>
      </c>
      <c r="AG1458" s="6">
        <v>83.2</v>
      </c>
      <c r="AH1458" s="6">
        <v>104.24</v>
      </c>
      <c r="AI1458" s="6">
        <f t="shared" si="44"/>
        <v>21.039999999999992</v>
      </c>
      <c r="AJ1458" s="5">
        <f t="shared" si="45"/>
        <v>0.20184190330007667</v>
      </c>
    </row>
    <row r="1459" spans="1:36">
      <c r="A1459" t="s">
        <v>691</v>
      </c>
      <c r="B1459" t="s">
        <v>1744</v>
      </c>
      <c r="C1459" t="s">
        <v>92</v>
      </c>
      <c r="D1459" t="s">
        <v>60</v>
      </c>
      <c r="E1459" t="s">
        <v>55</v>
      </c>
      <c r="F1459">
        <v>0</v>
      </c>
      <c r="G1459">
        <v>1685</v>
      </c>
      <c r="H1459">
        <v>1.22</v>
      </c>
      <c r="I1459" t="s">
        <v>173</v>
      </c>
      <c r="J1459">
        <v>1</v>
      </c>
      <c r="K1459" s="6">
        <v>1.06</v>
      </c>
      <c r="L1459" t="s">
        <v>200</v>
      </c>
      <c r="M1459">
        <v>1</v>
      </c>
      <c r="N1459" t="s">
        <v>217</v>
      </c>
      <c r="O1459">
        <v>4</v>
      </c>
      <c r="P1459">
        <v>1</v>
      </c>
      <c r="Q1459" s="6">
        <v>112.8</v>
      </c>
      <c r="R1459">
        <v>0</v>
      </c>
      <c r="S1459" s="6">
        <v>0</v>
      </c>
      <c r="T1459">
        <v>0</v>
      </c>
      <c r="U1459" s="6">
        <v>736</v>
      </c>
      <c r="V1459">
        <v>0</v>
      </c>
      <c r="W1459">
        <v>0</v>
      </c>
      <c r="X1459">
        <v>0</v>
      </c>
      <c r="Y1459" s="6">
        <v>47.8</v>
      </c>
      <c r="Z1459">
        <v>0.46800000000000003</v>
      </c>
      <c r="AA1459">
        <v>7.9000000000000001E-2</v>
      </c>
      <c r="AB1459">
        <v>6.2E-2</v>
      </c>
      <c r="AC1459">
        <v>6</v>
      </c>
      <c r="AD1459" s="6">
        <v>99</v>
      </c>
      <c r="AE1459" s="6">
        <v>0</v>
      </c>
      <c r="AF1459" s="6">
        <v>0</v>
      </c>
      <c r="AG1459" s="6">
        <v>150.69</v>
      </c>
      <c r="AH1459" s="6">
        <v>188.5</v>
      </c>
      <c r="AI1459" s="6">
        <f t="shared" si="44"/>
        <v>37.81</v>
      </c>
      <c r="AJ1459" s="5">
        <f t="shared" si="45"/>
        <v>0.20058355437665784</v>
      </c>
    </row>
    <row r="1460" spans="1:36">
      <c r="A1460" t="s">
        <v>266</v>
      </c>
      <c r="B1460" t="s">
        <v>1745</v>
      </c>
      <c r="C1460" t="s">
        <v>92</v>
      </c>
      <c r="D1460" t="s">
        <v>60</v>
      </c>
      <c r="E1460" t="s">
        <v>55</v>
      </c>
      <c r="F1460">
        <v>0</v>
      </c>
      <c r="G1460">
        <v>1685</v>
      </c>
      <c r="H1460">
        <v>1.22</v>
      </c>
      <c r="I1460" t="s">
        <v>173</v>
      </c>
      <c r="J1460">
        <v>1</v>
      </c>
      <c r="K1460" s="6">
        <v>2.0099999999999998</v>
      </c>
      <c r="L1460" t="s">
        <v>200</v>
      </c>
      <c r="M1460">
        <v>1</v>
      </c>
      <c r="N1460" t="s">
        <v>175</v>
      </c>
      <c r="O1460">
        <v>1</v>
      </c>
      <c r="P1460">
        <v>0</v>
      </c>
      <c r="Q1460" s="6">
        <v>42.5</v>
      </c>
      <c r="R1460">
        <v>1</v>
      </c>
      <c r="S1460" s="6">
        <v>895</v>
      </c>
      <c r="T1460">
        <v>0</v>
      </c>
      <c r="U1460" s="6">
        <v>1722</v>
      </c>
      <c r="V1460">
        <v>0</v>
      </c>
      <c r="W1460">
        <v>1</v>
      </c>
      <c r="X1460">
        <v>0</v>
      </c>
      <c r="Y1460" s="6">
        <v>47.8</v>
      </c>
      <c r="Z1460">
        <v>0.46800000000000003</v>
      </c>
      <c r="AA1460">
        <v>7.9000000000000001E-2</v>
      </c>
      <c r="AB1460">
        <v>6.2E-2</v>
      </c>
      <c r="AC1460">
        <v>6</v>
      </c>
      <c r="AD1460" s="6">
        <v>99</v>
      </c>
      <c r="AE1460" s="6">
        <v>25</v>
      </c>
      <c r="AF1460" s="6">
        <v>0</v>
      </c>
      <c r="AG1460" s="6">
        <v>123.42</v>
      </c>
      <c r="AH1460" s="6">
        <v>155.61000000000001</v>
      </c>
      <c r="AI1460" s="6">
        <f t="shared" si="44"/>
        <v>32.190000000000012</v>
      </c>
      <c r="AJ1460" s="5">
        <f t="shared" si="45"/>
        <v>0.20686331212647008</v>
      </c>
    </row>
    <row r="1461" spans="1:36">
      <c r="A1461" t="s">
        <v>478</v>
      </c>
      <c r="B1461" t="s">
        <v>1746</v>
      </c>
      <c r="C1461" t="s">
        <v>92</v>
      </c>
      <c r="D1461" t="s">
        <v>60</v>
      </c>
      <c r="E1461" t="s">
        <v>55</v>
      </c>
      <c r="F1461">
        <v>0</v>
      </c>
      <c r="G1461">
        <v>1685</v>
      </c>
      <c r="H1461">
        <v>1.22</v>
      </c>
      <c r="I1461" t="s">
        <v>173</v>
      </c>
      <c r="J1461">
        <v>1</v>
      </c>
      <c r="K1461" s="6">
        <v>1.96</v>
      </c>
      <c r="L1461" t="s">
        <v>200</v>
      </c>
      <c r="M1461">
        <v>1</v>
      </c>
      <c r="N1461" t="s">
        <v>187</v>
      </c>
      <c r="O1461">
        <v>2</v>
      </c>
      <c r="P1461">
        <v>0</v>
      </c>
      <c r="Q1461" s="6">
        <v>67.8</v>
      </c>
      <c r="R1461">
        <v>0</v>
      </c>
      <c r="S1461" s="6">
        <v>0</v>
      </c>
      <c r="T1461">
        <v>0</v>
      </c>
      <c r="U1461" s="6">
        <v>2266</v>
      </c>
      <c r="V1461">
        <v>0</v>
      </c>
      <c r="W1461">
        <v>0</v>
      </c>
      <c r="X1461">
        <v>0</v>
      </c>
      <c r="Y1461" s="6">
        <v>47.8</v>
      </c>
      <c r="Z1461">
        <v>0.46800000000000003</v>
      </c>
      <c r="AA1461">
        <v>7.9000000000000001E-2</v>
      </c>
      <c r="AB1461">
        <v>6.2E-2</v>
      </c>
      <c r="AC1461">
        <v>6</v>
      </c>
      <c r="AD1461" s="6">
        <v>99</v>
      </c>
      <c r="AE1461" s="6">
        <v>0</v>
      </c>
      <c r="AF1461" s="6">
        <v>0</v>
      </c>
      <c r="AG1461" s="6">
        <v>85.59</v>
      </c>
      <c r="AH1461" s="6">
        <v>111.08</v>
      </c>
      <c r="AI1461" s="6">
        <f t="shared" si="44"/>
        <v>25.489999999999995</v>
      </c>
      <c r="AJ1461" s="5">
        <f t="shared" si="45"/>
        <v>0.22947425279078137</v>
      </c>
    </row>
    <row r="1462" spans="1:36">
      <c r="A1462" t="s">
        <v>521</v>
      </c>
      <c r="B1462" t="s">
        <v>1747</v>
      </c>
      <c r="C1462" t="s">
        <v>92</v>
      </c>
      <c r="D1462" t="s">
        <v>60</v>
      </c>
      <c r="E1462" t="s">
        <v>55</v>
      </c>
      <c r="F1462">
        <v>0</v>
      </c>
      <c r="G1462">
        <v>1685</v>
      </c>
      <c r="H1462">
        <v>1</v>
      </c>
      <c r="I1462" t="s">
        <v>173</v>
      </c>
      <c r="J1462">
        <v>1</v>
      </c>
      <c r="K1462" s="6">
        <v>2.4900000000000002</v>
      </c>
      <c r="L1462" t="s">
        <v>200</v>
      </c>
      <c r="M1462">
        <v>1</v>
      </c>
      <c r="N1462" t="s">
        <v>182</v>
      </c>
      <c r="O1462">
        <v>3</v>
      </c>
      <c r="P1462">
        <v>0</v>
      </c>
      <c r="Q1462" s="6">
        <v>81.7</v>
      </c>
      <c r="R1462">
        <v>0</v>
      </c>
      <c r="S1462" s="6">
        <v>0</v>
      </c>
      <c r="T1462">
        <v>0</v>
      </c>
      <c r="U1462" s="6">
        <v>1196</v>
      </c>
      <c r="V1462">
        <v>0</v>
      </c>
      <c r="W1462">
        <v>0</v>
      </c>
      <c r="X1462">
        <v>0</v>
      </c>
      <c r="Y1462" s="6">
        <v>47.8</v>
      </c>
      <c r="Z1462">
        <v>0.46800000000000003</v>
      </c>
      <c r="AA1462">
        <v>7.9000000000000001E-2</v>
      </c>
      <c r="AB1462">
        <v>6.2E-2</v>
      </c>
      <c r="AC1462">
        <v>6</v>
      </c>
      <c r="AD1462" s="6">
        <v>99</v>
      </c>
      <c r="AE1462" s="6">
        <v>0</v>
      </c>
      <c r="AF1462" s="6">
        <v>0</v>
      </c>
      <c r="AG1462" s="6">
        <v>87</v>
      </c>
      <c r="AH1462" s="6">
        <v>109.13</v>
      </c>
      <c r="AI1462" s="6">
        <f t="shared" si="44"/>
        <v>22.129999999999995</v>
      </c>
      <c r="AJ1462" s="5">
        <f t="shared" si="45"/>
        <v>0.20278566846879864</v>
      </c>
    </row>
    <row r="1463" spans="1:36">
      <c r="A1463" t="s">
        <v>316</v>
      </c>
      <c r="B1463" t="s">
        <v>1748</v>
      </c>
      <c r="C1463" t="s">
        <v>92</v>
      </c>
      <c r="D1463" t="s">
        <v>60</v>
      </c>
      <c r="E1463" t="s">
        <v>55</v>
      </c>
      <c r="F1463">
        <v>0</v>
      </c>
      <c r="G1463">
        <v>1685</v>
      </c>
      <c r="H1463">
        <v>1.22</v>
      </c>
      <c r="I1463" t="s">
        <v>173</v>
      </c>
      <c r="J1463">
        <v>1</v>
      </c>
      <c r="K1463" s="6">
        <v>1.53</v>
      </c>
      <c r="L1463" t="s">
        <v>200</v>
      </c>
      <c r="M1463">
        <v>1</v>
      </c>
      <c r="N1463" t="s">
        <v>175</v>
      </c>
      <c r="O1463">
        <v>1</v>
      </c>
      <c r="P1463">
        <v>1</v>
      </c>
      <c r="Q1463" s="6">
        <v>39.1</v>
      </c>
      <c r="R1463">
        <v>0</v>
      </c>
      <c r="S1463" s="6">
        <v>0</v>
      </c>
      <c r="T1463">
        <v>0</v>
      </c>
      <c r="U1463" s="6">
        <v>975</v>
      </c>
      <c r="V1463">
        <v>0</v>
      </c>
      <c r="W1463">
        <v>0</v>
      </c>
      <c r="X1463">
        <v>0</v>
      </c>
      <c r="Y1463" s="6">
        <v>47.8</v>
      </c>
      <c r="Z1463">
        <v>0.46800000000000003</v>
      </c>
      <c r="AA1463">
        <v>7.9000000000000001E-2</v>
      </c>
      <c r="AB1463">
        <v>6.2E-2</v>
      </c>
      <c r="AC1463">
        <v>6</v>
      </c>
      <c r="AD1463" s="6">
        <v>99</v>
      </c>
      <c r="AE1463" s="6">
        <v>0</v>
      </c>
      <c r="AF1463" s="6">
        <v>0</v>
      </c>
      <c r="AG1463" s="6">
        <v>128.46</v>
      </c>
      <c r="AH1463" s="6">
        <v>161.87</v>
      </c>
      <c r="AI1463" s="6">
        <f t="shared" si="44"/>
        <v>33.409999999999997</v>
      </c>
      <c r="AJ1463" s="5">
        <f t="shared" si="45"/>
        <v>0.20640019768950391</v>
      </c>
    </row>
    <row r="1464" spans="1:36">
      <c r="A1464" t="s">
        <v>218</v>
      </c>
      <c r="B1464" t="s">
        <v>1749</v>
      </c>
      <c r="C1464" t="s">
        <v>92</v>
      </c>
      <c r="D1464" t="s">
        <v>60</v>
      </c>
      <c r="E1464" t="s">
        <v>55</v>
      </c>
      <c r="F1464">
        <v>0</v>
      </c>
      <c r="G1464">
        <v>1685</v>
      </c>
      <c r="H1464">
        <v>1.22</v>
      </c>
      <c r="I1464" t="s">
        <v>220</v>
      </c>
      <c r="J1464">
        <v>2</v>
      </c>
      <c r="K1464" s="6">
        <v>5.73</v>
      </c>
      <c r="L1464" t="s">
        <v>200</v>
      </c>
      <c r="M1464">
        <v>1</v>
      </c>
      <c r="N1464" t="s">
        <v>175</v>
      </c>
      <c r="O1464">
        <v>1</v>
      </c>
      <c r="P1464">
        <v>0</v>
      </c>
      <c r="Q1464" s="6">
        <v>33.299999999999997</v>
      </c>
      <c r="R1464">
        <v>0</v>
      </c>
      <c r="S1464" s="6">
        <v>0</v>
      </c>
      <c r="T1464">
        <v>0</v>
      </c>
      <c r="U1464" s="6">
        <v>1209</v>
      </c>
      <c r="V1464">
        <v>0</v>
      </c>
      <c r="W1464">
        <v>0</v>
      </c>
      <c r="X1464">
        <v>0</v>
      </c>
      <c r="Y1464" s="6">
        <v>47.8</v>
      </c>
      <c r="Z1464">
        <v>0.46800000000000003</v>
      </c>
      <c r="AA1464">
        <v>7.9000000000000001E-2</v>
      </c>
      <c r="AB1464">
        <v>6.2E-2</v>
      </c>
      <c r="AC1464">
        <v>6</v>
      </c>
      <c r="AD1464" s="6">
        <v>119</v>
      </c>
      <c r="AE1464" s="6">
        <v>0</v>
      </c>
      <c r="AF1464" s="6">
        <v>0</v>
      </c>
      <c r="AG1464" s="6">
        <v>91.03</v>
      </c>
      <c r="AH1464" s="6">
        <v>119.11</v>
      </c>
      <c r="AI1464" s="6">
        <f t="shared" si="44"/>
        <v>28.08</v>
      </c>
      <c r="AJ1464" s="5">
        <f t="shared" si="45"/>
        <v>0.23574846780287129</v>
      </c>
    </row>
    <row r="1465" spans="1:36">
      <c r="A1465" t="s">
        <v>384</v>
      </c>
      <c r="B1465" t="s">
        <v>1750</v>
      </c>
      <c r="C1465" t="s">
        <v>92</v>
      </c>
      <c r="D1465" t="s">
        <v>60</v>
      </c>
      <c r="E1465" t="s">
        <v>55</v>
      </c>
      <c r="F1465">
        <v>0</v>
      </c>
      <c r="G1465">
        <v>1685</v>
      </c>
      <c r="H1465">
        <v>1.22</v>
      </c>
      <c r="I1465" t="s">
        <v>181</v>
      </c>
      <c r="J1465">
        <v>3</v>
      </c>
      <c r="K1465" s="6">
        <v>3.64</v>
      </c>
      <c r="L1465" t="s">
        <v>174</v>
      </c>
      <c r="M1465">
        <v>0</v>
      </c>
      <c r="N1465" t="s">
        <v>217</v>
      </c>
      <c r="O1465">
        <v>4</v>
      </c>
      <c r="P1465">
        <v>1</v>
      </c>
      <c r="Q1465" s="6">
        <v>182.7</v>
      </c>
      <c r="R1465">
        <v>0</v>
      </c>
      <c r="S1465" s="6">
        <v>0</v>
      </c>
      <c r="T1465">
        <v>0</v>
      </c>
      <c r="U1465" s="6">
        <v>1185</v>
      </c>
      <c r="V1465">
        <v>0</v>
      </c>
      <c r="W1465">
        <v>0</v>
      </c>
      <c r="X1465">
        <v>0</v>
      </c>
      <c r="Y1465" s="6">
        <v>47.8</v>
      </c>
      <c r="Z1465">
        <v>0.46800000000000003</v>
      </c>
      <c r="AA1465">
        <v>7.9000000000000001E-2</v>
      </c>
      <c r="AB1465">
        <v>6.2E-2</v>
      </c>
      <c r="AC1465">
        <v>6</v>
      </c>
      <c r="AD1465" s="6">
        <v>60</v>
      </c>
      <c r="AE1465" s="6">
        <v>0</v>
      </c>
      <c r="AF1465" s="6">
        <v>0</v>
      </c>
      <c r="AG1465" s="6">
        <v>134.34</v>
      </c>
      <c r="AH1465" s="6">
        <v>168.54</v>
      </c>
      <c r="AI1465" s="6">
        <f t="shared" si="44"/>
        <v>34.199999999999989</v>
      </c>
      <c r="AJ1465" s="5">
        <f t="shared" si="45"/>
        <v>0.20291918832324665</v>
      </c>
    </row>
    <row r="1466" spans="1:36">
      <c r="A1466" t="s">
        <v>240</v>
      </c>
      <c r="B1466" t="s">
        <v>1751</v>
      </c>
      <c r="C1466" t="s">
        <v>92</v>
      </c>
      <c r="D1466" t="s">
        <v>60</v>
      </c>
      <c r="E1466" t="s">
        <v>55</v>
      </c>
      <c r="F1466">
        <v>0</v>
      </c>
      <c r="G1466">
        <v>1685</v>
      </c>
      <c r="H1466">
        <v>1</v>
      </c>
      <c r="I1466" t="s">
        <v>173</v>
      </c>
      <c r="J1466">
        <v>1</v>
      </c>
      <c r="K1466" s="6">
        <v>1.32</v>
      </c>
      <c r="L1466" t="s">
        <v>200</v>
      </c>
      <c r="M1466">
        <v>1</v>
      </c>
      <c r="N1466" t="s">
        <v>182</v>
      </c>
      <c r="O1466">
        <v>3</v>
      </c>
      <c r="P1466">
        <v>0</v>
      </c>
      <c r="Q1466" s="6">
        <v>59</v>
      </c>
      <c r="R1466">
        <v>0</v>
      </c>
      <c r="S1466" s="6">
        <v>0</v>
      </c>
      <c r="T1466">
        <v>0</v>
      </c>
      <c r="U1466" s="6">
        <v>2763</v>
      </c>
      <c r="V1466">
        <v>0</v>
      </c>
      <c r="W1466">
        <v>0</v>
      </c>
      <c r="X1466">
        <v>0</v>
      </c>
      <c r="Y1466" s="6">
        <v>47.8</v>
      </c>
      <c r="Z1466">
        <v>0.46800000000000003</v>
      </c>
      <c r="AA1466">
        <v>7.9000000000000001E-2</v>
      </c>
      <c r="AB1466">
        <v>6.2E-2</v>
      </c>
      <c r="AC1466">
        <v>6</v>
      </c>
      <c r="AD1466" s="6">
        <v>99</v>
      </c>
      <c r="AE1466" s="6">
        <v>0</v>
      </c>
      <c r="AF1466" s="6">
        <v>0</v>
      </c>
      <c r="AG1466" s="6">
        <v>92.35</v>
      </c>
      <c r="AH1466" s="6">
        <v>117.68</v>
      </c>
      <c r="AI1466" s="6">
        <f t="shared" si="44"/>
        <v>25.330000000000013</v>
      </c>
      <c r="AJ1466" s="5">
        <f t="shared" si="45"/>
        <v>0.21524473147518705</v>
      </c>
    </row>
    <row r="1467" spans="1:36">
      <c r="A1467" t="s">
        <v>403</v>
      </c>
      <c r="B1467" t="s">
        <v>1752</v>
      </c>
      <c r="C1467" t="s">
        <v>92</v>
      </c>
      <c r="D1467" t="s">
        <v>60</v>
      </c>
      <c r="E1467" t="s">
        <v>55</v>
      </c>
      <c r="F1467">
        <v>0</v>
      </c>
      <c r="G1467">
        <v>1685</v>
      </c>
      <c r="H1467">
        <v>1.22</v>
      </c>
      <c r="I1467" t="s">
        <v>181</v>
      </c>
      <c r="J1467">
        <v>3</v>
      </c>
      <c r="K1467" s="6">
        <v>8.81</v>
      </c>
      <c r="L1467" t="s">
        <v>174</v>
      </c>
      <c r="M1467">
        <v>0</v>
      </c>
      <c r="N1467" t="s">
        <v>175</v>
      </c>
      <c r="O1467">
        <v>1</v>
      </c>
      <c r="P1467">
        <v>0</v>
      </c>
      <c r="Q1467" s="6">
        <v>37.1</v>
      </c>
      <c r="R1467">
        <v>0</v>
      </c>
      <c r="S1467" s="6">
        <v>0</v>
      </c>
      <c r="T1467">
        <v>0</v>
      </c>
      <c r="U1467" s="6">
        <v>865</v>
      </c>
      <c r="V1467">
        <v>0</v>
      </c>
      <c r="W1467">
        <v>0</v>
      </c>
      <c r="X1467">
        <v>0</v>
      </c>
      <c r="Y1467" s="6">
        <v>47.8</v>
      </c>
      <c r="Z1467">
        <v>0.46800000000000003</v>
      </c>
      <c r="AA1467">
        <v>7.9000000000000001E-2</v>
      </c>
      <c r="AB1467">
        <v>6.2E-2</v>
      </c>
      <c r="AC1467">
        <v>6</v>
      </c>
      <c r="AD1467" s="6">
        <v>60</v>
      </c>
      <c r="AE1467" s="6">
        <v>0</v>
      </c>
      <c r="AF1467" s="6">
        <v>0</v>
      </c>
      <c r="AG1467" s="6">
        <v>94.92</v>
      </c>
      <c r="AH1467" s="6">
        <v>119.65</v>
      </c>
      <c r="AI1467" s="6">
        <f t="shared" si="44"/>
        <v>24.730000000000004</v>
      </c>
      <c r="AJ1467" s="5">
        <f t="shared" si="45"/>
        <v>0.20668616798997078</v>
      </c>
    </row>
    <row r="1468" spans="1:36">
      <c r="A1468" t="s">
        <v>225</v>
      </c>
      <c r="B1468" t="s">
        <v>1753</v>
      </c>
      <c r="C1468" t="s">
        <v>92</v>
      </c>
      <c r="D1468" t="s">
        <v>60</v>
      </c>
      <c r="E1468" t="s">
        <v>55</v>
      </c>
      <c r="F1468">
        <v>0</v>
      </c>
      <c r="G1468">
        <v>1685</v>
      </c>
      <c r="H1468">
        <v>1.22</v>
      </c>
      <c r="I1468" t="s">
        <v>173</v>
      </c>
      <c r="J1468">
        <v>1</v>
      </c>
      <c r="K1468" s="6">
        <v>1.1000000000000001</v>
      </c>
      <c r="L1468" t="s">
        <v>174</v>
      </c>
      <c r="M1468">
        <v>0</v>
      </c>
      <c r="N1468" t="s">
        <v>175</v>
      </c>
      <c r="O1468">
        <v>1</v>
      </c>
      <c r="P1468">
        <v>0</v>
      </c>
      <c r="Q1468" s="6">
        <v>41.9</v>
      </c>
      <c r="R1468">
        <v>0</v>
      </c>
      <c r="S1468" s="6">
        <v>0</v>
      </c>
      <c r="T1468">
        <v>0</v>
      </c>
      <c r="U1468" s="6">
        <v>2434</v>
      </c>
      <c r="V1468">
        <v>0</v>
      </c>
      <c r="W1468">
        <v>0</v>
      </c>
      <c r="X1468">
        <v>0</v>
      </c>
      <c r="Y1468" s="6">
        <v>47.8</v>
      </c>
      <c r="Z1468">
        <v>0.46800000000000003</v>
      </c>
      <c r="AA1468">
        <v>7.9000000000000001E-2</v>
      </c>
      <c r="AB1468">
        <v>6.2E-2</v>
      </c>
      <c r="AC1468">
        <v>6</v>
      </c>
      <c r="AD1468" s="6">
        <v>50</v>
      </c>
      <c r="AE1468" s="6">
        <v>0</v>
      </c>
      <c r="AF1468" s="6">
        <v>0</v>
      </c>
      <c r="AG1468" s="6">
        <v>51.06</v>
      </c>
      <c r="AH1468" s="6">
        <v>68.25</v>
      </c>
      <c r="AI1468" s="6">
        <f t="shared" si="44"/>
        <v>17.189999999999998</v>
      </c>
      <c r="AJ1468" s="5">
        <f t="shared" si="45"/>
        <v>0.25186813186813184</v>
      </c>
    </row>
    <row r="1469" spans="1:36">
      <c r="A1469" t="s">
        <v>381</v>
      </c>
      <c r="B1469" t="s">
        <v>1754</v>
      </c>
      <c r="C1469" t="s">
        <v>92</v>
      </c>
      <c r="D1469" t="s">
        <v>60</v>
      </c>
      <c r="E1469" t="s">
        <v>55</v>
      </c>
      <c r="F1469">
        <v>0</v>
      </c>
      <c r="G1469">
        <v>1685</v>
      </c>
      <c r="H1469">
        <v>1</v>
      </c>
      <c r="I1469" t="s">
        <v>173</v>
      </c>
      <c r="J1469">
        <v>1</v>
      </c>
      <c r="K1469" s="6">
        <v>1.63</v>
      </c>
      <c r="L1469" t="s">
        <v>174</v>
      </c>
      <c r="M1469">
        <v>0</v>
      </c>
      <c r="N1469" t="s">
        <v>175</v>
      </c>
      <c r="O1469">
        <v>1</v>
      </c>
      <c r="P1469">
        <v>0</v>
      </c>
      <c r="Q1469" s="6">
        <v>22</v>
      </c>
      <c r="R1469">
        <v>0</v>
      </c>
      <c r="S1469" s="6">
        <v>0</v>
      </c>
      <c r="T1469">
        <v>0</v>
      </c>
      <c r="U1469" s="6">
        <v>628</v>
      </c>
      <c r="V1469">
        <v>0</v>
      </c>
      <c r="W1469">
        <v>0</v>
      </c>
      <c r="X1469">
        <v>0</v>
      </c>
      <c r="Y1469" s="6">
        <v>47.8</v>
      </c>
      <c r="Z1469">
        <v>0.46800000000000003</v>
      </c>
      <c r="AA1469">
        <v>7.9000000000000001E-2</v>
      </c>
      <c r="AB1469">
        <v>6.2E-2</v>
      </c>
      <c r="AC1469">
        <v>6</v>
      </c>
      <c r="AD1469" s="6">
        <v>50</v>
      </c>
      <c r="AE1469" s="6">
        <v>0</v>
      </c>
      <c r="AF1469" s="6">
        <v>0</v>
      </c>
      <c r="AG1469" s="6">
        <v>41.97</v>
      </c>
      <c r="AH1469" s="6">
        <v>56.31</v>
      </c>
      <c r="AI1469" s="6">
        <f t="shared" si="44"/>
        <v>14.340000000000003</v>
      </c>
      <c r="AJ1469" s="5">
        <f t="shared" si="45"/>
        <v>0.254661694192861</v>
      </c>
    </row>
    <row r="1470" spans="1:36">
      <c r="A1470" t="s">
        <v>397</v>
      </c>
      <c r="B1470" t="s">
        <v>1755</v>
      </c>
      <c r="C1470" t="s">
        <v>92</v>
      </c>
      <c r="D1470" t="s">
        <v>60</v>
      </c>
      <c r="E1470" t="s">
        <v>55</v>
      </c>
      <c r="F1470">
        <v>0</v>
      </c>
      <c r="G1470">
        <v>1685</v>
      </c>
      <c r="H1470">
        <v>1.22</v>
      </c>
      <c r="I1470" t="s">
        <v>173</v>
      </c>
      <c r="J1470">
        <v>1</v>
      </c>
      <c r="K1470" s="6">
        <v>1.67</v>
      </c>
      <c r="L1470" t="s">
        <v>174</v>
      </c>
      <c r="M1470">
        <v>0</v>
      </c>
      <c r="N1470" t="s">
        <v>187</v>
      </c>
      <c r="O1470">
        <v>2</v>
      </c>
      <c r="P1470">
        <v>0</v>
      </c>
      <c r="Q1470" s="6">
        <v>58.7</v>
      </c>
      <c r="R1470">
        <v>0</v>
      </c>
      <c r="S1470" s="6">
        <v>0</v>
      </c>
      <c r="T1470">
        <v>0</v>
      </c>
      <c r="U1470" s="6">
        <v>1142</v>
      </c>
      <c r="V1470">
        <v>0</v>
      </c>
      <c r="W1470">
        <v>0</v>
      </c>
      <c r="X1470">
        <v>0</v>
      </c>
      <c r="Y1470" s="6">
        <v>47.8</v>
      </c>
      <c r="Z1470">
        <v>0.46800000000000003</v>
      </c>
      <c r="AA1470">
        <v>7.9000000000000001E-2</v>
      </c>
      <c r="AB1470">
        <v>6.2E-2</v>
      </c>
      <c r="AC1470">
        <v>6</v>
      </c>
      <c r="AD1470" s="6">
        <v>50</v>
      </c>
      <c r="AE1470" s="6">
        <v>0</v>
      </c>
      <c r="AF1470" s="6">
        <v>0</v>
      </c>
      <c r="AG1470" s="6">
        <v>54.96</v>
      </c>
      <c r="AH1470" s="6">
        <v>72.069999999999993</v>
      </c>
      <c r="AI1470" s="6">
        <f t="shared" si="44"/>
        <v>17.109999999999992</v>
      </c>
      <c r="AJ1470" s="5">
        <f t="shared" si="45"/>
        <v>0.23740807548217002</v>
      </c>
    </row>
    <row r="1471" spans="1:36">
      <c r="A1471" t="s">
        <v>277</v>
      </c>
      <c r="B1471" t="s">
        <v>1756</v>
      </c>
      <c r="C1471" t="s">
        <v>92</v>
      </c>
      <c r="D1471" t="s">
        <v>60</v>
      </c>
      <c r="E1471" t="s">
        <v>55</v>
      </c>
      <c r="F1471">
        <v>0</v>
      </c>
      <c r="G1471">
        <v>1685</v>
      </c>
      <c r="H1471">
        <v>1.22</v>
      </c>
      <c r="I1471" t="s">
        <v>173</v>
      </c>
      <c r="J1471">
        <v>1</v>
      </c>
      <c r="K1471" s="6">
        <v>1.34</v>
      </c>
      <c r="L1471" t="s">
        <v>174</v>
      </c>
      <c r="M1471">
        <v>0</v>
      </c>
      <c r="N1471" t="s">
        <v>175</v>
      </c>
      <c r="O1471">
        <v>1</v>
      </c>
      <c r="P1471">
        <v>0</v>
      </c>
      <c r="Q1471" s="6">
        <v>36.4</v>
      </c>
      <c r="R1471">
        <v>0</v>
      </c>
      <c r="S1471" s="6">
        <v>0</v>
      </c>
      <c r="T1471">
        <v>0</v>
      </c>
      <c r="U1471" s="6">
        <v>844</v>
      </c>
      <c r="V1471">
        <v>0</v>
      </c>
      <c r="W1471">
        <v>0</v>
      </c>
      <c r="X1471">
        <v>0</v>
      </c>
      <c r="Y1471" s="6">
        <v>47.8</v>
      </c>
      <c r="Z1471">
        <v>0.46800000000000003</v>
      </c>
      <c r="AA1471">
        <v>7.9000000000000001E-2</v>
      </c>
      <c r="AB1471">
        <v>6.2E-2</v>
      </c>
      <c r="AC1471">
        <v>6</v>
      </c>
      <c r="AD1471" s="6">
        <v>50</v>
      </c>
      <c r="AE1471" s="6">
        <v>0</v>
      </c>
      <c r="AF1471" s="6">
        <v>0</v>
      </c>
      <c r="AG1471" s="6">
        <v>57.09</v>
      </c>
      <c r="AH1471" s="6">
        <v>71.89</v>
      </c>
      <c r="AI1471" s="6">
        <f t="shared" si="44"/>
        <v>14.799999999999997</v>
      </c>
      <c r="AJ1471" s="5">
        <f t="shared" si="45"/>
        <v>0.20587007928780077</v>
      </c>
    </row>
    <row r="1472" spans="1:36">
      <c r="A1472" t="s">
        <v>602</v>
      </c>
      <c r="B1472" t="s">
        <v>1757</v>
      </c>
      <c r="C1472" t="s">
        <v>92</v>
      </c>
      <c r="D1472" t="s">
        <v>60</v>
      </c>
      <c r="E1472" t="s">
        <v>55</v>
      </c>
      <c r="F1472">
        <v>0</v>
      </c>
      <c r="G1472">
        <v>1685</v>
      </c>
      <c r="H1472">
        <v>1</v>
      </c>
      <c r="I1472" t="s">
        <v>173</v>
      </c>
      <c r="J1472">
        <v>1</v>
      </c>
      <c r="K1472" s="6">
        <v>1.24</v>
      </c>
      <c r="L1472" t="s">
        <v>174</v>
      </c>
      <c r="M1472">
        <v>0</v>
      </c>
      <c r="N1472" t="s">
        <v>175</v>
      </c>
      <c r="O1472">
        <v>1</v>
      </c>
      <c r="P1472">
        <v>0</v>
      </c>
      <c r="Q1472" s="6">
        <v>31.6</v>
      </c>
      <c r="R1472">
        <v>1</v>
      </c>
      <c r="S1472" s="6">
        <v>323</v>
      </c>
      <c r="T1472">
        <v>0</v>
      </c>
      <c r="U1472" s="6">
        <v>2897</v>
      </c>
      <c r="V1472">
        <v>0</v>
      </c>
      <c r="W1472">
        <v>0</v>
      </c>
      <c r="X1472">
        <v>0</v>
      </c>
      <c r="Y1472" s="6">
        <v>47.8</v>
      </c>
      <c r="Z1472">
        <v>0.46800000000000003</v>
      </c>
      <c r="AA1472">
        <v>7.9000000000000001E-2</v>
      </c>
      <c r="AB1472">
        <v>6.2E-2</v>
      </c>
      <c r="AC1472">
        <v>6</v>
      </c>
      <c r="AD1472" s="6">
        <v>50</v>
      </c>
      <c r="AE1472" s="6">
        <v>25</v>
      </c>
      <c r="AF1472" s="6">
        <v>0</v>
      </c>
      <c r="AG1472" s="6">
        <v>58.78</v>
      </c>
      <c r="AH1472" s="6">
        <v>75.58</v>
      </c>
      <c r="AI1472" s="6">
        <f t="shared" si="44"/>
        <v>16.799999999999997</v>
      </c>
      <c r="AJ1472" s="5">
        <f t="shared" si="45"/>
        <v>0.22228102672664724</v>
      </c>
    </row>
    <row r="1473" spans="1:36">
      <c r="A1473" t="s">
        <v>528</v>
      </c>
      <c r="B1473" t="s">
        <v>1758</v>
      </c>
      <c r="C1473" t="s">
        <v>92</v>
      </c>
      <c r="D1473" t="s">
        <v>60</v>
      </c>
      <c r="E1473" t="s">
        <v>55</v>
      </c>
      <c r="F1473">
        <v>0</v>
      </c>
      <c r="G1473">
        <v>1685</v>
      </c>
      <c r="H1473">
        <v>1.22</v>
      </c>
      <c r="I1473" t="s">
        <v>173</v>
      </c>
      <c r="J1473">
        <v>1</v>
      </c>
      <c r="K1473" s="6">
        <v>2.98</v>
      </c>
      <c r="L1473" t="s">
        <v>200</v>
      </c>
      <c r="M1473">
        <v>1</v>
      </c>
      <c r="N1473" t="s">
        <v>187</v>
      </c>
      <c r="O1473">
        <v>2</v>
      </c>
      <c r="P1473">
        <v>0</v>
      </c>
      <c r="Q1473" s="6">
        <v>48.7</v>
      </c>
      <c r="R1473">
        <v>0</v>
      </c>
      <c r="S1473" s="6">
        <v>0</v>
      </c>
      <c r="T1473">
        <v>0</v>
      </c>
      <c r="U1473" s="6">
        <v>734</v>
      </c>
      <c r="V1473">
        <v>0</v>
      </c>
      <c r="W1473">
        <v>0</v>
      </c>
      <c r="X1473">
        <v>0</v>
      </c>
      <c r="Y1473" s="6">
        <v>47.8</v>
      </c>
      <c r="Z1473">
        <v>0.46800000000000003</v>
      </c>
      <c r="AA1473">
        <v>7.9000000000000001E-2</v>
      </c>
      <c r="AB1473">
        <v>6.2E-2</v>
      </c>
      <c r="AC1473">
        <v>6</v>
      </c>
      <c r="AD1473" s="6">
        <v>99</v>
      </c>
      <c r="AE1473" s="6">
        <v>0</v>
      </c>
      <c r="AF1473" s="6">
        <v>0</v>
      </c>
      <c r="AG1473" s="6">
        <v>86.6</v>
      </c>
      <c r="AH1473" s="6">
        <v>112.2</v>
      </c>
      <c r="AI1473" s="6">
        <f t="shared" si="44"/>
        <v>25.600000000000009</v>
      </c>
      <c r="AJ1473" s="5">
        <f t="shared" si="45"/>
        <v>0.22816399286987529</v>
      </c>
    </row>
    <row r="1474" spans="1:36">
      <c r="A1474" t="s">
        <v>391</v>
      </c>
      <c r="B1474" t="s">
        <v>1759</v>
      </c>
      <c r="C1474" t="s">
        <v>92</v>
      </c>
      <c r="D1474" t="s">
        <v>60</v>
      </c>
      <c r="E1474" t="s">
        <v>55</v>
      </c>
      <c r="F1474">
        <v>0</v>
      </c>
      <c r="G1474">
        <v>1685</v>
      </c>
      <c r="H1474">
        <v>1</v>
      </c>
      <c r="I1474" t="s">
        <v>173</v>
      </c>
      <c r="J1474">
        <v>1</v>
      </c>
      <c r="K1474" s="6">
        <v>1.28</v>
      </c>
      <c r="L1474" t="s">
        <v>174</v>
      </c>
      <c r="M1474">
        <v>0</v>
      </c>
      <c r="N1474" t="s">
        <v>187</v>
      </c>
      <c r="O1474">
        <v>2</v>
      </c>
      <c r="P1474">
        <v>1</v>
      </c>
      <c r="Q1474" s="6">
        <v>75.900000000000006</v>
      </c>
      <c r="R1474">
        <v>0</v>
      </c>
      <c r="S1474" s="6">
        <v>0</v>
      </c>
      <c r="T1474">
        <v>0</v>
      </c>
      <c r="U1474" s="6">
        <v>2264</v>
      </c>
      <c r="V1474">
        <v>0</v>
      </c>
      <c r="W1474">
        <v>0</v>
      </c>
      <c r="X1474">
        <v>0</v>
      </c>
      <c r="Y1474" s="6">
        <v>47.8</v>
      </c>
      <c r="Z1474">
        <v>0.46800000000000003</v>
      </c>
      <c r="AA1474">
        <v>7.9000000000000001E-2</v>
      </c>
      <c r="AB1474">
        <v>6.2E-2</v>
      </c>
      <c r="AC1474">
        <v>6</v>
      </c>
      <c r="AD1474" s="6">
        <v>50</v>
      </c>
      <c r="AE1474" s="6">
        <v>0</v>
      </c>
      <c r="AF1474" s="6">
        <v>0</v>
      </c>
      <c r="AG1474" s="6">
        <v>83.67</v>
      </c>
      <c r="AH1474" s="6">
        <v>106.03</v>
      </c>
      <c r="AI1474" s="6">
        <f t="shared" ref="AI1474:AI1537" si="46">AH1474-AG1474</f>
        <v>22.36</v>
      </c>
      <c r="AJ1474" s="5">
        <f t="shared" ref="AJ1474:AJ1537" si="47">IFERROR(AI1474/AH1474,0)</f>
        <v>0.21088371215693671</v>
      </c>
    </row>
    <row r="1475" spans="1:36">
      <c r="A1475" t="s">
        <v>316</v>
      </c>
      <c r="B1475" t="s">
        <v>1760</v>
      </c>
      <c r="C1475" t="s">
        <v>92</v>
      </c>
      <c r="D1475" t="s">
        <v>60</v>
      </c>
      <c r="E1475" t="s">
        <v>55</v>
      </c>
      <c r="F1475">
        <v>0</v>
      </c>
      <c r="G1475">
        <v>1685</v>
      </c>
      <c r="H1475">
        <v>1.22</v>
      </c>
      <c r="I1475" t="s">
        <v>181</v>
      </c>
      <c r="J1475">
        <v>3</v>
      </c>
      <c r="K1475" s="6">
        <v>8.1</v>
      </c>
      <c r="L1475" t="s">
        <v>200</v>
      </c>
      <c r="M1475">
        <v>1</v>
      </c>
      <c r="N1475" t="s">
        <v>187</v>
      </c>
      <c r="O1475">
        <v>2</v>
      </c>
      <c r="P1475">
        <v>0</v>
      </c>
      <c r="Q1475" s="6">
        <v>82.6</v>
      </c>
      <c r="R1475">
        <v>1</v>
      </c>
      <c r="S1475" s="6">
        <v>1522</v>
      </c>
      <c r="T1475">
        <v>0</v>
      </c>
      <c r="U1475" s="6">
        <v>1824</v>
      </c>
      <c r="V1475">
        <v>0</v>
      </c>
      <c r="W1475">
        <v>0</v>
      </c>
      <c r="X1475">
        <v>0</v>
      </c>
      <c r="Y1475" s="6">
        <v>47.8</v>
      </c>
      <c r="Z1475">
        <v>0.46800000000000003</v>
      </c>
      <c r="AA1475">
        <v>7.9000000000000001E-2</v>
      </c>
      <c r="AB1475">
        <v>6.2E-2</v>
      </c>
      <c r="AC1475">
        <v>6</v>
      </c>
      <c r="AD1475" s="6">
        <v>139</v>
      </c>
      <c r="AE1475" s="6">
        <v>25</v>
      </c>
      <c r="AF1475" s="6">
        <v>0</v>
      </c>
      <c r="AG1475" s="6">
        <v>132.57</v>
      </c>
      <c r="AH1475" s="6">
        <v>167.36</v>
      </c>
      <c r="AI1475" s="6">
        <f t="shared" si="46"/>
        <v>34.79000000000002</v>
      </c>
      <c r="AJ1475" s="5">
        <f t="shared" si="47"/>
        <v>0.20787523900573623</v>
      </c>
    </row>
    <row r="1476" spans="1:36">
      <c r="A1476" t="s">
        <v>423</v>
      </c>
      <c r="B1476" t="s">
        <v>1761</v>
      </c>
      <c r="C1476" t="s">
        <v>92</v>
      </c>
      <c r="D1476" t="s">
        <v>60</v>
      </c>
      <c r="E1476" t="s">
        <v>55</v>
      </c>
      <c r="F1476">
        <v>0</v>
      </c>
      <c r="G1476">
        <v>1685</v>
      </c>
      <c r="H1476">
        <v>1.22</v>
      </c>
      <c r="I1476" t="s">
        <v>173</v>
      </c>
      <c r="J1476">
        <v>1</v>
      </c>
      <c r="K1476" s="6">
        <v>1.96</v>
      </c>
      <c r="L1476" t="s">
        <v>174</v>
      </c>
      <c r="M1476">
        <v>0</v>
      </c>
      <c r="N1476" t="s">
        <v>217</v>
      </c>
      <c r="O1476">
        <v>4</v>
      </c>
      <c r="P1476">
        <v>1</v>
      </c>
      <c r="Q1476" s="6">
        <v>132.9</v>
      </c>
      <c r="R1476">
        <v>1</v>
      </c>
      <c r="S1476" s="6">
        <v>1025</v>
      </c>
      <c r="T1476">
        <v>0</v>
      </c>
      <c r="U1476" s="6">
        <v>756</v>
      </c>
      <c r="V1476">
        <v>0</v>
      </c>
      <c r="W1476">
        <v>0</v>
      </c>
      <c r="X1476">
        <v>0</v>
      </c>
      <c r="Y1476" s="6">
        <v>47.8</v>
      </c>
      <c r="Z1476">
        <v>0.46800000000000003</v>
      </c>
      <c r="AA1476">
        <v>7.9000000000000001E-2</v>
      </c>
      <c r="AB1476">
        <v>6.2E-2</v>
      </c>
      <c r="AC1476">
        <v>6</v>
      </c>
      <c r="AD1476" s="6">
        <v>50</v>
      </c>
      <c r="AE1476" s="6">
        <v>25</v>
      </c>
      <c r="AF1476" s="6">
        <v>0</v>
      </c>
      <c r="AG1476" s="6">
        <v>109.38</v>
      </c>
      <c r="AH1476" s="6">
        <v>138.58000000000001</v>
      </c>
      <c r="AI1476" s="6">
        <f t="shared" si="46"/>
        <v>29.200000000000017</v>
      </c>
      <c r="AJ1476" s="5">
        <f t="shared" si="47"/>
        <v>0.21070861596189938</v>
      </c>
    </row>
    <row r="1477" spans="1:36">
      <c r="A1477" t="s">
        <v>469</v>
      </c>
      <c r="B1477" t="s">
        <v>1762</v>
      </c>
      <c r="C1477" t="s">
        <v>92</v>
      </c>
      <c r="D1477" t="s">
        <v>60</v>
      </c>
      <c r="E1477" t="s">
        <v>55</v>
      </c>
      <c r="F1477">
        <v>0</v>
      </c>
      <c r="G1477">
        <v>1685</v>
      </c>
      <c r="H1477">
        <v>1</v>
      </c>
      <c r="I1477" t="s">
        <v>173</v>
      </c>
      <c r="J1477">
        <v>1</v>
      </c>
      <c r="K1477" s="6">
        <v>1.85</v>
      </c>
      <c r="L1477" t="s">
        <v>174</v>
      </c>
      <c r="M1477">
        <v>0</v>
      </c>
      <c r="N1477" t="s">
        <v>217</v>
      </c>
      <c r="O1477">
        <v>4</v>
      </c>
      <c r="P1477">
        <v>1</v>
      </c>
      <c r="Q1477" s="6">
        <v>135</v>
      </c>
      <c r="R1477">
        <v>0</v>
      </c>
      <c r="S1477" s="6">
        <v>0</v>
      </c>
      <c r="T1477">
        <v>0</v>
      </c>
      <c r="U1477" s="6">
        <v>514</v>
      </c>
      <c r="V1477">
        <v>0</v>
      </c>
      <c r="W1477">
        <v>0</v>
      </c>
      <c r="X1477">
        <v>0</v>
      </c>
      <c r="Y1477" s="6">
        <v>47.8</v>
      </c>
      <c r="Z1477">
        <v>0.46800000000000003</v>
      </c>
      <c r="AA1477">
        <v>7.9000000000000001E-2</v>
      </c>
      <c r="AB1477">
        <v>6.2E-2</v>
      </c>
      <c r="AC1477">
        <v>6</v>
      </c>
      <c r="AD1477" s="6">
        <v>50</v>
      </c>
      <c r="AE1477" s="6">
        <v>0</v>
      </c>
      <c r="AF1477" s="6">
        <v>0</v>
      </c>
      <c r="AG1477" s="6">
        <v>102.35</v>
      </c>
      <c r="AH1477" s="6">
        <v>131.94999999999999</v>
      </c>
      <c r="AI1477" s="6">
        <f t="shared" si="46"/>
        <v>29.599999999999994</v>
      </c>
      <c r="AJ1477" s="5">
        <f t="shared" si="47"/>
        <v>0.22432739674118982</v>
      </c>
    </row>
    <row r="1478" spans="1:36">
      <c r="A1478" t="s">
        <v>300</v>
      </c>
      <c r="B1478" t="s">
        <v>1763</v>
      </c>
      <c r="C1478" t="s">
        <v>92</v>
      </c>
      <c r="D1478" t="s">
        <v>60</v>
      </c>
      <c r="E1478" t="s">
        <v>55</v>
      </c>
      <c r="F1478">
        <v>0</v>
      </c>
      <c r="G1478">
        <v>1685</v>
      </c>
      <c r="H1478">
        <v>1.22</v>
      </c>
      <c r="I1478" t="s">
        <v>220</v>
      </c>
      <c r="J1478">
        <v>2</v>
      </c>
      <c r="K1478" s="6">
        <v>3.46</v>
      </c>
      <c r="L1478" t="s">
        <v>200</v>
      </c>
      <c r="M1478">
        <v>1</v>
      </c>
      <c r="N1478" t="s">
        <v>175</v>
      </c>
      <c r="O1478">
        <v>1</v>
      </c>
      <c r="P1478">
        <v>0</v>
      </c>
      <c r="Q1478" s="6">
        <v>47.2</v>
      </c>
      <c r="R1478">
        <v>0</v>
      </c>
      <c r="S1478" s="6">
        <v>0</v>
      </c>
      <c r="T1478">
        <v>0</v>
      </c>
      <c r="U1478" s="6">
        <v>4093</v>
      </c>
      <c r="V1478">
        <v>0</v>
      </c>
      <c r="W1478">
        <v>0</v>
      </c>
      <c r="X1478">
        <v>0</v>
      </c>
      <c r="Y1478" s="6">
        <v>47.8</v>
      </c>
      <c r="Z1478">
        <v>0.46800000000000003</v>
      </c>
      <c r="AA1478">
        <v>7.9000000000000001E-2</v>
      </c>
      <c r="AB1478">
        <v>6.2E-2</v>
      </c>
      <c r="AC1478">
        <v>6</v>
      </c>
      <c r="AD1478" s="6">
        <v>119</v>
      </c>
      <c r="AE1478" s="6">
        <v>0</v>
      </c>
      <c r="AF1478" s="6">
        <v>0</v>
      </c>
      <c r="AG1478" s="6">
        <v>96.06</v>
      </c>
      <c r="AH1478" s="6">
        <v>124.04</v>
      </c>
      <c r="AI1478" s="6">
        <f t="shared" si="46"/>
        <v>27.980000000000004</v>
      </c>
      <c r="AJ1478" s="5">
        <f t="shared" si="47"/>
        <v>0.22557239600128992</v>
      </c>
    </row>
    <row r="1479" spans="1:36">
      <c r="A1479" t="s">
        <v>194</v>
      </c>
      <c r="B1479" t="s">
        <v>1764</v>
      </c>
      <c r="C1479" t="s">
        <v>92</v>
      </c>
      <c r="D1479" t="s">
        <v>60</v>
      </c>
      <c r="E1479" t="s">
        <v>55</v>
      </c>
      <c r="F1479">
        <v>0</v>
      </c>
      <c r="G1479">
        <v>1685</v>
      </c>
      <c r="H1479">
        <v>1.22</v>
      </c>
      <c r="I1479" t="s">
        <v>173</v>
      </c>
      <c r="J1479">
        <v>1</v>
      </c>
      <c r="K1479" s="6">
        <v>2.61</v>
      </c>
      <c r="L1479" t="s">
        <v>174</v>
      </c>
      <c r="M1479">
        <v>0</v>
      </c>
      <c r="N1479" t="s">
        <v>187</v>
      </c>
      <c r="O1479">
        <v>2</v>
      </c>
      <c r="P1479">
        <v>1</v>
      </c>
      <c r="Q1479" s="6">
        <v>44.8</v>
      </c>
      <c r="R1479">
        <v>1</v>
      </c>
      <c r="S1479" s="6">
        <v>3164</v>
      </c>
      <c r="T1479">
        <v>0</v>
      </c>
      <c r="U1479" s="6">
        <v>1257</v>
      </c>
      <c r="V1479">
        <v>1</v>
      </c>
      <c r="W1479">
        <v>0</v>
      </c>
      <c r="X1479">
        <v>0</v>
      </c>
      <c r="Y1479" s="6">
        <v>47.8</v>
      </c>
      <c r="Z1479">
        <v>0.46800000000000003</v>
      </c>
      <c r="AA1479">
        <v>7.9000000000000001E-2</v>
      </c>
      <c r="AB1479">
        <v>6.2E-2</v>
      </c>
      <c r="AC1479">
        <v>6</v>
      </c>
      <c r="AD1479" s="6">
        <v>50</v>
      </c>
      <c r="AE1479" s="6">
        <v>40</v>
      </c>
      <c r="AF1479" s="6">
        <v>0</v>
      </c>
      <c r="AG1479" s="6">
        <v>148.18</v>
      </c>
      <c r="AH1479" s="6">
        <v>187.07</v>
      </c>
      <c r="AI1479" s="6">
        <f t="shared" si="46"/>
        <v>38.889999999999986</v>
      </c>
      <c r="AJ1479" s="5">
        <f t="shared" si="47"/>
        <v>0.20789009461698824</v>
      </c>
    </row>
    <row r="1480" spans="1:36">
      <c r="A1480" t="s">
        <v>579</v>
      </c>
      <c r="B1480" t="s">
        <v>1765</v>
      </c>
      <c r="C1480" t="s">
        <v>92</v>
      </c>
      <c r="D1480" t="s">
        <v>60</v>
      </c>
      <c r="E1480" t="s">
        <v>55</v>
      </c>
      <c r="F1480">
        <v>0</v>
      </c>
      <c r="G1480">
        <v>1685</v>
      </c>
      <c r="H1480">
        <v>1</v>
      </c>
      <c r="I1480" t="s">
        <v>173</v>
      </c>
      <c r="J1480">
        <v>1</v>
      </c>
      <c r="K1480" s="6">
        <v>1.28</v>
      </c>
      <c r="L1480" t="s">
        <v>200</v>
      </c>
      <c r="M1480">
        <v>1</v>
      </c>
      <c r="N1480" t="s">
        <v>175</v>
      </c>
      <c r="O1480">
        <v>1</v>
      </c>
      <c r="P1480">
        <v>0</v>
      </c>
      <c r="Q1480" s="6">
        <v>35</v>
      </c>
      <c r="R1480">
        <v>0</v>
      </c>
      <c r="S1480" s="6">
        <v>0</v>
      </c>
      <c r="T1480">
        <v>0</v>
      </c>
      <c r="U1480" s="6">
        <v>504</v>
      </c>
      <c r="V1480">
        <v>0</v>
      </c>
      <c r="W1480">
        <v>1</v>
      </c>
      <c r="X1480">
        <v>0</v>
      </c>
      <c r="Y1480" s="6">
        <v>47.8</v>
      </c>
      <c r="Z1480">
        <v>0.46800000000000003</v>
      </c>
      <c r="AA1480">
        <v>7.9000000000000001E-2</v>
      </c>
      <c r="AB1480">
        <v>6.2E-2</v>
      </c>
      <c r="AC1480">
        <v>6</v>
      </c>
      <c r="AD1480" s="6">
        <v>99</v>
      </c>
      <c r="AE1480" s="6">
        <v>0</v>
      </c>
      <c r="AF1480" s="6">
        <v>0</v>
      </c>
      <c r="AG1480" s="6">
        <v>108.19</v>
      </c>
      <c r="AH1480" s="6">
        <v>139.49</v>
      </c>
      <c r="AI1480" s="6">
        <f t="shared" si="46"/>
        <v>31.300000000000011</v>
      </c>
      <c r="AJ1480" s="5">
        <f t="shared" si="47"/>
        <v>0.22438884507850032</v>
      </c>
    </row>
    <row r="1481" spans="1:36">
      <c r="A1481" t="s">
        <v>537</v>
      </c>
      <c r="B1481" t="s">
        <v>1766</v>
      </c>
      <c r="C1481" t="s">
        <v>92</v>
      </c>
      <c r="D1481" t="s">
        <v>60</v>
      </c>
      <c r="E1481" t="s">
        <v>55</v>
      </c>
      <c r="F1481">
        <v>0</v>
      </c>
      <c r="G1481">
        <v>1685</v>
      </c>
      <c r="H1481">
        <v>1.22</v>
      </c>
      <c r="I1481" t="s">
        <v>173</v>
      </c>
      <c r="J1481">
        <v>1</v>
      </c>
      <c r="K1481" s="6">
        <v>1.95</v>
      </c>
      <c r="L1481" t="s">
        <v>174</v>
      </c>
      <c r="M1481">
        <v>0</v>
      </c>
      <c r="N1481" t="s">
        <v>175</v>
      </c>
      <c r="O1481">
        <v>1</v>
      </c>
      <c r="P1481">
        <v>0</v>
      </c>
      <c r="Q1481" s="6">
        <v>16.3</v>
      </c>
      <c r="R1481">
        <v>1</v>
      </c>
      <c r="S1481" s="6">
        <v>1177</v>
      </c>
      <c r="T1481">
        <v>0</v>
      </c>
      <c r="U1481" s="6">
        <v>5005</v>
      </c>
      <c r="V1481">
        <v>0</v>
      </c>
      <c r="W1481">
        <v>1</v>
      </c>
      <c r="X1481">
        <v>1</v>
      </c>
      <c r="Y1481" s="6">
        <v>47.8</v>
      </c>
      <c r="Z1481">
        <v>0.46800000000000003</v>
      </c>
      <c r="AA1481">
        <v>7.9000000000000001E-2</v>
      </c>
      <c r="AB1481">
        <v>6.2E-2</v>
      </c>
      <c r="AC1481">
        <v>6</v>
      </c>
      <c r="AD1481" s="6">
        <v>50</v>
      </c>
      <c r="AE1481" s="6">
        <v>25</v>
      </c>
      <c r="AF1481" s="6">
        <v>0</v>
      </c>
      <c r="AG1481" s="6">
        <v>79.83</v>
      </c>
      <c r="AH1481" s="6">
        <v>103.13</v>
      </c>
      <c r="AI1481" s="6">
        <f t="shared" si="46"/>
        <v>23.299999999999997</v>
      </c>
      <c r="AJ1481" s="5">
        <f t="shared" si="47"/>
        <v>0.2259284398332202</v>
      </c>
    </row>
    <row r="1482" spans="1:36">
      <c r="A1482" t="s">
        <v>512</v>
      </c>
      <c r="B1482" t="s">
        <v>1767</v>
      </c>
      <c r="C1482" t="s">
        <v>92</v>
      </c>
      <c r="D1482" t="s">
        <v>60</v>
      </c>
      <c r="E1482" t="s">
        <v>55</v>
      </c>
      <c r="F1482">
        <v>0</v>
      </c>
      <c r="G1482">
        <v>1685</v>
      </c>
      <c r="H1482">
        <v>1.22</v>
      </c>
      <c r="I1482" t="s">
        <v>173</v>
      </c>
      <c r="J1482">
        <v>1</v>
      </c>
      <c r="K1482" s="6">
        <v>1.63</v>
      </c>
      <c r="L1482" t="s">
        <v>200</v>
      </c>
      <c r="M1482">
        <v>1</v>
      </c>
      <c r="N1482" t="s">
        <v>272</v>
      </c>
      <c r="O1482">
        <v>5</v>
      </c>
      <c r="P1482">
        <v>1</v>
      </c>
      <c r="Q1482" s="6">
        <v>199</v>
      </c>
      <c r="R1482">
        <v>0</v>
      </c>
      <c r="S1482" s="6">
        <v>0</v>
      </c>
      <c r="T1482">
        <v>0</v>
      </c>
      <c r="U1482" s="6">
        <v>939</v>
      </c>
      <c r="V1482">
        <v>0</v>
      </c>
      <c r="W1482">
        <v>0</v>
      </c>
      <c r="X1482">
        <v>0</v>
      </c>
      <c r="Y1482" s="6">
        <v>47.8</v>
      </c>
      <c r="Z1482">
        <v>0.46800000000000003</v>
      </c>
      <c r="AA1482">
        <v>7.9000000000000001E-2</v>
      </c>
      <c r="AB1482">
        <v>6.2E-2</v>
      </c>
      <c r="AC1482">
        <v>6</v>
      </c>
      <c r="AD1482" s="6">
        <v>99</v>
      </c>
      <c r="AE1482" s="6">
        <v>0</v>
      </c>
      <c r="AF1482" s="6">
        <v>0</v>
      </c>
      <c r="AG1482" s="6">
        <v>196.96</v>
      </c>
      <c r="AH1482" s="6">
        <v>249.68</v>
      </c>
      <c r="AI1482" s="6">
        <f t="shared" si="46"/>
        <v>52.72</v>
      </c>
      <c r="AJ1482" s="5">
        <f t="shared" si="47"/>
        <v>0.2111502723486062</v>
      </c>
    </row>
    <row r="1483" spans="1:36">
      <c r="A1483" t="s">
        <v>355</v>
      </c>
      <c r="B1483" t="s">
        <v>1768</v>
      </c>
      <c r="C1483" t="s">
        <v>92</v>
      </c>
      <c r="D1483" t="s">
        <v>60</v>
      </c>
      <c r="E1483" t="s">
        <v>55</v>
      </c>
      <c r="F1483">
        <v>0</v>
      </c>
      <c r="G1483">
        <v>1685</v>
      </c>
      <c r="H1483">
        <v>1.22</v>
      </c>
      <c r="I1483" t="s">
        <v>173</v>
      </c>
      <c r="J1483">
        <v>1</v>
      </c>
      <c r="K1483" s="6">
        <v>1.83</v>
      </c>
      <c r="L1483" t="s">
        <v>174</v>
      </c>
      <c r="M1483">
        <v>0</v>
      </c>
      <c r="N1483" t="s">
        <v>175</v>
      </c>
      <c r="O1483">
        <v>1</v>
      </c>
      <c r="P1483">
        <v>0</v>
      </c>
      <c r="Q1483" s="6">
        <v>42.6</v>
      </c>
      <c r="R1483">
        <v>1</v>
      </c>
      <c r="S1483" s="6">
        <v>4029</v>
      </c>
      <c r="T1483">
        <v>0</v>
      </c>
      <c r="U1483" s="6">
        <v>1792</v>
      </c>
      <c r="V1483">
        <v>0</v>
      </c>
      <c r="W1483">
        <v>0</v>
      </c>
      <c r="X1483">
        <v>0</v>
      </c>
      <c r="Y1483" s="6">
        <v>47.8</v>
      </c>
      <c r="Z1483">
        <v>0.46800000000000003</v>
      </c>
      <c r="AA1483">
        <v>7.9000000000000001E-2</v>
      </c>
      <c r="AB1483">
        <v>6.2E-2</v>
      </c>
      <c r="AC1483">
        <v>6</v>
      </c>
      <c r="AD1483" s="6">
        <v>50</v>
      </c>
      <c r="AE1483" s="6">
        <v>40</v>
      </c>
      <c r="AF1483" s="6">
        <v>0</v>
      </c>
      <c r="AG1483" s="6">
        <v>56.74</v>
      </c>
      <c r="AH1483" s="6">
        <v>73.23</v>
      </c>
      <c r="AI1483" s="6">
        <f t="shared" si="46"/>
        <v>16.490000000000002</v>
      </c>
      <c r="AJ1483" s="5">
        <f t="shared" si="47"/>
        <v>0.22518093677454595</v>
      </c>
    </row>
    <row r="1484" spans="1:36">
      <c r="A1484" t="s">
        <v>765</v>
      </c>
      <c r="B1484" t="s">
        <v>1769</v>
      </c>
      <c r="C1484" t="s">
        <v>92</v>
      </c>
      <c r="D1484" t="s">
        <v>60</v>
      </c>
      <c r="E1484" t="s">
        <v>55</v>
      </c>
      <c r="F1484">
        <v>0</v>
      </c>
      <c r="G1484">
        <v>1685</v>
      </c>
      <c r="H1484">
        <v>1.22</v>
      </c>
      <c r="I1484" t="s">
        <v>173</v>
      </c>
      <c r="J1484">
        <v>1</v>
      </c>
      <c r="K1484" s="6">
        <v>1.28</v>
      </c>
      <c r="L1484" t="s">
        <v>174</v>
      </c>
      <c r="M1484">
        <v>0</v>
      </c>
      <c r="N1484" t="s">
        <v>217</v>
      </c>
      <c r="O1484">
        <v>4</v>
      </c>
      <c r="P1484">
        <v>1</v>
      </c>
      <c r="Q1484" s="6">
        <v>250.8</v>
      </c>
      <c r="R1484">
        <v>1</v>
      </c>
      <c r="S1484" s="6">
        <v>963</v>
      </c>
      <c r="T1484">
        <v>0</v>
      </c>
      <c r="U1484" s="6">
        <v>1386</v>
      </c>
      <c r="V1484">
        <v>0</v>
      </c>
      <c r="W1484">
        <v>0</v>
      </c>
      <c r="X1484">
        <v>0</v>
      </c>
      <c r="Y1484" s="6">
        <v>47.8</v>
      </c>
      <c r="Z1484">
        <v>0.46800000000000003</v>
      </c>
      <c r="AA1484">
        <v>7.9000000000000001E-2</v>
      </c>
      <c r="AB1484">
        <v>6.2E-2</v>
      </c>
      <c r="AC1484">
        <v>6</v>
      </c>
      <c r="AD1484" s="6">
        <v>50</v>
      </c>
      <c r="AE1484" s="6">
        <v>25</v>
      </c>
      <c r="AF1484" s="6">
        <v>0</v>
      </c>
      <c r="AG1484" s="6">
        <v>105.98</v>
      </c>
      <c r="AH1484" s="6">
        <v>135.01</v>
      </c>
      <c r="AI1484" s="6">
        <f t="shared" si="46"/>
        <v>29.029999999999987</v>
      </c>
      <c r="AJ1484" s="5">
        <f t="shared" si="47"/>
        <v>0.21502110954744086</v>
      </c>
    </row>
    <row r="1485" spans="1:36">
      <c r="A1485" t="s">
        <v>391</v>
      </c>
      <c r="B1485" t="s">
        <v>1770</v>
      </c>
      <c r="C1485" t="s">
        <v>92</v>
      </c>
      <c r="D1485" t="s">
        <v>60</v>
      </c>
      <c r="E1485" t="s">
        <v>55</v>
      </c>
      <c r="F1485">
        <v>0</v>
      </c>
      <c r="G1485">
        <v>1685</v>
      </c>
      <c r="H1485">
        <v>1</v>
      </c>
      <c r="I1485" t="s">
        <v>220</v>
      </c>
      <c r="J1485">
        <v>2</v>
      </c>
      <c r="K1485" s="6">
        <v>3.59</v>
      </c>
      <c r="L1485" t="s">
        <v>174</v>
      </c>
      <c r="M1485">
        <v>0</v>
      </c>
      <c r="N1485" t="s">
        <v>187</v>
      </c>
      <c r="O1485">
        <v>2</v>
      </c>
      <c r="P1485">
        <v>0</v>
      </c>
      <c r="Q1485" s="6">
        <v>65</v>
      </c>
      <c r="R1485">
        <v>0</v>
      </c>
      <c r="S1485" s="6">
        <v>0</v>
      </c>
      <c r="T1485">
        <v>0</v>
      </c>
      <c r="U1485" s="6">
        <v>589</v>
      </c>
      <c r="V1485">
        <v>0</v>
      </c>
      <c r="W1485">
        <v>0</v>
      </c>
      <c r="X1485">
        <v>0</v>
      </c>
      <c r="Y1485" s="6">
        <v>47.8</v>
      </c>
      <c r="Z1485">
        <v>0.46800000000000003</v>
      </c>
      <c r="AA1485">
        <v>7.9000000000000001E-2</v>
      </c>
      <c r="AB1485">
        <v>6.2E-2</v>
      </c>
      <c r="AC1485">
        <v>6</v>
      </c>
      <c r="AD1485" s="6">
        <v>50</v>
      </c>
      <c r="AE1485" s="6">
        <v>0</v>
      </c>
      <c r="AF1485" s="6">
        <v>0</v>
      </c>
      <c r="AG1485" s="6">
        <v>69.72</v>
      </c>
      <c r="AH1485" s="6">
        <v>92.15</v>
      </c>
      <c r="AI1485" s="6">
        <f t="shared" si="46"/>
        <v>22.430000000000007</v>
      </c>
      <c r="AJ1485" s="5">
        <f t="shared" si="47"/>
        <v>0.24340748779164412</v>
      </c>
    </row>
    <row r="1486" spans="1:36">
      <c r="A1486" t="s">
        <v>691</v>
      </c>
      <c r="B1486" t="s">
        <v>1771</v>
      </c>
      <c r="C1486" t="s">
        <v>92</v>
      </c>
      <c r="D1486" t="s">
        <v>60</v>
      </c>
      <c r="E1486" t="s">
        <v>55</v>
      </c>
      <c r="F1486">
        <v>0</v>
      </c>
      <c r="G1486">
        <v>1685</v>
      </c>
      <c r="H1486">
        <v>1.22</v>
      </c>
      <c r="I1486" t="s">
        <v>173</v>
      </c>
      <c r="J1486">
        <v>1</v>
      </c>
      <c r="K1486" s="6">
        <v>2.1</v>
      </c>
      <c r="L1486" t="s">
        <v>200</v>
      </c>
      <c r="M1486">
        <v>1</v>
      </c>
      <c r="N1486" t="s">
        <v>187</v>
      </c>
      <c r="O1486">
        <v>2</v>
      </c>
      <c r="P1486">
        <v>0</v>
      </c>
      <c r="Q1486" s="6">
        <v>58.6</v>
      </c>
      <c r="R1486">
        <v>0</v>
      </c>
      <c r="S1486" s="6">
        <v>0</v>
      </c>
      <c r="T1486">
        <v>0</v>
      </c>
      <c r="U1486" s="6">
        <v>1103</v>
      </c>
      <c r="V1486">
        <v>0</v>
      </c>
      <c r="W1486">
        <v>0</v>
      </c>
      <c r="X1486">
        <v>0</v>
      </c>
      <c r="Y1486" s="6">
        <v>47.8</v>
      </c>
      <c r="Z1486">
        <v>0.46800000000000003</v>
      </c>
      <c r="AA1486">
        <v>7.9000000000000001E-2</v>
      </c>
      <c r="AB1486">
        <v>6.2E-2</v>
      </c>
      <c r="AC1486">
        <v>6</v>
      </c>
      <c r="AD1486" s="6">
        <v>99</v>
      </c>
      <c r="AE1486" s="6">
        <v>0</v>
      </c>
      <c r="AF1486" s="6">
        <v>0</v>
      </c>
      <c r="AG1486" s="6">
        <v>90.79</v>
      </c>
      <c r="AH1486" s="6">
        <v>117.25</v>
      </c>
      <c r="AI1486" s="6">
        <f t="shared" si="46"/>
        <v>26.459999999999994</v>
      </c>
      <c r="AJ1486" s="5">
        <f t="shared" si="47"/>
        <v>0.22567164179104474</v>
      </c>
    </row>
    <row r="1487" spans="1:36">
      <c r="A1487" t="s">
        <v>355</v>
      </c>
      <c r="B1487" t="s">
        <v>1772</v>
      </c>
      <c r="C1487" t="s">
        <v>92</v>
      </c>
      <c r="D1487" t="s">
        <v>60</v>
      </c>
      <c r="E1487" t="s">
        <v>55</v>
      </c>
      <c r="F1487">
        <v>0</v>
      </c>
      <c r="G1487">
        <v>1685</v>
      </c>
      <c r="H1487">
        <v>1.22</v>
      </c>
      <c r="I1487" t="s">
        <v>173</v>
      </c>
      <c r="J1487">
        <v>1</v>
      </c>
      <c r="K1487" s="6">
        <v>1.35</v>
      </c>
      <c r="L1487" t="s">
        <v>174</v>
      </c>
      <c r="M1487">
        <v>0</v>
      </c>
      <c r="N1487" t="s">
        <v>182</v>
      </c>
      <c r="O1487">
        <v>3</v>
      </c>
      <c r="P1487">
        <v>0</v>
      </c>
      <c r="Q1487" s="6">
        <v>59.7</v>
      </c>
      <c r="R1487">
        <v>0</v>
      </c>
      <c r="S1487" s="6">
        <v>0</v>
      </c>
      <c r="T1487">
        <v>0</v>
      </c>
      <c r="U1487" s="6">
        <v>1328</v>
      </c>
      <c r="V1487">
        <v>0</v>
      </c>
      <c r="W1487">
        <v>0</v>
      </c>
      <c r="X1487">
        <v>0</v>
      </c>
      <c r="Y1487" s="6">
        <v>47.8</v>
      </c>
      <c r="Z1487">
        <v>0.46800000000000003</v>
      </c>
      <c r="AA1487">
        <v>7.9000000000000001E-2</v>
      </c>
      <c r="AB1487">
        <v>6.2E-2</v>
      </c>
      <c r="AC1487">
        <v>6</v>
      </c>
      <c r="AD1487" s="6">
        <v>50</v>
      </c>
      <c r="AE1487" s="6">
        <v>0</v>
      </c>
      <c r="AF1487" s="6">
        <v>0</v>
      </c>
      <c r="AG1487" s="6">
        <v>63.17</v>
      </c>
      <c r="AH1487" s="6">
        <v>83.87</v>
      </c>
      <c r="AI1487" s="6">
        <f t="shared" si="46"/>
        <v>20.700000000000003</v>
      </c>
      <c r="AJ1487" s="5">
        <f t="shared" si="47"/>
        <v>0.24681054012161679</v>
      </c>
    </row>
    <row r="1488" spans="1:36">
      <c r="A1488" t="s">
        <v>171</v>
      </c>
      <c r="B1488" t="s">
        <v>1773</v>
      </c>
      <c r="C1488" t="s">
        <v>92</v>
      </c>
      <c r="D1488" t="s">
        <v>60</v>
      </c>
      <c r="E1488" t="s">
        <v>55</v>
      </c>
      <c r="F1488">
        <v>0</v>
      </c>
      <c r="G1488">
        <v>1685</v>
      </c>
      <c r="H1488">
        <v>1</v>
      </c>
      <c r="I1488" t="s">
        <v>181</v>
      </c>
      <c r="J1488">
        <v>3</v>
      </c>
      <c r="K1488" s="6">
        <v>8.99</v>
      </c>
      <c r="L1488" t="s">
        <v>200</v>
      </c>
      <c r="M1488">
        <v>1</v>
      </c>
      <c r="N1488" t="s">
        <v>182</v>
      </c>
      <c r="O1488">
        <v>3</v>
      </c>
      <c r="P1488">
        <v>0</v>
      </c>
      <c r="Q1488" s="6">
        <v>72.3</v>
      </c>
      <c r="R1488">
        <v>0</v>
      </c>
      <c r="S1488" s="6">
        <v>0</v>
      </c>
      <c r="T1488">
        <v>0</v>
      </c>
      <c r="U1488" s="6">
        <v>2097</v>
      </c>
      <c r="V1488">
        <v>0</v>
      </c>
      <c r="W1488">
        <v>0</v>
      </c>
      <c r="X1488">
        <v>0</v>
      </c>
      <c r="Y1488" s="6">
        <v>47.8</v>
      </c>
      <c r="Z1488">
        <v>0.46800000000000003</v>
      </c>
      <c r="AA1488">
        <v>7.9000000000000001E-2</v>
      </c>
      <c r="AB1488">
        <v>6.2E-2</v>
      </c>
      <c r="AC1488">
        <v>6</v>
      </c>
      <c r="AD1488" s="6">
        <v>139</v>
      </c>
      <c r="AE1488" s="6">
        <v>0</v>
      </c>
      <c r="AF1488" s="6">
        <v>0</v>
      </c>
      <c r="AG1488" s="6">
        <v>138.66</v>
      </c>
      <c r="AH1488" s="6">
        <v>175.95</v>
      </c>
      <c r="AI1488" s="6">
        <f t="shared" si="46"/>
        <v>37.289999999999992</v>
      </c>
      <c r="AJ1488" s="5">
        <f t="shared" si="47"/>
        <v>0.21193520886615513</v>
      </c>
    </row>
    <row r="1489" spans="1:36">
      <c r="A1489" t="s">
        <v>300</v>
      </c>
      <c r="B1489" t="s">
        <v>1774</v>
      </c>
      <c r="C1489" t="s">
        <v>92</v>
      </c>
      <c r="D1489" t="s">
        <v>60</v>
      </c>
      <c r="E1489" t="s">
        <v>55</v>
      </c>
      <c r="F1489">
        <v>0</v>
      </c>
      <c r="G1489">
        <v>1685</v>
      </c>
      <c r="H1489">
        <v>1.22</v>
      </c>
      <c r="I1489" t="s">
        <v>220</v>
      </c>
      <c r="J1489">
        <v>2</v>
      </c>
      <c r="K1489" s="6">
        <v>4.9000000000000004</v>
      </c>
      <c r="L1489" t="s">
        <v>174</v>
      </c>
      <c r="M1489">
        <v>0</v>
      </c>
      <c r="N1489" t="s">
        <v>175</v>
      </c>
      <c r="O1489">
        <v>1</v>
      </c>
      <c r="P1489">
        <v>0</v>
      </c>
      <c r="Q1489" s="6">
        <v>25</v>
      </c>
      <c r="R1489">
        <v>0</v>
      </c>
      <c r="S1489" s="6">
        <v>0</v>
      </c>
      <c r="T1489">
        <v>0</v>
      </c>
      <c r="U1489" s="6">
        <v>1802</v>
      </c>
      <c r="V1489">
        <v>0</v>
      </c>
      <c r="W1489">
        <v>0</v>
      </c>
      <c r="X1489">
        <v>0</v>
      </c>
      <c r="Y1489" s="6">
        <v>47.8</v>
      </c>
      <c r="Z1489">
        <v>0.46800000000000003</v>
      </c>
      <c r="AA1489">
        <v>7.9000000000000001E-2</v>
      </c>
      <c r="AB1489">
        <v>6.2E-2</v>
      </c>
      <c r="AC1489">
        <v>6</v>
      </c>
      <c r="AD1489" s="6">
        <v>50</v>
      </c>
      <c r="AE1489" s="6">
        <v>0</v>
      </c>
      <c r="AF1489" s="6">
        <v>0</v>
      </c>
      <c r="AG1489" s="6">
        <v>63.83</v>
      </c>
      <c r="AH1489" s="6">
        <v>84.47</v>
      </c>
      <c r="AI1489" s="6">
        <f t="shared" si="46"/>
        <v>20.64</v>
      </c>
      <c r="AJ1489" s="5">
        <f t="shared" si="47"/>
        <v>0.24434710548123595</v>
      </c>
    </row>
    <row r="1490" spans="1:36">
      <c r="A1490" t="s">
        <v>176</v>
      </c>
      <c r="B1490" t="s">
        <v>1775</v>
      </c>
      <c r="C1490" t="s">
        <v>92</v>
      </c>
      <c r="D1490" t="s">
        <v>60</v>
      </c>
      <c r="E1490" t="s">
        <v>55</v>
      </c>
      <c r="F1490">
        <v>0</v>
      </c>
      <c r="G1490">
        <v>1685</v>
      </c>
      <c r="H1490">
        <v>1.22</v>
      </c>
      <c r="I1490" t="s">
        <v>173</v>
      </c>
      <c r="J1490">
        <v>1</v>
      </c>
      <c r="K1490" s="6">
        <v>2.4700000000000002</v>
      </c>
      <c r="L1490" t="s">
        <v>174</v>
      </c>
      <c r="M1490">
        <v>0</v>
      </c>
      <c r="N1490" t="s">
        <v>182</v>
      </c>
      <c r="O1490">
        <v>3</v>
      </c>
      <c r="P1490">
        <v>0</v>
      </c>
      <c r="Q1490" s="6">
        <v>75.400000000000006</v>
      </c>
      <c r="R1490">
        <v>0</v>
      </c>
      <c r="S1490" s="6">
        <v>0</v>
      </c>
      <c r="T1490">
        <v>0</v>
      </c>
      <c r="U1490" s="6">
        <v>2352</v>
      </c>
      <c r="V1490">
        <v>0</v>
      </c>
      <c r="W1490">
        <v>0</v>
      </c>
      <c r="X1490">
        <v>0</v>
      </c>
      <c r="Y1490" s="6">
        <v>47.8</v>
      </c>
      <c r="Z1490">
        <v>0.46800000000000003</v>
      </c>
      <c r="AA1490">
        <v>7.9000000000000001E-2</v>
      </c>
      <c r="AB1490">
        <v>6.2E-2</v>
      </c>
      <c r="AC1490">
        <v>6</v>
      </c>
      <c r="AD1490" s="6">
        <v>50</v>
      </c>
      <c r="AE1490" s="6">
        <v>0</v>
      </c>
      <c r="AF1490" s="6">
        <v>0</v>
      </c>
      <c r="AG1490" s="6">
        <v>62.5</v>
      </c>
      <c r="AH1490" s="6">
        <v>80.44</v>
      </c>
      <c r="AI1490" s="6">
        <f t="shared" si="46"/>
        <v>17.939999999999998</v>
      </c>
      <c r="AJ1490" s="5">
        <f t="shared" si="47"/>
        <v>0.22302337145698656</v>
      </c>
    </row>
    <row r="1491" spans="1:36">
      <c r="A1491" t="s">
        <v>198</v>
      </c>
      <c r="B1491" t="s">
        <v>1776</v>
      </c>
      <c r="C1491" t="s">
        <v>92</v>
      </c>
      <c r="D1491" t="s">
        <v>60</v>
      </c>
      <c r="E1491" t="s">
        <v>55</v>
      </c>
      <c r="F1491">
        <v>0</v>
      </c>
      <c r="G1491">
        <v>1685</v>
      </c>
      <c r="H1491">
        <v>1</v>
      </c>
      <c r="I1491" t="s">
        <v>173</v>
      </c>
      <c r="J1491">
        <v>1</v>
      </c>
      <c r="K1491" s="6">
        <v>2</v>
      </c>
      <c r="L1491" t="s">
        <v>174</v>
      </c>
      <c r="M1491">
        <v>0</v>
      </c>
      <c r="N1491" t="s">
        <v>182</v>
      </c>
      <c r="O1491">
        <v>3</v>
      </c>
      <c r="P1491">
        <v>0</v>
      </c>
      <c r="Q1491" s="6">
        <v>65.3</v>
      </c>
      <c r="R1491">
        <v>0</v>
      </c>
      <c r="S1491" s="6">
        <v>0</v>
      </c>
      <c r="T1491">
        <v>0</v>
      </c>
      <c r="U1491" s="6">
        <v>1654</v>
      </c>
      <c r="V1491">
        <v>0</v>
      </c>
      <c r="W1491">
        <v>0</v>
      </c>
      <c r="X1491">
        <v>0</v>
      </c>
      <c r="Y1491" s="6">
        <v>47.8</v>
      </c>
      <c r="Z1491">
        <v>0.46800000000000003</v>
      </c>
      <c r="AA1491">
        <v>7.9000000000000001E-2</v>
      </c>
      <c r="AB1491">
        <v>6.2E-2</v>
      </c>
      <c r="AC1491">
        <v>6</v>
      </c>
      <c r="AD1491" s="6">
        <v>50</v>
      </c>
      <c r="AE1491" s="6">
        <v>0</v>
      </c>
      <c r="AF1491" s="6">
        <v>0</v>
      </c>
      <c r="AG1491" s="6">
        <v>56.16</v>
      </c>
      <c r="AH1491" s="6">
        <v>70.53</v>
      </c>
      <c r="AI1491" s="6">
        <f t="shared" si="46"/>
        <v>14.370000000000005</v>
      </c>
      <c r="AJ1491" s="5">
        <f t="shared" si="47"/>
        <v>0.20374308804763935</v>
      </c>
    </row>
    <row r="1492" spans="1:36">
      <c r="A1492" t="s">
        <v>221</v>
      </c>
      <c r="B1492" t="s">
        <v>1777</v>
      </c>
      <c r="C1492" t="s">
        <v>92</v>
      </c>
      <c r="D1492" t="s">
        <v>60</v>
      </c>
      <c r="E1492" t="s">
        <v>55</v>
      </c>
      <c r="F1492">
        <v>0</v>
      </c>
      <c r="G1492">
        <v>1685</v>
      </c>
      <c r="H1492">
        <v>1</v>
      </c>
      <c r="I1492" t="s">
        <v>173</v>
      </c>
      <c r="J1492">
        <v>1</v>
      </c>
      <c r="K1492" s="6">
        <v>1.29</v>
      </c>
      <c r="L1492" t="s">
        <v>200</v>
      </c>
      <c r="M1492">
        <v>1</v>
      </c>
      <c r="N1492" t="s">
        <v>182</v>
      </c>
      <c r="O1492">
        <v>3</v>
      </c>
      <c r="P1492">
        <v>0</v>
      </c>
      <c r="Q1492" s="6">
        <v>73.3</v>
      </c>
      <c r="R1492">
        <v>0</v>
      </c>
      <c r="S1492" s="6">
        <v>0</v>
      </c>
      <c r="T1492">
        <v>0</v>
      </c>
      <c r="U1492" s="6">
        <v>1950</v>
      </c>
      <c r="V1492">
        <v>0</v>
      </c>
      <c r="W1492">
        <v>0</v>
      </c>
      <c r="X1492">
        <v>0</v>
      </c>
      <c r="Y1492" s="6">
        <v>47.8</v>
      </c>
      <c r="Z1492">
        <v>0.46800000000000003</v>
      </c>
      <c r="AA1492">
        <v>7.9000000000000001E-2</v>
      </c>
      <c r="AB1492">
        <v>6.2E-2</v>
      </c>
      <c r="AC1492">
        <v>6</v>
      </c>
      <c r="AD1492" s="6">
        <v>99</v>
      </c>
      <c r="AE1492" s="6">
        <v>0</v>
      </c>
      <c r="AF1492" s="6">
        <v>0</v>
      </c>
      <c r="AG1492" s="6">
        <v>92.57</v>
      </c>
      <c r="AH1492" s="6">
        <v>118.58</v>
      </c>
      <c r="AI1492" s="6">
        <f t="shared" si="46"/>
        <v>26.010000000000005</v>
      </c>
      <c r="AJ1492" s="5">
        <f t="shared" si="47"/>
        <v>0.21934558947545965</v>
      </c>
    </row>
    <row r="1493" spans="1:36">
      <c r="A1493" t="s">
        <v>391</v>
      </c>
      <c r="B1493" t="s">
        <v>1778</v>
      </c>
      <c r="C1493" t="s">
        <v>92</v>
      </c>
      <c r="D1493" t="s">
        <v>60</v>
      </c>
      <c r="E1493" t="s">
        <v>55</v>
      </c>
      <c r="F1493">
        <v>0</v>
      </c>
      <c r="G1493">
        <v>1685</v>
      </c>
      <c r="H1493">
        <v>1</v>
      </c>
      <c r="I1493" t="s">
        <v>173</v>
      </c>
      <c r="J1493">
        <v>1</v>
      </c>
      <c r="K1493" s="6">
        <v>1.96</v>
      </c>
      <c r="L1493" t="s">
        <v>200</v>
      </c>
      <c r="M1493">
        <v>1</v>
      </c>
      <c r="N1493" t="s">
        <v>187</v>
      </c>
      <c r="O1493">
        <v>2</v>
      </c>
      <c r="P1493">
        <v>0</v>
      </c>
      <c r="Q1493" s="6">
        <v>48.9</v>
      </c>
      <c r="R1493">
        <v>0</v>
      </c>
      <c r="S1493" s="6">
        <v>0</v>
      </c>
      <c r="T1493">
        <v>0</v>
      </c>
      <c r="U1493" s="6">
        <v>529</v>
      </c>
      <c r="V1493">
        <v>0</v>
      </c>
      <c r="W1493">
        <v>0</v>
      </c>
      <c r="X1493">
        <v>0</v>
      </c>
      <c r="Y1493" s="6">
        <v>47.8</v>
      </c>
      <c r="Z1493">
        <v>0.46800000000000003</v>
      </c>
      <c r="AA1493">
        <v>7.9000000000000001E-2</v>
      </c>
      <c r="AB1493">
        <v>6.2E-2</v>
      </c>
      <c r="AC1493">
        <v>6</v>
      </c>
      <c r="AD1493" s="6">
        <v>99</v>
      </c>
      <c r="AE1493" s="6">
        <v>0</v>
      </c>
      <c r="AF1493" s="6">
        <v>0</v>
      </c>
      <c r="AG1493" s="6">
        <v>86.97</v>
      </c>
      <c r="AH1493" s="6">
        <v>109.72</v>
      </c>
      <c r="AI1493" s="6">
        <f t="shared" si="46"/>
        <v>22.75</v>
      </c>
      <c r="AJ1493" s="5">
        <f t="shared" si="47"/>
        <v>0.20734597156398105</v>
      </c>
    </row>
    <row r="1494" spans="1:36">
      <c r="A1494" t="s">
        <v>403</v>
      </c>
      <c r="B1494" t="s">
        <v>1779</v>
      </c>
      <c r="C1494" t="s">
        <v>92</v>
      </c>
      <c r="D1494" t="s">
        <v>60</v>
      </c>
      <c r="E1494" t="s">
        <v>55</v>
      </c>
      <c r="F1494">
        <v>0</v>
      </c>
      <c r="G1494">
        <v>1685</v>
      </c>
      <c r="H1494">
        <v>1.22</v>
      </c>
      <c r="I1494" t="s">
        <v>220</v>
      </c>
      <c r="J1494">
        <v>2</v>
      </c>
      <c r="K1494" s="6">
        <v>4.03</v>
      </c>
      <c r="L1494" t="s">
        <v>174</v>
      </c>
      <c r="M1494">
        <v>0</v>
      </c>
      <c r="N1494" t="s">
        <v>182</v>
      </c>
      <c r="O1494">
        <v>3</v>
      </c>
      <c r="P1494">
        <v>0</v>
      </c>
      <c r="Q1494" s="6">
        <v>92.6</v>
      </c>
      <c r="R1494">
        <v>0</v>
      </c>
      <c r="S1494" s="6">
        <v>0</v>
      </c>
      <c r="T1494">
        <v>0</v>
      </c>
      <c r="U1494" s="6">
        <v>1064</v>
      </c>
      <c r="V1494">
        <v>0</v>
      </c>
      <c r="W1494">
        <v>0</v>
      </c>
      <c r="X1494">
        <v>0</v>
      </c>
      <c r="Y1494" s="6">
        <v>47.8</v>
      </c>
      <c r="Z1494">
        <v>0.46800000000000003</v>
      </c>
      <c r="AA1494">
        <v>7.9000000000000001E-2</v>
      </c>
      <c r="AB1494">
        <v>6.2E-2</v>
      </c>
      <c r="AC1494">
        <v>6</v>
      </c>
      <c r="AD1494" s="6">
        <v>50</v>
      </c>
      <c r="AE1494" s="6">
        <v>0</v>
      </c>
      <c r="AF1494" s="6">
        <v>0</v>
      </c>
      <c r="AG1494" s="6">
        <v>82.8</v>
      </c>
      <c r="AH1494" s="6">
        <v>106.19</v>
      </c>
      <c r="AI1494" s="6">
        <f t="shared" si="46"/>
        <v>23.39</v>
      </c>
      <c r="AJ1494" s="5">
        <f t="shared" si="47"/>
        <v>0.22026556172897638</v>
      </c>
    </row>
    <row r="1495" spans="1:36">
      <c r="A1495" t="s">
        <v>192</v>
      </c>
      <c r="B1495" t="s">
        <v>1780</v>
      </c>
      <c r="C1495" t="s">
        <v>92</v>
      </c>
      <c r="D1495" t="s">
        <v>60</v>
      </c>
      <c r="E1495" t="s">
        <v>55</v>
      </c>
      <c r="F1495">
        <v>0</v>
      </c>
      <c r="G1495">
        <v>1685</v>
      </c>
      <c r="H1495">
        <v>1</v>
      </c>
      <c r="I1495" t="s">
        <v>173</v>
      </c>
      <c r="J1495">
        <v>1</v>
      </c>
      <c r="K1495" s="6">
        <v>1.51</v>
      </c>
      <c r="L1495" t="s">
        <v>174</v>
      </c>
      <c r="M1495">
        <v>0</v>
      </c>
      <c r="N1495" t="s">
        <v>175</v>
      </c>
      <c r="O1495">
        <v>1</v>
      </c>
      <c r="P1495">
        <v>0</v>
      </c>
      <c r="Q1495" s="6">
        <v>42.3</v>
      </c>
      <c r="R1495">
        <v>0</v>
      </c>
      <c r="S1495" s="6">
        <v>0</v>
      </c>
      <c r="T1495">
        <v>0</v>
      </c>
      <c r="U1495" s="6">
        <v>1954</v>
      </c>
      <c r="V1495">
        <v>0</v>
      </c>
      <c r="W1495">
        <v>0</v>
      </c>
      <c r="X1495">
        <v>0</v>
      </c>
      <c r="Y1495" s="6">
        <v>47.8</v>
      </c>
      <c r="Z1495">
        <v>0.46800000000000003</v>
      </c>
      <c r="AA1495">
        <v>7.9000000000000001E-2</v>
      </c>
      <c r="AB1495">
        <v>6.2E-2</v>
      </c>
      <c r="AC1495">
        <v>6</v>
      </c>
      <c r="AD1495" s="6">
        <v>50</v>
      </c>
      <c r="AE1495" s="6">
        <v>0</v>
      </c>
      <c r="AF1495" s="6">
        <v>0</v>
      </c>
      <c r="AG1495" s="6">
        <v>48.18</v>
      </c>
      <c r="AH1495" s="6">
        <v>65.209999999999994</v>
      </c>
      <c r="AI1495" s="6">
        <f t="shared" si="46"/>
        <v>17.029999999999994</v>
      </c>
      <c r="AJ1495" s="5">
        <f t="shared" si="47"/>
        <v>0.26115626437662931</v>
      </c>
    </row>
    <row r="1496" spans="1:36">
      <c r="A1496" t="s">
        <v>240</v>
      </c>
      <c r="B1496" t="s">
        <v>1781</v>
      </c>
      <c r="C1496" t="s">
        <v>92</v>
      </c>
      <c r="D1496" t="s">
        <v>60</v>
      </c>
      <c r="E1496" t="s">
        <v>55</v>
      </c>
      <c r="F1496">
        <v>0</v>
      </c>
      <c r="G1496">
        <v>1685</v>
      </c>
      <c r="H1496">
        <v>1</v>
      </c>
      <c r="I1496" t="s">
        <v>220</v>
      </c>
      <c r="J1496">
        <v>2</v>
      </c>
      <c r="K1496" s="6">
        <v>3.14</v>
      </c>
      <c r="L1496" t="s">
        <v>174</v>
      </c>
      <c r="M1496">
        <v>0</v>
      </c>
      <c r="N1496" t="s">
        <v>175</v>
      </c>
      <c r="O1496">
        <v>1</v>
      </c>
      <c r="P1496">
        <v>1</v>
      </c>
      <c r="Q1496" s="6">
        <v>28.6</v>
      </c>
      <c r="R1496">
        <v>0</v>
      </c>
      <c r="S1496" s="6">
        <v>0</v>
      </c>
      <c r="T1496">
        <v>0</v>
      </c>
      <c r="U1496" s="6">
        <v>2191</v>
      </c>
      <c r="V1496">
        <v>0</v>
      </c>
      <c r="W1496">
        <v>0</v>
      </c>
      <c r="X1496">
        <v>0</v>
      </c>
      <c r="Y1496" s="6">
        <v>47.8</v>
      </c>
      <c r="Z1496">
        <v>0.46800000000000003</v>
      </c>
      <c r="AA1496">
        <v>7.9000000000000001E-2</v>
      </c>
      <c r="AB1496">
        <v>6.2E-2</v>
      </c>
      <c r="AC1496">
        <v>6</v>
      </c>
      <c r="AD1496" s="6">
        <v>50</v>
      </c>
      <c r="AE1496" s="6">
        <v>0</v>
      </c>
      <c r="AF1496" s="6">
        <v>0</v>
      </c>
      <c r="AG1496" s="6">
        <v>78.03</v>
      </c>
      <c r="AH1496" s="6">
        <v>100.49</v>
      </c>
      <c r="AI1496" s="6">
        <f t="shared" si="46"/>
        <v>22.459999999999994</v>
      </c>
      <c r="AJ1496" s="5">
        <f t="shared" si="47"/>
        <v>0.22350482635088065</v>
      </c>
    </row>
    <row r="1497" spans="1:36">
      <c r="A1497" t="s">
        <v>348</v>
      </c>
      <c r="B1497" t="s">
        <v>1782</v>
      </c>
      <c r="C1497" t="s">
        <v>92</v>
      </c>
      <c r="D1497" t="s">
        <v>60</v>
      </c>
      <c r="E1497" t="s">
        <v>55</v>
      </c>
      <c r="F1497">
        <v>0</v>
      </c>
      <c r="G1497">
        <v>1685</v>
      </c>
      <c r="H1497">
        <v>1.22</v>
      </c>
      <c r="I1497" t="s">
        <v>220</v>
      </c>
      <c r="J1497">
        <v>2</v>
      </c>
      <c r="K1497" s="6">
        <v>4.8099999999999996</v>
      </c>
      <c r="L1497" t="s">
        <v>200</v>
      </c>
      <c r="M1497">
        <v>1</v>
      </c>
      <c r="N1497" t="s">
        <v>175</v>
      </c>
      <c r="O1497">
        <v>1</v>
      </c>
      <c r="P1497">
        <v>0</v>
      </c>
      <c r="Q1497" s="6">
        <v>43.1</v>
      </c>
      <c r="R1497">
        <v>0</v>
      </c>
      <c r="S1497" s="6">
        <v>0</v>
      </c>
      <c r="T1497">
        <v>0</v>
      </c>
      <c r="U1497" s="6">
        <v>680</v>
      </c>
      <c r="V1497">
        <v>0</v>
      </c>
      <c r="W1497">
        <v>0</v>
      </c>
      <c r="X1497">
        <v>0</v>
      </c>
      <c r="Y1497" s="6">
        <v>47.8</v>
      </c>
      <c r="Z1497">
        <v>0.46800000000000003</v>
      </c>
      <c r="AA1497">
        <v>7.9000000000000001E-2</v>
      </c>
      <c r="AB1497">
        <v>6.2E-2</v>
      </c>
      <c r="AC1497">
        <v>6</v>
      </c>
      <c r="AD1497" s="6">
        <v>119</v>
      </c>
      <c r="AE1497" s="6">
        <v>0</v>
      </c>
      <c r="AF1497" s="6">
        <v>0</v>
      </c>
      <c r="AG1497" s="6">
        <v>102.82</v>
      </c>
      <c r="AH1497" s="6">
        <v>132.66</v>
      </c>
      <c r="AI1497" s="6">
        <f t="shared" si="46"/>
        <v>29.840000000000003</v>
      </c>
      <c r="AJ1497" s="5">
        <f t="shared" si="47"/>
        <v>0.22493592642846377</v>
      </c>
    </row>
    <row r="1498" spans="1:36">
      <c r="A1498" t="s">
        <v>194</v>
      </c>
      <c r="B1498" t="s">
        <v>1783</v>
      </c>
      <c r="C1498" t="s">
        <v>92</v>
      </c>
      <c r="D1498" t="s">
        <v>60</v>
      </c>
      <c r="E1498" t="s">
        <v>55</v>
      </c>
      <c r="F1498">
        <v>0</v>
      </c>
      <c r="G1498">
        <v>1685</v>
      </c>
      <c r="H1498">
        <v>1.22</v>
      </c>
      <c r="I1498" t="s">
        <v>173</v>
      </c>
      <c r="J1498">
        <v>1</v>
      </c>
      <c r="K1498" s="6">
        <v>1.1100000000000001</v>
      </c>
      <c r="L1498" t="s">
        <v>174</v>
      </c>
      <c r="M1498">
        <v>0</v>
      </c>
      <c r="N1498" t="s">
        <v>182</v>
      </c>
      <c r="O1498">
        <v>3</v>
      </c>
      <c r="P1498">
        <v>0</v>
      </c>
      <c r="Q1498" s="6">
        <v>117</v>
      </c>
      <c r="R1498">
        <v>1</v>
      </c>
      <c r="S1498" s="6">
        <v>510</v>
      </c>
      <c r="T1498">
        <v>0</v>
      </c>
      <c r="U1498" s="6">
        <v>921</v>
      </c>
      <c r="V1498">
        <v>0</v>
      </c>
      <c r="W1498">
        <v>0</v>
      </c>
      <c r="X1498">
        <v>0</v>
      </c>
      <c r="Y1498" s="6">
        <v>47.8</v>
      </c>
      <c r="Z1498">
        <v>0.46800000000000003</v>
      </c>
      <c r="AA1498">
        <v>7.9000000000000001E-2</v>
      </c>
      <c r="AB1498">
        <v>6.2E-2</v>
      </c>
      <c r="AC1498">
        <v>6</v>
      </c>
      <c r="AD1498" s="6">
        <v>50</v>
      </c>
      <c r="AE1498" s="6">
        <v>25</v>
      </c>
      <c r="AF1498" s="6">
        <v>0</v>
      </c>
      <c r="AG1498" s="6">
        <v>68.92</v>
      </c>
      <c r="AH1498" s="6">
        <v>88.27</v>
      </c>
      <c r="AI1498" s="6">
        <f t="shared" si="46"/>
        <v>19.349999999999994</v>
      </c>
      <c r="AJ1498" s="5">
        <f t="shared" si="47"/>
        <v>0.21921377591480679</v>
      </c>
    </row>
    <row r="1499" spans="1:36">
      <c r="A1499" t="s">
        <v>579</v>
      </c>
      <c r="B1499" t="s">
        <v>1784</v>
      </c>
      <c r="C1499" t="s">
        <v>92</v>
      </c>
      <c r="D1499" t="s">
        <v>60</v>
      </c>
      <c r="E1499" t="s">
        <v>55</v>
      </c>
      <c r="F1499">
        <v>0</v>
      </c>
      <c r="G1499">
        <v>1685</v>
      </c>
      <c r="H1499">
        <v>1</v>
      </c>
      <c r="I1499" t="s">
        <v>173</v>
      </c>
      <c r="J1499">
        <v>1</v>
      </c>
      <c r="K1499" s="6">
        <v>1.93</v>
      </c>
      <c r="L1499" t="s">
        <v>174</v>
      </c>
      <c r="M1499">
        <v>0</v>
      </c>
      <c r="N1499" t="s">
        <v>182</v>
      </c>
      <c r="O1499">
        <v>3</v>
      </c>
      <c r="P1499">
        <v>1</v>
      </c>
      <c r="Q1499" s="6">
        <v>80.5</v>
      </c>
      <c r="R1499">
        <v>0</v>
      </c>
      <c r="S1499" s="6">
        <v>0</v>
      </c>
      <c r="T1499">
        <v>0</v>
      </c>
      <c r="U1499" s="6">
        <v>1276</v>
      </c>
      <c r="V1499">
        <v>0</v>
      </c>
      <c r="W1499">
        <v>0</v>
      </c>
      <c r="X1499">
        <v>0</v>
      </c>
      <c r="Y1499" s="6">
        <v>47.8</v>
      </c>
      <c r="Z1499">
        <v>0.46800000000000003</v>
      </c>
      <c r="AA1499">
        <v>7.9000000000000001E-2</v>
      </c>
      <c r="AB1499">
        <v>6.2E-2</v>
      </c>
      <c r="AC1499">
        <v>6</v>
      </c>
      <c r="AD1499" s="6">
        <v>50</v>
      </c>
      <c r="AE1499" s="6">
        <v>0</v>
      </c>
      <c r="AF1499" s="6">
        <v>0</v>
      </c>
      <c r="AG1499" s="6">
        <v>82.76</v>
      </c>
      <c r="AH1499" s="6">
        <v>107.94</v>
      </c>
      <c r="AI1499" s="6">
        <f t="shared" si="46"/>
        <v>25.179999999999993</v>
      </c>
      <c r="AJ1499" s="5">
        <f t="shared" si="47"/>
        <v>0.23327774689642389</v>
      </c>
    </row>
    <row r="1500" spans="1:36">
      <c r="A1500" t="s">
        <v>228</v>
      </c>
      <c r="B1500" t="s">
        <v>1785</v>
      </c>
      <c r="C1500" t="s">
        <v>92</v>
      </c>
      <c r="D1500" t="s">
        <v>60</v>
      </c>
      <c r="E1500" t="s">
        <v>55</v>
      </c>
      <c r="F1500">
        <v>0</v>
      </c>
      <c r="G1500">
        <v>1685</v>
      </c>
      <c r="H1500">
        <v>1</v>
      </c>
      <c r="I1500" t="s">
        <v>173</v>
      </c>
      <c r="J1500">
        <v>1</v>
      </c>
      <c r="K1500" s="6">
        <v>2.29</v>
      </c>
      <c r="L1500" t="s">
        <v>174</v>
      </c>
      <c r="M1500">
        <v>0</v>
      </c>
      <c r="N1500" t="s">
        <v>182</v>
      </c>
      <c r="O1500">
        <v>3</v>
      </c>
      <c r="P1500">
        <v>0</v>
      </c>
      <c r="Q1500" s="6">
        <v>90.2</v>
      </c>
      <c r="R1500">
        <v>1</v>
      </c>
      <c r="S1500" s="6">
        <v>388</v>
      </c>
      <c r="T1500">
        <v>0</v>
      </c>
      <c r="U1500" s="6">
        <v>1391</v>
      </c>
      <c r="V1500">
        <v>0</v>
      </c>
      <c r="W1500">
        <v>0</v>
      </c>
      <c r="X1500">
        <v>0</v>
      </c>
      <c r="Y1500" s="6">
        <v>47.8</v>
      </c>
      <c r="Z1500">
        <v>0.46800000000000003</v>
      </c>
      <c r="AA1500">
        <v>7.9000000000000001E-2</v>
      </c>
      <c r="AB1500">
        <v>6.2E-2</v>
      </c>
      <c r="AC1500">
        <v>6</v>
      </c>
      <c r="AD1500" s="6">
        <v>50</v>
      </c>
      <c r="AE1500" s="6">
        <v>25</v>
      </c>
      <c r="AF1500" s="6">
        <v>0</v>
      </c>
      <c r="AG1500" s="6">
        <v>64.790000000000006</v>
      </c>
      <c r="AH1500" s="6">
        <v>83.64</v>
      </c>
      <c r="AI1500" s="6">
        <f t="shared" si="46"/>
        <v>18.849999999999994</v>
      </c>
      <c r="AJ1500" s="5">
        <f t="shared" si="47"/>
        <v>0.22537063605930169</v>
      </c>
    </row>
    <row r="1501" spans="1:36">
      <c r="A1501" t="s">
        <v>176</v>
      </c>
      <c r="B1501" t="s">
        <v>1786</v>
      </c>
      <c r="C1501" t="s">
        <v>92</v>
      </c>
      <c r="D1501" t="s">
        <v>60</v>
      </c>
      <c r="E1501" t="s">
        <v>55</v>
      </c>
      <c r="F1501">
        <v>0</v>
      </c>
      <c r="G1501">
        <v>1685</v>
      </c>
      <c r="H1501">
        <v>1.22</v>
      </c>
      <c r="I1501" t="s">
        <v>173</v>
      </c>
      <c r="J1501">
        <v>1</v>
      </c>
      <c r="K1501" s="6">
        <v>1.64</v>
      </c>
      <c r="L1501" t="s">
        <v>200</v>
      </c>
      <c r="M1501">
        <v>1</v>
      </c>
      <c r="N1501" t="s">
        <v>187</v>
      </c>
      <c r="O1501">
        <v>2</v>
      </c>
      <c r="P1501">
        <v>0</v>
      </c>
      <c r="Q1501" s="6">
        <v>35.799999999999997</v>
      </c>
      <c r="R1501">
        <v>0</v>
      </c>
      <c r="S1501" s="6">
        <v>0</v>
      </c>
      <c r="T1501">
        <v>0</v>
      </c>
      <c r="U1501" s="6">
        <v>1398</v>
      </c>
      <c r="V1501">
        <v>0</v>
      </c>
      <c r="W1501">
        <v>0</v>
      </c>
      <c r="X1501">
        <v>0</v>
      </c>
      <c r="Y1501" s="6">
        <v>47.8</v>
      </c>
      <c r="Z1501">
        <v>0.46800000000000003</v>
      </c>
      <c r="AA1501">
        <v>7.9000000000000001E-2</v>
      </c>
      <c r="AB1501">
        <v>6.2E-2</v>
      </c>
      <c r="AC1501">
        <v>6</v>
      </c>
      <c r="AD1501" s="6">
        <v>99</v>
      </c>
      <c r="AE1501" s="6">
        <v>0</v>
      </c>
      <c r="AF1501" s="6">
        <v>0</v>
      </c>
      <c r="AG1501" s="6">
        <v>83.52</v>
      </c>
      <c r="AH1501" s="6">
        <v>108.97</v>
      </c>
      <c r="AI1501" s="6">
        <f t="shared" si="46"/>
        <v>25.450000000000003</v>
      </c>
      <c r="AJ1501" s="5">
        <f t="shared" si="47"/>
        <v>0.23355051849132791</v>
      </c>
    </row>
    <row r="1502" spans="1:36">
      <c r="A1502" t="s">
        <v>481</v>
      </c>
      <c r="B1502" t="s">
        <v>1787</v>
      </c>
      <c r="C1502" t="s">
        <v>92</v>
      </c>
      <c r="D1502" t="s">
        <v>60</v>
      </c>
      <c r="E1502" t="s">
        <v>55</v>
      </c>
      <c r="F1502">
        <v>0</v>
      </c>
      <c r="G1502">
        <v>1685</v>
      </c>
      <c r="H1502">
        <v>1.22</v>
      </c>
      <c r="I1502" t="s">
        <v>173</v>
      </c>
      <c r="J1502">
        <v>1</v>
      </c>
      <c r="K1502" s="6">
        <v>1.68</v>
      </c>
      <c r="L1502" t="s">
        <v>200</v>
      </c>
      <c r="M1502">
        <v>1</v>
      </c>
      <c r="N1502" t="s">
        <v>187</v>
      </c>
      <c r="O1502">
        <v>2</v>
      </c>
      <c r="P1502">
        <v>0</v>
      </c>
      <c r="Q1502" s="6">
        <v>37.9</v>
      </c>
      <c r="R1502">
        <v>0</v>
      </c>
      <c r="S1502" s="6">
        <v>0</v>
      </c>
      <c r="T1502">
        <v>0</v>
      </c>
      <c r="U1502" s="6">
        <v>1461</v>
      </c>
      <c r="V1502">
        <v>0</v>
      </c>
      <c r="W1502">
        <v>0</v>
      </c>
      <c r="X1502">
        <v>0</v>
      </c>
      <c r="Y1502" s="6">
        <v>47.8</v>
      </c>
      <c r="Z1502">
        <v>0.46800000000000003</v>
      </c>
      <c r="AA1502">
        <v>7.9000000000000001E-2</v>
      </c>
      <c r="AB1502">
        <v>6.2E-2</v>
      </c>
      <c r="AC1502">
        <v>6</v>
      </c>
      <c r="AD1502" s="6">
        <v>99</v>
      </c>
      <c r="AE1502" s="6">
        <v>0</v>
      </c>
      <c r="AF1502" s="6">
        <v>0</v>
      </c>
      <c r="AG1502" s="6">
        <v>91.75</v>
      </c>
      <c r="AH1502" s="6">
        <v>118.59</v>
      </c>
      <c r="AI1502" s="6">
        <f t="shared" si="46"/>
        <v>26.840000000000003</v>
      </c>
      <c r="AJ1502" s="5">
        <f t="shared" si="47"/>
        <v>0.22632599713297918</v>
      </c>
    </row>
    <row r="1503" spans="1:36">
      <c r="A1503" t="s">
        <v>375</v>
      </c>
      <c r="B1503" t="s">
        <v>1788</v>
      </c>
      <c r="C1503" t="s">
        <v>92</v>
      </c>
      <c r="D1503" t="s">
        <v>60</v>
      </c>
      <c r="E1503" t="s">
        <v>55</v>
      </c>
      <c r="F1503">
        <v>0</v>
      </c>
      <c r="G1503">
        <v>1685</v>
      </c>
      <c r="H1503">
        <v>1</v>
      </c>
      <c r="I1503" t="s">
        <v>173</v>
      </c>
      <c r="J1503">
        <v>1</v>
      </c>
      <c r="K1503" s="6">
        <v>1.91</v>
      </c>
      <c r="L1503" t="s">
        <v>174</v>
      </c>
      <c r="M1503">
        <v>0</v>
      </c>
      <c r="N1503" t="s">
        <v>175</v>
      </c>
      <c r="O1503">
        <v>1</v>
      </c>
      <c r="P1503">
        <v>0</v>
      </c>
      <c r="Q1503" s="6">
        <v>36.799999999999997</v>
      </c>
      <c r="R1503">
        <v>1</v>
      </c>
      <c r="S1503" s="6">
        <v>1384</v>
      </c>
      <c r="T1503">
        <v>0</v>
      </c>
      <c r="U1503" s="6">
        <v>1407</v>
      </c>
      <c r="V1503">
        <v>0</v>
      </c>
      <c r="W1503">
        <v>0</v>
      </c>
      <c r="X1503">
        <v>0</v>
      </c>
      <c r="Y1503" s="6">
        <v>47.8</v>
      </c>
      <c r="Z1503">
        <v>0.46800000000000003</v>
      </c>
      <c r="AA1503">
        <v>7.9000000000000001E-2</v>
      </c>
      <c r="AB1503">
        <v>6.2E-2</v>
      </c>
      <c r="AC1503">
        <v>6</v>
      </c>
      <c r="AD1503" s="6">
        <v>50</v>
      </c>
      <c r="AE1503" s="6">
        <v>25</v>
      </c>
      <c r="AF1503" s="6">
        <v>0</v>
      </c>
      <c r="AG1503" s="6">
        <v>47.57</v>
      </c>
      <c r="AH1503" s="6">
        <v>60.01</v>
      </c>
      <c r="AI1503" s="6">
        <f t="shared" si="46"/>
        <v>12.439999999999998</v>
      </c>
      <c r="AJ1503" s="5">
        <f t="shared" si="47"/>
        <v>0.20729878353607728</v>
      </c>
    </row>
    <row r="1504" spans="1:36">
      <c r="A1504" t="s">
        <v>269</v>
      </c>
      <c r="B1504" t="s">
        <v>1789</v>
      </c>
      <c r="C1504" t="s">
        <v>92</v>
      </c>
      <c r="D1504" t="s">
        <v>60</v>
      </c>
      <c r="E1504" t="s">
        <v>55</v>
      </c>
      <c r="F1504">
        <v>0</v>
      </c>
      <c r="G1504">
        <v>1685</v>
      </c>
      <c r="H1504">
        <v>1.22</v>
      </c>
      <c r="I1504" t="s">
        <v>173</v>
      </c>
      <c r="J1504">
        <v>1</v>
      </c>
      <c r="K1504" s="6">
        <v>1.99</v>
      </c>
      <c r="L1504" t="s">
        <v>174</v>
      </c>
      <c r="M1504">
        <v>0</v>
      </c>
      <c r="N1504" t="s">
        <v>187</v>
      </c>
      <c r="O1504">
        <v>2</v>
      </c>
      <c r="P1504">
        <v>0</v>
      </c>
      <c r="Q1504" s="6">
        <v>75.8</v>
      </c>
      <c r="R1504">
        <v>0</v>
      </c>
      <c r="S1504" s="6">
        <v>0</v>
      </c>
      <c r="T1504">
        <v>0</v>
      </c>
      <c r="U1504" s="6">
        <v>1249</v>
      </c>
      <c r="V1504">
        <v>0</v>
      </c>
      <c r="W1504">
        <v>0</v>
      </c>
      <c r="X1504">
        <v>0</v>
      </c>
      <c r="Y1504" s="6">
        <v>47.8</v>
      </c>
      <c r="Z1504">
        <v>0.46800000000000003</v>
      </c>
      <c r="AA1504">
        <v>7.9000000000000001E-2</v>
      </c>
      <c r="AB1504">
        <v>6.2E-2</v>
      </c>
      <c r="AC1504">
        <v>6</v>
      </c>
      <c r="AD1504" s="6">
        <v>50</v>
      </c>
      <c r="AE1504" s="6">
        <v>0</v>
      </c>
      <c r="AF1504" s="6">
        <v>0</v>
      </c>
      <c r="AG1504" s="6">
        <v>61.68</v>
      </c>
      <c r="AH1504" s="6">
        <v>77.180000000000007</v>
      </c>
      <c r="AI1504" s="6">
        <f t="shared" si="46"/>
        <v>15.500000000000007</v>
      </c>
      <c r="AJ1504" s="5">
        <f t="shared" si="47"/>
        <v>0.20082923037056238</v>
      </c>
    </row>
    <row r="1505" spans="1:36">
      <c r="A1505" t="s">
        <v>188</v>
      </c>
      <c r="B1505" t="s">
        <v>1790</v>
      </c>
      <c r="C1505" t="s">
        <v>92</v>
      </c>
      <c r="D1505" t="s">
        <v>60</v>
      </c>
      <c r="E1505" t="s">
        <v>55</v>
      </c>
      <c r="F1505">
        <v>0</v>
      </c>
      <c r="G1505">
        <v>1685</v>
      </c>
      <c r="H1505">
        <v>1.22</v>
      </c>
      <c r="I1505" t="s">
        <v>173</v>
      </c>
      <c r="J1505">
        <v>1</v>
      </c>
      <c r="K1505" s="6">
        <v>2.2999999999999998</v>
      </c>
      <c r="L1505" t="s">
        <v>174</v>
      </c>
      <c r="M1505">
        <v>0</v>
      </c>
      <c r="N1505" t="s">
        <v>187</v>
      </c>
      <c r="O1505">
        <v>2</v>
      </c>
      <c r="P1505">
        <v>0</v>
      </c>
      <c r="Q1505" s="6">
        <v>39.799999999999997</v>
      </c>
      <c r="R1505">
        <v>1</v>
      </c>
      <c r="S1505" s="6">
        <v>668</v>
      </c>
      <c r="T1505">
        <v>0</v>
      </c>
      <c r="U1505" s="6">
        <v>1407</v>
      </c>
      <c r="V1505">
        <v>0</v>
      </c>
      <c r="W1505">
        <v>0</v>
      </c>
      <c r="X1505">
        <v>0</v>
      </c>
      <c r="Y1505" s="6">
        <v>47.8</v>
      </c>
      <c r="Z1505">
        <v>0.46800000000000003</v>
      </c>
      <c r="AA1505">
        <v>7.9000000000000001E-2</v>
      </c>
      <c r="AB1505">
        <v>6.2E-2</v>
      </c>
      <c r="AC1505">
        <v>6</v>
      </c>
      <c r="AD1505" s="6">
        <v>50</v>
      </c>
      <c r="AE1505" s="6">
        <v>25</v>
      </c>
      <c r="AF1505" s="6">
        <v>0</v>
      </c>
      <c r="AG1505" s="6">
        <v>62.29</v>
      </c>
      <c r="AH1505" s="6">
        <v>81.08</v>
      </c>
      <c r="AI1505" s="6">
        <f t="shared" si="46"/>
        <v>18.79</v>
      </c>
      <c r="AJ1505" s="5">
        <f t="shared" si="47"/>
        <v>0.23174642328564379</v>
      </c>
    </row>
    <row r="1506" spans="1:36">
      <c r="A1506" t="s">
        <v>263</v>
      </c>
      <c r="B1506" t="s">
        <v>1791</v>
      </c>
      <c r="C1506" t="s">
        <v>92</v>
      </c>
      <c r="D1506" t="s">
        <v>60</v>
      </c>
      <c r="E1506" t="s">
        <v>55</v>
      </c>
      <c r="F1506">
        <v>0</v>
      </c>
      <c r="G1506">
        <v>1685</v>
      </c>
      <c r="H1506">
        <v>1.22</v>
      </c>
      <c r="I1506" t="s">
        <v>173</v>
      </c>
      <c r="J1506">
        <v>1</v>
      </c>
      <c r="K1506" s="6">
        <v>2.31</v>
      </c>
      <c r="L1506" t="s">
        <v>200</v>
      </c>
      <c r="M1506">
        <v>1</v>
      </c>
      <c r="N1506" t="s">
        <v>175</v>
      </c>
      <c r="O1506">
        <v>1</v>
      </c>
      <c r="P1506">
        <v>0</v>
      </c>
      <c r="Q1506" s="6">
        <v>32.6</v>
      </c>
      <c r="R1506">
        <v>0</v>
      </c>
      <c r="S1506" s="6">
        <v>0</v>
      </c>
      <c r="T1506">
        <v>0</v>
      </c>
      <c r="U1506" s="6">
        <v>1106</v>
      </c>
      <c r="V1506">
        <v>0</v>
      </c>
      <c r="W1506">
        <v>0</v>
      </c>
      <c r="X1506">
        <v>0</v>
      </c>
      <c r="Y1506" s="6">
        <v>47.8</v>
      </c>
      <c r="Z1506">
        <v>0.46800000000000003</v>
      </c>
      <c r="AA1506">
        <v>7.9000000000000001E-2</v>
      </c>
      <c r="AB1506">
        <v>6.2E-2</v>
      </c>
      <c r="AC1506">
        <v>6</v>
      </c>
      <c r="AD1506" s="6">
        <v>99</v>
      </c>
      <c r="AE1506" s="6">
        <v>0</v>
      </c>
      <c r="AF1506" s="6">
        <v>0</v>
      </c>
      <c r="AG1506" s="6">
        <v>79.08</v>
      </c>
      <c r="AH1506" s="6">
        <v>100.07</v>
      </c>
      <c r="AI1506" s="6">
        <f t="shared" si="46"/>
        <v>20.989999999999995</v>
      </c>
      <c r="AJ1506" s="5">
        <f t="shared" si="47"/>
        <v>0.20975317277905461</v>
      </c>
    </row>
    <row r="1507" spans="1:36">
      <c r="A1507" t="s">
        <v>277</v>
      </c>
      <c r="B1507" t="s">
        <v>1792</v>
      </c>
      <c r="C1507" t="s">
        <v>92</v>
      </c>
      <c r="D1507" t="s">
        <v>60</v>
      </c>
      <c r="E1507" t="s">
        <v>55</v>
      </c>
      <c r="F1507">
        <v>0</v>
      </c>
      <c r="G1507">
        <v>1685</v>
      </c>
      <c r="H1507">
        <v>1.22</v>
      </c>
      <c r="I1507" t="s">
        <v>173</v>
      </c>
      <c r="J1507">
        <v>1</v>
      </c>
      <c r="K1507" s="6">
        <v>2.16</v>
      </c>
      <c r="L1507" t="s">
        <v>200</v>
      </c>
      <c r="M1507">
        <v>1</v>
      </c>
      <c r="N1507" t="s">
        <v>175</v>
      </c>
      <c r="O1507">
        <v>1</v>
      </c>
      <c r="P1507">
        <v>0</v>
      </c>
      <c r="Q1507" s="6">
        <v>26.3</v>
      </c>
      <c r="R1507">
        <v>0</v>
      </c>
      <c r="S1507" s="6">
        <v>0</v>
      </c>
      <c r="T1507">
        <v>0</v>
      </c>
      <c r="U1507" s="6">
        <v>1402</v>
      </c>
      <c r="V1507">
        <v>0</v>
      </c>
      <c r="W1507">
        <v>0</v>
      </c>
      <c r="X1507">
        <v>0</v>
      </c>
      <c r="Y1507" s="6">
        <v>47.8</v>
      </c>
      <c r="Z1507">
        <v>0.46800000000000003</v>
      </c>
      <c r="AA1507">
        <v>7.9000000000000001E-2</v>
      </c>
      <c r="AB1507">
        <v>6.2E-2</v>
      </c>
      <c r="AC1507">
        <v>6</v>
      </c>
      <c r="AD1507" s="6">
        <v>99</v>
      </c>
      <c r="AE1507" s="6">
        <v>0</v>
      </c>
      <c r="AF1507" s="6">
        <v>0</v>
      </c>
      <c r="AG1507" s="6">
        <v>88.28</v>
      </c>
      <c r="AH1507" s="6">
        <v>113.36</v>
      </c>
      <c r="AI1507" s="6">
        <f t="shared" si="46"/>
        <v>25.08</v>
      </c>
      <c r="AJ1507" s="5">
        <f t="shared" si="47"/>
        <v>0.22124206069160196</v>
      </c>
    </row>
    <row r="1508" spans="1:36">
      <c r="A1508" t="s">
        <v>602</v>
      </c>
      <c r="B1508" t="s">
        <v>1793</v>
      </c>
      <c r="C1508" t="s">
        <v>92</v>
      </c>
      <c r="D1508" t="s">
        <v>60</v>
      </c>
      <c r="E1508" t="s">
        <v>55</v>
      </c>
      <c r="F1508">
        <v>0</v>
      </c>
      <c r="G1508">
        <v>1685</v>
      </c>
      <c r="H1508">
        <v>1</v>
      </c>
      <c r="I1508" t="s">
        <v>173</v>
      </c>
      <c r="J1508">
        <v>1</v>
      </c>
      <c r="K1508" s="6">
        <v>1.99</v>
      </c>
      <c r="L1508" t="s">
        <v>174</v>
      </c>
      <c r="M1508">
        <v>0</v>
      </c>
      <c r="N1508" t="s">
        <v>187</v>
      </c>
      <c r="O1508">
        <v>2</v>
      </c>
      <c r="P1508">
        <v>1</v>
      </c>
      <c r="Q1508" s="6">
        <v>38.200000000000003</v>
      </c>
      <c r="R1508">
        <v>0</v>
      </c>
      <c r="S1508" s="6">
        <v>0</v>
      </c>
      <c r="T1508">
        <v>0</v>
      </c>
      <c r="U1508" s="6">
        <v>955</v>
      </c>
      <c r="V1508">
        <v>0</v>
      </c>
      <c r="W1508">
        <v>0</v>
      </c>
      <c r="X1508">
        <v>0</v>
      </c>
      <c r="Y1508" s="6">
        <v>47.8</v>
      </c>
      <c r="Z1508">
        <v>0.46800000000000003</v>
      </c>
      <c r="AA1508">
        <v>7.9000000000000001E-2</v>
      </c>
      <c r="AB1508">
        <v>6.2E-2</v>
      </c>
      <c r="AC1508">
        <v>6</v>
      </c>
      <c r="AD1508" s="6">
        <v>50</v>
      </c>
      <c r="AE1508" s="6">
        <v>0</v>
      </c>
      <c r="AF1508" s="6">
        <v>0</v>
      </c>
      <c r="AG1508" s="6">
        <v>74.819999999999993</v>
      </c>
      <c r="AH1508" s="6">
        <v>96.37</v>
      </c>
      <c r="AI1508" s="6">
        <f t="shared" si="46"/>
        <v>21.550000000000011</v>
      </c>
      <c r="AJ1508" s="5">
        <f t="shared" si="47"/>
        <v>0.22361730829096202</v>
      </c>
    </row>
    <row r="1509" spans="1:36">
      <c r="A1509" t="s">
        <v>355</v>
      </c>
      <c r="B1509" t="s">
        <v>1794</v>
      </c>
      <c r="C1509" t="s">
        <v>92</v>
      </c>
      <c r="D1509" t="s">
        <v>60</v>
      </c>
      <c r="E1509" t="s">
        <v>55</v>
      </c>
      <c r="F1509">
        <v>0</v>
      </c>
      <c r="G1509">
        <v>1685</v>
      </c>
      <c r="H1509">
        <v>1.22</v>
      </c>
      <c r="I1509" t="s">
        <v>173</v>
      </c>
      <c r="J1509">
        <v>1</v>
      </c>
      <c r="K1509" s="6">
        <v>2</v>
      </c>
      <c r="L1509" t="s">
        <v>174</v>
      </c>
      <c r="M1509">
        <v>0</v>
      </c>
      <c r="N1509" t="s">
        <v>182</v>
      </c>
      <c r="O1509">
        <v>3</v>
      </c>
      <c r="P1509">
        <v>0</v>
      </c>
      <c r="Q1509" s="6">
        <v>128.19999999999999</v>
      </c>
      <c r="R1509">
        <v>1</v>
      </c>
      <c r="S1509" s="6">
        <v>947</v>
      </c>
      <c r="T1509">
        <v>0</v>
      </c>
      <c r="U1509" s="6">
        <v>1821</v>
      </c>
      <c r="V1509">
        <v>0</v>
      </c>
      <c r="W1509">
        <v>0</v>
      </c>
      <c r="X1509">
        <v>0</v>
      </c>
      <c r="Y1509" s="6">
        <v>47.8</v>
      </c>
      <c r="Z1509">
        <v>0.46800000000000003</v>
      </c>
      <c r="AA1509">
        <v>7.9000000000000001E-2</v>
      </c>
      <c r="AB1509">
        <v>6.2E-2</v>
      </c>
      <c r="AC1509">
        <v>6</v>
      </c>
      <c r="AD1509" s="6">
        <v>50</v>
      </c>
      <c r="AE1509" s="6">
        <v>25</v>
      </c>
      <c r="AF1509" s="6">
        <v>0</v>
      </c>
      <c r="AG1509" s="6">
        <v>73.73</v>
      </c>
      <c r="AH1509" s="6">
        <v>96.17</v>
      </c>
      <c r="AI1509" s="6">
        <f t="shared" si="46"/>
        <v>22.439999999999998</v>
      </c>
      <c r="AJ1509" s="5">
        <f t="shared" si="47"/>
        <v>0.2333367994176978</v>
      </c>
    </row>
    <row r="1510" spans="1:36">
      <c r="A1510" t="s">
        <v>196</v>
      </c>
      <c r="B1510" t="s">
        <v>1795</v>
      </c>
      <c r="C1510" t="s">
        <v>92</v>
      </c>
      <c r="D1510" t="s">
        <v>60</v>
      </c>
      <c r="E1510" t="s">
        <v>55</v>
      </c>
      <c r="F1510">
        <v>0</v>
      </c>
      <c r="G1510">
        <v>1685</v>
      </c>
      <c r="H1510">
        <v>1</v>
      </c>
      <c r="I1510" t="s">
        <v>173</v>
      </c>
      <c r="J1510">
        <v>1</v>
      </c>
      <c r="K1510" s="6">
        <v>1.92</v>
      </c>
      <c r="L1510" t="s">
        <v>174</v>
      </c>
      <c r="M1510">
        <v>0</v>
      </c>
      <c r="N1510" t="s">
        <v>272</v>
      </c>
      <c r="O1510">
        <v>5</v>
      </c>
      <c r="P1510">
        <v>1</v>
      </c>
      <c r="Q1510" s="6">
        <v>184.1</v>
      </c>
      <c r="R1510">
        <v>0</v>
      </c>
      <c r="S1510" s="6">
        <v>0</v>
      </c>
      <c r="T1510">
        <v>0</v>
      </c>
      <c r="U1510" s="6">
        <v>1660</v>
      </c>
      <c r="V1510">
        <v>0</v>
      </c>
      <c r="W1510">
        <v>0</v>
      </c>
      <c r="X1510">
        <v>0</v>
      </c>
      <c r="Y1510" s="6">
        <v>47.8</v>
      </c>
      <c r="Z1510">
        <v>0.46800000000000003</v>
      </c>
      <c r="AA1510">
        <v>7.9000000000000001E-2</v>
      </c>
      <c r="AB1510">
        <v>6.2E-2</v>
      </c>
      <c r="AC1510">
        <v>6</v>
      </c>
      <c r="AD1510" s="6">
        <v>50</v>
      </c>
      <c r="AE1510" s="6">
        <v>0</v>
      </c>
      <c r="AF1510" s="6">
        <v>0</v>
      </c>
      <c r="AG1510" s="6">
        <v>152.13</v>
      </c>
      <c r="AH1510" s="6">
        <v>195.11</v>
      </c>
      <c r="AI1510" s="6">
        <f t="shared" si="46"/>
        <v>42.980000000000018</v>
      </c>
      <c r="AJ1510" s="5">
        <f t="shared" si="47"/>
        <v>0.22028599251704176</v>
      </c>
    </row>
    <row r="1511" spans="1:36">
      <c r="A1511" t="s">
        <v>343</v>
      </c>
      <c r="B1511" t="s">
        <v>1796</v>
      </c>
      <c r="C1511" t="s">
        <v>92</v>
      </c>
      <c r="D1511" t="s">
        <v>60</v>
      </c>
      <c r="E1511" t="s">
        <v>55</v>
      </c>
      <c r="F1511">
        <v>0</v>
      </c>
      <c r="G1511">
        <v>1685</v>
      </c>
      <c r="H1511">
        <v>1</v>
      </c>
      <c r="I1511" t="s">
        <v>173</v>
      </c>
      <c r="J1511">
        <v>1</v>
      </c>
      <c r="K1511" s="6">
        <v>2.04</v>
      </c>
      <c r="L1511" t="s">
        <v>174</v>
      </c>
      <c r="M1511">
        <v>0</v>
      </c>
      <c r="N1511" t="s">
        <v>175</v>
      </c>
      <c r="O1511">
        <v>1</v>
      </c>
      <c r="P1511">
        <v>0</v>
      </c>
      <c r="Q1511" s="6">
        <v>27.7</v>
      </c>
      <c r="R1511">
        <v>0</v>
      </c>
      <c r="S1511" s="6">
        <v>0</v>
      </c>
      <c r="T1511">
        <v>0</v>
      </c>
      <c r="U1511" s="6">
        <v>1219</v>
      </c>
      <c r="V1511">
        <v>0</v>
      </c>
      <c r="W1511">
        <v>0</v>
      </c>
      <c r="X1511">
        <v>0</v>
      </c>
      <c r="Y1511" s="6">
        <v>47.8</v>
      </c>
      <c r="Z1511">
        <v>0.46800000000000003</v>
      </c>
      <c r="AA1511">
        <v>7.9000000000000001E-2</v>
      </c>
      <c r="AB1511">
        <v>6.2E-2</v>
      </c>
      <c r="AC1511">
        <v>6</v>
      </c>
      <c r="AD1511" s="6">
        <v>50</v>
      </c>
      <c r="AE1511" s="6">
        <v>0</v>
      </c>
      <c r="AF1511" s="6">
        <v>0</v>
      </c>
      <c r="AG1511" s="6">
        <v>45.27</v>
      </c>
      <c r="AH1511" s="6">
        <v>59.54</v>
      </c>
      <c r="AI1511" s="6">
        <f t="shared" si="46"/>
        <v>14.269999999999996</v>
      </c>
      <c r="AJ1511" s="5">
        <f t="shared" si="47"/>
        <v>0.2396708095398051</v>
      </c>
    </row>
    <row r="1512" spans="1:36">
      <c r="A1512" t="s">
        <v>528</v>
      </c>
      <c r="B1512" t="s">
        <v>1797</v>
      </c>
      <c r="C1512" t="s">
        <v>92</v>
      </c>
      <c r="D1512" t="s">
        <v>60</v>
      </c>
      <c r="E1512" t="s">
        <v>55</v>
      </c>
      <c r="F1512">
        <v>0</v>
      </c>
      <c r="G1512">
        <v>1685</v>
      </c>
      <c r="H1512">
        <v>1.22</v>
      </c>
      <c r="I1512" t="s">
        <v>173</v>
      </c>
      <c r="J1512">
        <v>1</v>
      </c>
      <c r="K1512" s="6">
        <v>2.3199999999999998</v>
      </c>
      <c r="L1512" t="s">
        <v>200</v>
      </c>
      <c r="M1512">
        <v>1</v>
      </c>
      <c r="N1512" t="s">
        <v>182</v>
      </c>
      <c r="O1512">
        <v>3</v>
      </c>
      <c r="P1512">
        <v>0</v>
      </c>
      <c r="Q1512" s="6">
        <v>95.6</v>
      </c>
      <c r="R1512">
        <v>0</v>
      </c>
      <c r="S1512" s="6">
        <v>0</v>
      </c>
      <c r="T1512">
        <v>0</v>
      </c>
      <c r="U1512" s="6">
        <v>2993</v>
      </c>
      <c r="V1512">
        <v>0</v>
      </c>
      <c r="W1512">
        <v>0</v>
      </c>
      <c r="X1512">
        <v>0</v>
      </c>
      <c r="Y1512" s="6">
        <v>47.8</v>
      </c>
      <c r="Z1512">
        <v>0.46800000000000003</v>
      </c>
      <c r="AA1512">
        <v>7.9000000000000001E-2</v>
      </c>
      <c r="AB1512">
        <v>6.2E-2</v>
      </c>
      <c r="AC1512">
        <v>6</v>
      </c>
      <c r="AD1512" s="6">
        <v>99</v>
      </c>
      <c r="AE1512" s="6">
        <v>0</v>
      </c>
      <c r="AF1512" s="6">
        <v>0</v>
      </c>
      <c r="AG1512" s="6">
        <v>96.34</v>
      </c>
      <c r="AH1512" s="6">
        <v>123.67</v>
      </c>
      <c r="AI1512" s="6">
        <f t="shared" si="46"/>
        <v>27.33</v>
      </c>
      <c r="AJ1512" s="5">
        <f t="shared" si="47"/>
        <v>0.22099134794210398</v>
      </c>
    </row>
    <row r="1513" spans="1:36">
      <c r="A1513" t="s">
        <v>300</v>
      </c>
      <c r="B1513" t="s">
        <v>1798</v>
      </c>
      <c r="C1513" t="s">
        <v>92</v>
      </c>
      <c r="D1513" t="s">
        <v>60</v>
      </c>
      <c r="E1513" t="s">
        <v>55</v>
      </c>
      <c r="F1513">
        <v>0</v>
      </c>
      <c r="G1513">
        <v>1685</v>
      </c>
      <c r="H1513">
        <v>1.22</v>
      </c>
      <c r="I1513" t="s">
        <v>220</v>
      </c>
      <c r="J1513">
        <v>2</v>
      </c>
      <c r="K1513" s="6">
        <v>2.7</v>
      </c>
      <c r="L1513" t="s">
        <v>200</v>
      </c>
      <c r="M1513">
        <v>1</v>
      </c>
      <c r="N1513" t="s">
        <v>175</v>
      </c>
      <c r="O1513">
        <v>1</v>
      </c>
      <c r="P1513">
        <v>0</v>
      </c>
      <c r="Q1513" s="6">
        <v>38.9</v>
      </c>
      <c r="R1513">
        <v>0</v>
      </c>
      <c r="S1513" s="6">
        <v>0</v>
      </c>
      <c r="T1513">
        <v>0</v>
      </c>
      <c r="U1513" s="6">
        <v>1982</v>
      </c>
      <c r="V1513">
        <v>0</v>
      </c>
      <c r="W1513">
        <v>1</v>
      </c>
      <c r="X1513">
        <v>0</v>
      </c>
      <c r="Y1513" s="6">
        <v>47.8</v>
      </c>
      <c r="Z1513">
        <v>0.46800000000000003</v>
      </c>
      <c r="AA1513">
        <v>7.9000000000000001E-2</v>
      </c>
      <c r="AB1513">
        <v>6.2E-2</v>
      </c>
      <c r="AC1513">
        <v>6</v>
      </c>
      <c r="AD1513" s="6">
        <v>119</v>
      </c>
      <c r="AE1513" s="6">
        <v>0</v>
      </c>
      <c r="AF1513" s="6">
        <v>0</v>
      </c>
      <c r="AG1513" s="6">
        <v>123.28</v>
      </c>
      <c r="AH1513" s="6">
        <v>156.43</v>
      </c>
      <c r="AI1513" s="6">
        <f t="shared" si="46"/>
        <v>33.150000000000006</v>
      </c>
      <c r="AJ1513" s="5">
        <f t="shared" si="47"/>
        <v>0.21191587291440264</v>
      </c>
    </row>
    <row r="1514" spans="1:36">
      <c r="A1514" t="s">
        <v>247</v>
      </c>
      <c r="B1514" t="s">
        <v>1799</v>
      </c>
      <c r="C1514" t="s">
        <v>92</v>
      </c>
      <c r="D1514" t="s">
        <v>60</v>
      </c>
      <c r="E1514" t="s">
        <v>55</v>
      </c>
      <c r="F1514">
        <v>0</v>
      </c>
      <c r="G1514">
        <v>1685</v>
      </c>
      <c r="H1514">
        <v>1</v>
      </c>
      <c r="I1514" t="s">
        <v>173</v>
      </c>
      <c r="J1514">
        <v>1</v>
      </c>
      <c r="K1514" s="6">
        <v>1.62</v>
      </c>
      <c r="L1514" t="s">
        <v>174</v>
      </c>
      <c r="M1514">
        <v>0</v>
      </c>
      <c r="N1514" t="s">
        <v>187</v>
      </c>
      <c r="O1514">
        <v>2</v>
      </c>
      <c r="P1514">
        <v>0</v>
      </c>
      <c r="Q1514" s="6">
        <v>56.2</v>
      </c>
      <c r="R1514">
        <v>0</v>
      </c>
      <c r="S1514" s="6">
        <v>0</v>
      </c>
      <c r="T1514">
        <v>0</v>
      </c>
      <c r="U1514" s="6">
        <v>1028</v>
      </c>
      <c r="V1514">
        <v>0</v>
      </c>
      <c r="W1514">
        <v>0</v>
      </c>
      <c r="X1514">
        <v>0</v>
      </c>
      <c r="Y1514" s="6">
        <v>47.8</v>
      </c>
      <c r="Z1514">
        <v>0.46800000000000003</v>
      </c>
      <c r="AA1514">
        <v>7.9000000000000001E-2</v>
      </c>
      <c r="AB1514">
        <v>6.2E-2</v>
      </c>
      <c r="AC1514">
        <v>6</v>
      </c>
      <c r="AD1514" s="6">
        <v>50</v>
      </c>
      <c r="AE1514" s="6">
        <v>0</v>
      </c>
      <c r="AF1514" s="6">
        <v>0</v>
      </c>
      <c r="AG1514" s="6">
        <v>58.25</v>
      </c>
      <c r="AH1514" s="6">
        <v>77.5</v>
      </c>
      <c r="AI1514" s="6">
        <f t="shared" si="46"/>
        <v>19.25</v>
      </c>
      <c r="AJ1514" s="5">
        <f t="shared" si="47"/>
        <v>0.24838709677419354</v>
      </c>
    </row>
    <row r="1515" spans="1:36">
      <c r="A1515" t="s">
        <v>537</v>
      </c>
      <c r="B1515" t="s">
        <v>1800</v>
      </c>
      <c r="C1515" t="s">
        <v>92</v>
      </c>
      <c r="D1515" t="s">
        <v>60</v>
      </c>
      <c r="E1515" t="s">
        <v>55</v>
      </c>
      <c r="F1515">
        <v>0</v>
      </c>
      <c r="G1515">
        <v>1685</v>
      </c>
      <c r="H1515">
        <v>1.22</v>
      </c>
      <c r="I1515" t="s">
        <v>173</v>
      </c>
      <c r="J1515">
        <v>1</v>
      </c>
      <c r="K1515" s="6">
        <v>2.46</v>
      </c>
      <c r="L1515" t="s">
        <v>200</v>
      </c>
      <c r="M1515">
        <v>1</v>
      </c>
      <c r="N1515" t="s">
        <v>187</v>
      </c>
      <c r="O1515">
        <v>2</v>
      </c>
      <c r="P1515">
        <v>0</v>
      </c>
      <c r="Q1515" s="6">
        <v>41.6</v>
      </c>
      <c r="R1515">
        <v>0</v>
      </c>
      <c r="S1515" s="6">
        <v>0</v>
      </c>
      <c r="T1515">
        <v>0</v>
      </c>
      <c r="U1515" s="6">
        <v>1029</v>
      </c>
      <c r="V1515">
        <v>0</v>
      </c>
      <c r="W1515">
        <v>0</v>
      </c>
      <c r="X1515">
        <v>0</v>
      </c>
      <c r="Y1515" s="6">
        <v>47.8</v>
      </c>
      <c r="Z1515">
        <v>0.46800000000000003</v>
      </c>
      <c r="AA1515">
        <v>7.9000000000000001E-2</v>
      </c>
      <c r="AB1515">
        <v>6.2E-2</v>
      </c>
      <c r="AC1515">
        <v>6</v>
      </c>
      <c r="AD1515" s="6">
        <v>99</v>
      </c>
      <c r="AE1515" s="6">
        <v>0</v>
      </c>
      <c r="AF1515" s="6">
        <v>0</v>
      </c>
      <c r="AG1515" s="6">
        <v>87.59</v>
      </c>
      <c r="AH1515" s="6">
        <v>113.18</v>
      </c>
      <c r="AI1515" s="6">
        <f t="shared" si="46"/>
        <v>25.590000000000003</v>
      </c>
      <c r="AJ1515" s="5">
        <f t="shared" si="47"/>
        <v>0.22610001767096663</v>
      </c>
    </row>
    <row r="1516" spans="1:36">
      <c r="A1516" t="s">
        <v>353</v>
      </c>
      <c r="B1516" t="s">
        <v>1801</v>
      </c>
      <c r="C1516" t="s">
        <v>92</v>
      </c>
      <c r="D1516" t="s">
        <v>60</v>
      </c>
      <c r="E1516" t="s">
        <v>55</v>
      </c>
      <c r="F1516">
        <v>0</v>
      </c>
      <c r="G1516">
        <v>1685</v>
      </c>
      <c r="H1516">
        <v>1.22</v>
      </c>
      <c r="I1516" t="s">
        <v>173</v>
      </c>
      <c r="J1516">
        <v>1</v>
      </c>
      <c r="K1516" s="6">
        <v>1.23</v>
      </c>
      <c r="L1516" t="s">
        <v>174</v>
      </c>
      <c r="M1516">
        <v>0</v>
      </c>
      <c r="N1516" t="s">
        <v>175</v>
      </c>
      <c r="O1516">
        <v>1</v>
      </c>
      <c r="P1516">
        <v>0</v>
      </c>
      <c r="Q1516" s="6">
        <v>26.5</v>
      </c>
      <c r="R1516">
        <v>0</v>
      </c>
      <c r="S1516" s="6">
        <v>0</v>
      </c>
      <c r="T1516">
        <v>0</v>
      </c>
      <c r="U1516" s="6">
        <v>798</v>
      </c>
      <c r="V1516">
        <v>0</v>
      </c>
      <c r="W1516">
        <v>0</v>
      </c>
      <c r="X1516">
        <v>0</v>
      </c>
      <c r="Y1516" s="6">
        <v>47.8</v>
      </c>
      <c r="Z1516">
        <v>0.46800000000000003</v>
      </c>
      <c r="AA1516">
        <v>7.9000000000000001E-2</v>
      </c>
      <c r="AB1516">
        <v>6.2E-2</v>
      </c>
      <c r="AC1516">
        <v>6</v>
      </c>
      <c r="AD1516" s="6">
        <v>50</v>
      </c>
      <c r="AE1516" s="6">
        <v>0</v>
      </c>
      <c r="AF1516" s="6">
        <v>0</v>
      </c>
      <c r="AG1516" s="6">
        <v>52.06</v>
      </c>
      <c r="AH1516" s="6">
        <v>65.17</v>
      </c>
      <c r="AI1516" s="6">
        <f t="shared" si="46"/>
        <v>13.11</v>
      </c>
      <c r="AJ1516" s="5">
        <f t="shared" si="47"/>
        <v>0.20116618075801748</v>
      </c>
    </row>
    <row r="1517" spans="1:36">
      <c r="A1517" t="s">
        <v>279</v>
      </c>
      <c r="B1517" t="s">
        <v>1802</v>
      </c>
      <c r="C1517" t="s">
        <v>92</v>
      </c>
      <c r="D1517" t="s">
        <v>60</v>
      </c>
      <c r="E1517" t="s">
        <v>55</v>
      </c>
      <c r="F1517">
        <v>0</v>
      </c>
      <c r="G1517">
        <v>1685</v>
      </c>
      <c r="H1517">
        <v>1.22</v>
      </c>
      <c r="I1517" t="s">
        <v>173</v>
      </c>
      <c r="J1517">
        <v>1</v>
      </c>
      <c r="K1517" s="6">
        <v>1.96</v>
      </c>
      <c r="L1517" t="s">
        <v>174</v>
      </c>
      <c r="M1517">
        <v>0</v>
      </c>
      <c r="N1517" t="s">
        <v>175</v>
      </c>
      <c r="O1517">
        <v>1</v>
      </c>
      <c r="P1517">
        <v>0</v>
      </c>
      <c r="Q1517" s="6">
        <v>28.2</v>
      </c>
      <c r="R1517">
        <v>0</v>
      </c>
      <c r="S1517" s="6">
        <v>0</v>
      </c>
      <c r="T1517">
        <v>0</v>
      </c>
      <c r="U1517" s="6">
        <v>1960</v>
      </c>
      <c r="V1517">
        <v>0</v>
      </c>
      <c r="W1517">
        <v>0</v>
      </c>
      <c r="X1517">
        <v>0</v>
      </c>
      <c r="Y1517" s="6">
        <v>47.8</v>
      </c>
      <c r="Z1517">
        <v>0.46800000000000003</v>
      </c>
      <c r="AA1517">
        <v>7.9000000000000001E-2</v>
      </c>
      <c r="AB1517">
        <v>6.2E-2</v>
      </c>
      <c r="AC1517">
        <v>6</v>
      </c>
      <c r="AD1517" s="6">
        <v>50</v>
      </c>
      <c r="AE1517" s="6">
        <v>0</v>
      </c>
      <c r="AF1517" s="6">
        <v>0</v>
      </c>
      <c r="AG1517" s="6">
        <v>60.96</v>
      </c>
      <c r="AH1517" s="6">
        <v>80.22</v>
      </c>
      <c r="AI1517" s="6">
        <f t="shared" si="46"/>
        <v>19.259999999999998</v>
      </c>
      <c r="AJ1517" s="5">
        <f t="shared" si="47"/>
        <v>0.24008975317875839</v>
      </c>
    </row>
    <row r="1518" spans="1:36">
      <c r="A1518" t="s">
        <v>279</v>
      </c>
      <c r="B1518" t="s">
        <v>1803</v>
      </c>
      <c r="C1518" t="s">
        <v>92</v>
      </c>
      <c r="D1518" t="s">
        <v>60</v>
      </c>
      <c r="E1518" t="s">
        <v>55</v>
      </c>
      <c r="F1518">
        <v>0</v>
      </c>
      <c r="G1518">
        <v>1685</v>
      </c>
      <c r="H1518">
        <v>1.22</v>
      </c>
      <c r="I1518" t="s">
        <v>173</v>
      </c>
      <c r="J1518">
        <v>1</v>
      </c>
      <c r="K1518" s="6">
        <v>1.99</v>
      </c>
      <c r="L1518" t="s">
        <v>174</v>
      </c>
      <c r="M1518">
        <v>0</v>
      </c>
      <c r="N1518" t="s">
        <v>187</v>
      </c>
      <c r="O1518">
        <v>2</v>
      </c>
      <c r="P1518">
        <v>0</v>
      </c>
      <c r="Q1518" s="6">
        <v>31.6</v>
      </c>
      <c r="R1518">
        <v>0</v>
      </c>
      <c r="S1518" s="6">
        <v>0</v>
      </c>
      <c r="T1518">
        <v>0</v>
      </c>
      <c r="U1518" s="6">
        <v>3621</v>
      </c>
      <c r="V1518">
        <v>0</v>
      </c>
      <c r="W1518">
        <v>0</v>
      </c>
      <c r="X1518">
        <v>0</v>
      </c>
      <c r="Y1518" s="6">
        <v>47.8</v>
      </c>
      <c r="Z1518">
        <v>0.46800000000000003</v>
      </c>
      <c r="AA1518">
        <v>7.9000000000000001E-2</v>
      </c>
      <c r="AB1518">
        <v>6.2E-2</v>
      </c>
      <c r="AC1518">
        <v>6</v>
      </c>
      <c r="AD1518" s="6">
        <v>50</v>
      </c>
      <c r="AE1518" s="6">
        <v>0</v>
      </c>
      <c r="AF1518" s="6">
        <v>0</v>
      </c>
      <c r="AG1518" s="6">
        <v>58.91</v>
      </c>
      <c r="AH1518" s="6">
        <v>75.739999999999995</v>
      </c>
      <c r="AI1518" s="6">
        <f t="shared" si="46"/>
        <v>16.829999999999998</v>
      </c>
      <c r="AJ1518" s="5">
        <f t="shared" si="47"/>
        <v>0.22220755215209928</v>
      </c>
    </row>
    <row r="1519" spans="1:36">
      <c r="A1519" t="s">
        <v>206</v>
      </c>
      <c r="B1519" t="s">
        <v>1804</v>
      </c>
      <c r="C1519" t="s">
        <v>92</v>
      </c>
      <c r="D1519" t="s">
        <v>60</v>
      </c>
      <c r="E1519" t="s">
        <v>55</v>
      </c>
      <c r="F1519">
        <v>0</v>
      </c>
      <c r="G1519">
        <v>1685</v>
      </c>
      <c r="H1519">
        <v>1.22</v>
      </c>
      <c r="I1519" t="s">
        <v>173</v>
      </c>
      <c r="J1519">
        <v>1</v>
      </c>
      <c r="K1519" s="6">
        <v>1.63</v>
      </c>
      <c r="L1519" t="s">
        <v>174</v>
      </c>
      <c r="M1519">
        <v>0</v>
      </c>
      <c r="N1519" t="s">
        <v>175</v>
      </c>
      <c r="O1519">
        <v>1</v>
      </c>
      <c r="P1519">
        <v>0</v>
      </c>
      <c r="Q1519" s="6">
        <v>36.6</v>
      </c>
      <c r="R1519">
        <v>0</v>
      </c>
      <c r="S1519" s="6">
        <v>0</v>
      </c>
      <c r="T1519">
        <v>0</v>
      </c>
      <c r="U1519" s="6">
        <v>1150</v>
      </c>
      <c r="V1519">
        <v>0</v>
      </c>
      <c r="W1519">
        <v>0</v>
      </c>
      <c r="X1519">
        <v>0</v>
      </c>
      <c r="Y1519" s="6">
        <v>47.8</v>
      </c>
      <c r="Z1519">
        <v>0.46800000000000003</v>
      </c>
      <c r="AA1519">
        <v>7.9000000000000001E-2</v>
      </c>
      <c r="AB1519">
        <v>6.2E-2</v>
      </c>
      <c r="AC1519">
        <v>6</v>
      </c>
      <c r="AD1519" s="6">
        <v>50</v>
      </c>
      <c r="AE1519" s="6">
        <v>0</v>
      </c>
      <c r="AF1519" s="6">
        <v>0</v>
      </c>
      <c r="AG1519" s="6">
        <v>55.05</v>
      </c>
      <c r="AH1519" s="6">
        <v>70.260000000000005</v>
      </c>
      <c r="AI1519" s="6">
        <f t="shared" si="46"/>
        <v>15.210000000000008</v>
      </c>
      <c r="AJ1519" s="5">
        <f t="shared" si="47"/>
        <v>0.21648163962425288</v>
      </c>
    </row>
    <row r="1520" spans="1:36">
      <c r="A1520" t="s">
        <v>247</v>
      </c>
      <c r="B1520" t="s">
        <v>1805</v>
      </c>
      <c r="C1520" t="s">
        <v>92</v>
      </c>
      <c r="D1520" t="s">
        <v>60</v>
      </c>
      <c r="E1520" t="s">
        <v>55</v>
      </c>
      <c r="F1520">
        <v>0</v>
      </c>
      <c r="G1520">
        <v>1685</v>
      </c>
      <c r="H1520">
        <v>1</v>
      </c>
      <c r="I1520" t="s">
        <v>173</v>
      </c>
      <c r="J1520">
        <v>1</v>
      </c>
      <c r="K1520" s="6">
        <v>1.53</v>
      </c>
      <c r="L1520" t="s">
        <v>200</v>
      </c>
      <c r="M1520">
        <v>1</v>
      </c>
      <c r="N1520" t="s">
        <v>187</v>
      </c>
      <c r="O1520">
        <v>2</v>
      </c>
      <c r="P1520">
        <v>0</v>
      </c>
      <c r="Q1520" s="6">
        <v>78</v>
      </c>
      <c r="R1520">
        <v>0</v>
      </c>
      <c r="S1520" s="6">
        <v>0</v>
      </c>
      <c r="T1520">
        <v>0</v>
      </c>
      <c r="U1520" s="6">
        <v>1473</v>
      </c>
      <c r="V1520">
        <v>1</v>
      </c>
      <c r="W1520">
        <v>0</v>
      </c>
      <c r="X1520">
        <v>0</v>
      </c>
      <c r="Y1520" s="6">
        <v>47.8</v>
      </c>
      <c r="Z1520">
        <v>0.46800000000000003</v>
      </c>
      <c r="AA1520">
        <v>7.9000000000000001E-2</v>
      </c>
      <c r="AB1520">
        <v>6.2E-2</v>
      </c>
      <c r="AC1520">
        <v>6</v>
      </c>
      <c r="AD1520" s="6">
        <v>99</v>
      </c>
      <c r="AE1520" s="6">
        <v>0</v>
      </c>
      <c r="AF1520" s="6">
        <v>0</v>
      </c>
      <c r="AG1520" s="6">
        <v>126.33</v>
      </c>
      <c r="AH1520" s="6">
        <v>160.69999999999999</v>
      </c>
      <c r="AI1520" s="6">
        <f t="shared" si="46"/>
        <v>34.36999999999999</v>
      </c>
      <c r="AJ1520" s="5">
        <f t="shared" si="47"/>
        <v>0.21387678904791532</v>
      </c>
    </row>
    <row r="1521" spans="1:36">
      <c r="A1521" t="s">
        <v>375</v>
      </c>
      <c r="B1521" t="s">
        <v>1806</v>
      </c>
      <c r="C1521" t="s">
        <v>92</v>
      </c>
      <c r="D1521" t="s">
        <v>60</v>
      </c>
      <c r="E1521" t="s">
        <v>55</v>
      </c>
      <c r="F1521">
        <v>0</v>
      </c>
      <c r="G1521">
        <v>1685</v>
      </c>
      <c r="H1521">
        <v>1</v>
      </c>
      <c r="I1521" t="s">
        <v>173</v>
      </c>
      <c r="J1521">
        <v>1</v>
      </c>
      <c r="K1521" s="6">
        <v>1.49</v>
      </c>
      <c r="L1521" t="s">
        <v>200</v>
      </c>
      <c r="M1521">
        <v>1</v>
      </c>
      <c r="N1521" t="s">
        <v>182</v>
      </c>
      <c r="O1521">
        <v>3</v>
      </c>
      <c r="P1521">
        <v>0</v>
      </c>
      <c r="Q1521" s="6">
        <v>92.9</v>
      </c>
      <c r="R1521">
        <v>0</v>
      </c>
      <c r="S1521" s="6">
        <v>0</v>
      </c>
      <c r="T1521">
        <v>0</v>
      </c>
      <c r="U1521" s="6">
        <v>2047</v>
      </c>
      <c r="V1521">
        <v>0</v>
      </c>
      <c r="W1521">
        <v>0</v>
      </c>
      <c r="X1521">
        <v>0</v>
      </c>
      <c r="Y1521" s="6">
        <v>47.8</v>
      </c>
      <c r="Z1521">
        <v>0.46800000000000003</v>
      </c>
      <c r="AA1521">
        <v>7.9000000000000001E-2</v>
      </c>
      <c r="AB1521">
        <v>6.2E-2</v>
      </c>
      <c r="AC1521">
        <v>6</v>
      </c>
      <c r="AD1521" s="6">
        <v>99</v>
      </c>
      <c r="AE1521" s="6">
        <v>0</v>
      </c>
      <c r="AF1521" s="6">
        <v>0</v>
      </c>
      <c r="AG1521" s="6">
        <v>95.01</v>
      </c>
      <c r="AH1521" s="6">
        <v>123.6</v>
      </c>
      <c r="AI1521" s="6">
        <f t="shared" si="46"/>
        <v>28.589999999999989</v>
      </c>
      <c r="AJ1521" s="5">
        <f t="shared" si="47"/>
        <v>0.23131067961165042</v>
      </c>
    </row>
    <row r="1522" spans="1:36">
      <c r="A1522" t="s">
        <v>171</v>
      </c>
      <c r="B1522" t="s">
        <v>1807</v>
      </c>
      <c r="C1522" t="s">
        <v>92</v>
      </c>
      <c r="D1522" t="s">
        <v>60</v>
      </c>
      <c r="E1522" t="s">
        <v>55</v>
      </c>
      <c r="F1522">
        <v>0</v>
      </c>
      <c r="G1522">
        <v>1685</v>
      </c>
      <c r="H1522">
        <v>1</v>
      </c>
      <c r="I1522" t="s">
        <v>220</v>
      </c>
      <c r="J1522">
        <v>2</v>
      </c>
      <c r="K1522" s="6">
        <v>5.86</v>
      </c>
      <c r="L1522" t="s">
        <v>200</v>
      </c>
      <c r="M1522">
        <v>1</v>
      </c>
      <c r="N1522" t="s">
        <v>182</v>
      </c>
      <c r="O1522">
        <v>3</v>
      </c>
      <c r="P1522">
        <v>0</v>
      </c>
      <c r="Q1522" s="6">
        <v>119.4</v>
      </c>
      <c r="R1522">
        <v>0</v>
      </c>
      <c r="S1522" s="6">
        <v>0</v>
      </c>
      <c r="T1522">
        <v>0</v>
      </c>
      <c r="U1522" s="6">
        <v>1824</v>
      </c>
      <c r="V1522">
        <v>0</v>
      </c>
      <c r="W1522">
        <v>0</v>
      </c>
      <c r="X1522">
        <v>0</v>
      </c>
      <c r="Y1522" s="6">
        <v>47.8</v>
      </c>
      <c r="Z1522">
        <v>0.46800000000000003</v>
      </c>
      <c r="AA1522">
        <v>7.9000000000000001E-2</v>
      </c>
      <c r="AB1522">
        <v>6.2E-2</v>
      </c>
      <c r="AC1522">
        <v>6</v>
      </c>
      <c r="AD1522" s="6">
        <v>119</v>
      </c>
      <c r="AE1522" s="6">
        <v>0</v>
      </c>
      <c r="AF1522" s="6">
        <v>0</v>
      </c>
      <c r="AG1522" s="6">
        <v>96.84</v>
      </c>
      <c r="AH1522" s="6">
        <v>124.98</v>
      </c>
      <c r="AI1522" s="6">
        <f t="shared" si="46"/>
        <v>28.14</v>
      </c>
      <c r="AJ1522" s="5">
        <f t="shared" si="47"/>
        <v>0.22515602496399423</v>
      </c>
    </row>
    <row r="1523" spans="1:36">
      <c r="A1523" t="s">
        <v>210</v>
      </c>
      <c r="B1523" t="s">
        <v>1808</v>
      </c>
      <c r="C1523" t="s">
        <v>92</v>
      </c>
      <c r="D1523" t="s">
        <v>60</v>
      </c>
      <c r="E1523" t="s">
        <v>55</v>
      </c>
      <c r="F1523">
        <v>0</v>
      </c>
      <c r="G1523">
        <v>1685</v>
      </c>
      <c r="H1523">
        <v>1</v>
      </c>
      <c r="I1523" t="s">
        <v>173</v>
      </c>
      <c r="J1523">
        <v>1</v>
      </c>
      <c r="K1523" s="6">
        <v>2.2000000000000002</v>
      </c>
      <c r="L1523" t="s">
        <v>200</v>
      </c>
      <c r="M1523">
        <v>1</v>
      </c>
      <c r="N1523" t="s">
        <v>182</v>
      </c>
      <c r="O1523">
        <v>3</v>
      </c>
      <c r="P1523">
        <v>0</v>
      </c>
      <c r="Q1523" s="6">
        <v>103.3</v>
      </c>
      <c r="R1523">
        <v>0</v>
      </c>
      <c r="S1523" s="6">
        <v>0</v>
      </c>
      <c r="T1523">
        <v>0</v>
      </c>
      <c r="U1523" s="6">
        <v>603</v>
      </c>
      <c r="V1523">
        <v>0</v>
      </c>
      <c r="W1523">
        <v>0</v>
      </c>
      <c r="X1523">
        <v>0</v>
      </c>
      <c r="Y1523" s="6">
        <v>47.8</v>
      </c>
      <c r="Z1523">
        <v>0.46800000000000003</v>
      </c>
      <c r="AA1523">
        <v>7.9000000000000001E-2</v>
      </c>
      <c r="AB1523">
        <v>6.2E-2</v>
      </c>
      <c r="AC1523">
        <v>6</v>
      </c>
      <c r="AD1523" s="6">
        <v>99</v>
      </c>
      <c r="AE1523" s="6">
        <v>0</v>
      </c>
      <c r="AF1523" s="6">
        <v>0</v>
      </c>
      <c r="AG1523" s="6">
        <v>89.81</v>
      </c>
      <c r="AH1523" s="6">
        <v>115.95</v>
      </c>
      <c r="AI1523" s="6">
        <f t="shared" si="46"/>
        <v>26.14</v>
      </c>
      <c r="AJ1523" s="5">
        <f t="shared" si="47"/>
        <v>0.22544200086244071</v>
      </c>
    </row>
    <row r="1524" spans="1:36">
      <c r="A1524" t="s">
        <v>228</v>
      </c>
      <c r="B1524" t="s">
        <v>1809</v>
      </c>
      <c r="C1524" t="s">
        <v>92</v>
      </c>
      <c r="D1524" t="s">
        <v>60</v>
      </c>
      <c r="E1524" t="s">
        <v>55</v>
      </c>
      <c r="F1524">
        <v>0</v>
      </c>
      <c r="G1524">
        <v>1685</v>
      </c>
      <c r="H1524">
        <v>1</v>
      </c>
      <c r="I1524" t="s">
        <v>173</v>
      </c>
      <c r="J1524">
        <v>1</v>
      </c>
      <c r="K1524" s="6">
        <v>2.0299999999999998</v>
      </c>
      <c r="L1524" t="s">
        <v>200</v>
      </c>
      <c r="M1524">
        <v>1</v>
      </c>
      <c r="N1524" t="s">
        <v>187</v>
      </c>
      <c r="O1524">
        <v>2</v>
      </c>
      <c r="P1524">
        <v>0</v>
      </c>
      <c r="Q1524" s="6">
        <v>48.3</v>
      </c>
      <c r="R1524">
        <v>1</v>
      </c>
      <c r="S1524" s="6">
        <v>1041</v>
      </c>
      <c r="T1524">
        <v>0</v>
      </c>
      <c r="U1524" s="6">
        <v>1118</v>
      </c>
      <c r="V1524">
        <v>1</v>
      </c>
      <c r="W1524">
        <v>0</v>
      </c>
      <c r="X1524">
        <v>0</v>
      </c>
      <c r="Y1524" s="6">
        <v>47.8</v>
      </c>
      <c r="Z1524">
        <v>0.46800000000000003</v>
      </c>
      <c r="AA1524">
        <v>7.9000000000000001E-2</v>
      </c>
      <c r="AB1524">
        <v>6.2E-2</v>
      </c>
      <c r="AC1524">
        <v>6</v>
      </c>
      <c r="AD1524" s="6">
        <v>99</v>
      </c>
      <c r="AE1524" s="6">
        <v>25</v>
      </c>
      <c r="AF1524" s="6">
        <v>0</v>
      </c>
      <c r="AG1524" s="6">
        <v>129.71</v>
      </c>
      <c r="AH1524" s="6">
        <v>164.45</v>
      </c>
      <c r="AI1524" s="6">
        <f t="shared" si="46"/>
        <v>34.739999999999981</v>
      </c>
      <c r="AJ1524" s="5">
        <f t="shared" si="47"/>
        <v>0.21124961994527203</v>
      </c>
    </row>
    <row r="1525" spans="1:36">
      <c r="A1525" t="s">
        <v>201</v>
      </c>
      <c r="B1525" t="s">
        <v>1810</v>
      </c>
      <c r="C1525" t="s">
        <v>92</v>
      </c>
      <c r="D1525" t="s">
        <v>60</v>
      </c>
      <c r="E1525" t="s">
        <v>55</v>
      </c>
      <c r="F1525">
        <v>0</v>
      </c>
      <c r="G1525">
        <v>1685</v>
      </c>
      <c r="H1525">
        <v>1.22</v>
      </c>
      <c r="I1525" t="s">
        <v>220</v>
      </c>
      <c r="J1525">
        <v>2</v>
      </c>
      <c r="K1525" s="6">
        <v>3.01</v>
      </c>
      <c r="L1525" t="s">
        <v>174</v>
      </c>
      <c r="M1525">
        <v>0</v>
      </c>
      <c r="N1525" t="s">
        <v>175</v>
      </c>
      <c r="O1525">
        <v>1</v>
      </c>
      <c r="P1525">
        <v>0</v>
      </c>
      <c r="Q1525" s="6">
        <v>24.3</v>
      </c>
      <c r="R1525">
        <v>0</v>
      </c>
      <c r="S1525" s="6">
        <v>0</v>
      </c>
      <c r="T1525">
        <v>0</v>
      </c>
      <c r="U1525" s="6">
        <v>928</v>
      </c>
      <c r="V1525">
        <v>0</v>
      </c>
      <c r="W1525">
        <v>0</v>
      </c>
      <c r="X1525">
        <v>0</v>
      </c>
      <c r="Y1525" s="6">
        <v>47.8</v>
      </c>
      <c r="Z1525">
        <v>0.46800000000000003</v>
      </c>
      <c r="AA1525">
        <v>7.9000000000000001E-2</v>
      </c>
      <c r="AB1525">
        <v>6.2E-2</v>
      </c>
      <c r="AC1525">
        <v>6</v>
      </c>
      <c r="AD1525" s="6">
        <v>50</v>
      </c>
      <c r="AE1525" s="6">
        <v>0</v>
      </c>
      <c r="AF1525" s="6">
        <v>0</v>
      </c>
      <c r="AG1525" s="6">
        <v>59.63</v>
      </c>
      <c r="AH1525" s="6">
        <v>79.040000000000006</v>
      </c>
      <c r="AI1525" s="6">
        <f t="shared" si="46"/>
        <v>19.410000000000004</v>
      </c>
      <c r="AJ1525" s="5">
        <f t="shared" si="47"/>
        <v>0.24557186234817815</v>
      </c>
    </row>
    <row r="1526" spans="1:36">
      <c r="A1526" t="s">
        <v>512</v>
      </c>
      <c r="B1526" t="s">
        <v>1811</v>
      </c>
      <c r="C1526" t="s">
        <v>92</v>
      </c>
      <c r="D1526" t="s">
        <v>60</v>
      </c>
      <c r="E1526" t="s">
        <v>55</v>
      </c>
      <c r="F1526">
        <v>0</v>
      </c>
      <c r="G1526">
        <v>1685</v>
      </c>
      <c r="H1526">
        <v>1.22</v>
      </c>
      <c r="I1526" t="s">
        <v>173</v>
      </c>
      <c r="J1526">
        <v>1</v>
      </c>
      <c r="K1526" s="6">
        <v>2.62</v>
      </c>
      <c r="L1526" t="s">
        <v>200</v>
      </c>
      <c r="M1526">
        <v>1</v>
      </c>
      <c r="N1526" t="s">
        <v>182</v>
      </c>
      <c r="O1526">
        <v>3</v>
      </c>
      <c r="P1526">
        <v>0</v>
      </c>
      <c r="Q1526" s="6">
        <v>132.6</v>
      </c>
      <c r="R1526">
        <v>1</v>
      </c>
      <c r="S1526" s="6">
        <v>817</v>
      </c>
      <c r="T1526">
        <v>0</v>
      </c>
      <c r="U1526" s="6">
        <v>773</v>
      </c>
      <c r="V1526">
        <v>0</v>
      </c>
      <c r="W1526">
        <v>0</v>
      </c>
      <c r="X1526">
        <v>0</v>
      </c>
      <c r="Y1526" s="6">
        <v>47.8</v>
      </c>
      <c r="Z1526">
        <v>0.46800000000000003</v>
      </c>
      <c r="AA1526">
        <v>7.9000000000000001E-2</v>
      </c>
      <c r="AB1526">
        <v>6.2E-2</v>
      </c>
      <c r="AC1526">
        <v>6</v>
      </c>
      <c r="AD1526" s="6">
        <v>99</v>
      </c>
      <c r="AE1526" s="6">
        <v>25</v>
      </c>
      <c r="AF1526" s="6">
        <v>0</v>
      </c>
      <c r="AG1526" s="6">
        <v>101.28</v>
      </c>
      <c r="AH1526" s="6">
        <v>126.66</v>
      </c>
      <c r="AI1526" s="6">
        <f t="shared" si="46"/>
        <v>25.379999999999995</v>
      </c>
      <c r="AJ1526" s="5">
        <f t="shared" si="47"/>
        <v>0.20037896731406912</v>
      </c>
    </row>
    <row r="1527" spans="1:36">
      <c r="A1527" t="s">
        <v>286</v>
      </c>
      <c r="B1527" t="s">
        <v>1812</v>
      </c>
      <c r="C1527" t="s">
        <v>92</v>
      </c>
      <c r="D1527" t="s">
        <v>60</v>
      </c>
      <c r="E1527" t="s">
        <v>55</v>
      </c>
      <c r="F1527">
        <v>0</v>
      </c>
      <c r="G1527">
        <v>1685</v>
      </c>
      <c r="H1527">
        <v>1.22</v>
      </c>
      <c r="I1527" t="s">
        <v>173</v>
      </c>
      <c r="J1527">
        <v>1</v>
      </c>
      <c r="K1527" s="6">
        <v>0.99</v>
      </c>
      <c r="L1527" t="s">
        <v>200</v>
      </c>
      <c r="M1527">
        <v>1</v>
      </c>
      <c r="N1527" t="s">
        <v>187</v>
      </c>
      <c r="O1527">
        <v>2</v>
      </c>
      <c r="P1527">
        <v>0</v>
      </c>
      <c r="Q1527" s="6">
        <v>66.099999999999994</v>
      </c>
      <c r="R1527">
        <v>1</v>
      </c>
      <c r="S1527" s="6">
        <v>1954</v>
      </c>
      <c r="T1527">
        <v>0</v>
      </c>
      <c r="U1527" s="6">
        <v>1315</v>
      </c>
      <c r="V1527">
        <v>0</v>
      </c>
      <c r="W1527">
        <v>0</v>
      </c>
      <c r="X1527">
        <v>0</v>
      </c>
      <c r="Y1527" s="6">
        <v>47.8</v>
      </c>
      <c r="Z1527">
        <v>0.46800000000000003</v>
      </c>
      <c r="AA1527">
        <v>7.9000000000000001E-2</v>
      </c>
      <c r="AB1527">
        <v>6.2E-2</v>
      </c>
      <c r="AC1527">
        <v>6</v>
      </c>
      <c r="AD1527" s="6">
        <v>99</v>
      </c>
      <c r="AE1527" s="6">
        <v>25</v>
      </c>
      <c r="AF1527" s="6">
        <v>0</v>
      </c>
      <c r="AG1527" s="6">
        <v>89.69</v>
      </c>
      <c r="AH1527" s="6">
        <v>112.28</v>
      </c>
      <c r="AI1527" s="6">
        <f t="shared" si="46"/>
        <v>22.590000000000003</v>
      </c>
      <c r="AJ1527" s="5">
        <f t="shared" si="47"/>
        <v>0.20119344495903102</v>
      </c>
    </row>
    <row r="1528" spans="1:36">
      <c r="A1528" t="s">
        <v>355</v>
      </c>
      <c r="B1528" t="s">
        <v>1813</v>
      </c>
      <c r="C1528" t="s">
        <v>92</v>
      </c>
      <c r="D1528" t="s">
        <v>60</v>
      </c>
      <c r="E1528" t="s">
        <v>55</v>
      </c>
      <c r="F1528">
        <v>0</v>
      </c>
      <c r="G1528">
        <v>1685</v>
      </c>
      <c r="H1528">
        <v>1.22</v>
      </c>
      <c r="I1528" t="s">
        <v>173</v>
      </c>
      <c r="J1528">
        <v>1</v>
      </c>
      <c r="K1528" s="6">
        <v>2.0299999999999998</v>
      </c>
      <c r="L1528" t="s">
        <v>174</v>
      </c>
      <c r="M1528">
        <v>0</v>
      </c>
      <c r="N1528" t="s">
        <v>175</v>
      </c>
      <c r="O1528">
        <v>1</v>
      </c>
      <c r="P1528">
        <v>1</v>
      </c>
      <c r="Q1528" s="6">
        <v>40.9</v>
      </c>
      <c r="R1528">
        <v>0</v>
      </c>
      <c r="S1528" s="6">
        <v>0</v>
      </c>
      <c r="T1528">
        <v>0</v>
      </c>
      <c r="U1528" s="6">
        <v>1629</v>
      </c>
      <c r="V1528">
        <v>0</v>
      </c>
      <c r="W1528">
        <v>0</v>
      </c>
      <c r="X1528">
        <v>0</v>
      </c>
      <c r="Y1528" s="6">
        <v>47.8</v>
      </c>
      <c r="Z1528">
        <v>0.46800000000000003</v>
      </c>
      <c r="AA1528">
        <v>7.9000000000000001E-2</v>
      </c>
      <c r="AB1528">
        <v>6.2E-2</v>
      </c>
      <c r="AC1528">
        <v>6</v>
      </c>
      <c r="AD1528" s="6">
        <v>50</v>
      </c>
      <c r="AE1528" s="6">
        <v>0</v>
      </c>
      <c r="AF1528" s="6">
        <v>0</v>
      </c>
      <c r="AG1528" s="6">
        <v>80.64</v>
      </c>
      <c r="AH1528" s="6">
        <v>105.11</v>
      </c>
      <c r="AI1528" s="6">
        <f t="shared" si="46"/>
        <v>24.47</v>
      </c>
      <c r="AJ1528" s="5">
        <f t="shared" si="47"/>
        <v>0.23280372942631528</v>
      </c>
    </row>
    <row r="1529" spans="1:36">
      <c r="A1529" t="s">
        <v>562</v>
      </c>
      <c r="B1529" t="s">
        <v>1814</v>
      </c>
      <c r="C1529" t="s">
        <v>92</v>
      </c>
      <c r="D1529" t="s">
        <v>60</v>
      </c>
      <c r="E1529" t="s">
        <v>55</v>
      </c>
      <c r="F1529">
        <v>0</v>
      </c>
      <c r="G1529">
        <v>1685</v>
      </c>
      <c r="H1529">
        <v>1.22</v>
      </c>
      <c r="I1529" t="s">
        <v>220</v>
      </c>
      <c r="J1529">
        <v>2</v>
      </c>
      <c r="K1529" s="6">
        <v>4.1399999999999997</v>
      </c>
      <c r="L1529" t="s">
        <v>200</v>
      </c>
      <c r="M1529">
        <v>1</v>
      </c>
      <c r="N1529" t="s">
        <v>175</v>
      </c>
      <c r="O1529">
        <v>1</v>
      </c>
      <c r="P1529">
        <v>0</v>
      </c>
      <c r="Q1529" s="6">
        <v>28.7</v>
      </c>
      <c r="R1529">
        <v>0</v>
      </c>
      <c r="S1529" s="6">
        <v>0</v>
      </c>
      <c r="T1529">
        <v>0</v>
      </c>
      <c r="U1529" s="6">
        <v>776</v>
      </c>
      <c r="V1529">
        <v>0</v>
      </c>
      <c r="W1529">
        <v>0</v>
      </c>
      <c r="X1529">
        <v>0</v>
      </c>
      <c r="Y1529" s="6">
        <v>47.8</v>
      </c>
      <c r="Z1529">
        <v>0.46800000000000003</v>
      </c>
      <c r="AA1529">
        <v>7.9000000000000001E-2</v>
      </c>
      <c r="AB1529">
        <v>6.2E-2</v>
      </c>
      <c r="AC1529">
        <v>6</v>
      </c>
      <c r="AD1529" s="6">
        <v>119</v>
      </c>
      <c r="AE1529" s="6">
        <v>0</v>
      </c>
      <c r="AF1529" s="6">
        <v>0</v>
      </c>
      <c r="AG1529" s="6">
        <v>89.07</v>
      </c>
      <c r="AH1529" s="6">
        <v>122.26</v>
      </c>
      <c r="AI1529" s="6">
        <f t="shared" si="46"/>
        <v>33.190000000000012</v>
      </c>
      <c r="AJ1529" s="5">
        <f t="shared" si="47"/>
        <v>0.271470636348765</v>
      </c>
    </row>
    <row r="1530" spans="1:36">
      <c r="A1530" t="s">
        <v>298</v>
      </c>
      <c r="B1530" t="s">
        <v>1815</v>
      </c>
      <c r="C1530" t="s">
        <v>92</v>
      </c>
      <c r="D1530" t="s">
        <v>60</v>
      </c>
      <c r="E1530" t="s">
        <v>55</v>
      </c>
      <c r="F1530">
        <v>0</v>
      </c>
      <c r="G1530">
        <v>1685</v>
      </c>
      <c r="H1530">
        <v>1.22</v>
      </c>
      <c r="I1530" t="s">
        <v>173</v>
      </c>
      <c r="J1530">
        <v>1</v>
      </c>
      <c r="K1530" s="6">
        <v>1.83</v>
      </c>
      <c r="L1530" t="s">
        <v>200</v>
      </c>
      <c r="M1530">
        <v>1</v>
      </c>
      <c r="N1530" t="s">
        <v>182</v>
      </c>
      <c r="O1530">
        <v>3</v>
      </c>
      <c r="P1530">
        <v>0</v>
      </c>
      <c r="Q1530" s="6">
        <v>134.30000000000001</v>
      </c>
      <c r="R1530">
        <v>1</v>
      </c>
      <c r="S1530" s="6">
        <v>1757</v>
      </c>
      <c r="T1530">
        <v>0</v>
      </c>
      <c r="U1530" s="6">
        <v>2331</v>
      </c>
      <c r="V1530">
        <v>0</v>
      </c>
      <c r="W1530">
        <v>0</v>
      </c>
      <c r="X1530">
        <v>0</v>
      </c>
      <c r="Y1530" s="6">
        <v>47.8</v>
      </c>
      <c r="Z1530">
        <v>0.46800000000000003</v>
      </c>
      <c r="AA1530">
        <v>7.9000000000000001E-2</v>
      </c>
      <c r="AB1530">
        <v>6.2E-2</v>
      </c>
      <c r="AC1530">
        <v>6</v>
      </c>
      <c r="AD1530" s="6">
        <v>99</v>
      </c>
      <c r="AE1530" s="6">
        <v>25</v>
      </c>
      <c r="AF1530" s="6">
        <v>0</v>
      </c>
      <c r="AG1530" s="6">
        <v>97.58</v>
      </c>
      <c r="AH1530" s="6">
        <v>122.5</v>
      </c>
      <c r="AI1530" s="6">
        <f t="shared" si="46"/>
        <v>24.92</v>
      </c>
      <c r="AJ1530" s="5">
        <f t="shared" si="47"/>
        <v>0.20342857142857143</v>
      </c>
    </row>
    <row r="1531" spans="1:36">
      <c r="A1531" t="s">
        <v>188</v>
      </c>
      <c r="B1531" t="s">
        <v>1816</v>
      </c>
      <c r="C1531" t="s">
        <v>92</v>
      </c>
      <c r="D1531" t="s">
        <v>60</v>
      </c>
      <c r="E1531" t="s">
        <v>55</v>
      </c>
      <c r="F1531">
        <v>0</v>
      </c>
      <c r="G1531">
        <v>1685</v>
      </c>
      <c r="H1531">
        <v>1.22</v>
      </c>
      <c r="I1531" t="s">
        <v>220</v>
      </c>
      <c r="J1531">
        <v>2</v>
      </c>
      <c r="K1531" s="6">
        <v>1.48</v>
      </c>
      <c r="L1531" t="s">
        <v>174</v>
      </c>
      <c r="M1531">
        <v>0</v>
      </c>
      <c r="N1531" t="s">
        <v>175</v>
      </c>
      <c r="O1531">
        <v>1</v>
      </c>
      <c r="P1531">
        <v>0</v>
      </c>
      <c r="Q1531" s="6">
        <v>26.5</v>
      </c>
      <c r="R1531">
        <v>1</v>
      </c>
      <c r="S1531" s="6">
        <v>2636</v>
      </c>
      <c r="T1531">
        <v>0</v>
      </c>
      <c r="U1531" s="6">
        <v>1204</v>
      </c>
      <c r="V1531">
        <v>0</v>
      </c>
      <c r="W1531">
        <v>0</v>
      </c>
      <c r="X1531">
        <v>0</v>
      </c>
      <c r="Y1531" s="6">
        <v>47.8</v>
      </c>
      <c r="Z1531">
        <v>0.46800000000000003</v>
      </c>
      <c r="AA1531">
        <v>7.9000000000000001E-2</v>
      </c>
      <c r="AB1531">
        <v>6.2E-2</v>
      </c>
      <c r="AC1531">
        <v>6</v>
      </c>
      <c r="AD1531" s="6">
        <v>50</v>
      </c>
      <c r="AE1531" s="6">
        <v>40</v>
      </c>
      <c r="AF1531" s="6">
        <v>0</v>
      </c>
      <c r="AG1531" s="6">
        <v>69.87</v>
      </c>
      <c r="AH1531" s="6">
        <v>89.34</v>
      </c>
      <c r="AI1531" s="6">
        <f t="shared" si="46"/>
        <v>19.47</v>
      </c>
      <c r="AJ1531" s="5">
        <f t="shared" si="47"/>
        <v>0.21793149764942912</v>
      </c>
    </row>
    <row r="1532" spans="1:36">
      <c r="A1532" t="s">
        <v>579</v>
      </c>
      <c r="B1532" t="s">
        <v>1817</v>
      </c>
      <c r="C1532" t="s">
        <v>92</v>
      </c>
      <c r="D1532" t="s">
        <v>60</v>
      </c>
      <c r="E1532" t="s">
        <v>55</v>
      </c>
      <c r="F1532">
        <v>0</v>
      </c>
      <c r="G1532">
        <v>1685</v>
      </c>
      <c r="H1532">
        <v>1</v>
      </c>
      <c r="I1532" t="s">
        <v>173</v>
      </c>
      <c r="J1532">
        <v>1</v>
      </c>
      <c r="K1532" s="6">
        <v>2.5299999999999998</v>
      </c>
      <c r="L1532" t="s">
        <v>200</v>
      </c>
      <c r="M1532">
        <v>1</v>
      </c>
      <c r="N1532" t="s">
        <v>182</v>
      </c>
      <c r="O1532">
        <v>3</v>
      </c>
      <c r="P1532">
        <v>0</v>
      </c>
      <c r="Q1532" s="6">
        <v>144.30000000000001</v>
      </c>
      <c r="R1532">
        <v>0</v>
      </c>
      <c r="S1532" s="6">
        <v>0</v>
      </c>
      <c r="T1532">
        <v>0</v>
      </c>
      <c r="U1532" s="6">
        <v>3661</v>
      </c>
      <c r="V1532">
        <v>0</v>
      </c>
      <c r="W1532">
        <v>0</v>
      </c>
      <c r="X1532">
        <v>0</v>
      </c>
      <c r="Y1532" s="6">
        <v>47.8</v>
      </c>
      <c r="Z1532">
        <v>0.46800000000000003</v>
      </c>
      <c r="AA1532">
        <v>7.9000000000000001E-2</v>
      </c>
      <c r="AB1532">
        <v>6.2E-2</v>
      </c>
      <c r="AC1532">
        <v>6</v>
      </c>
      <c r="AD1532" s="6">
        <v>99</v>
      </c>
      <c r="AE1532" s="6">
        <v>0</v>
      </c>
      <c r="AF1532" s="6">
        <v>0</v>
      </c>
      <c r="AG1532" s="6">
        <v>91.14</v>
      </c>
      <c r="AH1532" s="6">
        <v>118.18</v>
      </c>
      <c r="AI1532" s="6">
        <f t="shared" si="46"/>
        <v>27.040000000000006</v>
      </c>
      <c r="AJ1532" s="5">
        <f t="shared" si="47"/>
        <v>0.22880352005415472</v>
      </c>
    </row>
    <row r="1533" spans="1:36">
      <c r="A1533" t="s">
        <v>258</v>
      </c>
      <c r="B1533" t="s">
        <v>1818</v>
      </c>
      <c r="C1533" t="s">
        <v>92</v>
      </c>
      <c r="D1533" t="s">
        <v>60</v>
      </c>
      <c r="E1533" t="s">
        <v>55</v>
      </c>
      <c r="F1533">
        <v>0</v>
      </c>
      <c r="G1533">
        <v>1685</v>
      </c>
      <c r="H1533">
        <v>1</v>
      </c>
      <c r="I1533" t="s">
        <v>173</v>
      </c>
      <c r="J1533">
        <v>1</v>
      </c>
      <c r="K1533" s="6">
        <v>0.75</v>
      </c>
      <c r="L1533" t="s">
        <v>200</v>
      </c>
      <c r="M1533">
        <v>1</v>
      </c>
      <c r="N1533" t="s">
        <v>187</v>
      </c>
      <c r="O1533">
        <v>2</v>
      </c>
      <c r="P1533">
        <v>0</v>
      </c>
      <c r="Q1533" s="6">
        <v>56.9</v>
      </c>
      <c r="R1533">
        <v>0</v>
      </c>
      <c r="S1533" s="6">
        <v>0</v>
      </c>
      <c r="T1533">
        <v>0</v>
      </c>
      <c r="U1533" s="6">
        <v>695</v>
      </c>
      <c r="V1533">
        <v>0</v>
      </c>
      <c r="W1533">
        <v>0</v>
      </c>
      <c r="X1533">
        <v>0</v>
      </c>
      <c r="Y1533" s="6">
        <v>47.8</v>
      </c>
      <c r="Z1533">
        <v>0.46800000000000003</v>
      </c>
      <c r="AA1533">
        <v>7.9000000000000001E-2</v>
      </c>
      <c r="AB1533">
        <v>6.2E-2</v>
      </c>
      <c r="AC1533">
        <v>6</v>
      </c>
      <c r="AD1533" s="6">
        <v>99</v>
      </c>
      <c r="AE1533" s="6">
        <v>0</v>
      </c>
      <c r="AF1533" s="6">
        <v>0</v>
      </c>
      <c r="AG1533" s="6">
        <v>86.6</v>
      </c>
      <c r="AH1533" s="6">
        <v>112.12</v>
      </c>
      <c r="AI1533" s="6">
        <f t="shared" si="46"/>
        <v>25.52000000000001</v>
      </c>
      <c r="AJ1533" s="5">
        <f t="shared" si="47"/>
        <v>0.22761327149482705</v>
      </c>
    </row>
    <row r="1534" spans="1:36">
      <c r="A1534" t="s">
        <v>293</v>
      </c>
      <c r="B1534" t="s">
        <v>1819</v>
      </c>
      <c r="C1534" t="s">
        <v>92</v>
      </c>
      <c r="D1534" t="s">
        <v>60</v>
      </c>
      <c r="E1534" t="s">
        <v>55</v>
      </c>
      <c r="F1534">
        <v>0</v>
      </c>
      <c r="G1534">
        <v>1685</v>
      </c>
      <c r="H1534">
        <v>1.22</v>
      </c>
      <c r="I1534" t="s">
        <v>173</v>
      </c>
      <c r="J1534">
        <v>1</v>
      </c>
      <c r="K1534" s="6">
        <v>1.98</v>
      </c>
      <c r="L1534" t="s">
        <v>200</v>
      </c>
      <c r="M1534">
        <v>1</v>
      </c>
      <c r="N1534" t="s">
        <v>182</v>
      </c>
      <c r="O1534">
        <v>3</v>
      </c>
      <c r="P1534">
        <v>0</v>
      </c>
      <c r="Q1534" s="6">
        <v>55</v>
      </c>
      <c r="R1534">
        <v>0</v>
      </c>
      <c r="S1534" s="6">
        <v>0</v>
      </c>
      <c r="T1534">
        <v>0</v>
      </c>
      <c r="U1534" s="6">
        <v>1122</v>
      </c>
      <c r="V1534">
        <v>1</v>
      </c>
      <c r="W1534">
        <v>0</v>
      </c>
      <c r="X1534">
        <v>0</v>
      </c>
      <c r="Y1534" s="6">
        <v>47.8</v>
      </c>
      <c r="Z1534">
        <v>0.46800000000000003</v>
      </c>
      <c r="AA1534">
        <v>7.9000000000000001E-2</v>
      </c>
      <c r="AB1534">
        <v>6.2E-2</v>
      </c>
      <c r="AC1534">
        <v>6</v>
      </c>
      <c r="AD1534" s="6">
        <v>99</v>
      </c>
      <c r="AE1534" s="6">
        <v>0</v>
      </c>
      <c r="AF1534" s="6">
        <v>0</v>
      </c>
      <c r="AG1534" s="6">
        <v>134.71</v>
      </c>
      <c r="AH1534" s="6">
        <v>168.59</v>
      </c>
      <c r="AI1534" s="6">
        <f t="shared" si="46"/>
        <v>33.879999999999995</v>
      </c>
      <c r="AJ1534" s="5">
        <f t="shared" si="47"/>
        <v>0.20096091108606676</v>
      </c>
    </row>
    <row r="1535" spans="1:36">
      <c r="A1535" t="s">
        <v>512</v>
      </c>
      <c r="B1535" t="s">
        <v>1820</v>
      </c>
      <c r="C1535" t="s">
        <v>92</v>
      </c>
      <c r="D1535" t="s">
        <v>60</v>
      </c>
      <c r="E1535" t="s">
        <v>55</v>
      </c>
      <c r="F1535">
        <v>0</v>
      </c>
      <c r="G1535">
        <v>1685</v>
      </c>
      <c r="H1535">
        <v>1.22</v>
      </c>
      <c r="I1535" t="s">
        <v>220</v>
      </c>
      <c r="J1535">
        <v>2</v>
      </c>
      <c r="K1535" s="6">
        <v>5.33</v>
      </c>
      <c r="L1535" t="s">
        <v>200</v>
      </c>
      <c r="M1535">
        <v>1</v>
      </c>
      <c r="N1535" t="s">
        <v>175</v>
      </c>
      <c r="O1535">
        <v>1</v>
      </c>
      <c r="P1535">
        <v>0</v>
      </c>
      <c r="Q1535" s="6">
        <v>28.1</v>
      </c>
      <c r="R1535">
        <v>1</v>
      </c>
      <c r="S1535" s="6">
        <v>2315</v>
      </c>
      <c r="T1535">
        <v>0</v>
      </c>
      <c r="U1535" s="6">
        <v>2511</v>
      </c>
      <c r="V1535">
        <v>0</v>
      </c>
      <c r="W1535">
        <v>0</v>
      </c>
      <c r="X1535">
        <v>0</v>
      </c>
      <c r="Y1535" s="6">
        <v>47.8</v>
      </c>
      <c r="Z1535">
        <v>0.46800000000000003</v>
      </c>
      <c r="AA1535">
        <v>7.9000000000000001E-2</v>
      </c>
      <c r="AB1535">
        <v>6.2E-2</v>
      </c>
      <c r="AC1535">
        <v>6</v>
      </c>
      <c r="AD1535" s="6">
        <v>119</v>
      </c>
      <c r="AE1535" s="6">
        <v>40</v>
      </c>
      <c r="AF1535" s="6">
        <v>0</v>
      </c>
      <c r="AG1535" s="6">
        <v>100.9</v>
      </c>
      <c r="AH1535" s="6">
        <v>130.41999999999999</v>
      </c>
      <c r="AI1535" s="6">
        <f t="shared" si="46"/>
        <v>29.519999999999982</v>
      </c>
      <c r="AJ1535" s="5">
        <f t="shared" si="47"/>
        <v>0.22634565250728403</v>
      </c>
    </row>
    <row r="1536" spans="1:36">
      <c r="A1536" t="s">
        <v>303</v>
      </c>
      <c r="B1536" t="s">
        <v>1821</v>
      </c>
      <c r="C1536" t="s">
        <v>92</v>
      </c>
      <c r="D1536" t="s">
        <v>60</v>
      </c>
      <c r="E1536" t="s">
        <v>55</v>
      </c>
      <c r="F1536">
        <v>0</v>
      </c>
      <c r="G1536">
        <v>1685</v>
      </c>
      <c r="H1536">
        <v>1</v>
      </c>
      <c r="I1536" t="s">
        <v>181</v>
      </c>
      <c r="J1536">
        <v>3</v>
      </c>
      <c r="K1536" s="6">
        <v>10.02</v>
      </c>
      <c r="L1536" t="s">
        <v>174</v>
      </c>
      <c r="M1536">
        <v>0</v>
      </c>
      <c r="N1536" t="s">
        <v>187</v>
      </c>
      <c r="O1536">
        <v>2</v>
      </c>
      <c r="P1536">
        <v>0</v>
      </c>
      <c r="Q1536" s="6">
        <v>38.9</v>
      </c>
      <c r="R1536">
        <v>1</v>
      </c>
      <c r="S1536" s="6">
        <v>4989</v>
      </c>
      <c r="T1536">
        <v>0</v>
      </c>
      <c r="U1536" s="6">
        <v>1031</v>
      </c>
      <c r="V1536">
        <v>0</v>
      </c>
      <c r="W1536">
        <v>0</v>
      </c>
      <c r="X1536">
        <v>0</v>
      </c>
      <c r="Y1536" s="6">
        <v>47.8</v>
      </c>
      <c r="Z1536">
        <v>0.46800000000000003</v>
      </c>
      <c r="AA1536">
        <v>7.9000000000000001E-2</v>
      </c>
      <c r="AB1536">
        <v>6.2E-2</v>
      </c>
      <c r="AC1536">
        <v>6</v>
      </c>
      <c r="AD1536" s="6">
        <v>60</v>
      </c>
      <c r="AE1536" s="6">
        <v>40</v>
      </c>
      <c r="AF1536" s="6">
        <v>0</v>
      </c>
      <c r="AG1536" s="6">
        <v>106.39</v>
      </c>
      <c r="AH1536" s="6">
        <v>133.22999999999999</v>
      </c>
      <c r="AI1536" s="6">
        <f t="shared" si="46"/>
        <v>26.839999999999989</v>
      </c>
      <c r="AJ1536" s="5">
        <f t="shared" si="47"/>
        <v>0.20145612849958711</v>
      </c>
    </row>
    <row r="1537" spans="1:36">
      <c r="A1537" t="s">
        <v>411</v>
      </c>
      <c r="B1537" t="s">
        <v>1822</v>
      </c>
      <c r="C1537" t="s">
        <v>92</v>
      </c>
      <c r="D1537" t="s">
        <v>60</v>
      </c>
      <c r="E1537" t="s">
        <v>55</v>
      </c>
      <c r="F1537">
        <v>0</v>
      </c>
      <c r="G1537">
        <v>1685</v>
      </c>
      <c r="H1537">
        <v>1.22</v>
      </c>
      <c r="I1537" t="s">
        <v>220</v>
      </c>
      <c r="J1537">
        <v>2</v>
      </c>
      <c r="K1537" s="6">
        <v>2.69</v>
      </c>
      <c r="L1537" t="s">
        <v>200</v>
      </c>
      <c r="M1537">
        <v>1</v>
      </c>
      <c r="N1537" t="s">
        <v>175</v>
      </c>
      <c r="O1537">
        <v>1</v>
      </c>
      <c r="P1537">
        <v>0</v>
      </c>
      <c r="Q1537" s="6">
        <v>27.5</v>
      </c>
      <c r="R1537">
        <v>0</v>
      </c>
      <c r="S1537" s="6">
        <v>0</v>
      </c>
      <c r="T1537">
        <v>0</v>
      </c>
      <c r="U1537" s="6">
        <v>1221</v>
      </c>
      <c r="V1537">
        <v>1</v>
      </c>
      <c r="W1537">
        <v>0</v>
      </c>
      <c r="X1537">
        <v>0</v>
      </c>
      <c r="Y1537" s="6">
        <v>47.8</v>
      </c>
      <c r="Z1537">
        <v>0.46800000000000003</v>
      </c>
      <c r="AA1537">
        <v>7.9000000000000001E-2</v>
      </c>
      <c r="AB1537">
        <v>6.2E-2</v>
      </c>
      <c r="AC1537">
        <v>6</v>
      </c>
      <c r="AD1537" s="6">
        <v>119</v>
      </c>
      <c r="AE1537" s="6">
        <v>0</v>
      </c>
      <c r="AF1537" s="6">
        <v>0</v>
      </c>
      <c r="AG1537" s="6">
        <v>130.58000000000001</v>
      </c>
      <c r="AH1537" s="6">
        <v>164.52</v>
      </c>
      <c r="AI1537" s="6">
        <f t="shared" si="46"/>
        <v>33.94</v>
      </c>
      <c r="AJ1537" s="5">
        <f t="shared" si="47"/>
        <v>0.20629710673474347</v>
      </c>
    </row>
    <row r="1538" spans="1:36">
      <c r="A1538" t="s">
        <v>355</v>
      </c>
      <c r="B1538" t="s">
        <v>1823</v>
      </c>
      <c r="C1538" t="s">
        <v>92</v>
      </c>
      <c r="D1538" t="s">
        <v>60</v>
      </c>
      <c r="E1538" t="s">
        <v>55</v>
      </c>
      <c r="F1538">
        <v>0</v>
      </c>
      <c r="G1538">
        <v>1685</v>
      </c>
      <c r="H1538">
        <v>1.22</v>
      </c>
      <c r="I1538" t="s">
        <v>220</v>
      </c>
      <c r="J1538">
        <v>2</v>
      </c>
      <c r="K1538" s="6">
        <v>3.73</v>
      </c>
      <c r="L1538" t="s">
        <v>174</v>
      </c>
      <c r="M1538">
        <v>0</v>
      </c>
      <c r="N1538" t="s">
        <v>182</v>
      </c>
      <c r="O1538">
        <v>3</v>
      </c>
      <c r="P1538">
        <v>0</v>
      </c>
      <c r="Q1538" s="6">
        <v>108.4</v>
      </c>
      <c r="R1538">
        <v>0</v>
      </c>
      <c r="S1538" s="6">
        <v>0</v>
      </c>
      <c r="T1538">
        <v>0</v>
      </c>
      <c r="U1538" s="6">
        <v>1996</v>
      </c>
      <c r="V1538">
        <v>0</v>
      </c>
      <c r="W1538">
        <v>0</v>
      </c>
      <c r="X1538">
        <v>0</v>
      </c>
      <c r="Y1538" s="6">
        <v>47.8</v>
      </c>
      <c r="Z1538">
        <v>0.46800000000000003</v>
      </c>
      <c r="AA1538">
        <v>7.9000000000000001E-2</v>
      </c>
      <c r="AB1538">
        <v>6.2E-2</v>
      </c>
      <c r="AC1538">
        <v>6</v>
      </c>
      <c r="AD1538" s="6">
        <v>50</v>
      </c>
      <c r="AE1538" s="6">
        <v>0</v>
      </c>
      <c r="AF1538" s="6">
        <v>0</v>
      </c>
      <c r="AG1538" s="6">
        <v>71.819999999999993</v>
      </c>
      <c r="AH1538" s="6">
        <v>90.53</v>
      </c>
      <c r="AI1538" s="6">
        <f t="shared" ref="AI1538:AI1601" si="48">AH1538-AG1538</f>
        <v>18.710000000000008</v>
      </c>
      <c r="AJ1538" s="5">
        <f t="shared" ref="AJ1538:AJ1601" si="49">IFERROR(AI1538/AH1538,0)</f>
        <v>0.2066718214956369</v>
      </c>
    </row>
    <row r="1539" spans="1:36">
      <c r="A1539" t="s">
        <v>266</v>
      </c>
      <c r="B1539" t="s">
        <v>1824</v>
      </c>
      <c r="C1539" t="s">
        <v>92</v>
      </c>
      <c r="D1539" t="s">
        <v>60</v>
      </c>
      <c r="E1539" t="s">
        <v>55</v>
      </c>
      <c r="F1539">
        <v>0</v>
      </c>
      <c r="G1539">
        <v>1685</v>
      </c>
      <c r="H1539">
        <v>1.22</v>
      </c>
      <c r="I1539" t="s">
        <v>173</v>
      </c>
      <c r="J1539">
        <v>1</v>
      </c>
      <c r="K1539" s="6">
        <v>1.77</v>
      </c>
      <c r="L1539" t="s">
        <v>174</v>
      </c>
      <c r="M1539">
        <v>0</v>
      </c>
      <c r="N1539" t="s">
        <v>187</v>
      </c>
      <c r="O1539">
        <v>2</v>
      </c>
      <c r="P1539">
        <v>0</v>
      </c>
      <c r="Q1539" s="6">
        <v>49.2</v>
      </c>
      <c r="R1539">
        <v>0</v>
      </c>
      <c r="S1539" s="6">
        <v>0</v>
      </c>
      <c r="T1539">
        <v>0</v>
      </c>
      <c r="U1539" s="6">
        <v>1780</v>
      </c>
      <c r="V1539">
        <v>0</v>
      </c>
      <c r="W1539">
        <v>0</v>
      </c>
      <c r="X1539">
        <v>0</v>
      </c>
      <c r="Y1539" s="6">
        <v>47.8</v>
      </c>
      <c r="Z1539">
        <v>0.46800000000000003</v>
      </c>
      <c r="AA1539">
        <v>7.9000000000000001E-2</v>
      </c>
      <c r="AB1539">
        <v>6.2E-2</v>
      </c>
      <c r="AC1539">
        <v>6</v>
      </c>
      <c r="AD1539" s="6">
        <v>50</v>
      </c>
      <c r="AE1539" s="6">
        <v>0</v>
      </c>
      <c r="AF1539" s="6">
        <v>0</v>
      </c>
      <c r="AG1539" s="6">
        <v>67.41</v>
      </c>
      <c r="AH1539" s="6">
        <v>86.99</v>
      </c>
      <c r="AI1539" s="6">
        <f t="shared" si="48"/>
        <v>19.579999999999998</v>
      </c>
      <c r="AJ1539" s="5">
        <f t="shared" si="49"/>
        <v>0.22508334291297849</v>
      </c>
    </row>
    <row r="1540" spans="1:36">
      <c r="A1540" t="s">
        <v>362</v>
      </c>
      <c r="B1540" t="s">
        <v>1825</v>
      </c>
      <c r="C1540" t="s">
        <v>92</v>
      </c>
      <c r="D1540" t="s">
        <v>60</v>
      </c>
      <c r="E1540" t="s">
        <v>55</v>
      </c>
      <c r="F1540">
        <v>0</v>
      </c>
      <c r="G1540">
        <v>1685</v>
      </c>
      <c r="H1540">
        <v>1</v>
      </c>
      <c r="I1540" t="s">
        <v>220</v>
      </c>
      <c r="J1540">
        <v>2</v>
      </c>
      <c r="K1540" s="6">
        <v>3.55</v>
      </c>
      <c r="L1540" t="s">
        <v>174</v>
      </c>
      <c r="M1540">
        <v>0</v>
      </c>
      <c r="N1540" t="s">
        <v>175</v>
      </c>
      <c r="O1540">
        <v>1</v>
      </c>
      <c r="P1540">
        <v>0</v>
      </c>
      <c r="Q1540" s="6">
        <v>38.799999999999997</v>
      </c>
      <c r="R1540">
        <v>0</v>
      </c>
      <c r="S1540" s="6">
        <v>0</v>
      </c>
      <c r="T1540">
        <v>0</v>
      </c>
      <c r="U1540" s="6">
        <v>2365</v>
      </c>
      <c r="V1540">
        <v>0</v>
      </c>
      <c r="W1540">
        <v>1</v>
      </c>
      <c r="X1540">
        <v>0</v>
      </c>
      <c r="Y1540" s="6">
        <v>47.8</v>
      </c>
      <c r="Z1540">
        <v>0.46800000000000003</v>
      </c>
      <c r="AA1540">
        <v>7.9000000000000001E-2</v>
      </c>
      <c r="AB1540">
        <v>6.2E-2</v>
      </c>
      <c r="AC1540">
        <v>6</v>
      </c>
      <c r="AD1540" s="6">
        <v>50</v>
      </c>
      <c r="AE1540" s="6">
        <v>0</v>
      </c>
      <c r="AF1540" s="6">
        <v>0</v>
      </c>
      <c r="AG1540" s="6">
        <v>91.67</v>
      </c>
      <c r="AH1540" s="6">
        <v>118.7</v>
      </c>
      <c r="AI1540" s="6">
        <f t="shared" si="48"/>
        <v>27.03</v>
      </c>
      <c r="AJ1540" s="5">
        <f t="shared" si="49"/>
        <v>0.22771693344566132</v>
      </c>
    </row>
    <row r="1541" spans="1:36">
      <c r="A1541" t="s">
        <v>501</v>
      </c>
      <c r="B1541" t="s">
        <v>1826</v>
      </c>
      <c r="C1541" t="s">
        <v>92</v>
      </c>
      <c r="D1541" t="s">
        <v>60</v>
      </c>
      <c r="E1541" t="s">
        <v>55</v>
      </c>
      <c r="F1541">
        <v>0</v>
      </c>
      <c r="G1541">
        <v>1685</v>
      </c>
      <c r="H1541">
        <v>1</v>
      </c>
      <c r="I1541" t="s">
        <v>173</v>
      </c>
      <c r="J1541">
        <v>1</v>
      </c>
      <c r="K1541" s="6">
        <v>1.83</v>
      </c>
      <c r="L1541" t="s">
        <v>174</v>
      </c>
      <c r="M1541">
        <v>0</v>
      </c>
      <c r="N1541" t="s">
        <v>187</v>
      </c>
      <c r="O1541">
        <v>2</v>
      </c>
      <c r="P1541">
        <v>0</v>
      </c>
      <c r="Q1541" s="6">
        <v>61</v>
      </c>
      <c r="R1541">
        <v>1</v>
      </c>
      <c r="S1541" s="6">
        <v>1616</v>
      </c>
      <c r="T1541">
        <v>0</v>
      </c>
      <c r="U1541" s="6">
        <v>1852</v>
      </c>
      <c r="V1541">
        <v>0</v>
      </c>
      <c r="W1541">
        <v>0</v>
      </c>
      <c r="X1541">
        <v>0</v>
      </c>
      <c r="Y1541" s="6">
        <v>47.8</v>
      </c>
      <c r="Z1541">
        <v>0.46800000000000003</v>
      </c>
      <c r="AA1541">
        <v>7.9000000000000001E-2</v>
      </c>
      <c r="AB1541">
        <v>6.2E-2</v>
      </c>
      <c r="AC1541">
        <v>6</v>
      </c>
      <c r="AD1541" s="6">
        <v>50</v>
      </c>
      <c r="AE1541" s="6">
        <v>25</v>
      </c>
      <c r="AF1541" s="6">
        <v>0</v>
      </c>
      <c r="AG1541" s="6">
        <v>64.62</v>
      </c>
      <c r="AH1541" s="6">
        <v>84.79</v>
      </c>
      <c r="AI1541" s="6">
        <f t="shared" si="48"/>
        <v>20.170000000000002</v>
      </c>
      <c r="AJ1541" s="5">
        <f t="shared" si="49"/>
        <v>0.2378818256869914</v>
      </c>
    </row>
    <row r="1542" spans="1:36">
      <c r="A1542" t="s">
        <v>223</v>
      </c>
      <c r="B1542" t="s">
        <v>1827</v>
      </c>
      <c r="C1542" t="s">
        <v>92</v>
      </c>
      <c r="D1542" t="s">
        <v>60</v>
      </c>
      <c r="E1542" t="s">
        <v>55</v>
      </c>
      <c r="F1542">
        <v>0</v>
      </c>
      <c r="G1542">
        <v>1685</v>
      </c>
      <c r="H1542">
        <v>1</v>
      </c>
      <c r="I1542" t="s">
        <v>173</v>
      </c>
      <c r="J1542">
        <v>1</v>
      </c>
      <c r="K1542" s="6">
        <v>1.61</v>
      </c>
      <c r="L1542" t="s">
        <v>174</v>
      </c>
      <c r="M1542">
        <v>0</v>
      </c>
      <c r="N1542" t="s">
        <v>175</v>
      </c>
      <c r="O1542">
        <v>1</v>
      </c>
      <c r="P1542">
        <v>0</v>
      </c>
      <c r="Q1542" s="6">
        <v>12.3</v>
      </c>
      <c r="R1542">
        <v>1</v>
      </c>
      <c r="S1542" s="6">
        <v>1190</v>
      </c>
      <c r="T1542">
        <v>0</v>
      </c>
      <c r="U1542" s="6">
        <v>790</v>
      </c>
      <c r="V1542">
        <v>0</v>
      </c>
      <c r="W1542">
        <v>0</v>
      </c>
      <c r="X1542">
        <v>0</v>
      </c>
      <c r="Y1542" s="6">
        <v>47.8</v>
      </c>
      <c r="Z1542">
        <v>0.46800000000000003</v>
      </c>
      <c r="AA1542">
        <v>7.9000000000000001E-2</v>
      </c>
      <c r="AB1542">
        <v>6.2E-2</v>
      </c>
      <c r="AC1542">
        <v>6</v>
      </c>
      <c r="AD1542" s="6">
        <v>50</v>
      </c>
      <c r="AE1542" s="6">
        <v>25</v>
      </c>
      <c r="AF1542" s="6">
        <v>0</v>
      </c>
      <c r="AG1542" s="6">
        <v>49.93</v>
      </c>
      <c r="AH1542" s="6">
        <v>65.86</v>
      </c>
      <c r="AI1542" s="6">
        <f t="shared" si="48"/>
        <v>15.93</v>
      </c>
      <c r="AJ1542" s="5">
        <f t="shared" si="49"/>
        <v>0.24187670816884299</v>
      </c>
    </row>
    <row r="1543" spans="1:36">
      <c r="A1543" t="s">
        <v>194</v>
      </c>
      <c r="B1543" t="s">
        <v>1828</v>
      </c>
      <c r="C1543" t="s">
        <v>92</v>
      </c>
      <c r="D1543" t="s">
        <v>60</v>
      </c>
      <c r="E1543" t="s">
        <v>55</v>
      </c>
      <c r="F1543">
        <v>0</v>
      </c>
      <c r="G1543">
        <v>1685</v>
      </c>
      <c r="H1543">
        <v>1.22</v>
      </c>
      <c r="I1543" t="s">
        <v>220</v>
      </c>
      <c r="J1543">
        <v>2</v>
      </c>
      <c r="K1543" s="6">
        <v>3.18</v>
      </c>
      <c r="L1543" t="s">
        <v>174</v>
      </c>
      <c r="M1543">
        <v>0</v>
      </c>
      <c r="N1543" t="s">
        <v>187</v>
      </c>
      <c r="O1543">
        <v>2</v>
      </c>
      <c r="P1543">
        <v>0</v>
      </c>
      <c r="Q1543" s="6">
        <v>73.099999999999994</v>
      </c>
      <c r="R1543">
        <v>0</v>
      </c>
      <c r="S1543" s="6">
        <v>0</v>
      </c>
      <c r="T1543">
        <v>0</v>
      </c>
      <c r="U1543" s="6">
        <v>2765</v>
      </c>
      <c r="V1543">
        <v>0</v>
      </c>
      <c r="W1543">
        <v>0</v>
      </c>
      <c r="X1543">
        <v>0</v>
      </c>
      <c r="Y1543" s="6">
        <v>47.8</v>
      </c>
      <c r="Z1543">
        <v>0.46800000000000003</v>
      </c>
      <c r="AA1543">
        <v>7.9000000000000001E-2</v>
      </c>
      <c r="AB1543">
        <v>6.2E-2</v>
      </c>
      <c r="AC1543">
        <v>6</v>
      </c>
      <c r="AD1543" s="6">
        <v>50</v>
      </c>
      <c r="AE1543" s="6">
        <v>0</v>
      </c>
      <c r="AF1543" s="6">
        <v>0</v>
      </c>
      <c r="AG1543" s="6">
        <v>64.290000000000006</v>
      </c>
      <c r="AH1543" s="6">
        <v>83.92</v>
      </c>
      <c r="AI1543" s="6">
        <f t="shared" si="48"/>
        <v>19.629999999999995</v>
      </c>
      <c r="AJ1543" s="5">
        <f t="shared" si="49"/>
        <v>0.23391325071496658</v>
      </c>
    </row>
    <row r="1544" spans="1:36">
      <c r="A1544" t="s">
        <v>190</v>
      </c>
      <c r="B1544" t="s">
        <v>1829</v>
      </c>
      <c r="C1544" t="s">
        <v>92</v>
      </c>
      <c r="D1544" t="s">
        <v>60</v>
      </c>
      <c r="E1544" t="s">
        <v>55</v>
      </c>
      <c r="F1544">
        <v>0</v>
      </c>
      <c r="G1544">
        <v>1685</v>
      </c>
      <c r="H1544">
        <v>1.22</v>
      </c>
      <c r="I1544" t="s">
        <v>220</v>
      </c>
      <c r="J1544">
        <v>2</v>
      </c>
      <c r="K1544" s="6">
        <v>2.81</v>
      </c>
      <c r="L1544" t="s">
        <v>174</v>
      </c>
      <c r="M1544">
        <v>0</v>
      </c>
      <c r="N1544" t="s">
        <v>175</v>
      </c>
      <c r="O1544">
        <v>1</v>
      </c>
      <c r="P1544">
        <v>0</v>
      </c>
      <c r="Q1544" s="6">
        <v>39.6</v>
      </c>
      <c r="R1544">
        <v>0</v>
      </c>
      <c r="S1544" s="6">
        <v>0</v>
      </c>
      <c r="T1544">
        <v>0</v>
      </c>
      <c r="U1544" s="6">
        <v>822</v>
      </c>
      <c r="V1544">
        <v>1</v>
      </c>
      <c r="W1544">
        <v>0</v>
      </c>
      <c r="X1544">
        <v>0</v>
      </c>
      <c r="Y1544" s="6">
        <v>47.8</v>
      </c>
      <c r="Z1544">
        <v>0.46800000000000003</v>
      </c>
      <c r="AA1544">
        <v>7.9000000000000001E-2</v>
      </c>
      <c r="AB1544">
        <v>6.2E-2</v>
      </c>
      <c r="AC1544">
        <v>6</v>
      </c>
      <c r="AD1544" s="6">
        <v>50</v>
      </c>
      <c r="AE1544" s="6">
        <v>0</v>
      </c>
      <c r="AF1544" s="6">
        <v>0</v>
      </c>
      <c r="AG1544" s="6">
        <v>103.98</v>
      </c>
      <c r="AH1544" s="6">
        <v>131.79</v>
      </c>
      <c r="AI1544" s="6">
        <f t="shared" si="48"/>
        <v>27.809999999999988</v>
      </c>
      <c r="AJ1544" s="5">
        <f t="shared" si="49"/>
        <v>0.21101752788527195</v>
      </c>
    </row>
    <row r="1545" spans="1:36">
      <c r="A1545" t="s">
        <v>286</v>
      </c>
      <c r="B1545" t="s">
        <v>1830</v>
      </c>
      <c r="C1545" t="s">
        <v>94</v>
      </c>
      <c r="D1545" t="s">
        <v>96</v>
      </c>
      <c r="E1545" t="s">
        <v>55</v>
      </c>
      <c r="F1545">
        <v>0</v>
      </c>
      <c r="G1545">
        <v>1684</v>
      </c>
      <c r="H1545">
        <v>1</v>
      </c>
      <c r="I1545" t="s">
        <v>173</v>
      </c>
      <c r="J1545">
        <v>1</v>
      </c>
      <c r="K1545" s="6">
        <v>2.15</v>
      </c>
      <c r="L1545" t="s">
        <v>174</v>
      </c>
      <c r="M1545">
        <v>0</v>
      </c>
      <c r="N1545" t="s">
        <v>182</v>
      </c>
      <c r="O1545">
        <v>3</v>
      </c>
      <c r="P1545">
        <v>0</v>
      </c>
      <c r="Q1545" s="6">
        <v>120.7</v>
      </c>
      <c r="R1545">
        <v>0</v>
      </c>
      <c r="S1545" s="6">
        <v>0</v>
      </c>
      <c r="T1545">
        <v>0</v>
      </c>
      <c r="U1545" s="6">
        <v>12770</v>
      </c>
      <c r="V1545">
        <v>0</v>
      </c>
      <c r="W1545">
        <v>0</v>
      </c>
      <c r="X1545">
        <v>0</v>
      </c>
      <c r="Y1545" s="6">
        <v>50.6</v>
      </c>
      <c r="Z1545">
        <v>2.1000000000000001E-2</v>
      </c>
      <c r="AA1545">
        <v>0.10100000000000001</v>
      </c>
      <c r="AB1545">
        <v>5.5E-2</v>
      </c>
      <c r="AC1545">
        <v>6</v>
      </c>
      <c r="AD1545" s="6">
        <v>50</v>
      </c>
      <c r="AE1545" s="6">
        <v>0</v>
      </c>
      <c r="AF1545" s="6">
        <v>0</v>
      </c>
      <c r="AG1545" s="6">
        <v>66.33</v>
      </c>
      <c r="AH1545" s="6">
        <v>84.92</v>
      </c>
      <c r="AI1545" s="6">
        <f t="shared" si="48"/>
        <v>18.590000000000003</v>
      </c>
      <c r="AJ1545" s="5">
        <f t="shared" si="49"/>
        <v>0.21891191709844562</v>
      </c>
    </row>
    <row r="1546" spans="1:36">
      <c r="A1546" t="s">
        <v>372</v>
      </c>
      <c r="B1546" t="s">
        <v>1831</v>
      </c>
      <c r="C1546" t="s">
        <v>94</v>
      </c>
      <c r="D1546" t="s">
        <v>96</v>
      </c>
      <c r="E1546" t="s">
        <v>55</v>
      </c>
      <c r="F1546">
        <v>0</v>
      </c>
      <c r="G1546">
        <v>1684</v>
      </c>
      <c r="H1546">
        <v>1</v>
      </c>
      <c r="I1546" t="s">
        <v>173</v>
      </c>
      <c r="J1546">
        <v>1</v>
      </c>
      <c r="K1546" s="6">
        <v>2.7</v>
      </c>
      <c r="L1546" t="s">
        <v>174</v>
      </c>
      <c r="M1546">
        <v>0</v>
      </c>
      <c r="N1546" t="s">
        <v>182</v>
      </c>
      <c r="O1546">
        <v>3</v>
      </c>
      <c r="P1546">
        <v>0</v>
      </c>
      <c r="Q1546" s="6">
        <v>87.9</v>
      </c>
      <c r="R1546">
        <v>1</v>
      </c>
      <c r="S1546" s="6">
        <v>6780</v>
      </c>
      <c r="T1546">
        <v>0</v>
      </c>
      <c r="U1546" s="6">
        <v>2459</v>
      </c>
      <c r="V1546">
        <v>0</v>
      </c>
      <c r="W1546">
        <v>0</v>
      </c>
      <c r="X1546">
        <v>0</v>
      </c>
      <c r="Y1546" s="6">
        <v>50.6</v>
      </c>
      <c r="Z1546">
        <v>2.1000000000000001E-2</v>
      </c>
      <c r="AA1546">
        <v>0.10100000000000001</v>
      </c>
      <c r="AB1546">
        <v>5.5E-2</v>
      </c>
      <c r="AC1546">
        <v>6</v>
      </c>
      <c r="AD1546" s="6">
        <v>50</v>
      </c>
      <c r="AE1546" s="6">
        <v>50</v>
      </c>
      <c r="AF1546" s="6">
        <v>0</v>
      </c>
      <c r="AG1546" s="6">
        <v>70.17</v>
      </c>
      <c r="AH1546" s="6">
        <v>88.4</v>
      </c>
      <c r="AI1546" s="6">
        <f t="shared" si="48"/>
        <v>18.230000000000004</v>
      </c>
      <c r="AJ1546" s="5">
        <f t="shared" si="49"/>
        <v>0.20622171945701362</v>
      </c>
    </row>
    <row r="1547" spans="1:36">
      <c r="A1547" t="s">
        <v>274</v>
      </c>
      <c r="B1547" t="s">
        <v>1832</v>
      </c>
      <c r="C1547" t="s">
        <v>94</v>
      </c>
      <c r="D1547" t="s">
        <v>96</v>
      </c>
      <c r="E1547" t="s">
        <v>55</v>
      </c>
      <c r="F1547">
        <v>0</v>
      </c>
      <c r="G1547">
        <v>1684</v>
      </c>
      <c r="H1547">
        <v>1</v>
      </c>
      <c r="I1547" t="s">
        <v>220</v>
      </c>
      <c r="J1547">
        <v>2</v>
      </c>
      <c r="K1547" s="6">
        <v>4.57</v>
      </c>
      <c r="L1547" t="s">
        <v>174</v>
      </c>
      <c r="M1547">
        <v>0</v>
      </c>
      <c r="N1547" t="s">
        <v>175</v>
      </c>
      <c r="O1547">
        <v>1</v>
      </c>
      <c r="P1547">
        <v>0</v>
      </c>
      <c r="Q1547" s="6">
        <v>29.9</v>
      </c>
      <c r="R1547">
        <v>0</v>
      </c>
      <c r="S1547" s="6">
        <v>0</v>
      </c>
      <c r="T1547">
        <v>0</v>
      </c>
      <c r="U1547" s="6">
        <v>1669</v>
      </c>
      <c r="V1547">
        <v>0</v>
      </c>
      <c r="W1547">
        <v>0</v>
      </c>
      <c r="X1547">
        <v>0</v>
      </c>
      <c r="Y1547" s="6">
        <v>50.6</v>
      </c>
      <c r="Z1547">
        <v>2.1000000000000001E-2</v>
      </c>
      <c r="AA1547">
        <v>0.10100000000000001</v>
      </c>
      <c r="AB1547">
        <v>5.5E-2</v>
      </c>
      <c r="AC1547">
        <v>6</v>
      </c>
      <c r="AD1547" s="6">
        <v>50</v>
      </c>
      <c r="AE1547" s="6">
        <v>0</v>
      </c>
      <c r="AF1547" s="6">
        <v>0</v>
      </c>
      <c r="AG1547" s="6">
        <v>59.05</v>
      </c>
      <c r="AH1547" s="6">
        <v>76.25</v>
      </c>
      <c r="AI1547" s="6">
        <f t="shared" si="48"/>
        <v>17.200000000000003</v>
      </c>
      <c r="AJ1547" s="5">
        <f t="shared" si="49"/>
        <v>0.22557377049180333</v>
      </c>
    </row>
    <row r="1548" spans="1:36">
      <c r="A1548" t="s">
        <v>319</v>
      </c>
      <c r="B1548" t="s">
        <v>1833</v>
      </c>
      <c r="C1548" t="s">
        <v>94</v>
      </c>
      <c r="D1548" t="s">
        <v>96</v>
      </c>
      <c r="E1548" t="s">
        <v>55</v>
      </c>
      <c r="F1548">
        <v>0</v>
      </c>
      <c r="G1548">
        <v>1684</v>
      </c>
      <c r="H1548">
        <v>1</v>
      </c>
      <c r="I1548" t="s">
        <v>220</v>
      </c>
      <c r="J1548">
        <v>2</v>
      </c>
      <c r="K1548" s="6">
        <v>3.85</v>
      </c>
      <c r="L1548" t="s">
        <v>174</v>
      </c>
      <c r="M1548">
        <v>0</v>
      </c>
      <c r="N1548" t="s">
        <v>187</v>
      </c>
      <c r="O1548">
        <v>2</v>
      </c>
      <c r="P1548">
        <v>0</v>
      </c>
      <c r="Q1548" s="6">
        <v>47.4</v>
      </c>
      <c r="R1548">
        <v>1</v>
      </c>
      <c r="S1548" s="6">
        <v>3592</v>
      </c>
      <c r="T1548">
        <v>0</v>
      </c>
      <c r="U1548" s="6">
        <v>3792</v>
      </c>
      <c r="V1548">
        <v>0</v>
      </c>
      <c r="W1548">
        <v>0</v>
      </c>
      <c r="X1548">
        <v>0</v>
      </c>
      <c r="Y1548" s="6">
        <v>50.6</v>
      </c>
      <c r="Z1548">
        <v>2.1000000000000001E-2</v>
      </c>
      <c r="AA1548">
        <v>0.10100000000000001</v>
      </c>
      <c r="AB1548">
        <v>5.5E-2</v>
      </c>
      <c r="AC1548">
        <v>6</v>
      </c>
      <c r="AD1548" s="6">
        <v>50</v>
      </c>
      <c r="AE1548" s="6">
        <v>40</v>
      </c>
      <c r="AF1548" s="6">
        <v>0</v>
      </c>
      <c r="AG1548" s="6">
        <v>62.83</v>
      </c>
      <c r="AH1548" s="6">
        <v>83.26</v>
      </c>
      <c r="AI1548" s="6">
        <f t="shared" si="48"/>
        <v>20.430000000000007</v>
      </c>
      <c r="AJ1548" s="5">
        <f t="shared" si="49"/>
        <v>0.2453759308191209</v>
      </c>
    </row>
    <row r="1549" spans="1:36">
      <c r="A1549" t="s">
        <v>397</v>
      </c>
      <c r="B1549" t="s">
        <v>1834</v>
      </c>
      <c r="C1549" t="s">
        <v>94</v>
      </c>
      <c r="D1549" t="s">
        <v>96</v>
      </c>
      <c r="E1549" t="s">
        <v>55</v>
      </c>
      <c r="F1549">
        <v>0</v>
      </c>
      <c r="G1549">
        <v>1684</v>
      </c>
      <c r="H1549">
        <v>1</v>
      </c>
      <c r="I1549" t="s">
        <v>173</v>
      </c>
      <c r="J1549">
        <v>1</v>
      </c>
      <c r="K1549" s="6">
        <v>2.08</v>
      </c>
      <c r="L1549" t="s">
        <v>174</v>
      </c>
      <c r="M1549">
        <v>0</v>
      </c>
      <c r="N1549" t="s">
        <v>175</v>
      </c>
      <c r="O1549">
        <v>1</v>
      </c>
      <c r="P1549">
        <v>1</v>
      </c>
      <c r="Q1549" s="6">
        <v>44</v>
      </c>
      <c r="R1549">
        <v>0</v>
      </c>
      <c r="S1549" s="6">
        <v>0</v>
      </c>
      <c r="T1549">
        <v>0</v>
      </c>
      <c r="U1549" s="6">
        <v>1568</v>
      </c>
      <c r="V1549">
        <v>0</v>
      </c>
      <c r="W1549">
        <v>0</v>
      </c>
      <c r="X1549">
        <v>0</v>
      </c>
      <c r="Y1549" s="6">
        <v>50.6</v>
      </c>
      <c r="Z1549">
        <v>2.1000000000000001E-2</v>
      </c>
      <c r="AA1549">
        <v>0.10100000000000001</v>
      </c>
      <c r="AB1549">
        <v>5.5E-2</v>
      </c>
      <c r="AC1549">
        <v>6</v>
      </c>
      <c r="AD1549" s="6">
        <v>50</v>
      </c>
      <c r="AE1549" s="6">
        <v>0</v>
      </c>
      <c r="AF1549" s="6">
        <v>0</v>
      </c>
      <c r="AG1549" s="6">
        <v>72.25</v>
      </c>
      <c r="AH1549" s="6">
        <v>91.15</v>
      </c>
      <c r="AI1549" s="6">
        <f t="shared" si="48"/>
        <v>18.900000000000006</v>
      </c>
      <c r="AJ1549" s="5">
        <f t="shared" si="49"/>
        <v>0.2073505211190346</v>
      </c>
    </row>
    <row r="1550" spans="1:36">
      <c r="A1550" t="s">
        <v>393</v>
      </c>
      <c r="B1550" t="s">
        <v>1835</v>
      </c>
      <c r="C1550" t="s">
        <v>94</v>
      </c>
      <c r="D1550" t="s">
        <v>96</v>
      </c>
      <c r="E1550" t="s">
        <v>55</v>
      </c>
      <c r="F1550">
        <v>0</v>
      </c>
      <c r="G1550">
        <v>1684</v>
      </c>
      <c r="H1550">
        <v>1</v>
      </c>
      <c r="I1550" t="s">
        <v>173</v>
      </c>
      <c r="J1550">
        <v>1</v>
      </c>
      <c r="K1550" s="6">
        <v>2.57</v>
      </c>
      <c r="L1550" t="s">
        <v>174</v>
      </c>
      <c r="M1550">
        <v>0</v>
      </c>
      <c r="N1550" t="s">
        <v>187</v>
      </c>
      <c r="O1550">
        <v>2</v>
      </c>
      <c r="P1550">
        <v>0</v>
      </c>
      <c r="Q1550" s="6">
        <v>52.9</v>
      </c>
      <c r="R1550">
        <v>1</v>
      </c>
      <c r="S1550" s="6">
        <v>888</v>
      </c>
      <c r="T1550">
        <v>0</v>
      </c>
      <c r="U1550" s="6">
        <v>2154</v>
      </c>
      <c r="V1550">
        <v>0</v>
      </c>
      <c r="W1550">
        <v>0</v>
      </c>
      <c r="X1550">
        <v>0</v>
      </c>
      <c r="Y1550" s="6">
        <v>50.6</v>
      </c>
      <c r="Z1550">
        <v>2.1000000000000001E-2</v>
      </c>
      <c r="AA1550">
        <v>0.10100000000000001</v>
      </c>
      <c r="AB1550">
        <v>5.5E-2</v>
      </c>
      <c r="AC1550">
        <v>6</v>
      </c>
      <c r="AD1550" s="6">
        <v>50</v>
      </c>
      <c r="AE1550" s="6">
        <v>25</v>
      </c>
      <c r="AF1550" s="6">
        <v>0</v>
      </c>
      <c r="AG1550" s="6">
        <v>63.63</v>
      </c>
      <c r="AH1550" s="6">
        <v>82.98</v>
      </c>
      <c r="AI1550" s="6">
        <f t="shared" si="48"/>
        <v>19.350000000000001</v>
      </c>
      <c r="AJ1550" s="5">
        <f t="shared" si="49"/>
        <v>0.23318872017353579</v>
      </c>
    </row>
    <row r="1551" spans="1:36">
      <c r="A1551" t="s">
        <v>266</v>
      </c>
      <c r="B1551" t="s">
        <v>1836</v>
      </c>
      <c r="C1551" t="s">
        <v>94</v>
      </c>
      <c r="D1551" t="s">
        <v>96</v>
      </c>
      <c r="E1551" t="s">
        <v>55</v>
      </c>
      <c r="F1551">
        <v>0</v>
      </c>
      <c r="G1551">
        <v>1684</v>
      </c>
      <c r="H1551">
        <v>1</v>
      </c>
      <c r="I1551" t="s">
        <v>173</v>
      </c>
      <c r="J1551">
        <v>1</v>
      </c>
      <c r="K1551" s="6">
        <v>2.02</v>
      </c>
      <c r="L1551" t="s">
        <v>174</v>
      </c>
      <c r="M1551">
        <v>0</v>
      </c>
      <c r="N1551" t="s">
        <v>175</v>
      </c>
      <c r="O1551">
        <v>1</v>
      </c>
      <c r="P1551">
        <v>0</v>
      </c>
      <c r="Q1551" s="6">
        <v>40.299999999999997</v>
      </c>
      <c r="R1551">
        <v>0</v>
      </c>
      <c r="S1551" s="6">
        <v>0</v>
      </c>
      <c r="T1551">
        <v>0</v>
      </c>
      <c r="U1551" s="6">
        <v>4268</v>
      </c>
      <c r="V1551">
        <v>0</v>
      </c>
      <c r="W1551">
        <v>0</v>
      </c>
      <c r="X1551">
        <v>1</v>
      </c>
      <c r="Y1551" s="6">
        <v>50.6</v>
      </c>
      <c r="Z1551">
        <v>2.1000000000000001E-2</v>
      </c>
      <c r="AA1551">
        <v>0.10100000000000001</v>
      </c>
      <c r="AB1551">
        <v>5.5E-2</v>
      </c>
      <c r="AC1551">
        <v>6</v>
      </c>
      <c r="AD1551" s="6">
        <v>50</v>
      </c>
      <c r="AE1551" s="6">
        <v>0</v>
      </c>
      <c r="AF1551" s="6">
        <v>0</v>
      </c>
      <c r="AG1551" s="6">
        <v>48.05</v>
      </c>
      <c r="AH1551" s="6">
        <v>64.34</v>
      </c>
      <c r="AI1551" s="6">
        <f t="shared" si="48"/>
        <v>16.290000000000006</v>
      </c>
      <c r="AJ1551" s="5">
        <f t="shared" si="49"/>
        <v>0.25318619832141753</v>
      </c>
    </row>
    <row r="1552" spans="1:36">
      <c r="A1552" t="s">
        <v>274</v>
      </c>
      <c r="B1552" t="s">
        <v>1837</v>
      </c>
      <c r="C1552" t="s">
        <v>94</v>
      </c>
      <c r="D1552" t="s">
        <v>96</v>
      </c>
      <c r="E1552" t="s">
        <v>55</v>
      </c>
      <c r="F1552">
        <v>0</v>
      </c>
      <c r="G1552">
        <v>1684</v>
      </c>
      <c r="H1552">
        <v>1</v>
      </c>
      <c r="I1552" t="s">
        <v>173</v>
      </c>
      <c r="J1552">
        <v>1</v>
      </c>
      <c r="K1552" s="6">
        <v>1.21</v>
      </c>
      <c r="L1552" t="s">
        <v>174</v>
      </c>
      <c r="M1552">
        <v>0</v>
      </c>
      <c r="N1552" t="s">
        <v>187</v>
      </c>
      <c r="O1552">
        <v>2</v>
      </c>
      <c r="P1552">
        <v>0</v>
      </c>
      <c r="Q1552" s="6">
        <v>49.9</v>
      </c>
      <c r="R1552">
        <v>1</v>
      </c>
      <c r="S1552" s="6">
        <v>2967</v>
      </c>
      <c r="T1552">
        <v>0</v>
      </c>
      <c r="U1552" s="6">
        <v>4484</v>
      </c>
      <c r="V1552">
        <v>0</v>
      </c>
      <c r="W1552">
        <v>0</v>
      </c>
      <c r="X1552">
        <v>0</v>
      </c>
      <c r="Y1552" s="6">
        <v>50.6</v>
      </c>
      <c r="Z1552">
        <v>2.1000000000000001E-2</v>
      </c>
      <c r="AA1552">
        <v>0.10100000000000001</v>
      </c>
      <c r="AB1552">
        <v>5.5E-2</v>
      </c>
      <c r="AC1552">
        <v>6</v>
      </c>
      <c r="AD1552" s="6">
        <v>50</v>
      </c>
      <c r="AE1552" s="6">
        <v>40</v>
      </c>
      <c r="AF1552" s="6">
        <v>0</v>
      </c>
      <c r="AG1552" s="6">
        <v>58.15</v>
      </c>
      <c r="AH1552" s="6">
        <v>74.44</v>
      </c>
      <c r="AI1552" s="6">
        <f t="shared" si="48"/>
        <v>16.29</v>
      </c>
      <c r="AJ1552" s="5">
        <f t="shared" si="49"/>
        <v>0.21883396023643203</v>
      </c>
    </row>
    <row r="1553" spans="1:36">
      <c r="A1553" t="s">
        <v>306</v>
      </c>
      <c r="B1553" t="s">
        <v>1838</v>
      </c>
      <c r="C1553" t="s">
        <v>94</v>
      </c>
      <c r="D1553" t="s">
        <v>96</v>
      </c>
      <c r="E1553" t="s">
        <v>55</v>
      </c>
      <c r="F1553">
        <v>0</v>
      </c>
      <c r="G1553">
        <v>1684</v>
      </c>
      <c r="H1553">
        <v>1</v>
      </c>
      <c r="I1553" t="s">
        <v>220</v>
      </c>
      <c r="J1553">
        <v>2</v>
      </c>
      <c r="K1553" s="6">
        <v>4.0599999999999996</v>
      </c>
      <c r="L1553" t="s">
        <v>174</v>
      </c>
      <c r="M1553">
        <v>0</v>
      </c>
      <c r="N1553" t="s">
        <v>175</v>
      </c>
      <c r="O1553">
        <v>1</v>
      </c>
      <c r="P1553">
        <v>0</v>
      </c>
      <c r="Q1553" s="6">
        <v>30.3</v>
      </c>
      <c r="R1553">
        <v>1</v>
      </c>
      <c r="S1553" s="6">
        <v>4309</v>
      </c>
      <c r="T1553">
        <v>0</v>
      </c>
      <c r="U1553" s="6">
        <v>2493</v>
      </c>
      <c r="V1553">
        <v>0</v>
      </c>
      <c r="W1553">
        <v>0</v>
      </c>
      <c r="X1553">
        <v>0</v>
      </c>
      <c r="Y1553" s="6">
        <v>50.6</v>
      </c>
      <c r="Z1553">
        <v>2.1000000000000001E-2</v>
      </c>
      <c r="AA1553">
        <v>0.10100000000000001</v>
      </c>
      <c r="AB1553">
        <v>5.5E-2</v>
      </c>
      <c r="AC1553">
        <v>6</v>
      </c>
      <c r="AD1553" s="6">
        <v>50</v>
      </c>
      <c r="AE1553" s="6">
        <v>40</v>
      </c>
      <c r="AF1553" s="6">
        <v>0</v>
      </c>
      <c r="AG1553" s="6">
        <v>65.25</v>
      </c>
      <c r="AH1553" s="6">
        <v>86.17</v>
      </c>
      <c r="AI1553" s="6">
        <f t="shared" si="48"/>
        <v>20.92</v>
      </c>
      <c r="AJ1553" s="5">
        <f t="shared" si="49"/>
        <v>0.24277590808866195</v>
      </c>
    </row>
    <row r="1554" spans="1:36">
      <c r="A1554" t="s">
        <v>406</v>
      </c>
      <c r="B1554" t="s">
        <v>1839</v>
      </c>
      <c r="C1554" t="s">
        <v>94</v>
      </c>
      <c r="D1554" t="s">
        <v>96</v>
      </c>
      <c r="E1554" t="s">
        <v>55</v>
      </c>
      <c r="F1554">
        <v>0</v>
      </c>
      <c r="G1554">
        <v>1684</v>
      </c>
      <c r="H1554">
        <v>1</v>
      </c>
      <c r="I1554" t="s">
        <v>173</v>
      </c>
      <c r="J1554">
        <v>1</v>
      </c>
      <c r="K1554" s="6">
        <v>2.4900000000000002</v>
      </c>
      <c r="L1554" t="s">
        <v>174</v>
      </c>
      <c r="M1554">
        <v>0</v>
      </c>
      <c r="N1554" t="s">
        <v>175</v>
      </c>
      <c r="O1554">
        <v>1</v>
      </c>
      <c r="P1554">
        <v>0</v>
      </c>
      <c r="Q1554" s="6">
        <v>25.4</v>
      </c>
      <c r="R1554">
        <v>1</v>
      </c>
      <c r="S1554" s="6">
        <v>6070</v>
      </c>
      <c r="T1554">
        <v>0</v>
      </c>
      <c r="U1554" s="6">
        <v>1878</v>
      </c>
      <c r="V1554">
        <v>0</v>
      </c>
      <c r="W1554">
        <v>0</v>
      </c>
      <c r="X1554">
        <v>0</v>
      </c>
      <c r="Y1554" s="6">
        <v>50.6</v>
      </c>
      <c r="Z1554">
        <v>2.1000000000000001E-2</v>
      </c>
      <c r="AA1554">
        <v>0.10100000000000001</v>
      </c>
      <c r="AB1554">
        <v>5.5E-2</v>
      </c>
      <c r="AC1554">
        <v>6</v>
      </c>
      <c r="AD1554" s="6">
        <v>50</v>
      </c>
      <c r="AE1554" s="6">
        <v>50</v>
      </c>
      <c r="AF1554" s="6">
        <v>0</v>
      </c>
      <c r="AG1554" s="6">
        <v>57.22</v>
      </c>
      <c r="AH1554" s="6">
        <v>75.010000000000005</v>
      </c>
      <c r="AI1554" s="6">
        <f t="shared" si="48"/>
        <v>17.790000000000006</v>
      </c>
      <c r="AJ1554" s="5">
        <f t="shared" si="49"/>
        <v>0.23716837754966011</v>
      </c>
    </row>
    <row r="1555" spans="1:36">
      <c r="A1555" t="s">
        <v>255</v>
      </c>
      <c r="B1555" t="s">
        <v>1840</v>
      </c>
      <c r="C1555" t="s">
        <v>94</v>
      </c>
      <c r="D1555" t="s">
        <v>96</v>
      </c>
      <c r="E1555" t="s">
        <v>55</v>
      </c>
      <c r="F1555">
        <v>0</v>
      </c>
      <c r="G1555">
        <v>1684</v>
      </c>
      <c r="H1555">
        <v>1</v>
      </c>
      <c r="I1555" t="s">
        <v>181</v>
      </c>
      <c r="J1555">
        <v>3</v>
      </c>
      <c r="K1555" s="6">
        <v>7.68</v>
      </c>
      <c r="L1555" t="s">
        <v>174</v>
      </c>
      <c r="M1555">
        <v>0</v>
      </c>
      <c r="N1555" t="s">
        <v>175</v>
      </c>
      <c r="O1555">
        <v>1</v>
      </c>
      <c r="P1555">
        <v>0</v>
      </c>
      <c r="Q1555" s="6">
        <v>43.2</v>
      </c>
      <c r="R1555">
        <v>0</v>
      </c>
      <c r="S1555" s="6">
        <v>0</v>
      </c>
      <c r="T1555">
        <v>0</v>
      </c>
      <c r="U1555" s="6">
        <v>1525</v>
      </c>
      <c r="V1555">
        <v>0</v>
      </c>
      <c r="W1555">
        <v>0</v>
      </c>
      <c r="X1555">
        <v>0</v>
      </c>
      <c r="Y1555" s="6">
        <v>50.6</v>
      </c>
      <c r="Z1555">
        <v>2.1000000000000001E-2</v>
      </c>
      <c r="AA1555">
        <v>0.10100000000000001</v>
      </c>
      <c r="AB1555">
        <v>5.5E-2</v>
      </c>
      <c r="AC1555">
        <v>6</v>
      </c>
      <c r="AD1555" s="6">
        <v>60</v>
      </c>
      <c r="AE1555" s="6">
        <v>0</v>
      </c>
      <c r="AF1555" s="6">
        <v>0</v>
      </c>
      <c r="AG1555" s="6">
        <v>75.87</v>
      </c>
      <c r="AH1555" s="6">
        <v>96.82</v>
      </c>
      <c r="AI1555" s="6">
        <f t="shared" si="48"/>
        <v>20.949999999999989</v>
      </c>
      <c r="AJ1555" s="5">
        <f t="shared" si="49"/>
        <v>0.21638091303449691</v>
      </c>
    </row>
    <row r="1556" spans="1:36">
      <c r="A1556" t="s">
        <v>261</v>
      </c>
      <c r="B1556" t="s">
        <v>1841</v>
      </c>
      <c r="C1556" t="s">
        <v>94</v>
      </c>
      <c r="D1556" t="s">
        <v>96</v>
      </c>
      <c r="E1556" t="s">
        <v>55</v>
      </c>
      <c r="F1556">
        <v>0</v>
      </c>
      <c r="G1556">
        <v>1684</v>
      </c>
      <c r="H1556">
        <v>1</v>
      </c>
      <c r="I1556" t="s">
        <v>173</v>
      </c>
      <c r="J1556">
        <v>1</v>
      </c>
      <c r="K1556" s="6">
        <v>2.1800000000000002</v>
      </c>
      <c r="L1556" t="s">
        <v>174</v>
      </c>
      <c r="M1556">
        <v>0</v>
      </c>
      <c r="N1556" t="s">
        <v>187</v>
      </c>
      <c r="O1556">
        <v>2</v>
      </c>
      <c r="P1556">
        <v>0</v>
      </c>
      <c r="Q1556" s="6">
        <v>55.5</v>
      </c>
      <c r="R1556">
        <v>0</v>
      </c>
      <c r="S1556" s="6">
        <v>0</v>
      </c>
      <c r="T1556">
        <v>0</v>
      </c>
      <c r="U1556" s="6">
        <v>2008</v>
      </c>
      <c r="V1556">
        <v>0</v>
      </c>
      <c r="W1556">
        <v>0</v>
      </c>
      <c r="X1556">
        <v>0</v>
      </c>
      <c r="Y1556" s="6">
        <v>50.6</v>
      </c>
      <c r="Z1556">
        <v>2.1000000000000001E-2</v>
      </c>
      <c r="AA1556">
        <v>0.10100000000000001</v>
      </c>
      <c r="AB1556">
        <v>5.5E-2</v>
      </c>
      <c r="AC1556">
        <v>6</v>
      </c>
      <c r="AD1556" s="6">
        <v>50</v>
      </c>
      <c r="AE1556" s="6">
        <v>0</v>
      </c>
      <c r="AF1556" s="6">
        <v>0</v>
      </c>
      <c r="AG1556" s="6">
        <v>48.28</v>
      </c>
      <c r="AH1556" s="6">
        <v>62.59</v>
      </c>
      <c r="AI1556" s="6">
        <f t="shared" si="48"/>
        <v>14.310000000000002</v>
      </c>
      <c r="AJ1556" s="5">
        <f t="shared" si="49"/>
        <v>0.22863077168876819</v>
      </c>
    </row>
    <row r="1557" spans="1:36">
      <c r="A1557" t="s">
        <v>343</v>
      </c>
      <c r="B1557" t="s">
        <v>1842</v>
      </c>
      <c r="C1557" t="s">
        <v>94</v>
      </c>
      <c r="D1557" t="s">
        <v>96</v>
      </c>
      <c r="E1557" t="s">
        <v>55</v>
      </c>
      <c r="F1557">
        <v>0</v>
      </c>
      <c r="G1557">
        <v>1684</v>
      </c>
      <c r="H1557">
        <v>1</v>
      </c>
      <c r="I1557" t="s">
        <v>173</v>
      </c>
      <c r="J1557">
        <v>1</v>
      </c>
      <c r="K1557" s="6">
        <v>1.35</v>
      </c>
      <c r="L1557" t="s">
        <v>174</v>
      </c>
      <c r="M1557">
        <v>0</v>
      </c>
      <c r="N1557" t="s">
        <v>175</v>
      </c>
      <c r="O1557">
        <v>1</v>
      </c>
      <c r="P1557">
        <v>0</v>
      </c>
      <c r="Q1557" s="6">
        <v>46.5</v>
      </c>
      <c r="R1557">
        <v>0</v>
      </c>
      <c r="S1557" s="6">
        <v>0</v>
      </c>
      <c r="T1557">
        <v>0</v>
      </c>
      <c r="U1557" s="6">
        <v>6075</v>
      </c>
      <c r="V1557">
        <v>0</v>
      </c>
      <c r="W1557">
        <v>0</v>
      </c>
      <c r="X1557">
        <v>0</v>
      </c>
      <c r="Y1557" s="6">
        <v>50.6</v>
      </c>
      <c r="Z1557">
        <v>2.1000000000000001E-2</v>
      </c>
      <c r="AA1557">
        <v>0.10100000000000001</v>
      </c>
      <c r="AB1557">
        <v>5.5E-2</v>
      </c>
      <c r="AC1557">
        <v>6</v>
      </c>
      <c r="AD1557" s="6">
        <v>50</v>
      </c>
      <c r="AE1557" s="6">
        <v>0</v>
      </c>
      <c r="AF1557" s="6">
        <v>0</v>
      </c>
      <c r="AG1557" s="6">
        <v>49.87</v>
      </c>
      <c r="AH1557" s="6">
        <v>67.06</v>
      </c>
      <c r="AI1557" s="6">
        <f t="shared" si="48"/>
        <v>17.190000000000005</v>
      </c>
      <c r="AJ1557" s="5">
        <f t="shared" si="49"/>
        <v>0.25633760811213846</v>
      </c>
    </row>
    <row r="1558" spans="1:36">
      <c r="A1558" t="s">
        <v>212</v>
      </c>
      <c r="B1558" t="s">
        <v>1843</v>
      </c>
      <c r="C1558" t="s">
        <v>94</v>
      </c>
      <c r="D1558" t="s">
        <v>96</v>
      </c>
      <c r="E1558" t="s">
        <v>55</v>
      </c>
      <c r="F1558">
        <v>0</v>
      </c>
      <c r="G1558">
        <v>1684</v>
      </c>
      <c r="H1558">
        <v>1</v>
      </c>
      <c r="I1558" t="s">
        <v>173</v>
      </c>
      <c r="J1558">
        <v>1</v>
      </c>
      <c r="K1558" s="6">
        <v>2.25</v>
      </c>
      <c r="L1558" t="s">
        <v>174</v>
      </c>
      <c r="M1558">
        <v>0</v>
      </c>
      <c r="N1558" t="s">
        <v>217</v>
      </c>
      <c r="O1558">
        <v>4</v>
      </c>
      <c r="P1558">
        <v>1</v>
      </c>
      <c r="Q1558" s="6">
        <v>78.099999999999994</v>
      </c>
      <c r="R1558">
        <v>1</v>
      </c>
      <c r="S1558" s="6">
        <v>1511</v>
      </c>
      <c r="T1558">
        <v>0</v>
      </c>
      <c r="U1558" s="6">
        <v>1817</v>
      </c>
      <c r="V1558">
        <v>0</v>
      </c>
      <c r="W1558">
        <v>0</v>
      </c>
      <c r="X1558">
        <v>0</v>
      </c>
      <c r="Y1558" s="6">
        <v>50.6</v>
      </c>
      <c r="Z1558">
        <v>2.1000000000000001E-2</v>
      </c>
      <c r="AA1558">
        <v>0.10100000000000001</v>
      </c>
      <c r="AB1558">
        <v>5.5E-2</v>
      </c>
      <c r="AC1558">
        <v>6</v>
      </c>
      <c r="AD1558" s="6">
        <v>50</v>
      </c>
      <c r="AE1558" s="6">
        <v>25</v>
      </c>
      <c r="AF1558" s="6">
        <v>0</v>
      </c>
      <c r="AG1558" s="6">
        <v>102.87</v>
      </c>
      <c r="AH1558" s="6">
        <v>131.22</v>
      </c>
      <c r="AI1558" s="6">
        <f t="shared" si="48"/>
        <v>28.349999999999994</v>
      </c>
      <c r="AJ1558" s="5">
        <f t="shared" si="49"/>
        <v>0.21604938271604934</v>
      </c>
    </row>
    <row r="1559" spans="1:36">
      <c r="A1559" t="s">
        <v>201</v>
      </c>
      <c r="B1559" t="s">
        <v>1844</v>
      </c>
      <c r="C1559" t="s">
        <v>94</v>
      </c>
      <c r="D1559" t="s">
        <v>96</v>
      </c>
      <c r="E1559" t="s">
        <v>55</v>
      </c>
      <c r="F1559">
        <v>0</v>
      </c>
      <c r="G1559">
        <v>1684</v>
      </c>
      <c r="H1559">
        <v>1</v>
      </c>
      <c r="I1559" t="s">
        <v>178</v>
      </c>
      <c r="J1559">
        <v>4</v>
      </c>
      <c r="K1559" s="6">
        <v>17.260000000000002</v>
      </c>
      <c r="L1559" t="s">
        <v>174</v>
      </c>
      <c r="M1559">
        <v>0</v>
      </c>
      <c r="N1559" t="s">
        <v>217</v>
      </c>
      <c r="O1559">
        <v>4</v>
      </c>
      <c r="P1559">
        <v>1</v>
      </c>
      <c r="Q1559" s="6">
        <v>147.69999999999999</v>
      </c>
      <c r="R1559">
        <v>0</v>
      </c>
      <c r="S1559" s="6">
        <v>0</v>
      </c>
      <c r="T1559">
        <v>0</v>
      </c>
      <c r="U1559" s="6">
        <v>5453</v>
      </c>
      <c r="V1559">
        <v>0</v>
      </c>
      <c r="W1559">
        <v>0</v>
      </c>
      <c r="X1559">
        <v>0</v>
      </c>
      <c r="Y1559" s="6">
        <v>50.6</v>
      </c>
      <c r="Z1559">
        <v>2.1000000000000001E-2</v>
      </c>
      <c r="AA1559">
        <v>0.10100000000000001</v>
      </c>
      <c r="AB1559">
        <v>5.5E-2</v>
      </c>
      <c r="AC1559">
        <v>6</v>
      </c>
      <c r="AD1559" s="6">
        <v>65</v>
      </c>
      <c r="AE1559" s="6">
        <v>0</v>
      </c>
      <c r="AF1559" s="6">
        <v>0</v>
      </c>
      <c r="AG1559" s="6">
        <v>186.72</v>
      </c>
      <c r="AH1559" s="6">
        <v>237.89</v>
      </c>
      <c r="AI1559" s="6">
        <f t="shared" si="48"/>
        <v>51.169999999999987</v>
      </c>
      <c r="AJ1559" s="5">
        <f t="shared" si="49"/>
        <v>0.2150994156963302</v>
      </c>
    </row>
    <row r="1560" spans="1:36">
      <c r="A1560" t="s">
        <v>348</v>
      </c>
      <c r="B1560" t="s">
        <v>1845</v>
      </c>
      <c r="C1560" t="s">
        <v>94</v>
      </c>
      <c r="D1560" t="s">
        <v>96</v>
      </c>
      <c r="E1560" t="s">
        <v>55</v>
      </c>
      <c r="F1560">
        <v>0</v>
      </c>
      <c r="G1560">
        <v>1684</v>
      </c>
      <c r="H1560">
        <v>1</v>
      </c>
      <c r="I1560" t="s">
        <v>220</v>
      </c>
      <c r="J1560">
        <v>2</v>
      </c>
      <c r="K1560" s="6">
        <v>3.99</v>
      </c>
      <c r="L1560" t="s">
        <v>174</v>
      </c>
      <c r="M1560">
        <v>0</v>
      </c>
      <c r="N1560" t="s">
        <v>175</v>
      </c>
      <c r="O1560">
        <v>1</v>
      </c>
      <c r="P1560">
        <v>0</v>
      </c>
      <c r="Q1560" s="6">
        <v>39.5</v>
      </c>
      <c r="R1560">
        <v>1</v>
      </c>
      <c r="S1560" s="6">
        <v>5582</v>
      </c>
      <c r="T1560">
        <v>0</v>
      </c>
      <c r="U1560" s="6">
        <v>1574</v>
      </c>
      <c r="V1560">
        <v>0</v>
      </c>
      <c r="W1560">
        <v>0</v>
      </c>
      <c r="X1560">
        <v>1</v>
      </c>
      <c r="Y1560" s="6">
        <v>50.6</v>
      </c>
      <c r="Z1560">
        <v>2.1000000000000001E-2</v>
      </c>
      <c r="AA1560">
        <v>0.10100000000000001</v>
      </c>
      <c r="AB1560">
        <v>5.5E-2</v>
      </c>
      <c r="AC1560">
        <v>6</v>
      </c>
      <c r="AD1560" s="6">
        <v>50</v>
      </c>
      <c r="AE1560" s="6">
        <v>50</v>
      </c>
      <c r="AF1560" s="6">
        <v>0</v>
      </c>
      <c r="AG1560" s="6">
        <v>53.55</v>
      </c>
      <c r="AH1560" s="6">
        <v>71.09</v>
      </c>
      <c r="AI1560" s="6">
        <f t="shared" si="48"/>
        <v>17.540000000000006</v>
      </c>
      <c r="AJ1560" s="5">
        <f t="shared" si="49"/>
        <v>0.2467294978196653</v>
      </c>
    </row>
    <row r="1561" spans="1:36">
      <c r="A1561" t="s">
        <v>212</v>
      </c>
      <c r="B1561" t="s">
        <v>1846</v>
      </c>
      <c r="C1561" t="s">
        <v>94</v>
      </c>
      <c r="D1561" t="s">
        <v>96</v>
      </c>
      <c r="E1561" t="s">
        <v>55</v>
      </c>
      <c r="F1561">
        <v>0</v>
      </c>
      <c r="G1561">
        <v>1684</v>
      </c>
      <c r="H1561">
        <v>1</v>
      </c>
      <c r="I1561" t="s">
        <v>178</v>
      </c>
      <c r="J1561">
        <v>4</v>
      </c>
      <c r="K1561" s="6">
        <v>5.95</v>
      </c>
      <c r="L1561" t="s">
        <v>174</v>
      </c>
      <c r="M1561">
        <v>0</v>
      </c>
      <c r="N1561" t="s">
        <v>187</v>
      </c>
      <c r="O1561">
        <v>2</v>
      </c>
      <c r="P1561">
        <v>0</v>
      </c>
      <c r="Q1561" s="6">
        <v>70.5</v>
      </c>
      <c r="R1561">
        <v>0</v>
      </c>
      <c r="S1561" s="6">
        <v>0</v>
      </c>
      <c r="T1561">
        <v>0</v>
      </c>
      <c r="U1561" s="6">
        <v>1712</v>
      </c>
      <c r="V1561">
        <v>0</v>
      </c>
      <c r="W1561">
        <v>0</v>
      </c>
      <c r="X1561">
        <v>0</v>
      </c>
      <c r="Y1561" s="6">
        <v>50.6</v>
      </c>
      <c r="Z1561">
        <v>2.1000000000000001E-2</v>
      </c>
      <c r="AA1561">
        <v>0.10100000000000001</v>
      </c>
      <c r="AB1561">
        <v>5.5E-2</v>
      </c>
      <c r="AC1561">
        <v>6</v>
      </c>
      <c r="AD1561" s="6">
        <v>65</v>
      </c>
      <c r="AE1561" s="6">
        <v>0</v>
      </c>
      <c r="AF1561" s="6">
        <v>0</v>
      </c>
      <c r="AG1561" s="6">
        <v>94.68</v>
      </c>
      <c r="AH1561" s="6">
        <v>119.12</v>
      </c>
      <c r="AI1561" s="6">
        <f t="shared" si="48"/>
        <v>24.439999999999998</v>
      </c>
      <c r="AJ1561" s="5">
        <f t="shared" si="49"/>
        <v>0.20517125587642709</v>
      </c>
    </row>
    <row r="1562" spans="1:36">
      <c r="A1562" t="s">
        <v>185</v>
      </c>
      <c r="B1562" t="s">
        <v>1847</v>
      </c>
      <c r="C1562" t="s">
        <v>94</v>
      </c>
      <c r="D1562" t="s">
        <v>96</v>
      </c>
      <c r="E1562" t="s">
        <v>55</v>
      </c>
      <c r="F1562">
        <v>0</v>
      </c>
      <c r="G1562">
        <v>1684</v>
      </c>
      <c r="H1562">
        <v>1</v>
      </c>
      <c r="I1562" t="s">
        <v>173</v>
      </c>
      <c r="J1562">
        <v>1</v>
      </c>
      <c r="K1562" s="6">
        <v>1.6</v>
      </c>
      <c r="L1562" t="s">
        <v>174</v>
      </c>
      <c r="M1562">
        <v>0</v>
      </c>
      <c r="N1562" t="s">
        <v>182</v>
      </c>
      <c r="O1562">
        <v>3</v>
      </c>
      <c r="P1562">
        <v>0</v>
      </c>
      <c r="Q1562" s="6">
        <v>103.4</v>
      </c>
      <c r="R1562">
        <v>0</v>
      </c>
      <c r="S1562" s="6">
        <v>0</v>
      </c>
      <c r="T1562">
        <v>0</v>
      </c>
      <c r="U1562" s="6">
        <v>5283</v>
      </c>
      <c r="V1562">
        <v>0</v>
      </c>
      <c r="W1562">
        <v>0</v>
      </c>
      <c r="X1562">
        <v>0</v>
      </c>
      <c r="Y1562" s="6">
        <v>50.6</v>
      </c>
      <c r="Z1562">
        <v>2.1000000000000001E-2</v>
      </c>
      <c r="AA1562">
        <v>0.10100000000000001</v>
      </c>
      <c r="AB1562">
        <v>5.5E-2</v>
      </c>
      <c r="AC1562">
        <v>6</v>
      </c>
      <c r="AD1562" s="6">
        <v>50</v>
      </c>
      <c r="AE1562" s="6">
        <v>0</v>
      </c>
      <c r="AF1562" s="6">
        <v>0</v>
      </c>
      <c r="AG1562" s="6">
        <v>64.010000000000005</v>
      </c>
      <c r="AH1562" s="6">
        <v>83.64</v>
      </c>
      <c r="AI1562" s="6">
        <f t="shared" si="48"/>
        <v>19.629999999999995</v>
      </c>
      <c r="AJ1562" s="5">
        <f t="shared" si="49"/>
        <v>0.23469631755141077</v>
      </c>
    </row>
    <row r="1563" spans="1:36">
      <c r="A1563" t="s">
        <v>240</v>
      </c>
      <c r="B1563" t="s">
        <v>1848</v>
      </c>
      <c r="C1563" t="s">
        <v>94</v>
      </c>
      <c r="D1563" t="s">
        <v>96</v>
      </c>
      <c r="E1563" t="s">
        <v>55</v>
      </c>
      <c r="F1563">
        <v>0</v>
      </c>
      <c r="G1563">
        <v>1684</v>
      </c>
      <c r="H1563">
        <v>1</v>
      </c>
      <c r="I1563" t="s">
        <v>173</v>
      </c>
      <c r="J1563">
        <v>1</v>
      </c>
      <c r="K1563" s="6">
        <v>1.97</v>
      </c>
      <c r="L1563" t="s">
        <v>174</v>
      </c>
      <c r="M1563">
        <v>0</v>
      </c>
      <c r="N1563" t="s">
        <v>175</v>
      </c>
      <c r="O1563">
        <v>1</v>
      </c>
      <c r="P1563">
        <v>0</v>
      </c>
      <c r="Q1563" s="6">
        <v>22.8</v>
      </c>
      <c r="R1563">
        <v>1</v>
      </c>
      <c r="S1563" s="6">
        <v>945</v>
      </c>
      <c r="T1563">
        <v>0</v>
      </c>
      <c r="U1563" s="6">
        <v>4552</v>
      </c>
      <c r="V1563">
        <v>0</v>
      </c>
      <c r="W1563">
        <v>0</v>
      </c>
      <c r="X1563">
        <v>0</v>
      </c>
      <c r="Y1563" s="6">
        <v>50.6</v>
      </c>
      <c r="Z1563">
        <v>2.1000000000000001E-2</v>
      </c>
      <c r="AA1563">
        <v>0.10100000000000001</v>
      </c>
      <c r="AB1563">
        <v>5.5E-2</v>
      </c>
      <c r="AC1563">
        <v>6</v>
      </c>
      <c r="AD1563" s="6">
        <v>50</v>
      </c>
      <c r="AE1563" s="6">
        <v>25</v>
      </c>
      <c r="AF1563" s="6">
        <v>0</v>
      </c>
      <c r="AG1563" s="6">
        <v>54.64</v>
      </c>
      <c r="AH1563" s="6">
        <v>71.36</v>
      </c>
      <c r="AI1563" s="6">
        <f t="shared" si="48"/>
        <v>16.72</v>
      </c>
      <c r="AJ1563" s="5">
        <f t="shared" si="49"/>
        <v>0.23430493273542599</v>
      </c>
    </row>
    <row r="1564" spans="1:36">
      <c r="A1564" t="s">
        <v>517</v>
      </c>
      <c r="B1564" t="s">
        <v>1849</v>
      </c>
      <c r="C1564" t="s">
        <v>94</v>
      </c>
      <c r="D1564" t="s">
        <v>96</v>
      </c>
      <c r="E1564" t="s">
        <v>55</v>
      </c>
      <c r="F1564">
        <v>0</v>
      </c>
      <c r="G1564">
        <v>1684</v>
      </c>
      <c r="H1564">
        <v>1</v>
      </c>
      <c r="I1564" t="s">
        <v>173</v>
      </c>
      <c r="J1564">
        <v>1</v>
      </c>
      <c r="K1564" s="6">
        <v>1.67</v>
      </c>
      <c r="L1564" t="s">
        <v>174</v>
      </c>
      <c r="M1564">
        <v>0</v>
      </c>
      <c r="N1564" t="s">
        <v>175</v>
      </c>
      <c r="O1564">
        <v>1</v>
      </c>
      <c r="P1564">
        <v>0</v>
      </c>
      <c r="Q1564" s="6">
        <v>38.4</v>
      </c>
      <c r="R1564">
        <v>1</v>
      </c>
      <c r="S1564" s="6">
        <v>741</v>
      </c>
      <c r="T1564">
        <v>0</v>
      </c>
      <c r="U1564" s="6">
        <v>2712</v>
      </c>
      <c r="V1564">
        <v>0</v>
      </c>
      <c r="W1564">
        <v>0</v>
      </c>
      <c r="X1564">
        <v>0</v>
      </c>
      <c r="Y1564" s="6">
        <v>50.6</v>
      </c>
      <c r="Z1564">
        <v>2.1000000000000001E-2</v>
      </c>
      <c r="AA1564">
        <v>0.10100000000000001</v>
      </c>
      <c r="AB1564">
        <v>5.5E-2</v>
      </c>
      <c r="AC1564">
        <v>6</v>
      </c>
      <c r="AD1564" s="6">
        <v>50</v>
      </c>
      <c r="AE1564" s="6">
        <v>25</v>
      </c>
      <c r="AF1564" s="6">
        <v>0</v>
      </c>
      <c r="AG1564" s="6">
        <v>52.16</v>
      </c>
      <c r="AH1564" s="6">
        <v>68.3</v>
      </c>
      <c r="AI1564" s="6">
        <f t="shared" si="48"/>
        <v>16.14</v>
      </c>
      <c r="AJ1564" s="5">
        <f t="shared" si="49"/>
        <v>0.23631039531478773</v>
      </c>
    </row>
    <row r="1565" spans="1:36">
      <c r="A1565" t="s">
        <v>247</v>
      </c>
      <c r="B1565" t="s">
        <v>1850</v>
      </c>
      <c r="C1565" t="s">
        <v>94</v>
      </c>
      <c r="D1565" t="s">
        <v>96</v>
      </c>
      <c r="E1565" t="s">
        <v>55</v>
      </c>
      <c r="F1565">
        <v>0</v>
      </c>
      <c r="G1565">
        <v>1684</v>
      </c>
      <c r="H1565">
        <v>1</v>
      </c>
      <c r="I1565" t="s">
        <v>173</v>
      </c>
      <c r="J1565">
        <v>1</v>
      </c>
      <c r="K1565" s="6">
        <v>1.1399999999999999</v>
      </c>
      <c r="L1565" t="s">
        <v>174</v>
      </c>
      <c r="M1565">
        <v>0</v>
      </c>
      <c r="N1565" t="s">
        <v>187</v>
      </c>
      <c r="O1565">
        <v>2</v>
      </c>
      <c r="P1565">
        <v>0</v>
      </c>
      <c r="Q1565" s="6">
        <v>51.2</v>
      </c>
      <c r="R1565">
        <v>0</v>
      </c>
      <c r="S1565" s="6">
        <v>0</v>
      </c>
      <c r="T1565">
        <v>0</v>
      </c>
      <c r="U1565" s="6">
        <v>1284</v>
      </c>
      <c r="V1565">
        <v>0</v>
      </c>
      <c r="W1565">
        <v>0</v>
      </c>
      <c r="X1565">
        <v>0</v>
      </c>
      <c r="Y1565" s="6">
        <v>50.6</v>
      </c>
      <c r="Z1565">
        <v>2.1000000000000001E-2</v>
      </c>
      <c r="AA1565">
        <v>0.10100000000000001</v>
      </c>
      <c r="AB1565">
        <v>5.5E-2</v>
      </c>
      <c r="AC1565">
        <v>6</v>
      </c>
      <c r="AD1565" s="6">
        <v>50</v>
      </c>
      <c r="AE1565" s="6">
        <v>0</v>
      </c>
      <c r="AF1565" s="6">
        <v>0</v>
      </c>
      <c r="AG1565" s="6">
        <v>47.11</v>
      </c>
      <c r="AH1565" s="6">
        <v>62.85</v>
      </c>
      <c r="AI1565" s="6">
        <f t="shared" si="48"/>
        <v>15.740000000000002</v>
      </c>
      <c r="AJ1565" s="5">
        <f t="shared" si="49"/>
        <v>0.25043754972155929</v>
      </c>
    </row>
    <row r="1566" spans="1:36">
      <c r="A1566" t="s">
        <v>210</v>
      </c>
      <c r="B1566" t="s">
        <v>1851</v>
      </c>
      <c r="C1566" t="s">
        <v>94</v>
      </c>
      <c r="D1566" t="s">
        <v>96</v>
      </c>
      <c r="E1566" t="s">
        <v>55</v>
      </c>
      <c r="F1566">
        <v>0</v>
      </c>
      <c r="G1566">
        <v>1684</v>
      </c>
      <c r="H1566">
        <v>1</v>
      </c>
      <c r="I1566" t="s">
        <v>173</v>
      </c>
      <c r="J1566">
        <v>1</v>
      </c>
      <c r="K1566" s="6">
        <v>1.96</v>
      </c>
      <c r="L1566" t="s">
        <v>174</v>
      </c>
      <c r="M1566">
        <v>0</v>
      </c>
      <c r="N1566" t="s">
        <v>187</v>
      </c>
      <c r="O1566">
        <v>2</v>
      </c>
      <c r="P1566">
        <v>0</v>
      </c>
      <c r="Q1566" s="6">
        <v>59.2</v>
      </c>
      <c r="R1566">
        <v>1</v>
      </c>
      <c r="S1566" s="6">
        <v>2106</v>
      </c>
      <c r="T1566">
        <v>0</v>
      </c>
      <c r="U1566" s="6">
        <v>3215</v>
      </c>
      <c r="V1566">
        <v>0</v>
      </c>
      <c r="W1566">
        <v>0</v>
      </c>
      <c r="X1566">
        <v>0</v>
      </c>
      <c r="Y1566" s="6">
        <v>50.6</v>
      </c>
      <c r="Z1566">
        <v>2.1000000000000001E-2</v>
      </c>
      <c r="AA1566">
        <v>0.10100000000000001</v>
      </c>
      <c r="AB1566">
        <v>5.5E-2</v>
      </c>
      <c r="AC1566">
        <v>6</v>
      </c>
      <c r="AD1566" s="6">
        <v>50</v>
      </c>
      <c r="AE1566" s="6">
        <v>40</v>
      </c>
      <c r="AF1566" s="6">
        <v>0</v>
      </c>
      <c r="AG1566" s="6">
        <v>60.98</v>
      </c>
      <c r="AH1566" s="6">
        <v>80.790000000000006</v>
      </c>
      <c r="AI1566" s="6">
        <f t="shared" si="48"/>
        <v>19.810000000000009</v>
      </c>
      <c r="AJ1566" s="5">
        <f t="shared" si="49"/>
        <v>0.24520361430870166</v>
      </c>
    </row>
    <row r="1567" spans="1:36">
      <c r="A1567" t="s">
        <v>212</v>
      </c>
      <c r="B1567" t="s">
        <v>1852</v>
      </c>
      <c r="C1567" t="s">
        <v>94</v>
      </c>
      <c r="D1567" t="s">
        <v>96</v>
      </c>
      <c r="E1567" t="s">
        <v>55</v>
      </c>
      <c r="F1567">
        <v>0</v>
      </c>
      <c r="G1567">
        <v>1684</v>
      </c>
      <c r="H1567">
        <v>1</v>
      </c>
      <c r="I1567" t="s">
        <v>220</v>
      </c>
      <c r="J1567">
        <v>2</v>
      </c>
      <c r="K1567" s="6">
        <v>3.32</v>
      </c>
      <c r="L1567" t="s">
        <v>174</v>
      </c>
      <c r="M1567">
        <v>0</v>
      </c>
      <c r="N1567" t="s">
        <v>182</v>
      </c>
      <c r="O1567">
        <v>3</v>
      </c>
      <c r="P1567">
        <v>0</v>
      </c>
      <c r="Q1567" s="6">
        <v>109.8</v>
      </c>
      <c r="R1567">
        <v>0</v>
      </c>
      <c r="S1567" s="6">
        <v>0</v>
      </c>
      <c r="T1567">
        <v>0</v>
      </c>
      <c r="U1567" s="6">
        <v>2093</v>
      </c>
      <c r="V1567">
        <v>0</v>
      </c>
      <c r="W1567">
        <v>0</v>
      </c>
      <c r="X1567">
        <v>0</v>
      </c>
      <c r="Y1567" s="6">
        <v>50.6</v>
      </c>
      <c r="Z1567">
        <v>2.1000000000000001E-2</v>
      </c>
      <c r="AA1567">
        <v>0.10100000000000001</v>
      </c>
      <c r="AB1567">
        <v>5.5E-2</v>
      </c>
      <c r="AC1567">
        <v>6</v>
      </c>
      <c r="AD1567" s="6">
        <v>50</v>
      </c>
      <c r="AE1567" s="6">
        <v>0</v>
      </c>
      <c r="AF1567" s="6">
        <v>0</v>
      </c>
      <c r="AG1567" s="6">
        <v>70.33</v>
      </c>
      <c r="AH1567" s="6">
        <v>92.65</v>
      </c>
      <c r="AI1567" s="6">
        <f t="shared" si="48"/>
        <v>22.320000000000007</v>
      </c>
      <c r="AJ1567" s="5">
        <f t="shared" si="49"/>
        <v>0.24090663788451167</v>
      </c>
    </row>
    <row r="1568" spans="1:36">
      <c r="A1568" t="s">
        <v>375</v>
      </c>
      <c r="B1568" t="s">
        <v>1853</v>
      </c>
      <c r="C1568" t="s">
        <v>94</v>
      </c>
      <c r="D1568" t="s">
        <v>96</v>
      </c>
      <c r="E1568" t="s">
        <v>55</v>
      </c>
      <c r="F1568">
        <v>0</v>
      </c>
      <c r="G1568">
        <v>1684</v>
      </c>
      <c r="H1568">
        <v>1</v>
      </c>
      <c r="I1568" t="s">
        <v>173</v>
      </c>
      <c r="J1568">
        <v>1</v>
      </c>
      <c r="K1568" s="6">
        <v>2.27</v>
      </c>
      <c r="L1568" t="s">
        <v>174</v>
      </c>
      <c r="M1568">
        <v>0</v>
      </c>
      <c r="N1568" t="s">
        <v>182</v>
      </c>
      <c r="O1568">
        <v>3</v>
      </c>
      <c r="P1568">
        <v>0</v>
      </c>
      <c r="Q1568" s="6">
        <v>101.8</v>
      </c>
      <c r="R1568">
        <v>1</v>
      </c>
      <c r="S1568" s="6">
        <v>6171</v>
      </c>
      <c r="T1568">
        <v>0</v>
      </c>
      <c r="U1568" s="6">
        <v>3840</v>
      </c>
      <c r="V1568">
        <v>0</v>
      </c>
      <c r="W1568">
        <v>0</v>
      </c>
      <c r="X1568">
        <v>0</v>
      </c>
      <c r="Y1568" s="6">
        <v>50.6</v>
      </c>
      <c r="Z1568">
        <v>2.1000000000000001E-2</v>
      </c>
      <c r="AA1568">
        <v>0.10100000000000001</v>
      </c>
      <c r="AB1568">
        <v>5.5E-2</v>
      </c>
      <c r="AC1568">
        <v>6</v>
      </c>
      <c r="AD1568" s="6">
        <v>50</v>
      </c>
      <c r="AE1568" s="6">
        <v>50</v>
      </c>
      <c r="AF1568" s="6">
        <v>0</v>
      </c>
      <c r="AG1568" s="6">
        <v>61.54</v>
      </c>
      <c r="AH1568" s="6">
        <v>81.37</v>
      </c>
      <c r="AI1568" s="6">
        <f t="shared" si="48"/>
        <v>19.830000000000005</v>
      </c>
      <c r="AJ1568" s="5">
        <f t="shared" si="49"/>
        <v>0.24370160992994966</v>
      </c>
    </row>
    <row r="1569" spans="1:36">
      <c r="A1569" t="s">
        <v>198</v>
      </c>
      <c r="B1569" t="s">
        <v>1854</v>
      </c>
      <c r="C1569" t="s">
        <v>94</v>
      </c>
      <c r="D1569" t="s">
        <v>96</v>
      </c>
      <c r="E1569" t="s">
        <v>55</v>
      </c>
      <c r="F1569">
        <v>0</v>
      </c>
      <c r="G1569">
        <v>1684</v>
      </c>
      <c r="H1569">
        <v>1</v>
      </c>
      <c r="I1569" t="s">
        <v>220</v>
      </c>
      <c r="J1569">
        <v>2</v>
      </c>
      <c r="K1569" s="6">
        <v>4.51</v>
      </c>
      <c r="L1569" t="s">
        <v>174</v>
      </c>
      <c r="M1569">
        <v>0</v>
      </c>
      <c r="N1569" t="s">
        <v>175</v>
      </c>
      <c r="O1569">
        <v>1</v>
      </c>
      <c r="P1569">
        <v>0</v>
      </c>
      <c r="Q1569" s="6">
        <v>21.6</v>
      </c>
      <c r="R1569">
        <v>1</v>
      </c>
      <c r="S1569" s="6">
        <v>2215</v>
      </c>
      <c r="T1569">
        <v>0</v>
      </c>
      <c r="U1569" s="6">
        <v>1345</v>
      </c>
      <c r="V1569">
        <v>0</v>
      </c>
      <c r="W1569">
        <v>0</v>
      </c>
      <c r="X1569">
        <v>0</v>
      </c>
      <c r="Y1569" s="6">
        <v>50.6</v>
      </c>
      <c r="Z1569">
        <v>2.1000000000000001E-2</v>
      </c>
      <c r="AA1569">
        <v>0.10100000000000001</v>
      </c>
      <c r="AB1569">
        <v>5.5E-2</v>
      </c>
      <c r="AC1569">
        <v>6</v>
      </c>
      <c r="AD1569" s="6">
        <v>50</v>
      </c>
      <c r="AE1569" s="6">
        <v>40</v>
      </c>
      <c r="AF1569" s="6">
        <v>0</v>
      </c>
      <c r="AG1569" s="6">
        <v>63.09</v>
      </c>
      <c r="AH1569" s="6">
        <v>81.62</v>
      </c>
      <c r="AI1569" s="6">
        <f t="shared" si="48"/>
        <v>18.53</v>
      </c>
      <c r="AJ1569" s="5">
        <f t="shared" si="49"/>
        <v>0.22702768929184022</v>
      </c>
    </row>
    <row r="1570" spans="1:36">
      <c r="A1570" t="s">
        <v>194</v>
      </c>
      <c r="B1570" t="s">
        <v>1855</v>
      </c>
      <c r="C1570" t="s">
        <v>94</v>
      </c>
      <c r="D1570" t="s">
        <v>96</v>
      </c>
      <c r="E1570" t="s">
        <v>55</v>
      </c>
      <c r="F1570">
        <v>0</v>
      </c>
      <c r="G1570">
        <v>1684</v>
      </c>
      <c r="H1570">
        <v>1</v>
      </c>
      <c r="I1570" t="s">
        <v>220</v>
      </c>
      <c r="J1570">
        <v>2</v>
      </c>
      <c r="K1570" s="6">
        <v>2.0099999999999998</v>
      </c>
      <c r="L1570" t="s">
        <v>174</v>
      </c>
      <c r="M1570">
        <v>0</v>
      </c>
      <c r="N1570" t="s">
        <v>182</v>
      </c>
      <c r="O1570">
        <v>3</v>
      </c>
      <c r="P1570">
        <v>0</v>
      </c>
      <c r="Q1570" s="6">
        <v>112.8</v>
      </c>
      <c r="R1570">
        <v>1</v>
      </c>
      <c r="S1570" s="6">
        <v>3327</v>
      </c>
      <c r="T1570">
        <v>0</v>
      </c>
      <c r="U1570" s="6">
        <v>7635</v>
      </c>
      <c r="V1570">
        <v>0</v>
      </c>
      <c r="W1570">
        <v>0</v>
      </c>
      <c r="X1570">
        <v>0</v>
      </c>
      <c r="Y1570" s="6">
        <v>50.6</v>
      </c>
      <c r="Z1570">
        <v>2.1000000000000001E-2</v>
      </c>
      <c r="AA1570">
        <v>0.10100000000000001</v>
      </c>
      <c r="AB1570">
        <v>5.5E-2</v>
      </c>
      <c r="AC1570">
        <v>6</v>
      </c>
      <c r="AD1570" s="6">
        <v>50</v>
      </c>
      <c r="AE1570" s="6">
        <v>40</v>
      </c>
      <c r="AF1570" s="6">
        <v>0</v>
      </c>
      <c r="AG1570" s="6">
        <v>70.739999999999995</v>
      </c>
      <c r="AH1570" s="6">
        <v>90.2</v>
      </c>
      <c r="AI1570" s="6">
        <f t="shared" si="48"/>
        <v>19.460000000000008</v>
      </c>
      <c r="AJ1570" s="5">
        <f t="shared" si="49"/>
        <v>0.21574279379157435</v>
      </c>
    </row>
    <row r="1571" spans="1:36">
      <c r="A1571" t="s">
        <v>238</v>
      </c>
      <c r="B1571" t="s">
        <v>1856</v>
      </c>
      <c r="C1571" t="s">
        <v>94</v>
      </c>
      <c r="D1571" t="s">
        <v>96</v>
      </c>
      <c r="E1571" t="s">
        <v>55</v>
      </c>
      <c r="F1571">
        <v>0</v>
      </c>
      <c r="G1571">
        <v>1684</v>
      </c>
      <c r="H1571">
        <v>1</v>
      </c>
      <c r="I1571" t="s">
        <v>173</v>
      </c>
      <c r="J1571">
        <v>1</v>
      </c>
      <c r="K1571" s="6">
        <v>1.1499999999999999</v>
      </c>
      <c r="L1571" t="s">
        <v>174</v>
      </c>
      <c r="M1571">
        <v>0</v>
      </c>
      <c r="N1571" t="s">
        <v>187</v>
      </c>
      <c r="O1571">
        <v>2</v>
      </c>
      <c r="P1571">
        <v>0</v>
      </c>
      <c r="Q1571" s="6">
        <v>55.8</v>
      </c>
      <c r="R1571">
        <v>0</v>
      </c>
      <c r="S1571" s="6">
        <v>0</v>
      </c>
      <c r="T1571">
        <v>0</v>
      </c>
      <c r="U1571" s="6">
        <v>2351</v>
      </c>
      <c r="V1571">
        <v>0</v>
      </c>
      <c r="W1571">
        <v>0</v>
      </c>
      <c r="X1571">
        <v>0</v>
      </c>
      <c r="Y1571" s="6">
        <v>50.6</v>
      </c>
      <c r="Z1571">
        <v>2.1000000000000001E-2</v>
      </c>
      <c r="AA1571">
        <v>0.10100000000000001</v>
      </c>
      <c r="AB1571">
        <v>5.5E-2</v>
      </c>
      <c r="AC1571">
        <v>6</v>
      </c>
      <c r="AD1571" s="6">
        <v>50</v>
      </c>
      <c r="AE1571" s="6">
        <v>0</v>
      </c>
      <c r="AF1571" s="6">
        <v>0</v>
      </c>
      <c r="AG1571" s="6">
        <v>57.96</v>
      </c>
      <c r="AH1571" s="6">
        <v>76</v>
      </c>
      <c r="AI1571" s="6">
        <f t="shared" si="48"/>
        <v>18.04</v>
      </c>
      <c r="AJ1571" s="5">
        <f t="shared" si="49"/>
        <v>0.23736842105263156</v>
      </c>
    </row>
    <row r="1572" spans="1:36">
      <c r="A1572" t="s">
        <v>258</v>
      </c>
      <c r="B1572" t="s">
        <v>1857</v>
      </c>
      <c r="C1572" t="s">
        <v>94</v>
      </c>
      <c r="D1572" t="s">
        <v>96</v>
      </c>
      <c r="E1572" t="s">
        <v>55</v>
      </c>
      <c r="F1572">
        <v>0</v>
      </c>
      <c r="G1572">
        <v>1684</v>
      </c>
      <c r="H1572">
        <v>1</v>
      </c>
      <c r="I1572" t="s">
        <v>173</v>
      </c>
      <c r="J1572">
        <v>1</v>
      </c>
      <c r="K1572" s="6">
        <v>1.37</v>
      </c>
      <c r="L1572" t="s">
        <v>174</v>
      </c>
      <c r="M1572">
        <v>0</v>
      </c>
      <c r="N1572" t="s">
        <v>175</v>
      </c>
      <c r="O1572">
        <v>1</v>
      </c>
      <c r="P1572">
        <v>0</v>
      </c>
      <c r="Q1572" s="6">
        <v>41.3</v>
      </c>
      <c r="R1572">
        <v>1</v>
      </c>
      <c r="S1572" s="6">
        <v>961</v>
      </c>
      <c r="T1572">
        <v>0</v>
      </c>
      <c r="U1572" s="6">
        <v>2974</v>
      </c>
      <c r="V1572">
        <v>0</v>
      </c>
      <c r="W1572">
        <v>0</v>
      </c>
      <c r="X1572">
        <v>0</v>
      </c>
      <c r="Y1572" s="6">
        <v>50.6</v>
      </c>
      <c r="Z1572">
        <v>2.1000000000000001E-2</v>
      </c>
      <c r="AA1572">
        <v>0.10100000000000001</v>
      </c>
      <c r="AB1572">
        <v>5.5E-2</v>
      </c>
      <c r="AC1572">
        <v>6</v>
      </c>
      <c r="AD1572" s="6">
        <v>50</v>
      </c>
      <c r="AE1572" s="6">
        <v>25</v>
      </c>
      <c r="AF1572" s="6">
        <v>0</v>
      </c>
      <c r="AG1572" s="6">
        <v>52.91</v>
      </c>
      <c r="AH1572" s="6">
        <v>69.900000000000006</v>
      </c>
      <c r="AI1572" s="6">
        <f t="shared" si="48"/>
        <v>16.990000000000009</v>
      </c>
      <c r="AJ1572" s="5">
        <f t="shared" si="49"/>
        <v>0.24306151645207449</v>
      </c>
    </row>
    <row r="1573" spans="1:36">
      <c r="A1573" t="s">
        <v>196</v>
      </c>
      <c r="B1573" t="s">
        <v>1858</v>
      </c>
      <c r="C1573" t="s">
        <v>94</v>
      </c>
      <c r="D1573" t="s">
        <v>96</v>
      </c>
      <c r="E1573" t="s">
        <v>55</v>
      </c>
      <c r="F1573">
        <v>0</v>
      </c>
      <c r="G1573">
        <v>1684</v>
      </c>
      <c r="H1573">
        <v>1</v>
      </c>
      <c r="I1573" t="s">
        <v>173</v>
      </c>
      <c r="J1573">
        <v>1</v>
      </c>
      <c r="K1573" s="6">
        <v>2.27</v>
      </c>
      <c r="L1573" t="s">
        <v>174</v>
      </c>
      <c r="M1573">
        <v>0</v>
      </c>
      <c r="N1573" t="s">
        <v>175</v>
      </c>
      <c r="O1573">
        <v>1</v>
      </c>
      <c r="P1573">
        <v>0</v>
      </c>
      <c r="Q1573" s="6">
        <v>38.200000000000003</v>
      </c>
      <c r="R1573">
        <v>0</v>
      </c>
      <c r="S1573" s="6">
        <v>0</v>
      </c>
      <c r="T1573">
        <v>0</v>
      </c>
      <c r="U1573" s="6">
        <v>2534</v>
      </c>
      <c r="V1573">
        <v>0</v>
      </c>
      <c r="W1573">
        <v>0</v>
      </c>
      <c r="X1573">
        <v>1</v>
      </c>
      <c r="Y1573" s="6">
        <v>50.6</v>
      </c>
      <c r="Z1573">
        <v>2.1000000000000001E-2</v>
      </c>
      <c r="AA1573">
        <v>0.10100000000000001</v>
      </c>
      <c r="AB1573">
        <v>5.5E-2</v>
      </c>
      <c r="AC1573">
        <v>6</v>
      </c>
      <c r="AD1573" s="6">
        <v>50</v>
      </c>
      <c r="AE1573" s="6">
        <v>0</v>
      </c>
      <c r="AF1573" s="6">
        <v>0</v>
      </c>
      <c r="AG1573" s="6">
        <v>51.26</v>
      </c>
      <c r="AH1573" s="6">
        <v>64.319999999999993</v>
      </c>
      <c r="AI1573" s="6">
        <f t="shared" si="48"/>
        <v>13.059999999999995</v>
      </c>
      <c r="AJ1573" s="5">
        <f t="shared" si="49"/>
        <v>0.20304726368159198</v>
      </c>
    </row>
    <row r="1574" spans="1:36">
      <c r="A1574" t="s">
        <v>481</v>
      </c>
      <c r="B1574" t="s">
        <v>1859</v>
      </c>
      <c r="C1574" t="s">
        <v>94</v>
      </c>
      <c r="D1574" t="s">
        <v>96</v>
      </c>
      <c r="E1574" t="s">
        <v>55</v>
      </c>
      <c r="F1574">
        <v>0</v>
      </c>
      <c r="G1574">
        <v>1684</v>
      </c>
      <c r="H1574">
        <v>1</v>
      </c>
      <c r="I1574" t="s">
        <v>173</v>
      </c>
      <c r="J1574">
        <v>1</v>
      </c>
      <c r="K1574" s="6">
        <v>1.79</v>
      </c>
      <c r="L1574" t="s">
        <v>174</v>
      </c>
      <c r="M1574">
        <v>0</v>
      </c>
      <c r="N1574" t="s">
        <v>187</v>
      </c>
      <c r="O1574">
        <v>2</v>
      </c>
      <c r="P1574">
        <v>0</v>
      </c>
      <c r="Q1574" s="6">
        <v>74.099999999999994</v>
      </c>
      <c r="R1574">
        <v>1</v>
      </c>
      <c r="S1574" s="6">
        <v>1521</v>
      </c>
      <c r="T1574">
        <v>0</v>
      </c>
      <c r="U1574" s="6">
        <v>1929</v>
      </c>
      <c r="V1574">
        <v>0</v>
      </c>
      <c r="W1574">
        <v>0</v>
      </c>
      <c r="X1574">
        <v>0</v>
      </c>
      <c r="Y1574" s="6">
        <v>50.6</v>
      </c>
      <c r="Z1574">
        <v>2.1000000000000001E-2</v>
      </c>
      <c r="AA1574">
        <v>0.10100000000000001</v>
      </c>
      <c r="AB1574">
        <v>5.5E-2</v>
      </c>
      <c r="AC1574">
        <v>6</v>
      </c>
      <c r="AD1574" s="6">
        <v>50</v>
      </c>
      <c r="AE1574" s="6">
        <v>25</v>
      </c>
      <c r="AF1574" s="6">
        <v>0</v>
      </c>
      <c r="AG1574" s="6">
        <v>58.49</v>
      </c>
      <c r="AH1574" s="6">
        <v>77.599999999999994</v>
      </c>
      <c r="AI1574" s="6">
        <f t="shared" si="48"/>
        <v>19.109999999999992</v>
      </c>
      <c r="AJ1574" s="5">
        <f t="shared" si="49"/>
        <v>0.24626288659793807</v>
      </c>
    </row>
    <row r="1575" spans="1:36">
      <c r="A1575" t="s">
        <v>330</v>
      </c>
      <c r="B1575" t="s">
        <v>1860</v>
      </c>
      <c r="C1575" t="s">
        <v>94</v>
      </c>
      <c r="D1575" t="s">
        <v>96</v>
      </c>
      <c r="E1575" t="s">
        <v>55</v>
      </c>
      <c r="F1575">
        <v>0</v>
      </c>
      <c r="G1575">
        <v>1684</v>
      </c>
      <c r="H1575">
        <v>1</v>
      </c>
      <c r="I1575" t="s">
        <v>173</v>
      </c>
      <c r="J1575">
        <v>1</v>
      </c>
      <c r="K1575" s="6">
        <v>2.79</v>
      </c>
      <c r="L1575" t="s">
        <v>174</v>
      </c>
      <c r="M1575">
        <v>0</v>
      </c>
      <c r="N1575" t="s">
        <v>175</v>
      </c>
      <c r="O1575">
        <v>1</v>
      </c>
      <c r="P1575">
        <v>0</v>
      </c>
      <c r="Q1575" s="6">
        <v>25.4</v>
      </c>
      <c r="R1575">
        <v>1</v>
      </c>
      <c r="S1575" s="6">
        <v>2079</v>
      </c>
      <c r="T1575">
        <v>0</v>
      </c>
      <c r="U1575" s="6">
        <v>5927</v>
      </c>
      <c r="V1575">
        <v>1</v>
      </c>
      <c r="W1575">
        <v>0</v>
      </c>
      <c r="X1575">
        <v>0</v>
      </c>
      <c r="Y1575" s="6">
        <v>50.6</v>
      </c>
      <c r="Z1575">
        <v>2.1000000000000001E-2</v>
      </c>
      <c r="AA1575">
        <v>0.10100000000000001</v>
      </c>
      <c r="AB1575">
        <v>5.5E-2</v>
      </c>
      <c r="AC1575">
        <v>6</v>
      </c>
      <c r="AD1575" s="6">
        <v>50</v>
      </c>
      <c r="AE1575" s="6">
        <v>40</v>
      </c>
      <c r="AF1575" s="6">
        <v>0</v>
      </c>
      <c r="AG1575" s="6">
        <v>93.5</v>
      </c>
      <c r="AH1575" s="6">
        <v>117.74</v>
      </c>
      <c r="AI1575" s="6">
        <f t="shared" si="48"/>
        <v>24.239999999999995</v>
      </c>
      <c r="AJ1575" s="5">
        <f t="shared" si="49"/>
        <v>0.20587735688805839</v>
      </c>
    </row>
    <row r="1576" spans="1:36">
      <c r="A1576" t="s">
        <v>236</v>
      </c>
      <c r="B1576" t="s">
        <v>1861</v>
      </c>
      <c r="C1576" t="s">
        <v>94</v>
      </c>
      <c r="D1576" t="s">
        <v>96</v>
      </c>
      <c r="E1576" t="s">
        <v>55</v>
      </c>
      <c r="F1576">
        <v>0</v>
      </c>
      <c r="G1576">
        <v>1684</v>
      </c>
      <c r="H1576">
        <v>1</v>
      </c>
      <c r="I1576" t="s">
        <v>181</v>
      </c>
      <c r="J1576">
        <v>3</v>
      </c>
      <c r="K1576" s="6">
        <v>7.61</v>
      </c>
      <c r="L1576" t="s">
        <v>174</v>
      </c>
      <c r="M1576">
        <v>0</v>
      </c>
      <c r="N1576" t="s">
        <v>182</v>
      </c>
      <c r="O1576">
        <v>3</v>
      </c>
      <c r="P1576">
        <v>0</v>
      </c>
      <c r="Q1576" s="6">
        <v>121.2</v>
      </c>
      <c r="R1576">
        <v>1</v>
      </c>
      <c r="S1576" s="6">
        <v>4183</v>
      </c>
      <c r="T1576">
        <v>0</v>
      </c>
      <c r="U1576" s="6">
        <v>6272</v>
      </c>
      <c r="V1576">
        <v>0</v>
      </c>
      <c r="W1576">
        <v>0</v>
      </c>
      <c r="X1576">
        <v>0</v>
      </c>
      <c r="Y1576" s="6">
        <v>50.6</v>
      </c>
      <c r="Z1576">
        <v>2.1000000000000001E-2</v>
      </c>
      <c r="AA1576">
        <v>0.10100000000000001</v>
      </c>
      <c r="AB1576">
        <v>5.5E-2</v>
      </c>
      <c r="AC1576">
        <v>6</v>
      </c>
      <c r="AD1576" s="6">
        <v>60</v>
      </c>
      <c r="AE1576" s="6">
        <v>40</v>
      </c>
      <c r="AF1576" s="6">
        <v>0</v>
      </c>
      <c r="AG1576" s="6">
        <v>88.53</v>
      </c>
      <c r="AH1576" s="6">
        <v>114.23</v>
      </c>
      <c r="AI1576" s="6">
        <f t="shared" si="48"/>
        <v>25.700000000000003</v>
      </c>
      <c r="AJ1576" s="5">
        <f t="shared" si="49"/>
        <v>0.22498468003151539</v>
      </c>
    </row>
    <row r="1577" spans="1:36">
      <c r="A1577" t="s">
        <v>188</v>
      </c>
      <c r="B1577" t="s">
        <v>1862</v>
      </c>
      <c r="C1577" t="s">
        <v>94</v>
      </c>
      <c r="D1577" t="s">
        <v>96</v>
      </c>
      <c r="E1577" t="s">
        <v>55</v>
      </c>
      <c r="F1577">
        <v>0</v>
      </c>
      <c r="G1577">
        <v>1684</v>
      </c>
      <c r="H1577">
        <v>1</v>
      </c>
      <c r="I1577" t="s">
        <v>173</v>
      </c>
      <c r="J1577">
        <v>1</v>
      </c>
      <c r="K1577" s="6">
        <v>1.55</v>
      </c>
      <c r="L1577" t="s">
        <v>174</v>
      </c>
      <c r="M1577">
        <v>0</v>
      </c>
      <c r="N1577" t="s">
        <v>217</v>
      </c>
      <c r="O1577">
        <v>4</v>
      </c>
      <c r="P1577">
        <v>1</v>
      </c>
      <c r="Q1577" s="6">
        <v>150.69999999999999</v>
      </c>
      <c r="R1577">
        <v>1</v>
      </c>
      <c r="S1577" s="6">
        <v>1197</v>
      </c>
      <c r="T1577">
        <v>0</v>
      </c>
      <c r="U1577" s="6">
        <v>3705</v>
      </c>
      <c r="V1577">
        <v>0</v>
      </c>
      <c r="W1577">
        <v>0</v>
      </c>
      <c r="X1577">
        <v>0</v>
      </c>
      <c r="Y1577" s="6">
        <v>50.6</v>
      </c>
      <c r="Z1577">
        <v>2.1000000000000001E-2</v>
      </c>
      <c r="AA1577">
        <v>0.10100000000000001</v>
      </c>
      <c r="AB1577">
        <v>5.5E-2</v>
      </c>
      <c r="AC1577">
        <v>6</v>
      </c>
      <c r="AD1577" s="6">
        <v>50</v>
      </c>
      <c r="AE1577" s="6">
        <v>25</v>
      </c>
      <c r="AF1577" s="6">
        <v>0</v>
      </c>
      <c r="AG1577" s="6">
        <v>100.41</v>
      </c>
      <c r="AH1577" s="6">
        <v>127.31</v>
      </c>
      <c r="AI1577" s="6">
        <f t="shared" si="48"/>
        <v>26.900000000000006</v>
      </c>
      <c r="AJ1577" s="5">
        <f t="shared" si="49"/>
        <v>0.21129526352996628</v>
      </c>
    </row>
    <row r="1578" spans="1:36">
      <c r="A1578" t="s">
        <v>691</v>
      </c>
      <c r="B1578" t="s">
        <v>1863</v>
      </c>
      <c r="C1578" t="s">
        <v>94</v>
      </c>
      <c r="D1578" t="s">
        <v>96</v>
      </c>
      <c r="E1578" t="s">
        <v>55</v>
      </c>
      <c r="F1578">
        <v>0</v>
      </c>
      <c r="G1578">
        <v>1684</v>
      </c>
      <c r="H1578">
        <v>1</v>
      </c>
      <c r="I1578" t="s">
        <v>173</v>
      </c>
      <c r="J1578">
        <v>1</v>
      </c>
      <c r="K1578" s="6">
        <v>1.74</v>
      </c>
      <c r="L1578" t="s">
        <v>174</v>
      </c>
      <c r="M1578">
        <v>0</v>
      </c>
      <c r="N1578" t="s">
        <v>217</v>
      </c>
      <c r="O1578">
        <v>4</v>
      </c>
      <c r="P1578">
        <v>1</v>
      </c>
      <c r="Q1578" s="6">
        <v>122.5</v>
      </c>
      <c r="R1578">
        <v>1</v>
      </c>
      <c r="S1578" s="6">
        <v>3040</v>
      </c>
      <c r="T1578">
        <v>0</v>
      </c>
      <c r="U1578" s="6">
        <v>1799</v>
      </c>
      <c r="V1578">
        <v>0</v>
      </c>
      <c r="W1578">
        <v>0</v>
      </c>
      <c r="X1578">
        <v>0</v>
      </c>
      <c r="Y1578" s="6">
        <v>50.6</v>
      </c>
      <c r="Z1578">
        <v>2.1000000000000001E-2</v>
      </c>
      <c r="AA1578">
        <v>0.10100000000000001</v>
      </c>
      <c r="AB1578">
        <v>5.5E-2</v>
      </c>
      <c r="AC1578">
        <v>6</v>
      </c>
      <c r="AD1578" s="6">
        <v>50</v>
      </c>
      <c r="AE1578" s="6">
        <v>40</v>
      </c>
      <c r="AF1578" s="6">
        <v>0</v>
      </c>
      <c r="AG1578" s="6">
        <v>98.78</v>
      </c>
      <c r="AH1578" s="6">
        <v>124.38</v>
      </c>
      <c r="AI1578" s="6">
        <f t="shared" si="48"/>
        <v>25.599999999999994</v>
      </c>
      <c r="AJ1578" s="5">
        <f t="shared" si="49"/>
        <v>0.20582087152275283</v>
      </c>
    </row>
    <row r="1579" spans="1:36">
      <c r="A1579" t="s">
        <v>188</v>
      </c>
      <c r="B1579" t="s">
        <v>1864</v>
      </c>
      <c r="C1579" t="s">
        <v>94</v>
      </c>
      <c r="D1579" t="s">
        <v>96</v>
      </c>
      <c r="E1579" t="s">
        <v>55</v>
      </c>
      <c r="F1579">
        <v>0</v>
      </c>
      <c r="G1579">
        <v>1684</v>
      </c>
      <c r="H1579">
        <v>1</v>
      </c>
      <c r="I1579" t="s">
        <v>173</v>
      </c>
      <c r="J1579">
        <v>1</v>
      </c>
      <c r="K1579" s="6">
        <v>1.88</v>
      </c>
      <c r="L1579" t="s">
        <v>174</v>
      </c>
      <c r="M1579">
        <v>0</v>
      </c>
      <c r="N1579" t="s">
        <v>175</v>
      </c>
      <c r="O1579">
        <v>1</v>
      </c>
      <c r="P1579">
        <v>0</v>
      </c>
      <c r="Q1579" s="6">
        <v>50.8</v>
      </c>
      <c r="R1579">
        <v>1</v>
      </c>
      <c r="S1579" s="6">
        <v>1733</v>
      </c>
      <c r="T1579">
        <v>0</v>
      </c>
      <c r="U1579" s="6">
        <v>1902</v>
      </c>
      <c r="V1579">
        <v>0</v>
      </c>
      <c r="W1579">
        <v>0</v>
      </c>
      <c r="X1579">
        <v>0</v>
      </c>
      <c r="Y1579" s="6">
        <v>50.6</v>
      </c>
      <c r="Z1579">
        <v>2.1000000000000001E-2</v>
      </c>
      <c r="AA1579">
        <v>0.10100000000000001</v>
      </c>
      <c r="AB1579">
        <v>5.5E-2</v>
      </c>
      <c r="AC1579">
        <v>6</v>
      </c>
      <c r="AD1579" s="6">
        <v>50</v>
      </c>
      <c r="AE1579" s="6">
        <v>25</v>
      </c>
      <c r="AF1579" s="6">
        <v>0</v>
      </c>
      <c r="AG1579" s="6">
        <v>61.06</v>
      </c>
      <c r="AH1579" s="6">
        <v>77.599999999999994</v>
      </c>
      <c r="AI1579" s="6">
        <f t="shared" si="48"/>
        <v>16.539999999999992</v>
      </c>
      <c r="AJ1579" s="5">
        <f t="shared" si="49"/>
        <v>0.21314432989690713</v>
      </c>
    </row>
    <row r="1580" spans="1:36">
      <c r="A1580" t="s">
        <v>353</v>
      </c>
      <c r="B1580" t="s">
        <v>1865</v>
      </c>
      <c r="C1580" t="s">
        <v>94</v>
      </c>
      <c r="D1580" t="s">
        <v>96</v>
      </c>
      <c r="E1580" t="s">
        <v>55</v>
      </c>
      <c r="F1580">
        <v>0</v>
      </c>
      <c r="G1580">
        <v>1684</v>
      </c>
      <c r="H1580">
        <v>1</v>
      </c>
      <c r="I1580" t="s">
        <v>220</v>
      </c>
      <c r="J1580">
        <v>2</v>
      </c>
      <c r="K1580" s="6">
        <v>6.11</v>
      </c>
      <c r="L1580" t="s">
        <v>174</v>
      </c>
      <c r="M1580">
        <v>0</v>
      </c>
      <c r="N1580" t="s">
        <v>182</v>
      </c>
      <c r="O1580">
        <v>3</v>
      </c>
      <c r="P1580">
        <v>1</v>
      </c>
      <c r="Q1580" s="6">
        <v>82</v>
      </c>
      <c r="R1580">
        <v>0</v>
      </c>
      <c r="S1580" s="6">
        <v>0</v>
      </c>
      <c r="T1580">
        <v>0</v>
      </c>
      <c r="U1580" s="6">
        <v>3460</v>
      </c>
      <c r="V1580">
        <v>0</v>
      </c>
      <c r="W1580">
        <v>0</v>
      </c>
      <c r="X1580">
        <v>0</v>
      </c>
      <c r="Y1580" s="6">
        <v>50.6</v>
      </c>
      <c r="Z1580">
        <v>2.1000000000000001E-2</v>
      </c>
      <c r="AA1580">
        <v>0.10100000000000001</v>
      </c>
      <c r="AB1580">
        <v>5.5E-2</v>
      </c>
      <c r="AC1580">
        <v>6</v>
      </c>
      <c r="AD1580" s="6">
        <v>50</v>
      </c>
      <c r="AE1580" s="6">
        <v>0</v>
      </c>
      <c r="AF1580" s="6">
        <v>0</v>
      </c>
      <c r="AG1580" s="6">
        <v>85.89</v>
      </c>
      <c r="AH1580" s="6">
        <v>109.86</v>
      </c>
      <c r="AI1580" s="6">
        <f t="shared" si="48"/>
        <v>23.97</v>
      </c>
      <c r="AJ1580" s="5">
        <f t="shared" si="49"/>
        <v>0.21818678317859092</v>
      </c>
    </row>
    <row r="1581" spans="1:36">
      <c r="A1581" t="s">
        <v>348</v>
      </c>
      <c r="B1581" t="s">
        <v>1866</v>
      </c>
      <c r="C1581" t="s">
        <v>94</v>
      </c>
      <c r="D1581" t="s">
        <v>96</v>
      </c>
      <c r="E1581" t="s">
        <v>55</v>
      </c>
      <c r="F1581">
        <v>0</v>
      </c>
      <c r="G1581">
        <v>1684</v>
      </c>
      <c r="H1581">
        <v>1</v>
      </c>
      <c r="I1581" t="s">
        <v>173</v>
      </c>
      <c r="J1581">
        <v>1</v>
      </c>
      <c r="K1581" s="6">
        <v>1.83</v>
      </c>
      <c r="L1581" t="s">
        <v>174</v>
      </c>
      <c r="M1581">
        <v>0</v>
      </c>
      <c r="N1581" t="s">
        <v>217</v>
      </c>
      <c r="O1581">
        <v>4</v>
      </c>
      <c r="P1581">
        <v>1</v>
      </c>
      <c r="Q1581" s="6">
        <v>207.8</v>
      </c>
      <c r="R1581">
        <v>0</v>
      </c>
      <c r="S1581" s="6">
        <v>0</v>
      </c>
      <c r="T1581">
        <v>0</v>
      </c>
      <c r="U1581" s="6">
        <v>3905</v>
      </c>
      <c r="V1581">
        <v>0</v>
      </c>
      <c r="W1581">
        <v>0</v>
      </c>
      <c r="X1581">
        <v>0</v>
      </c>
      <c r="Y1581" s="6">
        <v>50.6</v>
      </c>
      <c r="Z1581">
        <v>2.1000000000000001E-2</v>
      </c>
      <c r="AA1581">
        <v>0.10100000000000001</v>
      </c>
      <c r="AB1581">
        <v>5.5E-2</v>
      </c>
      <c r="AC1581">
        <v>6</v>
      </c>
      <c r="AD1581" s="6">
        <v>50</v>
      </c>
      <c r="AE1581" s="6">
        <v>0</v>
      </c>
      <c r="AF1581" s="6">
        <v>0</v>
      </c>
      <c r="AG1581" s="6">
        <v>100.21</v>
      </c>
      <c r="AH1581" s="6">
        <v>125.63</v>
      </c>
      <c r="AI1581" s="6">
        <f t="shared" si="48"/>
        <v>25.42</v>
      </c>
      <c r="AJ1581" s="5">
        <f t="shared" si="49"/>
        <v>0.20234020536496061</v>
      </c>
    </row>
    <row r="1582" spans="1:36">
      <c r="A1582" t="s">
        <v>411</v>
      </c>
      <c r="B1582" t="s">
        <v>1867</v>
      </c>
      <c r="C1582" t="s">
        <v>94</v>
      </c>
      <c r="D1582" t="s">
        <v>96</v>
      </c>
      <c r="E1582" t="s">
        <v>55</v>
      </c>
      <c r="F1582">
        <v>0</v>
      </c>
      <c r="G1582">
        <v>1684</v>
      </c>
      <c r="H1582">
        <v>1</v>
      </c>
      <c r="I1582" t="s">
        <v>173</v>
      </c>
      <c r="J1582">
        <v>1</v>
      </c>
      <c r="K1582" s="6">
        <v>2.8</v>
      </c>
      <c r="L1582" t="s">
        <v>174</v>
      </c>
      <c r="M1582">
        <v>0</v>
      </c>
      <c r="N1582" t="s">
        <v>187</v>
      </c>
      <c r="O1582">
        <v>2</v>
      </c>
      <c r="P1582">
        <v>0</v>
      </c>
      <c r="Q1582" s="6">
        <v>20.399999999999999</v>
      </c>
      <c r="R1582">
        <v>1</v>
      </c>
      <c r="S1582" s="6">
        <v>654</v>
      </c>
      <c r="T1582">
        <v>0</v>
      </c>
      <c r="U1582" s="6">
        <v>3360</v>
      </c>
      <c r="V1582">
        <v>0</v>
      </c>
      <c r="W1582">
        <v>0</v>
      </c>
      <c r="X1582">
        <v>0</v>
      </c>
      <c r="Y1582" s="6">
        <v>50.6</v>
      </c>
      <c r="Z1582">
        <v>2.1000000000000001E-2</v>
      </c>
      <c r="AA1582">
        <v>0.10100000000000001</v>
      </c>
      <c r="AB1582">
        <v>5.5E-2</v>
      </c>
      <c r="AC1582">
        <v>6</v>
      </c>
      <c r="AD1582" s="6">
        <v>50</v>
      </c>
      <c r="AE1582" s="6">
        <v>25</v>
      </c>
      <c r="AF1582" s="6">
        <v>0</v>
      </c>
      <c r="AG1582" s="6">
        <v>54.75</v>
      </c>
      <c r="AH1582" s="6">
        <v>72.86</v>
      </c>
      <c r="AI1582" s="6">
        <f t="shared" si="48"/>
        <v>18.11</v>
      </c>
      <c r="AJ1582" s="5">
        <f t="shared" si="49"/>
        <v>0.24855888004391985</v>
      </c>
    </row>
    <row r="1583" spans="1:36">
      <c r="A1583" t="s">
        <v>183</v>
      </c>
      <c r="B1583" t="s">
        <v>1868</v>
      </c>
      <c r="C1583" t="s">
        <v>94</v>
      </c>
      <c r="D1583" t="s">
        <v>96</v>
      </c>
      <c r="E1583" t="s">
        <v>55</v>
      </c>
      <c r="F1583">
        <v>0</v>
      </c>
      <c r="G1583">
        <v>1684</v>
      </c>
      <c r="H1583">
        <v>1</v>
      </c>
      <c r="I1583" t="s">
        <v>173</v>
      </c>
      <c r="J1583">
        <v>1</v>
      </c>
      <c r="K1583" s="6">
        <v>1.74</v>
      </c>
      <c r="L1583" t="s">
        <v>200</v>
      </c>
      <c r="M1583">
        <v>1</v>
      </c>
      <c r="N1583" t="s">
        <v>182</v>
      </c>
      <c r="O1583">
        <v>3</v>
      </c>
      <c r="P1583">
        <v>0</v>
      </c>
      <c r="Q1583" s="6">
        <v>21.8</v>
      </c>
      <c r="R1583">
        <v>1</v>
      </c>
      <c r="S1583" s="6">
        <v>1418</v>
      </c>
      <c r="T1583">
        <v>0</v>
      </c>
      <c r="U1583" s="6">
        <v>3286</v>
      </c>
      <c r="V1583">
        <v>0</v>
      </c>
      <c r="W1583">
        <v>0</v>
      </c>
      <c r="X1583">
        <v>0</v>
      </c>
      <c r="Y1583" s="6">
        <v>50.6</v>
      </c>
      <c r="Z1583">
        <v>2.1000000000000001E-2</v>
      </c>
      <c r="AA1583">
        <v>0.10100000000000001</v>
      </c>
      <c r="AB1583">
        <v>5.5E-2</v>
      </c>
      <c r="AC1583">
        <v>6</v>
      </c>
      <c r="AD1583" s="6">
        <v>99</v>
      </c>
      <c r="AE1583" s="6">
        <v>25</v>
      </c>
      <c r="AF1583" s="6">
        <v>0</v>
      </c>
      <c r="AG1583" s="6">
        <v>91.1</v>
      </c>
      <c r="AH1583" s="6">
        <v>116.38</v>
      </c>
      <c r="AI1583" s="6">
        <f t="shared" si="48"/>
        <v>25.28</v>
      </c>
      <c r="AJ1583" s="5">
        <f t="shared" si="49"/>
        <v>0.21721945351434957</v>
      </c>
    </row>
    <row r="1584" spans="1:36">
      <c r="A1584" t="s">
        <v>284</v>
      </c>
      <c r="B1584" t="s">
        <v>1869</v>
      </c>
      <c r="C1584" t="s">
        <v>94</v>
      </c>
      <c r="D1584" t="s">
        <v>96</v>
      </c>
      <c r="E1584" t="s">
        <v>55</v>
      </c>
      <c r="F1584">
        <v>0</v>
      </c>
      <c r="G1584">
        <v>1684</v>
      </c>
      <c r="H1584">
        <v>1</v>
      </c>
      <c r="I1584" t="s">
        <v>173</v>
      </c>
      <c r="J1584">
        <v>1</v>
      </c>
      <c r="K1584" s="6">
        <v>2.67</v>
      </c>
      <c r="L1584" t="s">
        <v>174</v>
      </c>
      <c r="M1584">
        <v>0</v>
      </c>
      <c r="N1584" t="s">
        <v>175</v>
      </c>
      <c r="O1584">
        <v>1</v>
      </c>
      <c r="P1584">
        <v>0</v>
      </c>
      <c r="Q1584" s="6">
        <v>35</v>
      </c>
      <c r="R1584">
        <v>1</v>
      </c>
      <c r="S1584" s="6">
        <v>1573</v>
      </c>
      <c r="T1584">
        <v>0</v>
      </c>
      <c r="U1584" s="6">
        <v>5565</v>
      </c>
      <c r="V1584">
        <v>0</v>
      </c>
      <c r="W1584">
        <v>0</v>
      </c>
      <c r="X1584">
        <v>0</v>
      </c>
      <c r="Y1584" s="6">
        <v>50.6</v>
      </c>
      <c r="Z1584">
        <v>2.1000000000000001E-2</v>
      </c>
      <c r="AA1584">
        <v>0.10100000000000001</v>
      </c>
      <c r="AB1584">
        <v>5.5E-2</v>
      </c>
      <c r="AC1584">
        <v>6</v>
      </c>
      <c r="AD1584" s="6">
        <v>50</v>
      </c>
      <c r="AE1584" s="6">
        <v>25</v>
      </c>
      <c r="AF1584" s="6">
        <v>0</v>
      </c>
      <c r="AG1584" s="6">
        <v>56.46</v>
      </c>
      <c r="AH1584" s="6">
        <v>71.14</v>
      </c>
      <c r="AI1584" s="6">
        <f t="shared" si="48"/>
        <v>14.68</v>
      </c>
      <c r="AJ1584" s="5">
        <f t="shared" si="49"/>
        <v>0.20635366882204104</v>
      </c>
    </row>
    <row r="1585" spans="1:36">
      <c r="A1585" t="s">
        <v>391</v>
      </c>
      <c r="B1585" t="s">
        <v>1870</v>
      </c>
      <c r="C1585" t="s">
        <v>94</v>
      </c>
      <c r="D1585" t="s">
        <v>96</v>
      </c>
      <c r="E1585" t="s">
        <v>55</v>
      </c>
      <c r="F1585">
        <v>0</v>
      </c>
      <c r="G1585">
        <v>1684</v>
      </c>
      <c r="H1585">
        <v>1</v>
      </c>
      <c r="I1585" t="s">
        <v>173</v>
      </c>
      <c r="J1585">
        <v>1</v>
      </c>
      <c r="K1585" s="6">
        <v>1.85</v>
      </c>
      <c r="L1585" t="s">
        <v>174</v>
      </c>
      <c r="M1585">
        <v>0</v>
      </c>
      <c r="N1585" t="s">
        <v>175</v>
      </c>
      <c r="O1585">
        <v>1</v>
      </c>
      <c r="P1585">
        <v>0</v>
      </c>
      <c r="Q1585" s="6">
        <v>43.5</v>
      </c>
      <c r="R1585">
        <v>0</v>
      </c>
      <c r="S1585" s="6">
        <v>0</v>
      </c>
      <c r="T1585">
        <v>0</v>
      </c>
      <c r="U1585" s="6">
        <v>1478</v>
      </c>
      <c r="V1585">
        <v>0</v>
      </c>
      <c r="W1585">
        <v>0</v>
      </c>
      <c r="X1585">
        <v>0</v>
      </c>
      <c r="Y1585" s="6">
        <v>50.6</v>
      </c>
      <c r="Z1585">
        <v>2.1000000000000001E-2</v>
      </c>
      <c r="AA1585">
        <v>0.10100000000000001</v>
      </c>
      <c r="AB1585">
        <v>5.5E-2</v>
      </c>
      <c r="AC1585">
        <v>6</v>
      </c>
      <c r="AD1585" s="6">
        <v>50</v>
      </c>
      <c r="AE1585" s="6">
        <v>0</v>
      </c>
      <c r="AF1585" s="6">
        <v>0</v>
      </c>
      <c r="AG1585" s="6">
        <v>48.98</v>
      </c>
      <c r="AH1585" s="6">
        <v>61.31</v>
      </c>
      <c r="AI1585" s="6">
        <f t="shared" si="48"/>
        <v>12.330000000000005</v>
      </c>
      <c r="AJ1585" s="5">
        <f t="shared" si="49"/>
        <v>0.2011091175990867</v>
      </c>
    </row>
    <row r="1586" spans="1:36">
      <c r="A1586" t="s">
        <v>298</v>
      </c>
      <c r="B1586" t="s">
        <v>1871</v>
      </c>
      <c r="C1586" t="s">
        <v>94</v>
      </c>
      <c r="D1586" t="s">
        <v>96</v>
      </c>
      <c r="E1586" t="s">
        <v>55</v>
      </c>
      <c r="F1586">
        <v>0</v>
      </c>
      <c r="G1586">
        <v>1684</v>
      </c>
      <c r="H1586">
        <v>1</v>
      </c>
      <c r="I1586" t="s">
        <v>173</v>
      </c>
      <c r="J1586">
        <v>1</v>
      </c>
      <c r="K1586" s="6">
        <v>2.1</v>
      </c>
      <c r="L1586" t="s">
        <v>174</v>
      </c>
      <c r="M1586">
        <v>0</v>
      </c>
      <c r="N1586" t="s">
        <v>182</v>
      </c>
      <c r="O1586">
        <v>3</v>
      </c>
      <c r="P1586">
        <v>0</v>
      </c>
      <c r="Q1586" s="6">
        <v>60.9</v>
      </c>
      <c r="R1586">
        <v>1</v>
      </c>
      <c r="S1586" s="6">
        <v>2269</v>
      </c>
      <c r="T1586">
        <v>0</v>
      </c>
      <c r="U1586" s="6">
        <v>2701</v>
      </c>
      <c r="V1586">
        <v>0</v>
      </c>
      <c r="W1586">
        <v>0</v>
      </c>
      <c r="X1586">
        <v>0</v>
      </c>
      <c r="Y1586" s="6">
        <v>50.6</v>
      </c>
      <c r="Z1586">
        <v>2.1000000000000001E-2</v>
      </c>
      <c r="AA1586">
        <v>0.10100000000000001</v>
      </c>
      <c r="AB1586">
        <v>5.5E-2</v>
      </c>
      <c r="AC1586">
        <v>6</v>
      </c>
      <c r="AD1586" s="6">
        <v>50</v>
      </c>
      <c r="AE1586" s="6">
        <v>40</v>
      </c>
      <c r="AF1586" s="6">
        <v>0</v>
      </c>
      <c r="AG1586" s="6">
        <v>59.54</v>
      </c>
      <c r="AH1586" s="6">
        <v>76.760000000000005</v>
      </c>
      <c r="AI1586" s="6">
        <f t="shared" si="48"/>
        <v>17.220000000000006</v>
      </c>
      <c r="AJ1586" s="5">
        <f t="shared" si="49"/>
        <v>0.22433559145388229</v>
      </c>
    </row>
    <row r="1587" spans="1:36">
      <c r="A1587" t="s">
        <v>288</v>
      </c>
      <c r="B1587" t="s">
        <v>1872</v>
      </c>
      <c r="C1587" t="s">
        <v>94</v>
      </c>
      <c r="D1587" t="s">
        <v>96</v>
      </c>
      <c r="E1587" t="s">
        <v>55</v>
      </c>
      <c r="F1587">
        <v>0</v>
      </c>
      <c r="G1587">
        <v>1684</v>
      </c>
      <c r="H1587">
        <v>1</v>
      </c>
      <c r="I1587" t="s">
        <v>173</v>
      </c>
      <c r="J1587">
        <v>1</v>
      </c>
      <c r="K1587" s="6">
        <v>2.04</v>
      </c>
      <c r="L1587" t="s">
        <v>174</v>
      </c>
      <c r="M1587">
        <v>0</v>
      </c>
      <c r="N1587" t="s">
        <v>182</v>
      </c>
      <c r="O1587">
        <v>3</v>
      </c>
      <c r="P1587">
        <v>0</v>
      </c>
      <c r="Q1587" s="6">
        <v>103.4</v>
      </c>
      <c r="R1587">
        <v>1</v>
      </c>
      <c r="S1587" s="6">
        <v>3397</v>
      </c>
      <c r="T1587">
        <v>0</v>
      </c>
      <c r="U1587" s="6">
        <v>1895</v>
      </c>
      <c r="V1587">
        <v>0</v>
      </c>
      <c r="W1587">
        <v>0</v>
      </c>
      <c r="X1587">
        <v>0</v>
      </c>
      <c r="Y1587" s="6">
        <v>50.6</v>
      </c>
      <c r="Z1587">
        <v>2.1000000000000001E-2</v>
      </c>
      <c r="AA1587">
        <v>0.10100000000000001</v>
      </c>
      <c r="AB1587">
        <v>5.5E-2</v>
      </c>
      <c r="AC1587">
        <v>6</v>
      </c>
      <c r="AD1587" s="6">
        <v>50</v>
      </c>
      <c r="AE1587" s="6">
        <v>40</v>
      </c>
      <c r="AF1587" s="6">
        <v>0</v>
      </c>
      <c r="AG1587" s="6">
        <v>61.93</v>
      </c>
      <c r="AH1587" s="6">
        <v>78.61</v>
      </c>
      <c r="AI1587" s="6">
        <f t="shared" si="48"/>
        <v>16.68</v>
      </c>
      <c r="AJ1587" s="5">
        <f t="shared" si="49"/>
        <v>0.21218674468897086</v>
      </c>
    </row>
    <row r="1588" spans="1:36">
      <c r="A1588" t="s">
        <v>423</v>
      </c>
      <c r="B1588" t="s">
        <v>1873</v>
      </c>
      <c r="C1588" t="s">
        <v>94</v>
      </c>
      <c r="D1588" t="s">
        <v>96</v>
      </c>
      <c r="E1588" t="s">
        <v>55</v>
      </c>
      <c r="F1588">
        <v>0</v>
      </c>
      <c r="G1588">
        <v>1684</v>
      </c>
      <c r="H1588">
        <v>1</v>
      </c>
      <c r="I1588" t="s">
        <v>173</v>
      </c>
      <c r="J1588">
        <v>1</v>
      </c>
      <c r="K1588" s="6">
        <v>2.0499999999999998</v>
      </c>
      <c r="L1588" t="s">
        <v>174</v>
      </c>
      <c r="M1588">
        <v>0</v>
      </c>
      <c r="N1588" t="s">
        <v>187</v>
      </c>
      <c r="O1588">
        <v>2</v>
      </c>
      <c r="P1588">
        <v>0</v>
      </c>
      <c r="Q1588" s="6">
        <v>51.1</v>
      </c>
      <c r="R1588">
        <v>0</v>
      </c>
      <c r="S1588" s="6">
        <v>0</v>
      </c>
      <c r="T1588">
        <v>0</v>
      </c>
      <c r="U1588" s="6">
        <v>3057</v>
      </c>
      <c r="V1588">
        <v>0</v>
      </c>
      <c r="W1588">
        <v>0</v>
      </c>
      <c r="X1588">
        <v>1</v>
      </c>
      <c r="Y1588" s="6">
        <v>50.6</v>
      </c>
      <c r="Z1588">
        <v>2.1000000000000001E-2</v>
      </c>
      <c r="AA1588">
        <v>0.10100000000000001</v>
      </c>
      <c r="AB1588">
        <v>5.5E-2</v>
      </c>
      <c r="AC1588">
        <v>6</v>
      </c>
      <c r="AD1588" s="6">
        <v>50</v>
      </c>
      <c r="AE1588" s="6">
        <v>0</v>
      </c>
      <c r="AF1588" s="6">
        <v>0</v>
      </c>
      <c r="AG1588" s="6">
        <v>55.65</v>
      </c>
      <c r="AH1588" s="6">
        <v>73.02</v>
      </c>
      <c r="AI1588" s="6">
        <f t="shared" si="48"/>
        <v>17.369999999999997</v>
      </c>
      <c r="AJ1588" s="5">
        <f t="shared" si="49"/>
        <v>0.23788003286770745</v>
      </c>
    </row>
    <row r="1589" spans="1:36">
      <c r="A1589" t="s">
        <v>348</v>
      </c>
      <c r="B1589" t="s">
        <v>1874</v>
      </c>
      <c r="C1589" t="s">
        <v>94</v>
      </c>
      <c r="D1589" t="s">
        <v>96</v>
      </c>
      <c r="E1589" t="s">
        <v>55</v>
      </c>
      <c r="F1589">
        <v>0</v>
      </c>
      <c r="G1589">
        <v>1684</v>
      </c>
      <c r="H1589">
        <v>1</v>
      </c>
      <c r="I1589" t="s">
        <v>173</v>
      </c>
      <c r="J1589">
        <v>1</v>
      </c>
      <c r="K1589" s="6">
        <v>1.95</v>
      </c>
      <c r="L1589" t="s">
        <v>174</v>
      </c>
      <c r="M1589">
        <v>0</v>
      </c>
      <c r="N1589" t="s">
        <v>175</v>
      </c>
      <c r="O1589">
        <v>1</v>
      </c>
      <c r="P1589">
        <v>0</v>
      </c>
      <c r="Q1589" s="6">
        <v>26</v>
      </c>
      <c r="R1589">
        <v>1</v>
      </c>
      <c r="S1589" s="6">
        <v>786</v>
      </c>
      <c r="T1589">
        <v>0</v>
      </c>
      <c r="U1589" s="6">
        <v>5360</v>
      </c>
      <c r="V1589">
        <v>0</v>
      </c>
      <c r="W1589">
        <v>0</v>
      </c>
      <c r="X1589">
        <v>0</v>
      </c>
      <c r="Y1589" s="6">
        <v>50.6</v>
      </c>
      <c r="Z1589">
        <v>2.1000000000000001E-2</v>
      </c>
      <c r="AA1589">
        <v>0.10100000000000001</v>
      </c>
      <c r="AB1589">
        <v>5.5E-2</v>
      </c>
      <c r="AC1589">
        <v>6</v>
      </c>
      <c r="AD1589" s="6">
        <v>50</v>
      </c>
      <c r="AE1589" s="6">
        <v>25</v>
      </c>
      <c r="AF1589" s="6">
        <v>0</v>
      </c>
      <c r="AG1589" s="6">
        <v>56.31</v>
      </c>
      <c r="AH1589" s="6">
        <v>75.3</v>
      </c>
      <c r="AI1589" s="6">
        <f t="shared" si="48"/>
        <v>18.989999999999995</v>
      </c>
      <c r="AJ1589" s="5">
        <f t="shared" si="49"/>
        <v>0.25219123505976088</v>
      </c>
    </row>
    <row r="1590" spans="1:36">
      <c r="A1590" t="s">
        <v>215</v>
      </c>
      <c r="B1590" t="s">
        <v>1875</v>
      </c>
      <c r="C1590" t="s">
        <v>94</v>
      </c>
      <c r="D1590" t="s">
        <v>96</v>
      </c>
      <c r="E1590" t="s">
        <v>55</v>
      </c>
      <c r="F1590">
        <v>0</v>
      </c>
      <c r="G1590">
        <v>1684</v>
      </c>
      <c r="H1590">
        <v>1</v>
      </c>
      <c r="I1590" t="s">
        <v>173</v>
      </c>
      <c r="J1590">
        <v>1</v>
      </c>
      <c r="K1590" s="6">
        <v>2.62</v>
      </c>
      <c r="L1590" t="s">
        <v>174</v>
      </c>
      <c r="M1590">
        <v>0</v>
      </c>
      <c r="N1590" t="s">
        <v>272</v>
      </c>
      <c r="O1590">
        <v>5</v>
      </c>
      <c r="P1590">
        <v>1</v>
      </c>
      <c r="Q1590" s="6">
        <v>283.10000000000002</v>
      </c>
      <c r="R1590">
        <v>1</v>
      </c>
      <c r="S1590" s="6">
        <v>1851</v>
      </c>
      <c r="T1590">
        <v>0</v>
      </c>
      <c r="U1590" s="6">
        <v>2461</v>
      </c>
      <c r="V1590">
        <v>0</v>
      </c>
      <c r="W1590">
        <v>0</v>
      </c>
      <c r="X1590">
        <v>0</v>
      </c>
      <c r="Y1590" s="6">
        <v>50.6</v>
      </c>
      <c r="Z1590">
        <v>2.1000000000000001E-2</v>
      </c>
      <c r="AA1590">
        <v>0.10100000000000001</v>
      </c>
      <c r="AB1590">
        <v>5.5E-2</v>
      </c>
      <c r="AC1590">
        <v>6</v>
      </c>
      <c r="AD1590" s="6">
        <v>50</v>
      </c>
      <c r="AE1590" s="6">
        <v>25</v>
      </c>
      <c r="AF1590" s="6">
        <v>0</v>
      </c>
      <c r="AG1590" s="6">
        <v>146.15</v>
      </c>
      <c r="AH1590" s="6">
        <v>186.02</v>
      </c>
      <c r="AI1590" s="6">
        <f t="shared" si="48"/>
        <v>39.870000000000005</v>
      </c>
      <c r="AJ1590" s="5">
        <f t="shared" si="49"/>
        <v>0.21433179228039997</v>
      </c>
    </row>
    <row r="1591" spans="1:36">
      <c r="A1591" t="s">
        <v>274</v>
      </c>
      <c r="B1591" t="s">
        <v>1876</v>
      </c>
      <c r="C1591" t="s">
        <v>94</v>
      </c>
      <c r="D1591" t="s">
        <v>96</v>
      </c>
      <c r="E1591" t="s">
        <v>55</v>
      </c>
      <c r="F1591">
        <v>0</v>
      </c>
      <c r="G1591">
        <v>1684</v>
      </c>
      <c r="H1591">
        <v>1</v>
      </c>
      <c r="I1591" t="s">
        <v>178</v>
      </c>
      <c r="J1591">
        <v>4</v>
      </c>
      <c r="K1591" s="6">
        <v>13.88</v>
      </c>
      <c r="L1591" t="s">
        <v>174</v>
      </c>
      <c r="M1591">
        <v>0</v>
      </c>
      <c r="N1591" t="s">
        <v>175</v>
      </c>
      <c r="O1591">
        <v>1</v>
      </c>
      <c r="P1591">
        <v>0</v>
      </c>
      <c r="Q1591" s="6">
        <v>16.5</v>
      </c>
      <c r="R1591">
        <v>0</v>
      </c>
      <c r="S1591" s="6">
        <v>0</v>
      </c>
      <c r="T1591">
        <v>0</v>
      </c>
      <c r="U1591" s="6">
        <v>4380</v>
      </c>
      <c r="V1591">
        <v>0</v>
      </c>
      <c r="W1591">
        <v>0</v>
      </c>
      <c r="X1591">
        <v>0</v>
      </c>
      <c r="Y1591" s="6">
        <v>50.6</v>
      </c>
      <c r="Z1591">
        <v>2.1000000000000001E-2</v>
      </c>
      <c r="AA1591">
        <v>0.10100000000000001</v>
      </c>
      <c r="AB1591">
        <v>5.5E-2</v>
      </c>
      <c r="AC1591">
        <v>6</v>
      </c>
      <c r="AD1591" s="6">
        <v>65</v>
      </c>
      <c r="AE1591" s="6">
        <v>0</v>
      </c>
      <c r="AF1591" s="6">
        <v>0</v>
      </c>
      <c r="AG1591" s="6">
        <v>121.55</v>
      </c>
      <c r="AH1591" s="6">
        <v>155.80000000000001</v>
      </c>
      <c r="AI1591" s="6">
        <f t="shared" si="48"/>
        <v>34.250000000000014</v>
      </c>
      <c r="AJ1591" s="5">
        <f t="shared" si="49"/>
        <v>0.21983311938382549</v>
      </c>
    </row>
    <row r="1592" spans="1:36">
      <c r="A1592" t="s">
        <v>269</v>
      </c>
      <c r="B1592" t="s">
        <v>1877</v>
      </c>
      <c r="C1592" t="s">
        <v>94</v>
      </c>
      <c r="D1592" t="s">
        <v>96</v>
      </c>
      <c r="E1592" t="s">
        <v>55</v>
      </c>
      <c r="F1592">
        <v>0</v>
      </c>
      <c r="G1592">
        <v>1684</v>
      </c>
      <c r="H1592">
        <v>1</v>
      </c>
      <c r="I1592" t="s">
        <v>220</v>
      </c>
      <c r="J1592">
        <v>2</v>
      </c>
      <c r="K1592" s="6">
        <v>2.67</v>
      </c>
      <c r="L1592" t="s">
        <v>174</v>
      </c>
      <c r="M1592">
        <v>0</v>
      </c>
      <c r="N1592" t="s">
        <v>175</v>
      </c>
      <c r="O1592">
        <v>1</v>
      </c>
      <c r="P1592">
        <v>0</v>
      </c>
      <c r="Q1592" s="6">
        <v>27.2</v>
      </c>
      <c r="R1592">
        <v>0</v>
      </c>
      <c r="S1592" s="6">
        <v>0</v>
      </c>
      <c r="T1592">
        <v>0</v>
      </c>
      <c r="U1592" s="6">
        <v>1741</v>
      </c>
      <c r="V1592">
        <v>0</v>
      </c>
      <c r="W1592">
        <v>0</v>
      </c>
      <c r="X1592">
        <v>0</v>
      </c>
      <c r="Y1592" s="6">
        <v>50.6</v>
      </c>
      <c r="Z1592">
        <v>2.1000000000000001E-2</v>
      </c>
      <c r="AA1592">
        <v>0.10100000000000001</v>
      </c>
      <c r="AB1592">
        <v>5.5E-2</v>
      </c>
      <c r="AC1592">
        <v>6</v>
      </c>
      <c r="AD1592" s="6">
        <v>50</v>
      </c>
      <c r="AE1592" s="6">
        <v>0</v>
      </c>
      <c r="AF1592" s="6">
        <v>0</v>
      </c>
      <c r="AG1592" s="6">
        <v>55.3</v>
      </c>
      <c r="AH1592" s="6">
        <v>73.03</v>
      </c>
      <c r="AI1592" s="6">
        <f t="shared" si="48"/>
        <v>17.730000000000004</v>
      </c>
      <c r="AJ1592" s="5">
        <f t="shared" si="49"/>
        <v>0.24277694098315766</v>
      </c>
    </row>
    <row r="1593" spans="1:36">
      <c r="A1593" t="s">
        <v>501</v>
      </c>
      <c r="B1593" t="s">
        <v>1878</v>
      </c>
      <c r="C1593" t="s">
        <v>94</v>
      </c>
      <c r="D1593" t="s">
        <v>96</v>
      </c>
      <c r="E1593" t="s">
        <v>55</v>
      </c>
      <c r="F1593">
        <v>0</v>
      </c>
      <c r="G1593">
        <v>1684</v>
      </c>
      <c r="H1593">
        <v>1</v>
      </c>
      <c r="I1593" t="s">
        <v>181</v>
      </c>
      <c r="J1593">
        <v>3</v>
      </c>
      <c r="K1593" s="6">
        <v>10.11</v>
      </c>
      <c r="L1593" t="s">
        <v>174</v>
      </c>
      <c r="M1593">
        <v>0</v>
      </c>
      <c r="N1593" t="s">
        <v>217</v>
      </c>
      <c r="O1593">
        <v>4</v>
      </c>
      <c r="P1593">
        <v>1</v>
      </c>
      <c r="Q1593" s="6">
        <v>206.4</v>
      </c>
      <c r="R1593">
        <v>1</v>
      </c>
      <c r="S1593" s="6">
        <v>1728</v>
      </c>
      <c r="T1593">
        <v>0</v>
      </c>
      <c r="U1593" s="6">
        <v>10705</v>
      </c>
      <c r="V1593">
        <v>0</v>
      </c>
      <c r="W1593">
        <v>0</v>
      </c>
      <c r="X1593">
        <v>0</v>
      </c>
      <c r="Y1593" s="6">
        <v>50.6</v>
      </c>
      <c r="Z1593">
        <v>2.1000000000000001E-2</v>
      </c>
      <c r="AA1593">
        <v>0.10100000000000001</v>
      </c>
      <c r="AB1593">
        <v>5.5E-2</v>
      </c>
      <c r="AC1593">
        <v>6</v>
      </c>
      <c r="AD1593" s="6">
        <v>60</v>
      </c>
      <c r="AE1593" s="6">
        <v>25</v>
      </c>
      <c r="AF1593" s="6">
        <v>0</v>
      </c>
      <c r="AG1593" s="6">
        <v>155.16999999999999</v>
      </c>
      <c r="AH1593" s="6">
        <v>197.72</v>
      </c>
      <c r="AI1593" s="6">
        <f t="shared" si="48"/>
        <v>42.550000000000011</v>
      </c>
      <c r="AJ1593" s="5">
        <f t="shared" si="49"/>
        <v>0.21520331782318436</v>
      </c>
    </row>
    <row r="1594" spans="1:36">
      <c r="A1594" t="s">
        <v>391</v>
      </c>
      <c r="B1594" t="s">
        <v>1879</v>
      </c>
      <c r="C1594" t="s">
        <v>94</v>
      </c>
      <c r="D1594" t="s">
        <v>96</v>
      </c>
      <c r="E1594" t="s">
        <v>55</v>
      </c>
      <c r="F1594">
        <v>0</v>
      </c>
      <c r="G1594">
        <v>1684</v>
      </c>
      <c r="H1594">
        <v>1</v>
      </c>
      <c r="I1594" t="s">
        <v>173</v>
      </c>
      <c r="J1594">
        <v>1</v>
      </c>
      <c r="K1594" s="6">
        <v>2.19</v>
      </c>
      <c r="L1594" t="s">
        <v>174</v>
      </c>
      <c r="M1594">
        <v>0</v>
      </c>
      <c r="N1594" t="s">
        <v>187</v>
      </c>
      <c r="O1594">
        <v>2</v>
      </c>
      <c r="P1594">
        <v>0</v>
      </c>
      <c r="Q1594" s="6">
        <v>48.9</v>
      </c>
      <c r="R1594">
        <v>0</v>
      </c>
      <c r="S1594" s="6">
        <v>0</v>
      </c>
      <c r="T1594">
        <v>0</v>
      </c>
      <c r="U1594" s="6">
        <v>3869</v>
      </c>
      <c r="V1594">
        <v>0</v>
      </c>
      <c r="W1594">
        <v>0</v>
      </c>
      <c r="X1594">
        <v>0</v>
      </c>
      <c r="Y1594" s="6">
        <v>50.6</v>
      </c>
      <c r="Z1594">
        <v>2.1000000000000001E-2</v>
      </c>
      <c r="AA1594">
        <v>0.10100000000000001</v>
      </c>
      <c r="AB1594">
        <v>5.5E-2</v>
      </c>
      <c r="AC1594">
        <v>6</v>
      </c>
      <c r="AD1594" s="6">
        <v>50</v>
      </c>
      <c r="AE1594" s="6">
        <v>0</v>
      </c>
      <c r="AF1594" s="6">
        <v>0</v>
      </c>
      <c r="AG1594" s="6">
        <v>52.34</v>
      </c>
      <c r="AH1594" s="6">
        <v>68.7</v>
      </c>
      <c r="AI1594" s="6">
        <f t="shared" si="48"/>
        <v>16.36</v>
      </c>
      <c r="AJ1594" s="5">
        <f t="shared" si="49"/>
        <v>0.23813682678311499</v>
      </c>
    </row>
    <row r="1595" spans="1:36">
      <c r="A1595" t="s">
        <v>381</v>
      </c>
      <c r="B1595" t="s">
        <v>1880</v>
      </c>
      <c r="C1595" t="s">
        <v>94</v>
      </c>
      <c r="D1595" t="s">
        <v>96</v>
      </c>
      <c r="E1595" t="s">
        <v>55</v>
      </c>
      <c r="F1595">
        <v>0</v>
      </c>
      <c r="G1595">
        <v>1684</v>
      </c>
      <c r="H1595">
        <v>1</v>
      </c>
      <c r="I1595" t="s">
        <v>181</v>
      </c>
      <c r="J1595">
        <v>3</v>
      </c>
      <c r="K1595" s="6">
        <v>7.21</v>
      </c>
      <c r="L1595" t="s">
        <v>174</v>
      </c>
      <c r="M1595">
        <v>0</v>
      </c>
      <c r="N1595" t="s">
        <v>182</v>
      </c>
      <c r="O1595">
        <v>3</v>
      </c>
      <c r="P1595">
        <v>0</v>
      </c>
      <c r="Q1595" s="6">
        <v>89.8</v>
      </c>
      <c r="R1595">
        <v>0</v>
      </c>
      <c r="S1595" s="6">
        <v>0</v>
      </c>
      <c r="T1595">
        <v>0</v>
      </c>
      <c r="U1595" s="6">
        <v>7905</v>
      </c>
      <c r="V1595">
        <v>0</v>
      </c>
      <c r="W1595">
        <v>0</v>
      </c>
      <c r="X1595">
        <v>0</v>
      </c>
      <c r="Y1595" s="6">
        <v>50.6</v>
      </c>
      <c r="Z1595">
        <v>2.1000000000000001E-2</v>
      </c>
      <c r="AA1595">
        <v>0.10100000000000001</v>
      </c>
      <c r="AB1595">
        <v>5.5E-2</v>
      </c>
      <c r="AC1595">
        <v>6</v>
      </c>
      <c r="AD1595" s="6">
        <v>60</v>
      </c>
      <c r="AE1595" s="6">
        <v>0</v>
      </c>
      <c r="AF1595" s="6">
        <v>0</v>
      </c>
      <c r="AG1595" s="6">
        <v>89.77</v>
      </c>
      <c r="AH1595" s="6">
        <v>115.11</v>
      </c>
      <c r="AI1595" s="6">
        <f t="shared" si="48"/>
        <v>25.340000000000003</v>
      </c>
      <c r="AJ1595" s="5">
        <f t="shared" si="49"/>
        <v>0.2201372600121623</v>
      </c>
    </row>
    <row r="1596" spans="1:36">
      <c r="A1596" t="s">
        <v>293</v>
      </c>
      <c r="B1596" t="s">
        <v>1881</v>
      </c>
      <c r="C1596" t="s">
        <v>94</v>
      </c>
      <c r="D1596" t="s">
        <v>96</v>
      </c>
      <c r="E1596" t="s">
        <v>55</v>
      </c>
      <c r="F1596">
        <v>0</v>
      </c>
      <c r="G1596">
        <v>1684</v>
      </c>
      <c r="H1596">
        <v>1</v>
      </c>
      <c r="I1596" t="s">
        <v>220</v>
      </c>
      <c r="J1596">
        <v>2</v>
      </c>
      <c r="K1596" s="6">
        <v>2.48</v>
      </c>
      <c r="L1596" t="s">
        <v>174</v>
      </c>
      <c r="M1596">
        <v>0</v>
      </c>
      <c r="N1596" t="s">
        <v>272</v>
      </c>
      <c r="O1596">
        <v>5</v>
      </c>
      <c r="P1596">
        <v>1</v>
      </c>
      <c r="Q1596" s="6">
        <v>171.2</v>
      </c>
      <c r="R1596">
        <v>1</v>
      </c>
      <c r="S1596" s="6">
        <v>739</v>
      </c>
      <c r="T1596">
        <v>0</v>
      </c>
      <c r="U1596" s="6">
        <v>3220</v>
      </c>
      <c r="V1596">
        <v>0</v>
      </c>
      <c r="W1596">
        <v>0</v>
      </c>
      <c r="X1596">
        <v>0</v>
      </c>
      <c r="Y1596" s="6">
        <v>50.6</v>
      </c>
      <c r="Z1596">
        <v>2.1000000000000001E-2</v>
      </c>
      <c r="AA1596">
        <v>0.10100000000000001</v>
      </c>
      <c r="AB1596">
        <v>5.5E-2</v>
      </c>
      <c r="AC1596">
        <v>6</v>
      </c>
      <c r="AD1596" s="6">
        <v>50</v>
      </c>
      <c r="AE1596" s="6">
        <v>25</v>
      </c>
      <c r="AF1596" s="6">
        <v>0</v>
      </c>
      <c r="AG1596" s="6">
        <v>161.88</v>
      </c>
      <c r="AH1596" s="6">
        <v>203.78</v>
      </c>
      <c r="AI1596" s="6">
        <f t="shared" si="48"/>
        <v>41.900000000000006</v>
      </c>
      <c r="AJ1596" s="5">
        <f t="shared" si="49"/>
        <v>0.20561389734026894</v>
      </c>
    </row>
    <row r="1597" spans="1:36">
      <c r="A1597" t="s">
        <v>481</v>
      </c>
      <c r="B1597" t="s">
        <v>1882</v>
      </c>
      <c r="C1597" t="s">
        <v>94</v>
      </c>
      <c r="D1597" t="s">
        <v>96</v>
      </c>
      <c r="E1597" t="s">
        <v>55</v>
      </c>
      <c r="F1597">
        <v>0</v>
      </c>
      <c r="G1597">
        <v>1684</v>
      </c>
      <c r="H1597">
        <v>1</v>
      </c>
      <c r="I1597" t="s">
        <v>173</v>
      </c>
      <c r="J1597">
        <v>1</v>
      </c>
      <c r="K1597" s="6">
        <v>1.24</v>
      </c>
      <c r="L1597" t="s">
        <v>174</v>
      </c>
      <c r="M1597">
        <v>0</v>
      </c>
      <c r="N1597" t="s">
        <v>187</v>
      </c>
      <c r="O1597">
        <v>2</v>
      </c>
      <c r="P1597">
        <v>0</v>
      </c>
      <c r="Q1597" s="6">
        <v>47</v>
      </c>
      <c r="R1597">
        <v>1</v>
      </c>
      <c r="S1597" s="6">
        <v>2493</v>
      </c>
      <c r="T1597">
        <v>0</v>
      </c>
      <c r="U1597" s="6">
        <v>6895</v>
      </c>
      <c r="V1597">
        <v>0</v>
      </c>
      <c r="W1597">
        <v>0</v>
      </c>
      <c r="X1597">
        <v>0</v>
      </c>
      <c r="Y1597" s="6">
        <v>50.6</v>
      </c>
      <c r="Z1597">
        <v>2.1000000000000001E-2</v>
      </c>
      <c r="AA1597">
        <v>0.10100000000000001</v>
      </c>
      <c r="AB1597">
        <v>5.5E-2</v>
      </c>
      <c r="AC1597">
        <v>6</v>
      </c>
      <c r="AD1597" s="6">
        <v>50</v>
      </c>
      <c r="AE1597" s="6">
        <v>40</v>
      </c>
      <c r="AF1597" s="6">
        <v>0</v>
      </c>
      <c r="AG1597" s="6">
        <v>57.02</v>
      </c>
      <c r="AH1597" s="6">
        <v>72.260000000000005</v>
      </c>
      <c r="AI1597" s="6">
        <f t="shared" si="48"/>
        <v>15.240000000000002</v>
      </c>
      <c r="AJ1597" s="5">
        <f t="shared" si="49"/>
        <v>0.21090506504290066</v>
      </c>
    </row>
    <row r="1598" spans="1:36">
      <c r="A1598" t="s">
        <v>266</v>
      </c>
      <c r="B1598" t="s">
        <v>1883</v>
      </c>
      <c r="C1598" t="s">
        <v>94</v>
      </c>
      <c r="D1598" t="s">
        <v>96</v>
      </c>
      <c r="E1598" t="s">
        <v>55</v>
      </c>
      <c r="F1598">
        <v>0</v>
      </c>
      <c r="G1598">
        <v>1684</v>
      </c>
      <c r="H1598">
        <v>1</v>
      </c>
      <c r="I1598" t="s">
        <v>173</v>
      </c>
      <c r="J1598">
        <v>1</v>
      </c>
      <c r="K1598" s="6">
        <v>2.02</v>
      </c>
      <c r="L1598" t="s">
        <v>174</v>
      </c>
      <c r="M1598">
        <v>0</v>
      </c>
      <c r="N1598" t="s">
        <v>175</v>
      </c>
      <c r="O1598">
        <v>1</v>
      </c>
      <c r="P1598">
        <v>1</v>
      </c>
      <c r="Q1598" s="6">
        <v>38.4</v>
      </c>
      <c r="R1598">
        <v>0</v>
      </c>
      <c r="S1598" s="6">
        <v>0</v>
      </c>
      <c r="T1598">
        <v>0</v>
      </c>
      <c r="U1598" s="6">
        <v>1342</v>
      </c>
      <c r="V1598">
        <v>0</v>
      </c>
      <c r="W1598">
        <v>0</v>
      </c>
      <c r="X1598">
        <v>0</v>
      </c>
      <c r="Y1598" s="6">
        <v>50.6</v>
      </c>
      <c r="Z1598">
        <v>2.1000000000000001E-2</v>
      </c>
      <c r="AA1598">
        <v>0.10100000000000001</v>
      </c>
      <c r="AB1598">
        <v>5.5E-2</v>
      </c>
      <c r="AC1598">
        <v>6</v>
      </c>
      <c r="AD1598" s="6">
        <v>50</v>
      </c>
      <c r="AE1598" s="6">
        <v>0</v>
      </c>
      <c r="AF1598" s="6">
        <v>0</v>
      </c>
      <c r="AG1598" s="6">
        <v>65.73</v>
      </c>
      <c r="AH1598" s="6">
        <v>84.06</v>
      </c>
      <c r="AI1598" s="6">
        <f t="shared" si="48"/>
        <v>18.329999999999998</v>
      </c>
      <c r="AJ1598" s="5">
        <f t="shared" si="49"/>
        <v>0.21805852962169875</v>
      </c>
    </row>
    <row r="1599" spans="1:36">
      <c r="A1599" t="s">
        <v>196</v>
      </c>
      <c r="B1599" t="s">
        <v>1884</v>
      </c>
      <c r="C1599" t="s">
        <v>94</v>
      </c>
      <c r="D1599" t="s">
        <v>96</v>
      </c>
      <c r="E1599" t="s">
        <v>55</v>
      </c>
      <c r="F1599">
        <v>0</v>
      </c>
      <c r="G1599">
        <v>1684</v>
      </c>
      <c r="H1599">
        <v>1</v>
      </c>
      <c r="I1599" t="s">
        <v>181</v>
      </c>
      <c r="J1599">
        <v>3</v>
      </c>
      <c r="K1599" s="6">
        <v>11.7</v>
      </c>
      <c r="L1599" t="s">
        <v>174</v>
      </c>
      <c r="M1599">
        <v>0</v>
      </c>
      <c r="N1599" t="s">
        <v>175</v>
      </c>
      <c r="O1599">
        <v>1</v>
      </c>
      <c r="P1599">
        <v>0</v>
      </c>
      <c r="Q1599" s="6">
        <v>42.1</v>
      </c>
      <c r="R1599">
        <v>1</v>
      </c>
      <c r="S1599" s="6">
        <v>1521</v>
      </c>
      <c r="T1599">
        <v>0</v>
      </c>
      <c r="U1599" s="6">
        <v>2984</v>
      </c>
      <c r="V1599">
        <v>0</v>
      </c>
      <c r="W1599">
        <v>0</v>
      </c>
      <c r="X1599">
        <v>0</v>
      </c>
      <c r="Y1599" s="6">
        <v>50.6</v>
      </c>
      <c r="Z1599">
        <v>2.1000000000000001E-2</v>
      </c>
      <c r="AA1599">
        <v>0.10100000000000001</v>
      </c>
      <c r="AB1599">
        <v>5.5E-2</v>
      </c>
      <c r="AC1599">
        <v>6</v>
      </c>
      <c r="AD1599" s="6">
        <v>60</v>
      </c>
      <c r="AE1599" s="6">
        <v>25</v>
      </c>
      <c r="AF1599" s="6">
        <v>0</v>
      </c>
      <c r="AG1599" s="6">
        <v>106.45</v>
      </c>
      <c r="AH1599" s="6">
        <v>137.38</v>
      </c>
      <c r="AI1599" s="6">
        <f t="shared" si="48"/>
        <v>30.929999999999993</v>
      </c>
      <c r="AJ1599" s="5">
        <f t="shared" si="49"/>
        <v>0.22514194205852375</v>
      </c>
    </row>
    <row r="1600" spans="1:36">
      <c r="A1600" t="s">
        <v>306</v>
      </c>
      <c r="B1600" t="s">
        <v>1885</v>
      </c>
      <c r="C1600" t="s">
        <v>94</v>
      </c>
      <c r="D1600" t="s">
        <v>96</v>
      </c>
      <c r="E1600" t="s">
        <v>55</v>
      </c>
      <c r="F1600">
        <v>0</v>
      </c>
      <c r="G1600">
        <v>1684</v>
      </c>
      <c r="H1600">
        <v>1</v>
      </c>
      <c r="I1600" t="s">
        <v>173</v>
      </c>
      <c r="J1600">
        <v>1</v>
      </c>
      <c r="K1600" s="6">
        <v>2.09</v>
      </c>
      <c r="L1600" t="s">
        <v>174</v>
      </c>
      <c r="M1600">
        <v>0</v>
      </c>
      <c r="N1600" t="s">
        <v>217</v>
      </c>
      <c r="O1600">
        <v>4</v>
      </c>
      <c r="P1600">
        <v>1</v>
      </c>
      <c r="Q1600" s="6">
        <v>122.3</v>
      </c>
      <c r="R1600">
        <v>1</v>
      </c>
      <c r="S1600" s="6">
        <v>4743</v>
      </c>
      <c r="T1600">
        <v>0</v>
      </c>
      <c r="U1600" s="6">
        <v>6563</v>
      </c>
      <c r="V1600">
        <v>0</v>
      </c>
      <c r="W1600">
        <v>0</v>
      </c>
      <c r="X1600">
        <v>0</v>
      </c>
      <c r="Y1600" s="6">
        <v>50.6</v>
      </c>
      <c r="Z1600">
        <v>2.1000000000000001E-2</v>
      </c>
      <c r="AA1600">
        <v>0.10100000000000001</v>
      </c>
      <c r="AB1600">
        <v>5.5E-2</v>
      </c>
      <c r="AC1600">
        <v>6</v>
      </c>
      <c r="AD1600" s="6">
        <v>50</v>
      </c>
      <c r="AE1600" s="6">
        <v>40</v>
      </c>
      <c r="AF1600" s="6">
        <v>0</v>
      </c>
      <c r="AG1600" s="6">
        <v>102.09</v>
      </c>
      <c r="AH1600" s="6">
        <v>127.8</v>
      </c>
      <c r="AI1600" s="6">
        <f t="shared" si="48"/>
        <v>25.709999999999994</v>
      </c>
      <c r="AJ1600" s="5">
        <f t="shared" si="49"/>
        <v>0.20117370892018774</v>
      </c>
    </row>
    <row r="1601" spans="1:36">
      <c r="A1601" t="s">
        <v>391</v>
      </c>
      <c r="B1601" t="s">
        <v>1886</v>
      </c>
      <c r="C1601" t="s">
        <v>94</v>
      </c>
      <c r="D1601" t="s">
        <v>96</v>
      </c>
      <c r="E1601" t="s">
        <v>55</v>
      </c>
      <c r="F1601">
        <v>0</v>
      </c>
      <c r="G1601">
        <v>1684</v>
      </c>
      <c r="H1601">
        <v>1</v>
      </c>
      <c r="I1601" t="s">
        <v>173</v>
      </c>
      <c r="J1601">
        <v>1</v>
      </c>
      <c r="K1601" s="6">
        <v>0.68</v>
      </c>
      <c r="L1601" t="s">
        <v>174</v>
      </c>
      <c r="M1601">
        <v>0</v>
      </c>
      <c r="N1601" t="s">
        <v>182</v>
      </c>
      <c r="O1601">
        <v>3</v>
      </c>
      <c r="P1601">
        <v>0</v>
      </c>
      <c r="Q1601" s="6">
        <v>79.8</v>
      </c>
      <c r="R1601">
        <v>0</v>
      </c>
      <c r="S1601" s="6">
        <v>0</v>
      </c>
      <c r="T1601">
        <v>0</v>
      </c>
      <c r="U1601" s="6">
        <v>12030</v>
      </c>
      <c r="V1601">
        <v>0</v>
      </c>
      <c r="W1601">
        <v>0</v>
      </c>
      <c r="X1601">
        <v>0</v>
      </c>
      <c r="Y1601" s="6">
        <v>50.6</v>
      </c>
      <c r="Z1601">
        <v>2.1000000000000001E-2</v>
      </c>
      <c r="AA1601">
        <v>0.10100000000000001</v>
      </c>
      <c r="AB1601">
        <v>5.5E-2</v>
      </c>
      <c r="AC1601">
        <v>6</v>
      </c>
      <c r="AD1601" s="6">
        <v>50</v>
      </c>
      <c r="AE1601" s="6">
        <v>0</v>
      </c>
      <c r="AF1601" s="6">
        <v>0</v>
      </c>
      <c r="AG1601" s="6">
        <v>57.21</v>
      </c>
      <c r="AH1601" s="6">
        <v>72.23</v>
      </c>
      <c r="AI1601" s="6">
        <f t="shared" si="48"/>
        <v>15.020000000000003</v>
      </c>
      <c r="AJ1601" s="5">
        <f t="shared" si="49"/>
        <v>0.20794683649453138</v>
      </c>
    </row>
    <row r="1602" spans="1:36">
      <c r="A1602" t="s">
        <v>269</v>
      </c>
      <c r="B1602" t="s">
        <v>1887</v>
      </c>
      <c r="C1602" t="s">
        <v>94</v>
      </c>
      <c r="D1602" t="s">
        <v>96</v>
      </c>
      <c r="E1602" t="s">
        <v>55</v>
      </c>
      <c r="F1602">
        <v>0</v>
      </c>
      <c r="G1602">
        <v>1684</v>
      </c>
      <c r="H1602">
        <v>1</v>
      </c>
      <c r="I1602" t="s">
        <v>173</v>
      </c>
      <c r="J1602">
        <v>1</v>
      </c>
      <c r="K1602" s="6">
        <v>1.72</v>
      </c>
      <c r="L1602" t="s">
        <v>174</v>
      </c>
      <c r="M1602">
        <v>0</v>
      </c>
      <c r="N1602" t="s">
        <v>182</v>
      </c>
      <c r="O1602">
        <v>3</v>
      </c>
      <c r="P1602">
        <v>0</v>
      </c>
      <c r="Q1602" s="6">
        <v>104</v>
      </c>
      <c r="R1602">
        <v>1</v>
      </c>
      <c r="S1602" s="6">
        <v>929</v>
      </c>
      <c r="T1602">
        <v>0</v>
      </c>
      <c r="U1602" s="6">
        <v>7202</v>
      </c>
      <c r="V1602">
        <v>0</v>
      </c>
      <c r="W1602">
        <v>0</v>
      </c>
      <c r="X1602">
        <v>0</v>
      </c>
      <c r="Y1602" s="6">
        <v>50.6</v>
      </c>
      <c r="Z1602">
        <v>2.1000000000000001E-2</v>
      </c>
      <c r="AA1602">
        <v>0.10100000000000001</v>
      </c>
      <c r="AB1602">
        <v>5.5E-2</v>
      </c>
      <c r="AC1602">
        <v>6</v>
      </c>
      <c r="AD1602" s="6">
        <v>50</v>
      </c>
      <c r="AE1602" s="6">
        <v>25</v>
      </c>
      <c r="AF1602" s="6">
        <v>0</v>
      </c>
      <c r="AG1602" s="6">
        <v>63.35</v>
      </c>
      <c r="AH1602" s="6">
        <v>82.43</v>
      </c>
      <c r="AI1602" s="6">
        <f t="shared" ref="AI1602:AI1665" si="50">AH1602-AG1602</f>
        <v>19.080000000000005</v>
      </c>
      <c r="AJ1602" s="5">
        <f t="shared" ref="AJ1602:AJ1665" si="51">IFERROR(AI1602/AH1602,0)</f>
        <v>0.23146912531845207</v>
      </c>
    </row>
    <row r="1603" spans="1:36">
      <c r="A1603" t="s">
        <v>693</v>
      </c>
      <c r="B1603" t="s">
        <v>1888</v>
      </c>
      <c r="C1603" t="s">
        <v>94</v>
      </c>
      <c r="D1603" t="s">
        <v>96</v>
      </c>
      <c r="E1603" t="s">
        <v>55</v>
      </c>
      <c r="F1603">
        <v>0</v>
      </c>
      <c r="G1603">
        <v>1684</v>
      </c>
      <c r="H1603">
        <v>1</v>
      </c>
      <c r="I1603" t="s">
        <v>173</v>
      </c>
      <c r="J1603">
        <v>1</v>
      </c>
      <c r="K1603" s="6">
        <v>2.21</v>
      </c>
      <c r="L1603" t="s">
        <v>174</v>
      </c>
      <c r="M1603">
        <v>0</v>
      </c>
      <c r="N1603" t="s">
        <v>175</v>
      </c>
      <c r="O1603">
        <v>1</v>
      </c>
      <c r="P1603">
        <v>0</v>
      </c>
      <c r="Q1603" s="6">
        <v>45.6</v>
      </c>
      <c r="R1603">
        <v>1</v>
      </c>
      <c r="S1603" s="6">
        <v>1779</v>
      </c>
      <c r="T1603">
        <v>0</v>
      </c>
      <c r="U1603" s="6">
        <v>3974</v>
      </c>
      <c r="V1603">
        <v>0</v>
      </c>
      <c r="W1603">
        <v>0</v>
      </c>
      <c r="X1603">
        <v>0</v>
      </c>
      <c r="Y1603" s="6">
        <v>50.6</v>
      </c>
      <c r="Z1603">
        <v>2.1000000000000001E-2</v>
      </c>
      <c r="AA1603">
        <v>0.10100000000000001</v>
      </c>
      <c r="AB1603">
        <v>5.5E-2</v>
      </c>
      <c r="AC1603">
        <v>6</v>
      </c>
      <c r="AD1603" s="6">
        <v>50</v>
      </c>
      <c r="AE1603" s="6">
        <v>25</v>
      </c>
      <c r="AF1603" s="6">
        <v>0</v>
      </c>
      <c r="AG1603" s="6">
        <v>52.73</v>
      </c>
      <c r="AH1603" s="6">
        <v>67.86</v>
      </c>
      <c r="AI1603" s="6">
        <f t="shared" si="50"/>
        <v>15.130000000000003</v>
      </c>
      <c r="AJ1603" s="5">
        <f t="shared" si="51"/>
        <v>0.22295903330386094</v>
      </c>
    </row>
    <row r="1604" spans="1:36">
      <c r="A1604" t="s">
        <v>210</v>
      </c>
      <c r="B1604" t="s">
        <v>1889</v>
      </c>
      <c r="C1604" t="s">
        <v>94</v>
      </c>
      <c r="D1604" t="s">
        <v>96</v>
      </c>
      <c r="E1604" t="s">
        <v>55</v>
      </c>
      <c r="F1604">
        <v>0</v>
      </c>
      <c r="G1604">
        <v>1684</v>
      </c>
      <c r="H1604">
        <v>1</v>
      </c>
      <c r="I1604" t="s">
        <v>173</v>
      </c>
      <c r="J1604">
        <v>1</v>
      </c>
      <c r="K1604" s="6">
        <v>1.25</v>
      </c>
      <c r="L1604" t="s">
        <v>174</v>
      </c>
      <c r="M1604">
        <v>0</v>
      </c>
      <c r="N1604" t="s">
        <v>182</v>
      </c>
      <c r="O1604">
        <v>3</v>
      </c>
      <c r="P1604">
        <v>0</v>
      </c>
      <c r="Q1604" s="6">
        <v>30</v>
      </c>
      <c r="R1604">
        <v>1</v>
      </c>
      <c r="S1604" s="6">
        <v>629</v>
      </c>
      <c r="T1604">
        <v>0</v>
      </c>
      <c r="U1604" s="6">
        <v>5157</v>
      </c>
      <c r="V1604">
        <v>0</v>
      </c>
      <c r="W1604">
        <v>0</v>
      </c>
      <c r="X1604">
        <v>0</v>
      </c>
      <c r="Y1604" s="6">
        <v>50.6</v>
      </c>
      <c r="Z1604">
        <v>2.1000000000000001E-2</v>
      </c>
      <c r="AA1604">
        <v>0.10100000000000001</v>
      </c>
      <c r="AB1604">
        <v>5.5E-2</v>
      </c>
      <c r="AC1604">
        <v>6</v>
      </c>
      <c r="AD1604" s="6">
        <v>50</v>
      </c>
      <c r="AE1604" s="6">
        <v>25</v>
      </c>
      <c r="AF1604" s="6">
        <v>0</v>
      </c>
      <c r="AG1604" s="6">
        <v>60.6</v>
      </c>
      <c r="AH1604" s="6">
        <v>78.36</v>
      </c>
      <c r="AI1604" s="6">
        <f t="shared" si="50"/>
        <v>17.759999999999998</v>
      </c>
      <c r="AJ1604" s="5">
        <f t="shared" si="51"/>
        <v>0.22664624808575801</v>
      </c>
    </row>
    <row r="1605" spans="1:36">
      <c r="A1605" t="s">
        <v>251</v>
      </c>
      <c r="B1605" t="s">
        <v>1890</v>
      </c>
      <c r="C1605" t="s">
        <v>94</v>
      </c>
      <c r="D1605" t="s">
        <v>96</v>
      </c>
      <c r="E1605" t="s">
        <v>55</v>
      </c>
      <c r="F1605">
        <v>0</v>
      </c>
      <c r="G1605">
        <v>1684</v>
      </c>
      <c r="H1605">
        <v>1</v>
      </c>
      <c r="I1605" t="s">
        <v>173</v>
      </c>
      <c r="J1605">
        <v>1</v>
      </c>
      <c r="K1605" s="6">
        <v>2.5499999999999998</v>
      </c>
      <c r="L1605" t="s">
        <v>174</v>
      </c>
      <c r="M1605">
        <v>0</v>
      </c>
      <c r="N1605" t="s">
        <v>182</v>
      </c>
      <c r="O1605">
        <v>3</v>
      </c>
      <c r="P1605">
        <v>0</v>
      </c>
      <c r="Q1605" s="6">
        <v>97.9</v>
      </c>
      <c r="R1605">
        <v>1</v>
      </c>
      <c r="S1605" s="6">
        <v>702</v>
      </c>
      <c r="T1605">
        <v>0</v>
      </c>
      <c r="U1605" s="6">
        <v>2449</v>
      </c>
      <c r="V1605">
        <v>1</v>
      </c>
      <c r="W1605">
        <v>0</v>
      </c>
      <c r="X1605">
        <v>0</v>
      </c>
      <c r="Y1605" s="6">
        <v>50.6</v>
      </c>
      <c r="Z1605">
        <v>2.1000000000000001E-2</v>
      </c>
      <c r="AA1605">
        <v>0.10100000000000001</v>
      </c>
      <c r="AB1605">
        <v>5.5E-2</v>
      </c>
      <c r="AC1605">
        <v>6</v>
      </c>
      <c r="AD1605" s="6">
        <v>50</v>
      </c>
      <c r="AE1605" s="6">
        <v>25</v>
      </c>
      <c r="AF1605" s="6">
        <v>0</v>
      </c>
      <c r="AG1605" s="6">
        <v>104.02</v>
      </c>
      <c r="AH1605" s="6">
        <v>130.87</v>
      </c>
      <c r="AI1605" s="6">
        <f t="shared" si="50"/>
        <v>26.850000000000009</v>
      </c>
      <c r="AJ1605" s="5">
        <f t="shared" si="51"/>
        <v>0.20516543134408197</v>
      </c>
    </row>
    <row r="1606" spans="1:36">
      <c r="A1606" t="s">
        <v>185</v>
      </c>
      <c r="B1606" t="s">
        <v>1891</v>
      </c>
      <c r="C1606" t="s">
        <v>94</v>
      </c>
      <c r="D1606" t="s">
        <v>96</v>
      </c>
      <c r="E1606" t="s">
        <v>55</v>
      </c>
      <c r="F1606">
        <v>0</v>
      </c>
      <c r="G1606">
        <v>1684</v>
      </c>
      <c r="H1606">
        <v>1</v>
      </c>
      <c r="I1606" t="s">
        <v>173</v>
      </c>
      <c r="J1606">
        <v>1</v>
      </c>
      <c r="K1606" s="6">
        <v>1.43</v>
      </c>
      <c r="L1606" t="s">
        <v>174</v>
      </c>
      <c r="M1606">
        <v>0</v>
      </c>
      <c r="N1606" t="s">
        <v>217</v>
      </c>
      <c r="O1606">
        <v>4</v>
      </c>
      <c r="P1606">
        <v>1</v>
      </c>
      <c r="Q1606" s="6">
        <v>121.3</v>
      </c>
      <c r="R1606">
        <v>1</v>
      </c>
      <c r="S1606" s="6">
        <v>1023</v>
      </c>
      <c r="T1606">
        <v>0</v>
      </c>
      <c r="U1606" s="6">
        <v>7341</v>
      </c>
      <c r="V1606">
        <v>0</v>
      </c>
      <c r="W1606">
        <v>0</v>
      </c>
      <c r="X1606">
        <v>0</v>
      </c>
      <c r="Y1606" s="6">
        <v>50.6</v>
      </c>
      <c r="Z1606">
        <v>2.1000000000000001E-2</v>
      </c>
      <c r="AA1606">
        <v>0.10100000000000001</v>
      </c>
      <c r="AB1606">
        <v>5.5E-2</v>
      </c>
      <c r="AC1606">
        <v>6</v>
      </c>
      <c r="AD1606" s="6">
        <v>50</v>
      </c>
      <c r="AE1606" s="6">
        <v>25</v>
      </c>
      <c r="AF1606" s="6">
        <v>0</v>
      </c>
      <c r="AG1606" s="6">
        <v>107.46</v>
      </c>
      <c r="AH1606" s="6">
        <v>135.11000000000001</v>
      </c>
      <c r="AI1606" s="6">
        <f t="shared" si="50"/>
        <v>27.65000000000002</v>
      </c>
      <c r="AJ1606" s="5">
        <f t="shared" si="51"/>
        <v>0.20464806454000456</v>
      </c>
    </row>
    <row r="1607" spans="1:36">
      <c r="A1607" t="s">
        <v>360</v>
      </c>
      <c r="B1607" t="s">
        <v>1892</v>
      </c>
      <c r="C1607" t="s">
        <v>94</v>
      </c>
      <c r="D1607" t="s">
        <v>96</v>
      </c>
      <c r="E1607" t="s">
        <v>55</v>
      </c>
      <c r="F1607">
        <v>0</v>
      </c>
      <c r="G1607">
        <v>1684</v>
      </c>
      <c r="H1607">
        <v>1</v>
      </c>
      <c r="I1607" t="s">
        <v>220</v>
      </c>
      <c r="J1607">
        <v>2</v>
      </c>
      <c r="K1607" s="6">
        <v>4.17</v>
      </c>
      <c r="L1607" t="s">
        <v>174</v>
      </c>
      <c r="M1607">
        <v>0</v>
      </c>
      <c r="N1607" t="s">
        <v>187</v>
      </c>
      <c r="O1607">
        <v>2</v>
      </c>
      <c r="P1607">
        <v>0</v>
      </c>
      <c r="Q1607" s="6">
        <v>51.2</v>
      </c>
      <c r="R1607">
        <v>1</v>
      </c>
      <c r="S1607" s="6">
        <v>1209</v>
      </c>
      <c r="T1607">
        <v>0</v>
      </c>
      <c r="U1607" s="6">
        <v>1622</v>
      </c>
      <c r="V1607">
        <v>0</v>
      </c>
      <c r="W1607">
        <v>0</v>
      </c>
      <c r="X1607">
        <v>0</v>
      </c>
      <c r="Y1607" s="6">
        <v>50.6</v>
      </c>
      <c r="Z1607">
        <v>2.1000000000000001E-2</v>
      </c>
      <c r="AA1607">
        <v>0.10100000000000001</v>
      </c>
      <c r="AB1607">
        <v>5.5E-2</v>
      </c>
      <c r="AC1607">
        <v>6</v>
      </c>
      <c r="AD1607" s="6">
        <v>50</v>
      </c>
      <c r="AE1607" s="6">
        <v>25</v>
      </c>
      <c r="AF1607" s="6">
        <v>0</v>
      </c>
      <c r="AG1607" s="6">
        <v>65.98</v>
      </c>
      <c r="AH1607" s="6">
        <v>85.51</v>
      </c>
      <c r="AI1607" s="6">
        <f t="shared" si="50"/>
        <v>19.53</v>
      </c>
      <c r="AJ1607" s="5">
        <f t="shared" si="51"/>
        <v>0.22839433984329319</v>
      </c>
    </row>
    <row r="1608" spans="1:36">
      <c r="A1608" t="s">
        <v>208</v>
      </c>
      <c r="B1608" t="s">
        <v>1893</v>
      </c>
      <c r="C1608" t="s">
        <v>94</v>
      </c>
      <c r="D1608" t="s">
        <v>96</v>
      </c>
      <c r="E1608" t="s">
        <v>55</v>
      </c>
      <c r="F1608">
        <v>0</v>
      </c>
      <c r="G1608">
        <v>1684</v>
      </c>
      <c r="H1608">
        <v>1</v>
      </c>
      <c r="I1608" t="s">
        <v>220</v>
      </c>
      <c r="J1608">
        <v>2</v>
      </c>
      <c r="K1608" s="6">
        <v>5.26</v>
      </c>
      <c r="L1608" t="s">
        <v>174</v>
      </c>
      <c r="M1608">
        <v>0</v>
      </c>
      <c r="N1608" t="s">
        <v>175</v>
      </c>
      <c r="O1608">
        <v>1</v>
      </c>
      <c r="P1608">
        <v>1</v>
      </c>
      <c r="Q1608" s="6">
        <v>31.9</v>
      </c>
      <c r="R1608">
        <v>0</v>
      </c>
      <c r="S1608" s="6">
        <v>0</v>
      </c>
      <c r="T1608">
        <v>0</v>
      </c>
      <c r="U1608" s="6">
        <v>3046</v>
      </c>
      <c r="V1608">
        <v>0</v>
      </c>
      <c r="W1608">
        <v>0</v>
      </c>
      <c r="X1608">
        <v>0</v>
      </c>
      <c r="Y1608" s="6">
        <v>50.6</v>
      </c>
      <c r="Z1608">
        <v>2.1000000000000001E-2</v>
      </c>
      <c r="AA1608">
        <v>0.10100000000000001</v>
      </c>
      <c r="AB1608">
        <v>5.5E-2</v>
      </c>
      <c r="AC1608">
        <v>6</v>
      </c>
      <c r="AD1608" s="6">
        <v>50</v>
      </c>
      <c r="AE1608" s="6">
        <v>0</v>
      </c>
      <c r="AF1608" s="6">
        <v>0</v>
      </c>
      <c r="AG1608" s="6">
        <v>81.08</v>
      </c>
      <c r="AH1608" s="6">
        <v>103.75</v>
      </c>
      <c r="AI1608" s="6">
        <f t="shared" si="50"/>
        <v>22.67</v>
      </c>
      <c r="AJ1608" s="5">
        <f t="shared" si="51"/>
        <v>0.21850602409638556</v>
      </c>
    </row>
    <row r="1609" spans="1:36">
      <c r="A1609" t="s">
        <v>693</v>
      </c>
      <c r="B1609" t="s">
        <v>1894</v>
      </c>
      <c r="C1609" t="s">
        <v>94</v>
      </c>
      <c r="D1609" t="s">
        <v>96</v>
      </c>
      <c r="E1609" t="s">
        <v>55</v>
      </c>
      <c r="F1609">
        <v>0</v>
      </c>
      <c r="G1609">
        <v>1684</v>
      </c>
      <c r="H1609">
        <v>1</v>
      </c>
      <c r="I1609" t="s">
        <v>220</v>
      </c>
      <c r="J1609">
        <v>2</v>
      </c>
      <c r="K1609" s="6">
        <v>4.37</v>
      </c>
      <c r="L1609" t="s">
        <v>174</v>
      </c>
      <c r="M1609">
        <v>0</v>
      </c>
      <c r="N1609" t="s">
        <v>175</v>
      </c>
      <c r="O1609">
        <v>1</v>
      </c>
      <c r="P1609">
        <v>0</v>
      </c>
      <c r="Q1609" s="6">
        <v>28.5</v>
      </c>
      <c r="R1609">
        <v>1</v>
      </c>
      <c r="S1609" s="6">
        <v>4850</v>
      </c>
      <c r="T1609">
        <v>0</v>
      </c>
      <c r="U1609" s="6">
        <v>2176</v>
      </c>
      <c r="V1609">
        <v>0</v>
      </c>
      <c r="W1609">
        <v>0</v>
      </c>
      <c r="X1609">
        <v>0</v>
      </c>
      <c r="Y1609" s="6">
        <v>50.6</v>
      </c>
      <c r="Z1609">
        <v>2.1000000000000001E-2</v>
      </c>
      <c r="AA1609">
        <v>0.10100000000000001</v>
      </c>
      <c r="AB1609">
        <v>5.5E-2</v>
      </c>
      <c r="AC1609">
        <v>6</v>
      </c>
      <c r="AD1609" s="6">
        <v>50</v>
      </c>
      <c r="AE1609" s="6">
        <v>40</v>
      </c>
      <c r="AF1609" s="6">
        <v>0</v>
      </c>
      <c r="AG1609" s="6">
        <v>55.47</v>
      </c>
      <c r="AH1609" s="6">
        <v>73.16</v>
      </c>
      <c r="AI1609" s="6">
        <f t="shared" si="50"/>
        <v>17.689999999999998</v>
      </c>
      <c r="AJ1609" s="5">
        <f t="shared" si="51"/>
        <v>0.24179879715691632</v>
      </c>
    </row>
    <row r="1610" spans="1:36">
      <c r="A1610" t="s">
        <v>228</v>
      </c>
      <c r="B1610" t="s">
        <v>1895</v>
      </c>
      <c r="C1610" t="s">
        <v>94</v>
      </c>
      <c r="D1610" t="s">
        <v>96</v>
      </c>
      <c r="E1610" t="s">
        <v>55</v>
      </c>
      <c r="F1610">
        <v>0</v>
      </c>
      <c r="G1610">
        <v>1684</v>
      </c>
      <c r="H1610">
        <v>1</v>
      </c>
      <c r="I1610" t="s">
        <v>173</v>
      </c>
      <c r="J1610">
        <v>1</v>
      </c>
      <c r="K1610" s="6">
        <v>1.5</v>
      </c>
      <c r="L1610" t="s">
        <v>174</v>
      </c>
      <c r="M1610">
        <v>0</v>
      </c>
      <c r="N1610" t="s">
        <v>187</v>
      </c>
      <c r="O1610">
        <v>2</v>
      </c>
      <c r="P1610">
        <v>0</v>
      </c>
      <c r="Q1610" s="6">
        <v>57.8</v>
      </c>
      <c r="R1610">
        <v>0</v>
      </c>
      <c r="S1610" s="6">
        <v>0</v>
      </c>
      <c r="T1610">
        <v>0</v>
      </c>
      <c r="U1610" s="6">
        <v>7671</v>
      </c>
      <c r="V1610">
        <v>0</v>
      </c>
      <c r="W1610">
        <v>0</v>
      </c>
      <c r="X1610">
        <v>0</v>
      </c>
      <c r="Y1610" s="6">
        <v>50.6</v>
      </c>
      <c r="Z1610">
        <v>2.1000000000000001E-2</v>
      </c>
      <c r="AA1610">
        <v>0.10100000000000001</v>
      </c>
      <c r="AB1610">
        <v>5.5E-2</v>
      </c>
      <c r="AC1610">
        <v>6</v>
      </c>
      <c r="AD1610" s="6">
        <v>50</v>
      </c>
      <c r="AE1610" s="6">
        <v>0</v>
      </c>
      <c r="AF1610" s="6">
        <v>0</v>
      </c>
      <c r="AG1610" s="6">
        <v>52.08</v>
      </c>
      <c r="AH1610" s="6">
        <v>66.91</v>
      </c>
      <c r="AI1610" s="6">
        <f t="shared" si="50"/>
        <v>14.829999999999998</v>
      </c>
      <c r="AJ1610" s="5">
        <f t="shared" si="51"/>
        <v>0.22164101031235986</v>
      </c>
    </row>
    <row r="1611" spans="1:36">
      <c r="A1611" t="s">
        <v>434</v>
      </c>
      <c r="B1611" t="s">
        <v>1896</v>
      </c>
      <c r="C1611" t="s">
        <v>94</v>
      </c>
      <c r="D1611" t="s">
        <v>96</v>
      </c>
      <c r="E1611" t="s">
        <v>55</v>
      </c>
      <c r="F1611">
        <v>0</v>
      </c>
      <c r="G1611">
        <v>1684</v>
      </c>
      <c r="H1611">
        <v>1</v>
      </c>
      <c r="I1611" t="s">
        <v>220</v>
      </c>
      <c r="J1611">
        <v>2</v>
      </c>
      <c r="K1611" s="6">
        <v>3.18</v>
      </c>
      <c r="L1611" t="s">
        <v>174</v>
      </c>
      <c r="M1611">
        <v>0</v>
      </c>
      <c r="N1611" t="s">
        <v>175</v>
      </c>
      <c r="O1611">
        <v>1</v>
      </c>
      <c r="P1611">
        <v>0</v>
      </c>
      <c r="Q1611" s="6">
        <v>28.8</v>
      </c>
      <c r="R1611">
        <v>1</v>
      </c>
      <c r="S1611" s="6">
        <v>3127</v>
      </c>
      <c r="T1611">
        <v>0</v>
      </c>
      <c r="U1611" s="6">
        <v>3992</v>
      </c>
      <c r="V1611">
        <v>0</v>
      </c>
      <c r="W1611">
        <v>0</v>
      </c>
      <c r="X1611">
        <v>0</v>
      </c>
      <c r="Y1611" s="6">
        <v>50.6</v>
      </c>
      <c r="Z1611">
        <v>2.1000000000000001E-2</v>
      </c>
      <c r="AA1611">
        <v>0.10100000000000001</v>
      </c>
      <c r="AB1611">
        <v>5.5E-2</v>
      </c>
      <c r="AC1611">
        <v>6</v>
      </c>
      <c r="AD1611" s="6">
        <v>50</v>
      </c>
      <c r="AE1611" s="6">
        <v>40</v>
      </c>
      <c r="AF1611" s="6">
        <v>0</v>
      </c>
      <c r="AG1611" s="6">
        <v>66.03</v>
      </c>
      <c r="AH1611" s="6">
        <v>83.6</v>
      </c>
      <c r="AI1611" s="6">
        <f t="shared" si="50"/>
        <v>17.569999999999993</v>
      </c>
      <c r="AJ1611" s="5">
        <f t="shared" si="51"/>
        <v>0.21016746411483248</v>
      </c>
    </row>
    <row r="1612" spans="1:36">
      <c r="A1612" t="s">
        <v>338</v>
      </c>
      <c r="B1612" t="s">
        <v>1897</v>
      </c>
      <c r="C1612" t="s">
        <v>94</v>
      </c>
      <c r="D1612" t="s">
        <v>96</v>
      </c>
      <c r="E1612" t="s">
        <v>55</v>
      </c>
      <c r="F1612">
        <v>0</v>
      </c>
      <c r="G1612">
        <v>1684</v>
      </c>
      <c r="H1612">
        <v>1</v>
      </c>
      <c r="I1612" t="s">
        <v>173</v>
      </c>
      <c r="J1612">
        <v>1</v>
      </c>
      <c r="K1612" s="6">
        <v>1.29</v>
      </c>
      <c r="L1612" t="s">
        <v>174</v>
      </c>
      <c r="M1612">
        <v>0</v>
      </c>
      <c r="N1612" t="s">
        <v>187</v>
      </c>
      <c r="O1612">
        <v>2</v>
      </c>
      <c r="P1612">
        <v>1</v>
      </c>
      <c r="Q1612" s="6">
        <v>59.5</v>
      </c>
      <c r="R1612">
        <v>1</v>
      </c>
      <c r="S1612" s="6">
        <v>1732</v>
      </c>
      <c r="T1612">
        <v>0</v>
      </c>
      <c r="U1612" s="6">
        <v>2466</v>
      </c>
      <c r="V1612">
        <v>0</v>
      </c>
      <c r="W1612">
        <v>0</v>
      </c>
      <c r="X1612">
        <v>0</v>
      </c>
      <c r="Y1612" s="6">
        <v>50.6</v>
      </c>
      <c r="Z1612">
        <v>2.1000000000000001E-2</v>
      </c>
      <c r="AA1612">
        <v>0.10100000000000001</v>
      </c>
      <c r="AB1612">
        <v>5.5E-2</v>
      </c>
      <c r="AC1612">
        <v>6</v>
      </c>
      <c r="AD1612" s="6">
        <v>50</v>
      </c>
      <c r="AE1612" s="6">
        <v>25</v>
      </c>
      <c r="AF1612" s="6">
        <v>0</v>
      </c>
      <c r="AG1612" s="6">
        <v>78.19</v>
      </c>
      <c r="AH1612" s="6">
        <v>101.52</v>
      </c>
      <c r="AI1612" s="6">
        <f t="shared" si="50"/>
        <v>23.33</v>
      </c>
      <c r="AJ1612" s="5">
        <f t="shared" si="51"/>
        <v>0.22980693459416862</v>
      </c>
    </row>
    <row r="1613" spans="1:36">
      <c r="A1613" t="s">
        <v>512</v>
      </c>
      <c r="B1613" t="s">
        <v>1898</v>
      </c>
      <c r="C1613" t="s">
        <v>94</v>
      </c>
      <c r="D1613" t="s">
        <v>96</v>
      </c>
      <c r="E1613" t="s">
        <v>55</v>
      </c>
      <c r="F1613">
        <v>0</v>
      </c>
      <c r="G1613">
        <v>1684</v>
      </c>
      <c r="H1613">
        <v>1</v>
      </c>
      <c r="I1613" t="s">
        <v>173</v>
      </c>
      <c r="J1613">
        <v>1</v>
      </c>
      <c r="K1613" s="6">
        <v>2.36</v>
      </c>
      <c r="L1613" t="s">
        <v>174</v>
      </c>
      <c r="M1613">
        <v>0</v>
      </c>
      <c r="N1613" t="s">
        <v>182</v>
      </c>
      <c r="O1613">
        <v>3</v>
      </c>
      <c r="P1613">
        <v>0</v>
      </c>
      <c r="Q1613" s="6">
        <v>97.5</v>
      </c>
      <c r="R1613">
        <v>1</v>
      </c>
      <c r="S1613" s="6">
        <v>3258</v>
      </c>
      <c r="T1613">
        <v>0</v>
      </c>
      <c r="U1613" s="6">
        <v>4045</v>
      </c>
      <c r="V1613">
        <v>0</v>
      </c>
      <c r="W1613">
        <v>0</v>
      </c>
      <c r="X1613">
        <v>1</v>
      </c>
      <c r="Y1613" s="6">
        <v>50.6</v>
      </c>
      <c r="Z1613">
        <v>2.1000000000000001E-2</v>
      </c>
      <c r="AA1613">
        <v>0.10100000000000001</v>
      </c>
      <c r="AB1613">
        <v>5.5E-2</v>
      </c>
      <c r="AC1613">
        <v>6</v>
      </c>
      <c r="AD1613" s="6">
        <v>50</v>
      </c>
      <c r="AE1613" s="6">
        <v>40</v>
      </c>
      <c r="AF1613" s="6">
        <v>0</v>
      </c>
      <c r="AG1613" s="6">
        <v>63.41</v>
      </c>
      <c r="AH1613" s="6">
        <v>79.95</v>
      </c>
      <c r="AI1613" s="6">
        <f t="shared" si="50"/>
        <v>16.540000000000006</v>
      </c>
      <c r="AJ1613" s="5">
        <f t="shared" si="51"/>
        <v>0.20687929956222645</v>
      </c>
    </row>
    <row r="1614" spans="1:36">
      <c r="A1614" t="s">
        <v>263</v>
      </c>
      <c r="B1614" t="s">
        <v>1899</v>
      </c>
      <c r="C1614" t="s">
        <v>94</v>
      </c>
      <c r="D1614" t="s">
        <v>96</v>
      </c>
      <c r="E1614" t="s">
        <v>55</v>
      </c>
      <c r="F1614">
        <v>0</v>
      </c>
      <c r="G1614">
        <v>1684</v>
      </c>
      <c r="H1614">
        <v>1</v>
      </c>
      <c r="I1614" t="s">
        <v>220</v>
      </c>
      <c r="J1614">
        <v>2</v>
      </c>
      <c r="K1614" s="6">
        <v>5.8</v>
      </c>
      <c r="L1614" t="s">
        <v>174</v>
      </c>
      <c r="M1614">
        <v>0</v>
      </c>
      <c r="N1614" t="s">
        <v>187</v>
      </c>
      <c r="O1614">
        <v>2</v>
      </c>
      <c r="P1614">
        <v>0</v>
      </c>
      <c r="Q1614" s="6">
        <v>51.6</v>
      </c>
      <c r="R1614">
        <v>1</v>
      </c>
      <c r="S1614" s="6">
        <v>3626</v>
      </c>
      <c r="T1614">
        <v>0</v>
      </c>
      <c r="U1614" s="6">
        <v>5550</v>
      </c>
      <c r="V1614">
        <v>0</v>
      </c>
      <c r="W1614">
        <v>0</v>
      </c>
      <c r="X1614">
        <v>0</v>
      </c>
      <c r="Y1614" s="6">
        <v>50.6</v>
      </c>
      <c r="Z1614">
        <v>2.1000000000000001E-2</v>
      </c>
      <c r="AA1614">
        <v>0.10100000000000001</v>
      </c>
      <c r="AB1614">
        <v>5.5E-2</v>
      </c>
      <c r="AC1614">
        <v>6</v>
      </c>
      <c r="AD1614" s="6">
        <v>50</v>
      </c>
      <c r="AE1614" s="6">
        <v>40</v>
      </c>
      <c r="AF1614" s="6">
        <v>0</v>
      </c>
      <c r="AG1614" s="6">
        <v>67.41</v>
      </c>
      <c r="AH1614" s="6">
        <v>88.56</v>
      </c>
      <c r="AI1614" s="6">
        <f t="shared" si="50"/>
        <v>21.150000000000006</v>
      </c>
      <c r="AJ1614" s="5">
        <f t="shared" si="51"/>
        <v>0.23882113821138218</v>
      </c>
    </row>
    <row r="1615" spans="1:36">
      <c r="A1615" t="s">
        <v>210</v>
      </c>
      <c r="B1615" t="s">
        <v>1900</v>
      </c>
      <c r="C1615" t="s">
        <v>94</v>
      </c>
      <c r="D1615" t="s">
        <v>96</v>
      </c>
      <c r="E1615" t="s">
        <v>55</v>
      </c>
      <c r="F1615">
        <v>0</v>
      </c>
      <c r="G1615">
        <v>1684</v>
      </c>
      <c r="H1615">
        <v>1</v>
      </c>
      <c r="I1615" t="s">
        <v>181</v>
      </c>
      <c r="J1615">
        <v>3</v>
      </c>
      <c r="K1615" s="6">
        <v>6.89</v>
      </c>
      <c r="L1615" t="s">
        <v>174</v>
      </c>
      <c r="M1615">
        <v>0</v>
      </c>
      <c r="N1615" t="s">
        <v>175</v>
      </c>
      <c r="O1615">
        <v>1</v>
      </c>
      <c r="P1615">
        <v>0</v>
      </c>
      <c r="Q1615" s="6">
        <v>28.4</v>
      </c>
      <c r="R1615">
        <v>0</v>
      </c>
      <c r="S1615" s="6">
        <v>0</v>
      </c>
      <c r="T1615">
        <v>0</v>
      </c>
      <c r="U1615" s="6">
        <v>4809</v>
      </c>
      <c r="V1615">
        <v>0</v>
      </c>
      <c r="W1615">
        <v>1</v>
      </c>
      <c r="X1615">
        <v>0</v>
      </c>
      <c r="Y1615" s="6">
        <v>50.6</v>
      </c>
      <c r="Z1615">
        <v>2.1000000000000001E-2</v>
      </c>
      <c r="AA1615">
        <v>0.10100000000000001</v>
      </c>
      <c r="AB1615">
        <v>5.5E-2</v>
      </c>
      <c r="AC1615">
        <v>6</v>
      </c>
      <c r="AD1615" s="6">
        <v>60</v>
      </c>
      <c r="AE1615" s="6">
        <v>0</v>
      </c>
      <c r="AF1615" s="6">
        <v>0</v>
      </c>
      <c r="AG1615" s="6">
        <v>108.96</v>
      </c>
      <c r="AH1615" s="6">
        <v>138.83000000000001</v>
      </c>
      <c r="AI1615" s="6">
        <f t="shared" si="50"/>
        <v>29.870000000000019</v>
      </c>
      <c r="AJ1615" s="5">
        <f t="shared" si="51"/>
        <v>0.215155225815746</v>
      </c>
    </row>
    <row r="1616" spans="1:36">
      <c r="A1616" t="s">
        <v>330</v>
      </c>
      <c r="B1616" t="s">
        <v>1901</v>
      </c>
      <c r="C1616" t="s">
        <v>94</v>
      </c>
      <c r="D1616" t="s">
        <v>96</v>
      </c>
      <c r="E1616" t="s">
        <v>55</v>
      </c>
      <c r="F1616">
        <v>0</v>
      </c>
      <c r="G1616">
        <v>1684</v>
      </c>
      <c r="H1616">
        <v>1</v>
      </c>
      <c r="I1616" t="s">
        <v>173</v>
      </c>
      <c r="J1616">
        <v>1</v>
      </c>
      <c r="K1616" s="6">
        <v>1.72</v>
      </c>
      <c r="L1616" t="s">
        <v>174</v>
      </c>
      <c r="M1616">
        <v>0</v>
      </c>
      <c r="N1616" t="s">
        <v>187</v>
      </c>
      <c r="O1616">
        <v>2</v>
      </c>
      <c r="P1616">
        <v>0</v>
      </c>
      <c r="Q1616" s="6">
        <v>35.1</v>
      </c>
      <c r="R1616">
        <v>1</v>
      </c>
      <c r="S1616" s="6">
        <v>2821</v>
      </c>
      <c r="T1616">
        <v>0</v>
      </c>
      <c r="U1616" s="6">
        <v>5439</v>
      </c>
      <c r="V1616">
        <v>0</v>
      </c>
      <c r="W1616">
        <v>0</v>
      </c>
      <c r="X1616">
        <v>0</v>
      </c>
      <c r="Y1616" s="6">
        <v>50.6</v>
      </c>
      <c r="Z1616">
        <v>2.1000000000000001E-2</v>
      </c>
      <c r="AA1616">
        <v>0.10100000000000001</v>
      </c>
      <c r="AB1616">
        <v>5.5E-2</v>
      </c>
      <c r="AC1616">
        <v>6</v>
      </c>
      <c r="AD1616" s="6">
        <v>50</v>
      </c>
      <c r="AE1616" s="6">
        <v>40</v>
      </c>
      <c r="AF1616" s="6">
        <v>0</v>
      </c>
      <c r="AG1616" s="6">
        <v>60.18</v>
      </c>
      <c r="AH1616" s="6">
        <v>79.349999999999994</v>
      </c>
      <c r="AI1616" s="6">
        <f t="shared" si="50"/>
        <v>19.169999999999995</v>
      </c>
      <c r="AJ1616" s="5">
        <f t="shared" si="51"/>
        <v>0.24158790170132319</v>
      </c>
    </row>
    <row r="1617" spans="1:36">
      <c r="A1617" t="s">
        <v>192</v>
      </c>
      <c r="B1617" t="s">
        <v>1902</v>
      </c>
      <c r="C1617" t="s">
        <v>94</v>
      </c>
      <c r="D1617" t="s">
        <v>96</v>
      </c>
      <c r="E1617" t="s">
        <v>55</v>
      </c>
      <c r="F1617">
        <v>0</v>
      </c>
      <c r="G1617">
        <v>1684</v>
      </c>
      <c r="H1617">
        <v>1</v>
      </c>
      <c r="I1617" t="s">
        <v>173</v>
      </c>
      <c r="J1617">
        <v>1</v>
      </c>
      <c r="K1617" s="6">
        <v>2.25</v>
      </c>
      <c r="L1617" t="s">
        <v>174</v>
      </c>
      <c r="M1617">
        <v>0</v>
      </c>
      <c r="N1617" t="s">
        <v>175</v>
      </c>
      <c r="O1617">
        <v>1</v>
      </c>
      <c r="P1617">
        <v>0</v>
      </c>
      <c r="Q1617" s="6">
        <v>32.5</v>
      </c>
      <c r="R1617">
        <v>1</v>
      </c>
      <c r="S1617" s="6">
        <v>1957</v>
      </c>
      <c r="T1617">
        <v>0</v>
      </c>
      <c r="U1617" s="6">
        <v>4391</v>
      </c>
      <c r="V1617">
        <v>1</v>
      </c>
      <c r="W1617">
        <v>0</v>
      </c>
      <c r="X1617">
        <v>0</v>
      </c>
      <c r="Y1617" s="6">
        <v>50.6</v>
      </c>
      <c r="Z1617">
        <v>2.1000000000000001E-2</v>
      </c>
      <c r="AA1617">
        <v>0.10100000000000001</v>
      </c>
      <c r="AB1617">
        <v>5.5E-2</v>
      </c>
      <c r="AC1617">
        <v>6</v>
      </c>
      <c r="AD1617" s="6">
        <v>50</v>
      </c>
      <c r="AE1617" s="6">
        <v>25</v>
      </c>
      <c r="AF1617" s="6">
        <v>0</v>
      </c>
      <c r="AG1617" s="6">
        <v>93.91</v>
      </c>
      <c r="AH1617" s="6">
        <v>118.38</v>
      </c>
      <c r="AI1617" s="6">
        <f t="shared" si="50"/>
        <v>24.47</v>
      </c>
      <c r="AJ1617" s="5">
        <f t="shared" si="51"/>
        <v>0.20670721405642845</v>
      </c>
    </row>
    <row r="1618" spans="1:36">
      <c r="A1618" t="s">
        <v>261</v>
      </c>
      <c r="B1618" t="s">
        <v>1903</v>
      </c>
      <c r="C1618" t="s">
        <v>94</v>
      </c>
      <c r="D1618" t="s">
        <v>96</v>
      </c>
      <c r="E1618" t="s">
        <v>55</v>
      </c>
      <c r="F1618">
        <v>0</v>
      </c>
      <c r="G1618">
        <v>1684</v>
      </c>
      <c r="H1618">
        <v>1</v>
      </c>
      <c r="I1618" t="s">
        <v>173</v>
      </c>
      <c r="J1618">
        <v>1</v>
      </c>
      <c r="K1618" s="6">
        <v>2.4900000000000002</v>
      </c>
      <c r="L1618" t="s">
        <v>174</v>
      </c>
      <c r="M1618">
        <v>0</v>
      </c>
      <c r="N1618" t="s">
        <v>175</v>
      </c>
      <c r="O1618">
        <v>1</v>
      </c>
      <c r="P1618">
        <v>0</v>
      </c>
      <c r="Q1618" s="6">
        <v>39</v>
      </c>
      <c r="R1618">
        <v>0</v>
      </c>
      <c r="S1618" s="6">
        <v>0</v>
      </c>
      <c r="T1618">
        <v>0</v>
      </c>
      <c r="U1618" s="6">
        <v>2797</v>
      </c>
      <c r="V1618">
        <v>0</v>
      </c>
      <c r="W1618">
        <v>0</v>
      </c>
      <c r="X1618">
        <v>0</v>
      </c>
      <c r="Y1618" s="6">
        <v>50.6</v>
      </c>
      <c r="Z1618">
        <v>2.1000000000000001E-2</v>
      </c>
      <c r="AA1618">
        <v>0.10100000000000001</v>
      </c>
      <c r="AB1618">
        <v>5.5E-2</v>
      </c>
      <c r="AC1618">
        <v>6</v>
      </c>
      <c r="AD1618" s="6">
        <v>50</v>
      </c>
      <c r="AE1618" s="6">
        <v>0</v>
      </c>
      <c r="AF1618" s="6">
        <v>0</v>
      </c>
      <c r="AG1618" s="6">
        <v>39.76</v>
      </c>
      <c r="AH1618" s="6">
        <v>53.76</v>
      </c>
      <c r="AI1618" s="6">
        <f t="shared" si="50"/>
        <v>14</v>
      </c>
      <c r="AJ1618" s="5">
        <f t="shared" si="51"/>
        <v>0.26041666666666669</v>
      </c>
    </row>
    <row r="1619" spans="1:36">
      <c r="A1619" t="s">
        <v>488</v>
      </c>
      <c r="B1619" t="s">
        <v>1904</v>
      </c>
      <c r="C1619" t="s">
        <v>94</v>
      </c>
      <c r="D1619" t="s">
        <v>96</v>
      </c>
      <c r="E1619" t="s">
        <v>55</v>
      </c>
      <c r="F1619">
        <v>0</v>
      </c>
      <c r="G1619">
        <v>1684</v>
      </c>
      <c r="H1619">
        <v>1</v>
      </c>
      <c r="I1619" t="s">
        <v>173</v>
      </c>
      <c r="J1619">
        <v>1</v>
      </c>
      <c r="K1619" s="6">
        <v>1.36</v>
      </c>
      <c r="L1619" t="s">
        <v>174</v>
      </c>
      <c r="M1619">
        <v>0</v>
      </c>
      <c r="N1619" t="s">
        <v>182</v>
      </c>
      <c r="O1619">
        <v>3</v>
      </c>
      <c r="P1619">
        <v>0</v>
      </c>
      <c r="Q1619" s="6">
        <v>97.1</v>
      </c>
      <c r="R1619">
        <v>1</v>
      </c>
      <c r="S1619" s="6">
        <v>1027</v>
      </c>
      <c r="T1619">
        <v>0</v>
      </c>
      <c r="U1619" s="6">
        <v>5741</v>
      </c>
      <c r="V1619">
        <v>0</v>
      </c>
      <c r="W1619">
        <v>0</v>
      </c>
      <c r="X1619">
        <v>1</v>
      </c>
      <c r="Y1619" s="6">
        <v>50.6</v>
      </c>
      <c r="Z1619">
        <v>2.1000000000000001E-2</v>
      </c>
      <c r="AA1619">
        <v>0.10100000000000001</v>
      </c>
      <c r="AB1619">
        <v>5.5E-2</v>
      </c>
      <c r="AC1619">
        <v>6</v>
      </c>
      <c r="AD1619" s="6">
        <v>50</v>
      </c>
      <c r="AE1619" s="6">
        <v>25</v>
      </c>
      <c r="AF1619" s="6">
        <v>0</v>
      </c>
      <c r="AG1619" s="6">
        <v>66.14</v>
      </c>
      <c r="AH1619" s="6">
        <v>84.74</v>
      </c>
      <c r="AI1619" s="6">
        <f t="shared" si="50"/>
        <v>18.599999999999994</v>
      </c>
      <c r="AJ1619" s="5">
        <f t="shared" si="51"/>
        <v>0.21949492565494449</v>
      </c>
    </row>
    <row r="1620" spans="1:36">
      <c r="A1620" t="s">
        <v>300</v>
      </c>
      <c r="B1620" t="s">
        <v>1905</v>
      </c>
      <c r="C1620" t="s">
        <v>94</v>
      </c>
      <c r="D1620" t="s">
        <v>96</v>
      </c>
      <c r="E1620" t="s">
        <v>55</v>
      </c>
      <c r="F1620">
        <v>0</v>
      </c>
      <c r="G1620">
        <v>1684</v>
      </c>
      <c r="H1620">
        <v>1</v>
      </c>
      <c r="I1620" t="s">
        <v>173</v>
      </c>
      <c r="J1620">
        <v>1</v>
      </c>
      <c r="K1620" s="6">
        <v>0.94</v>
      </c>
      <c r="L1620" t="s">
        <v>174</v>
      </c>
      <c r="M1620">
        <v>0</v>
      </c>
      <c r="N1620" t="s">
        <v>187</v>
      </c>
      <c r="O1620">
        <v>2</v>
      </c>
      <c r="P1620">
        <v>1</v>
      </c>
      <c r="Q1620" s="6">
        <v>59.6</v>
      </c>
      <c r="R1620">
        <v>1</v>
      </c>
      <c r="S1620" s="6">
        <v>583</v>
      </c>
      <c r="T1620">
        <v>0</v>
      </c>
      <c r="U1620" s="6">
        <v>3913</v>
      </c>
      <c r="V1620">
        <v>0</v>
      </c>
      <c r="W1620">
        <v>0</v>
      </c>
      <c r="X1620">
        <v>0</v>
      </c>
      <c r="Y1620" s="6">
        <v>50.6</v>
      </c>
      <c r="Z1620">
        <v>2.1000000000000001E-2</v>
      </c>
      <c r="AA1620">
        <v>0.10100000000000001</v>
      </c>
      <c r="AB1620">
        <v>5.5E-2</v>
      </c>
      <c r="AC1620">
        <v>6</v>
      </c>
      <c r="AD1620" s="6">
        <v>50</v>
      </c>
      <c r="AE1620" s="6">
        <v>25</v>
      </c>
      <c r="AF1620" s="6">
        <v>0</v>
      </c>
      <c r="AG1620" s="6">
        <v>79.010000000000005</v>
      </c>
      <c r="AH1620" s="6">
        <v>100.43</v>
      </c>
      <c r="AI1620" s="6">
        <f t="shared" si="50"/>
        <v>21.42</v>
      </c>
      <c r="AJ1620" s="5">
        <f t="shared" si="51"/>
        <v>0.21328288360051778</v>
      </c>
    </row>
    <row r="1621" spans="1:36">
      <c r="A1621" t="s">
        <v>212</v>
      </c>
      <c r="B1621" t="s">
        <v>1906</v>
      </c>
      <c r="C1621" t="s">
        <v>94</v>
      </c>
      <c r="D1621" t="s">
        <v>96</v>
      </c>
      <c r="E1621" t="s">
        <v>55</v>
      </c>
      <c r="F1621">
        <v>0</v>
      </c>
      <c r="G1621">
        <v>1684</v>
      </c>
      <c r="H1621">
        <v>1</v>
      </c>
      <c r="I1621" t="s">
        <v>173</v>
      </c>
      <c r="J1621">
        <v>1</v>
      </c>
      <c r="K1621" s="6">
        <v>1.53</v>
      </c>
      <c r="L1621" t="s">
        <v>174</v>
      </c>
      <c r="M1621">
        <v>0</v>
      </c>
      <c r="N1621" t="s">
        <v>187</v>
      </c>
      <c r="O1621">
        <v>2</v>
      </c>
      <c r="P1621">
        <v>0</v>
      </c>
      <c r="Q1621" s="6">
        <v>48.8</v>
      </c>
      <c r="R1621">
        <v>1</v>
      </c>
      <c r="S1621" s="6">
        <v>1696</v>
      </c>
      <c r="T1621">
        <v>0</v>
      </c>
      <c r="U1621" s="6">
        <v>5421</v>
      </c>
      <c r="V1621">
        <v>0</v>
      </c>
      <c r="W1621">
        <v>0</v>
      </c>
      <c r="X1621">
        <v>0</v>
      </c>
      <c r="Y1621" s="6">
        <v>50.6</v>
      </c>
      <c r="Z1621">
        <v>2.1000000000000001E-2</v>
      </c>
      <c r="AA1621">
        <v>0.10100000000000001</v>
      </c>
      <c r="AB1621">
        <v>5.5E-2</v>
      </c>
      <c r="AC1621">
        <v>6</v>
      </c>
      <c r="AD1621" s="6">
        <v>50</v>
      </c>
      <c r="AE1621" s="6">
        <v>25</v>
      </c>
      <c r="AF1621" s="6">
        <v>0</v>
      </c>
      <c r="AG1621" s="6">
        <v>57.53</v>
      </c>
      <c r="AH1621" s="6">
        <v>74.25</v>
      </c>
      <c r="AI1621" s="6">
        <f t="shared" si="50"/>
        <v>16.72</v>
      </c>
      <c r="AJ1621" s="5">
        <f t="shared" si="51"/>
        <v>0.22518518518518518</v>
      </c>
    </row>
    <row r="1622" spans="1:36">
      <c r="A1622" t="s">
        <v>691</v>
      </c>
      <c r="B1622" t="s">
        <v>1907</v>
      </c>
      <c r="C1622" t="s">
        <v>94</v>
      </c>
      <c r="D1622" t="s">
        <v>96</v>
      </c>
      <c r="E1622" t="s">
        <v>55</v>
      </c>
      <c r="F1622">
        <v>0</v>
      </c>
      <c r="G1622">
        <v>1684</v>
      </c>
      <c r="H1622">
        <v>1</v>
      </c>
      <c r="I1622" t="s">
        <v>173</v>
      </c>
      <c r="J1622">
        <v>1</v>
      </c>
      <c r="K1622" s="6">
        <v>1.1100000000000001</v>
      </c>
      <c r="L1622" t="s">
        <v>174</v>
      </c>
      <c r="M1622">
        <v>0</v>
      </c>
      <c r="N1622" t="s">
        <v>175</v>
      </c>
      <c r="O1622">
        <v>1</v>
      </c>
      <c r="P1622">
        <v>0</v>
      </c>
      <c r="Q1622" s="6">
        <v>41.6</v>
      </c>
      <c r="R1622">
        <v>0</v>
      </c>
      <c r="S1622" s="6">
        <v>0</v>
      </c>
      <c r="T1622">
        <v>0</v>
      </c>
      <c r="U1622" s="6">
        <v>2584</v>
      </c>
      <c r="V1622">
        <v>0</v>
      </c>
      <c r="W1622">
        <v>0</v>
      </c>
      <c r="X1622">
        <v>0</v>
      </c>
      <c r="Y1622" s="6">
        <v>50.6</v>
      </c>
      <c r="Z1622">
        <v>2.1000000000000001E-2</v>
      </c>
      <c r="AA1622">
        <v>0.10100000000000001</v>
      </c>
      <c r="AB1622">
        <v>5.5E-2</v>
      </c>
      <c r="AC1622">
        <v>6</v>
      </c>
      <c r="AD1622" s="6">
        <v>50</v>
      </c>
      <c r="AE1622" s="6">
        <v>0</v>
      </c>
      <c r="AF1622" s="6">
        <v>0</v>
      </c>
      <c r="AG1622" s="6">
        <v>48.74</v>
      </c>
      <c r="AH1622" s="6">
        <v>63.32</v>
      </c>
      <c r="AI1622" s="6">
        <f t="shared" si="50"/>
        <v>14.579999999999998</v>
      </c>
      <c r="AJ1622" s="5">
        <f t="shared" si="51"/>
        <v>0.23025900189513579</v>
      </c>
    </row>
    <row r="1623" spans="1:36">
      <c r="A1623" t="s">
        <v>288</v>
      </c>
      <c r="B1623" t="s">
        <v>1908</v>
      </c>
      <c r="C1623" t="s">
        <v>94</v>
      </c>
      <c r="D1623" t="s">
        <v>96</v>
      </c>
      <c r="E1623" t="s">
        <v>55</v>
      </c>
      <c r="F1623">
        <v>0</v>
      </c>
      <c r="G1623">
        <v>1684</v>
      </c>
      <c r="H1623">
        <v>1</v>
      </c>
      <c r="I1623" t="s">
        <v>220</v>
      </c>
      <c r="J1623">
        <v>2</v>
      </c>
      <c r="K1623" s="6">
        <v>3.64</v>
      </c>
      <c r="L1623" t="s">
        <v>174</v>
      </c>
      <c r="M1623">
        <v>0</v>
      </c>
      <c r="N1623" t="s">
        <v>187</v>
      </c>
      <c r="O1623">
        <v>2</v>
      </c>
      <c r="P1623">
        <v>0</v>
      </c>
      <c r="Q1623" s="6">
        <v>63</v>
      </c>
      <c r="R1623">
        <v>1</v>
      </c>
      <c r="S1623" s="6">
        <v>12199</v>
      </c>
      <c r="T1623">
        <v>0</v>
      </c>
      <c r="U1623" s="6">
        <v>6024</v>
      </c>
      <c r="V1623">
        <v>0</v>
      </c>
      <c r="W1623">
        <v>0</v>
      </c>
      <c r="X1623">
        <v>0</v>
      </c>
      <c r="Y1623" s="6">
        <v>50.6</v>
      </c>
      <c r="Z1623">
        <v>2.1000000000000001E-2</v>
      </c>
      <c r="AA1623">
        <v>0.10100000000000001</v>
      </c>
      <c r="AB1623">
        <v>5.5E-2</v>
      </c>
      <c r="AC1623">
        <v>6</v>
      </c>
      <c r="AD1623" s="6">
        <v>50</v>
      </c>
      <c r="AE1623" s="6">
        <v>100</v>
      </c>
      <c r="AF1623" s="6">
        <v>0</v>
      </c>
      <c r="AG1623" s="6">
        <v>65.58</v>
      </c>
      <c r="AH1623" s="6">
        <v>84.9</v>
      </c>
      <c r="AI1623" s="6">
        <f t="shared" si="50"/>
        <v>19.320000000000007</v>
      </c>
      <c r="AJ1623" s="5">
        <f t="shared" si="51"/>
        <v>0.22756183745583047</v>
      </c>
    </row>
    <row r="1624" spans="1:36">
      <c r="A1624" t="s">
        <v>375</v>
      </c>
      <c r="B1624" t="s">
        <v>1909</v>
      </c>
      <c r="C1624" t="s">
        <v>94</v>
      </c>
      <c r="D1624" t="s">
        <v>96</v>
      </c>
      <c r="E1624" t="s">
        <v>55</v>
      </c>
      <c r="F1624">
        <v>0</v>
      </c>
      <c r="G1624">
        <v>1684</v>
      </c>
      <c r="H1624">
        <v>1</v>
      </c>
      <c r="I1624" t="s">
        <v>173</v>
      </c>
      <c r="J1624">
        <v>1</v>
      </c>
      <c r="K1624" s="6">
        <v>1.54</v>
      </c>
      <c r="L1624" t="s">
        <v>174</v>
      </c>
      <c r="M1624">
        <v>0</v>
      </c>
      <c r="N1624" t="s">
        <v>187</v>
      </c>
      <c r="O1624">
        <v>2</v>
      </c>
      <c r="P1624">
        <v>0</v>
      </c>
      <c r="Q1624" s="6">
        <v>46.2</v>
      </c>
      <c r="R1624">
        <v>1</v>
      </c>
      <c r="S1624" s="6">
        <v>873</v>
      </c>
      <c r="T1624">
        <v>0</v>
      </c>
      <c r="U1624" s="6">
        <v>7374</v>
      </c>
      <c r="V1624">
        <v>0</v>
      </c>
      <c r="W1624">
        <v>0</v>
      </c>
      <c r="X1624">
        <v>0</v>
      </c>
      <c r="Y1624" s="6">
        <v>50.6</v>
      </c>
      <c r="Z1624">
        <v>2.1000000000000001E-2</v>
      </c>
      <c r="AA1624">
        <v>0.10100000000000001</v>
      </c>
      <c r="AB1624">
        <v>5.5E-2</v>
      </c>
      <c r="AC1624">
        <v>6</v>
      </c>
      <c r="AD1624" s="6">
        <v>50</v>
      </c>
      <c r="AE1624" s="6">
        <v>25</v>
      </c>
      <c r="AF1624" s="6">
        <v>0</v>
      </c>
      <c r="AG1624" s="6">
        <v>53.46</v>
      </c>
      <c r="AH1624" s="6">
        <v>69.849999999999994</v>
      </c>
      <c r="AI1624" s="6">
        <f t="shared" si="50"/>
        <v>16.389999999999993</v>
      </c>
      <c r="AJ1624" s="5">
        <f t="shared" si="51"/>
        <v>0.23464566929133851</v>
      </c>
    </row>
    <row r="1625" spans="1:36">
      <c r="A1625" t="s">
        <v>266</v>
      </c>
      <c r="B1625" t="s">
        <v>1910</v>
      </c>
      <c r="C1625" t="s">
        <v>94</v>
      </c>
      <c r="D1625" t="s">
        <v>96</v>
      </c>
      <c r="E1625" t="s">
        <v>55</v>
      </c>
      <c r="F1625">
        <v>0</v>
      </c>
      <c r="G1625">
        <v>1684</v>
      </c>
      <c r="H1625">
        <v>1</v>
      </c>
      <c r="I1625" t="s">
        <v>220</v>
      </c>
      <c r="J1625">
        <v>2</v>
      </c>
      <c r="K1625" s="6">
        <v>4.2</v>
      </c>
      <c r="L1625" t="s">
        <v>174</v>
      </c>
      <c r="M1625">
        <v>0</v>
      </c>
      <c r="N1625" t="s">
        <v>187</v>
      </c>
      <c r="O1625">
        <v>2</v>
      </c>
      <c r="P1625">
        <v>0</v>
      </c>
      <c r="Q1625" s="6">
        <v>46.9</v>
      </c>
      <c r="R1625">
        <v>0</v>
      </c>
      <c r="S1625" s="6">
        <v>0</v>
      </c>
      <c r="T1625">
        <v>0</v>
      </c>
      <c r="U1625" s="6">
        <v>3103</v>
      </c>
      <c r="V1625">
        <v>0</v>
      </c>
      <c r="W1625">
        <v>0</v>
      </c>
      <c r="X1625">
        <v>0</v>
      </c>
      <c r="Y1625" s="6">
        <v>50.6</v>
      </c>
      <c r="Z1625">
        <v>2.1000000000000001E-2</v>
      </c>
      <c r="AA1625">
        <v>0.10100000000000001</v>
      </c>
      <c r="AB1625">
        <v>5.5E-2</v>
      </c>
      <c r="AC1625">
        <v>6</v>
      </c>
      <c r="AD1625" s="6">
        <v>50</v>
      </c>
      <c r="AE1625" s="6">
        <v>0</v>
      </c>
      <c r="AF1625" s="6">
        <v>0</v>
      </c>
      <c r="AG1625" s="6">
        <v>65.06</v>
      </c>
      <c r="AH1625" s="6">
        <v>84.68</v>
      </c>
      <c r="AI1625" s="6">
        <f t="shared" si="50"/>
        <v>19.620000000000005</v>
      </c>
      <c r="AJ1625" s="5">
        <f t="shared" si="51"/>
        <v>0.23169579593764764</v>
      </c>
    </row>
    <row r="1626" spans="1:36">
      <c r="A1626" t="s">
        <v>288</v>
      </c>
      <c r="B1626" t="s">
        <v>1911</v>
      </c>
      <c r="C1626" t="s">
        <v>94</v>
      </c>
      <c r="D1626" t="s">
        <v>96</v>
      </c>
      <c r="E1626" t="s">
        <v>55</v>
      </c>
      <c r="F1626">
        <v>0</v>
      </c>
      <c r="G1626">
        <v>1684</v>
      </c>
      <c r="H1626">
        <v>1</v>
      </c>
      <c r="I1626" t="s">
        <v>181</v>
      </c>
      <c r="J1626">
        <v>3</v>
      </c>
      <c r="K1626" s="6">
        <v>6.13</v>
      </c>
      <c r="L1626" t="s">
        <v>174</v>
      </c>
      <c r="M1626">
        <v>0</v>
      </c>
      <c r="N1626" t="s">
        <v>175</v>
      </c>
      <c r="O1626">
        <v>1</v>
      </c>
      <c r="P1626">
        <v>0</v>
      </c>
      <c r="Q1626" s="6">
        <v>25</v>
      </c>
      <c r="R1626">
        <v>1</v>
      </c>
      <c r="S1626" s="6">
        <v>1767</v>
      </c>
      <c r="T1626">
        <v>0</v>
      </c>
      <c r="U1626" s="6">
        <v>10109</v>
      </c>
      <c r="V1626">
        <v>0</v>
      </c>
      <c r="W1626">
        <v>0</v>
      </c>
      <c r="X1626">
        <v>0</v>
      </c>
      <c r="Y1626" s="6">
        <v>50.6</v>
      </c>
      <c r="Z1626">
        <v>2.1000000000000001E-2</v>
      </c>
      <c r="AA1626">
        <v>0.10100000000000001</v>
      </c>
      <c r="AB1626">
        <v>5.5E-2</v>
      </c>
      <c r="AC1626">
        <v>6</v>
      </c>
      <c r="AD1626" s="6">
        <v>60</v>
      </c>
      <c r="AE1626" s="6">
        <v>25</v>
      </c>
      <c r="AF1626" s="6">
        <v>0</v>
      </c>
      <c r="AG1626" s="6">
        <v>80.89</v>
      </c>
      <c r="AH1626" s="6">
        <v>103.68</v>
      </c>
      <c r="AI1626" s="6">
        <f t="shared" si="50"/>
        <v>22.790000000000006</v>
      </c>
      <c r="AJ1626" s="5">
        <f t="shared" si="51"/>
        <v>0.2198109567901235</v>
      </c>
    </row>
    <row r="1627" spans="1:36">
      <c r="A1627" t="s">
        <v>247</v>
      </c>
      <c r="B1627" t="s">
        <v>1912</v>
      </c>
      <c r="C1627" t="s">
        <v>94</v>
      </c>
      <c r="D1627" t="s">
        <v>96</v>
      </c>
      <c r="E1627" t="s">
        <v>55</v>
      </c>
      <c r="F1627">
        <v>0</v>
      </c>
      <c r="G1627">
        <v>1684</v>
      </c>
      <c r="H1627">
        <v>1</v>
      </c>
      <c r="I1627" t="s">
        <v>173</v>
      </c>
      <c r="J1627">
        <v>1</v>
      </c>
      <c r="K1627" s="6">
        <v>1.33</v>
      </c>
      <c r="L1627" t="s">
        <v>174</v>
      </c>
      <c r="M1627">
        <v>0</v>
      </c>
      <c r="N1627" t="s">
        <v>175</v>
      </c>
      <c r="O1627">
        <v>1</v>
      </c>
      <c r="P1627">
        <v>0</v>
      </c>
      <c r="Q1627" s="6">
        <v>26.4</v>
      </c>
      <c r="R1627">
        <v>0</v>
      </c>
      <c r="S1627" s="6">
        <v>0</v>
      </c>
      <c r="T1627">
        <v>0</v>
      </c>
      <c r="U1627" s="6">
        <v>1382</v>
      </c>
      <c r="V1627">
        <v>0</v>
      </c>
      <c r="W1627">
        <v>0</v>
      </c>
      <c r="X1627">
        <v>0</v>
      </c>
      <c r="Y1627" s="6">
        <v>50.6</v>
      </c>
      <c r="Z1627">
        <v>2.1000000000000001E-2</v>
      </c>
      <c r="AA1627">
        <v>0.10100000000000001</v>
      </c>
      <c r="AB1627">
        <v>5.5E-2</v>
      </c>
      <c r="AC1627">
        <v>6</v>
      </c>
      <c r="AD1627" s="6">
        <v>50</v>
      </c>
      <c r="AE1627" s="6">
        <v>0</v>
      </c>
      <c r="AF1627" s="6">
        <v>0</v>
      </c>
      <c r="AG1627" s="6">
        <v>51.72</v>
      </c>
      <c r="AH1627" s="6">
        <v>65.89</v>
      </c>
      <c r="AI1627" s="6">
        <f t="shared" si="50"/>
        <v>14.170000000000002</v>
      </c>
      <c r="AJ1627" s="5">
        <f t="shared" si="51"/>
        <v>0.21505539535589621</v>
      </c>
    </row>
    <row r="1628" spans="1:36">
      <c r="A1628" t="s">
        <v>215</v>
      </c>
      <c r="B1628" t="s">
        <v>1913</v>
      </c>
      <c r="C1628" t="s">
        <v>94</v>
      </c>
      <c r="D1628" t="s">
        <v>96</v>
      </c>
      <c r="E1628" t="s">
        <v>55</v>
      </c>
      <c r="F1628">
        <v>0</v>
      </c>
      <c r="G1628">
        <v>1684</v>
      </c>
      <c r="H1628">
        <v>1</v>
      </c>
      <c r="I1628" t="s">
        <v>220</v>
      </c>
      <c r="J1628">
        <v>2</v>
      </c>
      <c r="K1628" s="6">
        <v>3.89</v>
      </c>
      <c r="L1628" t="s">
        <v>174</v>
      </c>
      <c r="M1628">
        <v>0</v>
      </c>
      <c r="N1628" t="s">
        <v>182</v>
      </c>
      <c r="O1628">
        <v>3</v>
      </c>
      <c r="P1628">
        <v>0</v>
      </c>
      <c r="Q1628" s="6">
        <v>57.7</v>
      </c>
      <c r="R1628">
        <v>0</v>
      </c>
      <c r="S1628" s="6">
        <v>0</v>
      </c>
      <c r="T1628">
        <v>0</v>
      </c>
      <c r="U1628" s="6">
        <v>5194</v>
      </c>
      <c r="V1628">
        <v>0</v>
      </c>
      <c r="W1628">
        <v>0</v>
      </c>
      <c r="X1628">
        <v>0</v>
      </c>
      <c r="Y1628" s="6">
        <v>50.6</v>
      </c>
      <c r="Z1628">
        <v>2.1000000000000001E-2</v>
      </c>
      <c r="AA1628">
        <v>0.10100000000000001</v>
      </c>
      <c r="AB1628">
        <v>5.5E-2</v>
      </c>
      <c r="AC1628">
        <v>6</v>
      </c>
      <c r="AD1628" s="6">
        <v>50</v>
      </c>
      <c r="AE1628" s="6">
        <v>0</v>
      </c>
      <c r="AF1628" s="6">
        <v>0</v>
      </c>
      <c r="AG1628" s="6">
        <v>66.790000000000006</v>
      </c>
      <c r="AH1628" s="6">
        <v>83.99</v>
      </c>
      <c r="AI1628" s="6">
        <f t="shared" si="50"/>
        <v>17.199999999999989</v>
      </c>
      <c r="AJ1628" s="5">
        <f t="shared" si="51"/>
        <v>0.20478628408143815</v>
      </c>
    </row>
    <row r="1629" spans="1:36">
      <c r="A1629" t="s">
        <v>233</v>
      </c>
      <c r="B1629" t="s">
        <v>1914</v>
      </c>
      <c r="C1629" t="s">
        <v>94</v>
      </c>
      <c r="D1629" t="s">
        <v>96</v>
      </c>
      <c r="E1629" t="s">
        <v>55</v>
      </c>
      <c r="F1629">
        <v>0</v>
      </c>
      <c r="G1629">
        <v>1684</v>
      </c>
      <c r="H1629">
        <v>1</v>
      </c>
      <c r="I1629" t="s">
        <v>173</v>
      </c>
      <c r="J1629">
        <v>1</v>
      </c>
      <c r="K1629" s="6">
        <v>2.34</v>
      </c>
      <c r="L1629" t="s">
        <v>174</v>
      </c>
      <c r="M1629">
        <v>0</v>
      </c>
      <c r="N1629" t="s">
        <v>182</v>
      </c>
      <c r="O1629">
        <v>3</v>
      </c>
      <c r="P1629">
        <v>0</v>
      </c>
      <c r="Q1629" s="6">
        <v>146.69999999999999</v>
      </c>
      <c r="R1629">
        <v>1</v>
      </c>
      <c r="S1629" s="6">
        <v>1490</v>
      </c>
      <c r="T1629">
        <v>0</v>
      </c>
      <c r="U1629" s="6">
        <v>2199</v>
      </c>
      <c r="V1629">
        <v>0</v>
      </c>
      <c r="W1629">
        <v>0</v>
      </c>
      <c r="X1629">
        <v>0</v>
      </c>
      <c r="Y1629" s="6">
        <v>50.6</v>
      </c>
      <c r="Z1629">
        <v>2.1000000000000001E-2</v>
      </c>
      <c r="AA1629">
        <v>0.10100000000000001</v>
      </c>
      <c r="AB1629">
        <v>5.5E-2</v>
      </c>
      <c r="AC1629">
        <v>6</v>
      </c>
      <c r="AD1629" s="6">
        <v>50</v>
      </c>
      <c r="AE1629" s="6">
        <v>25</v>
      </c>
      <c r="AF1629" s="6">
        <v>0</v>
      </c>
      <c r="AG1629" s="6">
        <v>71.11</v>
      </c>
      <c r="AH1629" s="6">
        <v>91.76</v>
      </c>
      <c r="AI1629" s="6">
        <f t="shared" si="50"/>
        <v>20.650000000000006</v>
      </c>
      <c r="AJ1629" s="5">
        <f t="shared" si="51"/>
        <v>0.22504359197907589</v>
      </c>
    </row>
    <row r="1630" spans="1:36">
      <c r="A1630" t="s">
        <v>693</v>
      </c>
      <c r="B1630" t="s">
        <v>1915</v>
      </c>
      <c r="C1630" t="s">
        <v>94</v>
      </c>
      <c r="D1630" t="s">
        <v>96</v>
      </c>
      <c r="E1630" t="s">
        <v>55</v>
      </c>
      <c r="F1630">
        <v>0</v>
      </c>
      <c r="G1630">
        <v>1684</v>
      </c>
      <c r="H1630">
        <v>1</v>
      </c>
      <c r="I1630" t="s">
        <v>173</v>
      </c>
      <c r="J1630">
        <v>1</v>
      </c>
      <c r="K1630" s="6">
        <v>1.95</v>
      </c>
      <c r="L1630" t="s">
        <v>174</v>
      </c>
      <c r="M1630">
        <v>0</v>
      </c>
      <c r="N1630" t="s">
        <v>175</v>
      </c>
      <c r="O1630">
        <v>1</v>
      </c>
      <c r="P1630">
        <v>0</v>
      </c>
      <c r="Q1630" s="6">
        <v>30.1</v>
      </c>
      <c r="R1630">
        <v>0</v>
      </c>
      <c r="S1630" s="6">
        <v>0</v>
      </c>
      <c r="T1630">
        <v>0</v>
      </c>
      <c r="U1630" s="6">
        <v>1053</v>
      </c>
      <c r="V1630">
        <v>0</v>
      </c>
      <c r="W1630">
        <v>0</v>
      </c>
      <c r="X1630">
        <v>0</v>
      </c>
      <c r="Y1630" s="6">
        <v>50.6</v>
      </c>
      <c r="Z1630">
        <v>2.1000000000000001E-2</v>
      </c>
      <c r="AA1630">
        <v>0.10100000000000001</v>
      </c>
      <c r="AB1630">
        <v>5.5E-2</v>
      </c>
      <c r="AC1630">
        <v>6</v>
      </c>
      <c r="AD1630" s="6">
        <v>50</v>
      </c>
      <c r="AE1630" s="6">
        <v>0</v>
      </c>
      <c r="AF1630" s="6">
        <v>0</v>
      </c>
      <c r="AG1630" s="6">
        <v>51.56</v>
      </c>
      <c r="AH1630" s="6">
        <v>69.25</v>
      </c>
      <c r="AI1630" s="6">
        <f t="shared" si="50"/>
        <v>17.689999999999998</v>
      </c>
      <c r="AJ1630" s="5">
        <f t="shared" si="51"/>
        <v>0.25545126353790609</v>
      </c>
    </row>
    <row r="1631" spans="1:36">
      <c r="A1631" t="s">
        <v>228</v>
      </c>
      <c r="B1631" t="s">
        <v>1916</v>
      </c>
      <c r="C1631" t="s">
        <v>94</v>
      </c>
      <c r="D1631" t="s">
        <v>96</v>
      </c>
      <c r="E1631" t="s">
        <v>55</v>
      </c>
      <c r="F1631">
        <v>0</v>
      </c>
      <c r="G1631">
        <v>1684</v>
      </c>
      <c r="H1631">
        <v>1</v>
      </c>
      <c r="I1631" t="s">
        <v>178</v>
      </c>
      <c r="J1631">
        <v>4</v>
      </c>
      <c r="K1631" s="6">
        <v>11.86</v>
      </c>
      <c r="L1631" t="s">
        <v>174</v>
      </c>
      <c r="M1631">
        <v>0</v>
      </c>
      <c r="N1631" t="s">
        <v>182</v>
      </c>
      <c r="O1631">
        <v>3</v>
      </c>
      <c r="P1631">
        <v>0</v>
      </c>
      <c r="Q1631" s="6">
        <v>97.6</v>
      </c>
      <c r="R1631">
        <v>0</v>
      </c>
      <c r="S1631" s="6">
        <v>0</v>
      </c>
      <c r="T1631">
        <v>0</v>
      </c>
      <c r="U1631" s="6">
        <v>4024</v>
      </c>
      <c r="V1631">
        <v>0</v>
      </c>
      <c r="W1631">
        <v>0</v>
      </c>
      <c r="X1631">
        <v>0</v>
      </c>
      <c r="Y1631" s="6">
        <v>50.6</v>
      </c>
      <c r="Z1631">
        <v>2.1000000000000001E-2</v>
      </c>
      <c r="AA1631">
        <v>0.10100000000000001</v>
      </c>
      <c r="AB1631">
        <v>5.5E-2</v>
      </c>
      <c r="AC1631">
        <v>6</v>
      </c>
      <c r="AD1631" s="6">
        <v>65</v>
      </c>
      <c r="AE1631" s="6">
        <v>0</v>
      </c>
      <c r="AF1631" s="6">
        <v>0</v>
      </c>
      <c r="AG1631" s="6">
        <v>132.09</v>
      </c>
      <c r="AH1631" s="6">
        <v>165.73</v>
      </c>
      <c r="AI1631" s="6">
        <f t="shared" si="50"/>
        <v>33.639999999999986</v>
      </c>
      <c r="AJ1631" s="5">
        <f t="shared" si="51"/>
        <v>0.20298075182525788</v>
      </c>
    </row>
    <row r="1632" spans="1:36">
      <c r="A1632" t="s">
        <v>236</v>
      </c>
      <c r="B1632" t="s">
        <v>1917</v>
      </c>
      <c r="C1632" t="s">
        <v>94</v>
      </c>
      <c r="D1632" t="s">
        <v>96</v>
      </c>
      <c r="E1632" t="s">
        <v>55</v>
      </c>
      <c r="F1632">
        <v>0</v>
      </c>
      <c r="G1632">
        <v>1684</v>
      </c>
      <c r="H1632">
        <v>1</v>
      </c>
      <c r="I1632" t="s">
        <v>173</v>
      </c>
      <c r="J1632">
        <v>1</v>
      </c>
      <c r="K1632" s="6">
        <v>1.63</v>
      </c>
      <c r="L1632" t="s">
        <v>174</v>
      </c>
      <c r="M1632">
        <v>0</v>
      </c>
      <c r="N1632" t="s">
        <v>175</v>
      </c>
      <c r="O1632">
        <v>1</v>
      </c>
      <c r="P1632">
        <v>0</v>
      </c>
      <c r="Q1632" s="6">
        <v>45.5</v>
      </c>
      <c r="R1632">
        <v>1</v>
      </c>
      <c r="S1632" s="6">
        <v>3107</v>
      </c>
      <c r="T1632">
        <v>0</v>
      </c>
      <c r="U1632" s="6">
        <v>1665</v>
      </c>
      <c r="V1632">
        <v>0</v>
      </c>
      <c r="W1632">
        <v>1</v>
      </c>
      <c r="X1632">
        <v>0</v>
      </c>
      <c r="Y1632" s="6">
        <v>50.6</v>
      </c>
      <c r="Z1632">
        <v>2.1000000000000001E-2</v>
      </c>
      <c r="AA1632">
        <v>0.10100000000000001</v>
      </c>
      <c r="AB1632">
        <v>5.5E-2</v>
      </c>
      <c r="AC1632">
        <v>6</v>
      </c>
      <c r="AD1632" s="6">
        <v>50</v>
      </c>
      <c r="AE1632" s="6">
        <v>40</v>
      </c>
      <c r="AF1632" s="6">
        <v>0</v>
      </c>
      <c r="AG1632" s="6">
        <v>82.04</v>
      </c>
      <c r="AH1632" s="6">
        <v>104.34</v>
      </c>
      <c r="AI1632" s="6">
        <f t="shared" si="50"/>
        <v>22.299999999999997</v>
      </c>
      <c r="AJ1632" s="5">
        <f t="shared" si="51"/>
        <v>0.21372436266053285</v>
      </c>
    </row>
    <row r="1633" spans="1:36">
      <c r="A1633" t="s">
        <v>316</v>
      </c>
      <c r="B1633" t="s">
        <v>1918</v>
      </c>
      <c r="C1633" t="s">
        <v>94</v>
      </c>
      <c r="D1633" t="s">
        <v>96</v>
      </c>
      <c r="E1633" t="s">
        <v>55</v>
      </c>
      <c r="F1633">
        <v>0</v>
      </c>
      <c r="G1633">
        <v>1684</v>
      </c>
      <c r="H1633">
        <v>1</v>
      </c>
      <c r="I1633" t="s">
        <v>220</v>
      </c>
      <c r="J1633">
        <v>2</v>
      </c>
      <c r="K1633" s="6">
        <v>5.04</v>
      </c>
      <c r="L1633" t="s">
        <v>174</v>
      </c>
      <c r="M1633">
        <v>0</v>
      </c>
      <c r="N1633" t="s">
        <v>182</v>
      </c>
      <c r="O1633">
        <v>3</v>
      </c>
      <c r="P1633">
        <v>0</v>
      </c>
      <c r="Q1633" s="6">
        <v>76.3</v>
      </c>
      <c r="R1633">
        <v>1</v>
      </c>
      <c r="S1633" s="6">
        <v>440</v>
      </c>
      <c r="T1633">
        <v>0</v>
      </c>
      <c r="U1633" s="6">
        <v>8607</v>
      </c>
      <c r="V1633">
        <v>0</v>
      </c>
      <c r="W1633">
        <v>0</v>
      </c>
      <c r="X1633">
        <v>0</v>
      </c>
      <c r="Y1633" s="6">
        <v>50.6</v>
      </c>
      <c r="Z1633">
        <v>2.1000000000000001E-2</v>
      </c>
      <c r="AA1633">
        <v>0.10100000000000001</v>
      </c>
      <c r="AB1633">
        <v>5.5E-2</v>
      </c>
      <c r="AC1633">
        <v>6</v>
      </c>
      <c r="AD1633" s="6">
        <v>50</v>
      </c>
      <c r="AE1633" s="6">
        <v>25</v>
      </c>
      <c r="AF1633" s="6">
        <v>0</v>
      </c>
      <c r="AG1633" s="6">
        <v>70.48</v>
      </c>
      <c r="AH1633" s="6">
        <v>88.15</v>
      </c>
      <c r="AI1633" s="6">
        <f t="shared" si="50"/>
        <v>17.670000000000002</v>
      </c>
      <c r="AJ1633" s="5">
        <f t="shared" si="51"/>
        <v>0.20045377197958028</v>
      </c>
    </row>
    <row r="1634" spans="1:36">
      <c r="A1634" t="s">
        <v>185</v>
      </c>
      <c r="B1634" t="s">
        <v>1919</v>
      </c>
      <c r="C1634" t="s">
        <v>94</v>
      </c>
      <c r="D1634" t="s">
        <v>96</v>
      </c>
      <c r="E1634" t="s">
        <v>55</v>
      </c>
      <c r="F1634">
        <v>0</v>
      </c>
      <c r="G1634">
        <v>1684</v>
      </c>
      <c r="H1634">
        <v>1</v>
      </c>
      <c r="I1634" t="s">
        <v>173</v>
      </c>
      <c r="J1634">
        <v>1</v>
      </c>
      <c r="K1634" s="6">
        <v>1.83</v>
      </c>
      <c r="L1634" t="s">
        <v>174</v>
      </c>
      <c r="M1634">
        <v>0</v>
      </c>
      <c r="N1634" t="s">
        <v>182</v>
      </c>
      <c r="O1634">
        <v>3</v>
      </c>
      <c r="P1634">
        <v>0</v>
      </c>
      <c r="Q1634" s="6">
        <v>122.8</v>
      </c>
      <c r="R1634">
        <v>0</v>
      </c>
      <c r="S1634" s="6">
        <v>0</v>
      </c>
      <c r="T1634">
        <v>0</v>
      </c>
      <c r="U1634" s="6">
        <v>6063</v>
      </c>
      <c r="V1634">
        <v>0</v>
      </c>
      <c r="W1634">
        <v>0</v>
      </c>
      <c r="X1634">
        <v>0</v>
      </c>
      <c r="Y1634" s="6">
        <v>50.6</v>
      </c>
      <c r="Z1634">
        <v>2.1000000000000001E-2</v>
      </c>
      <c r="AA1634">
        <v>0.10100000000000001</v>
      </c>
      <c r="AB1634">
        <v>5.5E-2</v>
      </c>
      <c r="AC1634">
        <v>6</v>
      </c>
      <c r="AD1634" s="6">
        <v>50</v>
      </c>
      <c r="AE1634" s="6">
        <v>0</v>
      </c>
      <c r="AF1634" s="6">
        <v>0</v>
      </c>
      <c r="AG1634" s="6">
        <v>62</v>
      </c>
      <c r="AH1634" s="6">
        <v>77.64</v>
      </c>
      <c r="AI1634" s="6">
        <f t="shared" si="50"/>
        <v>15.64</v>
      </c>
      <c r="AJ1634" s="5">
        <f t="shared" si="51"/>
        <v>0.20144255538382277</v>
      </c>
    </row>
    <row r="1635" spans="1:36">
      <c r="A1635" t="s">
        <v>406</v>
      </c>
      <c r="B1635" t="s">
        <v>1920</v>
      </c>
      <c r="C1635" t="s">
        <v>94</v>
      </c>
      <c r="D1635" t="s">
        <v>96</v>
      </c>
      <c r="E1635" t="s">
        <v>55</v>
      </c>
      <c r="F1635">
        <v>0</v>
      </c>
      <c r="G1635">
        <v>1684</v>
      </c>
      <c r="H1635">
        <v>1</v>
      </c>
      <c r="I1635" t="s">
        <v>173</v>
      </c>
      <c r="J1635">
        <v>1</v>
      </c>
      <c r="K1635" s="6">
        <v>2.77</v>
      </c>
      <c r="L1635" t="s">
        <v>174</v>
      </c>
      <c r="M1635">
        <v>0</v>
      </c>
      <c r="N1635" t="s">
        <v>272</v>
      </c>
      <c r="O1635">
        <v>5</v>
      </c>
      <c r="P1635">
        <v>1</v>
      </c>
      <c r="Q1635" s="6">
        <v>266.5</v>
      </c>
      <c r="R1635">
        <v>1</v>
      </c>
      <c r="S1635" s="6">
        <v>3156</v>
      </c>
      <c r="T1635">
        <v>0</v>
      </c>
      <c r="U1635" s="6">
        <v>4979</v>
      </c>
      <c r="V1635">
        <v>0</v>
      </c>
      <c r="W1635">
        <v>0</v>
      </c>
      <c r="X1635">
        <v>1</v>
      </c>
      <c r="Y1635" s="6">
        <v>50.6</v>
      </c>
      <c r="Z1635">
        <v>2.1000000000000001E-2</v>
      </c>
      <c r="AA1635">
        <v>0.10100000000000001</v>
      </c>
      <c r="AB1635">
        <v>5.5E-2</v>
      </c>
      <c r="AC1635">
        <v>6</v>
      </c>
      <c r="AD1635" s="6">
        <v>50</v>
      </c>
      <c r="AE1635" s="6">
        <v>40</v>
      </c>
      <c r="AF1635" s="6">
        <v>0</v>
      </c>
      <c r="AG1635" s="6">
        <v>147.05000000000001</v>
      </c>
      <c r="AH1635" s="6">
        <v>187.86</v>
      </c>
      <c r="AI1635" s="6">
        <f t="shared" si="50"/>
        <v>40.81</v>
      </c>
      <c r="AJ1635" s="5">
        <f t="shared" si="51"/>
        <v>0.21723623975300754</v>
      </c>
    </row>
    <row r="1636" spans="1:36">
      <c r="A1636" t="s">
        <v>277</v>
      </c>
      <c r="B1636" t="s">
        <v>1921</v>
      </c>
      <c r="C1636" t="s">
        <v>94</v>
      </c>
      <c r="D1636" t="s">
        <v>96</v>
      </c>
      <c r="E1636" t="s">
        <v>55</v>
      </c>
      <c r="F1636">
        <v>0</v>
      </c>
      <c r="G1636">
        <v>1684</v>
      </c>
      <c r="H1636">
        <v>1</v>
      </c>
      <c r="I1636" t="s">
        <v>173</v>
      </c>
      <c r="J1636">
        <v>1</v>
      </c>
      <c r="K1636" s="6">
        <v>1.92</v>
      </c>
      <c r="L1636" t="s">
        <v>174</v>
      </c>
      <c r="M1636">
        <v>0</v>
      </c>
      <c r="N1636" t="s">
        <v>175</v>
      </c>
      <c r="O1636">
        <v>1</v>
      </c>
      <c r="P1636">
        <v>0</v>
      </c>
      <c r="Q1636" s="6">
        <v>38.799999999999997</v>
      </c>
      <c r="R1636">
        <v>1</v>
      </c>
      <c r="S1636" s="6">
        <v>1151</v>
      </c>
      <c r="T1636">
        <v>0</v>
      </c>
      <c r="U1636" s="6">
        <v>2161</v>
      </c>
      <c r="V1636">
        <v>0</v>
      </c>
      <c r="W1636">
        <v>1</v>
      </c>
      <c r="X1636">
        <v>0</v>
      </c>
      <c r="Y1636" s="6">
        <v>50.6</v>
      </c>
      <c r="Z1636">
        <v>2.1000000000000001E-2</v>
      </c>
      <c r="AA1636">
        <v>0.10100000000000001</v>
      </c>
      <c r="AB1636">
        <v>5.5E-2</v>
      </c>
      <c r="AC1636">
        <v>6</v>
      </c>
      <c r="AD1636" s="6">
        <v>50</v>
      </c>
      <c r="AE1636" s="6">
        <v>25</v>
      </c>
      <c r="AF1636" s="6">
        <v>0</v>
      </c>
      <c r="AG1636" s="6">
        <v>83.87</v>
      </c>
      <c r="AH1636" s="6">
        <v>107.33</v>
      </c>
      <c r="AI1636" s="6">
        <f t="shared" si="50"/>
        <v>23.459999999999994</v>
      </c>
      <c r="AJ1636" s="5">
        <f t="shared" si="51"/>
        <v>0.21857821671480476</v>
      </c>
    </row>
    <row r="1637" spans="1:36">
      <c r="A1637" t="s">
        <v>245</v>
      </c>
      <c r="B1637" t="s">
        <v>1922</v>
      </c>
      <c r="C1637" t="s">
        <v>97</v>
      </c>
      <c r="D1637" t="s">
        <v>63</v>
      </c>
      <c r="E1637" t="s">
        <v>55</v>
      </c>
      <c r="F1637">
        <v>0</v>
      </c>
      <c r="G1637">
        <v>2372</v>
      </c>
      <c r="H1637">
        <v>1</v>
      </c>
      <c r="I1637" t="s">
        <v>173</v>
      </c>
      <c r="J1637">
        <v>1</v>
      </c>
      <c r="K1637" s="6">
        <v>1.89</v>
      </c>
      <c r="L1637" t="s">
        <v>174</v>
      </c>
      <c r="M1637">
        <v>0</v>
      </c>
      <c r="N1637" t="s">
        <v>217</v>
      </c>
      <c r="O1637">
        <v>4</v>
      </c>
      <c r="P1637">
        <v>1</v>
      </c>
      <c r="Q1637" s="6">
        <v>185.2</v>
      </c>
      <c r="R1637">
        <v>0</v>
      </c>
      <c r="S1637" s="6">
        <v>0</v>
      </c>
      <c r="T1637">
        <v>0</v>
      </c>
      <c r="U1637" s="6">
        <v>1529</v>
      </c>
      <c r="V1637">
        <v>0</v>
      </c>
      <c r="W1637">
        <v>0</v>
      </c>
      <c r="X1637">
        <v>0</v>
      </c>
      <c r="Y1637" s="6">
        <v>42.3</v>
      </c>
      <c r="Z1637">
        <v>3.9E-2</v>
      </c>
      <c r="AA1637">
        <v>0.05</v>
      </c>
      <c r="AB1637">
        <v>5.8000000000000003E-2</v>
      </c>
      <c r="AC1637">
        <v>6</v>
      </c>
      <c r="AD1637" s="6">
        <v>50</v>
      </c>
      <c r="AE1637" s="6">
        <v>0</v>
      </c>
      <c r="AF1637" s="6">
        <v>0</v>
      </c>
      <c r="AG1637" s="6">
        <v>98.99</v>
      </c>
      <c r="AH1637" s="6">
        <v>128.32</v>
      </c>
      <c r="AI1637" s="6">
        <f t="shared" si="50"/>
        <v>29.33</v>
      </c>
      <c r="AJ1637" s="5">
        <f t="shared" si="51"/>
        <v>0.22856920199501246</v>
      </c>
    </row>
    <row r="1638" spans="1:36">
      <c r="A1638" t="s">
        <v>228</v>
      </c>
      <c r="B1638" t="s">
        <v>1923</v>
      </c>
      <c r="C1638" t="s">
        <v>97</v>
      </c>
      <c r="D1638" t="s">
        <v>63</v>
      </c>
      <c r="E1638" t="s">
        <v>55</v>
      </c>
      <c r="F1638">
        <v>0</v>
      </c>
      <c r="G1638">
        <v>2372</v>
      </c>
      <c r="H1638">
        <v>1</v>
      </c>
      <c r="I1638" t="s">
        <v>181</v>
      </c>
      <c r="J1638">
        <v>3</v>
      </c>
      <c r="K1638" s="6">
        <v>4.5</v>
      </c>
      <c r="L1638" t="s">
        <v>174</v>
      </c>
      <c r="M1638">
        <v>0</v>
      </c>
      <c r="N1638" t="s">
        <v>175</v>
      </c>
      <c r="O1638">
        <v>1</v>
      </c>
      <c r="P1638">
        <v>0</v>
      </c>
      <c r="Q1638" s="6">
        <v>21</v>
      </c>
      <c r="R1638">
        <v>0</v>
      </c>
      <c r="S1638" s="6">
        <v>0</v>
      </c>
      <c r="T1638">
        <v>0</v>
      </c>
      <c r="U1638" s="6">
        <v>641</v>
      </c>
      <c r="V1638">
        <v>0</v>
      </c>
      <c r="W1638">
        <v>0</v>
      </c>
      <c r="X1638">
        <v>0</v>
      </c>
      <c r="Y1638" s="6">
        <v>42.3</v>
      </c>
      <c r="Z1638">
        <v>3.9E-2</v>
      </c>
      <c r="AA1638">
        <v>0.05</v>
      </c>
      <c r="AB1638">
        <v>5.8000000000000003E-2</v>
      </c>
      <c r="AC1638">
        <v>6</v>
      </c>
      <c r="AD1638" s="6">
        <v>60</v>
      </c>
      <c r="AE1638" s="6">
        <v>0</v>
      </c>
      <c r="AF1638" s="6">
        <v>0</v>
      </c>
      <c r="AG1638" s="6">
        <v>67.849999999999994</v>
      </c>
      <c r="AH1638" s="6">
        <v>89.61</v>
      </c>
      <c r="AI1638" s="6">
        <f t="shared" si="50"/>
        <v>21.760000000000005</v>
      </c>
      <c r="AJ1638" s="5">
        <f t="shared" si="51"/>
        <v>0.24283004129003466</v>
      </c>
    </row>
    <row r="1639" spans="1:36">
      <c r="A1639" t="s">
        <v>397</v>
      </c>
      <c r="B1639" t="s">
        <v>1924</v>
      </c>
      <c r="C1639" t="s">
        <v>97</v>
      </c>
      <c r="D1639" t="s">
        <v>63</v>
      </c>
      <c r="E1639" t="s">
        <v>55</v>
      </c>
      <c r="F1639">
        <v>0</v>
      </c>
      <c r="G1639">
        <v>2372</v>
      </c>
      <c r="H1639">
        <v>1</v>
      </c>
      <c r="I1639" t="s">
        <v>220</v>
      </c>
      <c r="J1639">
        <v>2</v>
      </c>
      <c r="K1639" s="6">
        <v>3.18</v>
      </c>
      <c r="L1639" t="s">
        <v>174</v>
      </c>
      <c r="M1639">
        <v>0</v>
      </c>
      <c r="N1639" t="s">
        <v>182</v>
      </c>
      <c r="O1639">
        <v>3</v>
      </c>
      <c r="P1639">
        <v>0</v>
      </c>
      <c r="Q1639" s="6">
        <v>104.7</v>
      </c>
      <c r="R1639">
        <v>1</v>
      </c>
      <c r="S1639" s="6">
        <v>3458</v>
      </c>
      <c r="T1639">
        <v>0</v>
      </c>
      <c r="U1639" s="6">
        <v>659</v>
      </c>
      <c r="V1639">
        <v>1</v>
      </c>
      <c r="W1639">
        <v>0</v>
      </c>
      <c r="X1639">
        <v>0</v>
      </c>
      <c r="Y1639" s="6">
        <v>42.3</v>
      </c>
      <c r="Z1639">
        <v>3.9E-2</v>
      </c>
      <c r="AA1639">
        <v>0.05</v>
      </c>
      <c r="AB1639">
        <v>5.8000000000000003E-2</v>
      </c>
      <c r="AC1639">
        <v>6</v>
      </c>
      <c r="AD1639" s="6">
        <v>50</v>
      </c>
      <c r="AE1639" s="6">
        <v>40</v>
      </c>
      <c r="AF1639" s="6">
        <v>0</v>
      </c>
      <c r="AG1639" s="6">
        <v>112.47</v>
      </c>
      <c r="AH1639" s="6">
        <v>141.30000000000001</v>
      </c>
      <c r="AI1639" s="6">
        <f t="shared" si="50"/>
        <v>28.830000000000013</v>
      </c>
      <c r="AJ1639" s="5">
        <f t="shared" si="51"/>
        <v>0.20403397027600856</v>
      </c>
    </row>
    <row r="1640" spans="1:36">
      <c r="A1640" t="s">
        <v>353</v>
      </c>
      <c r="B1640" t="s">
        <v>1925</v>
      </c>
      <c r="C1640" t="s">
        <v>97</v>
      </c>
      <c r="D1640" t="s">
        <v>63</v>
      </c>
      <c r="E1640" t="s">
        <v>55</v>
      </c>
      <c r="F1640">
        <v>0</v>
      </c>
      <c r="G1640">
        <v>2372</v>
      </c>
      <c r="H1640">
        <v>1</v>
      </c>
      <c r="I1640" t="s">
        <v>220</v>
      </c>
      <c r="J1640">
        <v>2</v>
      </c>
      <c r="K1640" s="6">
        <v>3.62</v>
      </c>
      <c r="L1640" t="s">
        <v>174</v>
      </c>
      <c r="M1640">
        <v>0</v>
      </c>
      <c r="N1640" t="s">
        <v>182</v>
      </c>
      <c r="O1640">
        <v>3</v>
      </c>
      <c r="P1640">
        <v>0</v>
      </c>
      <c r="Q1640" s="6">
        <v>72.8</v>
      </c>
      <c r="R1640">
        <v>0</v>
      </c>
      <c r="S1640" s="6">
        <v>0</v>
      </c>
      <c r="T1640">
        <v>0</v>
      </c>
      <c r="U1640" s="6">
        <v>913</v>
      </c>
      <c r="V1640">
        <v>0</v>
      </c>
      <c r="W1640">
        <v>0</v>
      </c>
      <c r="X1640">
        <v>0</v>
      </c>
      <c r="Y1640" s="6">
        <v>42.3</v>
      </c>
      <c r="Z1640">
        <v>3.9E-2</v>
      </c>
      <c r="AA1640">
        <v>0.05</v>
      </c>
      <c r="AB1640">
        <v>5.8000000000000003E-2</v>
      </c>
      <c r="AC1640">
        <v>6</v>
      </c>
      <c r="AD1640" s="6">
        <v>50</v>
      </c>
      <c r="AE1640" s="6">
        <v>0</v>
      </c>
      <c r="AF1640" s="6">
        <v>0</v>
      </c>
      <c r="AG1640" s="6">
        <v>64.650000000000006</v>
      </c>
      <c r="AH1640" s="6">
        <v>82.64</v>
      </c>
      <c r="AI1640" s="6">
        <f t="shared" si="50"/>
        <v>17.989999999999995</v>
      </c>
      <c r="AJ1640" s="5">
        <f t="shared" si="51"/>
        <v>0.2176911907066795</v>
      </c>
    </row>
    <row r="1641" spans="1:36">
      <c r="A1641" t="s">
        <v>360</v>
      </c>
      <c r="B1641" t="s">
        <v>1926</v>
      </c>
      <c r="C1641" t="s">
        <v>97</v>
      </c>
      <c r="D1641" t="s">
        <v>63</v>
      </c>
      <c r="E1641" t="s">
        <v>55</v>
      </c>
      <c r="F1641">
        <v>0</v>
      </c>
      <c r="G1641">
        <v>2372</v>
      </c>
      <c r="H1641">
        <v>1</v>
      </c>
      <c r="I1641" t="s">
        <v>173</v>
      </c>
      <c r="J1641">
        <v>1</v>
      </c>
      <c r="K1641" s="6">
        <v>1.92</v>
      </c>
      <c r="L1641" t="s">
        <v>174</v>
      </c>
      <c r="M1641">
        <v>0</v>
      </c>
      <c r="N1641" t="s">
        <v>187</v>
      </c>
      <c r="O1641">
        <v>2</v>
      </c>
      <c r="P1641">
        <v>0</v>
      </c>
      <c r="Q1641" s="6">
        <v>47</v>
      </c>
      <c r="R1641">
        <v>0</v>
      </c>
      <c r="S1641" s="6">
        <v>0</v>
      </c>
      <c r="T1641">
        <v>0</v>
      </c>
      <c r="U1641" s="6">
        <v>1438</v>
      </c>
      <c r="V1641">
        <v>0</v>
      </c>
      <c r="W1641">
        <v>0</v>
      </c>
      <c r="X1641">
        <v>0</v>
      </c>
      <c r="Y1641" s="6">
        <v>42.3</v>
      </c>
      <c r="Z1641">
        <v>3.9E-2</v>
      </c>
      <c r="AA1641">
        <v>0.05</v>
      </c>
      <c r="AB1641">
        <v>5.8000000000000003E-2</v>
      </c>
      <c r="AC1641">
        <v>6</v>
      </c>
      <c r="AD1641" s="6">
        <v>50</v>
      </c>
      <c r="AE1641" s="6">
        <v>0</v>
      </c>
      <c r="AF1641" s="6">
        <v>0</v>
      </c>
      <c r="AG1641" s="6">
        <v>52.42</v>
      </c>
      <c r="AH1641" s="6">
        <v>70.150000000000006</v>
      </c>
      <c r="AI1641" s="6">
        <f t="shared" si="50"/>
        <v>17.730000000000004</v>
      </c>
      <c r="AJ1641" s="5">
        <f t="shared" si="51"/>
        <v>0.25274411974340705</v>
      </c>
    </row>
    <row r="1642" spans="1:36">
      <c r="A1642" t="s">
        <v>401</v>
      </c>
      <c r="B1642" t="s">
        <v>1927</v>
      </c>
      <c r="C1642" t="s">
        <v>97</v>
      </c>
      <c r="D1642" t="s">
        <v>63</v>
      </c>
      <c r="E1642" t="s">
        <v>55</v>
      </c>
      <c r="F1642">
        <v>0</v>
      </c>
      <c r="G1642">
        <v>2372</v>
      </c>
      <c r="H1642">
        <v>1</v>
      </c>
      <c r="I1642" t="s">
        <v>173</v>
      </c>
      <c r="J1642">
        <v>1</v>
      </c>
      <c r="K1642" s="6">
        <v>0.86</v>
      </c>
      <c r="L1642" t="s">
        <v>174</v>
      </c>
      <c r="M1642">
        <v>0</v>
      </c>
      <c r="N1642" t="s">
        <v>187</v>
      </c>
      <c r="O1642">
        <v>2</v>
      </c>
      <c r="P1642">
        <v>1</v>
      </c>
      <c r="Q1642" s="6">
        <v>41.6</v>
      </c>
      <c r="R1642">
        <v>1</v>
      </c>
      <c r="S1642" s="6">
        <v>1034</v>
      </c>
      <c r="T1642">
        <v>0</v>
      </c>
      <c r="U1642" s="6">
        <v>871</v>
      </c>
      <c r="V1642">
        <v>0</v>
      </c>
      <c r="W1642">
        <v>0</v>
      </c>
      <c r="X1642">
        <v>0</v>
      </c>
      <c r="Y1642" s="6">
        <v>42.3</v>
      </c>
      <c r="Z1642">
        <v>3.9E-2</v>
      </c>
      <c r="AA1642">
        <v>0.05</v>
      </c>
      <c r="AB1642">
        <v>5.8000000000000003E-2</v>
      </c>
      <c r="AC1642">
        <v>6</v>
      </c>
      <c r="AD1642" s="6">
        <v>50</v>
      </c>
      <c r="AE1642" s="6">
        <v>25</v>
      </c>
      <c r="AF1642" s="6">
        <v>0</v>
      </c>
      <c r="AG1642" s="6">
        <v>77.09</v>
      </c>
      <c r="AH1642" s="6">
        <v>98.33</v>
      </c>
      <c r="AI1642" s="6">
        <f t="shared" si="50"/>
        <v>21.239999999999995</v>
      </c>
      <c r="AJ1642" s="5">
        <f t="shared" si="51"/>
        <v>0.2160073222821112</v>
      </c>
    </row>
    <row r="1643" spans="1:36">
      <c r="A1643" t="s">
        <v>296</v>
      </c>
      <c r="B1643" t="s">
        <v>1928</v>
      </c>
      <c r="C1643" t="s">
        <v>97</v>
      </c>
      <c r="D1643" t="s">
        <v>63</v>
      </c>
      <c r="E1643" t="s">
        <v>55</v>
      </c>
      <c r="F1643">
        <v>0</v>
      </c>
      <c r="G1643">
        <v>2372</v>
      </c>
      <c r="H1643">
        <v>1</v>
      </c>
      <c r="I1643" t="s">
        <v>173</v>
      </c>
      <c r="J1643">
        <v>1</v>
      </c>
      <c r="K1643" s="6">
        <v>1.58</v>
      </c>
      <c r="L1643" t="s">
        <v>174</v>
      </c>
      <c r="M1643">
        <v>0</v>
      </c>
      <c r="N1643" t="s">
        <v>175</v>
      </c>
      <c r="O1643">
        <v>1</v>
      </c>
      <c r="P1643">
        <v>0</v>
      </c>
      <c r="Q1643" s="6">
        <v>33.700000000000003</v>
      </c>
      <c r="R1643">
        <v>0</v>
      </c>
      <c r="S1643" s="6">
        <v>0</v>
      </c>
      <c r="T1643">
        <v>0</v>
      </c>
      <c r="U1643" s="6">
        <v>976</v>
      </c>
      <c r="V1643">
        <v>0</v>
      </c>
      <c r="W1643">
        <v>0</v>
      </c>
      <c r="X1643">
        <v>0</v>
      </c>
      <c r="Y1643" s="6">
        <v>42.3</v>
      </c>
      <c r="Z1643">
        <v>3.9E-2</v>
      </c>
      <c r="AA1643">
        <v>0.05</v>
      </c>
      <c r="AB1643">
        <v>5.8000000000000003E-2</v>
      </c>
      <c r="AC1643">
        <v>6</v>
      </c>
      <c r="AD1643" s="6">
        <v>50</v>
      </c>
      <c r="AE1643" s="6">
        <v>0</v>
      </c>
      <c r="AF1643" s="6">
        <v>0</v>
      </c>
      <c r="AG1643" s="6">
        <v>48.05</v>
      </c>
      <c r="AH1643" s="6">
        <v>64.569999999999993</v>
      </c>
      <c r="AI1643" s="6">
        <f t="shared" si="50"/>
        <v>16.519999999999996</v>
      </c>
      <c r="AJ1643" s="5">
        <f t="shared" si="51"/>
        <v>0.25584636828248408</v>
      </c>
    </row>
    <row r="1644" spans="1:36">
      <c r="A1644" t="s">
        <v>436</v>
      </c>
      <c r="B1644" t="s">
        <v>1929</v>
      </c>
      <c r="C1644" t="s">
        <v>97</v>
      </c>
      <c r="D1644" t="s">
        <v>63</v>
      </c>
      <c r="E1644" t="s">
        <v>55</v>
      </c>
      <c r="F1644">
        <v>0</v>
      </c>
      <c r="G1644">
        <v>2372</v>
      </c>
      <c r="H1644">
        <v>1</v>
      </c>
      <c r="I1644" t="s">
        <v>220</v>
      </c>
      <c r="J1644">
        <v>2</v>
      </c>
      <c r="K1644" s="6">
        <v>5.57</v>
      </c>
      <c r="L1644" t="s">
        <v>174</v>
      </c>
      <c r="M1644">
        <v>0</v>
      </c>
      <c r="N1644" t="s">
        <v>187</v>
      </c>
      <c r="O1644">
        <v>2</v>
      </c>
      <c r="P1644">
        <v>0</v>
      </c>
      <c r="Q1644" s="6">
        <v>62.9</v>
      </c>
      <c r="R1644">
        <v>1</v>
      </c>
      <c r="S1644" s="6">
        <v>1129</v>
      </c>
      <c r="T1644">
        <v>0</v>
      </c>
      <c r="U1644" s="6">
        <v>902</v>
      </c>
      <c r="V1644">
        <v>0</v>
      </c>
      <c r="W1644">
        <v>0</v>
      </c>
      <c r="X1644">
        <v>0</v>
      </c>
      <c r="Y1644" s="6">
        <v>42.3</v>
      </c>
      <c r="Z1644">
        <v>3.9E-2</v>
      </c>
      <c r="AA1644">
        <v>0.05</v>
      </c>
      <c r="AB1644">
        <v>5.8000000000000003E-2</v>
      </c>
      <c r="AC1644">
        <v>6</v>
      </c>
      <c r="AD1644" s="6">
        <v>50</v>
      </c>
      <c r="AE1644" s="6">
        <v>25</v>
      </c>
      <c r="AF1644" s="6">
        <v>0</v>
      </c>
      <c r="AG1644" s="6">
        <v>74.78</v>
      </c>
      <c r="AH1644" s="6">
        <v>98.34</v>
      </c>
      <c r="AI1644" s="6">
        <f t="shared" si="50"/>
        <v>23.560000000000002</v>
      </c>
      <c r="AJ1644" s="5">
        <f t="shared" si="51"/>
        <v>0.2395769778320114</v>
      </c>
    </row>
    <row r="1645" spans="1:36">
      <c r="A1645" t="s">
        <v>188</v>
      </c>
      <c r="B1645" t="s">
        <v>1930</v>
      </c>
      <c r="C1645" t="s">
        <v>97</v>
      </c>
      <c r="D1645" t="s">
        <v>63</v>
      </c>
      <c r="E1645" t="s">
        <v>55</v>
      </c>
      <c r="F1645">
        <v>0</v>
      </c>
      <c r="G1645">
        <v>2372</v>
      </c>
      <c r="H1645">
        <v>1</v>
      </c>
      <c r="I1645" t="s">
        <v>220</v>
      </c>
      <c r="J1645">
        <v>2</v>
      </c>
      <c r="K1645" s="6">
        <v>4.51</v>
      </c>
      <c r="L1645" t="s">
        <v>174</v>
      </c>
      <c r="M1645">
        <v>0</v>
      </c>
      <c r="N1645" t="s">
        <v>187</v>
      </c>
      <c r="O1645">
        <v>2</v>
      </c>
      <c r="P1645">
        <v>0</v>
      </c>
      <c r="Q1645" s="6">
        <v>52.7</v>
      </c>
      <c r="R1645">
        <v>1</v>
      </c>
      <c r="S1645" s="6">
        <v>1188</v>
      </c>
      <c r="T1645">
        <v>0</v>
      </c>
      <c r="U1645" s="6">
        <v>319</v>
      </c>
      <c r="V1645">
        <v>0</v>
      </c>
      <c r="W1645">
        <v>0</v>
      </c>
      <c r="X1645">
        <v>0</v>
      </c>
      <c r="Y1645" s="6">
        <v>42.3</v>
      </c>
      <c r="Z1645">
        <v>3.9E-2</v>
      </c>
      <c r="AA1645">
        <v>0.05</v>
      </c>
      <c r="AB1645">
        <v>5.8000000000000003E-2</v>
      </c>
      <c r="AC1645">
        <v>6</v>
      </c>
      <c r="AD1645" s="6">
        <v>50</v>
      </c>
      <c r="AE1645" s="6">
        <v>25</v>
      </c>
      <c r="AF1645" s="6">
        <v>0</v>
      </c>
      <c r="AG1645" s="6">
        <v>69.03</v>
      </c>
      <c r="AH1645" s="6">
        <v>86.41</v>
      </c>
      <c r="AI1645" s="6">
        <f t="shared" si="50"/>
        <v>17.379999999999995</v>
      </c>
      <c r="AJ1645" s="5">
        <f t="shared" si="51"/>
        <v>0.20113412799444505</v>
      </c>
    </row>
    <row r="1646" spans="1:36">
      <c r="A1646" t="s">
        <v>501</v>
      </c>
      <c r="B1646" t="s">
        <v>1931</v>
      </c>
      <c r="C1646" t="s">
        <v>97</v>
      </c>
      <c r="D1646" t="s">
        <v>63</v>
      </c>
      <c r="E1646" t="s">
        <v>55</v>
      </c>
      <c r="F1646">
        <v>0</v>
      </c>
      <c r="G1646">
        <v>2372</v>
      </c>
      <c r="H1646">
        <v>1</v>
      </c>
      <c r="I1646" t="s">
        <v>220</v>
      </c>
      <c r="J1646">
        <v>2</v>
      </c>
      <c r="K1646" s="6">
        <v>4.2300000000000004</v>
      </c>
      <c r="L1646" t="s">
        <v>174</v>
      </c>
      <c r="M1646">
        <v>0</v>
      </c>
      <c r="N1646" t="s">
        <v>175</v>
      </c>
      <c r="O1646">
        <v>1</v>
      </c>
      <c r="P1646">
        <v>0</v>
      </c>
      <c r="Q1646" s="6">
        <v>28.5</v>
      </c>
      <c r="R1646">
        <v>0</v>
      </c>
      <c r="S1646" s="6">
        <v>0</v>
      </c>
      <c r="T1646">
        <v>0</v>
      </c>
      <c r="U1646" s="6">
        <v>798</v>
      </c>
      <c r="V1646">
        <v>0</v>
      </c>
      <c r="W1646">
        <v>0</v>
      </c>
      <c r="X1646">
        <v>1</v>
      </c>
      <c r="Y1646" s="6">
        <v>42.3</v>
      </c>
      <c r="Z1646">
        <v>3.9E-2</v>
      </c>
      <c r="AA1646">
        <v>0.05</v>
      </c>
      <c r="AB1646">
        <v>5.8000000000000003E-2</v>
      </c>
      <c r="AC1646">
        <v>6</v>
      </c>
      <c r="AD1646" s="6">
        <v>50</v>
      </c>
      <c r="AE1646" s="6">
        <v>0</v>
      </c>
      <c r="AF1646" s="6">
        <v>0</v>
      </c>
      <c r="AG1646" s="6">
        <v>63.51</v>
      </c>
      <c r="AH1646" s="6">
        <v>81.3</v>
      </c>
      <c r="AI1646" s="6">
        <f t="shared" si="50"/>
        <v>17.79</v>
      </c>
      <c r="AJ1646" s="5">
        <f t="shared" si="51"/>
        <v>0.21881918819188192</v>
      </c>
    </row>
    <row r="1647" spans="1:36">
      <c r="A1647" t="s">
        <v>274</v>
      </c>
      <c r="B1647" t="s">
        <v>1932</v>
      </c>
      <c r="C1647" t="s">
        <v>97</v>
      </c>
      <c r="D1647" t="s">
        <v>63</v>
      </c>
      <c r="E1647" t="s">
        <v>55</v>
      </c>
      <c r="F1647">
        <v>0</v>
      </c>
      <c r="G1647">
        <v>2372</v>
      </c>
      <c r="H1647">
        <v>1</v>
      </c>
      <c r="I1647" t="s">
        <v>220</v>
      </c>
      <c r="J1647">
        <v>2</v>
      </c>
      <c r="K1647" s="6">
        <v>3.57</v>
      </c>
      <c r="L1647" t="s">
        <v>174</v>
      </c>
      <c r="M1647">
        <v>0</v>
      </c>
      <c r="N1647" t="s">
        <v>175</v>
      </c>
      <c r="O1647">
        <v>1</v>
      </c>
      <c r="P1647">
        <v>0</v>
      </c>
      <c r="Q1647" s="6">
        <v>51.4</v>
      </c>
      <c r="R1647">
        <v>0</v>
      </c>
      <c r="S1647" s="6">
        <v>0</v>
      </c>
      <c r="T1647">
        <v>0</v>
      </c>
      <c r="U1647" s="6">
        <v>683</v>
      </c>
      <c r="V1647">
        <v>0</v>
      </c>
      <c r="W1647">
        <v>0</v>
      </c>
      <c r="X1647">
        <v>0</v>
      </c>
      <c r="Y1647" s="6">
        <v>42.3</v>
      </c>
      <c r="Z1647">
        <v>3.9E-2</v>
      </c>
      <c r="AA1647">
        <v>0.05</v>
      </c>
      <c r="AB1647">
        <v>5.8000000000000003E-2</v>
      </c>
      <c r="AC1647">
        <v>6</v>
      </c>
      <c r="AD1647" s="6">
        <v>50</v>
      </c>
      <c r="AE1647" s="6">
        <v>0</v>
      </c>
      <c r="AF1647" s="6">
        <v>0</v>
      </c>
      <c r="AG1647" s="6">
        <v>61.81</v>
      </c>
      <c r="AH1647" s="6">
        <v>78.33</v>
      </c>
      <c r="AI1647" s="6">
        <f t="shared" si="50"/>
        <v>16.519999999999996</v>
      </c>
      <c r="AJ1647" s="5">
        <f t="shared" si="51"/>
        <v>0.2109025915996425</v>
      </c>
    </row>
    <row r="1648" spans="1:36">
      <c r="A1648" t="s">
        <v>171</v>
      </c>
      <c r="B1648" t="s">
        <v>1933</v>
      </c>
      <c r="C1648" t="s">
        <v>97</v>
      </c>
      <c r="D1648" t="s">
        <v>63</v>
      </c>
      <c r="E1648" t="s">
        <v>55</v>
      </c>
      <c r="F1648">
        <v>0</v>
      </c>
      <c r="G1648">
        <v>2372</v>
      </c>
      <c r="H1648">
        <v>1</v>
      </c>
      <c r="I1648" t="s">
        <v>173</v>
      </c>
      <c r="J1648">
        <v>1</v>
      </c>
      <c r="K1648" s="6">
        <v>1.87</v>
      </c>
      <c r="L1648" t="s">
        <v>174</v>
      </c>
      <c r="M1648">
        <v>0</v>
      </c>
      <c r="N1648" t="s">
        <v>175</v>
      </c>
      <c r="O1648">
        <v>1</v>
      </c>
      <c r="P1648">
        <v>0</v>
      </c>
      <c r="Q1648" s="6">
        <v>30.6</v>
      </c>
      <c r="R1648">
        <v>1</v>
      </c>
      <c r="S1648" s="6">
        <v>2194</v>
      </c>
      <c r="T1648">
        <v>0</v>
      </c>
      <c r="U1648" s="6">
        <v>977</v>
      </c>
      <c r="V1648">
        <v>0</v>
      </c>
      <c r="W1648">
        <v>0</v>
      </c>
      <c r="X1648">
        <v>1</v>
      </c>
      <c r="Y1648" s="6">
        <v>42.3</v>
      </c>
      <c r="Z1648">
        <v>3.9E-2</v>
      </c>
      <c r="AA1648">
        <v>0.05</v>
      </c>
      <c r="AB1648">
        <v>5.8000000000000003E-2</v>
      </c>
      <c r="AC1648">
        <v>6</v>
      </c>
      <c r="AD1648" s="6">
        <v>50</v>
      </c>
      <c r="AE1648" s="6">
        <v>40</v>
      </c>
      <c r="AF1648" s="6">
        <v>0</v>
      </c>
      <c r="AG1648" s="6">
        <v>49.47</v>
      </c>
      <c r="AH1648" s="6">
        <v>62.71</v>
      </c>
      <c r="AI1648" s="6">
        <f t="shared" si="50"/>
        <v>13.240000000000002</v>
      </c>
      <c r="AJ1648" s="5">
        <f t="shared" si="51"/>
        <v>0.2111306011800351</v>
      </c>
    </row>
    <row r="1649" spans="1:36">
      <c r="A1649" t="s">
        <v>196</v>
      </c>
      <c r="B1649" t="s">
        <v>1934</v>
      </c>
      <c r="C1649" t="s">
        <v>97</v>
      </c>
      <c r="D1649" t="s">
        <v>63</v>
      </c>
      <c r="E1649" t="s">
        <v>55</v>
      </c>
      <c r="F1649">
        <v>0</v>
      </c>
      <c r="G1649">
        <v>2372</v>
      </c>
      <c r="H1649">
        <v>1</v>
      </c>
      <c r="I1649" t="s">
        <v>181</v>
      </c>
      <c r="J1649">
        <v>3</v>
      </c>
      <c r="K1649" s="6">
        <v>5.95</v>
      </c>
      <c r="L1649" t="s">
        <v>174</v>
      </c>
      <c r="M1649">
        <v>0</v>
      </c>
      <c r="N1649" t="s">
        <v>182</v>
      </c>
      <c r="O1649">
        <v>3</v>
      </c>
      <c r="P1649">
        <v>0</v>
      </c>
      <c r="Q1649" s="6">
        <v>87.6</v>
      </c>
      <c r="R1649">
        <v>0</v>
      </c>
      <c r="S1649" s="6">
        <v>0</v>
      </c>
      <c r="T1649">
        <v>0</v>
      </c>
      <c r="U1649" s="6">
        <v>1824</v>
      </c>
      <c r="V1649">
        <v>0</v>
      </c>
      <c r="W1649">
        <v>0</v>
      </c>
      <c r="X1649">
        <v>0</v>
      </c>
      <c r="Y1649" s="6">
        <v>42.3</v>
      </c>
      <c r="Z1649">
        <v>3.9E-2</v>
      </c>
      <c r="AA1649">
        <v>0.05</v>
      </c>
      <c r="AB1649">
        <v>5.8000000000000003E-2</v>
      </c>
      <c r="AC1649">
        <v>6</v>
      </c>
      <c r="AD1649" s="6">
        <v>60</v>
      </c>
      <c r="AE1649" s="6">
        <v>0</v>
      </c>
      <c r="AF1649" s="6">
        <v>0</v>
      </c>
      <c r="AG1649" s="6">
        <v>85.69</v>
      </c>
      <c r="AH1649" s="6">
        <v>109.27</v>
      </c>
      <c r="AI1649" s="6">
        <f t="shared" si="50"/>
        <v>23.58</v>
      </c>
      <c r="AJ1649" s="5">
        <f t="shared" si="51"/>
        <v>0.21579573533449253</v>
      </c>
    </row>
    <row r="1650" spans="1:36">
      <c r="A1650" t="s">
        <v>171</v>
      </c>
      <c r="B1650" t="s">
        <v>1935</v>
      </c>
      <c r="C1650" t="s">
        <v>97</v>
      </c>
      <c r="D1650" t="s">
        <v>63</v>
      </c>
      <c r="E1650" t="s">
        <v>55</v>
      </c>
      <c r="F1650">
        <v>0</v>
      </c>
      <c r="G1650">
        <v>2372</v>
      </c>
      <c r="H1650">
        <v>1</v>
      </c>
      <c r="I1650" t="s">
        <v>220</v>
      </c>
      <c r="J1650">
        <v>2</v>
      </c>
      <c r="K1650" s="6">
        <v>4.71</v>
      </c>
      <c r="L1650" t="s">
        <v>174</v>
      </c>
      <c r="M1650">
        <v>0</v>
      </c>
      <c r="N1650" t="s">
        <v>187</v>
      </c>
      <c r="O1650">
        <v>2</v>
      </c>
      <c r="P1650">
        <v>0</v>
      </c>
      <c r="Q1650" s="6">
        <v>63.4</v>
      </c>
      <c r="R1650">
        <v>0</v>
      </c>
      <c r="S1650" s="6">
        <v>0</v>
      </c>
      <c r="T1650">
        <v>0</v>
      </c>
      <c r="U1650" s="6">
        <v>742</v>
      </c>
      <c r="V1650">
        <v>0</v>
      </c>
      <c r="W1650">
        <v>0</v>
      </c>
      <c r="X1650">
        <v>0</v>
      </c>
      <c r="Y1650" s="6">
        <v>42.3</v>
      </c>
      <c r="Z1650">
        <v>3.9E-2</v>
      </c>
      <c r="AA1650">
        <v>0.05</v>
      </c>
      <c r="AB1650">
        <v>5.8000000000000003E-2</v>
      </c>
      <c r="AC1650">
        <v>6</v>
      </c>
      <c r="AD1650" s="6">
        <v>50</v>
      </c>
      <c r="AE1650" s="6">
        <v>0</v>
      </c>
      <c r="AF1650" s="6">
        <v>0</v>
      </c>
      <c r="AG1650" s="6">
        <v>68.510000000000005</v>
      </c>
      <c r="AH1650" s="6">
        <v>87.03</v>
      </c>
      <c r="AI1650" s="6">
        <f t="shared" si="50"/>
        <v>18.519999999999996</v>
      </c>
      <c r="AJ1650" s="5">
        <f t="shared" si="51"/>
        <v>0.21280018384465121</v>
      </c>
    </row>
    <row r="1651" spans="1:36">
      <c r="A1651" t="s">
        <v>245</v>
      </c>
      <c r="B1651" t="s">
        <v>1936</v>
      </c>
      <c r="C1651" t="s">
        <v>97</v>
      </c>
      <c r="D1651" t="s">
        <v>63</v>
      </c>
      <c r="E1651" t="s">
        <v>55</v>
      </c>
      <c r="F1651">
        <v>0</v>
      </c>
      <c r="G1651">
        <v>2372</v>
      </c>
      <c r="H1651">
        <v>1</v>
      </c>
      <c r="I1651" t="s">
        <v>181</v>
      </c>
      <c r="J1651">
        <v>3</v>
      </c>
      <c r="K1651" s="6">
        <v>6.72</v>
      </c>
      <c r="L1651" t="s">
        <v>174</v>
      </c>
      <c r="M1651">
        <v>0</v>
      </c>
      <c r="N1651" t="s">
        <v>187</v>
      </c>
      <c r="O1651">
        <v>2</v>
      </c>
      <c r="P1651">
        <v>0</v>
      </c>
      <c r="Q1651" s="6">
        <v>40.299999999999997</v>
      </c>
      <c r="R1651">
        <v>0</v>
      </c>
      <c r="S1651" s="6">
        <v>0</v>
      </c>
      <c r="T1651">
        <v>0</v>
      </c>
      <c r="U1651" s="6">
        <v>986</v>
      </c>
      <c r="V1651">
        <v>0</v>
      </c>
      <c r="W1651">
        <v>0</v>
      </c>
      <c r="X1651">
        <v>0</v>
      </c>
      <c r="Y1651" s="6">
        <v>42.3</v>
      </c>
      <c r="Z1651">
        <v>3.9E-2</v>
      </c>
      <c r="AA1651">
        <v>0.05</v>
      </c>
      <c r="AB1651">
        <v>5.8000000000000003E-2</v>
      </c>
      <c r="AC1651">
        <v>6</v>
      </c>
      <c r="AD1651" s="6">
        <v>60</v>
      </c>
      <c r="AE1651" s="6">
        <v>0</v>
      </c>
      <c r="AF1651" s="6">
        <v>0</v>
      </c>
      <c r="AG1651" s="6">
        <v>80.84</v>
      </c>
      <c r="AH1651" s="6">
        <v>102.39</v>
      </c>
      <c r="AI1651" s="6">
        <f t="shared" si="50"/>
        <v>21.549999999999997</v>
      </c>
      <c r="AJ1651" s="5">
        <f t="shared" si="51"/>
        <v>0.2104697724387147</v>
      </c>
    </row>
    <row r="1652" spans="1:36">
      <c r="A1652" t="s">
        <v>562</v>
      </c>
      <c r="B1652" t="s">
        <v>1937</v>
      </c>
      <c r="C1652" t="s">
        <v>97</v>
      </c>
      <c r="D1652" t="s">
        <v>63</v>
      </c>
      <c r="E1652" t="s">
        <v>55</v>
      </c>
      <c r="F1652">
        <v>0</v>
      </c>
      <c r="G1652">
        <v>2372</v>
      </c>
      <c r="H1652">
        <v>1</v>
      </c>
      <c r="I1652" t="s">
        <v>181</v>
      </c>
      <c r="J1652">
        <v>3</v>
      </c>
      <c r="K1652" s="6">
        <v>8.17</v>
      </c>
      <c r="L1652" t="s">
        <v>174</v>
      </c>
      <c r="M1652">
        <v>0</v>
      </c>
      <c r="N1652" t="s">
        <v>182</v>
      </c>
      <c r="O1652">
        <v>3</v>
      </c>
      <c r="P1652">
        <v>0</v>
      </c>
      <c r="Q1652" s="6">
        <v>88.6</v>
      </c>
      <c r="R1652">
        <v>1</v>
      </c>
      <c r="S1652" s="6">
        <v>3548</v>
      </c>
      <c r="T1652">
        <v>0</v>
      </c>
      <c r="U1652" s="6">
        <v>905</v>
      </c>
      <c r="V1652">
        <v>0</v>
      </c>
      <c r="W1652">
        <v>0</v>
      </c>
      <c r="X1652">
        <v>0</v>
      </c>
      <c r="Y1652" s="6">
        <v>42.3</v>
      </c>
      <c r="Z1652">
        <v>3.9E-2</v>
      </c>
      <c r="AA1652">
        <v>0.05</v>
      </c>
      <c r="AB1652">
        <v>5.8000000000000003E-2</v>
      </c>
      <c r="AC1652">
        <v>6</v>
      </c>
      <c r="AD1652" s="6">
        <v>60</v>
      </c>
      <c r="AE1652" s="6">
        <v>40</v>
      </c>
      <c r="AF1652" s="6">
        <v>0</v>
      </c>
      <c r="AG1652" s="6">
        <v>104.82</v>
      </c>
      <c r="AH1652" s="6">
        <v>133.36000000000001</v>
      </c>
      <c r="AI1652" s="6">
        <f t="shared" si="50"/>
        <v>28.54000000000002</v>
      </c>
      <c r="AJ1652" s="5">
        <f t="shared" si="51"/>
        <v>0.21400719856028808</v>
      </c>
    </row>
    <row r="1653" spans="1:36">
      <c r="A1653" t="s">
        <v>494</v>
      </c>
      <c r="B1653" t="s">
        <v>1938</v>
      </c>
      <c r="C1653" t="s">
        <v>97</v>
      </c>
      <c r="D1653" t="s">
        <v>63</v>
      </c>
      <c r="E1653" t="s">
        <v>55</v>
      </c>
      <c r="F1653">
        <v>0</v>
      </c>
      <c r="G1653">
        <v>2372</v>
      </c>
      <c r="H1653">
        <v>1</v>
      </c>
      <c r="I1653" t="s">
        <v>220</v>
      </c>
      <c r="J1653">
        <v>2</v>
      </c>
      <c r="K1653" s="6">
        <v>3.82</v>
      </c>
      <c r="L1653" t="s">
        <v>174</v>
      </c>
      <c r="M1653">
        <v>0</v>
      </c>
      <c r="N1653" t="s">
        <v>182</v>
      </c>
      <c r="O1653">
        <v>3</v>
      </c>
      <c r="P1653">
        <v>0</v>
      </c>
      <c r="Q1653" s="6">
        <v>71.900000000000006</v>
      </c>
      <c r="R1653">
        <v>0</v>
      </c>
      <c r="S1653" s="6">
        <v>0</v>
      </c>
      <c r="T1653">
        <v>0</v>
      </c>
      <c r="U1653" s="6">
        <v>714</v>
      </c>
      <c r="V1653">
        <v>0</v>
      </c>
      <c r="W1653">
        <v>0</v>
      </c>
      <c r="X1653">
        <v>0</v>
      </c>
      <c r="Y1653" s="6">
        <v>42.3</v>
      </c>
      <c r="Z1653">
        <v>3.9E-2</v>
      </c>
      <c r="AA1653">
        <v>0.05</v>
      </c>
      <c r="AB1653">
        <v>5.8000000000000003E-2</v>
      </c>
      <c r="AC1653">
        <v>6</v>
      </c>
      <c r="AD1653" s="6">
        <v>50</v>
      </c>
      <c r="AE1653" s="6">
        <v>0</v>
      </c>
      <c r="AF1653" s="6">
        <v>0</v>
      </c>
      <c r="AG1653" s="6">
        <v>68.319999999999993</v>
      </c>
      <c r="AH1653" s="6">
        <v>88</v>
      </c>
      <c r="AI1653" s="6">
        <f t="shared" si="50"/>
        <v>19.680000000000007</v>
      </c>
      <c r="AJ1653" s="5">
        <f t="shared" si="51"/>
        <v>0.22363636363636372</v>
      </c>
    </row>
    <row r="1654" spans="1:36">
      <c r="A1654" t="s">
        <v>521</v>
      </c>
      <c r="B1654" t="s">
        <v>1939</v>
      </c>
      <c r="C1654" t="s">
        <v>97</v>
      </c>
      <c r="D1654" t="s">
        <v>63</v>
      </c>
      <c r="E1654" t="s">
        <v>55</v>
      </c>
      <c r="F1654">
        <v>0</v>
      </c>
      <c r="G1654">
        <v>2372</v>
      </c>
      <c r="H1654">
        <v>1</v>
      </c>
      <c r="I1654" t="s">
        <v>181</v>
      </c>
      <c r="J1654">
        <v>3</v>
      </c>
      <c r="K1654" s="6">
        <v>11.11</v>
      </c>
      <c r="L1654" t="s">
        <v>174</v>
      </c>
      <c r="M1654">
        <v>0</v>
      </c>
      <c r="N1654" t="s">
        <v>175</v>
      </c>
      <c r="O1654">
        <v>1</v>
      </c>
      <c r="P1654">
        <v>0</v>
      </c>
      <c r="Q1654" s="6">
        <v>35.700000000000003</v>
      </c>
      <c r="R1654">
        <v>1</v>
      </c>
      <c r="S1654" s="6">
        <v>1579</v>
      </c>
      <c r="T1654">
        <v>0</v>
      </c>
      <c r="U1654" s="6">
        <v>723</v>
      </c>
      <c r="V1654">
        <v>0</v>
      </c>
      <c r="W1654">
        <v>0</v>
      </c>
      <c r="X1654">
        <v>0</v>
      </c>
      <c r="Y1654" s="6">
        <v>42.3</v>
      </c>
      <c r="Z1654">
        <v>3.9E-2</v>
      </c>
      <c r="AA1654">
        <v>0.05</v>
      </c>
      <c r="AB1654">
        <v>5.8000000000000003E-2</v>
      </c>
      <c r="AC1654">
        <v>6</v>
      </c>
      <c r="AD1654" s="6">
        <v>60</v>
      </c>
      <c r="AE1654" s="6">
        <v>25</v>
      </c>
      <c r="AF1654" s="6">
        <v>0</v>
      </c>
      <c r="AG1654" s="6">
        <v>103.93</v>
      </c>
      <c r="AH1654" s="6">
        <v>133.04</v>
      </c>
      <c r="AI1654" s="6">
        <f t="shared" si="50"/>
        <v>29.109999999999985</v>
      </c>
      <c r="AJ1654" s="5">
        <f t="shared" si="51"/>
        <v>0.21880637402285016</v>
      </c>
    </row>
    <row r="1655" spans="1:36">
      <c r="A1655" t="s">
        <v>251</v>
      </c>
      <c r="B1655" t="s">
        <v>1940</v>
      </c>
      <c r="C1655" t="s">
        <v>97</v>
      </c>
      <c r="D1655" t="s">
        <v>63</v>
      </c>
      <c r="E1655" t="s">
        <v>55</v>
      </c>
      <c r="F1655">
        <v>0</v>
      </c>
      <c r="G1655">
        <v>2372</v>
      </c>
      <c r="H1655">
        <v>1</v>
      </c>
      <c r="I1655" t="s">
        <v>173</v>
      </c>
      <c r="J1655">
        <v>1</v>
      </c>
      <c r="K1655" s="6">
        <v>1.86</v>
      </c>
      <c r="L1655" t="s">
        <v>174</v>
      </c>
      <c r="M1655">
        <v>0</v>
      </c>
      <c r="N1655" t="s">
        <v>175</v>
      </c>
      <c r="O1655">
        <v>1</v>
      </c>
      <c r="P1655">
        <v>1</v>
      </c>
      <c r="Q1655" s="6">
        <v>32.299999999999997</v>
      </c>
      <c r="R1655">
        <v>0</v>
      </c>
      <c r="S1655" s="6">
        <v>0</v>
      </c>
      <c r="T1655">
        <v>0</v>
      </c>
      <c r="U1655" s="6">
        <v>781</v>
      </c>
      <c r="V1655">
        <v>0</v>
      </c>
      <c r="W1655">
        <v>0</v>
      </c>
      <c r="X1655">
        <v>0</v>
      </c>
      <c r="Y1655" s="6">
        <v>42.3</v>
      </c>
      <c r="Z1655">
        <v>3.9E-2</v>
      </c>
      <c r="AA1655">
        <v>0.05</v>
      </c>
      <c r="AB1655">
        <v>5.8000000000000003E-2</v>
      </c>
      <c r="AC1655">
        <v>6</v>
      </c>
      <c r="AD1655" s="6">
        <v>50</v>
      </c>
      <c r="AE1655" s="6">
        <v>0</v>
      </c>
      <c r="AF1655" s="6">
        <v>0</v>
      </c>
      <c r="AG1655" s="6">
        <v>78.28</v>
      </c>
      <c r="AH1655" s="6">
        <v>101.87</v>
      </c>
      <c r="AI1655" s="6">
        <f t="shared" si="50"/>
        <v>23.590000000000003</v>
      </c>
      <c r="AJ1655" s="5">
        <f t="shared" si="51"/>
        <v>0.23156964759006579</v>
      </c>
    </row>
    <row r="1656" spans="1:36">
      <c r="A1656" t="s">
        <v>286</v>
      </c>
      <c r="B1656" t="s">
        <v>1941</v>
      </c>
      <c r="C1656" t="s">
        <v>97</v>
      </c>
      <c r="D1656" t="s">
        <v>63</v>
      </c>
      <c r="E1656" t="s">
        <v>55</v>
      </c>
      <c r="F1656">
        <v>0</v>
      </c>
      <c r="G1656">
        <v>2372</v>
      </c>
      <c r="H1656">
        <v>1</v>
      </c>
      <c r="I1656" t="s">
        <v>220</v>
      </c>
      <c r="J1656">
        <v>2</v>
      </c>
      <c r="K1656" s="6">
        <v>3.35</v>
      </c>
      <c r="L1656" t="s">
        <v>200</v>
      </c>
      <c r="M1656">
        <v>1</v>
      </c>
      <c r="N1656" t="s">
        <v>182</v>
      </c>
      <c r="O1656">
        <v>3</v>
      </c>
      <c r="P1656">
        <v>0</v>
      </c>
      <c r="Q1656" s="6">
        <v>90.9</v>
      </c>
      <c r="R1656">
        <v>0</v>
      </c>
      <c r="S1656" s="6">
        <v>0</v>
      </c>
      <c r="T1656">
        <v>0</v>
      </c>
      <c r="U1656" s="6">
        <v>1342</v>
      </c>
      <c r="V1656">
        <v>0</v>
      </c>
      <c r="W1656">
        <v>0</v>
      </c>
      <c r="X1656">
        <v>0</v>
      </c>
      <c r="Y1656" s="6">
        <v>42.3</v>
      </c>
      <c r="Z1656">
        <v>3.9E-2</v>
      </c>
      <c r="AA1656">
        <v>0.05</v>
      </c>
      <c r="AB1656">
        <v>5.8000000000000003E-2</v>
      </c>
      <c r="AC1656">
        <v>6</v>
      </c>
      <c r="AD1656" s="6">
        <v>119</v>
      </c>
      <c r="AE1656" s="6">
        <v>0</v>
      </c>
      <c r="AF1656" s="6">
        <v>0</v>
      </c>
      <c r="AG1656" s="6">
        <v>101.01</v>
      </c>
      <c r="AH1656" s="6">
        <v>129.72999999999999</v>
      </c>
      <c r="AI1656" s="6">
        <f t="shared" si="50"/>
        <v>28.719999999999985</v>
      </c>
      <c r="AJ1656" s="5">
        <f t="shared" si="51"/>
        <v>0.22138287211901631</v>
      </c>
    </row>
    <row r="1657" spans="1:36">
      <c r="A1657" t="s">
        <v>459</v>
      </c>
      <c r="B1657" t="s">
        <v>1942</v>
      </c>
      <c r="C1657" t="s">
        <v>97</v>
      </c>
      <c r="D1657" t="s">
        <v>63</v>
      </c>
      <c r="E1657" t="s">
        <v>55</v>
      </c>
      <c r="F1657">
        <v>0</v>
      </c>
      <c r="G1657">
        <v>2372</v>
      </c>
      <c r="H1657">
        <v>1</v>
      </c>
      <c r="I1657" t="s">
        <v>220</v>
      </c>
      <c r="J1657">
        <v>2</v>
      </c>
      <c r="K1657" s="6">
        <v>3.62</v>
      </c>
      <c r="L1657" t="s">
        <v>174</v>
      </c>
      <c r="M1657">
        <v>0</v>
      </c>
      <c r="N1657" t="s">
        <v>182</v>
      </c>
      <c r="O1657">
        <v>3</v>
      </c>
      <c r="P1657">
        <v>0</v>
      </c>
      <c r="Q1657" s="6">
        <v>90.9</v>
      </c>
      <c r="R1657">
        <v>1</v>
      </c>
      <c r="S1657" s="6">
        <v>757</v>
      </c>
      <c r="T1657">
        <v>0</v>
      </c>
      <c r="U1657" s="6">
        <v>344</v>
      </c>
      <c r="V1657">
        <v>0</v>
      </c>
      <c r="W1657">
        <v>0</v>
      </c>
      <c r="X1657">
        <v>0</v>
      </c>
      <c r="Y1657" s="6">
        <v>42.3</v>
      </c>
      <c r="Z1657">
        <v>3.9E-2</v>
      </c>
      <c r="AA1657">
        <v>0.05</v>
      </c>
      <c r="AB1657">
        <v>5.8000000000000003E-2</v>
      </c>
      <c r="AC1657">
        <v>6</v>
      </c>
      <c r="AD1657" s="6">
        <v>50</v>
      </c>
      <c r="AE1657" s="6">
        <v>25</v>
      </c>
      <c r="AF1657" s="6">
        <v>0</v>
      </c>
      <c r="AG1657" s="6">
        <v>75.3</v>
      </c>
      <c r="AH1657" s="6">
        <v>95.91</v>
      </c>
      <c r="AI1657" s="6">
        <f t="shared" si="50"/>
        <v>20.61</v>
      </c>
      <c r="AJ1657" s="5">
        <f t="shared" si="51"/>
        <v>0.21488895839849859</v>
      </c>
    </row>
    <row r="1658" spans="1:36">
      <c r="A1658" t="s">
        <v>328</v>
      </c>
      <c r="B1658" t="s">
        <v>1943</v>
      </c>
      <c r="C1658" t="s">
        <v>97</v>
      </c>
      <c r="D1658" t="s">
        <v>63</v>
      </c>
      <c r="E1658" t="s">
        <v>55</v>
      </c>
      <c r="F1658">
        <v>0</v>
      </c>
      <c r="G1658">
        <v>2372</v>
      </c>
      <c r="H1658">
        <v>1</v>
      </c>
      <c r="I1658" t="s">
        <v>181</v>
      </c>
      <c r="J1658">
        <v>3</v>
      </c>
      <c r="K1658" s="6">
        <v>6.52</v>
      </c>
      <c r="L1658" t="s">
        <v>174</v>
      </c>
      <c r="M1658">
        <v>0</v>
      </c>
      <c r="N1658" t="s">
        <v>187</v>
      </c>
      <c r="O1658">
        <v>2</v>
      </c>
      <c r="P1658">
        <v>0</v>
      </c>
      <c r="Q1658" s="6">
        <v>53</v>
      </c>
      <c r="R1658">
        <v>0</v>
      </c>
      <c r="S1658" s="6">
        <v>0</v>
      </c>
      <c r="T1658">
        <v>0</v>
      </c>
      <c r="U1658" s="6">
        <v>716</v>
      </c>
      <c r="V1658">
        <v>0</v>
      </c>
      <c r="W1658">
        <v>0</v>
      </c>
      <c r="X1658">
        <v>0</v>
      </c>
      <c r="Y1658" s="6">
        <v>42.3</v>
      </c>
      <c r="Z1658">
        <v>3.9E-2</v>
      </c>
      <c r="AA1658">
        <v>0.05</v>
      </c>
      <c r="AB1658">
        <v>5.8000000000000003E-2</v>
      </c>
      <c r="AC1658">
        <v>6</v>
      </c>
      <c r="AD1658" s="6">
        <v>60</v>
      </c>
      <c r="AE1658" s="6">
        <v>0</v>
      </c>
      <c r="AF1658" s="6">
        <v>0</v>
      </c>
      <c r="AG1658" s="6">
        <v>74.06</v>
      </c>
      <c r="AH1658" s="6">
        <v>94.22</v>
      </c>
      <c r="AI1658" s="6">
        <f t="shared" si="50"/>
        <v>20.159999999999997</v>
      </c>
      <c r="AJ1658" s="5">
        <f t="shared" si="51"/>
        <v>0.21396731054977708</v>
      </c>
    </row>
    <row r="1659" spans="1:36">
      <c r="A1659" t="s">
        <v>693</v>
      </c>
      <c r="B1659" t="s">
        <v>1944</v>
      </c>
      <c r="C1659" t="s">
        <v>97</v>
      </c>
      <c r="D1659" t="s">
        <v>63</v>
      </c>
      <c r="E1659" t="s">
        <v>55</v>
      </c>
      <c r="F1659">
        <v>0</v>
      </c>
      <c r="G1659">
        <v>2372</v>
      </c>
      <c r="H1659">
        <v>1</v>
      </c>
      <c r="I1659" t="s">
        <v>173</v>
      </c>
      <c r="J1659">
        <v>1</v>
      </c>
      <c r="K1659" s="6">
        <v>2.36</v>
      </c>
      <c r="L1659" t="s">
        <v>174</v>
      </c>
      <c r="M1659">
        <v>0</v>
      </c>
      <c r="N1659" t="s">
        <v>182</v>
      </c>
      <c r="O1659">
        <v>3</v>
      </c>
      <c r="P1659">
        <v>0</v>
      </c>
      <c r="Q1659" s="6">
        <v>113.7</v>
      </c>
      <c r="R1659">
        <v>0</v>
      </c>
      <c r="S1659" s="6">
        <v>0</v>
      </c>
      <c r="T1659">
        <v>0</v>
      </c>
      <c r="U1659" s="6">
        <v>546</v>
      </c>
      <c r="V1659">
        <v>0</v>
      </c>
      <c r="W1659">
        <v>0</v>
      </c>
      <c r="X1659">
        <v>0</v>
      </c>
      <c r="Y1659" s="6">
        <v>42.3</v>
      </c>
      <c r="Z1659">
        <v>3.9E-2</v>
      </c>
      <c r="AA1659">
        <v>0.05</v>
      </c>
      <c r="AB1659">
        <v>5.8000000000000003E-2</v>
      </c>
      <c r="AC1659">
        <v>6</v>
      </c>
      <c r="AD1659" s="6">
        <v>50</v>
      </c>
      <c r="AE1659" s="6">
        <v>0</v>
      </c>
      <c r="AF1659" s="6">
        <v>0</v>
      </c>
      <c r="AG1659" s="6">
        <v>65.180000000000007</v>
      </c>
      <c r="AH1659" s="6">
        <v>81.83</v>
      </c>
      <c r="AI1659" s="6">
        <f t="shared" si="50"/>
        <v>16.649999999999991</v>
      </c>
      <c r="AJ1659" s="5">
        <f t="shared" si="51"/>
        <v>0.20347060980080645</v>
      </c>
    </row>
    <row r="1660" spans="1:36">
      <c r="A1660" t="s">
        <v>384</v>
      </c>
      <c r="B1660" t="s">
        <v>1945</v>
      </c>
      <c r="C1660" t="s">
        <v>97</v>
      </c>
      <c r="D1660" t="s">
        <v>63</v>
      </c>
      <c r="E1660" t="s">
        <v>55</v>
      </c>
      <c r="F1660">
        <v>0</v>
      </c>
      <c r="G1660">
        <v>2372</v>
      </c>
      <c r="H1660">
        <v>1</v>
      </c>
      <c r="I1660" t="s">
        <v>173</v>
      </c>
      <c r="J1660">
        <v>1</v>
      </c>
      <c r="K1660" s="6">
        <v>1.01</v>
      </c>
      <c r="L1660" t="s">
        <v>174</v>
      </c>
      <c r="M1660">
        <v>0</v>
      </c>
      <c r="N1660" t="s">
        <v>217</v>
      </c>
      <c r="O1660">
        <v>4</v>
      </c>
      <c r="P1660">
        <v>1</v>
      </c>
      <c r="Q1660" s="6">
        <v>147.69999999999999</v>
      </c>
      <c r="R1660">
        <v>0</v>
      </c>
      <c r="S1660" s="6">
        <v>0</v>
      </c>
      <c r="T1660">
        <v>0</v>
      </c>
      <c r="U1660" s="6">
        <v>910</v>
      </c>
      <c r="V1660">
        <v>0</v>
      </c>
      <c r="W1660">
        <v>0</v>
      </c>
      <c r="X1660">
        <v>0</v>
      </c>
      <c r="Y1660" s="6">
        <v>42.3</v>
      </c>
      <c r="Z1660">
        <v>3.9E-2</v>
      </c>
      <c r="AA1660">
        <v>0.05</v>
      </c>
      <c r="AB1660">
        <v>5.8000000000000003E-2</v>
      </c>
      <c r="AC1660">
        <v>6</v>
      </c>
      <c r="AD1660" s="6">
        <v>50</v>
      </c>
      <c r="AE1660" s="6">
        <v>0</v>
      </c>
      <c r="AF1660" s="6">
        <v>0</v>
      </c>
      <c r="AG1660" s="6">
        <v>103.29</v>
      </c>
      <c r="AH1660" s="6">
        <v>129.19999999999999</v>
      </c>
      <c r="AI1660" s="6">
        <f t="shared" si="50"/>
        <v>25.909999999999982</v>
      </c>
      <c r="AJ1660" s="5">
        <f t="shared" si="51"/>
        <v>0.20054179566563454</v>
      </c>
    </row>
    <row r="1661" spans="1:36">
      <c r="A1661" t="s">
        <v>384</v>
      </c>
      <c r="B1661" t="s">
        <v>1946</v>
      </c>
      <c r="C1661" t="s">
        <v>97</v>
      </c>
      <c r="D1661" t="s">
        <v>63</v>
      </c>
      <c r="E1661" t="s">
        <v>55</v>
      </c>
      <c r="F1661">
        <v>0</v>
      </c>
      <c r="G1661">
        <v>2372</v>
      </c>
      <c r="H1661">
        <v>1</v>
      </c>
      <c r="I1661" t="s">
        <v>181</v>
      </c>
      <c r="J1661">
        <v>3</v>
      </c>
      <c r="K1661" s="6">
        <v>10.6</v>
      </c>
      <c r="L1661" t="s">
        <v>174</v>
      </c>
      <c r="M1661">
        <v>0</v>
      </c>
      <c r="N1661" t="s">
        <v>187</v>
      </c>
      <c r="O1661">
        <v>2</v>
      </c>
      <c r="P1661">
        <v>0</v>
      </c>
      <c r="Q1661" s="6">
        <v>67.2</v>
      </c>
      <c r="R1661">
        <v>1</v>
      </c>
      <c r="S1661" s="6">
        <v>696</v>
      </c>
      <c r="T1661">
        <v>0</v>
      </c>
      <c r="U1661" s="6">
        <v>186</v>
      </c>
      <c r="V1661">
        <v>0</v>
      </c>
      <c r="W1661">
        <v>0</v>
      </c>
      <c r="X1661">
        <v>0</v>
      </c>
      <c r="Y1661" s="6">
        <v>42.3</v>
      </c>
      <c r="Z1661">
        <v>3.9E-2</v>
      </c>
      <c r="AA1661">
        <v>0.05</v>
      </c>
      <c r="AB1661">
        <v>5.8000000000000003E-2</v>
      </c>
      <c r="AC1661">
        <v>6</v>
      </c>
      <c r="AD1661" s="6">
        <v>60</v>
      </c>
      <c r="AE1661" s="6">
        <v>25</v>
      </c>
      <c r="AF1661" s="6">
        <v>0</v>
      </c>
      <c r="AG1661" s="6">
        <v>105.89</v>
      </c>
      <c r="AH1661" s="6">
        <v>133.21</v>
      </c>
      <c r="AI1661" s="6">
        <f t="shared" si="50"/>
        <v>27.320000000000007</v>
      </c>
      <c r="AJ1661" s="5">
        <f t="shared" si="51"/>
        <v>0.20508970797988144</v>
      </c>
    </row>
    <row r="1662" spans="1:36">
      <c r="A1662" t="s">
        <v>190</v>
      </c>
      <c r="B1662" t="s">
        <v>1947</v>
      </c>
      <c r="C1662" t="s">
        <v>97</v>
      </c>
      <c r="D1662" t="s">
        <v>63</v>
      </c>
      <c r="E1662" t="s">
        <v>55</v>
      </c>
      <c r="F1662">
        <v>0</v>
      </c>
      <c r="G1662">
        <v>2372</v>
      </c>
      <c r="H1662">
        <v>1</v>
      </c>
      <c r="I1662" t="s">
        <v>173</v>
      </c>
      <c r="J1662">
        <v>1</v>
      </c>
      <c r="K1662" s="6">
        <v>1.47</v>
      </c>
      <c r="L1662" t="s">
        <v>174</v>
      </c>
      <c r="M1662">
        <v>0</v>
      </c>
      <c r="N1662" t="s">
        <v>182</v>
      </c>
      <c r="O1662">
        <v>3</v>
      </c>
      <c r="P1662">
        <v>1</v>
      </c>
      <c r="Q1662" s="6">
        <v>122.3</v>
      </c>
      <c r="R1662">
        <v>0</v>
      </c>
      <c r="S1662" s="6">
        <v>0</v>
      </c>
      <c r="T1662">
        <v>0</v>
      </c>
      <c r="U1662" s="6">
        <v>365</v>
      </c>
      <c r="V1662">
        <v>0</v>
      </c>
      <c r="W1662">
        <v>0</v>
      </c>
      <c r="X1662">
        <v>0</v>
      </c>
      <c r="Y1662" s="6">
        <v>42.3</v>
      </c>
      <c r="Z1662">
        <v>3.9E-2</v>
      </c>
      <c r="AA1662">
        <v>0.05</v>
      </c>
      <c r="AB1662">
        <v>5.8000000000000003E-2</v>
      </c>
      <c r="AC1662">
        <v>6</v>
      </c>
      <c r="AD1662" s="6">
        <v>50</v>
      </c>
      <c r="AE1662" s="6">
        <v>0</v>
      </c>
      <c r="AF1662" s="6">
        <v>0</v>
      </c>
      <c r="AG1662" s="6">
        <v>82.55</v>
      </c>
      <c r="AH1662" s="6">
        <v>106.56</v>
      </c>
      <c r="AI1662" s="6">
        <f t="shared" si="50"/>
        <v>24.010000000000005</v>
      </c>
      <c r="AJ1662" s="5">
        <f t="shared" si="51"/>
        <v>0.22531906906906912</v>
      </c>
    </row>
    <row r="1663" spans="1:36">
      <c r="A1663" t="s">
        <v>635</v>
      </c>
      <c r="B1663" t="s">
        <v>1948</v>
      </c>
      <c r="C1663" t="s">
        <v>97</v>
      </c>
      <c r="D1663" t="s">
        <v>63</v>
      </c>
      <c r="E1663" t="s">
        <v>55</v>
      </c>
      <c r="F1663">
        <v>0</v>
      </c>
      <c r="G1663">
        <v>2372</v>
      </c>
      <c r="H1663">
        <v>1</v>
      </c>
      <c r="I1663" t="s">
        <v>181</v>
      </c>
      <c r="J1663">
        <v>3</v>
      </c>
      <c r="K1663" s="6">
        <v>12.02</v>
      </c>
      <c r="L1663" t="s">
        <v>174</v>
      </c>
      <c r="M1663">
        <v>0</v>
      </c>
      <c r="N1663" t="s">
        <v>175</v>
      </c>
      <c r="O1663">
        <v>1</v>
      </c>
      <c r="P1663">
        <v>0</v>
      </c>
      <c r="Q1663" s="6">
        <v>33.1</v>
      </c>
      <c r="R1663">
        <v>0</v>
      </c>
      <c r="S1663" s="6">
        <v>0</v>
      </c>
      <c r="T1663">
        <v>0</v>
      </c>
      <c r="U1663" s="6">
        <v>1853</v>
      </c>
      <c r="V1663">
        <v>0</v>
      </c>
      <c r="W1663">
        <v>0</v>
      </c>
      <c r="X1663">
        <v>0</v>
      </c>
      <c r="Y1663" s="6">
        <v>42.3</v>
      </c>
      <c r="Z1663">
        <v>3.9E-2</v>
      </c>
      <c r="AA1663">
        <v>0.05</v>
      </c>
      <c r="AB1663">
        <v>5.8000000000000003E-2</v>
      </c>
      <c r="AC1663">
        <v>6</v>
      </c>
      <c r="AD1663" s="6">
        <v>60</v>
      </c>
      <c r="AE1663" s="6">
        <v>0</v>
      </c>
      <c r="AF1663" s="6">
        <v>0</v>
      </c>
      <c r="AG1663" s="6">
        <v>96.45</v>
      </c>
      <c r="AH1663" s="6">
        <v>123.02</v>
      </c>
      <c r="AI1663" s="6">
        <f t="shared" si="50"/>
        <v>26.569999999999993</v>
      </c>
      <c r="AJ1663" s="5">
        <f t="shared" si="51"/>
        <v>0.21598114127784096</v>
      </c>
    </row>
    <row r="1664" spans="1:36">
      <c r="A1664" t="s">
        <v>372</v>
      </c>
      <c r="B1664" t="s">
        <v>1949</v>
      </c>
      <c r="C1664" t="s">
        <v>97</v>
      </c>
      <c r="D1664" t="s">
        <v>63</v>
      </c>
      <c r="E1664" t="s">
        <v>55</v>
      </c>
      <c r="F1664">
        <v>0</v>
      </c>
      <c r="G1664">
        <v>2372</v>
      </c>
      <c r="H1664">
        <v>1</v>
      </c>
      <c r="I1664" t="s">
        <v>178</v>
      </c>
      <c r="J1664">
        <v>4</v>
      </c>
      <c r="K1664" s="6">
        <v>13.05</v>
      </c>
      <c r="L1664" t="s">
        <v>174</v>
      </c>
      <c r="M1664">
        <v>0</v>
      </c>
      <c r="N1664" t="s">
        <v>187</v>
      </c>
      <c r="O1664">
        <v>2</v>
      </c>
      <c r="P1664">
        <v>0</v>
      </c>
      <c r="Q1664" s="6">
        <v>55.7</v>
      </c>
      <c r="R1664">
        <v>0</v>
      </c>
      <c r="S1664" s="6">
        <v>0</v>
      </c>
      <c r="T1664">
        <v>0</v>
      </c>
      <c r="U1664" s="6">
        <v>748</v>
      </c>
      <c r="V1664">
        <v>0</v>
      </c>
      <c r="W1664">
        <v>0</v>
      </c>
      <c r="X1664">
        <v>0</v>
      </c>
      <c r="Y1664" s="6">
        <v>42.3</v>
      </c>
      <c r="Z1664">
        <v>3.9E-2</v>
      </c>
      <c r="AA1664">
        <v>0.05</v>
      </c>
      <c r="AB1664">
        <v>5.8000000000000003E-2</v>
      </c>
      <c r="AC1664">
        <v>6</v>
      </c>
      <c r="AD1664" s="6">
        <v>65</v>
      </c>
      <c r="AE1664" s="6">
        <v>0</v>
      </c>
      <c r="AF1664" s="6">
        <v>0</v>
      </c>
      <c r="AG1664" s="6">
        <v>122.7</v>
      </c>
      <c r="AH1664" s="6">
        <v>157.83000000000001</v>
      </c>
      <c r="AI1664" s="6">
        <f t="shared" si="50"/>
        <v>35.13000000000001</v>
      </c>
      <c r="AJ1664" s="5">
        <f t="shared" si="51"/>
        <v>0.22258125831590958</v>
      </c>
    </row>
    <row r="1665" spans="1:36">
      <c r="A1665" t="s">
        <v>225</v>
      </c>
      <c r="B1665" t="s">
        <v>1950</v>
      </c>
      <c r="C1665" t="s">
        <v>97</v>
      </c>
      <c r="D1665" t="s">
        <v>63</v>
      </c>
      <c r="E1665" t="s">
        <v>55</v>
      </c>
      <c r="F1665">
        <v>0</v>
      </c>
      <c r="G1665">
        <v>2372</v>
      </c>
      <c r="H1665">
        <v>1</v>
      </c>
      <c r="I1665" t="s">
        <v>220</v>
      </c>
      <c r="J1665">
        <v>2</v>
      </c>
      <c r="K1665" s="6">
        <v>3.36</v>
      </c>
      <c r="L1665" t="s">
        <v>174</v>
      </c>
      <c r="M1665">
        <v>0</v>
      </c>
      <c r="N1665" t="s">
        <v>187</v>
      </c>
      <c r="O1665">
        <v>2</v>
      </c>
      <c r="P1665">
        <v>0</v>
      </c>
      <c r="Q1665" s="6">
        <v>69</v>
      </c>
      <c r="R1665">
        <v>0</v>
      </c>
      <c r="S1665" s="6">
        <v>0</v>
      </c>
      <c r="T1665">
        <v>0</v>
      </c>
      <c r="U1665" s="6">
        <v>1753</v>
      </c>
      <c r="V1665">
        <v>0</v>
      </c>
      <c r="W1665">
        <v>0</v>
      </c>
      <c r="X1665">
        <v>0</v>
      </c>
      <c r="Y1665" s="6">
        <v>42.3</v>
      </c>
      <c r="Z1665">
        <v>3.9E-2</v>
      </c>
      <c r="AA1665">
        <v>0.05</v>
      </c>
      <c r="AB1665">
        <v>5.8000000000000003E-2</v>
      </c>
      <c r="AC1665">
        <v>6</v>
      </c>
      <c r="AD1665" s="6">
        <v>50</v>
      </c>
      <c r="AE1665" s="6">
        <v>0</v>
      </c>
      <c r="AF1665" s="6">
        <v>0</v>
      </c>
      <c r="AG1665" s="6">
        <v>67.08</v>
      </c>
      <c r="AH1665" s="6">
        <v>84.15</v>
      </c>
      <c r="AI1665" s="6">
        <f t="shared" si="50"/>
        <v>17.070000000000007</v>
      </c>
      <c r="AJ1665" s="5">
        <f t="shared" si="51"/>
        <v>0.20285204991087352</v>
      </c>
    </row>
    <row r="1666" spans="1:36">
      <c r="A1666" t="s">
        <v>360</v>
      </c>
      <c r="B1666" t="s">
        <v>1951</v>
      </c>
      <c r="C1666" t="s">
        <v>97</v>
      </c>
      <c r="D1666" t="s">
        <v>63</v>
      </c>
      <c r="E1666" t="s">
        <v>55</v>
      </c>
      <c r="F1666">
        <v>0</v>
      </c>
      <c r="G1666">
        <v>2372</v>
      </c>
      <c r="H1666">
        <v>1</v>
      </c>
      <c r="I1666" t="s">
        <v>173</v>
      </c>
      <c r="J1666">
        <v>1</v>
      </c>
      <c r="K1666" s="6">
        <v>2.38</v>
      </c>
      <c r="L1666" t="s">
        <v>174</v>
      </c>
      <c r="M1666">
        <v>0</v>
      </c>
      <c r="N1666" t="s">
        <v>187</v>
      </c>
      <c r="O1666">
        <v>2</v>
      </c>
      <c r="P1666">
        <v>0</v>
      </c>
      <c r="Q1666" s="6">
        <v>29.3</v>
      </c>
      <c r="R1666">
        <v>0</v>
      </c>
      <c r="S1666" s="6">
        <v>0</v>
      </c>
      <c r="T1666">
        <v>0</v>
      </c>
      <c r="U1666" s="6">
        <v>469</v>
      </c>
      <c r="V1666">
        <v>0</v>
      </c>
      <c r="W1666">
        <v>0</v>
      </c>
      <c r="X1666">
        <v>0</v>
      </c>
      <c r="Y1666" s="6">
        <v>42.3</v>
      </c>
      <c r="Z1666">
        <v>3.9E-2</v>
      </c>
      <c r="AA1666">
        <v>0.05</v>
      </c>
      <c r="AB1666">
        <v>5.8000000000000003E-2</v>
      </c>
      <c r="AC1666">
        <v>6</v>
      </c>
      <c r="AD1666" s="6">
        <v>50</v>
      </c>
      <c r="AE1666" s="6">
        <v>0</v>
      </c>
      <c r="AF1666" s="6">
        <v>0</v>
      </c>
      <c r="AG1666" s="6">
        <v>57.78</v>
      </c>
      <c r="AH1666" s="6">
        <v>74.849999999999994</v>
      </c>
      <c r="AI1666" s="6">
        <f t="shared" ref="AI1666:AI1729" si="52">AH1666-AG1666</f>
        <v>17.069999999999993</v>
      </c>
      <c r="AJ1666" s="5">
        <f t="shared" ref="AJ1666:AJ1729" si="53">IFERROR(AI1666/AH1666,0)</f>
        <v>0.22805611222444883</v>
      </c>
    </row>
    <row r="1667" spans="1:36">
      <c r="A1667" t="s">
        <v>431</v>
      </c>
      <c r="B1667" t="s">
        <v>1952</v>
      </c>
      <c r="C1667" t="s">
        <v>97</v>
      </c>
      <c r="D1667" t="s">
        <v>63</v>
      </c>
      <c r="E1667" t="s">
        <v>55</v>
      </c>
      <c r="F1667">
        <v>0</v>
      </c>
      <c r="G1667">
        <v>2372</v>
      </c>
      <c r="H1667">
        <v>1</v>
      </c>
      <c r="I1667" t="s">
        <v>178</v>
      </c>
      <c r="J1667">
        <v>4</v>
      </c>
      <c r="K1667" s="6">
        <v>6.6</v>
      </c>
      <c r="L1667" t="s">
        <v>174</v>
      </c>
      <c r="M1667">
        <v>0</v>
      </c>
      <c r="N1667" t="s">
        <v>182</v>
      </c>
      <c r="O1667">
        <v>3</v>
      </c>
      <c r="P1667">
        <v>0</v>
      </c>
      <c r="Q1667" s="6">
        <v>71.599999999999994</v>
      </c>
      <c r="R1667">
        <v>0</v>
      </c>
      <c r="S1667" s="6">
        <v>0</v>
      </c>
      <c r="T1667">
        <v>0</v>
      </c>
      <c r="U1667" s="6">
        <v>420</v>
      </c>
      <c r="V1667">
        <v>0</v>
      </c>
      <c r="W1667">
        <v>0</v>
      </c>
      <c r="X1667">
        <v>0</v>
      </c>
      <c r="Y1667" s="6">
        <v>42.3</v>
      </c>
      <c r="Z1667">
        <v>3.9E-2</v>
      </c>
      <c r="AA1667">
        <v>0.05</v>
      </c>
      <c r="AB1667">
        <v>5.8000000000000003E-2</v>
      </c>
      <c r="AC1667">
        <v>6</v>
      </c>
      <c r="AD1667" s="6">
        <v>65</v>
      </c>
      <c r="AE1667" s="6">
        <v>0</v>
      </c>
      <c r="AF1667" s="6">
        <v>0</v>
      </c>
      <c r="AG1667" s="6">
        <v>111.49</v>
      </c>
      <c r="AH1667" s="6">
        <v>140.62</v>
      </c>
      <c r="AI1667" s="6">
        <f t="shared" si="52"/>
        <v>29.13000000000001</v>
      </c>
      <c r="AJ1667" s="5">
        <f t="shared" si="53"/>
        <v>0.20715403214336517</v>
      </c>
    </row>
    <row r="1668" spans="1:36">
      <c r="A1668" t="s">
        <v>384</v>
      </c>
      <c r="B1668" t="s">
        <v>1953</v>
      </c>
      <c r="C1668" t="s">
        <v>97</v>
      </c>
      <c r="D1668" t="s">
        <v>63</v>
      </c>
      <c r="E1668" t="s">
        <v>55</v>
      </c>
      <c r="F1668">
        <v>0</v>
      </c>
      <c r="G1668">
        <v>2372</v>
      </c>
      <c r="H1668">
        <v>1</v>
      </c>
      <c r="I1668" t="s">
        <v>181</v>
      </c>
      <c r="J1668">
        <v>3</v>
      </c>
      <c r="K1668" s="6">
        <v>6.06</v>
      </c>
      <c r="L1668" t="s">
        <v>174</v>
      </c>
      <c r="M1668">
        <v>0</v>
      </c>
      <c r="N1668" t="s">
        <v>175</v>
      </c>
      <c r="O1668">
        <v>1</v>
      </c>
      <c r="P1668">
        <v>0</v>
      </c>
      <c r="Q1668" s="6">
        <v>53.3</v>
      </c>
      <c r="R1668">
        <v>1</v>
      </c>
      <c r="S1668" s="6">
        <v>1171</v>
      </c>
      <c r="T1668">
        <v>0</v>
      </c>
      <c r="U1668" s="6">
        <v>589</v>
      </c>
      <c r="V1668">
        <v>0</v>
      </c>
      <c r="W1668">
        <v>0</v>
      </c>
      <c r="X1668">
        <v>0</v>
      </c>
      <c r="Y1668" s="6">
        <v>42.3</v>
      </c>
      <c r="Z1668">
        <v>3.9E-2</v>
      </c>
      <c r="AA1668">
        <v>0.05</v>
      </c>
      <c r="AB1668">
        <v>5.8000000000000003E-2</v>
      </c>
      <c r="AC1668">
        <v>6</v>
      </c>
      <c r="AD1668" s="6">
        <v>60</v>
      </c>
      <c r="AE1668" s="6">
        <v>25</v>
      </c>
      <c r="AF1668" s="6">
        <v>0</v>
      </c>
      <c r="AG1668" s="6">
        <v>75.89</v>
      </c>
      <c r="AH1668" s="6">
        <v>95.1</v>
      </c>
      <c r="AI1668" s="6">
        <f t="shared" si="52"/>
        <v>19.209999999999994</v>
      </c>
      <c r="AJ1668" s="5">
        <f t="shared" si="53"/>
        <v>0.20199789695057829</v>
      </c>
    </row>
    <row r="1669" spans="1:36">
      <c r="A1669" t="s">
        <v>517</v>
      </c>
      <c r="B1669" t="s">
        <v>1954</v>
      </c>
      <c r="C1669" t="s">
        <v>97</v>
      </c>
      <c r="D1669" t="s">
        <v>63</v>
      </c>
      <c r="E1669" t="s">
        <v>55</v>
      </c>
      <c r="F1669">
        <v>0</v>
      </c>
      <c r="G1669">
        <v>2372</v>
      </c>
      <c r="H1669">
        <v>1</v>
      </c>
      <c r="I1669" t="s">
        <v>181</v>
      </c>
      <c r="J1669">
        <v>3</v>
      </c>
      <c r="K1669" s="6">
        <v>6.11</v>
      </c>
      <c r="L1669" t="s">
        <v>174</v>
      </c>
      <c r="M1669">
        <v>0</v>
      </c>
      <c r="N1669" t="s">
        <v>182</v>
      </c>
      <c r="O1669">
        <v>3</v>
      </c>
      <c r="P1669">
        <v>0</v>
      </c>
      <c r="Q1669" s="6">
        <v>94.4</v>
      </c>
      <c r="R1669">
        <v>1</v>
      </c>
      <c r="S1669" s="6">
        <v>1876</v>
      </c>
      <c r="T1669">
        <v>0</v>
      </c>
      <c r="U1669" s="6">
        <v>1715</v>
      </c>
      <c r="V1669">
        <v>0</v>
      </c>
      <c r="W1669">
        <v>0</v>
      </c>
      <c r="X1669">
        <v>0</v>
      </c>
      <c r="Y1669" s="6">
        <v>42.3</v>
      </c>
      <c r="Z1669">
        <v>3.9E-2</v>
      </c>
      <c r="AA1669">
        <v>0.05</v>
      </c>
      <c r="AB1669">
        <v>5.8000000000000003E-2</v>
      </c>
      <c r="AC1669">
        <v>6</v>
      </c>
      <c r="AD1669" s="6">
        <v>60</v>
      </c>
      <c r="AE1669" s="6">
        <v>25</v>
      </c>
      <c r="AF1669" s="6">
        <v>0</v>
      </c>
      <c r="AG1669" s="6">
        <v>89.94</v>
      </c>
      <c r="AH1669" s="6">
        <v>114.33</v>
      </c>
      <c r="AI1669" s="6">
        <f t="shared" si="52"/>
        <v>24.39</v>
      </c>
      <c r="AJ1669" s="5">
        <f t="shared" si="53"/>
        <v>0.213329834689058</v>
      </c>
    </row>
    <row r="1670" spans="1:36">
      <c r="A1670" t="s">
        <v>263</v>
      </c>
      <c r="B1670" t="s">
        <v>1955</v>
      </c>
      <c r="C1670" t="s">
        <v>97</v>
      </c>
      <c r="D1670" t="s">
        <v>63</v>
      </c>
      <c r="E1670" t="s">
        <v>55</v>
      </c>
      <c r="F1670">
        <v>0</v>
      </c>
      <c r="G1670">
        <v>2372</v>
      </c>
      <c r="H1670">
        <v>1</v>
      </c>
      <c r="I1670" t="s">
        <v>173</v>
      </c>
      <c r="J1670">
        <v>1</v>
      </c>
      <c r="K1670" s="6">
        <v>1.06</v>
      </c>
      <c r="L1670" t="s">
        <v>174</v>
      </c>
      <c r="M1670">
        <v>0</v>
      </c>
      <c r="N1670" t="s">
        <v>175</v>
      </c>
      <c r="O1670">
        <v>1</v>
      </c>
      <c r="P1670">
        <v>0</v>
      </c>
      <c r="Q1670" s="6">
        <v>50.4</v>
      </c>
      <c r="R1670">
        <v>0</v>
      </c>
      <c r="S1670" s="6">
        <v>0</v>
      </c>
      <c r="T1670">
        <v>0</v>
      </c>
      <c r="U1670" s="6">
        <v>1076</v>
      </c>
      <c r="V1670">
        <v>0</v>
      </c>
      <c r="W1670">
        <v>0</v>
      </c>
      <c r="X1670">
        <v>0</v>
      </c>
      <c r="Y1670" s="6">
        <v>42.3</v>
      </c>
      <c r="Z1670">
        <v>3.9E-2</v>
      </c>
      <c r="AA1670">
        <v>0.05</v>
      </c>
      <c r="AB1670">
        <v>5.8000000000000003E-2</v>
      </c>
      <c r="AC1670">
        <v>6</v>
      </c>
      <c r="AD1670" s="6">
        <v>50</v>
      </c>
      <c r="AE1670" s="6">
        <v>0</v>
      </c>
      <c r="AF1670" s="6">
        <v>0</v>
      </c>
      <c r="AG1670" s="6">
        <v>54.09</v>
      </c>
      <c r="AH1670" s="6">
        <v>72.42</v>
      </c>
      <c r="AI1670" s="6">
        <f t="shared" si="52"/>
        <v>18.329999999999998</v>
      </c>
      <c r="AJ1670" s="5">
        <f t="shared" si="53"/>
        <v>0.25310687655343822</v>
      </c>
    </row>
    <row r="1671" spans="1:36">
      <c r="A1671" t="s">
        <v>251</v>
      </c>
      <c r="B1671" t="s">
        <v>1956</v>
      </c>
      <c r="C1671" t="s">
        <v>97</v>
      </c>
      <c r="D1671" t="s">
        <v>63</v>
      </c>
      <c r="E1671" t="s">
        <v>55</v>
      </c>
      <c r="F1671">
        <v>0</v>
      </c>
      <c r="G1671">
        <v>2372</v>
      </c>
      <c r="H1671">
        <v>1</v>
      </c>
      <c r="I1671" t="s">
        <v>181</v>
      </c>
      <c r="J1671">
        <v>3</v>
      </c>
      <c r="K1671" s="6">
        <v>6.61</v>
      </c>
      <c r="L1671" t="s">
        <v>174</v>
      </c>
      <c r="M1671">
        <v>0</v>
      </c>
      <c r="N1671" t="s">
        <v>182</v>
      </c>
      <c r="O1671">
        <v>3</v>
      </c>
      <c r="P1671">
        <v>0</v>
      </c>
      <c r="Q1671" s="6">
        <v>51.9</v>
      </c>
      <c r="R1671">
        <v>0</v>
      </c>
      <c r="S1671" s="6">
        <v>0</v>
      </c>
      <c r="T1671">
        <v>0</v>
      </c>
      <c r="U1671" s="6">
        <v>1111</v>
      </c>
      <c r="V1671">
        <v>0</v>
      </c>
      <c r="W1671">
        <v>0</v>
      </c>
      <c r="X1671">
        <v>0</v>
      </c>
      <c r="Y1671" s="6">
        <v>42.3</v>
      </c>
      <c r="Z1671">
        <v>3.9E-2</v>
      </c>
      <c r="AA1671">
        <v>0.05</v>
      </c>
      <c r="AB1671">
        <v>5.8000000000000003E-2</v>
      </c>
      <c r="AC1671">
        <v>6</v>
      </c>
      <c r="AD1671" s="6">
        <v>60</v>
      </c>
      <c r="AE1671" s="6">
        <v>0</v>
      </c>
      <c r="AF1671" s="6">
        <v>0</v>
      </c>
      <c r="AG1671" s="6">
        <v>89.33</v>
      </c>
      <c r="AH1671" s="6">
        <v>113.39</v>
      </c>
      <c r="AI1671" s="6">
        <f t="shared" si="52"/>
        <v>24.060000000000002</v>
      </c>
      <c r="AJ1671" s="5">
        <f t="shared" si="53"/>
        <v>0.21218802363524122</v>
      </c>
    </row>
    <row r="1672" spans="1:36">
      <c r="A1672" t="s">
        <v>323</v>
      </c>
      <c r="B1672" t="s">
        <v>1957</v>
      </c>
      <c r="C1672" t="s">
        <v>97</v>
      </c>
      <c r="D1672" t="s">
        <v>63</v>
      </c>
      <c r="E1672" t="s">
        <v>55</v>
      </c>
      <c r="F1672">
        <v>0</v>
      </c>
      <c r="G1672">
        <v>2372</v>
      </c>
      <c r="H1672">
        <v>1</v>
      </c>
      <c r="I1672" t="s">
        <v>181</v>
      </c>
      <c r="J1672">
        <v>3</v>
      </c>
      <c r="K1672" s="6">
        <v>11.62</v>
      </c>
      <c r="L1672" t="s">
        <v>174</v>
      </c>
      <c r="M1672">
        <v>0</v>
      </c>
      <c r="N1672" t="s">
        <v>175</v>
      </c>
      <c r="O1672">
        <v>1</v>
      </c>
      <c r="P1672">
        <v>0</v>
      </c>
      <c r="Q1672" s="6">
        <v>36</v>
      </c>
      <c r="R1672">
        <v>0</v>
      </c>
      <c r="S1672" s="6">
        <v>0</v>
      </c>
      <c r="T1672">
        <v>0</v>
      </c>
      <c r="U1672" s="6">
        <v>802</v>
      </c>
      <c r="V1672">
        <v>0</v>
      </c>
      <c r="W1672">
        <v>0</v>
      </c>
      <c r="X1672">
        <v>0</v>
      </c>
      <c r="Y1672" s="6">
        <v>42.3</v>
      </c>
      <c r="Z1672">
        <v>3.9E-2</v>
      </c>
      <c r="AA1672">
        <v>0.05</v>
      </c>
      <c r="AB1672">
        <v>5.8000000000000003E-2</v>
      </c>
      <c r="AC1672">
        <v>6</v>
      </c>
      <c r="AD1672" s="6">
        <v>60</v>
      </c>
      <c r="AE1672" s="6">
        <v>0</v>
      </c>
      <c r="AF1672" s="6">
        <v>0</v>
      </c>
      <c r="AG1672" s="6">
        <v>95.36</v>
      </c>
      <c r="AH1672" s="6">
        <v>119.7</v>
      </c>
      <c r="AI1672" s="6">
        <f t="shared" si="52"/>
        <v>24.340000000000003</v>
      </c>
      <c r="AJ1672" s="5">
        <f t="shared" si="53"/>
        <v>0.20334168755221388</v>
      </c>
    </row>
    <row r="1673" spans="1:36">
      <c r="A1673" t="s">
        <v>188</v>
      </c>
      <c r="B1673" t="s">
        <v>1958</v>
      </c>
      <c r="C1673" t="s">
        <v>97</v>
      </c>
      <c r="D1673" t="s">
        <v>63</v>
      </c>
      <c r="E1673" t="s">
        <v>55</v>
      </c>
      <c r="F1673">
        <v>0</v>
      </c>
      <c r="G1673">
        <v>2372</v>
      </c>
      <c r="H1673">
        <v>1</v>
      </c>
      <c r="I1673" t="s">
        <v>220</v>
      </c>
      <c r="J1673">
        <v>2</v>
      </c>
      <c r="K1673" s="6">
        <v>4.4400000000000004</v>
      </c>
      <c r="L1673" t="s">
        <v>174</v>
      </c>
      <c r="M1673">
        <v>0</v>
      </c>
      <c r="N1673" t="s">
        <v>175</v>
      </c>
      <c r="O1673">
        <v>1</v>
      </c>
      <c r="P1673">
        <v>0</v>
      </c>
      <c r="Q1673" s="6">
        <v>36.4</v>
      </c>
      <c r="R1673">
        <v>1</v>
      </c>
      <c r="S1673" s="6">
        <v>689</v>
      </c>
      <c r="T1673">
        <v>0</v>
      </c>
      <c r="U1673" s="6">
        <v>665</v>
      </c>
      <c r="V1673">
        <v>0</v>
      </c>
      <c r="W1673">
        <v>0</v>
      </c>
      <c r="X1673">
        <v>0</v>
      </c>
      <c r="Y1673" s="6">
        <v>42.3</v>
      </c>
      <c r="Z1673">
        <v>3.9E-2</v>
      </c>
      <c r="AA1673">
        <v>0.05</v>
      </c>
      <c r="AB1673">
        <v>5.8000000000000003E-2</v>
      </c>
      <c r="AC1673">
        <v>6</v>
      </c>
      <c r="AD1673" s="6">
        <v>50</v>
      </c>
      <c r="AE1673" s="6">
        <v>25</v>
      </c>
      <c r="AF1673" s="6">
        <v>0</v>
      </c>
      <c r="AG1673" s="6">
        <v>60.75</v>
      </c>
      <c r="AH1673" s="6">
        <v>78.94</v>
      </c>
      <c r="AI1673" s="6">
        <f t="shared" si="52"/>
        <v>18.189999999999998</v>
      </c>
      <c r="AJ1673" s="5">
        <f t="shared" si="53"/>
        <v>0.23042817329617429</v>
      </c>
    </row>
    <row r="1674" spans="1:36">
      <c r="A1674" t="s">
        <v>528</v>
      </c>
      <c r="B1674" t="s">
        <v>1959</v>
      </c>
      <c r="C1674" t="s">
        <v>97</v>
      </c>
      <c r="D1674" t="s">
        <v>63</v>
      </c>
      <c r="E1674" t="s">
        <v>55</v>
      </c>
      <c r="F1674">
        <v>0</v>
      </c>
      <c r="G1674">
        <v>2372</v>
      </c>
      <c r="H1674">
        <v>1</v>
      </c>
      <c r="I1674" t="s">
        <v>173</v>
      </c>
      <c r="J1674">
        <v>1</v>
      </c>
      <c r="K1674" s="6">
        <v>1.95</v>
      </c>
      <c r="L1674" t="s">
        <v>174</v>
      </c>
      <c r="M1674">
        <v>0</v>
      </c>
      <c r="N1674" t="s">
        <v>175</v>
      </c>
      <c r="O1674">
        <v>1</v>
      </c>
      <c r="P1674">
        <v>0</v>
      </c>
      <c r="Q1674" s="6">
        <v>37.200000000000003</v>
      </c>
      <c r="R1674">
        <v>0</v>
      </c>
      <c r="S1674" s="6">
        <v>0</v>
      </c>
      <c r="T1674">
        <v>0</v>
      </c>
      <c r="U1674" s="6">
        <v>662</v>
      </c>
      <c r="V1674">
        <v>0</v>
      </c>
      <c r="W1674">
        <v>0</v>
      </c>
      <c r="X1674">
        <v>0</v>
      </c>
      <c r="Y1674" s="6">
        <v>42.3</v>
      </c>
      <c r="Z1674">
        <v>3.9E-2</v>
      </c>
      <c r="AA1674">
        <v>0.05</v>
      </c>
      <c r="AB1674">
        <v>5.8000000000000003E-2</v>
      </c>
      <c r="AC1674">
        <v>6</v>
      </c>
      <c r="AD1674" s="6">
        <v>50</v>
      </c>
      <c r="AE1674" s="6">
        <v>0</v>
      </c>
      <c r="AF1674" s="6">
        <v>0</v>
      </c>
      <c r="AG1674" s="6">
        <v>44.89</v>
      </c>
      <c r="AH1674" s="6">
        <v>60.61</v>
      </c>
      <c r="AI1674" s="6">
        <f t="shared" si="52"/>
        <v>15.719999999999999</v>
      </c>
      <c r="AJ1674" s="5">
        <f t="shared" si="53"/>
        <v>0.25936314139580924</v>
      </c>
    </row>
    <row r="1675" spans="1:36">
      <c r="A1675" t="s">
        <v>171</v>
      </c>
      <c r="B1675" t="s">
        <v>1960</v>
      </c>
      <c r="C1675" t="s">
        <v>97</v>
      </c>
      <c r="D1675" t="s">
        <v>63</v>
      </c>
      <c r="E1675" t="s">
        <v>55</v>
      </c>
      <c r="F1675">
        <v>0</v>
      </c>
      <c r="G1675">
        <v>2372</v>
      </c>
      <c r="H1675">
        <v>1</v>
      </c>
      <c r="I1675" t="s">
        <v>220</v>
      </c>
      <c r="J1675">
        <v>2</v>
      </c>
      <c r="K1675" s="6">
        <v>5.6</v>
      </c>
      <c r="L1675" t="s">
        <v>174</v>
      </c>
      <c r="M1675">
        <v>0</v>
      </c>
      <c r="N1675" t="s">
        <v>175</v>
      </c>
      <c r="O1675">
        <v>1</v>
      </c>
      <c r="P1675">
        <v>0</v>
      </c>
      <c r="Q1675" s="6">
        <v>43</v>
      </c>
      <c r="R1675">
        <v>1</v>
      </c>
      <c r="S1675" s="6">
        <v>1320</v>
      </c>
      <c r="T1675">
        <v>0</v>
      </c>
      <c r="U1675" s="6">
        <v>1024</v>
      </c>
      <c r="V1675">
        <v>0</v>
      </c>
      <c r="W1675">
        <v>0</v>
      </c>
      <c r="X1675">
        <v>0</v>
      </c>
      <c r="Y1675" s="6">
        <v>42.3</v>
      </c>
      <c r="Z1675">
        <v>3.9E-2</v>
      </c>
      <c r="AA1675">
        <v>0.05</v>
      </c>
      <c r="AB1675">
        <v>5.8000000000000003E-2</v>
      </c>
      <c r="AC1675">
        <v>6</v>
      </c>
      <c r="AD1675" s="6">
        <v>50</v>
      </c>
      <c r="AE1675" s="6">
        <v>25</v>
      </c>
      <c r="AF1675" s="6">
        <v>0</v>
      </c>
      <c r="AG1675" s="6">
        <v>67.62</v>
      </c>
      <c r="AH1675" s="6">
        <v>89.2</v>
      </c>
      <c r="AI1675" s="6">
        <f t="shared" si="52"/>
        <v>21.58</v>
      </c>
      <c r="AJ1675" s="5">
        <f t="shared" si="53"/>
        <v>0.24192825112107622</v>
      </c>
    </row>
    <row r="1676" spans="1:36">
      <c r="A1676" t="s">
        <v>279</v>
      </c>
      <c r="B1676" t="s">
        <v>1961</v>
      </c>
      <c r="C1676" t="s">
        <v>97</v>
      </c>
      <c r="D1676" t="s">
        <v>63</v>
      </c>
      <c r="E1676" t="s">
        <v>55</v>
      </c>
      <c r="F1676">
        <v>0</v>
      </c>
      <c r="G1676">
        <v>2372</v>
      </c>
      <c r="H1676">
        <v>1</v>
      </c>
      <c r="I1676" t="s">
        <v>220</v>
      </c>
      <c r="J1676">
        <v>2</v>
      </c>
      <c r="K1676" s="6">
        <v>3.25</v>
      </c>
      <c r="L1676" t="s">
        <v>174</v>
      </c>
      <c r="M1676">
        <v>0</v>
      </c>
      <c r="N1676" t="s">
        <v>175</v>
      </c>
      <c r="O1676">
        <v>1</v>
      </c>
      <c r="P1676">
        <v>0</v>
      </c>
      <c r="Q1676" s="6">
        <v>36.299999999999997</v>
      </c>
      <c r="R1676">
        <v>0</v>
      </c>
      <c r="S1676" s="6">
        <v>0</v>
      </c>
      <c r="T1676">
        <v>0</v>
      </c>
      <c r="U1676" s="6">
        <v>858</v>
      </c>
      <c r="V1676">
        <v>0</v>
      </c>
      <c r="W1676">
        <v>0</v>
      </c>
      <c r="X1676">
        <v>1</v>
      </c>
      <c r="Y1676" s="6">
        <v>42.3</v>
      </c>
      <c r="Z1676">
        <v>3.9E-2</v>
      </c>
      <c r="AA1676">
        <v>0.05</v>
      </c>
      <c r="AB1676">
        <v>5.8000000000000003E-2</v>
      </c>
      <c r="AC1676">
        <v>6</v>
      </c>
      <c r="AD1676" s="6">
        <v>50</v>
      </c>
      <c r="AE1676" s="6">
        <v>0</v>
      </c>
      <c r="AF1676" s="6">
        <v>0</v>
      </c>
      <c r="AG1676" s="6">
        <v>57.07</v>
      </c>
      <c r="AH1676" s="6">
        <v>75.790000000000006</v>
      </c>
      <c r="AI1676" s="6">
        <f t="shared" si="52"/>
        <v>18.720000000000006</v>
      </c>
      <c r="AJ1676" s="5">
        <f t="shared" si="53"/>
        <v>0.24699828473413385</v>
      </c>
    </row>
    <row r="1677" spans="1:36">
      <c r="A1677" t="s">
        <v>355</v>
      </c>
      <c r="B1677" t="s">
        <v>1962</v>
      </c>
      <c r="C1677" t="s">
        <v>97</v>
      </c>
      <c r="D1677" t="s">
        <v>63</v>
      </c>
      <c r="E1677" t="s">
        <v>55</v>
      </c>
      <c r="F1677">
        <v>0</v>
      </c>
      <c r="G1677">
        <v>2372</v>
      </c>
      <c r="H1677">
        <v>1</v>
      </c>
      <c r="I1677" t="s">
        <v>181</v>
      </c>
      <c r="J1677">
        <v>3</v>
      </c>
      <c r="K1677" s="6">
        <v>7.75</v>
      </c>
      <c r="L1677" t="s">
        <v>200</v>
      </c>
      <c r="M1677">
        <v>1</v>
      </c>
      <c r="N1677" t="s">
        <v>182</v>
      </c>
      <c r="O1677">
        <v>3</v>
      </c>
      <c r="P1677">
        <v>0</v>
      </c>
      <c r="Q1677" s="6">
        <v>65.2</v>
      </c>
      <c r="R1677">
        <v>0</v>
      </c>
      <c r="S1677" s="6">
        <v>0</v>
      </c>
      <c r="T1677">
        <v>0</v>
      </c>
      <c r="U1677" s="6">
        <v>482</v>
      </c>
      <c r="V1677">
        <v>0</v>
      </c>
      <c r="W1677">
        <v>0</v>
      </c>
      <c r="X1677">
        <v>0</v>
      </c>
      <c r="Y1677" s="6">
        <v>42.3</v>
      </c>
      <c r="Z1677">
        <v>3.9E-2</v>
      </c>
      <c r="AA1677">
        <v>0.05</v>
      </c>
      <c r="AB1677">
        <v>5.8000000000000003E-2</v>
      </c>
      <c r="AC1677">
        <v>6</v>
      </c>
      <c r="AD1677" s="6">
        <v>139</v>
      </c>
      <c r="AE1677" s="6">
        <v>0</v>
      </c>
      <c r="AF1677" s="6">
        <v>0</v>
      </c>
      <c r="AG1677" s="6">
        <v>115.81</v>
      </c>
      <c r="AH1677" s="6">
        <v>145.66</v>
      </c>
      <c r="AI1677" s="6">
        <f t="shared" si="52"/>
        <v>29.849999999999994</v>
      </c>
      <c r="AJ1677" s="5">
        <f t="shared" si="53"/>
        <v>0.20492928738157348</v>
      </c>
    </row>
    <row r="1678" spans="1:36">
      <c r="A1678" t="s">
        <v>171</v>
      </c>
      <c r="B1678" t="s">
        <v>1963</v>
      </c>
      <c r="C1678" t="s">
        <v>97</v>
      </c>
      <c r="D1678" t="s">
        <v>63</v>
      </c>
      <c r="E1678" t="s">
        <v>55</v>
      </c>
      <c r="F1678">
        <v>0</v>
      </c>
      <c r="G1678">
        <v>2372</v>
      </c>
      <c r="H1678">
        <v>1</v>
      </c>
      <c r="I1678" t="s">
        <v>220</v>
      </c>
      <c r="J1678">
        <v>2</v>
      </c>
      <c r="K1678" s="6">
        <v>4.83</v>
      </c>
      <c r="L1678" t="s">
        <v>174</v>
      </c>
      <c r="M1678">
        <v>0</v>
      </c>
      <c r="N1678" t="s">
        <v>217</v>
      </c>
      <c r="O1678">
        <v>4</v>
      </c>
      <c r="P1678">
        <v>1</v>
      </c>
      <c r="Q1678" s="6">
        <v>189.8</v>
      </c>
      <c r="R1678">
        <v>0</v>
      </c>
      <c r="S1678" s="6">
        <v>0</v>
      </c>
      <c r="T1678">
        <v>0</v>
      </c>
      <c r="U1678" s="6">
        <v>1221</v>
      </c>
      <c r="V1678">
        <v>0</v>
      </c>
      <c r="W1678">
        <v>0</v>
      </c>
      <c r="X1678">
        <v>0</v>
      </c>
      <c r="Y1678" s="6">
        <v>42.3</v>
      </c>
      <c r="Z1678">
        <v>3.9E-2</v>
      </c>
      <c r="AA1678">
        <v>0.05</v>
      </c>
      <c r="AB1678">
        <v>5.8000000000000003E-2</v>
      </c>
      <c r="AC1678">
        <v>6</v>
      </c>
      <c r="AD1678" s="6">
        <v>50</v>
      </c>
      <c r="AE1678" s="6">
        <v>0</v>
      </c>
      <c r="AF1678" s="6">
        <v>0</v>
      </c>
      <c r="AG1678" s="6">
        <v>113.52</v>
      </c>
      <c r="AH1678" s="6">
        <v>142.19</v>
      </c>
      <c r="AI1678" s="6">
        <f t="shared" si="52"/>
        <v>28.67</v>
      </c>
      <c r="AJ1678" s="5">
        <f t="shared" si="53"/>
        <v>0.20163161966383011</v>
      </c>
    </row>
    <row r="1679" spans="1:36">
      <c r="A1679" t="s">
        <v>434</v>
      </c>
      <c r="B1679" t="s">
        <v>1964</v>
      </c>
      <c r="C1679" t="s">
        <v>97</v>
      </c>
      <c r="D1679" t="s">
        <v>63</v>
      </c>
      <c r="E1679" t="s">
        <v>55</v>
      </c>
      <c r="F1679">
        <v>0</v>
      </c>
      <c r="G1679">
        <v>2372</v>
      </c>
      <c r="H1679">
        <v>1</v>
      </c>
      <c r="I1679" t="s">
        <v>181</v>
      </c>
      <c r="J1679">
        <v>3</v>
      </c>
      <c r="K1679" s="6">
        <v>10.38</v>
      </c>
      <c r="L1679" t="s">
        <v>174</v>
      </c>
      <c r="M1679">
        <v>0</v>
      </c>
      <c r="N1679" t="s">
        <v>175</v>
      </c>
      <c r="O1679">
        <v>1</v>
      </c>
      <c r="P1679">
        <v>0</v>
      </c>
      <c r="Q1679" s="6">
        <v>31.5</v>
      </c>
      <c r="R1679">
        <v>0</v>
      </c>
      <c r="S1679" s="6">
        <v>0</v>
      </c>
      <c r="T1679">
        <v>0</v>
      </c>
      <c r="U1679" s="6">
        <v>2108</v>
      </c>
      <c r="V1679">
        <v>0</v>
      </c>
      <c r="W1679">
        <v>0</v>
      </c>
      <c r="X1679">
        <v>0</v>
      </c>
      <c r="Y1679" s="6">
        <v>42.3</v>
      </c>
      <c r="Z1679">
        <v>3.9E-2</v>
      </c>
      <c r="AA1679">
        <v>0.05</v>
      </c>
      <c r="AB1679">
        <v>5.8000000000000003E-2</v>
      </c>
      <c r="AC1679">
        <v>6</v>
      </c>
      <c r="AD1679" s="6">
        <v>60</v>
      </c>
      <c r="AE1679" s="6">
        <v>0</v>
      </c>
      <c r="AF1679" s="6">
        <v>0</v>
      </c>
      <c r="AG1679" s="6">
        <v>94.87</v>
      </c>
      <c r="AH1679" s="6">
        <v>122.86</v>
      </c>
      <c r="AI1679" s="6">
        <f t="shared" si="52"/>
        <v>27.989999999999995</v>
      </c>
      <c r="AJ1679" s="5">
        <f t="shared" si="53"/>
        <v>0.22782028324922673</v>
      </c>
    </row>
    <row r="1680" spans="1:36">
      <c r="A1680" t="s">
        <v>286</v>
      </c>
      <c r="B1680" t="s">
        <v>1965</v>
      </c>
      <c r="C1680" t="s">
        <v>97</v>
      </c>
      <c r="D1680" t="s">
        <v>63</v>
      </c>
      <c r="E1680" t="s">
        <v>55</v>
      </c>
      <c r="F1680">
        <v>0</v>
      </c>
      <c r="G1680">
        <v>2372</v>
      </c>
      <c r="H1680">
        <v>1</v>
      </c>
      <c r="I1680" t="s">
        <v>181</v>
      </c>
      <c r="J1680">
        <v>3</v>
      </c>
      <c r="K1680" s="6">
        <v>10.09</v>
      </c>
      <c r="L1680" t="s">
        <v>174</v>
      </c>
      <c r="M1680">
        <v>0</v>
      </c>
      <c r="N1680" t="s">
        <v>175</v>
      </c>
      <c r="O1680">
        <v>1</v>
      </c>
      <c r="P1680">
        <v>0</v>
      </c>
      <c r="Q1680" s="6">
        <v>35.6</v>
      </c>
      <c r="R1680">
        <v>0</v>
      </c>
      <c r="S1680" s="6">
        <v>0</v>
      </c>
      <c r="T1680">
        <v>0</v>
      </c>
      <c r="U1680" s="6">
        <v>1308</v>
      </c>
      <c r="V1680">
        <v>0</v>
      </c>
      <c r="W1680">
        <v>0</v>
      </c>
      <c r="X1680">
        <v>0</v>
      </c>
      <c r="Y1680" s="6">
        <v>42.3</v>
      </c>
      <c r="Z1680">
        <v>3.9E-2</v>
      </c>
      <c r="AA1680">
        <v>0.05</v>
      </c>
      <c r="AB1680">
        <v>5.8000000000000003E-2</v>
      </c>
      <c r="AC1680">
        <v>6</v>
      </c>
      <c r="AD1680" s="6">
        <v>60</v>
      </c>
      <c r="AE1680" s="6">
        <v>0</v>
      </c>
      <c r="AF1680" s="6">
        <v>0</v>
      </c>
      <c r="AG1680" s="6">
        <v>101.28</v>
      </c>
      <c r="AH1680" s="6">
        <v>127.6</v>
      </c>
      <c r="AI1680" s="6">
        <f t="shared" si="52"/>
        <v>26.319999999999993</v>
      </c>
      <c r="AJ1680" s="5">
        <f t="shared" si="53"/>
        <v>0.20626959247648899</v>
      </c>
    </row>
    <row r="1681" spans="1:36">
      <c r="A1681" t="s">
        <v>279</v>
      </c>
      <c r="B1681" t="s">
        <v>1966</v>
      </c>
      <c r="C1681" t="s">
        <v>97</v>
      </c>
      <c r="D1681" t="s">
        <v>63</v>
      </c>
      <c r="E1681" t="s">
        <v>55</v>
      </c>
      <c r="F1681">
        <v>0</v>
      </c>
      <c r="G1681">
        <v>2372</v>
      </c>
      <c r="H1681">
        <v>1</v>
      </c>
      <c r="I1681" t="s">
        <v>220</v>
      </c>
      <c r="J1681">
        <v>2</v>
      </c>
      <c r="K1681" s="6">
        <v>3.61</v>
      </c>
      <c r="L1681" t="s">
        <v>174</v>
      </c>
      <c r="M1681">
        <v>0</v>
      </c>
      <c r="N1681" t="s">
        <v>182</v>
      </c>
      <c r="O1681">
        <v>3</v>
      </c>
      <c r="P1681">
        <v>0</v>
      </c>
      <c r="Q1681" s="6">
        <v>113.8</v>
      </c>
      <c r="R1681">
        <v>1</v>
      </c>
      <c r="S1681" s="6">
        <v>4094</v>
      </c>
      <c r="T1681">
        <v>0</v>
      </c>
      <c r="U1681" s="6">
        <v>1023</v>
      </c>
      <c r="V1681">
        <v>0</v>
      </c>
      <c r="W1681">
        <v>0</v>
      </c>
      <c r="X1681">
        <v>0</v>
      </c>
      <c r="Y1681" s="6">
        <v>42.3</v>
      </c>
      <c r="Z1681">
        <v>3.9E-2</v>
      </c>
      <c r="AA1681">
        <v>0.05</v>
      </c>
      <c r="AB1681">
        <v>5.8000000000000003E-2</v>
      </c>
      <c r="AC1681">
        <v>6</v>
      </c>
      <c r="AD1681" s="6">
        <v>50</v>
      </c>
      <c r="AE1681" s="6">
        <v>40</v>
      </c>
      <c r="AF1681" s="6">
        <v>0</v>
      </c>
      <c r="AG1681" s="6">
        <v>80.84</v>
      </c>
      <c r="AH1681" s="6">
        <v>102.94</v>
      </c>
      <c r="AI1681" s="6">
        <f t="shared" si="52"/>
        <v>22.099999999999994</v>
      </c>
      <c r="AJ1681" s="5">
        <f t="shared" si="53"/>
        <v>0.21468816786477554</v>
      </c>
    </row>
    <row r="1682" spans="1:36">
      <c r="A1682" t="s">
        <v>512</v>
      </c>
      <c r="B1682" t="s">
        <v>1967</v>
      </c>
      <c r="C1682" t="s">
        <v>97</v>
      </c>
      <c r="D1682" t="s">
        <v>63</v>
      </c>
      <c r="E1682" t="s">
        <v>55</v>
      </c>
      <c r="F1682">
        <v>0</v>
      </c>
      <c r="G1682">
        <v>2372</v>
      </c>
      <c r="H1682">
        <v>1</v>
      </c>
      <c r="I1682" t="s">
        <v>220</v>
      </c>
      <c r="J1682">
        <v>2</v>
      </c>
      <c r="K1682" s="6">
        <v>3.28</v>
      </c>
      <c r="L1682" t="s">
        <v>174</v>
      </c>
      <c r="M1682">
        <v>0</v>
      </c>
      <c r="N1682" t="s">
        <v>187</v>
      </c>
      <c r="O1682">
        <v>2</v>
      </c>
      <c r="P1682">
        <v>0</v>
      </c>
      <c r="Q1682" s="6">
        <v>39.6</v>
      </c>
      <c r="R1682">
        <v>0</v>
      </c>
      <c r="S1682" s="6">
        <v>0</v>
      </c>
      <c r="T1682">
        <v>0</v>
      </c>
      <c r="U1682" s="6">
        <v>665</v>
      </c>
      <c r="V1682">
        <v>0</v>
      </c>
      <c r="W1682">
        <v>0</v>
      </c>
      <c r="X1682">
        <v>0</v>
      </c>
      <c r="Y1682" s="6">
        <v>42.3</v>
      </c>
      <c r="Z1682">
        <v>3.9E-2</v>
      </c>
      <c r="AA1682">
        <v>0.05</v>
      </c>
      <c r="AB1682">
        <v>5.8000000000000003E-2</v>
      </c>
      <c r="AC1682">
        <v>6</v>
      </c>
      <c r="AD1682" s="6">
        <v>50</v>
      </c>
      <c r="AE1682" s="6">
        <v>0</v>
      </c>
      <c r="AF1682" s="6">
        <v>0</v>
      </c>
      <c r="AG1682" s="6">
        <v>63.24</v>
      </c>
      <c r="AH1682" s="6">
        <v>83.98</v>
      </c>
      <c r="AI1682" s="6">
        <f t="shared" si="52"/>
        <v>20.740000000000002</v>
      </c>
      <c r="AJ1682" s="5">
        <f t="shared" si="53"/>
        <v>0.24696356275303644</v>
      </c>
    </row>
    <row r="1683" spans="1:36">
      <c r="A1683" t="s">
        <v>348</v>
      </c>
      <c r="B1683" t="s">
        <v>1968</v>
      </c>
      <c r="C1683" t="s">
        <v>97</v>
      </c>
      <c r="D1683" t="s">
        <v>63</v>
      </c>
      <c r="E1683" t="s">
        <v>55</v>
      </c>
      <c r="F1683">
        <v>0</v>
      </c>
      <c r="G1683">
        <v>2372</v>
      </c>
      <c r="H1683">
        <v>1</v>
      </c>
      <c r="I1683" t="s">
        <v>220</v>
      </c>
      <c r="J1683">
        <v>2</v>
      </c>
      <c r="K1683" s="6">
        <v>5.25</v>
      </c>
      <c r="L1683" t="s">
        <v>174</v>
      </c>
      <c r="M1683">
        <v>0</v>
      </c>
      <c r="N1683" t="s">
        <v>175</v>
      </c>
      <c r="O1683">
        <v>1</v>
      </c>
      <c r="P1683">
        <v>0</v>
      </c>
      <c r="Q1683" s="6">
        <v>15.8</v>
      </c>
      <c r="R1683">
        <v>1</v>
      </c>
      <c r="S1683" s="6">
        <v>955</v>
      </c>
      <c r="T1683">
        <v>0</v>
      </c>
      <c r="U1683" s="6">
        <v>554</v>
      </c>
      <c r="V1683">
        <v>0</v>
      </c>
      <c r="W1683">
        <v>0</v>
      </c>
      <c r="X1683">
        <v>0</v>
      </c>
      <c r="Y1683" s="6">
        <v>42.3</v>
      </c>
      <c r="Z1683">
        <v>3.9E-2</v>
      </c>
      <c r="AA1683">
        <v>0.05</v>
      </c>
      <c r="AB1683">
        <v>5.8000000000000003E-2</v>
      </c>
      <c r="AC1683">
        <v>6</v>
      </c>
      <c r="AD1683" s="6">
        <v>50</v>
      </c>
      <c r="AE1683" s="6">
        <v>25</v>
      </c>
      <c r="AF1683" s="6">
        <v>0</v>
      </c>
      <c r="AG1683" s="6">
        <v>65.33</v>
      </c>
      <c r="AH1683" s="6">
        <v>86.12</v>
      </c>
      <c r="AI1683" s="6">
        <f t="shared" si="52"/>
        <v>20.790000000000006</v>
      </c>
      <c r="AJ1683" s="5">
        <f t="shared" si="53"/>
        <v>0.24140733859730615</v>
      </c>
    </row>
    <row r="1684" spans="1:36">
      <c r="A1684" t="s">
        <v>269</v>
      </c>
      <c r="B1684" t="s">
        <v>1969</v>
      </c>
      <c r="C1684" t="s">
        <v>97</v>
      </c>
      <c r="D1684" t="s">
        <v>63</v>
      </c>
      <c r="E1684" t="s">
        <v>55</v>
      </c>
      <c r="F1684">
        <v>0</v>
      </c>
      <c r="G1684">
        <v>2372</v>
      </c>
      <c r="H1684">
        <v>1</v>
      </c>
      <c r="I1684" t="s">
        <v>173</v>
      </c>
      <c r="J1684">
        <v>1</v>
      </c>
      <c r="K1684" s="6">
        <v>2.9</v>
      </c>
      <c r="L1684" t="s">
        <v>174</v>
      </c>
      <c r="M1684">
        <v>0</v>
      </c>
      <c r="N1684" t="s">
        <v>182</v>
      </c>
      <c r="O1684">
        <v>3</v>
      </c>
      <c r="P1684">
        <v>0</v>
      </c>
      <c r="Q1684" s="6">
        <v>113.7</v>
      </c>
      <c r="R1684">
        <v>1</v>
      </c>
      <c r="S1684" s="6">
        <v>2147</v>
      </c>
      <c r="T1684">
        <v>0</v>
      </c>
      <c r="U1684" s="6">
        <v>462</v>
      </c>
      <c r="V1684">
        <v>1</v>
      </c>
      <c r="W1684">
        <v>0</v>
      </c>
      <c r="X1684">
        <v>1</v>
      </c>
      <c r="Y1684" s="6">
        <v>42.3</v>
      </c>
      <c r="Z1684">
        <v>3.9E-2</v>
      </c>
      <c r="AA1684">
        <v>0.05</v>
      </c>
      <c r="AB1684">
        <v>5.8000000000000003E-2</v>
      </c>
      <c r="AC1684">
        <v>6</v>
      </c>
      <c r="AD1684" s="6">
        <v>50</v>
      </c>
      <c r="AE1684" s="6">
        <v>40</v>
      </c>
      <c r="AF1684" s="6">
        <v>0</v>
      </c>
      <c r="AG1684" s="6">
        <v>95.85</v>
      </c>
      <c r="AH1684" s="6">
        <v>120.49</v>
      </c>
      <c r="AI1684" s="6">
        <f t="shared" si="52"/>
        <v>24.64</v>
      </c>
      <c r="AJ1684" s="5">
        <f t="shared" si="53"/>
        <v>0.20449829861399288</v>
      </c>
    </row>
    <row r="1685" spans="1:36">
      <c r="A1685" t="s">
        <v>391</v>
      </c>
      <c r="B1685" t="s">
        <v>1970</v>
      </c>
      <c r="C1685" t="s">
        <v>97</v>
      </c>
      <c r="D1685" t="s">
        <v>63</v>
      </c>
      <c r="E1685" t="s">
        <v>55</v>
      </c>
      <c r="F1685">
        <v>0</v>
      </c>
      <c r="G1685">
        <v>2372</v>
      </c>
      <c r="H1685">
        <v>1</v>
      </c>
      <c r="I1685" t="s">
        <v>220</v>
      </c>
      <c r="J1685">
        <v>2</v>
      </c>
      <c r="K1685" s="6">
        <v>3.51</v>
      </c>
      <c r="L1685" t="s">
        <v>174</v>
      </c>
      <c r="M1685">
        <v>0</v>
      </c>
      <c r="N1685" t="s">
        <v>187</v>
      </c>
      <c r="O1685">
        <v>2</v>
      </c>
      <c r="P1685">
        <v>0</v>
      </c>
      <c r="Q1685" s="6">
        <v>61.1</v>
      </c>
      <c r="R1685">
        <v>0</v>
      </c>
      <c r="S1685" s="6">
        <v>0</v>
      </c>
      <c r="T1685">
        <v>0</v>
      </c>
      <c r="U1685" s="6">
        <v>503</v>
      </c>
      <c r="V1685">
        <v>0</v>
      </c>
      <c r="W1685">
        <v>0</v>
      </c>
      <c r="X1685">
        <v>0</v>
      </c>
      <c r="Y1685" s="6">
        <v>42.3</v>
      </c>
      <c r="Z1685">
        <v>3.9E-2</v>
      </c>
      <c r="AA1685">
        <v>0.05</v>
      </c>
      <c r="AB1685">
        <v>5.8000000000000003E-2</v>
      </c>
      <c r="AC1685">
        <v>6</v>
      </c>
      <c r="AD1685" s="6">
        <v>50</v>
      </c>
      <c r="AE1685" s="6">
        <v>0</v>
      </c>
      <c r="AF1685" s="6">
        <v>0</v>
      </c>
      <c r="AG1685" s="6">
        <v>72.62</v>
      </c>
      <c r="AH1685" s="6">
        <v>92.83</v>
      </c>
      <c r="AI1685" s="6">
        <f t="shared" si="52"/>
        <v>20.209999999999994</v>
      </c>
      <c r="AJ1685" s="5">
        <f t="shared" si="53"/>
        <v>0.21770979209307328</v>
      </c>
    </row>
    <row r="1686" spans="1:36">
      <c r="A1686" t="s">
        <v>311</v>
      </c>
      <c r="B1686" t="s">
        <v>1971</v>
      </c>
      <c r="C1686" t="s">
        <v>97</v>
      </c>
      <c r="D1686" t="s">
        <v>63</v>
      </c>
      <c r="E1686" t="s">
        <v>55</v>
      </c>
      <c r="F1686">
        <v>0</v>
      </c>
      <c r="G1686">
        <v>2372</v>
      </c>
      <c r="H1686">
        <v>1</v>
      </c>
      <c r="I1686" t="s">
        <v>173</v>
      </c>
      <c r="J1686">
        <v>1</v>
      </c>
      <c r="K1686" s="6">
        <v>1.91</v>
      </c>
      <c r="L1686" t="s">
        <v>174</v>
      </c>
      <c r="M1686">
        <v>0</v>
      </c>
      <c r="N1686" t="s">
        <v>187</v>
      </c>
      <c r="O1686">
        <v>2</v>
      </c>
      <c r="P1686">
        <v>0</v>
      </c>
      <c r="Q1686" s="6">
        <v>79.400000000000006</v>
      </c>
      <c r="R1686">
        <v>1</v>
      </c>
      <c r="S1686" s="6">
        <v>1553</v>
      </c>
      <c r="T1686">
        <v>0</v>
      </c>
      <c r="U1686" s="6">
        <v>2196</v>
      </c>
      <c r="V1686">
        <v>0</v>
      </c>
      <c r="W1686">
        <v>0</v>
      </c>
      <c r="X1686">
        <v>0</v>
      </c>
      <c r="Y1686" s="6">
        <v>42.3</v>
      </c>
      <c r="Z1686">
        <v>3.9E-2</v>
      </c>
      <c r="AA1686">
        <v>0.05</v>
      </c>
      <c r="AB1686">
        <v>5.8000000000000003E-2</v>
      </c>
      <c r="AC1686">
        <v>6</v>
      </c>
      <c r="AD1686" s="6">
        <v>50</v>
      </c>
      <c r="AE1686" s="6">
        <v>25</v>
      </c>
      <c r="AF1686" s="6">
        <v>0</v>
      </c>
      <c r="AG1686" s="6">
        <v>57.12</v>
      </c>
      <c r="AH1686" s="6">
        <v>72.66</v>
      </c>
      <c r="AI1686" s="6">
        <f t="shared" si="52"/>
        <v>15.54</v>
      </c>
      <c r="AJ1686" s="5">
        <f t="shared" si="53"/>
        <v>0.2138728323699422</v>
      </c>
    </row>
    <row r="1687" spans="1:36">
      <c r="A1687" t="s">
        <v>403</v>
      </c>
      <c r="B1687" t="s">
        <v>1972</v>
      </c>
      <c r="C1687" t="s">
        <v>97</v>
      </c>
      <c r="D1687" t="s">
        <v>63</v>
      </c>
      <c r="E1687" t="s">
        <v>55</v>
      </c>
      <c r="F1687">
        <v>0</v>
      </c>
      <c r="G1687">
        <v>2372</v>
      </c>
      <c r="H1687">
        <v>1</v>
      </c>
      <c r="I1687" t="s">
        <v>220</v>
      </c>
      <c r="J1687">
        <v>2</v>
      </c>
      <c r="K1687" s="6">
        <v>2.2599999999999998</v>
      </c>
      <c r="L1687" t="s">
        <v>174</v>
      </c>
      <c r="M1687">
        <v>0</v>
      </c>
      <c r="N1687" t="s">
        <v>175</v>
      </c>
      <c r="O1687">
        <v>1</v>
      </c>
      <c r="P1687">
        <v>0</v>
      </c>
      <c r="Q1687" s="6">
        <v>34</v>
      </c>
      <c r="R1687">
        <v>0</v>
      </c>
      <c r="S1687" s="6">
        <v>0</v>
      </c>
      <c r="T1687">
        <v>0</v>
      </c>
      <c r="U1687" s="6">
        <v>1033</v>
      </c>
      <c r="V1687">
        <v>0</v>
      </c>
      <c r="W1687">
        <v>0</v>
      </c>
      <c r="X1687">
        <v>0</v>
      </c>
      <c r="Y1687" s="6">
        <v>42.3</v>
      </c>
      <c r="Z1687">
        <v>3.9E-2</v>
      </c>
      <c r="AA1687">
        <v>0.05</v>
      </c>
      <c r="AB1687">
        <v>5.8000000000000003E-2</v>
      </c>
      <c r="AC1687">
        <v>6</v>
      </c>
      <c r="AD1687" s="6">
        <v>50</v>
      </c>
      <c r="AE1687" s="6">
        <v>0</v>
      </c>
      <c r="AF1687" s="6">
        <v>0</v>
      </c>
      <c r="AG1687" s="6">
        <v>52.31</v>
      </c>
      <c r="AH1687" s="6">
        <v>68.81</v>
      </c>
      <c r="AI1687" s="6">
        <f t="shared" si="52"/>
        <v>16.5</v>
      </c>
      <c r="AJ1687" s="5">
        <f t="shared" si="53"/>
        <v>0.23979072809184709</v>
      </c>
    </row>
    <row r="1688" spans="1:36">
      <c r="A1688" t="s">
        <v>316</v>
      </c>
      <c r="B1688" t="s">
        <v>1973</v>
      </c>
      <c r="C1688" t="s">
        <v>97</v>
      </c>
      <c r="D1688" t="s">
        <v>63</v>
      </c>
      <c r="E1688" t="s">
        <v>55</v>
      </c>
      <c r="F1688">
        <v>0</v>
      </c>
      <c r="G1688">
        <v>2372</v>
      </c>
      <c r="H1688">
        <v>1</v>
      </c>
      <c r="I1688" t="s">
        <v>181</v>
      </c>
      <c r="J1688">
        <v>3</v>
      </c>
      <c r="K1688" s="6">
        <v>4.4800000000000004</v>
      </c>
      <c r="L1688" t="s">
        <v>174</v>
      </c>
      <c r="M1688">
        <v>0</v>
      </c>
      <c r="N1688" t="s">
        <v>175</v>
      </c>
      <c r="O1688">
        <v>1</v>
      </c>
      <c r="P1688">
        <v>0</v>
      </c>
      <c r="Q1688" s="6">
        <v>47.6</v>
      </c>
      <c r="R1688">
        <v>0</v>
      </c>
      <c r="S1688" s="6">
        <v>0</v>
      </c>
      <c r="T1688">
        <v>0</v>
      </c>
      <c r="U1688" s="6">
        <v>863</v>
      </c>
      <c r="V1688">
        <v>0</v>
      </c>
      <c r="W1688">
        <v>0</v>
      </c>
      <c r="X1688">
        <v>0</v>
      </c>
      <c r="Y1688" s="6">
        <v>42.3</v>
      </c>
      <c r="Z1688">
        <v>3.9E-2</v>
      </c>
      <c r="AA1688">
        <v>0.05</v>
      </c>
      <c r="AB1688">
        <v>5.8000000000000003E-2</v>
      </c>
      <c r="AC1688">
        <v>6</v>
      </c>
      <c r="AD1688" s="6">
        <v>60</v>
      </c>
      <c r="AE1688" s="6">
        <v>0</v>
      </c>
      <c r="AF1688" s="6">
        <v>0</v>
      </c>
      <c r="AG1688" s="6">
        <v>76.47</v>
      </c>
      <c r="AH1688" s="6">
        <v>95.94</v>
      </c>
      <c r="AI1688" s="6">
        <f t="shared" si="52"/>
        <v>19.47</v>
      </c>
      <c r="AJ1688" s="5">
        <f t="shared" si="53"/>
        <v>0.20293933708567855</v>
      </c>
    </row>
    <row r="1689" spans="1:36">
      <c r="A1689" t="s">
        <v>411</v>
      </c>
      <c r="B1689" t="s">
        <v>1974</v>
      </c>
      <c r="C1689" t="s">
        <v>97</v>
      </c>
      <c r="D1689" t="s">
        <v>63</v>
      </c>
      <c r="E1689" t="s">
        <v>55</v>
      </c>
      <c r="F1689">
        <v>0</v>
      </c>
      <c r="G1689">
        <v>2372</v>
      </c>
      <c r="H1689">
        <v>1</v>
      </c>
      <c r="I1689" t="s">
        <v>220</v>
      </c>
      <c r="J1689">
        <v>2</v>
      </c>
      <c r="K1689" s="6">
        <v>4.46</v>
      </c>
      <c r="L1689" t="s">
        <v>174</v>
      </c>
      <c r="M1689">
        <v>0</v>
      </c>
      <c r="N1689" t="s">
        <v>175</v>
      </c>
      <c r="O1689">
        <v>1</v>
      </c>
      <c r="P1689">
        <v>0</v>
      </c>
      <c r="Q1689" s="6">
        <v>27</v>
      </c>
      <c r="R1689">
        <v>1</v>
      </c>
      <c r="S1689" s="6">
        <v>2638</v>
      </c>
      <c r="T1689">
        <v>0</v>
      </c>
      <c r="U1689" s="6">
        <v>1298</v>
      </c>
      <c r="V1689">
        <v>0</v>
      </c>
      <c r="W1689">
        <v>1</v>
      </c>
      <c r="X1689">
        <v>0</v>
      </c>
      <c r="Y1689" s="6">
        <v>42.3</v>
      </c>
      <c r="Z1689">
        <v>3.9E-2</v>
      </c>
      <c r="AA1689">
        <v>0.05</v>
      </c>
      <c r="AB1689">
        <v>5.8000000000000003E-2</v>
      </c>
      <c r="AC1689">
        <v>6</v>
      </c>
      <c r="AD1689" s="6">
        <v>50</v>
      </c>
      <c r="AE1689" s="6">
        <v>40</v>
      </c>
      <c r="AF1689" s="6">
        <v>0</v>
      </c>
      <c r="AG1689" s="6">
        <v>91.04</v>
      </c>
      <c r="AH1689" s="6">
        <v>118.34</v>
      </c>
      <c r="AI1689" s="6">
        <f t="shared" si="52"/>
        <v>27.299999999999997</v>
      </c>
      <c r="AJ1689" s="5">
        <f t="shared" si="53"/>
        <v>0.23069122866317388</v>
      </c>
    </row>
    <row r="1690" spans="1:36">
      <c r="A1690" t="s">
        <v>494</v>
      </c>
      <c r="B1690" t="s">
        <v>1975</v>
      </c>
      <c r="C1690" t="s">
        <v>97</v>
      </c>
      <c r="D1690" t="s">
        <v>63</v>
      </c>
      <c r="E1690" t="s">
        <v>55</v>
      </c>
      <c r="F1690">
        <v>0</v>
      </c>
      <c r="G1690">
        <v>2372</v>
      </c>
      <c r="H1690">
        <v>1</v>
      </c>
      <c r="I1690" t="s">
        <v>173</v>
      </c>
      <c r="J1690">
        <v>1</v>
      </c>
      <c r="K1690" s="6">
        <v>2.15</v>
      </c>
      <c r="L1690" t="s">
        <v>174</v>
      </c>
      <c r="M1690">
        <v>0</v>
      </c>
      <c r="N1690" t="s">
        <v>175</v>
      </c>
      <c r="O1690">
        <v>1</v>
      </c>
      <c r="P1690">
        <v>1</v>
      </c>
      <c r="Q1690" s="6">
        <v>21.7</v>
      </c>
      <c r="R1690">
        <v>1</v>
      </c>
      <c r="S1690" s="6">
        <v>2601</v>
      </c>
      <c r="T1690">
        <v>0</v>
      </c>
      <c r="U1690" s="6">
        <v>1135</v>
      </c>
      <c r="V1690">
        <v>0</v>
      </c>
      <c r="W1690">
        <v>0</v>
      </c>
      <c r="X1690">
        <v>0</v>
      </c>
      <c r="Y1690" s="6">
        <v>42.3</v>
      </c>
      <c r="Z1690">
        <v>3.9E-2</v>
      </c>
      <c r="AA1690">
        <v>0.05</v>
      </c>
      <c r="AB1690">
        <v>5.8000000000000003E-2</v>
      </c>
      <c r="AC1690">
        <v>6</v>
      </c>
      <c r="AD1690" s="6">
        <v>50</v>
      </c>
      <c r="AE1690" s="6">
        <v>40</v>
      </c>
      <c r="AF1690" s="6">
        <v>0</v>
      </c>
      <c r="AG1690" s="6">
        <v>69.64</v>
      </c>
      <c r="AH1690" s="6">
        <v>90.54</v>
      </c>
      <c r="AI1690" s="6">
        <f t="shared" si="52"/>
        <v>20.900000000000006</v>
      </c>
      <c r="AJ1690" s="5">
        <f t="shared" si="53"/>
        <v>0.23083719902805394</v>
      </c>
    </row>
    <row r="1691" spans="1:36">
      <c r="A1691" t="s">
        <v>693</v>
      </c>
      <c r="B1691" t="s">
        <v>1976</v>
      </c>
      <c r="C1691" t="s">
        <v>97</v>
      </c>
      <c r="D1691" t="s">
        <v>63</v>
      </c>
      <c r="E1691" t="s">
        <v>55</v>
      </c>
      <c r="F1691">
        <v>0</v>
      </c>
      <c r="G1691">
        <v>2372</v>
      </c>
      <c r="H1691">
        <v>1</v>
      </c>
      <c r="I1691" t="s">
        <v>220</v>
      </c>
      <c r="J1691">
        <v>2</v>
      </c>
      <c r="K1691" s="6">
        <v>3.01</v>
      </c>
      <c r="L1691" t="s">
        <v>174</v>
      </c>
      <c r="M1691">
        <v>0</v>
      </c>
      <c r="N1691" t="s">
        <v>175</v>
      </c>
      <c r="O1691">
        <v>1</v>
      </c>
      <c r="P1691">
        <v>0</v>
      </c>
      <c r="Q1691" s="6">
        <v>19.7</v>
      </c>
      <c r="R1691">
        <v>0</v>
      </c>
      <c r="S1691" s="6">
        <v>0</v>
      </c>
      <c r="T1691">
        <v>0</v>
      </c>
      <c r="U1691" s="6">
        <v>363</v>
      </c>
      <c r="V1691">
        <v>0</v>
      </c>
      <c r="W1691">
        <v>0</v>
      </c>
      <c r="X1691">
        <v>0</v>
      </c>
      <c r="Y1691" s="6">
        <v>42.3</v>
      </c>
      <c r="Z1691">
        <v>3.9E-2</v>
      </c>
      <c r="AA1691">
        <v>0.05</v>
      </c>
      <c r="AB1691">
        <v>5.8000000000000003E-2</v>
      </c>
      <c r="AC1691">
        <v>6</v>
      </c>
      <c r="AD1691" s="6">
        <v>50</v>
      </c>
      <c r="AE1691" s="6">
        <v>0</v>
      </c>
      <c r="AF1691" s="6">
        <v>0</v>
      </c>
      <c r="AG1691" s="6">
        <v>62.84</v>
      </c>
      <c r="AH1691" s="6">
        <v>79.31</v>
      </c>
      <c r="AI1691" s="6">
        <f t="shared" si="52"/>
        <v>16.47</v>
      </c>
      <c r="AJ1691" s="5">
        <f t="shared" si="53"/>
        <v>0.20766612028747949</v>
      </c>
    </row>
    <row r="1692" spans="1:36">
      <c r="A1692" t="s">
        <v>210</v>
      </c>
      <c r="B1692" t="s">
        <v>1977</v>
      </c>
      <c r="C1692" t="s">
        <v>97</v>
      </c>
      <c r="D1692" t="s">
        <v>63</v>
      </c>
      <c r="E1692" t="s">
        <v>55</v>
      </c>
      <c r="F1692">
        <v>0</v>
      </c>
      <c r="G1692">
        <v>2372</v>
      </c>
      <c r="H1692">
        <v>1</v>
      </c>
      <c r="I1692" t="s">
        <v>173</v>
      </c>
      <c r="J1692">
        <v>1</v>
      </c>
      <c r="K1692" s="6">
        <v>2.81</v>
      </c>
      <c r="L1692" t="s">
        <v>174</v>
      </c>
      <c r="M1692">
        <v>0</v>
      </c>
      <c r="N1692" t="s">
        <v>217</v>
      </c>
      <c r="O1692">
        <v>4</v>
      </c>
      <c r="P1692">
        <v>1</v>
      </c>
      <c r="Q1692" s="6">
        <v>151.19999999999999</v>
      </c>
      <c r="R1692">
        <v>0</v>
      </c>
      <c r="S1692" s="6">
        <v>0</v>
      </c>
      <c r="T1692">
        <v>0</v>
      </c>
      <c r="U1692" s="6">
        <v>263</v>
      </c>
      <c r="V1692">
        <v>0</v>
      </c>
      <c r="W1692">
        <v>0</v>
      </c>
      <c r="X1692">
        <v>0</v>
      </c>
      <c r="Y1692" s="6">
        <v>42.3</v>
      </c>
      <c r="Z1692">
        <v>3.9E-2</v>
      </c>
      <c r="AA1692">
        <v>0.05</v>
      </c>
      <c r="AB1692">
        <v>5.8000000000000003E-2</v>
      </c>
      <c r="AC1692">
        <v>6</v>
      </c>
      <c r="AD1692" s="6">
        <v>50</v>
      </c>
      <c r="AE1692" s="6">
        <v>0</v>
      </c>
      <c r="AF1692" s="6">
        <v>0</v>
      </c>
      <c r="AG1692" s="6">
        <v>101.47</v>
      </c>
      <c r="AH1692" s="6">
        <v>129.69999999999999</v>
      </c>
      <c r="AI1692" s="6">
        <f t="shared" si="52"/>
        <v>28.22999999999999</v>
      </c>
      <c r="AJ1692" s="5">
        <f t="shared" si="53"/>
        <v>0.21765612952968383</v>
      </c>
    </row>
    <row r="1693" spans="1:36">
      <c r="A1693" t="s">
        <v>208</v>
      </c>
      <c r="B1693" t="s">
        <v>1978</v>
      </c>
      <c r="C1693" t="s">
        <v>97</v>
      </c>
      <c r="D1693" t="s">
        <v>63</v>
      </c>
      <c r="E1693" t="s">
        <v>55</v>
      </c>
      <c r="F1693">
        <v>0</v>
      </c>
      <c r="G1693">
        <v>2372</v>
      </c>
      <c r="H1693">
        <v>1</v>
      </c>
      <c r="I1693" t="s">
        <v>181</v>
      </c>
      <c r="J1693">
        <v>3</v>
      </c>
      <c r="K1693" s="6">
        <v>9.16</v>
      </c>
      <c r="L1693" t="s">
        <v>174</v>
      </c>
      <c r="M1693">
        <v>0</v>
      </c>
      <c r="N1693" t="s">
        <v>182</v>
      </c>
      <c r="O1693">
        <v>3</v>
      </c>
      <c r="P1693">
        <v>0</v>
      </c>
      <c r="Q1693" s="6">
        <v>105.9</v>
      </c>
      <c r="R1693">
        <v>0</v>
      </c>
      <c r="S1693" s="6">
        <v>0</v>
      </c>
      <c r="T1693">
        <v>0</v>
      </c>
      <c r="U1693" s="6">
        <v>1879</v>
      </c>
      <c r="V1693">
        <v>0</v>
      </c>
      <c r="W1693">
        <v>0</v>
      </c>
      <c r="X1693">
        <v>0</v>
      </c>
      <c r="Y1693" s="6">
        <v>42.3</v>
      </c>
      <c r="Z1693">
        <v>3.9E-2</v>
      </c>
      <c r="AA1693">
        <v>0.05</v>
      </c>
      <c r="AB1693">
        <v>5.8000000000000003E-2</v>
      </c>
      <c r="AC1693">
        <v>6</v>
      </c>
      <c r="AD1693" s="6">
        <v>60</v>
      </c>
      <c r="AE1693" s="6">
        <v>0</v>
      </c>
      <c r="AF1693" s="6">
        <v>0</v>
      </c>
      <c r="AG1693" s="6">
        <v>104.43</v>
      </c>
      <c r="AH1693" s="6">
        <v>135.35</v>
      </c>
      <c r="AI1693" s="6">
        <f t="shared" si="52"/>
        <v>30.919999999999987</v>
      </c>
      <c r="AJ1693" s="5">
        <f t="shared" si="53"/>
        <v>0.22844477281123007</v>
      </c>
    </row>
    <row r="1694" spans="1:36">
      <c r="A1694" t="s">
        <v>251</v>
      </c>
      <c r="B1694" t="s">
        <v>1979</v>
      </c>
      <c r="C1694" t="s">
        <v>97</v>
      </c>
      <c r="D1694" t="s">
        <v>63</v>
      </c>
      <c r="E1694" t="s">
        <v>55</v>
      </c>
      <c r="F1694">
        <v>0</v>
      </c>
      <c r="G1694">
        <v>2372</v>
      </c>
      <c r="H1694">
        <v>1</v>
      </c>
      <c r="I1694" t="s">
        <v>220</v>
      </c>
      <c r="J1694">
        <v>2</v>
      </c>
      <c r="K1694" s="6">
        <v>3.21</v>
      </c>
      <c r="L1694" t="s">
        <v>174</v>
      </c>
      <c r="M1694">
        <v>0</v>
      </c>
      <c r="N1694" t="s">
        <v>272</v>
      </c>
      <c r="O1694">
        <v>5</v>
      </c>
      <c r="P1694">
        <v>1</v>
      </c>
      <c r="Q1694" s="6">
        <v>206.6</v>
      </c>
      <c r="R1694">
        <v>0</v>
      </c>
      <c r="S1694" s="6">
        <v>0</v>
      </c>
      <c r="T1694">
        <v>0</v>
      </c>
      <c r="U1694" s="6">
        <v>720</v>
      </c>
      <c r="V1694">
        <v>0</v>
      </c>
      <c r="W1694">
        <v>0</v>
      </c>
      <c r="X1694">
        <v>0</v>
      </c>
      <c r="Y1694" s="6">
        <v>42.3</v>
      </c>
      <c r="Z1694">
        <v>3.9E-2</v>
      </c>
      <c r="AA1694">
        <v>0.05</v>
      </c>
      <c r="AB1694">
        <v>5.8000000000000003E-2</v>
      </c>
      <c r="AC1694">
        <v>6</v>
      </c>
      <c r="AD1694" s="6">
        <v>50</v>
      </c>
      <c r="AE1694" s="6">
        <v>0</v>
      </c>
      <c r="AF1694" s="6">
        <v>0</v>
      </c>
      <c r="AG1694" s="6">
        <v>151.25</v>
      </c>
      <c r="AH1694" s="6">
        <v>192.91</v>
      </c>
      <c r="AI1694" s="6">
        <f t="shared" si="52"/>
        <v>41.66</v>
      </c>
      <c r="AJ1694" s="5">
        <f t="shared" si="53"/>
        <v>0.21595562697631018</v>
      </c>
    </row>
    <row r="1695" spans="1:36">
      <c r="A1695" t="s">
        <v>375</v>
      </c>
      <c r="B1695" t="s">
        <v>1980</v>
      </c>
      <c r="C1695" t="s">
        <v>97</v>
      </c>
      <c r="D1695" t="s">
        <v>63</v>
      </c>
      <c r="E1695" t="s">
        <v>55</v>
      </c>
      <c r="F1695">
        <v>0</v>
      </c>
      <c r="G1695">
        <v>2372</v>
      </c>
      <c r="H1695">
        <v>1</v>
      </c>
      <c r="I1695" t="s">
        <v>220</v>
      </c>
      <c r="J1695">
        <v>2</v>
      </c>
      <c r="K1695" s="6">
        <v>2.63</v>
      </c>
      <c r="L1695" t="s">
        <v>174</v>
      </c>
      <c r="M1695">
        <v>0</v>
      </c>
      <c r="N1695" t="s">
        <v>182</v>
      </c>
      <c r="O1695">
        <v>3</v>
      </c>
      <c r="P1695">
        <v>0</v>
      </c>
      <c r="Q1695" s="6">
        <v>92.8</v>
      </c>
      <c r="R1695">
        <v>1</v>
      </c>
      <c r="S1695" s="6">
        <v>1995</v>
      </c>
      <c r="T1695">
        <v>0</v>
      </c>
      <c r="U1695" s="6">
        <v>1493</v>
      </c>
      <c r="V1695">
        <v>0</v>
      </c>
      <c r="W1695">
        <v>0</v>
      </c>
      <c r="X1695">
        <v>0</v>
      </c>
      <c r="Y1695" s="6">
        <v>42.3</v>
      </c>
      <c r="Z1695">
        <v>3.9E-2</v>
      </c>
      <c r="AA1695">
        <v>0.05</v>
      </c>
      <c r="AB1695">
        <v>5.8000000000000003E-2</v>
      </c>
      <c r="AC1695">
        <v>6</v>
      </c>
      <c r="AD1695" s="6">
        <v>50</v>
      </c>
      <c r="AE1695" s="6">
        <v>25</v>
      </c>
      <c r="AF1695" s="6">
        <v>0</v>
      </c>
      <c r="AG1695" s="6">
        <v>75.61</v>
      </c>
      <c r="AH1695" s="6">
        <v>98.68</v>
      </c>
      <c r="AI1695" s="6">
        <f t="shared" si="52"/>
        <v>23.070000000000007</v>
      </c>
      <c r="AJ1695" s="5">
        <f t="shared" si="53"/>
        <v>0.23378597486826111</v>
      </c>
    </row>
    <row r="1696" spans="1:36">
      <c r="A1696" t="s">
        <v>236</v>
      </c>
      <c r="B1696" t="s">
        <v>1981</v>
      </c>
      <c r="C1696" t="s">
        <v>97</v>
      </c>
      <c r="D1696" t="s">
        <v>63</v>
      </c>
      <c r="E1696" t="s">
        <v>55</v>
      </c>
      <c r="F1696">
        <v>0</v>
      </c>
      <c r="G1696">
        <v>2372</v>
      </c>
      <c r="H1696">
        <v>1</v>
      </c>
      <c r="I1696" t="s">
        <v>173</v>
      </c>
      <c r="J1696">
        <v>1</v>
      </c>
      <c r="K1696" s="6">
        <v>2.29</v>
      </c>
      <c r="L1696" t="s">
        <v>174</v>
      </c>
      <c r="M1696">
        <v>0</v>
      </c>
      <c r="N1696" t="s">
        <v>187</v>
      </c>
      <c r="O1696">
        <v>2</v>
      </c>
      <c r="P1696">
        <v>0</v>
      </c>
      <c r="Q1696" s="6">
        <v>61.2</v>
      </c>
      <c r="R1696">
        <v>0</v>
      </c>
      <c r="S1696" s="6">
        <v>0</v>
      </c>
      <c r="T1696">
        <v>0</v>
      </c>
      <c r="U1696" s="6">
        <v>1542</v>
      </c>
      <c r="V1696">
        <v>0</v>
      </c>
      <c r="W1696">
        <v>0</v>
      </c>
      <c r="X1696">
        <v>1</v>
      </c>
      <c r="Y1696" s="6">
        <v>42.3</v>
      </c>
      <c r="Z1696">
        <v>3.9E-2</v>
      </c>
      <c r="AA1696">
        <v>0.05</v>
      </c>
      <c r="AB1696">
        <v>5.8000000000000003E-2</v>
      </c>
      <c r="AC1696">
        <v>6</v>
      </c>
      <c r="AD1696" s="6">
        <v>50</v>
      </c>
      <c r="AE1696" s="6">
        <v>0</v>
      </c>
      <c r="AF1696" s="6">
        <v>0</v>
      </c>
      <c r="AG1696" s="6">
        <v>51.9</v>
      </c>
      <c r="AH1696" s="6">
        <v>68.19</v>
      </c>
      <c r="AI1696" s="6">
        <f t="shared" si="52"/>
        <v>16.29</v>
      </c>
      <c r="AJ1696" s="5">
        <f t="shared" si="53"/>
        <v>0.23889133304003518</v>
      </c>
    </row>
    <row r="1697" spans="1:36">
      <c r="A1697" t="s">
        <v>319</v>
      </c>
      <c r="B1697" t="s">
        <v>1982</v>
      </c>
      <c r="C1697" t="s">
        <v>97</v>
      </c>
      <c r="D1697" t="s">
        <v>63</v>
      </c>
      <c r="E1697" t="s">
        <v>55</v>
      </c>
      <c r="F1697">
        <v>0</v>
      </c>
      <c r="G1697">
        <v>2372</v>
      </c>
      <c r="H1697">
        <v>1</v>
      </c>
      <c r="I1697" t="s">
        <v>220</v>
      </c>
      <c r="J1697">
        <v>2</v>
      </c>
      <c r="K1697" s="6">
        <v>1.67</v>
      </c>
      <c r="L1697" t="s">
        <v>174</v>
      </c>
      <c r="M1697">
        <v>0</v>
      </c>
      <c r="N1697" t="s">
        <v>187</v>
      </c>
      <c r="O1697">
        <v>2</v>
      </c>
      <c r="P1697">
        <v>0</v>
      </c>
      <c r="Q1697" s="6">
        <v>60.5</v>
      </c>
      <c r="R1697">
        <v>0</v>
      </c>
      <c r="S1697" s="6">
        <v>0</v>
      </c>
      <c r="T1697">
        <v>0</v>
      </c>
      <c r="U1697" s="6">
        <v>633</v>
      </c>
      <c r="V1697">
        <v>0</v>
      </c>
      <c r="W1697">
        <v>0</v>
      </c>
      <c r="X1697">
        <v>0</v>
      </c>
      <c r="Y1697" s="6">
        <v>42.3</v>
      </c>
      <c r="Z1697">
        <v>3.9E-2</v>
      </c>
      <c r="AA1697">
        <v>0.05</v>
      </c>
      <c r="AB1697">
        <v>5.8000000000000003E-2</v>
      </c>
      <c r="AC1697">
        <v>6</v>
      </c>
      <c r="AD1697" s="6">
        <v>50</v>
      </c>
      <c r="AE1697" s="6">
        <v>0</v>
      </c>
      <c r="AF1697" s="6">
        <v>0</v>
      </c>
      <c r="AG1697" s="6">
        <v>64.8</v>
      </c>
      <c r="AH1697" s="6">
        <v>83.11</v>
      </c>
      <c r="AI1697" s="6">
        <f t="shared" si="52"/>
        <v>18.310000000000002</v>
      </c>
      <c r="AJ1697" s="5">
        <f t="shared" si="53"/>
        <v>0.22031043195764652</v>
      </c>
    </row>
    <row r="1698" spans="1:36">
      <c r="A1698" t="s">
        <v>384</v>
      </c>
      <c r="B1698" t="s">
        <v>1983</v>
      </c>
      <c r="C1698" t="s">
        <v>97</v>
      </c>
      <c r="D1698" t="s">
        <v>63</v>
      </c>
      <c r="E1698" t="s">
        <v>55</v>
      </c>
      <c r="F1698">
        <v>0</v>
      </c>
      <c r="G1698">
        <v>2372</v>
      </c>
      <c r="H1698">
        <v>1</v>
      </c>
      <c r="I1698" t="s">
        <v>181</v>
      </c>
      <c r="J1698">
        <v>3</v>
      </c>
      <c r="K1698" s="6">
        <v>12.62</v>
      </c>
      <c r="L1698" t="s">
        <v>174</v>
      </c>
      <c r="M1698">
        <v>0</v>
      </c>
      <c r="N1698" t="s">
        <v>175</v>
      </c>
      <c r="O1698">
        <v>1</v>
      </c>
      <c r="P1698">
        <v>0</v>
      </c>
      <c r="Q1698" s="6">
        <v>25.4</v>
      </c>
      <c r="R1698">
        <v>0</v>
      </c>
      <c r="S1698" s="6">
        <v>0</v>
      </c>
      <c r="T1698">
        <v>0</v>
      </c>
      <c r="U1698" s="6">
        <v>628</v>
      </c>
      <c r="V1698">
        <v>1</v>
      </c>
      <c r="W1698">
        <v>0</v>
      </c>
      <c r="X1698">
        <v>0</v>
      </c>
      <c r="Y1698" s="6">
        <v>42.3</v>
      </c>
      <c r="Z1698">
        <v>3.9E-2</v>
      </c>
      <c r="AA1698">
        <v>0.05</v>
      </c>
      <c r="AB1698">
        <v>5.8000000000000003E-2</v>
      </c>
      <c r="AC1698">
        <v>6</v>
      </c>
      <c r="AD1698" s="6">
        <v>60</v>
      </c>
      <c r="AE1698" s="6">
        <v>0</v>
      </c>
      <c r="AF1698" s="6">
        <v>0</v>
      </c>
      <c r="AG1698" s="6">
        <v>138</v>
      </c>
      <c r="AH1698" s="6">
        <v>175.08</v>
      </c>
      <c r="AI1698" s="6">
        <f t="shared" si="52"/>
        <v>37.080000000000013</v>
      </c>
      <c r="AJ1698" s="5">
        <f t="shared" si="53"/>
        <v>0.21178889650445518</v>
      </c>
    </row>
    <row r="1699" spans="1:36">
      <c r="A1699" t="s">
        <v>291</v>
      </c>
      <c r="B1699" t="s">
        <v>1984</v>
      </c>
      <c r="C1699" t="s">
        <v>97</v>
      </c>
      <c r="D1699" t="s">
        <v>63</v>
      </c>
      <c r="E1699" t="s">
        <v>55</v>
      </c>
      <c r="F1699">
        <v>0</v>
      </c>
      <c r="G1699">
        <v>2372</v>
      </c>
      <c r="H1699">
        <v>1</v>
      </c>
      <c r="I1699" t="s">
        <v>220</v>
      </c>
      <c r="J1699">
        <v>2</v>
      </c>
      <c r="K1699" s="6">
        <v>3.71</v>
      </c>
      <c r="L1699" t="s">
        <v>174</v>
      </c>
      <c r="M1699">
        <v>0</v>
      </c>
      <c r="N1699" t="s">
        <v>217</v>
      </c>
      <c r="O1699">
        <v>4</v>
      </c>
      <c r="P1699">
        <v>1</v>
      </c>
      <c r="Q1699" s="6">
        <v>82.9</v>
      </c>
      <c r="R1699">
        <v>0</v>
      </c>
      <c r="S1699" s="6">
        <v>0</v>
      </c>
      <c r="T1699">
        <v>0</v>
      </c>
      <c r="U1699" s="6">
        <v>365</v>
      </c>
      <c r="V1699">
        <v>0</v>
      </c>
      <c r="W1699">
        <v>0</v>
      </c>
      <c r="X1699">
        <v>0</v>
      </c>
      <c r="Y1699" s="6">
        <v>42.3</v>
      </c>
      <c r="Z1699">
        <v>3.9E-2</v>
      </c>
      <c r="AA1699">
        <v>0.05</v>
      </c>
      <c r="AB1699">
        <v>5.8000000000000003E-2</v>
      </c>
      <c r="AC1699">
        <v>6</v>
      </c>
      <c r="AD1699" s="6">
        <v>50</v>
      </c>
      <c r="AE1699" s="6">
        <v>0</v>
      </c>
      <c r="AF1699" s="6">
        <v>0</v>
      </c>
      <c r="AG1699" s="6">
        <v>107.96</v>
      </c>
      <c r="AH1699" s="6">
        <v>137.07</v>
      </c>
      <c r="AI1699" s="6">
        <f t="shared" si="52"/>
        <v>29.11</v>
      </c>
      <c r="AJ1699" s="5">
        <f t="shared" si="53"/>
        <v>0.21237323995039031</v>
      </c>
    </row>
    <row r="1700" spans="1:36">
      <c r="A1700" t="s">
        <v>196</v>
      </c>
      <c r="B1700" t="s">
        <v>1985</v>
      </c>
      <c r="C1700" t="s">
        <v>97</v>
      </c>
      <c r="D1700" t="s">
        <v>63</v>
      </c>
      <c r="E1700" t="s">
        <v>55</v>
      </c>
      <c r="F1700">
        <v>0</v>
      </c>
      <c r="G1700">
        <v>2372</v>
      </c>
      <c r="H1700">
        <v>1</v>
      </c>
      <c r="I1700" t="s">
        <v>173</v>
      </c>
      <c r="J1700">
        <v>1</v>
      </c>
      <c r="K1700" s="6">
        <v>2.27</v>
      </c>
      <c r="L1700" t="s">
        <v>174</v>
      </c>
      <c r="M1700">
        <v>0</v>
      </c>
      <c r="N1700" t="s">
        <v>175</v>
      </c>
      <c r="O1700">
        <v>1</v>
      </c>
      <c r="P1700">
        <v>1</v>
      </c>
      <c r="Q1700" s="6">
        <v>32.5</v>
      </c>
      <c r="R1700">
        <v>0</v>
      </c>
      <c r="S1700" s="6">
        <v>0</v>
      </c>
      <c r="T1700">
        <v>0</v>
      </c>
      <c r="U1700" s="6">
        <v>983</v>
      </c>
      <c r="V1700">
        <v>0</v>
      </c>
      <c r="W1700">
        <v>0</v>
      </c>
      <c r="X1700">
        <v>0</v>
      </c>
      <c r="Y1700" s="6">
        <v>42.3</v>
      </c>
      <c r="Z1700">
        <v>3.9E-2</v>
      </c>
      <c r="AA1700">
        <v>0.05</v>
      </c>
      <c r="AB1700">
        <v>5.8000000000000003E-2</v>
      </c>
      <c r="AC1700">
        <v>6</v>
      </c>
      <c r="AD1700" s="6">
        <v>50</v>
      </c>
      <c r="AE1700" s="6">
        <v>0</v>
      </c>
      <c r="AF1700" s="6">
        <v>0</v>
      </c>
      <c r="AG1700" s="6">
        <v>75.260000000000005</v>
      </c>
      <c r="AH1700" s="6">
        <v>97.12</v>
      </c>
      <c r="AI1700" s="6">
        <f t="shared" si="52"/>
        <v>21.86</v>
      </c>
      <c r="AJ1700" s="5">
        <f t="shared" si="53"/>
        <v>0.22508237232289949</v>
      </c>
    </row>
    <row r="1701" spans="1:36">
      <c r="A1701" t="s">
        <v>494</v>
      </c>
      <c r="B1701" t="s">
        <v>1986</v>
      </c>
      <c r="C1701" t="s">
        <v>97</v>
      </c>
      <c r="D1701" t="s">
        <v>63</v>
      </c>
      <c r="E1701" t="s">
        <v>55</v>
      </c>
      <c r="F1701">
        <v>0</v>
      </c>
      <c r="G1701">
        <v>2372</v>
      </c>
      <c r="H1701">
        <v>1</v>
      </c>
      <c r="I1701" t="s">
        <v>220</v>
      </c>
      <c r="J1701">
        <v>2</v>
      </c>
      <c r="K1701" s="6">
        <v>2.35</v>
      </c>
      <c r="L1701" t="s">
        <v>174</v>
      </c>
      <c r="M1701">
        <v>0</v>
      </c>
      <c r="N1701" t="s">
        <v>272</v>
      </c>
      <c r="O1701">
        <v>5</v>
      </c>
      <c r="P1701">
        <v>1</v>
      </c>
      <c r="Q1701" s="6">
        <v>205.6</v>
      </c>
      <c r="R1701">
        <v>1</v>
      </c>
      <c r="S1701" s="6">
        <v>3517</v>
      </c>
      <c r="T1701">
        <v>0</v>
      </c>
      <c r="U1701" s="6">
        <v>1032</v>
      </c>
      <c r="V1701">
        <v>0</v>
      </c>
      <c r="W1701">
        <v>0</v>
      </c>
      <c r="X1701">
        <v>1</v>
      </c>
      <c r="Y1701" s="6">
        <v>42.3</v>
      </c>
      <c r="Z1701">
        <v>3.9E-2</v>
      </c>
      <c r="AA1701">
        <v>0.05</v>
      </c>
      <c r="AB1701">
        <v>5.8000000000000003E-2</v>
      </c>
      <c r="AC1701">
        <v>6</v>
      </c>
      <c r="AD1701" s="6">
        <v>50</v>
      </c>
      <c r="AE1701" s="6">
        <v>40</v>
      </c>
      <c r="AF1701" s="6">
        <v>0</v>
      </c>
      <c r="AG1701" s="6">
        <v>148.93</v>
      </c>
      <c r="AH1701" s="6">
        <v>191.1</v>
      </c>
      <c r="AI1701" s="6">
        <f t="shared" si="52"/>
        <v>42.169999999999987</v>
      </c>
      <c r="AJ1701" s="5">
        <f t="shared" si="53"/>
        <v>0.22066980638409203</v>
      </c>
    </row>
    <row r="1702" spans="1:36">
      <c r="A1702" t="s">
        <v>298</v>
      </c>
      <c r="B1702" t="s">
        <v>1987</v>
      </c>
      <c r="C1702" t="s">
        <v>97</v>
      </c>
      <c r="D1702" t="s">
        <v>63</v>
      </c>
      <c r="E1702" t="s">
        <v>55</v>
      </c>
      <c r="F1702">
        <v>0</v>
      </c>
      <c r="G1702">
        <v>2372</v>
      </c>
      <c r="H1702">
        <v>1</v>
      </c>
      <c r="I1702" t="s">
        <v>220</v>
      </c>
      <c r="J1702">
        <v>2</v>
      </c>
      <c r="K1702" s="6">
        <v>5.87</v>
      </c>
      <c r="L1702" t="s">
        <v>174</v>
      </c>
      <c r="M1702">
        <v>0</v>
      </c>
      <c r="N1702" t="s">
        <v>175</v>
      </c>
      <c r="O1702">
        <v>1</v>
      </c>
      <c r="P1702">
        <v>0</v>
      </c>
      <c r="Q1702" s="6">
        <v>37.799999999999997</v>
      </c>
      <c r="R1702">
        <v>0</v>
      </c>
      <c r="S1702" s="6">
        <v>0</v>
      </c>
      <c r="T1702">
        <v>0</v>
      </c>
      <c r="U1702" s="6">
        <v>676</v>
      </c>
      <c r="V1702">
        <v>0</v>
      </c>
      <c r="W1702">
        <v>0</v>
      </c>
      <c r="X1702">
        <v>0</v>
      </c>
      <c r="Y1702" s="6">
        <v>42.3</v>
      </c>
      <c r="Z1702">
        <v>3.9E-2</v>
      </c>
      <c r="AA1702">
        <v>0.05</v>
      </c>
      <c r="AB1702">
        <v>5.8000000000000003E-2</v>
      </c>
      <c r="AC1702">
        <v>6</v>
      </c>
      <c r="AD1702" s="6">
        <v>50</v>
      </c>
      <c r="AE1702" s="6">
        <v>0</v>
      </c>
      <c r="AF1702" s="6">
        <v>0</v>
      </c>
      <c r="AG1702" s="6">
        <v>57.22</v>
      </c>
      <c r="AH1702" s="6">
        <v>76.2</v>
      </c>
      <c r="AI1702" s="6">
        <f t="shared" si="52"/>
        <v>18.980000000000004</v>
      </c>
      <c r="AJ1702" s="5">
        <f t="shared" si="53"/>
        <v>0.24908136482939636</v>
      </c>
    </row>
    <row r="1703" spans="1:36">
      <c r="A1703" t="s">
        <v>360</v>
      </c>
      <c r="B1703" t="s">
        <v>1988</v>
      </c>
      <c r="C1703" t="s">
        <v>97</v>
      </c>
      <c r="D1703" t="s">
        <v>63</v>
      </c>
      <c r="E1703" t="s">
        <v>55</v>
      </c>
      <c r="F1703">
        <v>0</v>
      </c>
      <c r="G1703">
        <v>2372</v>
      </c>
      <c r="H1703">
        <v>1</v>
      </c>
      <c r="I1703" t="s">
        <v>173</v>
      </c>
      <c r="J1703">
        <v>1</v>
      </c>
      <c r="K1703" s="6">
        <v>2.09</v>
      </c>
      <c r="L1703" t="s">
        <v>174</v>
      </c>
      <c r="M1703">
        <v>0</v>
      </c>
      <c r="N1703" t="s">
        <v>182</v>
      </c>
      <c r="O1703">
        <v>3</v>
      </c>
      <c r="P1703">
        <v>0</v>
      </c>
      <c r="Q1703" s="6">
        <v>82</v>
      </c>
      <c r="R1703">
        <v>1</v>
      </c>
      <c r="S1703" s="6">
        <v>1302</v>
      </c>
      <c r="T1703">
        <v>0</v>
      </c>
      <c r="U1703" s="6">
        <v>650</v>
      </c>
      <c r="V1703">
        <v>0</v>
      </c>
      <c r="W1703">
        <v>0</v>
      </c>
      <c r="X1703">
        <v>0</v>
      </c>
      <c r="Y1703" s="6">
        <v>42.3</v>
      </c>
      <c r="Z1703">
        <v>3.9E-2</v>
      </c>
      <c r="AA1703">
        <v>0.05</v>
      </c>
      <c r="AB1703">
        <v>5.8000000000000003E-2</v>
      </c>
      <c r="AC1703">
        <v>6</v>
      </c>
      <c r="AD1703" s="6">
        <v>50</v>
      </c>
      <c r="AE1703" s="6">
        <v>25</v>
      </c>
      <c r="AF1703" s="6">
        <v>0</v>
      </c>
      <c r="AG1703" s="6">
        <v>59.6</v>
      </c>
      <c r="AH1703" s="6">
        <v>78.77</v>
      </c>
      <c r="AI1703" s="6">
        <f t="shared" si="52"/>
        <v>19.169999999999995</v>
      </c>
      <c r="AJ1703" s="5">
        <f t="shared" si="53"/>
        <v>0.2433667639964453</v>
      </c>
    </row>
    <row r="1704" spans="1:36">
      <c r="A1704" t="s">
        <v>397</v>
      </c>
      <c r="B1704" t="s">
        <v>1989</v>
      </c>
      <c r="C1704" t="s">
        <v>97</v>
      </c>
      <c r="D1704" t="s">
        <v>63</v>
      </c>
      <c r="E1704" t="s">
        <v>55</v>
      </c>
      <c r="F1704">
        <v>0</v>
      </c>
      <c r="G1704">
        <v>2372</v>
      </c>
      <c r="H1704">
        <v>1</v>
      </c>
      <c r="I1704" t="s">
        <v>173</v>
      </c>
      <c r="J1704">
        <v>1</v>
      </c>
      <c r="K1704" s="6">
        <v>2.1800000000000002</v>
      </c>
      <c r="L1704" t="s">
        <v>174</v>
      </c>
      <c r="M1704">
        <v>0</v>
      </c>
      <c r="N1704" t="s">
        <v>175</v>
      </c>
      <c r="O1704">
        <v>1</v>
      </c>
      <c r="P1704">
        <v>0</v>
      </c>
      <c r="Q1704" s="6">
        <v>30</v>
      </c>
      <c r="R1704">
        <v>1</v>
      </c>
      <c r="S1704" s="6">
        <v>5038</v>
      </c>
      <c r="T1704">
        <v>0</v>
      </c>
      <c r="U1704" s="6">
        <v>578</v>
      </c>
      <c r="V1704">
        <v>0</v>
      </c>
      <c r="W1704">
        <v>0</v>
      </c>
      <c r="X1704">
        <v>0</v>
      </c>
      <c r="Y1704" s="6">
        <v>42.3</v>
      </c>
      <c r="Z1704">
        <v>3.9E-2</v>
      </c>
      <c r="AA1704">
        <v>0.05</v>
      </c>
      <c r="AB1704">
        <v>5.8000000000000003E-2</v>
      </c>
      <c r="AC1704">
        <v>6</v>
      </c>
      <c r="AD1704" s="6">
        <v>50</v>
      </c>
      <c r="AE1704" s="6">
        <v>50</v>
      </c>
      <c r="AF1704" s="6">
        <v>0</v>
      </c>
      <c r="AG1704" s="6">
        <v>45.38</v>
      </c>
      <c r="AH1704" s="6">
        <v>58.74</v>
      </c>
      <c r="AI1704" s="6">
        <f t="shared" si="52"/>
        <v>13.36</v>
      </c>
      <c r="AJ1704" s="5">
        <f t="shared" si="53"/>
        <v>0.22744296901600269</v>
      </c>
    </row>
    <row r="1705" spans="1:36">
      <c r="A1705" t="s">
        <v>210</v>
      </c>
      <c r="B1705" t="s">
        <v>1990</v>
      </c>
      <c r="C1705" t="s">
        <v>97</v>
      </c>
      <c r="D1705" t="s">
        <v>63</v>
      </c>
      <c r="E1705" t="s">
        <v>55</v>
      </c>
      <c r="F1705">
        <v>0</v>
      </c>
      <c r="G1705">
        <v>2372</v>
      </c>
      <c r="H1705">
        <v>1</v>
      </c>
      <c r="I1705" t="s">
        <v>220</v>
      </c>
      <c r="J1705">
        <v>2</v>
      </c>
      <c r="K1705" s="6">
        <v>4.07</v>
      </c>
      <c r="L1705" t="s">
        <v>174</v>
      </c>
      <c r="M1705">
        <v>0</v>
      </c>
      <c r="N1705" t="s">
        <v>217</v>
      </c>
      <c r="O1705">
        <v>4</v>
      </c>
      <c r="P1705">
        <v>1</v>
      </c>
      <c r="Q1705" s="6">
        <v>175.3</v>
      </c>
      <c r="R1705">
        <v>1</v>
      </c>
      <c r="S1705" s="6">
        <v>1853</v>
      </c>
      <c r="T1705">
        <v>0</v>
      </c>
      <c r="U1705" s="6">
        <v>933</v>
      </c>
      <c r="V1705">
        <v>1</v>
      </c>
      <c r="W1705">
        <v>0</v>
      </c>
      <c r="X1705">
        <v>0</v>
      </c>
      <c r="Y1705" s="6">
        <v>42.3</v>
      </c>
      <c r="Z1705">
        <v>3.9E-2</v>
      </c>
      <c r="AA1705">
        <v>0.05</v>
      </c>
      <c r="AB1705">
        <v>5.8000000000000003E-2</v>
      </c>
      <c r="AC1705">
        <v>6</v>
      </c>
      <c r="AD1705" s="6">
        <v>50</v>
      </c>
      <c r="AE1705" s="6">
        <v>25</v>
      </c>
      <c r="AF1705" s="6">
        <v>0</v>
      </c>
      <c r="AG1705" s="6">
        <v>157.28</v>
      </c>
      <c r="AH1705" s="6">
        <v>201.26</v>
      </c>
      <c r="AI1705" s="6">
        <f t="shared" si="52"/>
        <v>43.97999999999999</v>
      </c>
      <c r="AJ1705" s="5">
        <f t="shared" si="53"/>
        <v>0.21852330318990357</v>
      </c>
    </row>
    <row r="1706" spans="1:36">
      <c r="A1706" t="s">
        <v>263</v>
      </c>
      <c r="B1706" t="s">
        <v>1991</v>
      </c>
      <c r="C1706" t="s">
        <v>97</v>
      </c>
      <c r="D1706" t="s">
        <v>63</v>
      </c>
      <c r="E1706" t="s">
        <v>55</v>
      </c>
      <c r="F1706">
        <v>0</v>
      </c>
      <c r="G1706">
        <v>2372</v>
      </c>
      <c r="H1706">
        <v>1</v>
      </c>
      <c r="I1706" t="s">
        <v>220</v>
      </c>
      <c r="J1706">
        <v>2</v>
      </c>
      <c r="K1706" s="6">
        <v>3.99</v>
      </c>
      <c r="L1706" t="s">
        <v>174</v>
      </c>
      <c r="M1706">
        <v>0</v>
      </c>
      <c r="N1706" t="s">
        <v>175</v>
      </c>
      <c r="O1706">
        <v>1</v>
      </c>
      <c r="P1706">
        <v>0</v>
      </c>
      <c r="Q1706" s="6">
        <v>29.6</v>
      </c>
      <c r="R1706">
        <v>0</v>
      </c>
      <c r="S1706" s="6">
        <v>0</v>
      </c>
      <c r="T1706">
        <v>0</v>
      </c>
      <c r="U1706" s="6">
        <v>386</v>
      </c>
      <c r="V1706">
        <v>0</v>
      </c>
      <c r="W1706">
        <v>0</v>
      </c>
      <c r="X1706">
        <v>0</v>
      </c>
      <c r="Y1706" s="6">
        <v>42.3</v>
      </c>
      <c r="Z1706">
        <v>3.9E-2</v>
      </c>
      <c r="AA1706">
        <v>0.05</v>
      </c>
      <c r="AB1706">
        <v>5.8000000000000003E-2</v>
      </c>
      <c r="AC1706">
        <v>6</v>
      </c>
      <c r="AD1706" s="6">
        <v>50</v>
      </c>
      <c r="AE1706" s="6">
        <v>0</v>
      </c>
      <c r="AF1706" s="6">
        <v>0</v>
      </c>
      <c r="AG1706" s="6">
        <v>60.85</v>
      </c>
      <c r="AH1706" s="6">
        <v>79.349999999999994</v>
      </c>
      <c r="AI1706" s="6">
        <f t="shared" si="52"/>
        <v>18.499999999999993</v>
      </c>
      <c r="AJ1706" s="5">
        <f t="shared" si="53"/>
        <v>0.23314429741650908</v>
      </c>
    </row>
    <row r="1707" spans="1:36">
      <c r="A1707" t="s">
        <v>176</v>
      </c>
      <c r="B1707" t="s">
        <v>1992</v>
      </c>
      <c r="C1707" t="s">
        <v>97</v>
      </c>
      <c r="D1707" t="s">
        <v>63</v>
      </c>
      <c r="E1707" t="s">
        <v>55</v>
      </c>
      <c r="F1707">
        <v>0</v>
      </c>
      <c r="G1707">
        <v>2372</v>
      </c>
      <c r="H1707">
        <v>1</v>
      </c>
      <c r="I1707" t="s">
        <v>173</v>
      </c>
      <c r="J1707">
        <v>1</v>
      </c>
      <c r="K1707" s="6">
        <v>0.83</v>
      </c>
      <c r="L1707" t="s">
        <v>174</v>
      </c>
      <c r="M1707">
        <v>0</v>
      </c>
      <c r="N1707" t="s">
        <v>187</v>
      </c>
      <c r="O1707">
        <v>2</v>
      </c>
      <c r="P1707">
        <v>1</v>
      </c>
      <c r="Q1707" s="6">
        <v>50.2</v>
      </c>
      <c r="R1707">
        <v>0</v>
      </c>
      <c r="S1707" s="6">
        <v>0</v>
      </c>
      <c r="T1707">
        <v>0</v>
      </c>
      <c r="U1707" s="6">
        <v>709</v>
      </c>
      <c r="V1707">
        <v>0</v>
      </c>
      <c r="W1707">
        <v>0</v>
      </c>
      <c r="X1707">
        <v>0</v>
      </c>
      <c r="Y1707" s="6">
        <v>42.3</v>
      </c>
      <c r="Z1707">
        <v>3.9E-2</v>
      </c>
      <c r="AA1707">
        <v>0.05</v>
      </c>
      <c r="AB1707">
        <v>5.8000000000000003E-2</v>
      </c>
      <c r="AC1707">
        <v>6</v>
      </c>
      <c r="AD1707" s="6">
        <v>50</v>
      </c>
      <c r="AE1707" s="6">
        <v>0</v>
      </c>
      <c r="AF1707" s="6">
        <v>0</v>
      </c>
      <c r="AG1707" s="6">
        <v>81.27</v>
      </c>
      <c r="AH1707" s="6">
        <v>105.97</v>
      </c>
      <c r="AI1707" s="6">
        <f t="shared" si="52"/>
        <v>24.700000000000003</v>
      </c>
      <c r="AJ1707" s="5">
        <f t="shared" si="53"/>
        <v>0.23308483533075403</v>
      </c>
    </row>
    <row r="1708" spans="1:36">
      <c r="A1708" t="s">
        <v>397</v>
      </c>
      <c r="B1708" t="s">
        <v>1993</v>
      </c>
      <c r="C1708" t="s">
        <v>97</v>
      </c>
      <c r="D1708" t="s">
        <v>63</v>
      </c>
      <c r="E1708" t="s">
        <v>55</v>
      </c>
      <c r="F1708">
        <v>0</v>
      </c>
      <c r="G1708">
        <v>2372</v>
      </c>
      <c r="H1708">
        <v>1</v>
      </c>
      <c r="I1708" t="s">
        <v>181</v>
      </c>
      <c r="J1708">
        <v>3</v>
      </c>
      <c r="K1708" s="6">
        <v>4.67</v>
      </c>
      <c r="L1708" t="s">
        <v>174</v>
      </c>
      <c r="M1708">
        <v>0</v>
      </c>
      <c r="N1708" t="s">
        <v>175</v>
      </c>
      <c r="O1708">
        <v>1</v>
      </c>
      <c r="P1708">
        <v>1</v>
      </c>
      <c r="Q1708" s="6">
        <v>32.299999999999997</v>
      </c>
      <c r="R1708">
        <v>0</v>
      </c>
      <c r="S1708" s="6">
        <v>0</v>
      </c>
      <c r="T1708">
        <v>0</v>
      </c>
      <c r="U1708" s="6">
        <v>542</v>
      </c>
      <c r="V1708">
        <v>0</v>
      </c>
      <c r="W1708">
        <v>0</v>
      </c>
      <c r="X1708">
        <v>0</v>
      </c>
      <c r="Y1708" s="6">
        <v>42.3</v>
      </c>
      <c r="Z1708">
        <v>3.9E-2</v>
      </c>
      <c r="AA1708">
        <v>0.05</v>
      </c>
      <c r="AB1708">
        <v>5.8000000000000003E-2</v>
      </c>
      <c r="AC1708">
        <v>6</v>
      </c>
      <c r="AD1708" s="6">
        <v>60</v>
      </c>
      <c r="AE1708" s="6">
        <v>0</v>
      </c>
      <c r="AF1708" s="6">
        <v>0</v>
      </c>
      <c r="AG1708" s="6">
        <v>94.93</v>
      </c>
      <c r="AH1708" s="6">
        <v>118.84</v>
      </c>
      <c r="AI1708" s="6">
        <f t="shared" si="52"/>
        <v>23.909999999999997</v>
      </c>
      <c r="AJ1708" s="5">
        <f t="shared" si="53"/>
        <v>0.2011948838774823</v>
      </c>
    </row>
    <row r="1709" spans="1:36">
      <c r="A1709" t="s">
        <v>243</v>
      </c>
      <c r="B1709" t="s">
        <v>1994</v>
      </c>
      <c r="C1709" t="s">
        <v>97</v>
      </c>
      <c r="D1709" t="s">
        <v>63</v>
      </c>
      <c r="E1709" t="s">
        <v>55</v>
      </c>
      <c r="F1709">
        <v>0</v>
      </c>
      <c r="G1709">
        <v>2372</v>
      </c>
      <c r="H1709">
        <v>1</v>
      </c>
      <c r="I1709" t="s">
        <v>173</v>
      </c>
      <c r="J1709">
        <v>1</v>
      </c>
      <c r="K1709" s="6">
        <v>1.74</v>
      </c>
      <c r="L1709" t="s">
        <v>174</v>
      </c>
      <c r="M1709">
        <v>0</v>
      </c>
      <c r="N1709" t="s">
        <v>175</v>
      </c>
      <c r="O1709">
        <v>1</v>
      </c>
      <c r="P1709">
        <v>0</v>
      </c>
      <c r="Q1709" s="6">
        <v>26.2</v>
      </c>
      <c r="R1709">
        <v>0</v>
      </c>
      <c r="S1709" s="6">
        <v>0</v>
      </c>
      <c r="T1709">
        <v>0</v>
      </c>
      <c r="U1709" s="6">
        <v>1585</v>
      </c>
      <c r="V1709">
        <v>0</v>
      </c>
      <c r="W1709">
        <v>0</v>
      </c>
      <c r="X1709">
        <v>0</v>
      </c>
      <c r="Y1709" s="6">
        <v>42.3</v>
      </c>
      <c r="Z1709">
        <v>3.9E-2</v>
      </c>
      <c r="AA1709">
        <v>0.05</v>
      </c>
      <c r="AB1709">
        <v>5.8000000000000003E-2</v>
      </c>
      <c r="AC1709">
        <v>6</v>
      </c>
      <c r="AD1709" s="6">
        <v>50</v>
      </c>
      <c r="AE1709" s="6">
        <v>0</v>
      </c>
      <c r="AF1709" s="6">
        <v>0</v>
      </c>
      <c r="AG1709" s="6">
        <v>46.54</v>
      </c>
      <c r="AH1709" s="6">
        <v>58.45</v>
      </c>
      <c r="AI1709" s="6">
        <f t="shared" si="52"/>
        <v>11.910000000000004</v>
      </c>
      <c r="AJ1709" s="5">
        <f t="shared" si="53"/>
        <v>0.20376390076988884</v>
      </c>
    </row>
    <row r="1710" spans="1:36">
      <c r="A1710" t="s">
        <v>345</v>
      </c>
      <c r="B1710" t="s">
        <v>1995</v>
      </c>
      <c r="C1710" t="s">
        <v>97</v>
      </c>
      <c r="D1710" t="s">
        <v>63</v>
      </c>
      <c r="E1710" t="s">
        <v>55</v>
      </c>
      <c r="F1710">
        <v>0</v>
      </c>
      <c r="G1710">
        <v>2372</v>
      </c>
      <c r="H1710">
        <v>1</v>
      </c>
      <c r="I1710" t="s">
        <v>220</v>
      </c>
      <c r="J1710">
        <v>2</v>
      </c>
      <c r="K1710" s="6">
        <v>2.6</v>
      </c>
      <c r="L1710" t="s">
        <v>200</v>
      </c>
      <c r="M1710">
        <v>1</v>
      </c>
      <c r="N1710" t="s">
        <v>175</v>
      </c>
      <c r="O1710">
        <v>1</v>
      </c>
      <c r="P1710">
        <v>0</v>
      </c>
      <c r="Q1710" s="6">
        <v>21.8</v>
      </c>
      <c r="R1710">
        <v>0</v>
      </c>
      <c r="S1710" s="6">
        <v>0</v>
      </c>
      <c r="T1710">
        <v>0</v>
      </c>
      <c r="U1710" s="6">
        <v>650</v>
      </c>
      <c r="V1710">
        <v>0</v>
      </c>
      <c r="W1710">
        <v>0</v>
      </c>
      <c r="X1710">
        <v>0</v>
      </c>
      <c r="Y1710" s="6">
        <v>42.3</v>
      </c>
      <c r="Z1710">
        <v>3.9E-2</v>
      </c>
      <c r="AA1710">
        <v>0.05</v>
      </c>
      <c r="AB1710">
        <v>5.8000000000000003E-2</v>
      </c>
      <c r="AC1710">
        <v>6</v>
      </c>
      <c r="AD1710" s="6">
        <v>119</v>
      </c>
      <c r="AE1710" s="6">
        <v>0</v>
      </c>
      <c r="AF1710" s="6">
        <v>0</v>
      </c>
      <c r="AG1710" s="6">
        <v>87.93</v>
      </c>
      <c r="AH1710" s="6">
        <v>120.7</v>
      </c>
      <c r="AI1710" s="6">
        <f t="shared" si="52"/>
        <v>32.769999999999996</v>
      </c>
      <c r="AJ1710" s="5">
        <f t="shared" si="53"/>
        <v>0.27149958574979283</v>
      </c>
    </row>
    <row r="1711" spans="1:36">
      <c r="A1711" t="s">
        <v>185</v>
      </c>
      <c r="B1711" t="s">
        <v>1996</v>
      </c>
      <c r="C1711" t="s">
        <v>97</v>
      </c>
      <c r="D1711" t="s">
        <v>63</v>
      </c>
      <c r="E1711" t="s">
        <v>55</v>
      </c>
      <c r="F1711">
        <v>0</v>
      </c>
      <c r="G1711">
        <v>2372</v>
      </c>
      <c r="H1711">
        <v>1</v>
      </c>
      <c r="I1711" t="s">
        <v>220</v>
      </c>
      <c r="J1711">
        <v>2</v>
      </c>
      <c r="K1711" s="6">
        <v>3.06</v>
      </c>
      <c r="L1711" t="s">
        <v>174</v>
      </c>
      <c r="M1711">
        <v>0</v>
      </c>
      <c r="N1711" t="s">
        <v>175</v>
      </c>
      <c r="O1711">
        <v>1</v>
      </c>
      <c r="P1711">
        <v>0</v>
      </c>
      <c r="Q1711" s="6">
        <v>16.100000000000001</v>
      </c>
      <c r="R1711">
        <v>1</v>
      </c>
      <c r="S1711" s="6">
        <v>2650</v>
      </c>
      <c r="T1711">
        <v>0</v>
      </c>
      <c r="U1711" s="6">
        <v>819</v>
      </c>
      <c r="V1711">
        <v>0</v>
      </c>
      <c r="W1711">
        <v>0</v>
      </c>
      <c r="X1711">
        <v>0</v>
      </c>
      <c r="Y1711" s="6">
        <v>42.3</v>
      </c>
      <c r="Z1711">
        <v>3.9E-2</v>
      </c>
      <c r="AA1711">
        <v>0.05</v>
      </c>
      <c r="AB1711">
        <v>5.8000000000000003E-2</v>
      </c>
      <c r="AC1711">
        <v>6</v>
      </c>
      <c r="AD1711" s="6">
        <v>50</v>
      </c>
      <c r="AE1711" s="6">
        <v>40</v>
      </c>
      <c r="AF1711" s="6">
        <v>0</v>
      </c>
      <c r="AG1711" s="6">
        <v>57.7</v>
      </c>
      <c r="AH1711" s="6">
        <v>76.08</v>
      </c>
      <c r="AI1711" s="6">
        <f t="shared" si="52"/>
        <v>18.379999999999995</v>
      </c>
      <c r="AJ1711" s="5">
        <f t="shared" si="53"/>
        <v>0.24158780231335431</v>
      </c>
    </row>
    <row r="1712" spans="1:36">
      <c r="A1712" t="s">
        <v>436</v>
      </c>
      <c r="B1712" t="s">
        <v>1997</v>
      </c>
      <c r="C1712" t="s">
        <v>97</v>
      </c>
      <c r="D1712" t="s">
        <v>63</v>
      </c>
      <c r="E1712" t="s">
        <v>55</v>
      </c>
      <c r="F1712">
        <v>0</v>
      </c>
      <c r="G1712">
        <v>2372</v>
      </c>
      <c r="H1712">
        <v>1</v>
      </c>
      <c r="I1712" t="s">
        <v>178</v>
      </c>
      <c r="J1712">
        <v>4</v>
      </c>
      <c r="K1712" s="6">
        <v>8.44</v>
      </c>
      <c r="L1712" t="s">
        <v>174</v>
      </c>
      <c r="M1712">
        <v>0</v>
      </c>
      <c r="N1712" t="s">
        <v>187</v>
      </c>
      <c r="O1712">
        <v>2</v>
      </c>
      <c r="P1712">
        <v>0</v>
      </c>
      <c r="Q1712" s="6">
        <v>87.5</v>
      </c>
      <c r="R1712">
        <v>0</v>
      </c>
      <c r="S1712" s="6">
        <v>0</v>
      </c>
      <c r="T1712">
        <v>0</v>
      </c>
      <c r="U1712" s="6">
        <v>1511</v>
      </c>
      <c r="V1712">
        <v>0</v>
      </c>
      <c r="W1712">
        <v>0</v>
      </c>
      <c r="X1712">
        <v>0</v>
      </c>
      <c r="Y1712" s="6">
        <v>42.3</v>
      </c>
      <c r="Z1712">
        <v>3.9E-2</v>
      </c>
      <c r="AA1712">
        <v>0.05</v>
      </c>
      <c r="AB1712">
        <v>5.8000000000000003E-2</v>
      </c>
      <c r="AC1712">
        <v>6</v>
      </c>
      <c r="AD1712" s="6">
        <v>65</v>
      </c>
      <c r="AE1712" s="6">
        <v>0</v>
      </c>
      <c r="AF1712" s="6">
        <v>0</v>
      </c>
      <c r="AG1712" s="6">
        <v>113.76</v>
      </c>
      <c r="AH1712" s="6">
        <v>145.09</v>
      </c>
      <c r="AI1712" s="6">
        <f t="shared" si="52"/>
        <v>31.33</v>
      </c>
      <c r="AJ1712" s="5">
        <f t="shared" si="53"/>
        <v>0.21593493693569507</v>
      </c>
    </row>
    <row r="1713" spans="1:36">
      <c r="A1713" t="s">
        <v>488</v>
      </c>
      <c r="B1713" t="s">
        <v>1998</v>
      </c>
      <c r="C1713" t="s">
        <v>97</v>
      </c>
      <c r="D1713" t="s">
        <v>63</v>
      </c>
      <c r="E1713" t="s">
        <v>55</v>
      </c>
      <c r="F1713">
        <v>0</v>
      </c>
      <c r="G1713">
        <v>2372</v>
      </c>
      <c r="H1713">
        <v>1</v>
      </c>
      <c r="I1713" t="s">
        <v>173</v>
      </c>
      <c r="J1713">
        <v>1</v>
      </c>
      <c r="K1713" s="6">
        <v>1.37</v>
      </c>
      <c r="L1713" t="s">
        <v>174</v>
      </c>
      <c r="M1713">
        <v>0</v>
      </c>
      <c r="N1713" t="s">
        <v>175</v>
      </c>
      <c r="O1713">
        <v>1</v>
      </c>
      <c r="P1713">
        <v>0</v>
      </c>
      <c r="Q1713" s="6">
        <v>44.9</v>
      </c>
      <c r="R1713">
        <v>0</v>
      </c>
      <c r="S1713" s="6">
        <v>0</v>
      </c>
      <c r="T1713">
        <v>0</v>
      </c>
      <c r="U1713" s="6">
        <v>924</v>
      </c>
      <c r="V1713">
        <v>0</v>
      </c>
      <c r="W1713">
        <v>0</v>
      </c>
      <c r="X1713">
        <v>0</v>
      </c>
      <c r="Y1713" s="6">
        <v>42.3</v>
      </c>
      <c r="Z1713">
        <v>3.9E-2</v>
      </c>
      <c r="AA1713">
        <v>0.05</v>
      </c>
      <c r="AB1713">
        <v>5.8000000000000003E-2</v>
      </c>
      <c r="AC1713">
        <v>6</v>
      </c>
      <c r="AD1713" s="6">
        <v>50</v>
      </c>
      <c r="AE1713" s="6">
        <v>0</v>
      </c>
      <c r="AF1713" s="6">
        <v>0</v>
      </c>
      <c r="AG1713" s="6">
        <v>49.92</v>
      </c>
      <c r="AH1713" s="6">
        <v>62.52</v>
      </c>
      <c r="AI1713" s="6">
        <f t="shared" si="52"/>
        <v>12.600000000000001</v>
      </c>
      <c r="AJ1713" s="5">
        <f t="shared" si="53"/>
        <v>0.2015355086372361</v>
      </c>
    </row>
    <row r="1714" spans="1:36">
      <c r="A1714" t="s">
        <v>562</v>
      </c>
      <c r="B1714" t="s">
        <v>1999</v>
      </c>
      <c r="C1714" t="s">
        <v>97</v>
      </c>
      <c r="D1714" t="s">
        <v>63</v>
      </c>
      <c r="E1714" t="s">
        <v>55</v>
      </c>
      <c r="F1714">
        <v>0</v>
      </c>
      <c r="G1714">
        <v>2372</v>
      </c>
      <c r="H1714">
        <v>1</v>
      </c>
      <c r="I1714" t="s">
        <v>181</v>
      </c>
      <c r="J1714">
        <v>3</v>
      </c>
      <c r="K1714" s="6">
        <v>10.25</v>
      </c>
      <c r="L1714" t="s">
        <v>174</v>
      </c>
      <c r="M1714">
        <v>0</v>
      </c>
      <c r="N1714" t="s">
        <v>182</v>
      </c>
      <c r="O1714">
        <v>3</v>
      </c>
      <c r="P1714">
        <v>0</v>
      </c>
      <c r="Q1714" s="6">
        <v>95.4</v>
      </c>
      <c r="R1714">
        <v>0</v>
      </c>
      <c r="S1714" s="6">
        <v>0</v>
      </c>
      <c r="T1714">
        <v>0</v>
      </c>
      <c r="U1714" s="6">
        <v>738</v>
      </c>
      <c r="V1714">
        <v>0</v>
      </c>
      <c r="W1714">
        <v>0</v>
      </c>
      <c r="X1714">
        <v>0</v>
      </c>
      <c r="Y1714" s="6">
        <v>42.3</v>
      </c>
      <c r="Z1714">
        <v>3.9E-2</v>
      </c>
      <c r="AA1714">
        <v>0.05</v>
      </c>
      <c r="AB1714">
        <v>5.8000000000000003E-2</v>
      </c>
      <c r="AC1714">
        <v>6</v>
      </c>
      <c r="AD1714" s="6">
        <v>60</v>
      </c>
      <c r="AE1714" s="6">
        <v>0</v>
      </c>
      <c r="AF1714" s="6">
        <v>0</v>
      </c>
      <c r="AG1714" s="6">
        <v>107.02</v>
      </c>
      <c r="AH1714" s="6">
        <v>136.94999999999999</v>
      </c>
      <c r="AI1714" s="6">
        <f t="shared" si="52"/>
        <v>29.929999999999993</v>
      </c>
      <c r="AJ1714" s="5">
        <f t="shared" si="53"/>
        <v>0.21854691493245706</v>
      </c>
    </row>
    <row r="1715" spans="1:36">
      <c r="A1715" t="s">
        <v>579</v>
      </c>
      <c r="B1715" t="s">
        <v>2000</v>
      </c>
      <c r="C1715" t="s">
        <v>97</v>
      </c>
      <c r="D1715" t="s">
        <v>63</v>
      </c>
      <c r="E1715" t="s">
        <v>55</v>
      </c>
      <c r="F1715">
        <v>0</v>
      </c>
      <c r="G1715">
        <v>2372</v>
      </c>
      <c r="H1715">
        <v>1</v>
      </c>
      <c r="I1715" t="s">
        <v>173</v>
      </c>
      <c r="J1715">
        <v>1</v>
      </c>
      <c r="K1715" s="6">
        <v>1.3</v>
      </c>
      <c r="L1715" t="s">
        <v>174</v>
      </c>
      <c r="M1715">
        <v>0</v>
      </c>
      <c r="N1715" t="s">
        <v>175</v>
      </c>
      <c r="O1715">
        <v>1</v>
      </c>
      <c r="P1715">
        <v>0</v>
      </c>
      <c r="Q1715" s="6">
        <v>9.1999999999999993</v>
      </c>
      <c r="R1715">
        <v>0</v>
      </c>
      <c r="S1715" s="6">
        <v>0</v>
      </c>
      <c r="T1715">
        <v>0</v>
      </c>
      <c r="U1715" s="6">
        <v>373</v>
      </c>
      <c r="V1715">
        <v>0</v>
      </c>
      <c r="W1715">
        <v>0</v>
      </c>
      <c r="X1715">
        <v>0</v>
      </c>
      <c r="Y1715" s="6">
        <v>42.3</v>
      </c>
      <c r="Z1715">
        <v>3.9E-2</v>
      </c>
      <c r="AA1715">
        <v>0.05</v>
      </c>
      <c r="AB1715">
        <v>5.8000000000000003E-2</v>
      </c>
      <c r="AC1715">
        <v>6</v>
      </c>
      <c r="AD1715" s="6">
        <v>50</v>
      </c>
      <c r="AE1715" s="6">
        <v>0</v>
      </c>
      <c r="AF1715" s="6">
        <v>0</v>
      </c>
      <c r="AG1715" s="6">
        <v>41.14</v>
      </c>
      <c r="AH1715" s="6">
        <v>55.25</v>
      </c>
      <c r="AI1715" s="6">
        <f t="shared" si="52"/>
        <v>14.11</v>
      </c>
      <c r="AJ1715" s="5">
        <f t="shared" si="53"/>
        <v>0.25538461538461538</v>
      </c>
    </row>
    <row r="1716" spans="1:36">
      <c r="A1716" t="s">
        <v>196</v>
      </c>
      <c r="B1716" t="s">
        <v>2001</v>
      </c>
      <c r="C1716" t="s">
        <v>97</v>
      </c>
      <c r="D1716" t="s">
        <v>63</v>
      </c>
      <c r="E1716" t="s">
        <v>55</v>
      </c>
      <c r="F1716">
        <v>0</v>
      </c>
      <c r="G1716">
        <v>2372</v>
      </c>
      <c r="H1716">
        <v>1</v>
      </c>
      <c r="I1716" t="s">
        <v>173</v>
      </c>
      <c r="J1716">
        <v>1</v>
      </c>
      <c r="K1716" s="6">
        <v>1.56</v>
      </c>
      <c r="L1716" t="s">
        <v>174</v>
      </c>
      <c r="M1716">
        <v>0</v>
      </c>
      <c r="N1716" t="s">
        <v>182</v>
      </c>
      <c r="O1716">
        <v>3</v>
      </c>
      <c r="P1716">
        <v>0</v>
      </c>
      <c r="Q1716" s="6">
        <v>133.5</v>
      </c>
      <c r="R1716">
        <v>1</v>
      </c>
      <c r="S1716" s="6">
        <v>1080</v>
      </c>
      <c r="T1716">
        <v>0</v>
      </c>
      <c r="U1716" s="6">
        <v>1084</v>
      </c>
      <c r="V1716">
        <v>0</v>
      </c>
      <c r="W1716">
        <v>0</v>
      </c>
      <c r="X1716">
        <v>0</v>
      </c>
      <c r="Y1716" s="6">
        <v>42.3</v>
      </c>
      <c r="Z1716">
        <v>3.9E-2</v>
      </c>
      <c r="AA1716">
        <v>0.05</v>
      </c>
      <c r="AB1716">
        <v>5.8000000000000003E-2</v>
      </c>
      <c r="AC1716">
        <v>6</v>
      </c>
      <c r="AD1716" s="6">
        <v>50</v>
      </c>
      <c r="AE1716" s="6">
        <v>25</v>
      </c>
      <c r="AF1716" s="6">
        <v>0</v>
      </c>
      <c r="AG1716" s="6">
        <v>62.97</v>
      </c>
      <c r="AH1716" s="6">
        <v>82.67</v>
      </c>
      <c r="AI1716" s="6">
        <f t="shared" si="52"/>
        <v>19.700000000000003</v>
      </c>
      <c r="AJ1716" s="5">
        <f t="shared" si="53"/>
        <v>0.23829684286923916</v>
      </c>
    </row>
    <row r="1717" spans="1:36">
      <c r="A1717" t="s">
        <v>306</v>
      </c>
      <c r="B1717" t="s">
        <v>2002</v>
      </c>
      <c r="C1717" t="s">
        <v>97</v>
      </c>
      <c r="D1717" t="s">
        <v>63</v>
      </c>
      <c r="E1717" t="s">
        <v>55</v>
      </c>
      <c r="F1717">
        <v>0</v>
      </c>
      <c r="G1717">
        <v>2372</v>
      </c>
      <c r="H1717">
        <v>1</v>
      </c>
      <c r="I1717" t="s">
        <v>220</v>
      </c>
      <c r="J1717">
        <v>2</v>
      </c>
      <c r="K1717" s="6">
        <v>2.92</v>
      </c>
      <c r="L1717" t="s">
        <v>174</v>
      </c>
      <c r="M1717">
        <v>0</v>
      </c>
      <c r="N1717" t="s">
        <v>187</v>
      </c>
      <c r="O1717">
        <v>2</v>
      </c>
      <c r="P1717">
        <v>0</v>
      </c>
      <c r="Q1717" s="6">
        <v>72.7</v>
      </c>
      <c r="R1717">
        <v>0</v>
      </c>
      <c r="S1717" s="6">
        <v>0</v>
      </c>
      <c r="T1717">
        <v>0</v>
      </c>
      <c r="U1717" s="6">
        <v>866</v>
      </c>
      <c r="V1717">
        <v>0</v>
      </c>
      <c r="W1717">
        <v>0</v>
      </c>
      <c r="X1717">
        <v>0</v>
      </c>
      <c r="Y1717" s="6">
        <v>42.3</v>
      </c>
      <c r="Z1717">
        <v>3.9E-2</v>
      </c>
      <c r="AA1717">
        <v>0.05</v>
      </c>
      <c r="AB1717">
        <v>5.8000000000000003E-2</v>
      </c>
      <c r="AC1717">
        <v>6</v>
      </c>
      <c r="AD1717" s="6">
        <v>50</v>
      </c>
      <c r="AE1717" s="6">
        <v>0</v>
      </c>
      <c r="AF1717" s="6">
        <v>0</v>
      </c>
      <c r="AG1717" s="6">
        <v>68.41</v>
      </c>
      <c r="AH1717" s="6">
        <v>88.3</v>
      </c>
      <c r="AI1717" s="6">
        <f t="shared" si="52"/>
        <v>19.89</v>
      </c>
      <c r="AJ1717" s="5">
        <f t="shared" si="53"/>
        <v>0.22525481313703286</v>
      </c>
    </row>
    <row r="1718" spans="1:36">
      <c r="A1718" t="s">
        <v>266</v>
      </c>
      <c r="B1718" t="s">
        <v>2003</v>
      </c>
      <c r="C1718" t="s">
        <v>97</v>
      </c>
      <c r="D1718" t="s">
        <v>63</v>
      </c>
      <c r="E1718" t="s">
        <v>55</v>
      </c>
      <c r="F1718">
        <v>0</v>
      </c>
      <c r="G1718">
        <v>2372</v>
      </c>
      <c r="H1718">
        <v>1</v>
      </c>
      <c r="I1718" t="s">
        <v>181</v>
      </c>
      <c r="J1718">
        <v>3</v>
      </c>
      <c r="K1718" s="6">
        <v>10.36</v>
      </c>
      <c r="L1718" t="s">
        <v>174</v>
      </c>
      <c r="M1718">
        <v>0</v>
      </c>
      <c r="N1718" t="s">
        <v>175</v>
      </c>
      <c r="O1718">
        <v>1</v>
      </c>
      <c r="P1718">
        <v>0</v>
      </c>
      <c r="Q1718" s="6">
        <v>20.7</v>
      </c>
      <c r="R1718">
        <v>1</v>
      </c>
      <c r="S1718" s="6">
        <v>2052</v>
      </c>
      <c r="T1718">
        <v>0</v>
      </c>
      <c r="U1718" s="6">
        <v>1417</v>
      </c>
      <c r="V1718">
        <v>0</v>
      </c>
      <c r="W1718">
        <v>0</v>
      </c>
      <c r="X1718">
        <v>0</v>
      </c>
      <c r="Y1718" s="6">
        <v>42.3</v>
      </c>
      <c r="Z1718">
        <v>3.9E-2</v>
      </c>
      <c r="AA1718">
        <v>0.05</v>
      </c>
      <c r="AB1718">
        <v>5.8000000000000003E-2</v>
      </c>
      <c r="AC1718">
        <v>6</v>
      </c>
      <c r="AD1718" s="6">
        <v>60</v>
      </c>
      <c r="AE1718" s="6">
        <v>40</v>
      </c>
      <c r="AF1718" s="6">
        <v>0</v>
      </c>
      <c r="AG1718" s="6">
        <v>101.83</v>
      </c>
      <c r="AH1718" s="6">
        <v>129.03</v>
      </c>
      <c r="AI1718" s="6">
        <f t="shared" si="52"/>
        <v>27.200000000000003</v>
      </c>
      <c r="AJ1718" s="5">
        <f t="shared" si="53"/>
        <v>0.21080368906455865</v>
      </c>
    </row>
    <row r="1719" spans="1:36">
      <c r="A1719" t="s">
        <v>481</v>
      </c>
      <c r="B1719" t="s">
        <v>2004</v>
      </c>
      <c r="C1719" t="s">
        <v>97</v>
      </c>
      <c r="D1719" t="s">
        <v>63</v>
      </c>
      <c r="E1719" t="s">
        <v>55</v>
      </c>
      <c r="F1719">
        <v>0</v>
      </c>
      <c r="G1719">
        <v>2372</v>
      </c>
      <c r="H1719">
        <v>1</v>
      </c>
      <c r="I1719" t="s">
        <v>181</v>
      </c>
      <c r="J1719">
        <v>3</v>
      </c>
      <c r="K1719" s="6">
        <v>12.06</v>
      </c>
      <c r="L1719" t="s">
        <v>174</v>
      </c>
      <c r="M1719">
        <v>0</v>
      </c>
      <c r="N1719" t="s">
        <v>187</v>
      </c>
      <c r="O1719">
        <v>2</v>
      </c>
      <c r="P1719">
        <v>0</v>
      </c>
      <c r="Q1719" s="6">
        <v>31.9</v>
      </c>
      <c r="R1719">
        <v>1</v>
      </c>
      <c r="S1719" s="6">
        <v>3280</v>
      </c>
      <c r="T1719">
        <v>0</v>
      </c>
      <c r="U1719" s="6">
        <v>443</v>
      </c>
      <c r="V1719">
        <v>0</v>
      </c>
      <c r="W1719">
        <v>0</v>
      </c>
      <c r="X1719">
        <v>0</v>
      </c>
      <c r="Y1719" s="6">
        <v>42.3</v>
      </c>
      <c r="Z1719">
        <v>3.9E-2</v>
      </c>
      <c r="AA1719">
        <v>0.05</v>
      </c>
      <c r="AB1719">
        <v>5.8000000000000003E-2</v>
      </c>
      <c r="AC1719">
        <v>6</v>
      </c>
      <c r="AD1719" s="6">
        <v>60</v>
      </c>
      <c r="AE1719" s="6">
        <v>40</v>
      </c>
      <c r="AF1719" s="6">
        <v>0</v>
      </c>
      <c r="AG1719" s="6">
        <v>106.23</v>
      </c>
      <c r="AH1719" s="6">
        <v>135.77000000000001</v>
      </c>
      <c r="AI1719" s="6">
        <f t="shared" si="52"/>
        <v>29.540000000000006</v>
      </c>
      <c r="AJ1719" s="5">
        <f t="shared" si="53"/>
        <v>0.21757383810856598</v>
      </c>
    </row>
    <row r="1720" spans="1:36">
      <c r="A1720" t="s">
        <v>225</v>
      </c>
      <c r="B1720" t="s">
        <v>2005</v>
      </c>
      <c r="C1720" t="s">
        <v>97</v>
      </c>
      <c r="D1720" t="s">
        <v>63</v>
      </c>
      <c r="E1720" t="s">
        <v>55</v>
      </c>
      <c r="F1720">
        <v>0</v>
      </c>
      <c r="G1720">
        <v>2372</v>
      </c>
      <c r="H1720">
        <v>1</v>
      </c>
      <c r="I1720" t="s">
        <v>181</v>
      </c>
      <c r="J1720">
        <v>3</v>
      </c>
      <c r="K1720" s="6">
        <v>2.27</v>
      </c>
      <c r="L1720" t="s">
        <v>174</v>
      </c>
      <c r="M1720">
        <v>0</v>
      </c>
      <c r="N1720" t="s">
        <v>187</v>
      </c>
      <c r="O1720">
        <v>2</v>
      </c>
      <c r="P1720">
        <v>0</v>
      </c>
      <c r="Q1720" s="6">
        <v>66.900000000000006</v>
      </c>
      <c r="R1720">
        <v>0</v>
      </c>
      <c r="S1720" s="6">
        <v>0</v>
      </c>
      <c r="T1720">
        <v>0</v>
      </c>
      <c r="U1720" s="6">
        <v>1151</v>
      </c>
      <c r="V1720">
        <v>0</v>
      </c>
      <c r="W1720">
        <v>0</v>
      </c>
      <c r="X1720">
        <v>0</v>
      </c>
      <c r="Y1720" s="6">
        <v>42.3</v>
      </c>
      <c r="Z1720">
        <v>3.9E-2</v>
      </c>
      <c r="AA1720">
        <v>0.05</v>
      </c>
      <c r="AB1720">
        <v>5.8000000000000003E-2</v>
      </c>
      <c r="AC1720">
        <v>6</v>
      </c>
      <c r="AD1720" s="6">
        <v>60</v>
      </c>
      <c r="AE1720" s="6">
        <v>0</v>
      </c>
      <c r="AF1720" s="6">
        <v>0</v>
      </c>
      <c r="AG1720" s="6">
        <v>79.58</v>
      </c>
      <c r="AH1720" s="6">
        <v>104.06</v>
      </c>
      <c r="AI1720" s="6">
        <f t="shared" si="52"/>
        <v>24.480000000000004</v>
      </c>
      <c r="AJ1720" s="5">
        <f t="shared" si="53"/>
        <v>0.23524889486834522</v>
      </c>
    </row>
    <row r="1721" spans="1:36">
      <c r="A1721" t="s">
        <v>501</v>
      </c>
      <c r="B1721" t="s">
        <v>2006</v>
      </c>
      <c r="C1721" t="s">
        <v>97</v>
      </c>
      <c r="D1721" t="s">
        <v>63</v>
      </c>
      <c r="E1721" t="s">
        <v>55</v>
      </c>
      <c r="F1721">
        <v>0</v>
      </c>
      <c r="G1721">
        <v>2372</v>
      </c>
      <c r="H1721">
        <v>1</v>
      </c>
      <c r="I1721" t="s">
        <v>220</v>
      </c>
      <c r="J1721">
        <v>2</v>
      </c>
      <c r="K1721" s="6">
        <v>5.82</v>
      </c>
      <c r="L1721" t="s">
        <v>174</v>
      </c>
      <c r="M1721">
        <v>0</v>
      </c>
      <c r="N1721" t="s">
        <v>175</v>
      </c>
      <c r="O1721">
        <v>1</v>
      </c>
      <c r="P1721">
        <v>0</v>
      </c>
      <c r="Q1721" s="6">
        <v>41.8</v>
      </c>
      <c r="R1721">
        <v>0</v>
      </c>
      <c r="S1721" s="6">
        <v>0</v>
      </c>
      <c r="T1721">
        <v>0</v>
      </c>
      <c r="U1721" s="6">
        <v>638</v>
      </c>
      <c r="V1721">
        <v>0</v>
      </c>
      <c r="W1721">
        <v>0</v>
      </c>
      <c r="X1721">
        <v>0</v>
      </c>
      <c r="Y1721" s="6">
        <v>42.3</v>
      </c>
      <c r="Z1721">
        <v>3.9E-2</v>
      </c>
      <c r="AA1721">
        <v>0.05</v>
      </c>
      <c r="AB1721">
        <v>5.8000000000000003E-2</v>
      </c>
      <c r="AC1721">
        <v>6</v>
      </c>
      <c r="AD1721" s="6">
        <v>50</v>
      </c>
      <c r="AE1721" s="6">
        <v>0</v>
      </c>
      <c r="AF1721" s="6">
        <v>0</v>
      </c>
      <c r="AG1721" s="6">
        <v>61.69</v>
      </c>
      <c r="AH1721" s="6">
        <v>77.52</v>
      </c>
      <c r="AI1721" s="6">
        <f t="shared" si="52"/>
        <v>15.829999999999998</v>
      </c>
      <c r="AJ1721" s="5">
        <f t="shared" si="53"/>
        <v>0.20420536635706912</v>
      </c>
    </row>
    <row r="1722" spans="1:36">
      <c r="A1722" t="s">
        <v>521</v>
      </c>
      <c r="B1722" t="s">
        <v>2007</v>
      </c>
      <c r="C1722" t="s">
        <v>97</v>
      </c>
      <c r="D1722" t="s">
        <v>63</v>
      </c>
      <c r="E1722" t="s">
        <v>55</v>
      </c>
      <c r="F1722">
        <v>0</v>
      </c>
      <c r="G1722">
        <v>2372</v>
      </c>
      <c r="H1722">
        <v>1</v>
      </c>
      <c r="I1722" t="s">
        <v>220</v>
      </c>
      <c r="J1722">
        <v>2</v>
      </c>
      <c r="K1722" s="6">
        <v>3.63</v>
      </c>
      <c r="L1722" t="s">
        <v>174</v>
      </c>
      <c r="M1722">
        <v>0</v>
      </c>
      <c r="N1722" t="s">
        <v>182</v>
      </c>
      <c r="O1722">
        <v>3</v>
      </c>
      <c r="P1722">
        <v>1</v>
      </c>
      <c r="Q1722" s="6">
        <v>133.4</v>
      </c>
      <c r="R1722">
        <v>1</v>
      </c>
      <c r="S1722" s="6">
        <v>424</v>
      </c>
      <c r="T1722">
        <v>0</v>
      </c>
      <c r="U1722" s="6">
        <v>393</v>
      </c>
      <c r="V1722">
        <v>0</v>
      </c>
      <c r="W1722">
        <v>0</v>
      </c>
      <c r="X1722">
        <v>0</v>
      </c>
      <c r="Y1722" s="6">
        <v>42.3</v>
      </c>
      <c r="Z1722">
        <v>3.9E-2</v>
      </c>
      <c r="AA1722">
        <v>0.05</v>
      </c>
      <c r="AB1722">
        <v>5.8000000000000003E-2</v>
      </c>
      <c r="AC1722">
        <v>6</v>
      </c>
      <c r="AD1722" s="6">
        <v>50</v>
      </c>
      <c r="AE1722" s="6">
        <v>25</v>
      </c>
      <c r="AF1722" s="6">
        <v>0</v>
      </c>
      <c r="AG1722" s="6">
        <v>96.33</v>
      </c>
      <c r="AH1722" s="6">
        <v>122.63</v>
      </c>
      <c r="AI1722" s="6">
        <f t="shared" si="52"/>
        <v>26.299999999999997</v>
      </c>
      <c r="AJ1722" s="5">
        <f t="shared" si="53"/>
        <v>0.21446628068172549</v>
      </c>
    </row>
    <row r="1723" spans="1:36">
      <c r="A1723" t="s">
        <v>494</v>
      </c>
      <c r="B1723" t="s">
        <v>2008</v>
      </c>
      <c r="C1723" t="s">
        <v>97</v>
      </c>
      <c r="D1723" t="s">
        <v>63</v>
      </c>
      <c r="E1723" t="s">
        <v>55</v>
      </c>
      <c r="F1723">
        <v>0</v>
      </c>
      <c r="G1723">
        <v>2372</v>
      </c>
      <c r="H1723">
        <v>1</v>
      </c>
      <c r="I1723" t="s">
        <v>173</v>
      </c>
      <c r="J1723">
        <v>1</v>
      </c>
      <c r="K1723" s="6">
        <v>1.83</v>
      </c>
      <c r="L1723" t="s">
        <v>174</v>
      </c>
      <c r="M1723">
        <v>0</v>
      </c>
      <c r="N1723" t="s">
        <v>182</v>
      </c>
      <c r="O1723">
        <v>3</v>
      </c>
      <c r="P1723">
        <v>0</v>
      </c>
      <c r="Q1723" s="6">
        <v>116.9</v>
      </c>
      <c r="R1723">
        <v>0</v>
      </c>
      <c r="S1723" s="6">
        <v>0</v>
      </c>
      <c r="T1723">
        <v>0</v>
      </c>
      <c r="U1723" s="6">
        <v>1239</v>
      </c>
      <c r="V1723">
        <v>0</v>
      </c>
      <c r="W1723">
        <v>0</v>
      </c>
      <c r="X1723">
        <v>0</v>
      </c>
      <c r="Y1723" s="6">
        <v>42.3</v>
      </c>
      <c r="Z1723">
        <v>3.9E-2</v>
      </c>
      <c r="AA1723">
        <v>0.05</v>
      </c>
      <c r="AB1723">
        <v>5.8000000000000003E-2</v>
      </c>
      <c r="AC1723">
        <v>6</v>
      </c>
      <c r="AD1723" s="6">
        <v>50</v>
      </c>
      <c r="AE1723" s="6">
        <v>0</v>
      </c>
      <c r="AF1723" s="6">
        <v>0</v>
      </c>
      <c r="AG1723" s="6">
        <v>55.12</v>
      </c>
      <c r="AH1723" s="6">
        <v>71.069999999999993</v>
      </c>
      <c r="AI1723" s="6">
        <f t="shared" si="52"/>
        <v>15.949999999999996</v>
      </c>
      <c r="AJ1723" s="5">
        <f t="shared" si="53"/>
        <v>0.22442662164063595</v>
      </c>
    </row>
    <row r="1724" spans="1:36">
      <c r="A1724" t="s">
        <v>196</v>
      </c>
      <c r="B1724" t="s">
        <v>2009</v>
      </c>
      <c r="C1724" t="s">
        <v>97</v>
      </c>
      <c r="D1724" t="s">
        <v>63</v>
      </c>
      <c r="E1724" t="s">
        <v>55</v>
      </c>
      <c r="F1724">
        <v>0</v>
      </c>
      <c r="G1724">
        <v>2372</v>
      </c>
      <c r="H1724">
        <v>1</v>
      </c>
      <c r="I1724" t="s">
        <v>220</v>
      </c>
      <c r="J1724">
        <v>2</v>
      </c>
      <c r="K1724" s="6">
        <v>5.09</v>
      </c>
      <c r="L1724" t="s">
        <v>174</v>
      </c>
      <c r="M1724">
        <v>0</v>
      </c>
      <c r="N1724" t="s">
        <v>187</v>
      </c>
      <c r="O1724">
        <v>2</v>
      </c>
      <c r="P1724">
        <v>0</v>
      </c>
      <c r="Q1724" s="6">
        <v>62.2</v>
      </c>
      <c r="R1724">
        <v>1</v>
      </c>
      <c r="S1724" s="6">
        <v>656</v>
      </c>
      <c r="T1724">
        <v>0</v>
      </c>
      <c r="U1724" s="6">
        <v>946</v>
      </c>
      <c r="V1724">
        <v>0</v>
      </c>
      <c r="W1724">
        <v>0</v>
      </c>
      <c r="X1724">
        <v>0</v>
      </c>
      <c r="Y1724" s="6">
        <v>42.3</v>
      </c>
      <c r="Z1724">
        <v>3.9E-2</v>
      </c>
      <c r="AA1724">
        <v>0.05</v>
      </c>
      <c r="AB1724">
        <v>5.8000000000000003E-2</v>
      </c>
      <c r="AC1724">
        <v>6</v>
      </c>
      <c r="AD1724" s="6">
        <v>50</v>
      </c>
      <c r="AE1724" s="6">
        <v>25</v>
      </c>
      <c r="AF1724" s="6">
        <v>0</v>
      </c>
      <c r="AG1724" s="6">
        <v>70.400000000000006</v>
      </c>
      <c r="AH1724" s="6">
        <v>88.59</v>
      </c>
      <c r="AI1724" s="6">
        <f t="shared" si="52"/>
        <v>18.189999999999998</v>
      </c>
      <c r="AJ1724" s="5">
        <f t="shared" si="53"/>
        <v>0.20532791511457271</v>
      </c>
    </row>
    <row r="1725" spans="1:36">
      <c r="A1725" t="s">
        <v>218</v>
      </c>
      <c r="B1725" t="s">
        <v>2010</v>
      </c>
      <c r="C1725" t="s">
        <v>97</v>
      </c>
      <c r="D1725" t="s">
        <v>63</v>
      </c>
      <c r="E1725" t="s">
        <v>55</v>
      </c>
      <c r="F1725">
        <v>0</v>
      </c>
      <c r="G1725">
        <v>2372</v>
      </c>
      <c r="H1725">
        <v>1</v>
      </c>
      <c r="I1725" t="s">
        <v>181</v>
      </c>
      <c r="J1725">
        <v>3</v>
      </c>
      <c r="K1725" s="6">
        <v>6.28</v>
      </c>
      <c r="L1725" t="s">
        <v>174</v>
      </c>
      <c r="M1725">
        <v>0</v>
      </c>
      <c r="N1725" t="s">
        <v>182</v>
      </c>
      <c r="O1725">
        <v>3</v>
      </c>
      <c r="P1725">
        <v>0</v>
      </c>
      <c r="Q1725" s="6">
        <v>106</v>
      </c>
      <c r="R1725">
        <v>0</v>
      </c>
      <c r="S1725" s="6">
        <v>0</v>
      </c>
      <c r="T1725">
        <v>0</v>
      </c>
      <c r="U1725" s="6">
        <v>1120</v>
      </c>
      <c r="V1725">
        <v>0</v>
      </c>
      <c r="W1725">
        <v>0</v>
      </c>
      <c r="X1725">
        <v>0</v>
      </c>
      <c r="Y1725" s="6">
        <v>42.3</v>
      </c>
      <c r="Z1725">
        <v>3.9E-2</v>
      </c>
      <c r="AA1725">
        <v>0.05</v>
      </c>
      <c r="AB1725">
        <v>5.8000000000000003E-2</v>
      </c>
      <c r="AC1725">
        <v>6</v>
      </c>
      <c r="AD1725" s="6">
        <v>60</v>
      </c>
      <c r="AE1725" s="6">
        <v>0</v>
      </c>
      <c r="AF1725" s="6">
        <v>0</v>
      </c>
      <c r="AG1725" s="6">
        <v>90.02</v>
      </c>
      <c r="AH1725" s="6">
        <v>115.81</v>
      </c>
      <c r="AI1725" s="6">
        <f t="shared" si="52"/>
        <v>25.790000000000006</v>
      </c>
      <c r="AJ1725" s="5">
        <f t="shared" si="53"/>
        <v>0.22269234090320358</v>
      </c>
    </row>
    <row r="1726" spans="1:36">
      <c r="A1726" t="s">
        <v>319</v>
      </c>
      <c r="B1726" t="s">
        <v>2011</v>
      </c>
      <c r="C1726" t="s">
        <v>97</v>
      </c>
      <c r="D1726" t="s">
        <v>63</v>
      </c>
      <c r="E1726" t="s">
        <v>55</v>
      </c>
      <c r="F1726">
        <v>0</v>
      </c>
      <c r="G1726">
        <v>2372</v>
      </c>
      <c r="H1726">
        <v>1</v>
      </c>
      <c r="I1726" t="s">
        <v>220</v>
      </c>
      <c r="J1726">
        <v>2</v>
      </c>
      <c r="K1726" s="6">
        <v>4.8899999999999997</v>
      </c>
      <c r="L1726" t="s">
        <v>174</v>
      </c>
      <c r="M1726">
        <v>0</v>
      </c>
      <c r="N1726" t="s">
        <v>187</v>
      </c>
      <c r="O1726">
        <v>2</v>
      </c>
      <c r="P1726">
        <v>0</v>
      </c>
      <c r="Q1726" s="6">
        <v>54.9</v>
      </c>
      <c r="R1726">
        <v>0</v>
      </c>
      <c r="S1726" s="6">
        <v>0</v>
      </c>
      <c r="T1726">
        <v>0</v>
      </c>
      <c r="U1726" s="6">
        <v>1175</v>
      </c>
      <c r="V1726">
        <v>0</v>
      </c>
      <c r="W1726">
        <v>0</v>
      </c>
      <c r="X1726">
        <v>0</v>
      </c>
      <c r="Y1726" s="6">
        <v>42.3</v>
      </c>
      <c r="Z1726">
        <v>3.9E-2</v>
      </c>
      <c r="AA1726">
        <v>0.05</v>
      </c>
      <c r="AB1726">
        <v>5.8000000000000003E-2</v>
      </c>
      <c r="AC1726">
        <v>6</v>
      </c>
      <c r="AD1726" s="6">
        <v>50</v>
      </c>
      <c r="AE1726" s="6">
        <v>0</v>
      </c>
      <c r="AF1726" s="6">
        <v>0</v>
      </c>
      <c r="AG1726" s="6">
        <v>61.67</v>
      </c>
      <c r="AH1726" s="6">
        <v>77.2</v>
      </c>
      <c r="AI1726" s="6">
        <f t="shared" si="52"/>
        <v>15.530000000000001</v>
      </c>
      <c r="AJ1726" s="5">
        <f t="shared" si="53"/>
        <v>0.2011658031088083</v>
      </c>
    </row>
    <row r="1727" spans="1:36">
      <c r="A1727" t="s">
        <v>353</v>
      </c>
      <c r="B1727" t="s">
        <v>2012</v>
      </c>
      <c r="C1727" t="s">
        <v>97</v>
      </c>
      <c r="D1727" t="s">
        <v>63</v>
      </c>
      <c r="E1727" t="s">
        <v>55</v>
      </c>
      <c r="F1727">
        <v>0</v>
      </c>
      <c r="G1727">
        <v>2372</v>
      </c>
      <c r="H1727">
        <v>1</v>
      </c>
      <c r="I1727" t="s">
        <v>178</v>
      </c>
      <c r="J1727">
        <v>4</v>
      </c>
      <c r="K1727" s="6">
        <v>14.22</v>
      </c>
      <c r="L1727" t="s">
        <v>174</v>
      </c>
      <c r="M1727">
        <v>0</v>
      </c>
      <c r="N1727" t="s">
        <v>175</v>
      </c>
      <c r="O1727">
        <v>1</v>
      </c>
      <c r="P1727">
        <v>0</v>
      </c>
      <c r="Q1727" s="6">
        <v>40.4</v>
      </c>
      <c r="R1727">
        <v>1</v>
      </c>
      <c r="S1727" s="6">
        <v>1230</v>
      </c>
      <c r="T1727">
        <v>0</v>
      </c>
      <c r="U1727" s="6">
        <v>1203</v>
      </c>
      <c r="V1727">
        <v>0</v>
      </c>
      <c r="W1727">
        <v>1</v>
      </c>
      <c r="X1727">
        <v>0</v>
      </c>
      <c r="Y1727" s="6">
        <v>42.3</v>
      </c>
      <c r="Z1727">
        <v>3.9E-2</v>
      </c>
      <c r="AA1727">
        <v>0.05</v>
      </c>
      <c r="AB1727">
        <v>5.8000000000000003E-2</v>
      </c>
      <c r="AC1727">
        <v>6</v>
      </c>
      <c r="AD1727" s="6">
        <v>65</v>
      </c>
      <c r="AE1727" s="6">
        <v>25</v>
      </c>
      <c r="AF1727" s="6">
        <v>0</v>
      </c>
      <c r="AG1727" s="6">
        <v>155.96</v>
      </c>
      <c r="AH1727" s="6">
        <v>199.6</v>
      </c>
      <c r="AI1727" s="6">
        <f t="shared" si="52"/>
        <v>43.639999999999986</v>
      </c>
      <c r="AJ1727" s="5">
        <f t="shared" si="53"/>
        <v>0.21863727454909812</v>
      </c>
    </row>
    <row r="1728" spans="1:36">
      <c r="A1728" t="s">
        <v>330</v>
      </c>
      <c r="B1728" t="s">
        <v>2013</v>
      </c>
      <c r="C1728" t="s">
        <v>97</v>
      </c>
      <c r="D1728" t="s">
        <v>63</v>
      </c>
      <c r="E1728" t="s">
        <v>55</v>
      </c>
      <c r="F1728">
        <v>0</v>
      </c>
      <c r="G1728">
        <v>2372</v>
      </c>
      <c r="H1728">
        <v>1</v>
      </c>
      <c r="I1728" t="s">
        <v>220</v>
      </c>
      <c r="J1728">
        <v>2</v>
      </c>
      <c r="K1728" s="6">
        <v>3.58</v>
      </c>
      <c r="L1728" t="s">
        <v>174</v>
      </c>
      <c r="M1728">
        <v>0</v>
      </c>
      <c r="N1728" t="s">
        <v>182</v>
      </c>
      <c r="O1728">
        <v>3</v>
      </c>
      <c r="P1728">
        <v>0</v>
      </c>
      <c r="Q1728" s="6">
        <v>98.4</v>
      </c>
      <c r="R1728">
        <v>1</v>
      </c>
      <c r="S1728" s="6">
        <v>255</v>
      </c>
      <c r="T1728">
        <v>0</v>
      </c>
      <c r="U1728" s="6">
        <v>1136</v>
      </c>
      <c r="V1728">
        <v>0</v>
      </c>
      <c r="W1728">
        <v>0</v>
      </c>
      <c r="X1728">
        <v>0</v>
      </c>
      <c r="Y1728" s="6">
        <v>42.3</v>
      </c>
      <c r="Z1728">
        <v>3.9E-2</v>
      </c>
      <c r="AA1728">
        <v>0.05</v>
      </c>
      <c r="AB1728">
        <v>5.8000000000000003E-2</v>
      </c>
      <c r="AC1728">
        <v>6</v>
      </c>
      <c r="AD1728" s="6">
        <v>50</v>
      </c>
      <c r="AE1728" s="6">
        <v>25</v>
      </c>
      <c r="AF1728" s="6">
        <v>0</v>
      </c>
      <c r="AG1728" s="6">
        <v>72.010000000000005</v>
      </c>
      <c r="AH1728" s="6">
        <v>94.79</v>
      </c>
      <c r="AI1728" s="6">
        <f t="shared" si="52"/>
        <v>22.78</v>
      </c>
      <c r="AJ1728" s="5">
        <f t="shared" si="53"/>
        <v>0.24032070893554172</v>
      </c>
    </row>
    <row r="1729" spans="1:36">
      <c r="A1729" t="s">
        <v>512</v>
      </c>
      <c r="B1729" t="s">
        <v>2014</v>
      </c>
      <c r="C1729" t="s">
        <v>97</v>
      </c>
      <c r="D1729" t="s">
        <v>63</v>
      </c>
      <c r="E1729" t="s">
        <v>55</v>
      </c>
      <c r="F1729">
        <v>0</v>
      </c>
      <c r="G1729">
        <v>2372</v>
      </c>
      <c r="H1729">
        <v>1</v>
      </c>
      <c r="I1729" t="s">
        <v>220</v>
      </c>
      <c r="J1729">
        <v>2</v>
      </c>
      <c r="K1729" s="6">
        <v>1.45</v>
      </c>
      <c r="L1729" t="s">
        <v>174</v>
      </c>
      <c r="M1729">
        <v>0</v>
      </c>
      <c r="N1729" t="s">
        <v>187</v>
      </c>
      <c r="O1729">
        <v>2</v>
      </c>
      <c r="P1729">
        <v>0</v>
      </c>
      <c r="Q1729" s="6">
        <v>48.2</v>
      </c>
      <c r="R1729">
        <v>0</v>
      </c>
      <c r="S1729" s="6">
        <v>0</v>
      </c>
      <c r="T1729">
        <v>0</v>
      </c>
      <c r="U1729" s="6">
        <v>449</v>
      </c>
      <c r="V1729">
        <v>1</v>
      </c>
      <c r="W1729">
        <v>0</v>
      </c>
      <c r="X1729">
        <v>0</v>
      </c>
      <c r="Y1729" s="6">
        <v>42.3</v>
      </c>
      <c r="Z1729">
        <v>3.9E-2</v>
      </c>
      <c r="AA1729">
        <v>0.05</v>
      </c>
      <c r="AB1729">
        <v>5.8000000000000003E-2</v>
      </c>
      <c r="AC1729">
        <v>6</v>
      </c>
      <c r="AD1729" s="6">
        <v>50</v>
      </c>
      <c r="AE1729" s="6">
        <v>0</v>
      </c>
      <c r="AF1729" s="6">
        <v>0</v>
      </c>
      <c r="AG1729" s="6">
        <v>94.98</v>
      </c>
      <c r="AH1729" s="6">
        <v>118.92</v>
      </c>
      <c r="AI1729" s="6">
        <f t="shared" si="52"/>
        <v>23.939999999999998</v>
      </c>
      <c r="AJ1729" s="5">
        <f t="shared" si="53"/>
        <v>0.20131180625630674</v>
      </c>
    </row>
    <row r="1730" spans="1:36">
      <c r="A1730" t="s">
        <v>303</v>
      </c>
      <c r="B1730" t="s">
        <v>2015</v>
      </c>
      <c r="C1730" t="s">
        <v>97</v>
      </c>
      <c r="D1730" t="s">
        <v>63</v>
      </c>
      <c r="E1730" t="s">
        <v>55</v>
      </c>
      <c r="F1730">
        <v>0</v>
      </c>
      <c r="G1730">
        <v>2372</v>
      </c>
      <c r="H1730">
        <v>1</v>
      </c>
      <c r="I1730" t="s">
        <v>220</v>
      </c>
      <c r="J1730">
        <v>2</v>
      </c>
      <c r="K1730" s="6">
        <v>3.32</v>
      </c>
      <c r="L1730" t="s">
        <v>174</v>
      </c>
      <c r="M1730">
        <v>0</v>
      </c>
      <c r="N1730" t="s">
        <v>175</v>
      </c>
      <c r="O1730">
        <v>1</v>
      </c>
      <c r="P1730">
        <v>0</v>
      </c>
      <c r="Q1730" s="6">
        <v>51.5</v>
      </c>
      <c r="R1730">
        <v>1</v>
      </c>
      <c r="S1730" s="6">
        <v>2857</v>
      </c>
      <c r="T1730">
        <v>0</v>
      </c>
      <c r="U1730" s="6">
        <v>1166</v>
      </c>
      <c r="V1730">
        <v>0</v>
      </c>
      <c r="W1730">
        <v>0</v>
      </c>
      <c r="X1730">
        <v>0</v>
      </c>
      <c r="Y1730" s="6">
        <v>42.3</v>
      </c>
      <c r="Z1730">
        <v>3.9E-2</v>
      </c>
      <c r="AA1730">
        <v>0.05</v>
      </c>
      <c r="AB1730">
        <v>5.8000000000000003E-2</v>
      </c>
      <c r="AC1730">
        <v>6</v>
      </c>
      <c r="AD1730" s="6">
        <v>50</v>
      </c>
      <c r="AE1730" s="6">
        <v>40</v>
      </c>
      <c r="AF1730" s="6">
        <v>0</v>
      </c>
      <c r="AG1730" s="6">
        <v>65.010000000000005</v>
      </c>
      <c r="AH1730" s="6">
        <v>83.9</v>
      </c>
      <c r="AI1730" s="6">
        <f t="shared" ref="AI1730:AI1793" si="54">AH1730-AG1730</f>
        <v>18.89</v>
      </c>
      <c r="AJ1730" s="5">
        <f t="shared" ref="AJ1730:AJ1793" si="55">IFERROR(AI1730/AH1730,0)</f>
        <v>0.22514898688915375</v>
      </c>
    </row>
    <row r="1731" spans="1:36">
      <c r="A1731" t="s">
        <v>512</v>
      </c>
      <c r="B1731" t="s">
        <v>2016</v>
      </c>
      <c r="C1731" t="s">
        <v>97</v>
      </c>
      <c r="D1731" t="s">
        <v>63</v>
      </c>
      <c r="E1731" t="s">
        <v>55</v>
      </c>
      <c r="F1731">
        <v>0</v>
      </c>
      <c r="G1731">
        <v>2372</v>
      </c>
      <c r="H1731">
        <v>1</v>
      </c>
      <c r="I1731" t="s">
        <v>220</v>
      </c>
      <c r="J1731">
        <v>2</v>
      </c>
      <c r="K1731" s="6">
        <v>3.28</v>
      </c>
      <c r="L1731" t="s">
        <v>174</v>
      </c>
      <c r="M1731">
        <v>0</v>
      </c>
      <c r="N1731" t="s">
        <v>175</v>
      </c>
      <c r="O1731">
        <v>1</v>
      </c>
      <c r="P1731">
        <v>0</v>
      </c>
      <c r="Q1731" s="6">
        <v>36.5</v>
      </c>
      <c r="R1731">
        <v>1</v>
      </c>
      <c r="S1731" s="6">
        <v>1077</v>
      </c>
      <c r="T1731">
        <v>0</v>
      </c>
      <c r="U1731" s="6">
        <v>2296</v>
      </c>
      <c r="V1731">
        <v>0</v>
      </c>
      <c r="W1731">
        <v>0</v>
      </c>
      <c r="X1731">
        <v>0</v>
      </c>
      <c r="Y1731" s="6">
        <v>42.3</v>
      </c>
      <c r="Z1731">
        <v>3.9E-2</v>
      </c>
      <c r="AA1731">
        <v>0.05</v>
      </c>
      <c r="AB1731">
        <v>5.8000000000000003E-2</v>
      </c>
      <c r="AC1731">
        <v>6</v>
      </c>
      <c r="AD1731" s="6">
        <v>50</v>
      </c>
      <c r="AE1731" s="6">
        <v>25</v>
      </c>
      <c r="AF1731" s="6">
        <v>0</v>
      </c>
      <c r="AG1731" s="6">
        <v>66.14</v>
      </c>
      <c r="AH1731" s="6">
        <v>87.58</v>
      </c>
      <c r="AI1731" s="6">
        <f t="shared" si="54"/>
        <v>21.439999999999998</v>
      </c>
      <c r="AJ1731" s="5">
        <f t="shared" si="55"/>
        <v>0.24480474994290932</v>
      </c>
    </row>
    <row r="1732" spans="1:36">
      <c r="A1732" t="s">
        <v>208</v>
      </c>
      <c r="B1732" t="s">
        <v>2017</v>
      </c>
      <c r="C1732" t="s">
        <v>97</v>
      </c>
      <c r="D1732" t="s">
        <v>63</v>
      </c>
      <c r="E1732" t="s">
        <v>55</v>
      </c>
      <c r="F1732">
        <v>0</v>
      </c>
      <c r="G1732">
        <v>2372</v>
      </c>
      <c r="H1732">
        <v>1</v>
      </c>
      <c r="I1732" t="s">
        <v>173</v>
      </c>
      <c r="J1732">
        <v>1</v>
      </c>
      <c r="K1732" s="6">
        <v>1.9</v>
      </c>
      <c r="L1732" t="s">
        <v>174</v>
      </c>
      <c r="M1732">
        <v>0</v>
      </c>
      <c r="N1732" t="s">
        <v>182</v>
      </c>
      <c r="O1732">
        <v>3</v>
      </c>
      <c r="P1732">
        <v>0</v>
      </c>
      <c r="Q1732" s="6">
        <v>90.8</v>
      </c>
      <c r="R1732">
        <v>1</v>
      </c>
      <c r="S1732" s="6">
        <v>2172</v>
      </c>
      <c r="T1732">
        <v>0</v>
      </c>
      <c r="U1732" s="6">
        <v>1598</v>
      </c>
      <c r="V1732">
        <v>0</v>
      </c>
      <c r="W1732">
        <v>0</v>
      </c>
      <c r="X1732">
        <v>0</v>
      </c>
      <c r="Y1732" s="6">
        <v>42.3</v>
      </c>
      <c r="Z1732">
        <v>3.9E-2</v>
      </c>
      <c r="AA1732">
        <v>0.05</v>
      </c>
      <c r="AB1732">
        <v>5.8000000000000003E-2</v>
      </c>
      <c r="AC1732">
        <v>6</v>
      </c>
      <c r="AD1732" s="6">
        <v>50</v>
      </c>
      <c r="AE1732" s="6">
        <v>40</v>
      </c>
      <c r="AF1732" s="6">
        <v>0</v>
      </c>
      <c r="AG1732" s="6">
        <v>62.12</v>
      </c>
      <c r="AH1732" s="6">
        <v>79.989999999999995</v>
      </c>
      <c r="AI1732" s="6">
        <f t="shared" si="54"/>
        <v>17.869999999999997</v>
      </c>
      <c r="AJ1732" s="5">
        <f t="shared" si="55"/>
        <v>0.22340292536567069</v>
      </c>
    </row>
    <row r="1733" spans="1:36">
      <c r="A1733" t="s">
        <v>562</v>
      </c>
      <c r="B1733" t="s">
        <v>2018</v>
      </c>
      <c r="C1733" t="s">
        <v>97</v>
      </c>
      <c r="D1733" t="s">
        <v>63</v>
      </c>
      <c r="E1733" t="s">
        <v>55</v>
      </c>
      <c r="F1733">
        <v>0</v>
      </c>
      <c r="G1733">
        <v>2372</v>
      </c>
      <c r="H1733">
        <v>1</v>
      </c>
      <c r="I1733" t="s">
        <v>181</v>
      </c>
      <c r="J1733">
        <v>3</v>
      </c>
      <c r="K1733" s="6">
        <v>12.63</v>
      </c>
      <c r="L1733" t="s">
        <v>174</v>
      </c>
      <c r="M1733">
        <v>0</v>
      </c>
      <c r="N1733" t="s">
        <v>187</v>
      </c>
      <c r="O1733">
        <v>2</v>
      </c>
      <c r="P1733">
        <v>0</v>
      </c>
      <c r="Q1733" s="6">
        <v>55.1</v>
      </c>
      <c r="R1733">
        <v>0</v>
      </c>
      <c r="S1733" s="6">
        <v>0</v>
      </c>
      <c r="T1733">
        <v>0</v>
      </c>
      <c r="U1733" s="6">
        <v>1003</v>
      </c>
      <c r="V1733">
        <v>0</v>
      </c>
      <c r="W1733">
        <v>0</v>
      </c>
      <c r="X1733">
        <v>0</v>
      </c>
      <c r="Y1733" s="6">
        <v>42.3</v>
      </c>
      <c r="Z1733">
        <v>3.9E-2</v>
      </c>
      <c r="AA1733">
        <v>0.05</v>
      </c>
      <c r="AB1733">
        <v>5.8000000000000003E-2</v>
      </c>
      <c r="AC1733">
        <v>6</v>
      </c>
      <c r="AD1733" s="6">
        <v>60</v>
      </c>
      <c r="AE1733" s="6">
        <v>0</v>
      </c>
      <c r="AF1733" s="6">
        <v>0</v>
      </c>
      <c r="AG1733" s="6">
        <v>113.07</v>
      </c>
      <c r="AH1733" s="6">
        <v>146.19999999999999</v>
      </c>
      <c r="AI1733" s="6">
        <f t="shared" si="54"/>
        <v>33.129999999999995</v>
      </c>
      <c r="AJ1733" s="5">
        <f t="shared" si="55"/>
        <v>0.22660738714090287</v>
      </c>
    </row>
    <row r="1734" spans="1:36">
      <c r="A1734" t="s">
        <v>478</v>
      </c>
      <c r="B1734" t="s">
        <v>2019</v>
      </c>
      <c r="C1734" t="s">
        <v>99</v>
      </c>
      <c r="D1734" t="s">
        <v>63</v>
      </c>
      <c r="E1734" t="s">
        <v>55</v>
      </c>
      <c r="F1734">
        <v>0</v>
      </c>
      <c r="G1734">
        <v>2463</v>
      </c>
      <c r="H1734">
        <v>1</v>
      </c>
      <c r="I1734" t="s">
        <v>220</v>
      </c>
      <c r="J1734">
        <v>2</v>
      </c>
      <c r="K1734" s="6">
        <v>2.27</v>
      </c>
      <c r="L1734" t="s">
        <v>174</v>
      </c>
      <c r="M1734">
        <v>0</v>
      </c>
      <c r="N1734" t="s">
        <v>175</v>
      </c>
      <c r="O1734">
        <v>1</v>
      </c>
      <c r="P1734">
        <v>0</v>
      </c>
      <c r="Q1734" s="6">
        <v>34.700000000000003</v>
      </c>
      <c r="R1734">
        <v>0</v>
      </c>
      <c r="S1734" s="6">
        <v>0</v>
      </c>
      <c r="T1734">
        <v>0</v>
      </c>
      <c r="U1734" s="6">
        <v>914</v>
      </c>
      <c r="V1734">
        <v>0</v>
      </c>
      <c r="W1734">
        <v>0</v>
      </c>
      <c r="X1734">
        <v>0</v>
      </c>
      <c r="Y1734" s="6">
        <v>49.4</v>
      </c>
      <c r="Z1734">
        <v>2E-3</v>
      </c>
      <c r="AA1734">
        <v>5.0999999999999997E-2</v>
      </c>
      <c r="AB1734">
        <v>2.5000000000000001E-2</v>
      </c>
      <c r="AC1734">
        <v>6</v>
      </c>
      <c r="AD1734" s="6">
        <v>50</v>
      </c>
      <c r="AE1734" s="6">
        <v>0</v>
      </c>
      <c r="AF1734" s="6">
        <v>0</v>
      </c>
      <c r="AG1734" s="6">
        <v>52.22</v>
      </c>
      <c r="AH1734" s="6">
        <v>66.38</v>
      </c>
      <c r="AI1734" s="6">
        <f t="shared" si="54"/>
        <v>14.159999999999997</v>
      </c>
      <c r="AJ1734" s="5">
        <f t="shared" si="55"/>
        <v>0.21331726423621569</v>
      </c>
    </row>
    <row r="1735" spans="1:36">
      <c r="A1735" t="s">
        <v>221</v>
      </c>
      <c r="B1735" t="s">
        <v>2020</v>
      </c>
      <c r="C1735" t="s">
        <v>99</v>
      </c>
      <c r="D1735" t="s">
        <v>63</v>
      </c>
      <c r="E1735" t="s">
        <v>55</v>
      </c>
      <c r="F1735">
        <v>0</v>
      </c>
      <c r="G1735">
        <v>2463</v>
      </c>
      <c r="H1735">
        <v>1</v>
      </c>
      <c r="I1735" t="s">
        <v>181</v>
      </c>
      <c r="J1735">
        <v>3</v>
      </c>
      <c r="K1735" s="6">
        <v>6.51</v>
      </c>
      <c r="L1735" t="s">
        <v>174</v>
      </c>
      <c r="M1735">
        <v>0</v>
      </c>
      <c r="N1735" t="s">
        <v>187</v>
      </c>
      <c r="O1735">
        <v>2</v>
      </c>
      <c r="P1735">
        <v>0</v>
      </c>
      <c r="Q1735" s="6">
        <v>49</v>
      </c>
      <c r="R1735">
        <v>0</v>
      </c>
      <c r="S1735" s="6">
        <v>0</v>
      </c>
      <c r="T1735">
        <v>0</v>
      </c>
      <c r="U1735" s="6">
        <v>759</v>
      </c>
      <c r="V1735">
        <v>0</v>
      </c>
      <c r="W1735">
        <v>0</v>
      </c>
      <c r="X1735">
        <v>0</v>
      </c>
      <c r="Y1735" s="6">
        <v>49.4</v>
      </c>
      <c r="Z1735">
        <v>2E-3</v>
      </c>
      <c r="AA1735">
        <v>5.0999999999999997E-2</v>
      </c>
      <c r="AB1735">
        <v>2.5000000000000001E-2</v>
      </c>
      <c r="AC1735">
        <v>6</v>
      </c>
      <c r="AD1735" s="6">
        <v>60</v>
      </c>
      <c r="AE1735" s="6">
        <v>0</v>
      </c>
      <c r="AF1735" s="6">
        <v>0</v>
      </c>
      <c r="AG1735" s="6">
        <v>75.73</v>
      </c>
      <c r="AH1735" s="6">
        <v>97.65</v>
      </c>
      <c r="AI1735" s="6">
        <f t="shared" si="54"/>
        <v>21.92</v>
      </c>
      <c r="AJ1735" s="5">
        <f t="shared" si="55"/>
        <v>0.2244751664106503</v>
      </c>
    </row>
    <row r="1736" spans="1:36">
      <c r="A1736" t="s">
        <v>263</v>
      </c>
      <c r="B1736" t="s">
        <v>2021</v>
      </c>
      <c r="C1736" t="s">
        <v>99</v>
      </c>
      <c r="D1736" t="s">
        <v>63</v>
      </c>
      <c r="E1736" t="s">
        <v>55</v>
      </c>
      <c r="F1736">
        <v>0</v>
      </c>
      <c r="G1736">
        <v>2463</v>
      </c>
      <c r="H1736">
        <v>1</v>
      </c>
      <c r="I1736" t="s">
        <v>220</v>
      </c>
      <c r="J1736">
        <v>2</v>
      </c>
      <c r="K1736" s="6">
        <v>5.76</v>
      </c>
      <c r="L1736" t="s">
        <v>174</v>
      </c>
      <c r="M1736">
        <v>0</v>
      </c>
      <c r="N1736" t="s">
        <v>175</v>
      </c>
      <c r="O1736">
        <v>1</v>
      </c>
      <c r="P1736">
        <v>0</v>
      </c>
      <c r="Q1736" s="6">
        <v>34.799999999999997</v>
      </c>
      <c r="R1736">
        <v>0</v>
      </c>
      <c r="S1736" s="6">
        <v>0</v>
      </c>
      <c r="T1736">
        <v>0</v>
      </c>
      <c r="U1736" s="6">
        <v>465</v>
      </c>
      <c r="V1736">
        <v>0</v>
      </c>
      <c r="W1736">
        <v>0</v>
      </c>
      <c r="X1736">
        <v>0</v>
      </c>
      <c r="Y1736" s="6">
        <v>49.4</v>
      </c>
      <c r="Z1736">
        <v>2E-3</v>
      </c>
      <c r="AA1736">
        <v>5.0999999999999997E-2</v>
      </c>
      <c r="AB1736">
        <v>2.5000000000000001E-2</v>
      </c>
      <c r="AC1736">
        <v>6</v>
      </c>
      <c r="AD1736" s="6">
        <v>50</v>
      </c>
      <c r="AE1736" s="6">
        <v>0</v>
      </c>
      <c r="AF1736" s="6">
        <v>0</v>
      </c>
      <c r="AG1736" s="6">
        <v>65.98</v>
      </c>
      <c r="AH1736" s="6">
        <v>85.99</v>
      </c>
      <c r="AI1736" s="6">
        <f t="shared" si="54"/>
        <v>20.009999999999991</v>
      </c>
      <c r="AJ1736" s="5">
        <f t="shared" si="55"/>
        <v>0.23270147691592036</v>
      </c>
    </row>
    <row r="1737" spans="1:36">
      <c r="A1737" t="s">
        <v>212</v>
      </c>
      <c r="B1737" t="s">
        <v>2022</v>
      </c>
      <c r="C1737" t="s">
        <v>99</v>
      </c>
      <c r="D1737" t="s">
        <v>63</v>
      </c>
      <c r="E1737" t="s">
        <v>55</v>
      </c>
      <c r="F1737">
        <v>0</v>
      </c>
      <c r="G1737">
        <v>2463</v>
      </c>
      <c r="H1737">
        <v>1</v>
      </c>
      <c r="I1737" t="s">
        <v>220</v>
      </c>
      <c r="J1737">
        <v>2</v>
      </c>
      <c r="K1737" s="6">
        <v>4.25</v>
      </c>
      <c r="L1737" t="s">
        <v>174</v>
      </c>
      <c r="M1737">
        <v>0</v>
      </c>
      <c r="N1737" t="s">
        <v>187</v>
      </c>
      <c r="O1737">
        <v>2</v>
      </c>
      <c r="P1737">
        <v>0</v>
      </c>
      <c r="Q1737" s="6">
        <v>63.6</v>
      </c>
      <c r="R1737">
        <v>0</v>
      </c>
      <c r="S1737" s="6">
        <v>0</v>
      </c>
      <c r="T1737">
        <v>0</v>
      </c>
      <c r="U1737" s="6">
        <v>893</v>
      </c>
      <c r="V1737">
        <v>0</v>
      </c>
      <c r="W1737">
        <v>0</v>
      </c>
      <c r="X1737">
        <v>0</v>
      </c>
      <c r="Y1737" s="6">
        <v>49.4</v>
      </c>
      <c r="Z1737">
        <v>2E-3</v>
      </c>
      <c r="AA1737">
        <v>5.0999999999999997E-2</v>
      </c>
      <c r="AB1737">
        <v>2.5000000000000001E-2</v>
      </c>
      <c r="AC1737">
        <v>6</v>
      </c>
      <c r="AD1737" s="6">
        <v>50</v>
      </c>
      <c r="AE1737" s="6">
        <v>0</v>
      </c>
      <c r="AF1737" s="6">
        <v>0</v>
      </c>
      <c r="AG1737" s="6">
        <v>74.81</v>
      </c>
      <c r="AH1737" s="6">
        <v>97.36</v>
      </c>
      <c r="AI1737" s="6">
        <f t="shared" si="54"/>
        <v>22.549999999999997</v>
      </c>
      <c r="AJ1737" s="5">
        <f t="shared" si="55"/>
        <v>0.23161462612982742</v>
      </c>
    </row>
    <row r="1738" spans="1:36">
      <c r="A1738" t="s">
        <v>316</v>
      </c>
      <c r="B1738" t="s">
        <v>2023</v>
      </c>
      <c r="C1738" t="s">
        <v>99</v>
      </c>
      <c r="D1738" t="s">
        <v>63</v>
      </c>
      <c r="E1738" t="s">
        <v>55</v>
      </c>
      <c r="F1738">
        <v>0</v>
      </c>
      <c r="G1738">
        <v>2463</v>
      </c>
      <c r="H1738">
        <v>1</v>
      </c>
      <c r="I1738" t="s">
        <v>173</v>
      </c>
      <c r="J1738">
        <v>1</v>
      </c>
      <c r="K1738" s="6">
        <v>1.5</v>
      </c>
      <c r="L1738" t="s">
        <v>174</v>
      </c>
      <c r="M1738">
        <v>0</v>
      </c>
      <c r="N1738" t="s">
        <v>175</v>
      </c>
      <c r="O1738">
        <v>1</v>
      </c>
      <c r="P1738">
        <v>0</v>
      </c>
      <c r="Q1738" s="6">
        <v>42</v>
      </c>
      <c r="R1738">
        <v>1</v>
      </c>
      <c r="S1738" s="6">
        <v>1064</v>
      </c>
      <c r="T1738">
        <v>0</v>
      </c>
      <c r="U1738" s="6">
        <v>686</v>
      </c>
      <c r="V1738">
        <v>0</v>
      </c>
      <c r="W1738">
        <v>0</v>
      </c>
      <c r="X1738">
        <v>0</v>
      </c>
      <c r="Y1738" s="6">
        <v>49.4</v>
      </c>
      <c r="Z1738">
        <v>2E-3</v>
      </c>
      <c r="AA1738">
        <v>5.0999999999999997E-2</v>
      </c>
      <c r="AB1738">
        <v>2.5000000000000001E-2</v>
      </c>
      <c r="AC1738">
        <v>6</v>
      </c>
      <c r="AD1738" s="6">
        <v>50</v>
      </c>
      <c r="AE1738" s="6">
        <v>25</v>
      </c>
      <c r="AF1738" s="6">
        <v>0</v>
      </c>
      <c r="AG1738" s="6">
        <v>55.22</v>
      </c>
      <c r="AH1738" s="6">
        <v>69.81</v>
      </c>
      <c r="AI1738" s="6">
        <f t="shared" si="54"/>
        <v>14.590000000000003</v>
      </c>
      <c r="AJ1738" s="5">
        <f t="shared" si="55"/>
        <v>0.20899584586735429</v>
      </c>
    </row>
    <row r="1739" spans="1:36">
      <c r="A1739" t="s">
        <v>293</v>
      </c>
      <c r="B1739" t="s">
        <v>2024</v>
      </c>
      <c r="C1739" t="s">
        <v>99</v>
      </c>
      <c r="D1739" t="s">
        <v>63</v>
      </c>
      <c r="E1739" t="s">
        <v>55</v>
      </c>
      <c r="F1739">
        <v>0</v>
      </c>
      <c r="G1739">
        <v>2463</v>
      </c>
      <c r="H1739">
        <v>1</v>
      </c>
      <c r="I1739" t="s">
        <v>220</v>
      </c>
      <c r="J1739">
        <v>2</v>
      </c>
      <c r="K1739" s="6">
        <v>5.47</v>
      </c>
      <c r="L1739" t="s">
        <v>174</v>
      </c>
      <c r="M1739">
        <v>0</v>
      </c>
      <c r="N1739" t="s">
        <v>175</v>
      </c>
      <c r="O1739">
        <v>1</v>
      </c>
      <c r="P1739">
        <v>1</v>
      </c>
      <c r="Q1739" s="6">
        <v>29.6</v>
      </c>
      <c r="R1739">
        <v>1</v>
      </c>
      <c r="S1739" s="6">
        <v>2248</v>
      </c>
      <c r="T1739">
        <v>0</v>
      </c>
      <c r="U1739" s="6">
        <v>400</v>
      </c>
      <c r="V1739">
        <v>0</v>
      </c>
      <c r="W1739">
        <v>0</v>
      </c>
      <c r="X1739">
        <v>0</v>
      </c>
      <c r="Y1739" s="6">
        <v>49.4</v>
      </c>
      <c r="Z1739">
        <v>2E-3</v>
      </c>
      <c r="AA1739">
        <v>5.0999999999999997E-2</v>
      </c>
      <c r="AB1739">
        <v>2.5000000000000001E-2</v>
      </c>
      <c r="AC1739">
        <v>6</v>
      </c>
      <c r="AD1739" s="6">
        <v>50</v>
      </c>
      <c r="AE1739" s="6">
        <v>40</v>
      </c>
      <c r="AF1739" s="6">
        <v>0</v>
      </c>
      <c r="AG1739" s="6">
        <v>87.03</v>
      </c>
      <c r="AH1739" s="6">
        <v>109.97</v>
      </c>
      <c r="AI1739" s="6">
        <f t="shared" si="54"/>
        <v>22.939999999999998</v>
      </c>
      <c r="AJ1739" s="5">
        <f t="shared" si="55"/>
        <v>0.20860234609438935</v>
      </c>
    </row>
    <row r="1740" spans="1:36">
      <c r="A1740" t="s">
        <v>501</v>
      </c>
      <c r="B1740" t="s">
        <v>2025</v>
      </c>
      <c r="C1740" t="s">
        <v>99</v>
      </c>
      <c r="D1740" t="s">
        <v>63</v>
      </c>
      <c r="E1740" t="s">
        <v>55</v>
      </c>
      <c r="F1740">
        <v>0</v>
      </c>
      <c r="G1740">
        <v>2463</v>
      </c>
      <c r="H1740">
        <v>1</v>
      </c>
      <c r="I1740" t="s">
        <v>173</v>
      </c>
      <c r="J1740">
        <v>1</v>
      </c>
      <c r="K1740" s="6">
        <v>1.87</v>
      </c>
      <c r="L1740" t="s">
        <v>174</v>
      </c>
      <c r="M1740">
        <v>0</v>
      </c>
      <c r="N1740" t="s">
        <v>175</v>
      </c>
      <c r="O1740">
        <v>1</v>
      </c>
      <c r="P1740">
        <v>0</v>
      </c>
      <c r="Q1740" s="6">
        <v>28.6</v>
      </c>
      <c r="R1740">
        <v>1</v>
      </c>
      <c r="S1740" s="6">
        <v>573</v>
      </c>
      <c r="T1740">
        <v>0</v>
      </c>
      <c r="U1740" s="6">
        <v>1245</v>
      </c>
      <c r="V1740">
        <v>0</v>
      </c>
      <c r="W1740">
        <v>0</v>
      </c>
      <c r="X1740">
        <v>0</v>
      </c>
      <c r="Y1740" s="6">
        <v>49.4</v>
      </c>
      <c r="Z1740">
        <v>2E-3</v>
      </c>
      <c r="AA1740">
        <v>5.0999999999999997E-2</v>
      </c>
      <c r="AB1740">
        <v>2.5000000000000001E-2</v>
      </c>
      <c r="AC1740">
        <v>6</v>
      </c>
      <c r="AD1740" s="6">
        <v>50</v>
      </c>
      <c r="AE1740" s="6">
        <v>25</v>
      </c>
      <c r="AF1740" s="6">
        <v>0</v>
      </c>
      <c r="AG1740" s="6">
        <v>44.96</v>
      </c>
      <c r="AH1740" s="6">
        <v>56.5</v>
      </c>
      <c r="AI1740" s="6">
        <f t="shared" si="54"/>
        <v>11.54</v>
      </c>
      <c r="AJ1740" s="5">
        <f t="shared" si="55"/>
        <v>0.20424778761061946</v>
      </c>
    </row>
    <row r="1741" spans="1:36">
      <c r="A1741" t="s">
        <v>249</v>
      </c>
      <c r="B1741" t="s">
        <v>2026</v>
      </c>
      <c r="C1741" t="s">
        <v>99</v>
      </c>
      <c r="D1741" t="s">
        <v>63</v>
      </c>
      <c r="E1741" t="s">
        <v>55</v>
      </c>
      <c r="F1741">
        <v>0</v>
      </c>
      <c r="G1741">
        <v>2463</v>
      </c>
      <c r="H1741">
        <v>1</v>
      </c>
      <c r="I1741" t="s">
        <v>220</v>
      </c>
      <c r="J1741">
        <v>2</v>
      </c>
      <c r="K1741" s="6">
        <v>4.45</v>
      </c>
      <c r="L1741" t="s">
        <v>174</v>
      </c>
      <c r="M1741">
        <v>0</v>
      </c>
      <c r="N1741" t="s">
        <v>175</v>
      </c>
      <c r="O1741">
        <v>1</v>
      </c>
      <c r="P1741">
        <v>0</v>
      </c>
      <c r="Q1741" s="6">
        <v>38.200000000000003</v>
      </c>
      <c r="R1741">
        <v>0</v>
      </c>
      <c r="S1741" s="6">
        <v>0</v>
      </c>
      <c r="T1741">
        <v>0</v>
      </c>
      <c r="U1741" s="6">
        <v>642</v>
      </c>
      <c r="V1741">
        <v>0</v>
      </c>
      <c r="W1741">
        <v>0</v>
      </c>
      <c r="X1741">
        <v>0</v>
      </c>
      <c r="Y1741" s="6">
        <v>49.4</v>
      </c>
      <c r="Z1741">
        <v>2E-3</v>
      </c>
      <c r="AA1741">
        <v>5.0999999999999997E-2</v>
      </c>
      <c r="AB1741">
        <v>2.5000000000000001E-2</v>
      </c>
      <c r="AC1741">
        <v>6</v>
      </c>
      <c r="AD1741" s="6">
        <v>50</v>
      </c>
      <c r="AE1741" s="6">
        <v>0</v>
      </c>
      <c r="AF1741" s="6">
        <v>0</v>
      </c>
      <c r="AG1741" s="6">
        <v>56.08</v>
      </c>
      <c r="AH1741" s="6">
        <v>71.27</v>
      </c>
      <c r="AI1741" s="6">
        <f t="shared" si="54"/>
        <v>15.189999999999998</v>
      </c>
      <c r="AJ1741" s="5">
        <f t="shared" si="55"/>
        <v>0.21313315560544407</v>
      </c>
    </row>
    <row r="1742" spans="1:36">
      <c r="A1742" t="s">
        <v>345</v>
      </c>
      <c r="B1742" t="s">
        <v>2027</v>
      </c>
      <c r="C1742" t="s">
        <v>99</v>
      </c>
      <c r="D1742" t="s">
        <v>63</v>
      </c>
      <c r="E1742" t="s">
        <v>55</v>
      </c>
      <c r="F1742">
        <v>0</v>
      </c>
      <c r="G1742">
        <v>2463</v>
      </c>
      <c r="H1742">
        <v>1</v>
      </c>
      <c r="I1742" t="s">
        <v>181</v>
      </c>
      <c r="J1742">
        <v>3</v>
      </c>
      <c r="K1742" s="6">
        <v>8.6999999999999993</v>
      </c>
      <c r="L1742" t="s">
        <v>174</v>
      </c>
      <c r="M1742">
        <v>0</v>
      </c>
      <c r="N1742" t="s">
        <v>187</v>
      </c>
      <c r="O1742">
        <v>2</v>
      </c>
      <c r="P1742">
        <v>0</v>
      </c>
      <c r="Q1742" s="6">
        <v>48.2</v>
      </c>
      <c r="R1742">
        <v>1</v>
      </c>
      <c r="S1742" s="6">
        <v>2431</v>
      </c>
      <c r="T1742">
        <v>0</v>
      </c>
      <c r="U1742" s="6">
        <v>363</v>
      </c>
      <c r="V1742">
        <v>0</v>
      </c>
      <c r="W1742">
        <v>0</v>
      </c>
      <c r="X1742">
        <v>0</v>
      </c>
      <c r="Y1742" s="6">
        <v>49.4</v>
      </c>
      <c r="Z1742">
        <v>2E-3</v>
      </c>
      <c r="AA1742">
        <v>5.0999999999999997E-2</v>
      </c>
      <c r="AB1742">
        <v>2.5000000000000001E-2</v>
      </c>
      <c r="AC1742">
        <v>6</v>
      </c>
      <c r="AD1742" s="6">
        <v>60</v>
      </c>
      <c r="AE1742" s="6">
        <v>40</v>
      </c>
      <c r="AF1742" s="6">
        <v>0</v>
      </c>
      <c r="AG1742" s="6">
        <v>106.55</v>
      </c>
      <c r="AH1742" s="6">
        <v>137.31</v>
      </c>
      <c r="AI1742" s="6">
        <f t="shared" si="54"/>
        <v>30.760000000000005</v>
      </c>
      <c r="AJ1742" s="5">
        <f t="shared" si="55"/>
        <v>0.22401864394435952</v>
      </c>
    </row>
    <row r="1743" spans="1:36">
      <c r="A1743" t="s">
        <v>372</v>
      </c>
      <c r="B1743" t="s">
        <v>2028</v>
      </c>
      <c r="C1743" t="s">
        <v>99</v>
      </c>
      <c r="D1743" t="s">
        <v>63</v>
      </c>
      <c r="E1743" t="s">
        <v>55</v>
      </c>
      <c r="F1743">
        <v>0</v>
      </c>
      <c r="G1743">
        <v>2463</v>
      </c>
      <c r="H1743">
        <v>1</v>
      </c>
      <c r="I1743" t="s">
        <v>173</v>
      </c>
      <c r="J1743">
        <v>1</v>
      </c>
      <c r="K1743" s="6">
        <v>2.42</v>
      </c>
      <c r="L1743" t="s">
        <v>174</v>
      </c>
      <c r="M1743">
        <v>0</v>
      </c>
      <c r="N1743" t="s">
        <v>182</v>
      </c>
      <c r="O1743">
        <v>3</v>
      </c>
      <c r="P1743">
        <v>0</v>
      </c>
      <c r="Q1743" s="6">
        <v>113.6</v>
      </c>
      <c r="R1743">
        <v>1</v>
      </c>
      <c r="S1743" s="6">
        <v>2810</v>
      </c>
      <c r="T1743">
        <v>0</v>
      </c>
      <c r="U1743" s="6">
        <v>1112</v>
      </c>
      <c r="V1743">
        <v>0</v>
      </c>
      <c r="W1743">
        <v>0</v>
      </c>
      <c r="X1743">
        <v>0</v>
      </c>
      <c r="Y1743" s="6">
        <v>49.4</v>
      </c>
      <c r="Z1743">
        <v>2E-3</v>
      </c>
      <c r="AA1743">
        <v>5.0999999999999997E-2</v>
      </c>
      <c r="AB1743">
        <v>2.5000000000000001E-2</v>
      </c>
      <c r="AC1743">
        <v>6</v>
      </c>
      <c r="AD1743" s="6">
        <v>50</v>
      </c>
      <c r="AE1743" s="6">
        <v>40</v>
      </c>
      <c r="AF1743" s="6">
        <v>0</v>
      </c>
      <c r="AG1743" s="6">
        <v>61.25</v>
      </c>
      <c r="AH1743" s="6">
        <v>77.900000000000006</v>
      </c>
      <c r="AI1743" s="6">
        <f t="shared" si="54"/>
        <v>16.650000000000006</v>
      </c>
      <c r="AJ1743" s="5">
        <f t="shared" si="55"/>
        <v>0.21373555840821573</v>
      </c>
    </row>
    <row r="1744" spans="1:36">
      <c r="A1744" t="s">
        <v>375</v>
      </c>
      <c r="B1744" t="s">
        <v>2029</v>
      </c>
      <c r="C1744" t="s">
        <v>99</v>
      </c>
      <c r="D1744" t="s">
        <v>63</v>
      </c>
      <c r="E1744" t="s">
        <v>55</v>
      </c>
      <c r="F1744">
        <v>0</v>
      </c>
      <c r="G1744">
        <v>2463</v>
      </c>
      <c r="H1744">
        <v>1</v>
      </c>
      <c r="I1744" t="s">
        <v>220</v>
      </c>
      <c r="J1744">
        <v>2</v>
      </c>
      <c r="K1744" s="6">
        <v>3.83</v>
      </c>
      <c r="L1744" t="s">
        <v>174</v>
      </c>
      <c r="M1744">
        <v>0</v>
      </c>
      <c r="N1744" t="s">
        <v>175</v>
      </c>
      <c r="O1744">
        <v>1</v>
      </c>
      <c r="P1744">
        <v>0</v>
      </c>
      <c r="Q1744" s="6">
        <v>35.700000000000003</v>
      </c>
      <c r="R1744">
        <v>1</v>
      </c>
      <c r="S1744" s="6">
        <v>2143</v>
      </c>
      <c r="T1744">
        <v>0</v>
      </c>
      <c r="U1744" s="6">
        <v>1047</v>
      </c>
      <c r="V1744">
        <v>0</v>
      </c>
      <c r="W1744">
        <v>0</v>
      </c>
      <c r="X1744">
        <v>0</v>
      </c>
      <c r="Y1744" s="6">
        <v>49.4</v>
      </c>
      <c r="Z1744">
        <v>2E-3</v>
      </c>
      <c r="AA1744">
        <v>5.0999999999999997E-2</v>
      </c>
      <c r="AB1744">
        <v>2.5000000000000001E-2</v>
      </c>
      <c r="AC1744">
        <v>6</v>
      </c>
      <c r="AD1744" s="6">
        <v>50</v>
      </c>
      <c r="AE1744" s="6">
        <v>40</v>
      </c>
      <c r="AF1744" s="6">
        <v>0</v>
      </c>
      <c r="AG1744" s="6">
        <v>55.92</v>
      </c>
      <c r="AH1744" s="6">
        <v>74.63</v>
      </c>
      <c r="AI1744" s="6">
        <f t="shared" si="54"/>
        <v>18.709999999999994</v>
      </c>
      <c r="AJ1744" s="5">
        <f t="shared" si="55"/>
        <v>0.25070347045424085</v>
      </c>
    </row>
    <row r="1745" spans="1:36">
      <c r="A1745" t="s">
        <v>350</v>
      </c>
      <c r="B1745" t="s">
        <v>2030</v>
      </c>
      <c r="C1745" t="s">
        <v>99</v>
      </c>
      <c r="D1745" t="s">
        <v>63</v>
      </c>
      <c r="E1745" t="s">
        <v>55</v>
      </c>
      <c r="F1745">
        <v>0</v>
      </c>
      <c r="G1745">
        <v>2463</v>
      </c>
      <c r="H1745">
        <v>1</v>
      </c>
      <c r="I1745" t="s">
        <v>220</v>
      </c>
      <c r="J1745">
        <v>2</v>
      </c>
      <c r="K1745" s="6">
        <v>3.74</v>
      </c>
      <c r="L1745" t="s">
        <v>174</v>
      </c>
      <c r="M1745">
        <v>0</v>
      </c>
      <c r="N1745" t="s">
        <v>182</v>
      </c>
      <c r="O1745">
        <v>3</v>
      </c>
      <c r="P1745">
        <v>0</v>
      </c>
      <c r="Q1745" s="6">
        <v>79.8</v>
      </c>
      <c r="R1745">
        <v>0</v>
      </c>
      <c r="S1745" s="6">
        <v>0</v>
      </c>
      <c r="T1745">
        <v>0</v>
      </c>
      <c r="U1745" s="6">
        <v>593</v>
      </c>
      <c r="V1745">
        <v>0</v>
      </c>
      <c r="W1745">
        <v>0</v>
      </c>
      <c r="X1745">
        <v>0</v>
      </c>
      <c r="Y1745" s="6">
        <v>49.4</v>
      </c>
      <c r="Z1745">
        <v>2E-3</v>
      </c>
      <c r="AA1745">
        <v>5.0999999999999997E-2</v>
      </c>
      <c r="AB1745">
        <v>2.5000000000000001E-2</v>
      </c>
      <c r="AC1745">
        <v>6</v>
      </c>
      <c r="AD1745" s="6">
        <v>50</v>
      </c>
      <c r="AE1745" s="6">
        <v>0</v>
      </c>
      <c r="AF1745" s="6">
        <v>0</v>
      </c>
      <c r="AG1745" s="6">
        <v>67.06</v>
      </c>
      <c r="AH1745" s="6">
        <v>88.15</v>
      </c>
      <c r="AI1745" s="6">
        <f t="shared" si="54"/>
        <v>21.090000000000003</v>
      </c>
      <c r="AJ1745" s="5">
        <f t="shared" si="55"/>
        <v>0.23925127623369261</v>
      </c>
    </row>
    <row r="1746" spans="1:36">
      <c r="A1746" t="s">
        <v>228</v>
      </c>
      <c r="B1746" t="s">
        <v>2031</v>
      </c>
      <c r="C1746" t="s">
        <v>99</v>
      </c>
      <c r="D1746" t="s">
        <v>63</v>
      </c>
      <c r="E1746" t="s">
        <v>55</v>
      </c>
      <c r="F1746">
        <v>0</v>
      </c>
      <c r="G1746">
        <v>2463</v>
      </c>
      <c r="H1746">
        <v>1</v>
      </c>
      <c r="I1746" t="s">
        <v>173</v>
      </c>
      <c r="J1746">
        <v>1</v>
      </c>
      <c r="K1746" s="6">
        <v>1.87</v>
      </c>
      <c r="L1746" t="s">
        <v>174</v>
      </c>
      <c r="M1746">
        <v>0</v>
      </c>
      <c r="N1746" t="s">
        <v>175</v>
      </c>
      <c r="O1746">
        <v>1</v>
      </c>
      <c r="P1746">
        <v>0</v>
      </c>
      <c r="Q1746" s="6">
        <v>35.200000000000003</v>
      </c>
      <c r="R1746">
        <v>0</v>
      </c>
      <c r="S1746" s="6">
        <v>0</v>
      </c>
      <c r="T1746">
        <v>0</v>
      </c>
      <c r="U1746" s="6">
        <v>505</v>
      </c>
      <c r="V1746">
        <v>0</v>
      </c>
      <c r="W1746">
        <v>0</v>
      </c>
      <c r="X1746">
        <v>0</v>
      </c>
      <c r="Y1746" s="6">
        <v>49.4</v>
      </c>
      <c r="Z1746">
        <v>2E-3</v>
      </c>
      <c r="AA1746">
        <v>5.0999999999999997E-2</v>
      </c>
      <c r="AB1746">
        <v>2.5000000000000001E-2</v>
      </c>
      <c r="AC1746">
        <v>6</v>
      </c>
      <c r="AD1746" s="6">
        <v>50</v>
      </c>
      <c r="AE1746" s="6">
        <v>0</v>
      </c>
      <c r="AF1746" s="6">
        <v>0</v>
      </c>
      <c r="AG1746" s="6">
        <v>58.22</v>
      </c>
      <c r="AH1746" s="6">
        <v>74.36</v>
      </c>
      <c r="AI1746" s="6">
        <f t="shared" si="54"/>
        <v>16.14</v>
      </c>
      <c r="AJ1746" s="5">
        <f t="shared" si="55"/>
        <v>0.21705217859064013</v>
      </c>
    </row>
    <row r="1747" spans="1:36">
      <c r="A1747" t="s">
        <v>406</v>
      </c>
      <c r="B1747" t="s">
        <v>2032</v>
      </c>
      <c r="C1747" t="s">
        <v>99</v>
      </c>
      <c r="D1747" t="s">
        <v>63</v>
      </c>
      <c r="E1747" t="s">
        <v>55</v>
      </c>
      <c r="F1747">
        <v>0</v>
      </c>
      <c r="G1747">
        <v>2463</v>
      </c>
      <c r="H1747">
        <v>1</v>
      </c>
      <c r="I1747" t="s">
        <v>173</v>
      </c>
      <c r="J1747">
        <v>1</v>
      </c>
      <c r="K1747" s="6">
        <v>0.83</v>
      </c>
      <c r="L1747" t="s">
        <v>174</v>
      </c>
      <c r="M1747">
        <v>0</v>
      </c>
      <c r="N1747" t="s">
        <v>187</v>
      </c>
      <c r="O1747">
        <v>2</v>
      </c>
      <c r="P1747">
        <v>0</v>
      </c>
      <c r="Q1747" s="6">
        <v>49.2</v>
      </c>
      <c r="R1747">
        <v>0</v>
      </c>
      <c r="S1747" s="6">
        <v>0</v>
      </c>
      <c r="T1747">
        <v>0</v>
      </c>
      <c r="U1747" s="6">
        <v>666</v>
      </c>
      <c r="V1747">
        <v>0</v>
      </c>
      <c r="W1747">
        <v>0</v>
      </c>
      <c r="X1747">
        <v>0</v>
      </c>
      <c r="Y1747" s="6">
        <v>49.4</v>
      </c>
      <c r="Z1747">
        <v>2E-3</v>
      </c>
      <c r="AA1747">
        <v>5.0999999999999997E-2</v>
      </c>
      <c r="AB1747">
        <v>2.5000000000000001E-2</v>
      </c>
      <c r="AC1747">
        <v>6</v>
      </c>
      <c r="AD1747" s="6">
        <v>50</v>
      </c>
      <c r="AE1747" s="6">
        <v>0</v>
      </c>
      <c r="AF1747" s="6">
        <v>0</v>
      </c>
      <c r="AG1747" s="6">
        <v>55.47</v>
      </c>
      <c r="AH1747" s="6">
        <v>70.44</v>
      </c>
      <c r="AI1747" s="6">
        <f t="shared" si="54"/>
        <v>14.969999999999999</v>
      </c>
      <c r="AJ1747" s="5">
        <f t="shared" si="55"/>
        <v>0.21252129471890971</v>
      </c>
    </row>
    <row r="1748" spans="1:36">
      <c r="A1748" t="s">
        <v>488</v>
      </c>
      <c r="B1748" t="s">
        <v>2033</v>
      </c>
      <c r="C1748" t="s">
        <v>99</v>
      </c>
      <c r="D1748" t="s">
        <v>63</v>
      </c>
      <c r="E1748" t="s">
        <v>55</v>
      </c>
      <c r="F1748">
        <v>0</v>
      </c>
      <c r="G1748">
        <v>2463</v>
      </c>
      <c r="H1748">
        <v>1</v>
      </c>
      <c r="I1748" t="s">
        <v>173</v>
      </c>
      <c r="J1748">
        <v>1</v>
      </c>
      <c r="K1748" s="6">
        <v>1.38</v>
      </c>
      <c r="L1748" t="s">
        <v>174</v>
      </c>
      <c r="M1748">
        <v>0</v>
      </c>
      <c r="N1748" t="s">
        <v>187</v>
      </c>
      <c r="O1748">
        <v>2</v>
      </c>
      <c r="P1748">
        <v>0</v>
      </c>
      <c r="Q1748" s="6">
        <v>49</v>
      </c>
      <c r="R1748">
        <v>0</v>
      </c>
      <c r="S1748" s="6">
        <v>0</v>
      </c>
      <c r="T1748">
        <v>0</v>
      </c>
      <c r="U1748" s="6">
        <v>332</v>
      </c>
      <c r="V1748">
        <v>0</v>
      </c>
      <c r="W1748">
        <v>0</v>
      </c>
      <c r="X1748">
        <v>0</v>
      </c>
      <c r="Y1748" s="6">
        <v>49.4</v>
      </c>
      <c r="Z1748">
        <v>2E-3</v>
      </c>
      <c r="AA1748">
        <v>5.0999999999999997E-2</v>
      </c>
      <c r="AB1748">
        <v>2.5000000000000001E-2</v>
      </c>
      <c r="AC1748">
        <v>6</v>
      </c>
      <c r="AD1748" s="6">
        <v>50</v>
      </c>
      <c r="AE1748" s="6">
        <v>0</v>
      </c>
      <c r="AF1748" s="6">
        <v>0</v>
      </c>
      <c r="AG1748" s="6">
        <v>57.08</v>
      </c>
      <c r="AH1748" s="6">
        <v>76.2</v>
      </c>
      <c r="AI1748" s="6">
        <f t="shared" si="54"/>
        <v>19.120000000000005</v>
      </c>
      <c r="AJ1748" s="5">
        <f t="shared" si="55"/>
        <v>0.2509186351706037</v>
      </c>
    </row>
    <row r="1749" spans="1:36">
      <c r="A1749" t="s">
        <v>328</v>
      </c>
      <c r="B1749" t="s">
        <v>2034</v>
      </c>
      <c r="C1749" t="s">
        <v>99</v>
      </c>
      <c r="D1749" t="s">
        <v>63</v>
      </c>
      <c r="E1749" t="s">
        <v>55</v>
      </c>
      <c r="F1749">
        <v>0</v>
      </c>
      <c r="G1749">
        <v>2463</v>
      </c>
      <c r="H1749">
        <v>1</v>
      </c>
      <c r="I1749" t="s">
        <v>181</v>
      </c>
      <c r="J1749">
        <v>3</v>
      </c>
      <c r="K1749" s="6">
        <v>7.63</v>
      </c>
      <c r="L1749" t="s">
        <v>174</v>
      </c>
      <c r="M1749">
        <v>0</v>
      </c>
      <c r="N1749" t="s">
        <v>182</v>
      </c>
      <c r="O1749">
        <v>3</v>
      </c>
      <c r="P1749">
        <v>0</v>
      </c>
      <c r="Q1749" s="6">
        <v>76.599999999999994</v>
      </c>
      <c r="R1749">
        <v>0</v>
      </c>
      <c r="S1749" s="6">
        <v>0</v>
      </c>
      <c r="T1749">
        <v>0</v>
      </c>
      <c r="U1749" s="6">
        <v>215</v>
      </c>
      <c r="V1749">
        <v>0</v>
      </c>
      <c r="W1749">
        <v>0</v>
      </c>
      <c r="X1749">
        <v>0</v>
      </c>
      <c r="Y1749" s="6">
        <v>49.4</v>
      </c>
      <c r="Z1749">
        <v>2E-3</v>
      </c>
      <c r="AA1749">
        <v>5.0999999999999997E-2</v>
      </c>
      <c r="AB1749">
        <v>2.5000000000000001E-2</v>
      </c>
      <c r="AC1749">
        <v>6</v>
      </c>
      <c r="AD1749" s="6">
        <v>60</v>
      </c>
      <c r="AE1749" s="6">
        <v>0</v>
      </c>
      <c r="AF1749" s="6">
        <v>0</v>
      </c>
      <c r="AG1749" s="6">
        <v>86.06</v>
      </c>
      <c r="AH1749" s="6">
        <v>109.77</v>
      </c>
      <c r="AI1749" s="6">
        <f t="shared" si="54"/>
        <v>23.709999999999994</v>
      </c>
      <c r="AJ1749" s="5">
        <f t="shared" si="55"/>
        <v>0.21599708481370133</v>
      </c>
    </row>
    <row r="1750" spans="1:36">
      <c r="A1750" t="s">
        <v>286</v>
      </c>
      <c r="B1750" t="s">
        <v>2035</v>
      </c>
      <c r="C1750" t="s">
        <v>99</v>
      </c>
      <c r="D1750" t="s">
        <v>63</v>
      </c>
      <c r="E1750" t="s">
        <v>55</v>
      </c>
      <c r="F1750">
        <v>0</v>
      </c>
      <c r="G1750">
        <v>2463</v>
      </c>
      <c r="H1750">
        <v>1</v>
      </c>
      <c r="I1750" t="s">
        <v>220</v>
      </c>
      <c r="J1750">
        <v>2</v>
      </c>
      <c r="K1750" s="6">
        <v>2.4700000000000002</v>
      </c>
      <c r="L1750" t="s">
        <v>174</v>
      </c>
      <c r="M1750">
        <v>0</v>
      </c>
      <c r="N1750" t="s">
        <v>217</v>
      </c>
      <c r="O1750">
        <v>4</v>
      </c>
      <c r="P1750">
        <v>1</v>
      </c>
      <c r="Q1750" s="6">
        <v>93</v>
      </c>
      <c r="R1750">
        <v>0</v>
      </c>
      <c r="S1750" s="6">
        <v>0</v>
      </c>
      <c r="T1750">
        <v>0</v>
      </c>
      <c r="U1750" s="6">
        <v>1378</v>
      </c>
      <c r="V1750">
        <v>0</v>
      </c>
      <c r="W1750">
        <v>0</v>
      </c>
      <c r="X1750">
        <v>0</v>
      </c>
      <c r="Y1750" s="6">
        <v>49.4</v>
      </c>
      <c r="Z1750">
        <v>2E-3</v>
      </c>
      <c r="AA1750">
        <v>5.0999999999999997E-2</v>
      </c>
      <c r="AB1750">
        <v>2.5000000000000001E-2</v>
      </c>
      <c r="AC1750">
        <v>6</v>
      </c>
      <c r="AD1750" s="6">
        <v>50</v>
      </c>
      <c r="AE1750" s="6">
        <v>0</v>
      </c>
      <c r="AF1750" s="6">
        <v>0</v>
      </c>
      <c r="AG1750" s="6">
        <v>103.68</v>
      </c>
      <c r="AH1750" s="6">
        <v>130.12</v>
      </c>
      <c r="AI1750" s="6">
        <f t="shared" si="54"/>
        <v>26.439999999999998</v>
      </c>
      <c r="AJ1750" s="5">
        <f t="shared" si="55"/>
        <v>0.20319704887795878</v>
      </c>
    </row>
    <row r="1751" spans="1:36">
      <c r="A1751" t="s">
        <v>251</v>
      </c>
      <c r="B1751" t="s">
        <v>2036</v>
      </c>
      <c r="C1751" t="s">
        <v>99</v>
      </c>
      <c r="D1751" t="s">
        <v>63</v>
      </c>
      <c r="E1751" t="s">
        <v>55</v>
      </c>
      <c r="F1751">
        <v>0</v>
      </c>
      <c r="G1751">
        <v>2463</v>
      </c>
      <c r="H1751">
        <v>1</v>
      </c>
      <c r="I1751" t="s">
        <v>181</v>
      </c>
      <c r="J1751">
        <v>3</v>
      </c>
      <c r="K1751" s="6">
        <v>6.08</v>
      </c>
      <c r="L1751" t="s">
        <v>174</v>
      </c>
      <c r="M1751">
        <v>0</v>
      </c>
      <c r="N1751" t="s">
        <v>182</v>
      </c>
      <c r="O1751">
        <v>3</v>
      </c>
      <c r="P1751">
        <v>0</v>
      </c>
      <c r="Q1751" s="6">
        <v>109.6</v>
      </c>
      <c r="R1751">
        <v>0</v>
      </c>
      <c r="S1751" s="6">
        <v>0</v>
      </c>
      <c r="T1751">
        <v>0</v>
      </c>
      <c r="U1751" s="6">
        <v>550</v>
      </c>
      <c r="V1751">
        <v>0</v>
      </c>
      <c r="W1751">
        <v>0</v>
      </c>
      <c r="X1751">
        <v>0</v>
      </c>
      <c r="Y1751" s="6">
        <v>49.4</v>
      </c>
      <c r="Z1751">
        <v>2E-3</v>
      </c>
      <c r="AA1751">
        <v>5.0999999999999997E-2</v>
      </c>
      <c r="AB1751">
        <v>2.5000000000000001E-2</v>
      </c>
      <c r="AC1751">
        <v>6</v>
      </c>
      <c r="AD1751" s="6">
        <v>60</v>
      </c>
      <c r="AE1751" s="6">
        <v>0</v>
      </c>
      <c r="AF1751" s="6">
        <v>0</v>
      </c>
      <c r="AG1751" s="6">
        <v>88.28</v>
      </c>
      <c r="AH1751" s="6">
        <v>110.51</v>
      </c>
      <c r="AI1751" s="6">
        <f t="shared" si="54"/>
        <v>22.230000000000004</v>
      </c>
      <c r="AJ1751" s="5">
        <f t="shared" si="55"/>
        <v>0.2011582662202516</v>
      </c>
    </row>
    <row r="1752" spans="1:36">
      <c r="A1752" t="s">
        <v>691</v>
      </c>
      <c r="B1752" t="s">
        <v>2037</v>
      </c>
      <c r="C1752" t="s">
        <v>99</v>
      </c>
      <c r="D1752" t="s">
        <v>63</v>
      </c>
      <c r="E1752" t="s">
        <v>55</v>
      </c>
      <c r="F1752">
        <v>0</v>
      </c>
      <c r="G1752">
        <v>2463</v>
      </c>
      <c r="H1752">
        <v>1</v>
      </c>
      <c r="I1752" t="s">
        <v>173</v>
      </c>
      <c r="J1752">
        <v>1</v>
      </c>
      <c r="K1752" s="6">
        <v>1</v>
      </c>
      <c r="L1752" t="s">
        <v>174</v>
      </c>
      <c r="M1752">
        <v>0</v>
      </c>
      <c r="N1752" t="s">
        <v>187</v>
      </c>
      <c r="O1752">
        <v>2</v>
      </c>
      <c r="P1752">
        <v>0</v>
      </c>
      <c r="Q1752" s="6">
        <v>64.400000000000006</v>
      </c>
      <c r="R1752">
        <v>1</v>
      </c>
      <c r="S1752" s="6">
        <v>4318</v>
      </c>
      <c r="T1752">
        <v>0</v>
      </c>
      <c r="U1752" s="6">
        <v>572</v>
      </c>
      <c r="V1752">
        <v>0</v>
      </c>
      <c r="W1752">
        <v>0</v>
      </c>
      <c r="X1752">
        <v>0</v>
      </c>
      <c r="Y1752" s="6">
        <v>49.4</v>
      </c>
      <c r="Z1752">
        <v>2E-3</v>
      </c>
      <c r="AA1752">
        <v>5.0999999999999997E-2</v>
      </c>
      <c r="AB1752">
        <v>2.5000000000000001E-2</v>
      </c>
      <c r="AC1752">
        <v>6</v>
      </c>
      <c r="AD1752" s="6">
        <v>50</v>
      </c>
      <c r="AE1752" s="6">
        <v>40</v>
      </c>
      <c r="AF1752" s="6">
        <v>0</v>
      </c>
      <c r="AG1752" s="6">
        <v>53.85</v>
      </c>
      <c r="AH1752" s="6">
        <v>71.25</v>
      </c>
      <c r="AI1752" s="6">
        <f t="shared" si="54"/>
        <v>17.399999999999999</v>
      </c>
      <c r="AJ1752" s="5">
        <f t="shared" si="55"/>
        <v>0.24421052631578946</v>
      </c>
    </row>
    <row r="1753" spans="1:36">
      <c r="A1753" t="s">
        <v>481</v>
      </c>
      <c r="B1753" t="s">
        <v>2038</v>
      </c>
      <c r="C1753" t="s">
        <v>99</v>
      </c>
      <c r="D1753" t="s">
        <v>63</v>
      </c>
      <c r="E1753" t="s">
        <v>55</v>
      </c>
      <c r="F1753">
        <v>0</v>
      </c>
      <c r="G1753">
        <v>2463</v>
      </c>
      <c r="H1753">
        <v>1</v>
      </c>
      <c r="I1753" t="s">
        <v>220</v>
      </c>
      <c r="J1753">
        <v>2</v>
      </c>
      <c r="K1753" s="6">
        <v>3.12</v>
      </c>
      <c r="L1753" t="s">
        <v>174</v>
      </c>
      <c r="M1753">
        <v>0</v>
      </c>
      <c r="N1753" t="s">
        <v>175</v>
      </c>
      <c r="O1753">
        <v>1</v>
      </c>
      <c r="P1753">
        <v>0</v>
      </c>
      <c r="Q1753" s="6">
        <v>42.5</v>
      </c>
      <c r="R1753">
        <v>0</v>
      </c>
      <c r="S1753" s="6">
        <v>0</v>
      </c>
      <c r="T1753">
        <v>0</v>
      </c>
      <c r="U1753" s="6">
        <v>533</v>
      </c>
      <c r="V1753">
        <v>0</v>
      </c>
      <c r="W1753">
        <v>0</v>
      </c>
      <c r="X1753">
        <v>0</v>
      </c>
      <c r="Y1753" s="6">
        <v>49.4</v>
      </c>
      <c r="Z1753">
        <v>2E-3</v>
      </c>
      <c r="AA1753">
        <v>5.0999999999999997E-2</v>
      </c>
      <c r="AB1753">
        <v>2.5000000000000001E-2</v>
      </c>
      <c r="AC1753">
        <v>6</v>
      </c>
      <c r="AD1753" s="6">
        <v>50</v>
      </c>
      <c r="AE1753" s="6">
        <v>0</v>
      </c>
      <c r="AF1753" s="6">
        <v>0</v>
      </c>
      <c r="AG1753" s="6">
        <v>62.14</v>
      </c>
      <c r="AH1753" s="6">
        <v>79.8</v>
      </c>
      <c r="AI1753" s="6">
        <f t="shared" si="54"/>
        <v>17.659999999999997</v>
      </c>
      <c r="AJ1753" s="5">
        <f t="shared" si="55"/>
        <v>0.22130325814536336</v>
      </c>
    </row>
    <row r="1754" spans="1:36">
      <c r="A1754" t="s">
        <v>206</v>
      </c>
      <c r="B1754" t="s">
        <v>2039</v>
      </c>
      <c r="C1754" t="s">
        <v>99</v>
      </c>
      <c r="D1754" t="s">
        <v>63</v>
      </c>
      <c r="E1754" t="s">
        <v>55</v>
      </c>
      <c r="F1754">
        <v>0</v>
      </c>
      <c r="G1754">
        <v>2463</v>
      </c>
      <c r="H1754">
        <v>1</v>
      </c>
      <c r="I1754" t="s">
        <v>220</v>
      </c>
      <c r="J1754">
        <v>2</v>
      </c>
      <c r="K1754" s="6">
        <v>2.31</v>
      </c>
      <c r="L1754" t="s">
        <v>174</v>
      </c>
      <c r="M1754">
        <v>0</v>
      </c>
      <c r="N1754" t="s">
        <v>217</v>
      </c>
      <c r="O1754">
        <v>4</v>
      </c>
      <c r="P1754">
        <v>1</v>
      </c>
      <c r="Q1754" s="6">
        <v>185.7</v>
      </c>
      <c r="R1754">
        <v>0</v>
      </c>
      <c r="S1754" s="6">
        <v>0</v>
      </c>
      <c r="T1754">
        <v>0</v>
      </c>
      <c r="U1754" s="6">
        <v>2178</v>
      </c>
      <c r="V1754">
        <v>0</v>
      </c>
      <c r="W1754">
        <v>0</v>
      </c>
      <c r="X1754">
        <v>1</v>
      </c>
      <c r="Y1754" s="6">
        <v>49.4</v>
      </c>
      <c r="Z1754">
        <v>2E-3</v>
      </c>
      <c r="AA1754">
        <v>5.0999999999999997E-2</v>
      </c>
      <c r="AB1754">
        <v>2.5000000000000001E-2</v>
      </c>
      <c r="AC1754">
        <v>6</v>
      </c>
      <c r="AD1754" s="6">
        <v>50</v>
      </c>
      <c r="AE1754" s="6">
        <v>0</v>
      </c>
      <c r="AF1754" s="6">
        <v>0</v>
      </c>
      <c r="AG1754" s="6">
        <v>105.29</v>
      </c>
      <c r="AH1754" s="6">
        <v>132.13</v>
      </c>
      <c r="AI1754" s="6">
        <f t="shared" si="54"/>
        <v>26.839999999999989</v>
      </c>
      <c r="AJ1754" s="5">
        <f t="shared" si="55"/>
        <v>0.20313327783243768</v>
      </c>
    </row>
    <row r="1755" spans="1:36">
      <c r="A1755" t="s">
        <v>303</v>
      </c>
      <c r="B1755" t="s">
        <v>2040</v>
      </c>
      <c r="C1755" t="s">
        <v>99</v>
      </c>
      <c r="D1755" t="s">
        <v>63</v>
      </c>
      <c r="E1755" t="s">
        <v>55</v>
      </c>
      <c r="F1755">
        <v>0</v>
      </c>
      <c r="G1755">
        <v>2463</v>
      </c>
      <c r="H1755">
        <v>1</v>
      </c>
      <c r="I1755" t="s">
        <v>173</v>
      </c>
      <c r="J1755">
        <v>1</v>
      </c>
      <c r="K1755" s="6">
        <v>0.93</v>
      </c>
      <c r="L1755" t="s">
        <v>174</v>
      </c>
      <c r="M1755">
        <v>0</v>
      </c>
      <c r="N1755" t="s">
        <v>175</v>
      </c>
      <c r="O1755">
        <v>1</v>
      </c>
      <c r="P1755">
        <v>0</v>
      </c>
      <c r="Q1755" s="6">
        <v>45.5</v>
      </c>
      <c r="R1755">
        <v>0</v>
      </c>
      <c r="S1755" s="6">
        <v>0</v>
      </c>
      <c r="T1755">
        <v>0</v>
      </c>
      <c r="U1755" s="6">
        <v>656</v>
      </c>
      <c r="V1755">
        <v>0</v>
      </c>
      <c r="W1755">
        <v>1</v>
      </c>
      <c r="X1755">
        <v>0</v>
      </c>
      <c r="Y1755" s="6">
        <v>49.4</v>
      </c>
      <c r="Z1755">
        <v>2E-3</v>
      </c>
      <c r="AA1755">
        <v>5.0999999999999997E-2</v>
      </c>
      <c r="AB1755">
        <v>2.5000000000000001E-2</v>
      </c>
      <c r="AC1755">
        <v>6</v>
      </c>
      <c r="AD1755" s="6">
        <v>50</v>
      </c>
      <c r="AE1755" s="6">
        <v>0</v>
      </c>
      <c r="AF1755" s="6">
        <v>0</v>
      </c>
      <c r="AG1755" s="6">
        <v>77.319999999999993</v>
      </c>
      <c r="AH1755" s="6">
        <v>98.83</v>
      </c>
      <c r="AI1755" s="6">
        <f t="shared" si="54"/>
        <v>21.510000000000005</v>
      </c>
      <c r="AJ1755" s="5">
        <f t="shared" si="55"/>
        <v>0.2176464636244056</v>
      </c>
    </row>
    <row r="1756" spans="1:36">
      <c r="A1756" t="s">
        <v>261</v>
      </c>
      <c r="B1756" t="s">
        <v>2041</v>
      </c>
      <c r="C1756" t="s">
        <v>99</v>
      </c>
      <c r="D1756" t="s">
        <v>63</v>
      </c>
      <c r="E1756" t="s">
        <v>55</v>
      </c>
      <c r="F1756">
        <v>0</v>
      </c>
      <c r="G1756">
        <v>2463</v>
      </c>
      <c r="H1756">
        <v>1</v>
      </c>
      <c r="I1756" t="s">
        <v>173</v>
      </c>
      <c r="J1756">
        <v>1</v>
      </c>
      <c r="K1756" s="6">
        <v>1.97</v>
      </c>
      <c r="L1756" t="s">
        <v>174</v>
      </c>
      <c r="M1756">
        <v>0</v>
      </c>
      <c r="N1756" t="s">
        <v>175</v>
      </c>
      <c r="O1756">
        <v>1</v>
      </c>
      <c r="P1756">
        <v>0</v>
      </c>
      <c r="Q1756" s="6">
        <v>29.1</v>
      </c>
      <c r="R1756">
        <v>1</v>
      </c>
      <c r="S1756" s="6">
        <v>1443</v>
      </c>
      <c r="T1756">
        <v>0</v>
      </c>
      <c r="U1756" s="6">
        <v>1630</v>
      </c>
      <c r="V1756">
        <v>0</v>
      </c>
      <c r="W1756">
        <v>1</v>
      </c>
      <c r="X1756">
        <v>0</v>
      </c>
      <c r="Y1756" s="6">
        <v>49.4</v>
      </c>
      <c r="Z1756">
        <v>2E-3</v>
      </c>
      <c r="AA1756">
        <v>5.0999999999999997E-2</v>
      </c>
      <c r="AB1756">
        <v>2.5000000000000001E-2</v>
      </c>
      <c r="AC1756">
        <v>6</v>
      </c>
      <c r="AD1756" s="6">
        <v>50</v>
      </c>
      <c r="AE1756" s="6">
        <v>25</v>
      </c>
      <c r="AF1756" s="6">
        <v>0</v>
      </c>
      <c r="AG1756" s="6">
        <v>77.91</v>
      </c>
      <c r="AH1756" s="6">
        <v>97.44</v>
      </c>
      <c r="AI1756" s="6">
        <f t="shared" si="54"/>
        <v>19.53</v>
      </c>
      <c r="AJ1756" s="5">
        <f t="shared" si="55"/>
        <v>0.20043103448275865</v>
      </c>
    </row>
    <row r="1757" spans="1:36">
      <c r="A1757" t="s">
        <v>274</v>
      </c>
      <c r="B1757" t="s">
        <v>2042</v>
      </c>
      <c r="C1757" t="s">
        <v>99</v>
      </c>
      <c r="D1757" t="s">
        <v>63</v>
      </c>
      <c r="E1757" t="s">
        <v>55</v>
      </c>
      <c r="F1757">
        <v>0</v>
      </c>
      <c r="G1757">
        <v>2463</v>
      </c>
      <c r="H1757">
        <v>1</v>
      </c>
      <c r="I1757" t="s">
        <v>173</v>
      </c>
      <c r="J1757">
        <v>1</v>
      </c>
      <c r="K1757" s="6">
        <v>0.56000000000000005</v>
      </c>
      <c r="L1757" t="s">
        <v>174</v>
      </c>
      <c r="M1757">
        <v>0</v>
      </c>
      <c r="N1757" t="s">
        <v>187</v>
      </c>
      <c r="O1757">
        <v>2</v>
      </c>
      <c r="P1757">
        <v>0</v>
      </c>
      <c r="Q1757" s="6">
        <v>45.1</v>
      </c>
      <c r="R1757">
        <v>0</v>
      </c>
      <c r="S1757" s="6">
        <v>0</v>
      </c>
      <c r="T1757">
        <v>0</v>
      </c>
      <c r="U1757" s="6">
        <v>824</v>
      </c>
      <c r="V1757">
        <v>0</v>
      </c>
      <c r="W1757">
        <v>0</v>
      </c>
      <c r="X1757">
        <v>0</v>
      </c>
      <c r="Y1757" s="6">
        <v>49.4</v>
      </c>
      <c r="Z1757">
        <v>2E-3</v>
      </c>
      <c r="AA1757">
        <v>5.0999999999999997E-2</v>
      </c>
      <c r="AB1757">
        <v>2.5000000000000001E-2</v>
      </c>
      <c r="AC1757">
        <v>6</v>
      </c>
      <c r="AD1757" s="6">
        <v>50</v>
      </c>
      <c r="AE1757" s="6">
        <v>0</v>
      </c>
      <c r="AF1757" s="6">
        <v>0</v>
      </c>
      <c r="AG1757" s="6">
        <v>58.41</v>
      </c>
      <c r="AH1757" s="6">
        <v>73.11</v>
      </c>
      <c r="AI1757" s="6">
        <f t="shared" si="54"/>
        <v>14.700000000000003</v>
      </c>
      <c r="AJ1757" s="5">
        <f t="shared" si="55"/>
        <v>0.20106688551497748</v>
      </c>
    </row>
    <row r="1758" spans="1:36">
      <c r="A1758" t="s">
        <v>269</v>
      </c>
      <c r="B1758" t="s">
        <v>2043</v>
      </c>
      <c r="C1758" t="s">
        <v>99</v>
      </c>
      <c r="D1758" t="s">
        <v>63</v>
      </c>
      <c r="E1758" t="s">
        <v>55</v>
      </c>
      <c r="F1758">
        <v>0</v>
      </c>
      <c r="G1758">
        <v>2463</v>
      </c>
      <c r="H1758">
        <v>1</v>
      </c>
      <c r="I1758" t="s">
        <v>181</v>
      </c>
      <c r="J1758">
        <v>3</v>
      </c>
      <c r="K1758" s="6">
        <v>7.22</v>
      </c>
      <c r="L1758" t="s">
        <v>174</v>
      </c>
      <c r="M1758">
        <v>0</v>
      </c>
      <c r="N1758" t="s">
        <v>175</v>
      </c>
      <c r="O1758">
        <v>1</v>
      </c>
      <c r="P1758">
        <v>0</v>
      </c>
      <c r="Q1758" s="6">
        <v>36.700000000000003</v>
      </c>
      <c r="R1758">
        <v>1</v>
      </c>
      <c r="S1758" s="6">
        <v>1929</v>
      </c>
      <c r="T1758">
        <v>0</v>
      </c>
      <c r="U1758" s="6">
        <v>1223</v>
      </c>
      <c r="V1758">
        <v>0</v>
      </c>
      <c r="W1758">
        <v>0</v>
      </c>
      <c r="X1758">
        <v>0</v>
      </c>
      <c r="Y1758" s="6">
        <v>49.4</v>
      </c>
      <c r="Z1758">
        <v>2E-3</v>
      </c>
      <c r="AA1758">
        <v>5.0999999999999997E-2</v>
      </c>
      <c r="AB1758">
        <v>2.5000000000000001E-2</v>
      </c>
      <c r="AC1758">
        <v>6</v>
      </c>
      <c r="AD1758" s="6">
        <v>60</v>
      </c>
      <c r="AE1758" s="6">
        <v>25</v>
      </c>
      <c r="AF1758" s="6">
        <v>0</v>
      </c>
      <c r="AG1758" s="6">
        <v>77.98</v>
      </c>
      <c r="AH1758" s="6">
        <v>97.88</v>
      </c>
      <c r="AI1758" s="6">
        <f t="shared" si="54"/>
        <v>19.899999999999991</v>
      </c>
      <c r="AJ1758" s="5">
        <f t="shared" si="55"/>
        <v>0.20331017572537793</v>
      </c>
    </row>
    <row r="1759" spans="1:36">
      <c r="A1759" t="s">
        <v>403</v>
      </c>
      <c r="B1759" t="s">
        <v>2044</v>
      </c>
      <c r="C1759" t="s">
        <v>99</v>
      </c>
      <c r="D1759" t="s">
        <v>63</v>
      </c>
      <c r="E1759" t="s">
        <v>55</v>
      </c>
      <c r="F1759">
        <v>0</v>
      </c>
      <c r="G1759">
        <v>2463</v>
      </c>
      <c r="H1759">
        <v>1</v>
      </c>
      <c r="I1759" t="s">
        <v>220</v>
      </c>
      <c r="J1759">
        <v>2</v>
      </c>
      <c r="K1759" s="6">
        <v>4.57</v>
      </c>
      <c r="L1759" t="s">
        <v>174</v>
      </c>
      <c r="M1759">
        <v>0</v>
      </c>
      <c r="N1759" t="s">
        <v>175</v>
      </c>
      <c r="O1759">
        <v>1</v>
      </c>
      <c r="P1759">
        <v>0</v>
      </c>
      <c r="Q1759" s="6">
        <v>51.8</v>
      </c>
      <c r="R1759">
        <v>0</v>
      </c>
      <c r="S1759" s="6">
        <v>0</v>
      </c>
      <c r="T1759">
        <v>0</v>
      </c>
      <c r="U1759" s="6">
        <v>727</v>
      </c>
      <c r="V1759">
        <v>0</v>
      </c>
      <c r="W1759">
        <v>0</v>
      </c>
      <c r="X1759">
        <v>1</v>
      </c>
      <c r="Y1759" s="6">
        <v>49.4</v>
      </c>
      <c r="Z1759">
        <v>2E-3</v>
      </c>
      <c r="AA1759">
        <v>5.0999999999999997E-2</v>
      </c>
      <c r="AB1759">
        <v>2.5000000000000001E-2</v>
      </c>
      <c r="AC1759">
        <v>6</v>
      </c>
      <c r="AD1759" s="6">
        <v>50</v>
      </c>
      <c r="AE1759" s="6">
        <v>0</v>
      </c>
      <c r="AF1759" s="6">
        <v>0</v>
      </c>
      <c r="AG1759" s="6">
        <v>58.53</v>
      </c>
      <c r="AH1759" s="6">
        <v>74.87</v>
      </c>
      <c r="AI1759" s="6">
        <f t="shared" si="54"/>
        <v>16.340000000000003</v>
      </c>
      <c r="AJ1759" s="5">
        <f t="shared" si="55"/>
        <v>0.21824495792707363</v>
      </c>
    </row>
    <row r="1760" spans="1:36">
      <c r="A1760" t="s">
        <v>266</v>
      </c>
      <c r="B1760" t="s">
        <v>2045</v>
      </c>
      <c r="C1760" t="s">
        <v>99</v>
      </c>
      <c r="D1760" t="s">
        <v>63</v>
      </c>
      <c r="E1760" t="s">
        <v>55</v>
      </c>
      <c r="F1760">
        <v>0</v>
      </c>
      <c r="G1760">
        <v>2463</v>
      </c>
      <c r="H1760">
        <v>1</v>
      </c>
      <c r="I1760" t="s">
        <v>173</v>
      </c>
      <c r="J1760">
        <v>1</v>
      </c>
      <c r="K1760" s="6">
        <v>1.82</v>
      </c>
      <c r="L1760" t="s">
        <v>174</v>
      </c>
      <c r="M1760">
        <v>0</v>
      </c>
      <c r="N1760" t="s">
        <v>182</v>
      </c>
      <c r="O1760">
        <v>3</v>
      </c>
      <c r="P1760">
        <v>0</v>
      </c>
      <c r="Q1760" s="6">
        <v>87.5</v>
      </c>
      <c r="R1760">
        <v>1</v>
      </c>
      <c r="S1760" s="6">
        <v>823</v>
      </c>
      <c r="T1760">
        <v>0</v>
      </c>
      <c r="U1760" s="6">
        <v>899</v>
      </c>
      <c r="V1760">
        <v>0</v>
      </c>
      <c r="W1760">
        <v>0</v>
      </c>
      <c r="X1760">
        <v>0</v>
      </c>
      <c r="Y1760" s="6">
        <v>49.4</v>
      </c>
      <c r="Z1760">
        <v>2E-3</v>
      </c>
      <c r="AA1760">
        <v>5.0999999999999997E-2</v>
      </c>
      <c r="AB1760">
        <v>2.5000000000000001E-2</v>
      </c>
      <c r="AC1760">
        <v>6</v>
      </c>
      <c r="AD1760" s="6">
        <v>50</v>
      </c>
      <c r="AE1760" s="6">
        <v>25</v>
      </c>
      <c r="AF1760" s="6">
        <v>0</v>
      </c>
      <c r="AG1760" s="6">
        <v>65.66</v>
      </c>
      <c r="AH1760" s="6">
        <v>84.4</v>
      </c>
      <c r="AI1760" s="6">
        <f t="shared" si="54"/>
        <v>18.740000000000009</v>
      </c>
      <c r="AJ1760" s="5">
        <f t="shared" si="55"/>
        <v>0.22203791469194323</v>
      </c>
    </row>
    <row r="1761" spans="1:36">
      <c r="A1761" t="s">
        <v>481</v>
      </c>
      <c r="B1761" t="s">
        <v>2046</v>
      </c>
      <c r="C1761" t="s">
        <v>99</v>
      </c>
      <c r="D1761" t="s">
        <v>63</v>
      </c>
      <c r="E1761" t="s">
        <v>55</v>
      </c>
      <c r="F1761">
        <v>0</v>
      </c>
      <c r="G1761">
        <v>2463</v>
      </c>
      <c r="H1761">
        <v>1</v>
      </c>
      <c r="I1761" t="s">
        <v>181</v>
      </c>
      <c r="J1761">
        <v>3</v>
      </c>
      <c r="K1761" s="6">
        <v>6.63</v>
      </c>
      <c r="L1761" t="s">
        <v>174</v>
      </c>
      <c r="M1761">
        <v>0</v>
      </c>
      <c r="N1761" t="s">
        <v>182</v>
      </c>
      <c r="O1761">
        <v>3</v>
      </c>
      <c r="P1761">
        <v>0</v>
      </c>
      <c r="Q1761" s="6">
        <v>95.6</v>
      </c>
      <c r="R1761">
        <v>1</v>
      </c>
      <c r="S1761" s="6">
        <v>535</v>
      </c>
      <c r="T1761">
        <v>0</v>
      </c>
      <c r="U1761" s="6">
        <v>296</v>
      </c>
      <c r="V1761">
        <v>0</v>
      </c>
      <c r="W1761">
        <v>0</v>
      </c>
      <c r="X1761">
        <v>0</v>
      </c>
      <c r="Y1761" s="6">
        <v>49.4</v>
      </c>
      <c r="Z1761">
        <v>2E-3</v>
      </c>
      <c r="AA1761">
        <v>5.0999999999999997E-2</v>
      </c>
      <c r="AB1761">
        <v>2.5000000000000001E-2</v>
      </c>
      <c r="AC1761">
        <v>6</v>
      </c>
      <c r="AD1761" s="6">
        <v>60</v>
      </c>
      <c r="AE1761" s="6">
        <v>25</v>
      </c>
      <c r="AF1761" s="6">
        <v>0</v>
      </c>
      <c r="AG1761" s="6">
        <v>90.55</v>
      </c>
      <c r="AH1761" s="6">
        <v>117.86</v>
      </c>
      <c r="AI1761" s="6">
        <f t="shared" si="54"/>
        <v>27.310000000000002</v>
      </c>
      <c r="AJ1761" s="5">
        <f t="shared" si="55"/>
        <v>0.23171559477346007</v>
      </c>
    </row>
    <row r="1762" spans="1:36">
      <c r="A1762" t="s">
        <v>635</v>
      </c>
      <c r="B1762" t="s">
        <v>2047</v>
      </c>
      <c r="C1762" t="s">
        <v>99</v>
      </c>
      <c r="D1762" t="s">
        <v>63</v>
      </c>
      <c r="E1762" t="s">
        <v>55</v>
      </c>
      <c r="F1762">
        <v>0</v>
      </c>
      <c r="G1762">
        <v>2463</v>
      </c>
      <c r="H1762">
        <v>1</v>
      </c>
      <c r="I1762" t="s">
        <v>220</v>
      </c>
      <c r="J1762">
        <v>2</v>
      </c>
      <c r="K1762" s="6">
        <v>4.43</v>
      </c>
      <c r="L1762" t="s">
        <v>174</v>
      </c>
      <c r="M1762">
        <v>0</v>
      </c>
      <c r="N1762" t="s">
        <v>182</v>
      </c>
      <c r="O1762">
        <v>3</v>
      </c>
      <c r="P1762">
        <v>0</v>
      </c>
      <c r="Q1762" s="6">
        <v>107.6</v>
      </c>
      <c r="R1762">
        <v>1</v>
      </c>
      <c r="S1762" s="6">
        <v>3380</v>
      </c>
      <c r="T1762">
        <v>0</v>
      </c>
      <c r="U1762" s="6">
        <v>498</v>
      </c>
      <c r="V1762">
        <v>0</v>
      </c>
      <c r="W1762">
        <v>0</v>
      </c>
      <c r="X1762">
        <v>0</v>
      </c>
      <c r="Y1762" s="6">
        <v>49.4</v>
      </c>
      <c r="Z1762">
        <v>2E-3</v>
      </c>
      <c r="AA1762">
        <v>5.0999999999999997E-2</v>
      </c>
      <c r="AB1762">
        <v>2.5000000000000001E-2</v>
      </c>
      <c r="AC1762">
        <v>6</v>
      </c>
      <c r="AD1762" s="6">
        <v>50</v>
      </c>
      <c r="AE1762" s="6">
        <v>40</v>
      </c>
      <c r="AF1762" s="6">
        <v>0</v>
      </c>
      <c r="AG1762" s="6">
        <v>80.53</v>
      </c>
      <c r="AH1762" s="6">
        <v>105.23</v>
      </c>
      <c r="AI1762" s="6">
        <f t="shared" si="54"/>
        <v>24.700000000000003</v>
      </c>
      <c r="AJ1762" s="5">
        <f t="shared" si="55"/>
        <v>0.23472393804048278</v>
      </c>
    </row>
    <row r="1763" spans="1:36">
      <c r="A1763" t="s">
        <v>365</v>
      </c>
      <c r="B1763" t="s">
        <v>2048</v>
      </c>
      <c r="C1763" t="s">
        <v>99</v>
      </c>
      <c r="D1763" t="s">
        <v>63</v>
      </c>
      <c r="E1763" t="s">
        <v>55</v>
      </c>
      <c r="F1763">
        <v>0</v>
      </c>
      <c r="G1763">
        <v>2463</v>
      </c>
      <c r="H1763">
        <v>1</v>
      </c>
      <c r="I1763" t="s">
        <v>173</v>
      </c>
      <c r="J1763">
        <v>1</v>
      </c>
      <c r="K1763" s="6">
        <v>3.03</v>
      </c>
      <c r="L1763" t="s">
        <v>174</v>
      </c>
      <c r="M1763">
        <v>0</v>
      </c>
      <c r="N1763" t="s">
        <v>175</v>
      </c>
      <c r="O1763">
        <v>1</v>
      </c>
      <c r="P1763">
        <v>0</v>
      </c>
      <c r="Q1763" s="6">
        <v>45.8</v>
      </c>
      <c r="R1763">
        <v>1</v>
      </c>
      <c r="S1763" s="6">
        <v>2410</v>
      </c>
      <c r="T1763">
        <v>0</v>
      </c>
      <c r="U1763" s="6">
        <v>234</v>
      </c>
      <c r="V1763">
        <v>0</v>
      </c>
      <c r="W1763">
        <v>0</v>
      </c>
      <c r="X1763">
        <v>0</v>
      </c>
      <c r="Y1763" s="6">
        <v>49.4</v>
      </c>
      <c r="Z1763">
        <v>2E-3</v>
      </c>
      <c r="AA1763">
        <v>5.0999999999999997E-2</v>
      </c>
      <c r="AB1763">
        <v>2.5000000000000001E-2</v>
      </c>
      <c r="AC1763">
        <v>6</v>
      </c>
      <c r="AD1763" s="6">
        <v>50</v>
      </c>
      <c r="AE1763" s="6">
        <v>40</v>
      </c>
      <c r="AF1763" s="6">
        <v>0</v>
      </c>
      <c r="AG1763" s="6">
        <v>53.92</v>
      </c>
      <c r="AH1763" s="6">
        <v>67.69</v>
      </c>
      <c r="AI1763" s="6">
        <f t="shared" si="54"/>
        <v>13.769999999999996</v>
      </c>
      <c r="AJ1763" s="5">
        <f t="shared" si="55"/>
        <v>0.20342738957009893</v>
      </c>
    </row>
    <row r="1764" spans="1:36">
      <c r="A1764" t="s">
        <v>300</v>
      </c>
      <c r="B1764" t="s">
        <v>2049</v>
      </c>
      <c r="C1764" t="s">
        <v>99</v>
      </c>
      <c r="D1764" t="s">
        <v>63</v>
      </c>
      <c r="E1764" t="s">
        <v>55</v>
      </c>
      <c r="F1764">
        <v>0</v>
      </c>
      <c r="G1764">
        <v>2463</v>
      </c>
      <c r="H1764">
        <v>1</v>
      </c>
      <c r="I1764" t="s">
        <v>173</v>
      </c>
      <c r="J1764">
        <v>1</v>
      </c>
      <c r="K1764" s="6">
        <v>2.1</v>
      </c>
      <c r="L1764" t="s">
        <v>174</v>
      </c>
      <c r="M1764">
        <v>0</v>
      </c>
      <c r="N1764" t="s">
        <v>175</v>
      </c>
      <c r="O1764">
        <v>1</v>
      </c>
      <c r="P1764">
        <v>0</v>
      </c>
      <c r="Q1764" s="6">
        <v>40.700000000000003</v>
      </c>
      <c r="R1764">
        <v>1</v>
      </c>
      <c r="S1764" s="6">
        <v>3994</v>
      </c>
      <c r="T1764">
        <v>0</v>
      </c>
      <c r="U1764" s="6">
        <v>710</v>
      </c>
      <c r="V1764">
        <v>0</v>
      </c>
      <c r="W1764">
        <v>0</v>
      </c>
      <c r="X1764">
        <v>0</v>
      </c>
      <c r="Y1764" s="6">
        <v>49.4</v>
      </c>
      <c r="Z1764">
        <v>2E-3</v>
      </c>
      <c r="AA1764">
        <v>5.0999999999999997E-2</v>
      </c>
      <c r="AB1764">
        <v>2.5000000000000001E-2</v>
      </c>
      <c r="AC1764">
        <v>6</v>
      </c>
      <c r="AD1764" s="6">
        <v>50</v>
      </c>
      <c r="AE1764" s="6">
        <v>40</v>
      </c>
      <c r="AF1764" s="6">
        <v>0</v>
      </c>
      <c r="AG1764" s="6">
        <v>50.53</v>
      </c>
      <c r="AH1764" s="6">
        <v>65.73</v>
      </c>
      <c r="AI1764" s="6">
        <f t="shared" si="54"/>
        <v>15.200000000000003</v>
      </c>
      <c r="AJ1764" s="5">
        <f t="shared" si="55"/>
        <v>0.23124904914042296</v>
      </c>
    </row>
    <row r="1765" spans="1:36">
      <c r="A1765" t="s">
        <v>512</v>
      </c>
      <c r="B1765" t="s">
        <v>2050</v>
      </c>
      <c r="C1765" t="s">
        <v>99</v>
      </c>
      <c r="D1765" t="s">
        <v>63</v>
      </c>
      <c r="E1765" t="s">
        <v>55</v>
      </c>
      <c r="F1765">
        <v>0</v>
      </c>
      <c r="G1765">
        <v>2463</v>
      </c>
      <c r="H1765">
        <v>1</v>
      </c>
      <c r="I1765" t="s">
        <v>220</v>
      </c>
      <c r="J1765">
        <v>2</v>
      </c>
      <c r="K1765" s="6">
        <v>5.68</v>
      </c>
      <c r="L1765" t="s">
        <v>174</v>
      </c>
      <c r="M1765">
        <v>0</v>
      </c>
      <c r="N1765" t="s">
        <v>175</v>
      </c>
      <c r="O1765">
        <v>1</v>
      </c>
      <c r="P1765">
        <v>0</v>
      </c>
      <c r="Q1765" s="6">
        <v>44.4</v>
      </c>
      <c r="R1765">
        <v>1</v>
      </c>
      <c r="S1765" s="6">
        <v>1154</v>
      </c>
      <c r="T1765">
        <v>0</v>
      </c>
      <c r="U1765" s="6">
        <v>530</v>
      </c>
      <c r="V1765">
        <v>0</v>
      </c>
      <c r="W1765">
        <v>0</v>
      </c>
      <c r="X1765">
        <v>0</v>
      </c>
      <c r="Y1765" s="6">
        <v>49.4</v>
      </c>
      <c r="Z1765">
        <v>2E-3</v>
      </c>
      <c r="AA1765">
        <v>5.0999999999999997E-2</v>
      </c>
      <c r="AB1765">
        <v>2.5000000000000001E-2</v>
      </c>
      <c r="AC1765">
        <v>6</v>
      </c>
      <c r="AD1765" s="6">
        <v>50</v>
      </c>
      <c r="AE1765" s="6">
        <v>25</v>
      </c>
      <c r="AF1765" s="6">
        <v>0</v>
      </c>
      <c r="AG1765" s="6">
        <v>67.03</v>
      </c>
      <c r="AH1765" s="6">
        <v>86.97</v>
      </c>
      <c r="AI1765" s="6">
        <f t="shared" si="54"/>
        <v>19.939999999999998</v>
      </c>
      <c r="AJ1765" s="5">
        <f t="shared" si="55"/>
        <v>0.22927446245831895</v>
      </c>
    </row>
    <row r="1766" spans="1:36">
      <c r="A1766" t="s">
        <v>269</v>
      </c>
      <c r="B1766" t="s">
        <v>2051</v>
      </c>
      <c r="C1766" t="s">
        <v>99</v>
      </c>
      <c r="D1766" t="s">
        <v>63</v>
      </c>
      <c r="E1766" t="s">
        <v>55</v>
      </c>
      <c r="F1766">
        <v>0</v>
      </c>
      <c r="G1766">
        <v>2463</v>
      </c>
      <c r="H1766">
        <v>1</v>
      </c>
      <c r="I1766" t="s">
        <v>220</v>
      </c>
      <c r="J1766">
        <v>2</v>
      </c>
      <c r="K1766" s="6">
        <v>3.72</v>
      </c>
      <c r="L1766" t="s">
        <v>174</v>
      </c>
      <c r="M1766">
        <v>0</v>
      </c>
      <c r="N1766" t="s">
        <v>182</v>
      </c>
      <c r="O1766">
        <v>3</v>
      </c>
      <c r="P1766">
        <v>0</v>
      </c>
      <c r="Q1766" s="6">
        <v>102.2</v>
      </c>
      <c r="R1766">
        <v>1</v>
      </c>
      <c r="S1766" s="6">
        <v>2363</v>
      </c>
      <c r="T1766">
        <v>0</v>
      </c>
      <c r="U1766" s="6">
        <v>544</v>
      </c>
      <c r="V1766">
        <v>0</v>
      </c>
      <c r="W1766">
        <v>0</v>
      </c>
      <c r="X1766">
        <v>0</v>
      </c>
      <c r="Y1766" s="6">
        <v>49.4</v>
      </c>
      <c r="Z1766">
        <v>2E-3</v>
      </c>
      <c r="AA1766">
        <v>5.0999999999999997E-2</v>
      </c>
      <c r="AB1766">
        <v>2.5000000000000001E-2</v>
      </c>
      <c r="AC1766">
        <v>6</v>
      </c>
      <c r="AD1766" s="6">
        <v>50</v>
      </c>
      <c r="AE1766" s="6">
        <v>40</v>
      </c>
      <c r="AF1766" s="6">
        <v>0</v>
      </c>
      <c r="AG1766" s="6">
        <v>71.27</v>
      </c>
      <c r="AH1766" s="6">
        <v>91.18</v>
      </c>
      <c r="AI1766" s="6">
        <f t="shared" si="54"/>
        <v>19.910000000000011</v>
      </c>
      <c r="AJ1766" s="5">
        <f t="shared" si="55"/>
        <v>0.21835928931783297</v>
      </c>
    </row>
    <row r="1767" spans="1:36">
      <c r="A1767" t="s">
        <v>296</v>
      </c>
      <c r="B1767" t="s">
        <v>2052</v>
      </c>
      <c r="C1767" t="s">
        <v>99</v>
      </c>
      <c r="D1767" t="s">
        <v>63</v>
      </c>
      <c r="E1767" t="s">
        <v>55</v>
      </c>
      <c r="F1767">
        <v>0</v>
      </c>
      <c r="G1767">
        <v>2463</v>
      </c>
      <c r="H1767">
        <v>1</v>
      </c>
      <c r="I1767" t="s">
        <v>220</v>
      </c>
      <c r="J1767">
        <v>2</v>
      </c>
      <c r="K1767" s="6">
        <v>2.61</v>
      </c>
      <c r="L1767" t="s">
        <v>174</v>
      </c>
      <c r="M1767">
        <v>0</v>
      </c>
      <c r="N1767" t="s">
        <v>175</v>
      </c>
      <c r="O1767">
        <v>1</v>
      </c>
      <c r="P1767">
        <v>0</v>
      </c>
      <c r="Q1767" s="6">
        <v>31</v>
      </c>
      <c r="R1767">
        <v>1</v>
      </c>
      <c r="S1767" s="6">
        <v>933</v>
      </c>
      <c r="T1767">
        <v>0</v>
      </c>
      <c r="U1767" s="6">
        <v>539</v>
      </c>
      <c r="V1767">
        <v>0</v>
      </c>
      <c r="W1767">
        <v>0</v>
      </c>
      <c r="X1767">
        <v>0</v>
      </c>
      <c r="Y1767" s="6">
        <v>49.4</v>
      </c>
      <c r="Z1767">
        <v>2E-3</v>
      </c>
      <c r="AA1767">
        <v>5.0999999999999997E-2</v>
      </c>
      <c r="AB1767">
        <v>2.5000000000000001E-2</v>
      </c>
      <c r="AC1767">
        <v>6</v>
      </c>
      <c r="AD1767" s="6">
        <v>50</v>
      </c>
      <c r="AE1767" s="6">
        <v>25</v>
      </c>
      <c r="AF1767" s="6">
        <v>0</v>
      </c>
      <c r="AG1767" s="6">
        <v>56.11</v>
      </c>
      <c r="AH1767" s="6">
        <v>72.12</v>
      </c>
      <c r="AI1767" s="6">
        <f t="shared" si="54"/>
        <v>16.010000000000005</v>
      </c>
      <c r="AJ1767" s="5">
        <f t="shared" si="55"/>
        <v>0.2219911259012757</v>
      </c>
    </row>
    <row r="1768" spans="1:36">
      <c r="A1768" t="s">
        <v>245</v>
      </c>
      <c r="B1768" t="s">
        <v>2053</v>
      </c>
      <c r="C1768" t="s">
        <v>99</v>
      </c>
      <c r="D1768" t="s">
        <v>63</v>
      </c>
      <c r="E1768" t="s">
        <v>55</v>
      </c>
      <c r="F1768">
        <v>0</v>
      </c>
      <c r="G1768">
        <v>2463</v>
      </c>
      <c r="H1768">
        <v>1</v>
      </c>
      <c r="I1768" t="s">
        <v>181</v>
      </c>
      <c r="J1768">
        <v>3</v>
      </c>
      <c r="K1768" s="6">
        <v>6.71</v>
      </c>
      <c r="L1768" t="s">
        <v>174</v>
      </c>
      <c r="M1768">
        <v>0</v>
      </c>
      <c r="N1768" t="s">
        <v>187</v>
      </c>
      <c r="O1768">
        <v>2</v>
      </c>
      <c r="P1768">
        <v>0</v>
      </c>
      <c r="Q1768" s="6">
        <v>72.900000000000006</v>
      </c>
      <c r="R1768">
        <v>0</v>
      </c>
      <c r="S1768" s="6">
        <v>0</v>
      </c>
      <c r="T1768">
        <v>0</v>
      </c>
      <c r="U1768" s="6">
        <v>553</v>
      </c>
      <c r="V1768">
        <v>0</v>
      </c>
      <c r="W1768">
        <v>0</v>
      </c>
      <c r="X1768">
        <v>0</v>
      </c>
      <c r="Y1768" s="6">
        <v>49.4</v>
      </c>
      <c r="Z1768">
        <v>2E-3</v>
      </c>
      <c r="AA1768">
        <v>5.0999999999999997E-2</v>
      </c>
      <c r="AB1768">
        <v>2.5000000000000001E-2</v>
      </c>
      <c r="AC1768">
        <v>6</v>
      </c>
      <c r="AD1768" s="6">
        <v>60</v>
      </c>
      <c r="AE1768" s="6">
        <v>0</v>
      </c>
      <c r="AF1768" s="6">
        <v>0</v>
      </c>
      <c r="AG1768" s="6">
        <v>80.180000000000007</v>
      </c>
      <c r="AH1768" s="6">
        <v>101.35</v>
      </c>
      <c r="AI1768" s="6">
        <f t="shared" si="54"/>
        <v>21.169999999999987</v>
      </c>
      <c r="AJ1768" s="5">
        <f t="shared" si="55"/>
        <v>0.20888011840157858</v>
      </c>
    </row>
    <row r="1769" spans="1:36">
      <c r="A1769" t="s">
        <v>233</v>
      </c>
      <c r="B1769" t="s">
        <v>2054</v>
      </c>
      <c r="C1769" t="s">
        <v>99</v>
      </c>
      <c r="D1769" t="s">
        <v>63</v>
      </c>
      <c r="E1769" t="s">
        <v>55</v>
      </c>
      <c r="F1769">
        <v>0</v>
      </c>
      <c r="G1769">
        <v>2463</v>
      </c>
      <c r="H1769">
        <v>1</v>
      </c>
      <c r="I1769" t="s">
        <v>181</v>
      </c>
      <c r="J1769">
        <v>3</v>
      </c>
      <c r="K1769" s="6">
        <v>8.6</v>
      </c>
      <c r="L1769" t="s">
        <v>174</v>
      </c>
      <c r="M1769">
        <v>0</v>
      </c>
      <c r="N1769" t="s">
        <v>217</v>
      </c>
      <c r="O1769">
        <v>4</v>
      </c>
      <c r="P1769">
        <v>1</v>
      </c>
      <c r="Q1769" s="6">
        <v>203.5</v>
      </c>
      <c r="R1769">
        <v>1</v>
      </c>
      <c r="S1769" s="6">
        <v>2265</v>
      </c>
      <c r="T1769">
        <v>0</v>
      </c>
      <c r="U1769" s="6">
        <v>1002</v>
      </c>
      <c r="V1769">
        <v>0</v>
      </c>
      <c r="W1769">
        <v>0</v>
      </c>
      <c r="X1769">
        <v>0</v>
      </c>
      <c r="Y1769" s="6">
        <v>49.4</v>
      </c>
      <c r="Z1769">
        <v>2E-3</v>
      </c>
      <c r="AA1769">
        <v>5.0999999999999997E-2</v>
      </c>
      <c r="AB1769">
        <v>2.5000000000000001E-2</v>
      </c>
      <c r="AC1769">
        <v>6</v>
      </c>
      <c r="AD1769" s="6">
        <v>60</v>
      </c>
      <c r="AE1769" s="6">
        <v>40</v>
      </c>
      <c r="AF1769" s="6">
        <v>0</v>
      </c>
      <c r="AG1769" s="6">
        <v>146.08000000000001</v>
      </c>
      <c r="AH1769" s="6">
        <v>186.6</v>
      </c>
      <c r="AI1769" s="6">
        <f t="shared" si="54"/>
        <v>40.519999999999982</v>
      </c>
      <c r="AJ1769" s="5">
        <f t="shared" si="55"/>
        <v>0.21714898177920677</v>
      </c>
    </row>
    <row r="1770" spans="1:36">
      <c r="A1770" t="s">
        <v>300</v>
      </c>
      <c r="B1770" t="s">
        <v>2055</v>
      </c>
      <c r="C1770" t="s">
        <v>99</v>
      </c>
      <c r="D1770" t="s">
        <v>63</v>
      </c>
      <c r="E1770" t="s">
        <v>55</v>
      </c>
      <c r="F1770">
        <v>0</v>
      </c>
      <c r="G1770">
        <v>2463</v>
      </c>
      <c r="H1770">
        <v>1</v>
      </c>
      <c r="I1770" t="s">
        <v>173</v>
      </c>
      <c r="J1770">
        <v>1</v>
      </c>
      <c r="K1770" s="6">
        <v>1.52</v>
      </c>
      <c r="L1770" t="s">
        <v>174</v>
      </c>
      <c r="M1770">
        <v>0</v>
      </c>
      <c r="N1770" t="s">
        <v>175</v>
      </c>
      <c r="O1770">
        <v>1</v>
      </c>
      <c r="P1770">
        <v>0</v>
      </c>
      <c r="Q1770" s="6">
        <v>27.2</v>
      </c>
      <c r="R1770">
        <v>0</v>
      </c>
      <c r="S1770" s="6">
        <v>0</v>
      </c>
      <c r="T1770">
        <v>0</v>
      </c>
      <c r="U1770" s="6">
        <v>432</v>
      </c>
      <c r="V1770">
        <v>0</v>
      </c>
      <c r="W1770">
        <v>0</v>
      </c>
      <c r="X1770">
        <v>0</v>
      </c>
      <c r="Y1770" s="6">
        <v>49.4</v>
      </c>
      <c r="Z1770">
        <v>2E-3</v>
      </c>
      <c r="AA1770">
        <v>5.0999999999999997E-2</v>
      </c>
      <c r="AB1770">
        <v>2.5000000000000001E-2</v>
      </c>
      <c r="AC1770">
        <v>6</v>
      </c>
      <c r="AD1770" s="6">
        <v>50</v>
      </c>
      <c r="AE1770" s="6">
        <v>0</v>
      </c>
      <c r="AF1770" s="6">
        <v>0</v>
      </c>
      <c r="AG1770" s="6">
        <v>47.16</v>
      </c>
      <c r="AH1770" s="6">
        <v>61.07</v>
      </c>
      <c r="AI1770" s="6">
        <f t="shared" si="54"/>
        <v>13.910000000000004</v>
      </c>
      <c r="AJ1770" s="5">
        <f t="shared" si="55"/>
        <v>0.22777140985754057</v>
      </c>
    </row>
    <row r="1771" spans="1:36">
      <c r="A1771" t="s">
        <v>372</v>
      </c>
      <c r="B1771" t="s">
        <v>2056</v>
      </c>
      <c r="C1771" t="s">
        <v>99</v>
      </c>
      <c r="D1771" t="s">
        <v>63</v>
      </c>
      <c r="E1771" t="s">
        <v>55</v>
      </c>
      <c r="F1771">
        <v>0</v>
      </c>
      <c r="G1771">
        <v>2463</v>
      </c>
      <c r="H1771">
        <v>1</v>
      </c>
      <c r="I1771" t="s">
        <v>181</v>
      </c>
      <c r="J1771">
        <v>3</v>
      </c>
      <c r="K1771" s="6">
        <v>5.38</v>
      </c>
      <c r="L1771" t="s">
        <v>174</v>
      </c>
      <c r="M1771">
        <v>0</v>
      </c>
      <c r="N1771" t="s">
        <v>175</v>
      </c>
      <c r="O1771">
        <v>1</v>
      </c>
      <c r="P1771">
        <v>0</v>
      </c>
      <c r="Q1771" s="6">
        <v>31.2</v>
      </c>
      <c r="R1771">
        <v>1</v>
      </c>
      <c r="S1771" s="6">
        <v>2676</v>
      </c>
      <c r="T1771">
        <v>0</v>
      </c>
      <c r="U1771" s="6">
        <v>652</v>
      </c>
      <c r="V1771">
        <v>0</v>
      </c>
      <c r="W1771">
        <v>0</v>
      </c>
      <c r="X1771">
        <v>0</v>
      </c>
      <c r="Y1771" s="6">
        <v>49.4</v>
      </c>
      <c r="Z1771">
        <v>2E-3</v>
      </c>
      <c r="AA1771">
        <v>5.0999999999999997E-2</v>
      </c>
      <c r="AB1771">
        <v>2.5000000000000001E-2</v>
      </c>
      <c r="AC1771">
        <v>6</v>
      </c>
      <c r="AD1771" s="6">
        <v>60</v>
      </c>
      <c r="AE1771" s="6">
        <v>40</v>
      </c>
      <c r="AF1771" s="6">
        <v>0</v>
      </c>
      <c r="AG1771" s="6">
        <v>77.75</v>
      </c>
      <c r="AH1771" s="6">
        <v>101.21</v>
      </c>
      <c r="AI1771" s="6">
        <f t="shared" si="54"/>
        <v>23.459999999999994</v>
      </c>
      <c r="AJ1771" s="5">
        <f t="shared" si="55"/>
        <v>0.23179527714652698</v>
      </c>
    </row>
    <row r="1772" spans="1:36">
      <c r="A1772" t="s">
        <v>393</v>
      </c>
      <c r="B1772" t="s">
        <v>2057</v>
      </c>
      <c r="C1772" t="s">
        <v>99</v>
      </c>
      <c r="D1772" t="s">
        <v>63</v>
      </c>
      <c r="E1772" t="s">
        <v>55</v>
      </c>
      <c r="F1772">
        <v>0</v>
      </c>
      <c r="G1772">
        <v>2463</v>
      </c>
      <c r="H1772">
        <v>1</v>
      </c>
      <c r="I1772" t="s">
        <v>173</v>
      </c>
      <c r="J1772">
        <v>1</v>
      </c>
      <c r="K1772" s="6">
        <v>2.82</v>
      </c>
      <c r="L1772" t="s">
        <v>174</v>
      </c>
      <c r="M1772">
        <v>0</v>
      </c>
      <c r="N1772" t="s">
        <v>217</v>
      </c>
      <c r="O1772">
        <v>4</v>
      </c>
      <c r="P1772">
        <v>1</v>
      </c>
      <c r="Q1772" s="6">
        <v>109.4</v>
      </c>
      <c r="R1772">
        <v>1</v>
      </c>
      <c r="S1772" s="6">
        <v>2523</v>
      </c>
      <c r="T1772">
        <v>0</v>
      </c>
      <c r="U1772" s="6">
        <v>292</v>
      </c>
      <c r="V1772">
        <v>0</v>
      </c>
      <c r="W1772">
        <v>0</v>
      </c>
      <c r="X1772">
        <v>0</v>
      </c>
      <c r="Y1772" s="6">
        <v>49.4</v>
      </c>
      <c r="Z1772">
        <v>2E-3</v>
      </c>
      <c r="AA1772">
        <v>5.0999999999999997E-2</v>
      </c>
      <c r="AB1772">
        <v>2.5000000000000001E-2</v>
      </c>
      <c r="AC1772">
        <v>6</v>
      </c>
      <c r="AD1772" s="6">
        <v>50</v>
      </c>
      <c r="AE1772" s="6">
        <v>40</v>
      </c>
      <c r="AF1772" s="6">
        <v>0</v>
      </c>
      <c r="AG1772" s="6">
        <v>99.86</v>
      </c>
      <c r="AH1772" s="6">
        <v>127.13</v>
      </c>
      <c r="AI1772" s="6">
        <f t="shared" si="54"/>
        <v>27.269999999999996</v>
      </c>
      <c r="AJ1772" s="5">
        <f t="shared" si="55"/>
        <v>0.21450483756784391</v>
      </c>
    </row>
    <row r="1773" spans="1:36">
      <c r="A1773" t="s">
        <v>225</v>
      </c>
      <c r="B1773" t="s">
        <v>2058</v>
      </c>
      <c r="C1773" t="s">
        <v>99</v>
      </c>
      <c r="D1773" t="s">
        <v>63</v>
      </c>
      <c r="E1773" t="s">
        <v>55</v>
      </c>
      <c r="F1773">
        <v>0</v>
      </c>
      <c r="G1773">
        <v>2463</v>
      </c>
      <c r="H1773">
        <v>1</v>
      </c>
      <c r="I1773" t="s">
        <v>173</v>
      </c>
      <c r="J1773">
        <v>1</v>
      </c>
      <c r="K1773" s="6">
        <v>2.13</v>
      </c>
      <c r="L1773" t="s">
        <v>174</v>
      </c>
      <c r="M1773">
        <v>0</v>
      </c>
      <c r="N1773" t="s">
        <v>187</v>
      </c>
      <c r="O1773">
        <v>2</v>
      </c>
      <c r="P1773">
        <v>0</v>
      </c>
      <c r="Q1773" s="6">
        <v>50</v>
      </c>
      <c r="R1773">
        <v>1</v>
      </c>
      <c r="S1773" s="6">
        <v>1939</v>
      </c>
      <c r="T1773">
        <v>0</v>
      </c>
      <c r="U1773" s="6">
        <v>853</v>
      </c>
      <c r="V1773">
        <v>0</v>
      </c>
      <c r="W1773">
        <v>0</v>
      </c>
      <c r="X1773">
        <v>0</v>
      </c>
      <c r="Y1773" s="6">
        <v>49.4</v>
      </c>
      <c r="Z1773">
        <v>2E-3</v>
      </c>
      <c r="AA1773">
        <v>5.0999999999999997E-2</v>
      </c>
      <c r="AB1773">
        <v>2.5000000000000001E-2</v>
      </c>
      <c r="AC1773">
        <v>6</v>
      </c>
      <c r="AD1773" s="6">
        <v>50</v>
      </c>
      <c r="AE1773" s="6">
        <v>25</v>
      </c>
      <c r="AF1773" s="6">
        <v>0</v>
      </c>
      <c r="AG1773" s="6">
        <v>57.32</v>
      </c>
      <c r="AH1773" s="6">
        <v>76.599999999999994</v>
      </c>
      <c r="AI1773" s="6">
        <f t="shared" si="54"/>
        <v>19.279999999999994</v>
      </c>
      <c r="AJ1773" s="5">
        <f t="shared" si="55"/>
        <v>0.25169712793733673</v>
      </c>
    </row>
    <row r="1774" spans="1:36">
      <c r="A1774" t="s">
        <v>263</v>
      </c>
      <c r="B1774" t="s">
        <v>2059</v>
      </c>
      <c r="C1774" t="s">
        <v>99</v>
      </c>
      <c r="D1774" t="s">
        <v>63</v>
      </c>
      <c r="E1774" t="s">
        <v>55</v>
      </c>
      <c r="F1774">
        <v>0</v>
      </c>
      <c r="G1774">
        <v>2463</v>
      </c>
      <c r="H1774">
        <v>1</v>
      </c>
      <c r="I1774" t="s">
        <v>220</v>
      </c>
      <c r="J1774">
        <v>2</v>
      </c>
      <c r="K1774" s="6">
        <v>3.24</v>
      </c>
      <c r="L1774" t="s">
        <v>174</v>
      </c>
      <c r="M1774">
        <v>0</v>
      </c>
      <c r="N1774" t="s">
        <v>187</v>
      </c>
      <c r="O1774">
        <v>2</v>
      </c>
      <c r="P1774">
        <v>0</v>
      </c>
      <c r="Q1774" s="6">
        <v>52.9</v>
      </c>
      <c r="R1774">
        <v>1</v>
      </c>
      <c r="S1774" s="6">
        <v>1550</v>
      </c>
      <c r="T1774">
        <v>0</v>
      </c>
      <c r="U1774" s="6">
        <v>634</v>
      </c>
      <c r="V1774">
        <v>0</v>
      </c>
      <c r="W1774">
        <v>0</v>
      </c>
      <c r="X1774">
        <v>1</v>
      </c>
      <c r="Y1774" s="6">
        <v>49.4</v>
      </c>
      <c r="Z1774">
        <v>2E-3</v>
      </c>
      <c r="AA1774">
        <v>5.0999999999999997E-2</v>
      </c>
      <c r="AB1774">
        <v>2.5000000000000001E-2</v>
      </c>
      <c r="AC1774">
        <v>6</v>
      </c>
      <c r="AD1774" s="6">
        <v>50</v>
      </c>
      <c r="AE1774" s="6">
        <v>25</v>
      </c>
      <c r="AF1774" s="6">
        <v>0</v>
      </c>
      <c r="AG1774" s="6">
        <v>61.98</v>
      </c>
      <c r="AH1774" s="6">
        <v>77.510000000000005</v>
      </c>
      <c r="AI1774" s="6">
        <f t="shared" si="54"/>
        <v>15.530000000000008</v>
      </c>
      <c r="AJ1774" s="5">
        <f t="shared" si="55"/>
        <v>0.20036124371048905</v>
      </c>
    </row>
    <row r="1775" spans="1:36">
      <c r="A1775" t="s">
        <v>218</v>
      </c>
      <c r="B1775" t="s">
        <v>2060</v>
      </c>
      <c r="C1775" t="s">
        <v>99</v>
      </c>
      <c r="D1775" t="s">
        <v>63</v>
      </c>
      <c r="E1775" t="s">
        <v>55</v>
      </c>
      <c r="F1775">
        <v>0</v>
      </c>
      <c r="G1775">
        <v>2463</v>
      </c>
      <c r="H1775">
        <v>1</v>
      </c>
      <c r="I1775" t="s">
        <v>173</v>
      </c>
      <c r="J1775">
        <v>1</v>
      </c>
      <c r="K1775" s="6">
        <v>2.1800000000000002</v>
      </c>
      <c r="L1775" t="s">
        <v>174</v>
      </c>
      <c r="M1775">
        <v>0</v>
      </c>
      <c r="N1775" t="s">
        <v>187</v>
      </c>
      <c r="O1775">
        <v>2</v>
      </c>
      <c r="P1775">
        <v>0</v>
      </c>
      <c r="Q1775" s="6">
        <v>63.9</v>
      </c>
      <c r="R1775">
        <v>0</v>
      </c>
      <c r="S1775" s="6">
        <v>0</v>
      </c>
      <c r="T1775">
        <v>0</v>
      </c>
      <c r="U1775" s="6">
        <v>1073</v>
      </c>
      <c r="V1775">
        <v>0</v>
      </c>
      <c r="W1775">
        <v>0</v>
      </c>
      <c r="X1775">
        <v>0</v>
      </c>
      <c r="Y1775" s="6">
        <v>49.4</v>
      </c>
      <c r="Z1775">
        <v>2E-3</v>
      </c>
      <c r="AA1775">
        <v>5.0999999999999997E-2</v>
      </c>
      <c r="AB1775">
        <v>2.5000000000000001E-2</v>
      </c>
      <c r="AC1775">
        <v>6</v>
      </c>
      <c r="AD1775" s="6">
        <v>50</v>
      </c>
      <c r="AE1775" s="6">
        <v>0</v>
      </c>
      <c r="AF1775" s="6">
        <v>0</v>
      </c>
      <c r="AG1775" s="6">
        <v>57.17</v>
      </c>
      <c r="AH1775" s="6">
        <v>75.22</v>
      </c>
      <c r="AI1775" s="6">
        <f t="shared" si="54"/>
        <v>18.049999999999997</v>
      </c>
      <c r="AJ1775" s="5">
        <f t="shared" si="55"/>
        <v>0.23996277585748468</v>
      </c>
    </row>
    <row r="1776" spans="1:36">
      <c r="A1776" t="s">
        <v>579</v>
      </c>
      <c r="B1776" t="s">
        <v>2061</v>
      </c>
      <c r="C1776" t="s">
        <v>99</v>
      </c>
      <c r="D1776" t="s">
        <v>63</v>
      </c>
      <c r="E1776" t="s">
        <v>55</v>
      </c>
      <c r="F1776">
        <v>0</v>
      </c>
      <c r="G1776">
        <v>2463</v>
      </c>
      <c r="H1776">
        <v>1</v>
      </c>
      <c r="I1776" t="s">
        <v>173</v>
      </c>
      <c r="J1776">
        <v>1</v>
      </c>
      <c r="K1776" s="6">
        <v>1.58</v>
      </c>
      <c r="L1776" t="s">
        <v>174</v>
      </c>
      <c r="M1776">
        <v>0</v>
      </c>
      <c r="N1776" t="s">
        <v>187</v>
      </c>
      <c r="O1776">
        <v>2</v>
      </c>
      <c r="P1776">
        <v>0</v>
      </c>
      <c r="Q1776" s="6">
        <v>57.1</v>
      </c>
      <c r="R1776">
        <v>0</v>
      </c>
      <c r="S1776" s="6">
        <v>0</v>
      </c>
      <c r="T1776">
        <v>0</v>
      </c>
      <c r="U1776" s="6">
        <v>1722</v>
      </c>
      <c r="V1776">
        <v>0</v>
      </c>
      <c r="W1776">
        <v>0</v>
      </c>
      <c r="X1776">
        <v>0</v>
      </c>
      <c r="Y1776" s="6">
        <v>49.4</v>
      </c>
      <c r="Z1776">
        <v>2E-3</v>
      </c>
      <c r="AA1776">
        <v>5.0999999999999997E-2</v>
      </c>
      <c r="AB1776">
        <v>2.5000000000000001E-2</v>
      </c>
      <c r="AC1776">
        <v>6</v>
      </c>
      <c r="AD1776" s="6">
        <v>50</v>
      </c>
      <c r="AE1776" s="6">
        <v>0</v>
      </c>
      <c r="AF1776" s="6">
        <v>0</v>
      </c>
      <c r="AG1776" s="6">
        <v>56.94</v>
      </c>
      <c r="AH1776" s="6">
        <v>72.040000000000006</v>
      </c>
      <c r="AI1776" s="6">
        <f t="shared" si="54"/>
        <v>15.100000000000009</v>
      </c>
      <c r="AJ1776" s="5">
        <f t="shared" si="55"/>
        <v>0.2096057745696836</v>
      </c>
    </row>
    <row r="1777" spans="1:36">
      <c r="A1777" t="s">
        <v>501</v>
      </c>
      <c r="B1777" t="s">
        <v>2062</v>
      </c>
      <c r="C1777" t="s">
        <v>99</v>
      </c>
      <c r="D1777" t="s">
        <v>63</v>
      </c>
      <c r="E1777" t="s">
        <v>55</v>
      </c>
      <c r="F1777">
        <v>0</v>
      </c>
      <c r="G1777">
        <v>2463</v>
      </c>
      <c r="H1777">
        <v>1</v>
      </c>
      <c r="I1777" t="s">
        <v>173</v>
      </c>
      <c r="J1777">
        <v>1</v>
      </c>
      <c r="K1777" s="6">
        <v>2</v>
      </c>
      <c r="L1777" t="s">
        <v>174</v>
      </c>
      <c r="M1777">
        <v>0</v>
      </c>
      <c r="N1777" t="s">
        <v>187</v>
      </c>
      <c r="O1777">
        <v>2</v>
      </c>
      <c r="P1777">
        <v>0</v>
      </c>
      <c r="Q1777" s="6">
        <v>41.6</v>
      </c>
      <c r="R1777">
        <v>0</v>
      </c>
      <c r="S1777" s="6">
        <v>0</v>
      </c>
      <c r="T1777">
        <v>0</v>
      </c>
      <c r="U1777" s="6">
        <v>413</v>
      </c>
      <c r="V1777">
        <v>0</v>
      </c>
      <c r="W1777">
        <v>0</v>
      </c>
      <c r="X1777">
        <v>0</v>
      </c>
      <c r="Y1777" s="6">
        <v>49.4</v>
      </c>
      <c r="Z1777">
        <v>2E-3</v>
      </c>
      <c r="AA1777">
        <v>5.0999999999999997E-2</v>
      </c>
      <c r="AB1777">
        <v>2.5000000000000001E-2</v>
      </c>
      <c r="AC1777">
        <v>6</v>
      </c>
      <c r="AD1777" s="6">
        <v>50</v>
      </c>
      <c r="AE1777" s="6">
        <v>0</v>
      </c>
      <c r="AF1777" s="6">
        <v>0</v>
      </c>
      <c r="AG1777" s="6">
        <v>53.12</v>
      </c>
      <c r="AH1777" s="6">
        <v>68.12</v>
      </c>
      <c r="AI1777" s="6">
        <f t="shared" si="54"/>
        <v>15.000000000000007</v>
      </c>
      <c r="AJ1777" s="5">
        <f t="shared" si="55"/>
        <v>0.2201996476805638</v>
      </c>
    </row>
    <row r="1778" spans="1:36">
      <c r="A1778" t="s">
        <v>375</v>
      </c>
      <c r="B1778" t="s">
        <v>2063</v>
      </c>
      <c r="C1778" t="s">
        <v>99</v>
      </c>
      <c r="D1778" t="s">
        <v>63</v>
      </c>
      <c r="E1778" t="s">
        <v>55</v>
      </c>
      <c r="F1778">
        <v>0</v>
      </c>
      <c r="G1778">
        <v>2463</v>
      </c>
      <c r="H1778">
        <v>1</v>
      </c>
      <c r="I1778" t="s">
        <v>220</v>
      </c>
      <c r="J1778">
        <v>2</v>
      </c>
      <c r="K1778" s="6">
        <v>3.04</v>
      </c>
      <c r="L1778" t="s">
        <v>174</v>
      </c>
      <c r="M1778">
        <v>0</v>
      </c>
      <c r="N1778" t="s">
        <v>175</v>
      </c>
      <c r="O1778">
        <v>1</v>
      </c>
      <c r="P1778">
        <v>0</v>
      </c>
      <c r="Q1778" s="6">
        <v>39.9</v>
      </c>
      <c r="R1778">
        <v>0</v>
      </c>
      <c r="S1778" s="6">
        <v>0</v>
      </c>
      <c r="T1778">
        <v>0</v>
      </c>
      <c r="U1778" s="6">
        <v>301</v>
      </c>
      <c r="V1778">
        <v>0</v>
      </c>
      <c r="W1778">
        <v>0</v>
      </c>
      <c r="X1778">
        <v>0</v>
      </c>
      <c r="Y1778" s="6">
        <v>49.4</v>
      </c>
      <c r="Z1778">
        <v>2E-3</v>
      </c>
      <c r="AA1778">
        <v>5.0999999999999997E-2</v>
      </c>
      <c r="AB1778">
        <v>2.5000000000000001E-2</v>
      </c>
      <c r="AC1778">
        <v>6</v>
      </c>
      <c r="AD1778" s="6">
        <v>50</v>
      </c>
      <c r="AE1778" s="6">
        <v>0</v>
      </c>
      <c r="AF1778" s="6">
        <v>0</v>
      </c>
      <c r="AG1778" s="6">
        <v>62.76</v>
      </c>
      <c r="AH1778" s="6">
        <v>82.43</v>
      </c>
      <c r="AI1778" s="6">
        <f t="shared" si="54"/>
        <v>19.670000000000009</v>
      </c>
      <c r="AJ1778" s="5">
        <f t="shared" si="55"/>
        <v>0.23862671357515478</v>
      </c>
    </row>
    <row r="1779" spans="1:36">
      <c r="A1779" t="s">
        <v>228</v>
      </c>
      <c r="B1779" t="s">
        <v>2064</v>
      </c>
      <c r="C1779" t="s">
        <v>99</v>
      </c>
      <c r="D1779" t="s">
        <v>63</v>
      </c>
      <c r="E1779" t="s">
        <v>55</v>
      </c>
      <c r="F1779">
        <v>0</v>
      </c>
      <c r="G1779">
        <v>2463</v>
      </c>
      <c r="H1779">
        <v>1</v>
      </c>
      <c r="I1779" t="s">
        <v>181</v>
      </c>
      <c r="J1779">
        <v>3</v>
      </c>
      <c r="K1779" s="6">
        <v>5.79</v>
      </c>
      <c r="L1779" t="s">
        <v>174</v>
      </c>
      <c r="M1779">
        <v>0</v>
      </c>
      <c r="N1779" t="s">
        <v>182</v>
      </c>
      <c r="O1779">
        <v>3</v>
      </c>
      <c r="P1779">
        <v>0</v>
      </c>
      <c r="Q1779" s="6">
        <v>110.6</v>
      </c>
      <c r="R1779">
        <v>0</v>
      </c>
      <c r="S1779" s="6">
        <v>0</v>
      </c>
      <c r="T1779">
        <v>0</v>
      </c>
      <c r="U1779" s="6">
        <v>512</v>
      </c>
      <c r="V1779">
        <v>0</v>
      </c>
      <c r="W1779">
        <v>0</v>
      </c>
      <c r="X1779">
        <v>0</v>
      </c>
      <c r="Y1779" s="6">
        <v>49.4</v>
      </c>
      <c r="Z1779">
        <v>2E-3</v>
      </c>
      <c r="AA1779">
        <v>5.0999999999999997E-2</v>
      </c>
      <c r="AB1779">
        <v>2.5000000000000001E-2</v>
      </c>
      <c r="AC1779">
        <v>6</v>
      </c>
      <c r="AD1779" s="6">
        <v>60</v>
      </c>
      <c r="AE1779" s="6">
        <v>0</v>
      </c>
      <c r="AF1779" s="6">
        <v>0</v>
      </c>
      <c r="AG1779" s="6">
        <v>81.069999999999993</v>
      </c>
      <c r="AH1779" s="6">
        <v>104.38</v>
      </c>
      <c r="AI1779" s="6">
        <f t="shared" si="54"/>
        <v>23.310000000000002</v>
      </c>
      <c r="AJ1779" s="5">
        <f t="shared" si="55"/>
        <v>0.22331864341827939</v>
      </c>
    </row>
    <row r="1780" spans="1:36">
      <c r="A1780" t="s">
        <v>188</v>
      </c>
      <c r="B1780" t="s">
        <v>2065</v>
      </c>
      <c r="C1780" t="s">
        <v>99</v>
      </c>
      <c r="D1780" t="s">
        <v>63</v>
      </c>
      <c r="E1780" t="s">
        <v>55</v>
      </c>
      <c r="F1780">
        <v>0</v>
      </c>
      <c r="G1780">
        <v>2463</v>
      </c>
      <c r="H1780">
        <v>1</v>
      </c>
      <c r="I1780" t="s">
        <v>173</v>
      </c>
      <c r="J1780">
        <v>1</v>
      </c>
      <c r="K1780" s="6">
        <v>1.23</v>
      </c>
      <c r="L1780" t="s">
        <v>174</v>
      </c>
      <c r="M1780">
        <v>0</v>
      </c>
      <c r="N1780" t="s">
        <v>182</v>
      </c>
      <c r="O1780">
        <v>3</v>
      </c>
      <c r="P1780">
        <v>0</v>
      </c>
      <c r="Q1780" s="6">
        <v>99</v>
      </c>
      <c r="R1780">
        <v>0</v>
      </c>
      <c r="S1780" s="6">
        <v>0</v>
      </c>
      <c r="T1780">
        <v>0</v>
      </c>
      <c r="U1780" s="6">
        <v>677</v>
      </c>
      <c r="V1780">
        <v>0</v>
      </c>
      <c r="W1780">
        <v>0</v>
      </c>
      <c r="X1780">
        <v>0</v>
      </c>
      <c r="Y1780" s="6">
        <v>49.4</v>
      </c>
      <c r="Z1780">
        <v>2E-3</v>
      </c>
      <c r="AA1780">
        <v>5.0999999999999997E-2</v>
      </c>
      <c r="AB1780">
        <v>2.5000000000000001E-2</v>
      </c>
      <c r="AC1780">
        <v>6</v>
      </c>
      <c r="AD1780" s="6">
        <v>50</v>
      </c>
      <c r="AE1780" s="6">
        <v>0</v>
      </c>
      <c r="AF1780" s="6">
        <v>0</v>
      </c>
      <c r="AG1780" s="6">
        <v>59.58</v>
      </c>
      <c r="AH1780" s="6">
        <v>78.91</v>
      </c>
      <c r="AI1780" s="6">
        <f t="shared" si="54"/>
        <v>19.329999999999998</v>
      </c>
      <c r="AJ1780" s="5">
        <f t="shared" si="55"/>
        <v>0.24496261563806868</v>
      </c>
    </row>
    <row r="1781" spans="1:36">
      <c r="A1781" t="s">
        <v>188</v>
      </c>
      <c r="B1781" t="s">
        <v>2066</v>
      </c>
      <c r="C1781" t="s">
        <v>99</v>
      </c>
      <c r="D1781" t="s">
        <v>63</v>
      </c>
      <c r="E1781" t="s">
        <v>55</v>
      </c>
      <c r="F1781">
        <v>0</v>
      </c>
      <c r="G1781">
        <v>2463</v>
      </c>
      <c r="H1781">
        <v>1</v>
      </c>
      <c r="I1781" t="s">
        <v>173</v>
      </c>
      <c r="J1781">
        <v>1</v>
      </c>
      <c r="K1781" s="6">
        <v>1.91</v>
      </c>
      <c r="L1781" t="s">
        <v>174</v>
      </c>
      <c r="M1781">
        <v>0</v>
      </c>
      <c r="N1781" t="s">
        <v>217</v>
      </c>
      <c r="O1781">
        <v>4</v>
      </c>
      <c r="P1781">
        <v>1</v>
      </c>
      <c r="Q1781" s="6">
        <v>138.6</v>
      </c>
      <c r="R1781">
        <v>0</v>
      </c>
      <c r="S1781" s="6">
        <v>0</v>
      </c>
      <c r="T1781">
        <v>0</v>
      </c>
      <c r="U1781" s="6">
        <v>335</v>
      </c>
      <c r="V1781">
        <v>0</v>
      </c>
      <c r="W1781">
        <v>0</v>
      </c>
      <c r="X1781">
        <v>0</v>
      </c>
      <c r="Y1781" s="6">
        <v>49.4</v>
      </c>
      <c r="Z1781">
        <v>2E-3</v>
      </c>
      <c r="AA1781">
        <v>5.0999999999999997E-2</v>
      </c>
      <c r="AB1781">
        <v>2.5000000000000001E-2</v>
      </c>
      <c r="AC1781">
        <v>6</v>
      </c>
      <c r="AD1781" s="6">
        <v>50</v>
      </c>
      <c r="AE1781" s="6">
        <v>0</v>
      </c>
      <c r="AF1781" s="6">
        <v>0</v>
      </c>
      <c r="AG1781" s="6">
        <v>98.84</v>
      </c>
      <c r="AH1781" s="6">
        <v>124.02</v>
      </c>
      <c r="AI1781" s="6">
        <f t="shared" si="54"/>
        <v>25.179999999999993</v>
      </c>
      <c r="AJ1781" s="5">
        <f t="shared" si="55"/>
        <v>0.20303176906950487</v>
      </c>
    </row>
    <row r="1782" spans="1:36">
      <c r="A1782" t="s">
        <v>263</v>
      </c>
      <c r="B1782" t="s">
        <v>2067</v>
      </c>
      <c r="C1782" t="s">
        <v>99</v>
      </c>
      <c r="D1782" t="s">
        <v>63</v>
      </c>
      <c r="E1782" t="s">
        <v>55</v>
      </c>
      <c r="F1782">
        <v>0</v>
      </c>
      <c r="G1782">
        <v>2463</v>
      </c>
      <c r="H1782">
        <v>1</v>
      </c>
      <c r="I1782" t="s">
        <v>173</v>
      </c>
      <c r="J1782">
        <v>1</v>
      </c>
      <c r="K1782" s="6">
        <v>1.62</v>
      </c>
      <c r="L1782" t="s">
        <v>174</v>
      </c>
      <c r="M1782">
        <v>0</v>
      </c>
      <c r="N1782" t="s">
        <v>187</v>
      </c>
      <c r="O1782">
        <v>2</v>
      </c>
      <c r="P1782">
        <v>0</v>
      </c>
      <c r="Q1782" s="6">
        <v>70.400000000000006</v>
      </c>
      <c r="R1782">
        <v>1</v>
      </c>
      <c r="S1782" s="6">
        <v>767</v>
      </c>
      <c r="T1782">
        <v>0</v>
      </c>
      <c r="U1782" s="6">
        <v>1223</v>
      </c>
      <c r="V1782">
        <v>0</v>
      </c>
      <c r="W1782">
        <v>0</v>
      </c>
      <c r="X1782">
        <v>0</v>
      </c>
      <c r="Y1782" s="6">
        <v>49.4</v>
      </c>
      <c r="Z1782">
        <v>2E-3</v>
      </c>
      <c r="AA1782">
        <v>5.0999999999999997E-2</v>
      </c>
      <c r="AB1782">
        <v>2.5000000000000001E-2</v>
      </c>
      <c r="AC1782">
        <v>6</v>
      </c>
      <c r="AD1782" s="6">
        <v>50</v>
      </c>
      <c r="AE1782" s="6">
        <v>25</v>
      </c>
      <c r="AF1782" s="6">
        <v>0</v>
      </c>
      <c r="AG1782" s="6">
        <v>61.04</v>
      </c>
      <c r="AH1782" s="6">
        <v>76.739999999999995</v>
      </c>
      <c r="AI1782" s="6">
        <f t="shared" si="54"/>
        <v>15.699999999999996</v>
      </c>
      <c r="AJ1782" s="5">
        <f t="shared" si="55"/>
        <v>0.20458691686213185</v>
      </c>
    </row>
    <row r="1783" spans="1:36">
      <c r="A1783" t="s">
        <v>233</v>
      </c>
      <c r="B1783" t="s">
        <v>2068</v>
      </c>
      <c r="C1783" t="s">
        <v>99</v>
      </c>
      <c r="D1783" t="s">
        <v>63</v>
      </c>
      <c r="E1783" t="s">
        <v>55</v>
      </c>
      <c r="F1783">
        <v>0</v>
      </c>
      <c r="G1783">
        <v>2463</v>
      </c>
      <c r="H1783">
        <v>1</v>
      </c>
      <c r="I1783" t="s">
        <v>173</v>
      </c>
      <c r="J1783">
        <v>1</v>
      </c>
      <c r="K1783" s="6">
        <v>1.64</v>
      </c>
      <c r="L1783" t="s">
        <v>174</v>
      </c>
      <c r="M1783">
        <v>0</v>
      </c>
      <c r="N1783" t="s">
        <v>182</v>
      </c>
      <c r="O1783">
        <v>3</v>
      </c>
      <c r="P1783">
        <v>0</v>
      </c>
      <c r="Q1783" s="6">
        <v>68.2</v>
      </c>
      <c r="R1783">
        <v>0</v>
      </c>
      <c r="S1783" s="6">
        <v>0</v>
      </c>
      <c r="T1783">
        <v>0</v>
      </c>
      <c r="U1783" s="6">
        <v>1026</v>
      </c>
      <c r="V1783">
        <v>0</v>
      </c>
      <c r="W1783">
        <v>0</v>
      </c>
      <c r="X1783">
        <v>0</v>
      </c>
      <c r="Y1783" s="6">
        <v>49.4</v>
      </c>
      <c r="Z1783">
        <v>2E-3</v>
      </c>
      <c r="AA1783">
        <v>5.0999999999999997E-2</v>
      </c>
      <c r="AB1783">
        <v>2.5000000000000001E-2</v>
      </c>
      <c r="AC1783">
        <v>6</v>
      </c>
      <c r="AD1783" s="6">
        <v>50</v>
      </c>
      <c r="AE1783" s="6">
        <v>0</v>
      </c>
      <c r="AF1783" s="6">
        <v>0</v>
      </c>
      <c r="AG1783" s="6">
        <v>54.43</v>
      </c>
      <c r="AH1783" s="6">
        <v>71.599999999999994</v>
      </c>
      <c r="AI1783" s="6">
        <f t="shared" si="54"/>
        <v>17.169999999999995</v>
      </c>
      <c r="AJ1783" s="5">
        <f t="shared" si="55"/>
        <v>0.23980446927374297</v>
      </c>
    </row>
    <row r="1784" spans="1:36">
      <c r="A1784" t="s">
        <v>303</v>
      </c>
      <c r="B1784" t="s">
        <v>2069</v>
      </c>
      <c r="C1784" t="s">
        <v>99</v>
      </c>
      <c r="D1784" t="s">
        <v>63</v>
      </c>
      <c r="E1784" t="s">
        <v>55</v>
      </c>
      <c r="F1784">
        <v>0</v>
      </c>
      <c r="G1784">
        <v>2463</v>
      </c>
      <c r="H1784">
        <v>1</v>
      </c>
      <c r="I1784" t="s">
        <v>220</v>
      </c>
      <c r="J1784">
        <v>2</v>
      </c>
      <c r="K1784" s="6">
        <v>4.03</v>
      </c>
      <c r="L1784" t="s">
        <v>174</v>
      </c>
      <c r="M1784">
        <v>0</v>
      </c>
      <c r="N1784" t="s">
        <v>187</v>
      </c>
      <c r="O1784">
        <v>2</v>
      </c>
      <c r="P1784">
        <v>0</v>
      </c>
      <c r="Q1784" s="6">
        <v>38.700000000000003</v>
      </c>
      <c r="R1784">
        <v>0</v>
      </c>
      <c r="S1784" s="6">
        <v>0</v>
      </c>
      <c r="T1784">
        <v>0</v>
      </c>
      <c r="U1784" s="6">
        <v>559</v>
      </c>
      <c r="V1784">
        <v>0</v>
      </c>
      <c r="W1784">
        <v>0</v>
      </c>
      <c r="X1784">
        <v>0</v>
      </c>
      <c r="Y1784" s="6">
        <v>49.4</v>
      </c>
      <c r="Z1784">
        <v>2E-3</v>
      </c>
      <c r="AA1784">
        <v>5.0999999999999997E-2</v>
      </c>
      <c r="AB1784">
        <v>2.5000000000000001E-2</v>
      </c>
      <c r="AC1784">
        <v>6</v>
      </c>
      <c r="AD1784" s="6">
        <v>50</v>
      </c>
      <c r="AE1784" s="6">
        <v>0</v>
      </c>
      <c r="AF1784" s="6">
        <v>0</v>
      </c>
      <c r="AG1784" s="6">
        <v>64.290000000000006</v>
      </c>
      <c r="AH1784" s="6">
        <v>85.08</v>
      </c>
      <c r="AI1784" s="6">
        <f t="shared" si="54"/>
        <v>20.789999999999992</v>
      </c>
      <c r="AJ1784" s="5">
        <f t="shared" si="55"/>
        <v>0.24435825105782782</v>
      </c>
    </row>
    <row r="1785" spans="1:36">
      <c r="A1785" t="s">
        <v>579</v>
      </c>
      <c r="B1785" t="s">
        <v>2070</v>
      </c>
      <c r="C1785" t="s">
        <v>99</v>
      </c>
      <c r="D1785" t="s">
        <v>63</v>
      </c>
      <c r="E1785" t="s">
        <v>55</v>
      </c>
      <c r="F1785">
        <v>0</v>
      </c>
      <c r="G1785">
        <v>2463</v>
      </c>
      <c r="H1785">
        <v>1</v>
      </c>
      <c r="I1785" t="s">
        <v>220</v>
      </c>
      <c r="J1785">
        <v>2</v>
      </c>
      <c r="K1785" s="6">
        <v>2.58</v>
      </c>
      <c r="L1785" t="s">
        <v>174</v>
      </c>
      <c r="M1785">
        <v>0</v>
      </c>
      <c r="N1785" t="s">
        <v>175</v>
      </c>
      <c r="O1785">
        <v>1</v>
      </c>
      <c r="P1785">
        <v>0</v>
      </c>
      <c r="Q1785" s="6">
        <v>27.4</v>
      </c>
      <c r="R1785">
        <v>0</v>
      </c>
      <c r="S1785" s="6">
        <v>0</v>
      </c>
      <c r="T1785">
        <v>0</v>
      </c>
      <c r="U1785" s="6">
        <v>1373</v>
      </c>
      <c r="V1785">
        <v>0</v>
      </c>
      <c r="W1785">
        <v>0</v>
      </c>
      <c r="X1785">
        <v>0</v>
      </c>
      <c r="Y1785" s="6">
        <v>49.4</v>
      </c>
      <c r="Z1785">
        <v>2E-3</v>
      </c>
      <c r="AA1785">
        <v>5.0999999999999997E-2</v>
      </c>
      <c r="AB1785">
        <v>2.5000000000000001E-2</v>
      </c>
      <c r="AC1785">
        <v>6</v>
      </c>
      <c r="AD1785" s="6">
        <v>50</v>
      </c>
      <c r="AE1785" s="6">
        <v>0</v>
      </c>
      <c r="AF1785" s="6">
        <v>0</v>
      </c>
      <c r="AG1785" s="6">
        <v>61.84</v>
      </c>
      <c r="AH1785" s="6">
        <v>80.959999999999994</v>
      </c>
      <c r="AI1785" s="6">
        <f t="shared" si="54"/>
        <v>19.11999999999999</v>
      </c>
      <c r="AJ1785" s="5">
        <f t="shared" si="55"/>
        <v>0.23616600790513823</v>
      </c>
    </row>
    <row r="1786" spans="1:36">
      <c r="A1786" t="s">
        <v>196</v>
      </c>
      <c r="B1786" t="s">
        <v>2071</v>
      </c>
      <c r="C1786" t="s">
        <v>99</v>
      </c>
      <c r="D1786" t="s">
        <v>63</v>
      </c>
      <c r="E1786" t="s">
        <v>55</v>
      </c>
      <c r="F1786">
        <v>0</v>
      </c>
      <c r="G1786">
        <v>2463</v>
      </c>
      <c r="H1786">
        <v>1</v>
      </c>
      <c r="I1786" t="s">
        <v>173</v>
      </c>
      <c r="J1786">
        <v>1</v>
      </c>
      <c r="K1786" s="6">
        <v>1.66</v>
      </c>
      <c r="L1786" t="s">
        <v>174</v>
      </c>
      <c r="M1786">
        <v>0</v>
      </c>
      <c r="N1786" t="s">
        <v>175</v>
      </c>
      <c r="O1786">
        <v>1</v>
      </c>
      <c r="P1786">
        <v>1</v>
      </c>
      <c r="Q1786" s="6">
        <v>35.5</v>
      </c>
      <c r="R1786">
        <v>0</v>
      </c>
      <c r="S1786" s="6">
        <v>0</v>
      </c>
      <c r="T1786">
        <v>0</v>
      </c>
      <c r="U1786" s="6">
        <v>215</v>
      </c>
      <c r="V1786">
        <v>0</v>
      </c>
      <c r="W1786">
        <v>0</v>
      </c>
      <c r="X1786">
        <v>0</v>
      </c>
      <c r="Y1786" s="6">
        <v>49.4</v>
      </c>
      <c r="Z1786">
        <v>2E-3</v>
      </c>
      <c r="AA1786">
        <v>5.0999999999999997E-2</v>
      </c>
      <c r="AB1786">
        <v>2.5000000000000001E-2</v>
      </c>
      <c r="AC1786">
        <v>6</v>
      </c>
      <c r="AD1786" s="6">
        <v>50</v>
      </c>
      <c r="AE1786" s="6">
        <v>0</v>
      </c>
      <c r="AF1786" s="6">
        <v>0</v>
      </c>
      <c r="AG1786" s="6">
        <v>77.97</v>
      </c>
      <c r="AH1786" s="6">
        <v>102.3</v>
      </c>
      <c r="AI1786" s="6">
        <f t="shared" si="54"/>
        <v>24.33</v>
      </c>
      <c r="AJ1786" s="5">
        <f t="shared" si="55"/>
        <v>0.2378299120234604</v>
      </c>
    </row>
    <row r="1787" spans="1:36">
      <c r="A1787" t="s">
        <v>348</v>
      </c>
      <c r="B1787" t="s">
        <v>2072</v>
      </c>
      <c r="C1787" t="s">
        <v>99</v>
      </c>
      <c r="D1787" t="s">
        <v>63</v>
      </c>
      <c r="E1787" t="s">
        <v>55</v>
      </c>
      <c r="F1787">
        <v>0</v>
      </c>
      <c r="G1787">
        <v>2463</v>
      </c>
      <c r="H1787">
        <v>1</v>
      </c>
      <c r="I1787" t="s">
        <v>220</v>
      </c>
      <c r="J1787">
        <v>2</v>
      </c>
      <c r="K1787" s="6">
        <v>5.28</v>
      </c>
      <c r="L1787" t="s">
        <v>174</v>
      </c>
      <c r="M1787">
        <v>0</v>
      </c>
      <c r="N1787" t="s">
        <v>187</v>
      </c>
      <c r="O1787">
        <v>2</v>
      </c>
      <c r="P1787">
        <v>0</v>
      </c>
      <c r="Q1787" s="6">
        <v>58.2</v>
      </c>
      <c r="R1787">
        <v>1</v>
      </c>
      <c r="S1787" s="6">
        <v>1176</v>
      </c>
      <c r="T1787">
        <v>0</v>
      </c>
      <c r="U1787" s="6">
        <v>490</v>
      </c>
      <c r="V1787">
        <v>0</v>
      </c>
      <c r="W1787">
        <v>0</v>
      </c>
      <c r="X1787">
        <v>0</v>
      </c>
      <c r="Y1787" s="6">
        <v>49.4</v>
      </c>
      <c r="Z1787">
        <v>2E-3</v>
      </c>
      <c r="AA1787">
        <v>5.0999999999999997E-2</v>
      </c>
      <c r="AB1787">
        <v>2.5000000000000001E-2</v>
      </c>
      <c r="AC1787">
        <v>6</v>
      </c>
      <c r="AD1787" s="6">
        <v>50</v>
      </c>
      <c r="AE1787" s="6">
        <v>25</v>
      </c>
      <c r="AF1787" s="6">
        <v>0</v>
      </c>
      <c r="AG1787" s="6">
        <v>67.83</v>
      </c>
      <c r="AH1787" s="6">
        <v>85.49</v>
      </c>
      <c r="AI1787" s="6">
        <f t="shared" si="54"/>
        <v>17.659999999999997</v>
      </c>
      <c r="AJ1787" s="5">
        <f t="shared" si="55"/>
        <v>0.20657386828868871</v>
      </c>
    </row>
    <row r="1788" spans="1:36">
      <c r="A1788" t="s">
        <v>693</v>
      </c>
      <c r="B1788" t="s">
        <v>2073</v>
      </c>
      <c r="C1788" t="s">
        <v>99</v>
      </c>
      <c r="D1788" t="s">
        <v>63</v>
      </c>
      <c r="E1788" t="s">
        <v>55</v>
      </c>
      <c r="F1788">
        <v>0</v>
      </c>
      <c r="G1788">
        <v>2463</v>
      </c>
      <c r="H1788">
        <v>1</v>
      </c>
      <c r="I1788" t="s">
        <v>220</v>
      </c>
      <c r="J1788">
        <v>2</v>
      </c>
      <c r="K1788" s="6">
        <v>4.6900000000000004</v>
      </c>
      <c r="L1788" t="s">
        <v>174</v>
      </c>
      <c r="M1788">
        <v>0</v>
      </c>
      <c r="N1788" t="s">
        <v>182</v>
      </c>
      <c r="O1788">
        <v>3</v>
      </c>
      <c r="P1788">
        <v>0</v>
      </c>
      <c r="Q1788" s="6">
        <v>134.80000000000001</v>
      </c>
      <c r="R1788">
        <v>0</v>
      </c>
      <c r="S1788" s="6">
        <v>0</v>
      </c>
      <c r="T1788">
        <v>0</v>
      </c>
      <c r="U1788" s="6">
        <v>1428</v>
      </c>
      <c r="V1788">
        <v>0</v>
      </c>
      <c r="W1788">
        <v>0</v>
      </c>
      <c r="X1788">
        <v>0</v>
      </c>
      <c r="Y1788" s="6">
        <v>49.4</v>
      </c>
      <c r="Z1788">
        <v>2E-3</v>
      </c>
      <c r="AA1788">
        <v>5.0999999999999997E-2</v>
      </c>
      <c r="AB1788">
        <v>2.5000000000000001E-2</v>
      </c>
      <c r="AC1788">
        <v>6</v>
      </c>
      <c r="AD1788" s="6">
        <v>50</v>
      </c>
      <c r="AE1788" s="6">
        <v>0</v>
      </c>
      <c r="AF1788" s="6">
        <v>0</v>
      </c>
      <c r="AG1788" s="6">
        <v>74.849999999999994</v>
      </c>
      <c r="AH1788" s="6">
        <v>96.27</v>
      </c>
      <c r="AI1788" s="6">
        <f t="shared" si="54"/>
        <v>21.42</v>
      </c>
      <c r="AJ1788" s="5">
        <f t="shared" si="55"/>
        <v>0.22249922094110317</v>
      </c>
    </row>
    <row r="1789" spans="1:36">
      <c r="A1789" t="s">
        <v>375</v>
      </c>
      <c r="B1789" t="s">
        <v>2074</v>
      </c>
      <c r="C1789" t="s">
        <v>99</v>
      </c>
      <c r="D1789" t="s">
        <v>63</v>
      </c>
      <c r="E1789" t="s">
        <v>55</v>
      </c>
      <c r="F1789">
        <v>0</v>
      </c>
      <c r="G1789">
        <v>2463</v>
      </c>
      <c r="H1789">
        <v>1</v>
      </c>
      <c r="I1789" t="s">
        <v>173</v>
      </c>
      <c r="J1789">
        <v>1</v>
      </c>
      <c r="K1789" s="6">
        <v>1.73</v>
      </c>
      <c r="L1789" t="s">
        <v>174</v>
      </c>
      <c r="M1789">
        <v>0</v>
      </c>
      <c r="N1789" t="s">
        <v>182</v>
      </c>
      <c r="O1789">
        <v>3</v>
      </c>
      <c r="P1789">
        <v>0</v>
      </c>
      <c r="Q1789" s="6">
        <v>86.9</v>
      </c>
      <c r="R1789">
        <v>1</v>
      </c>
      <c r="S1789" s="6">
        <v>1656</v>
      </c>
      <c r="T1789">
        <v>0</v>
      </c>
      <c r="U1789" s="6">
        <v>415</v>
      </c>
      <c r="V1789">
        <v>0</v>
      </c>
      <c r="W1789">
        <v>0</v>
      </c>
      <c r="X1789">
        <v>1</v>
      </c>
      <c r="Y1789" s="6">
        <v>49.4</v>
      </c>
      <c r="Z1789">
        <v>2E-3</v>
      </c>
      <c r="AA1789">
        <v>5.0999999999999997E-2</v>
      </c>
      <c r="AB1789">
        <v>2.5000000000000001E-2</v>
      </c>
      <c r="AC1789">
        <v>6</v>
      </c>
      <c r="AD1789" s="6">
        <v>50</v>
      </c>
      <c r="AE1789" s="6">
        <v>25</v>
      </c>
      <c r="AF1789" s="6">
        <v>0</v>
      </c>
      <c r="AG1789" s="6">
        <v>58.63</v>
      </c>
      <c r="AH1789" s="6">
        <v>77.61</v>
      </c>
      <c r="AI1789" s="6">
        <f t="shared" si="54"/>
        <v>18.979999999999997</v>
      </c>
      <c r="AJ1789" s="5">
        <f t="shared" si="55"/>
        <v>0.24455611390284754</v>
      </c>
    </row>
    <row r="1790" spans="1:36">
      <c r="A1790" t="s">
        <v>240</v>
      </c>
      <c r="B1790" t="s">
        <v>2075</v>
      </c>
      <c r="C1790" t="s">
        <v>99</v>
      </c>
      <c r="D1790" t="s">
        <v>63</v>
      </c>
      <c r="E1790" t="s">
        <v>55</v>
      </c>
      <c r="F1790">
        <v>0</v>
      </c>
      <c r="G1790">
        <v>2463</v>
      </c>
      <c r="H1790">
        <v>1</v>
      </c>
      <c r="I1790" t="s">
        <v>173</v>
      </c>
      <c r="J1790">
        <v>1</v>
      </c>
      <c r="K1790" s="6">
        <v>2.2799999999999998</v>
      </c>
      <c r="L1790" t="s">
        <v>174</v>
      </c>
      <c r="M1790">
        <v>0</v>
      </c>
      <c r="N1790" t="s">
        <v>187</v>
      </c>
      <c r="O1790">
        <v>2</v>
      </c>
      <c r="P1790">
        <v>0</v>
      </c>
      <c r="Q1790" s="6">
        <v>65.8</v>
      </c>
      <c r="R1790">
        <v>1</v>
      </c>
      <c r="S1790" s="6">
        <v>5202</v>
      </c>
      <c r="T1790">
        <v>0</v>
      </c>
      <c r="U1790" s="6">
        <v>397</v>
      </c>
      <c r="V1790">
        <v>0</v>
      </c>
      <c r="W1790">
        <v>0</v>
      </c>
      <c r="X1790">
        <v>0</v>
      </c>
      <c r="Y1790" s="6">
        <v>49.4</v>
      </c>
      <c r="Z1790">
        <v>2E-3</v>
      </c>
      <c r="AA1790">
        <v>5.0999999999999997E-2</v>
      </c>
      <c r="AB1790">
        <v>2.5000000000000001E-2</v>
      </c>
      <c r="AC1790">
        <v>6</v>
      </c>
      <c r="AD1790" s="6">
        <v>50</v>
      </c>
      <c r="AE1790" s="6">
        <v>50</v>
      </c>
      <c r="AF1790" s="6">
        <v>0</v>
      </c>
      <c r="AG1790" s="6">
        <v>56.04</v>
      </c>
      <c r="AH1790" s="6">
        <v>71.58</v>
      </c>
      <c r="AI1790" s="6">
        <f t="shared" si="54"/>
        <v>15.54</v>
      </c>
      <c r="AJ1790" s="5">
        <f t="shared" si="55"/>
        <v>0.21709974853310979</v>
      </c>
    </row>
    <row r="1791" spans="1:36">
      <c r="A1791" t="s">
        <v>185</v>
      </c>
      <c r="B1791" t="s">
        <v>2076</v>
      </c>
      <c r="C1791" t="s">
        <v>99</v>
      </c>
      <c r="D1791" t="s">
        <v>63</v>
      </c>
      <c r="E1791" t="s">
        <v>55</v>
      </c>
      <c r="F1791">
        <v>0</v>
      </c>
      <c r="G1791">
        <v>2463</v>
      </c>
      <c r="H1791">
        <v>1</v>
      </c>
      <c r="I1791" t="s">
        <v>181</v>
      </c>
      <c r="J1791">
        <v>3</v>
      </c>
      <c r="K1791" s="6">
        <v>8.64</v>
      </c>
      <c r="L1791" t="s">
        <v>174</v>
      </c>
      <c r="M1791">
        <v>0</v>
      </c>
      <c r="N1791" t="s">
        <v>217</v>
      </c>
      <c r="O1791">
        <v>4</v>
      </c>
      <c r="P1791">
        <v>1</v>
      </c>
      <c r="Q1791" s="6">
        <v>173.1</v>
      </c>
      <c r="R1791">
        <v>0</v>
      </c>
      <c r="S1791" s="6">
        <v>0</v>
      </c>
      <c r="T1791">
        <v>0</v>
      </c>
      <c r="U1791" s="6">
        <v>938</v>
      </c>
      <c r="V1791">
        <v>0</v>
      </c>
      <c r="W1791">
        <v>0</v>
      </c>
      <c r="X1791">
        <v>0</v>
      </c>
      <c r="Y1791" s="6">
        <v>49.4</v>
      </c>
      <c r="Z1791">
        <v>2E-3</v>
      </c>
      <c r="AA1791">
        <v>5.0999999999999997E-2</v>
      </c>
      <c r="AB1791">
        <v>2.5000000000000001E-2</v>
      </c>
      <c r="AC1791">
        <v>6</v>
      </c>
      <c r="AD1791" s="6">
        <v>60</v>
      </c>
      <c r="AE1791" s="6">
        <v>0</v>
      </c>
      <c r="AF1791" s="6">
        <v>0</v>
      </c>
      <c r="AG1791" s="6">
        <v>138.80000000000001</v>
      </c>
      <c r="AH1791" s="6">
        <v>174.8</v>
      </c>
      <c r="AI1791" s="6">
        <f t="shared" si="54"/>
        <v>36</v>
      </c>
      <c r="AJ1791" s="5">
        <f t="shared" si="55"/>
        <v>0.20594965675057206</v>
      </c>
    </row>
    <row r="1792" spans="1:36">
      <c r="A1792" t="s">
        <v>355</v>
      </c>
      <c r="B1792" t="s">
        <v>2077</v>
      </c>
      <c r="C1792" t="s">
        <v>99</v>
      </c>
      <c r="D1792" t="s">
        <v>63</v>
      </c>
      <c r="E1792" t="s">
        <v>55</v>
      </c>
      <c r="F1792">
        <v>0</v>
      </c>
      <c r="G1792">
        <v>2463</v>
      </c>
      <c r="H1792">
        <v>1</v>
      </c>
      <c r="I1792" t="s">
        <v>173</v>
      </c>
      <c r="J1792">
        <v>1</v>
      </c>
      <c r="K1792" s="6">
        <v>2.16</v>
      </c>
      <c r="L1792" t="s">
        <v>174</v>
      </c>
      <c r="M1792">
        <v>0</v>
      </c>
      <c r="N1792" t="s">
        <v>175</v>
      </c>
      <c r="O1792">
        <v>1</v>
      </c>
      <c r="P1792">
        <v>0</v>
      </c>
      <c r="Q1792" s="6">
        <v>36.6</v>
      </c>
      <c r="R1792">
        <v>1</v>
      </c>
      <c r="S1792" s="6">
        <v>3280</v>
      </c>
      <c r="T1792">
        <v>0</v>
      </c>
      <c r="U1792" s="6">
        <v>3320</v>
      </c>
      <c r="V1792">
        <v>0</v>
      </c>
      <c r="W1792">
        <v>0</v>
      </c>
      <c r="X1792">
        <v>0</v>
      </c>
      <c r="Y1792" s="6">
        <v>49.4</v>
      </c>
      <c r="Z1792">
        <v>2E-3</v>
      </c>
      <c r="AA1792">
        <v>5.0999999999999997E-2</v>
      </c>
      <c r="AB1792">
        <v>2.5000000000000001E-2</v>
      </c>
      <c r="AC1792">
        <v>6</v>
      </c>
      <c r="AD1792" s="6">
        <v>50</v>
      </c>
      <c r="AE1792" s="6">
        <v>40</v>
      </c>
      <c r="AF1792" s="6">
        <v>0</v>
      </c>
      <c r="AG1792" s="6">
        <v>48.23</v>
      </c>
      <c r="AH1792" s="6">
        <v>62.74</v>
      </c>
      <c r="AI1792" s="6">
        <f t="shared" si="54"/>
        <v>14.510000000000005</v>
      </c>
      <c r="AJ1792" s="5">
        <f t="shared" si="55"/>
        <v>0.23127191584316234</v>
      </c>
    </row>
    <row r="1793" spans="1:36">
      <c r="A1793" t="s">
        <v>247</v>
      </c>
      <c r="B1793" t="s">
        <v>2078</v>
      </c>
      <c r="C1793" t="s">
        <v>99</v>
      </c>
      <c r="D1793" t="s">
        <v>63</v>
      </c>
      <c r="E1793" t="s">
        <v>55</v>
      </c>
      <c r="F1793">
        <v>0</v>
      </c>
      <c r="G1793">
        <v>2463</v>
      </c>
      <c r="H1793">
        <v>1</v>
      </c>
      <c r="I1793" t="s">
        <v>173</v>
      </c>
      <c r="J1793">
        <v>1</v>
      </c>
      <c r="K1793" s="6">
        <v>1.5</v>
      </c>
      <c r="L1793" t="s">
        <v>174</v>
      </c>
      <c r="M1793">
        <v>0</v>
      </c>
      <c r="N1793" t="s">
        <v>175</v>
      </c>
      <c r="O1793">
        <v>1</v>
      </c>
      <c r="P1793">
        <v>0</v>
      </c>
      <c r="Q1793" s="6">
        <v>37.6</v>
      </c>
      <c r="R1793">
        <v>0</v>
      </c>
      <c r="S1793" s="6">
        <v>0</v>
      </c>
      <c r="T1793">
        <v>0</v>
      </c>
      <c r="U1793" s="6">
        <v>256</v>
      </c>
      <c r="V1793">
        <v>0</v>
      </c>
      <c r="W1793">
        <v>0</v>
      </c>
      <c r="X1793">
        <v>0</v>
      </c>
      <c r="Y1793" s="6">
        <v>49.4</v>
      </c>
      <c r="Z1793">
        <v>2E-3</v>
      </c>
      <c r="AA1793">
        <v>5.0999999999999997E-2</v>
      </c>
      <c r="AB1793">
        <v>2.5000000000000001E-2</v>
      </c>
      <c r="AC1793">
        <v>6</v>
      </c>
      <c r="AD1793" s="6">
        <v>50</v>
      </c>
      <c r="AE1793" s="6">
        <v>0</v>
      </c>
      <c r="AF1793" s="6">
        <v>0</v>
      </c>
      <c r="AG1793" s="6">
        <v>51.72</v>
      </c>
      <c r="AH1793" s="6">
        <v>65.42</v>
      </c>
      <c r="AI1793" s="6">
        <f t="shared" si="54"/>
        <v>13.700000000000003</v>
      </c>
      <c r="AJ1793" s="5">
        <f t="shared" si="55"/>
        <v>0.20941608070926326</v>
      </c>
    </row>
    <row r="1794" spans="1:36">
      <c r="A1794" t="s">
        <v>206</v>
      </c>
      <c r="B1794" t="s">
        <v>2079</v>
      </c>
      <c r="C1794" t="s">
        <v>99</v>
      </c>
      <c r="D1794" t="s">
        <v>63</v>
      </c>
      <c r="E1794" t="s">
        <v>55</v>
      </c>
      <c r="F1794">
        <v>0</v>
      </c>
      <c r="G1794">
        <v>2463</v>
      </c>
      <c r="H1794">
        <v>1</v>
      </c>
      <c r="I1794" t="s">
        <v>173</v>
      </c>
      <c r="J1794">
        <v>1</v>
      </c>
      <c r="K1794" s="6">
        <v>1.41</v>
      </c>
      <c r="L1794" t="s">
        <v>174</v>
      </c>
      <c r="M1794">
        <v>0</v>
      </c>
      <c r="N1794" t="s">
        <v>187</v>
      </c>
      <c r="O1794">
        <v>2</v>
      </c>
      <c r="P1794">
        <v>0</v>
      </c>
      <c r="Q1794" s="6">
        <v>73.8</v>
      </c>
      <c r="R1794">
        <v>0</v>
      </c>
      <c r="S1794" s="6">
        <v>0</v>
      </c>
      <c r="T1794">
        <v>0</v>
      </c>
      <c r="U1794" s="6">
        <v>633</v>
      </c>
      <c r="V1794">
        <v>0</v>
      </c>
      <c r="W1794">
        <v>0</v>
      </c>
      <c r="X1794">
        <v>0</v>
      </c>
      <c r="Y1794" s="6">
        <v>49.4</v>
      </c>
      <c r="Z1794">
        <v>2E-3</v>
      </c>
      <c r="AA1794">
        <v>5.0999999999999997E-2</v>
      </c>
      <c r="AB1794">
        <v>2.5000000000000001E-2</v>
      </c>
      <c r="AC1794">
        <v>6</v>
      </c>
      <c r="AD1794" s="6">
        <v>50</v>
      </c>
      <c r="AE1794" s="6">
        <v>0</v>
      </c>
      <c r="AF1794" s="6">
        <v>0</v>
      </c>
      <c r="AG1794" s="6">
        <v>55.24</v>
      </c>
      <c r="AH1794" s="6">
        <v>70.5</v>
      </c>
      <c r="AI1794" s="6">
        <f t="shared" ref="AI1794:AI1857" si="56">AH1794-AG1794</f>
        <v>15.259999999999998</v>
      </c>
      <c r="AJ1794" s="5">
        <f t="shared" ref="AJ1794:AJ1857" si="57">IFERROR(AI1794/AH1794,0)</f>
        <v>0.21645390070921983</v>
      </c>
    </row>
    <row r="1795" spans="1:36">
      <c r="A1795" t="s">
        <v>512</v>
      </c>
      <c r="B1795" t="s">
        <v>2080</v>
      </c>
      <c r="C1795" t="s">
        <v>99</v>
      </c>
      <c r="D1795" t="s">
        <v>63</v>
      </c>
      <c r="E1795" t="s">
        <v>55</v>
      </c>
      <c r="F1795">
        <v>0</v>
      </c>
      <c r="G1795">
        <v>2463</v>
      </c>
      <c r="H1795">
        <v>1</v>
      </c>
      <c r="I1795" t="s">
        <v>220</v>
      </c>
      <c r="J1795">
        <v>2</v>
      </c>
      <c r="K1795" s="6">
        <v>3.43</v>
      </c>
      <c r="L1795" t="s">
        <v>174</v>
      </c>
      <c r="M1795">
        <v>0</v>
      </c>
      <c r="N1795" t="s">
        <v>182</v>
      </c>
      <c r="O1795">
        <v>3</v>
      </c>
      <c r="P1795">
        <v>0</v>
      </c>
      <c r="Q1795" s="6">
        <v>149.69999999999999</v>
      </c>
      <c r="R1795">
        <v>0</v>
      </c>
      <c r="S1795" s="6">
        <v>0</v>
      </c>
      <c r="T1795">
        <v>0</v>
      </c>
      <c r="U1795" s="6">
        <v>835</v>
      </c>
      <c r="V1795">
        <v>0</v>
      </c>
      <c r="W1795">
        <v>0</v>
      </c>
      <c r="X1795">
        <v>0</v>
      </c>
      <c r="Y1795" s="6">
        <v>49.4</v>
      </c>
      <c r="Z1795">
        <v>2E-3</v>
      </c>
      <c r="AA1795">
        <v>5.0999999999999997E-2</v>
      </c>
      <c r="AB1795">
        <v>2.5000000000000001E-2</v>
      </c>
      <c r="AC1795">
        <v>6</v>
      </c>
      <c r="AD1795" s="6">
        <v>50</v>
      </c>
      <c r="AE1795" s="6">
        <v>0</v>
      </c>
      <c r="AF1795" s="6">
        <v>0</v>
      </c>
      <c r="AG1795" s="6">
        <v>75.28</v>
      </c>
      <c r="AH1795" s="6">
        <v>97.76</v>
      </c>
      <c r="AI1795" s="6">
        <f t="shared" si="56"/>
        <v>22.480000000000004</v>
      </c>
      <c r="AJ1795" s="5">
        <f t="shared" si="57"/>
        <v>0.22995090016366615</v>
      </c>
    </row>
    <row r="1796" spans="1:36">
      <c r="A1796" t="s">
        <v>221</v>
      </c>
      <c r="B1796" t="s">
        <v>2081</v>
      </c>
      <c r="C1796" t="s">
        <v>99</v>
      </c>
      <c r="D1796" t="s">
        <v>63</v>
      </c>
      <c r="E1796" t="s">
        <v>55</v>
      </c>
      <c r="F1796">
        <v>0</v>
      </c>
      <c r="G1796">
        <v>2463</v>
      </c>
      <c r="H1796">
        <v>1</v>
      </c>
      <c r="I1796" t="s">
        <v>220</v>
      </c>
      <c r="J1796">
        <v>2</v>
      </c>
      <c r="K1796" s="6">
        <v>4.6500000000000004</v>
      </c>
      <c r="L1796" t="s">
        <v>174</v>
      </c>
      <c r="M1796">
        <v>0</v>
      </c>
      <c r="N1796" t="s">
        <v>182</v>
      </c>
      <c r="O1796">
        <v>3</v>
      </c>
      <c r="P1796">
        <v>0</v>
      </c>
      <c r="Q1796" s="6">
        <v>85.6</v>
      </c>
      <c r="R1796">
        <v>0</v>
      </c>
      <c r="S1796" s="6">
        <v>0</v>
      </c>
      <c r="T1796">
        <v>0</v>
      </c>
      <c r="U1796" s="6">
        <v>739</v>
      </c>
      <c r="V1796">
        <v>0</v>
      </c>
      <c r="W1796">
        <v>0</v>
      </c>
      <c r="X1796">
        <v>0</v>
      </c>
      <c r="Y1796" s="6">
        <v>49.4</v>
      </c>
      <c r="Z1796">
        <v>2E-3</v>
      </c>
      <c r="AA1796">
        <v>5.0999999999999997E-2</v>
      </c>
      <c r="AB1796">
        <v>2.5000000000000001E-2</v>
      </c>
      <c r="AC1796">
        <v>6</v>
      </c>
      <c r="AD1796" s="6">
        <v>50</v>
      </c>
      <c r="AE1796" s="6">
        <v>0</v>
      </c>
      <c r="AF1796" s="6">
        <v>0</v>
      </c>
      <c r="AG1796" s="6">
        <v>70.72</v>
      </c>
      <c r="AH1796" s="6">
        <v>91.98</v>
      </c>
      <c r="AI1796" s="6">
        <f t="shared" si="56"/>
        <v>21.260000000000005</v>
      </c>
      <c r="AJ1796" s="5">
        <f t="shared" si="57"/>
        <v>0.23113720373994351</v>
      </c>
    </row>
    <row r="1797" spans="1:36">
      <c r="A1797" t="s">
        <v>240</v>
      </c>
      <c r="B1797" t="s">
        <v>2082</v>
      </c>
      <c r="C1797" t="s">
        <v>99</v>
      </c>
      <c r="D1797" t="s">
        <v>63</v>
      </c>
      <c r="E1797" t="s">
        <v>55</v>
      </c>
      <c r="F1797">
        <v>0</v>
      </c>
      <c r="G1797">
        <v>2463</v>
      </c>
      <c r="H1797">
        <v>1</v>
      </c>
      <c r="I1797" t="s">
        <v>173</v>
      </c>
      <c r="J1797">
        <v>1</v>
      </c>
      <c r="K1797" s="6">
        <v>0.87</v>
      </c>
      <c r="L1797" t="s">
        <v>174</v>
      </c>
      <c r="M1797">
        <v>0</v>
      </c>
      <c r="N1797" t="s">
        <v>175</v>
      </c>
      <c r="O1797">
        <v>1</v>
      </c>
      <c r="P1797">
        <v>1</v>
      </c>
      <c r="Q1797" s="6">
        <v>42.3</v>
      </c>
      <c r="R1797">
        <v>1</v>
      </c>
      <c r="S1797" s="6">
        <v>5110</v>
      </c>
      <c r="T1797">
        <v>0</v>
      </c>
      <c r="U1797" s="6">
        <v>706</v>
      </c>
      <c r="V1797">
        <v>0</v>
      </c>
      <c r="W1797">
        <v>0</v>
      </c>
      <c r="X1797">
        <v>0</v>
      </c>
      <c r="Y1797" s="6">
        <v>49.4</v>
      </c>
      <c r="Z1797">
        <v>2E-3</v>
      </c>
      <c r="AA1797">
        <v>5.0999999999999997E-2</v>
      </c>
      <c r="AB1797">
        <v>2.5000000000000001E-2</v>
      </c>
      <c r="AC1797">
        <v>6</v>
      </c>
      <c r="AD1797" s="6">
        <v>50</v>
      </c>
      <c r="AE1797" s="6">
        <v>50</v>
      </c>
      <c r="AF1797" s="6">
        <v>0</v>
      </c>
      <c r="AG1797" s="6">
        <v>79.489999999999995</v>
      </c>
      <c r="AH1797" s="6">
        <v>101.6</v>
      </c>
      <c r="AI1797" s="6">
        <f t="shared" si="56"/>
        <v>22.11</v>
      </c>
      <c r="AJ1797" s="5">
        <f t="shared" si="57"/>
        <v>0.21761811023622049</v>
      </c>
    </row>
    <row r="1798" spans="1:36">
      <c r="A1798" t="s">
        <v>240</v>
      </c>
      <c r="B1798" t="s">
        <v>2083</v>
      </c>
      <c r="C1798" t="s">
        <v>99</v>
      </c>
      <c r="D1798" t="s">
        <v>63</v>
      </c>
      <c r="E1798" t="s">
        <v>55</v>
      </c>
      <c r="F1798">
        <v>0</v>
      </c>
      <c r="G1798">
        <v>2463</v>
      </c>
      <c r="H1798">
        <v>1</v>
      </c>
      <c r="I1798" t="s">
        <v>181</v>
      </c>
      <c r="J1798">
        <v>3</v>
      </c>
      <c r="K1798" s="6">
        <v>6.6</v>
      </c>
      <c r="L1798" t="s">
        <v>174</v>
      </c>
      <c r="M1798">
        <v>0</v>
      </c>
      <c r="N1798" t="s">
        <v>187</v>
      </c>
      <c r="O1798">
        <v>2</v>
      </c>
      <c r="P1798">
        <v>0</v>
      </c>
      <c r="Q1798" s="6">
        <v>46.5</v>
      </c>
      <c r="R1798">
        <v>0</v>
      </c>
      <c r="S1798" s="6">
        <v>0</v>
      </c>
      <c r="T1798">
        <v>0</v>
      </c>
      <c r="U1798" s="6">
        <v>1317</v>
      </c>
      <c r="V1798">
        <v>0</v>
      </c>
      <c r="W1798">
        <v>0</v>
      </c>
      <c r="X1798">
        <v>0</v>
      </c>
      <c r="Y1798" s="6">
        <v>49.4</v>
      </c>
      <c r="Z1798">
        <v>2E-3</v>
      </c>
      <c r="AA1798">
        <v>5.0999999999999997E-2</v>
      </c>
      <c r="AB1798">
        <v>2.5000000000000001E-2</v>
      </c>
      <c r="AC1798">
        <v>6</v>
      </c>
      <c r="AD1798" s="6">
        <v>60</v>
      </c>
      <c r="AE1798" s="6">
        <v>0</v>
      </c>
      <c r="AF1798" s="6">
        <v>0</v>
      </c>
      <c r="AG1798" s="6">
        <v>77.540000000000006</v>
      </c>
      <c r="AH1798" s="6">
        <v>97.17</v>
      </c>
      <c r="AI1798" s="6">
        <f t="shared" si="56"/>
        <v>19.629999999999995</v>
      </c>
      <c r="AJ1798" s="5">
        <f t="shared" si="57"/>
        <v>0.20201708346197381</v>
      </c>
    </row>
    <row r="1799" spans="1:36">
      <c r="A1799" t="s">
        <v>306</v>
      </c>
      <c r="B1799" t="s">
        <v>2084</v>
      </c>
      <c r="C1799" t="s">
        <v>99</v>
      </c>
      <c r="D1799" t="s">
        <v>63</v>
      </c>
      <c r="E1799" t="s">
        <v>55</v>
      </c>
      <c r="F1799">
        <v>0</v>
      </c>
      <c r="G1799">
        <v>2463</v>
      </c>
      <c r="H1799">
        <v>1</v>
      </c>
      <c r="I1799" t="s">
        <v>220</v>
      </c>
      <c r="J1799">
        <v>2</v>
      </c>
      <c r="K1799" s="6">
        <v>5.41</v>
      </c>
      <c r="L1799" t="s">
        <v>174</v>
      </c>
      <c r="M1799">
        <v>0</v>
      </c>
      <c r="N1799" t="s">
        <v>187</v>
      </c>
      <c r="O1799">
        <v>2</v>
      </c>
      <c r="P1799">
        <v>0</v>
      </c>
      <c r="Q1799" s="6">
        <v>54.8</v>
      </c>
      <c r="R1799">
        <v>0</v>
      </c>
      <c r="S1799" s="6">
        <v>0</v>
      </c>
      <c r="T1799">
        <v>0</v>
      </c>
      <c r="U1799" s="6">
        <v>1739</v>
      </c>
      <c r="V1799">
        <v>0</v>
      </c>
      <c r="W1799">
        <v>0</v>
      </c>
      <c r="X1799">
        <v>0</v>
      </c>
      <c r="Y1799" s="6">
        <v>49.4</v>
      </c>
      <c r="Z1799">
        <v>2E-3</v>
      </c>
      <c r="AA1799">
        <v>5.0999999999999997E-2</v>
      </c>
      <c r="AB1799">
        <v>2.5000000000000001E-2</v>
      </c>
      <c r="AC1799">
        <v>6</v>
      </c>
      <c r="AD1799" s="6">
        <v>50</v>
      </c>
      <c r="AE1799" s="6">
        <v>0</v>
      </c>
      <c r="AF1799" s="6">
        <v>0</v>
      </c>
      <c r="AG1799" s="6">
        <v>64.349999999999994</v>
      </c>
      <c r="AH1799" s="6">
        <v>81.39</v>
      </c>
      <c r="AI1799" s="6">
        <f t="shared" si="56"/>
        <v>17.040000000000006</v>
      </c>
      <c r="AJ1799" s="5">
        <f t="shared" si="57"/>
        <v>0.2093623295245117</v>
      </c>
    </row>
    <row r="1800" spans="1:36">
      <c r="A1800" t="s">
        <v>201</v>
      </c>
      <c r="B1800" t="s">
        <v>2085</v>
      </c>
      <c r="C1800" t="s">
        <v>99</v>
      </c>
      <c r="D1800" t="s">
        <v>63</v>
      </c>
      <c r="E1800" t="s">
        <v>55</v>
      </c>
      <c r="F1800">
        <v>0</v>
      </c>
      <c r="G1800">
        <v>2463</v>
      </c>
      <c r="H1800">
        <v>1</v>
      </c>
      <c r="I1800" t="s">
        <v>173</v>
      </c>
      <c r="J1800">
        <v>1</v>
      </c>
      <c r="K1800" s="6">
        <v>2.76</v>
      </c>
      <c r="L1800" t="s">
        <v>174</v>
      </c>
      <c r="M1800">
        <v>0</v>
      </c>
      <c r="N1800" t="s">
        <v>175</v>
      </c>
      <c r="O1800">
        <v>1</v>
      </c>
      <c r="P1800">
        <v>0</v>
      </c>
      <c r="Q1800" s="6">
        <v>31.3</v>
      </c>
      <c r="R1800">
        <v>1</v>
      </c>
      <c r="S1800" s="6">
        <v>1674</v>
      </c>
      <c r="T1800">
        <v>0</v>
      </c>
      <c r="U1800" s="6">
        <v>1504</v>
      </c>
      <c r="V1800">
        <v>0</v>
      </c>
      <c r="W1800">
        <v>0</v>
      </c>
      <c r="X1800">
        <v>0</v>
      </c>
      <c r="Y1800" s="6">
        <v>49.4</v>
      </c>
      <c r="Z1800">
        <v>2E-3</v>
      </c>
      <c r="AA1800">
        <v>5.0999999999999997E-2</v>
      </c>
      <c r="AB1800">
        <v>2.5000000000000001E-2</v>
      </c>
      <c r="AC1800">
        <v>6</v>
      </c>
      <c r="AD1800" s="6">
        <v>50</v>
      </c>
      <c r="AE1800" s="6">
        <v>25</v>
      </c>
      <c r="AF1800" s="6">
        <v>0</v>
      </c>
      <c r="AG1800" s="6">
        <v>57.47</v>
      </c>
      <c r="AH1800" s="6">
        <v>76.349999999999994</v>
      </c>
      <c r="AI1800" s="6">
        <f t="shared" si="56"/>
        <v>18.879999999999995</v>
      </c>
      <c r="AJ1800" s="5">
        <f t="shared" si="57"/>
        <v>0.24728225278323507</v>
      </c>
    </row>
    <row r="1801" spans="1:36">
      <c r="A1801" t="s">
        <v>478</v>
      </c>
      <c r="B1801" t="s">
        <v>2086</v>
      </c>
      <c r="C1801" t="s">
        <v>99</v>
      </c>
      <c r="D1801" t="s">
        <v>63</v>
      </c>
      <c r="E1801" t="s">
        <v>55</v>
      </c>
      <c r="F1801">
        <v>0</v>
      </c>
      <c r="G1801">
        <v>2463</v>
      </c>
      <c r="H1801">
        <v>1</v>
      </c>
      <c r="I1801" t="s">
        <v>220</v>
      </c>
      <c r="J1801">
        <v>2</v>
      </c>
      <c r="K1801" s="6">
        <v>4</v>
      </c>
      <c r="L1801" t="s">
        <v>174</v>
      </c>
      <c r="M1801">
        <v>0</v>
      </c>
      <c r="N1801" t="s">
        <v>175</v>
      </c>
      <c r="O1801">
        <v>1</v>
      </c>
      <c r="P1801">
        <v>0</v>
      </c>
      <c r="Q1801" s="6">
        <v>32.700000000000003</v>
      </c>
      <c r="R1801">
        <v>0</v>
      </c>
      <c r="S1801" s="6">
        <v>0</v>
      </c>
      <c r="T1801">
        <v>0</v>
      </c>
      <c r="U1801" s="6">
        <v>1388</v>
      </c>
      <c r="V1801">
        <v>0</v>
      </c>
      <c r="W1801">
        <v>0</v>
      </c>
      <c r="X1801">
        <v>0</v>
      </c>
      <c r="Y1801" s="6">
        <v>49.4</v>
      </c>
      <c r="Z1801">
        <v>2E-3</v>
      </c>
      <c r="AA1801">
        <v>5.0999999999999997E-2</v>
      </c>
      <c r="AB1801">
        <v>2.5000000000000001E-2</v>
      </c>
      <c r="AC1801">
        <v>6</v>
      </c>
      <c r="AD1801" s="6">
        <v>50</v>
      </c>
      <c r="AE1801" s="6">
        <v>0</v>
      </c>
      <c r="AF1801" s="6">
        <v>0</v>
      </c>
      <c r="AG1801" s="6">
        <v>68.53</v>
      </c>
      <c r="AH1801" s="6">
        <v>90.59</v>
      </c>
      <c r="AI1801" s="6">
        <f t="shared" si="56"/>
        <v>22.060000000000002</v>
      </c>
      <c r="AJ1801" s="5">
        <f t="shared" si="57"/>
        <v>0.24351473672590795</v>
      </c>
    </row>
    <row r="1802" spans="1:36">
      <c r="A1802" t="s">
        <v>274</v>
      </c>
      <c r="B1802" t="s">
        <v>2087</v>
      </c>
      <c r="C1802" t="s">
        <v>99</v>
      </c>
      <c r="D1802" t="s">
        <v>63</v>
      </c>
      <c r="E1802" t="s">
        <v>55</v>
      </c>
      <c r="F1802">
        <v>0</v>
      </c>
      <c r="G1802">
        <v>2463</v>
      </c>
      <c r="H1802">
        <v>1</v>
      </c>
      <c r="I1802" t="s">
        <v>173</v>
      </c>
      <c r="J1802">
        <v>1</v>
      </c>
      <c r="K1802" s="6">
        <v>2.19</v>
      </c>
      <c r="L1802" t="s">
        <v>174</v>
      </c>
      <c r="M1802">
        <v>0</v>
      </c>
      <c r="N1802" t="s">
        <v>217</v>
      </c>
      <c r="O1802">
        <v>4</v>
      </c>
      <c r="P1802">
        <v>1</v>
      </c>
      <c r="Q1802" s="6">
        <v>134</v>
      </c>
      <c r="R1802">
        <v>1</v>
      </c>
      <c r="S1802" s="6">
        <v>807</v>
      </c>
      <c r="T1802">
        <v>0</v>
      </c>
      <c r="U1802" s="6">
        <v>909</v>
      </c>
      <c r="V1802">
        <v>0</v>
      </c>
      <c r="W1802">
        <v>0</v>
      </c>
      <c r="X1802">
        <v>0</v>
      </c>
      <c r="Y1802" s="6">
        <v>49.4</v>
      </c>
      <c r="Z1802">
        <v>2E-3</v>
      </c>
      <c r="AA1802">
        <v>5.0999999999999997E-2</v>
      </c>
      <c r="AB1802">
        <v>2.5000000000000001E-2</v>
      </c>
      <c r="AC1802">
        <v>6</v>
      </c>
      <c r="AD1802" s="6">
        <v>50</v>
      </c>
      <c r="AE1802" s="6">
        <v>25</v>
      </c>
      <c r="AF1802" s="6">
        <v>0</v>
      </c>
      <c r="AG1802" s="6">
        <v>93.34</v>
      </c>
      <c r="AH1802" s="6">
        <v>121.39</v>
      </c>
      <c r="AI1802" s="6">
        <f t="shared" si="56"/>
        <v>28.049999999999997</v>
      </c>
      <c r="AJ1802" s="5">
        <f t="shared" si="57"/>
        <v>0.23107339978581429</v>
      </c>
    </row>
    <row r="1803" spans="1:36">
      <c r="A1803" t="s">
        <v>218</v>
      </c>
      <c r="B1803" t="s">
        <v>2088</v>
      </c>
      <c r="C1803" t="s">
        <v>99</v>
      </c>
      <c r="D1803" t="s">
        <v>63</v>
      </c>
      <c r="E1803" t="s">
        <v>55</v>
      </c>
      <c r="F1803">
        <v>0</v>
      </c>
      <c r="G1803">
        <v>2463</v>
      </c>
      <c r="H1803">
        <v>1</v>
      </c>
      <c r="I1803" t="s">
        <v>173</v>
      </c>
      <c r="J1803">
        <v>1</v>
      </c>
      <c r="K1803" s="6">
        <v>2.09</v>
      </c>
      <c r="L1803" t="s">
        <v>174</v>
      </c>
      <c r="M1803">
        <v>0</v>
      </c>
      <c r="N1803" t="s">
        <v>175</v>
      </c>
      <c r="O1803">
        <v>1</v>
      </c>
      <c r="P1803">
        <v>0</v>
      </c>
      <c r="Q1803" s="6">
        <v>25.1</v>
      </c>
      <c r="R1803">
        <v>0</v>
      </c>
      <c r="S1803" s="6">
        <v>0</v>
      </c>
      <c r="T1803">
        <v>0</v>
      </c>
      <c r="U1803" s="6">
        <v>456</v>
      </c>
      <c r="V1803">
        <v>0</v>
      </c>
      <c r="W1803">
        <v>0</v>
      </c>
      <c r="X1803">
        <v>0</v>
      </c>
      <c r="Y1803" s="6">
        <v>49.4</v>
      </c>
      <c r="Z1803">
        <v>2E-3</v>
      </c>
      <c r="AA1803">
        <v>5.0999999999999997E-2</v>
      </c>
      <c r="AB1803">
        <v>2.5000000000000001E-2</v>
      </c>
      <c r="AC1803">
        <v>6</v>
      </c>
      <c r="AD1803" s="6">
        <v>50</v>
      </c>
      <c r="AE1803" s="6">
        <v>0</v>
      </c>
      <c r="AF1803" s="6">
        <v>0</v>
      </c>
      <c r="AG1803" s="6">
        <v>49.29</v>
      </c>
      <c r="AH1803" s="6">
        <v>63.09</v>
      </c>
      <c r="AI1803" s="6">
        <f t="shared" si="56"/>
        <v>13.800000000000004</v>
      </c>
      <c r="AJ1803" s="5">
        <f t="shared" si="57"/>
        <v>0.21873514027579655</v>
      </c>
    </row>
    <row r="1804" spans="1:36">
      <c r="A1804" t="s">
        <v>240</v>
      </c>
      <c r="B1804" t="s">
        <v>2089</v>
      </c>
      <c r="C1804" t="s">
        <v>99</v>
      </c>
      <c r="D1804" t="s">
        <v>63</v>
      </c>
      <c r="E1804" t="s">
        <v>55</v>
      </c>
      <c r="F1804">
        <v>0</v>
      </c>
      <c r="G1804">
        <v>2463</v>
      </c>
      <c r="H1804">
        <v>1</v>
      </c>
      <c r="I1804" t="s">
        <v>181</v>
      </c>
      <c r="J1804">
        <v>3</v>
      </c>
      <c r="K1804" s="6">
        <v>8.4600000000000009</v>
      </c>
      <c r="L1804" t="s">
        <v>174</v>
      </c>
      <c r="M1804">
        <v>0</v>
      </c>
      <c r="N1804" t="s">
        <v>175</v>
      </c>
      <c r="O1804">
        <v>1</v>
      </c>
      <c r="P1804">
        <v>0</v>
      </c>
      <c r="Q1804" s="6">
        <v>37.6</v>
      </c>
      <c r="R1804">
        <v>0</v>
      </c>
      <c r="S1804" s="6">
        <v>0</v>
      </c>
      <c r="T1804">
        <v>0</v>
      </c>
      <c r="U1804" s="6">
        <v>1110</v>
      </c>
      <c r="V1804">
        <v>0</v>
      </c>
      <c r="W1804">
        <v>0</v>
      </c>
      <c r="X1804">
        <v>0</v>
      </c>
      <c r="Y1804" s="6">
        <v>49.4</v>
      </c>
      <c r="Z1804">
        <v>2E-3</v>
      </c>
      <c r="AA1804">
        <v>5.0999999999999997E-2</v>
      </c>
      <c r="AB1804">
        <v>2.5000000000000001E-2</v>
      </c>
      <c r="AC1804">
        <v>6</v>
      </c>
      <c r="AD1804" s="6">
        <v>60</v>
      </c>
      <c r="AE1804" s="6">
        <v>0</v>
      </c>
      <c r="AF1804" s="6">
        <v>0</v>
      </c>
      <c r="AG1804" s="6">
        <v>94.76</v>
      </c>
      <c r="AH1804" s="6">
        <v>120.94</v>
      </c>
      <c r="AI1804" s="6">
        <f t="shared" si="56"/>
        <v>26.179999999999993</v>
      </c>
      <c r="AJ1804" s="5">
        <f t="shared" si="57"/>
        <v>0.21647097734413753</v>
      </c>
    </row>
    <row r="1805" spans="1:36">
      <c r="A1805" t="s">
        <v>348</v>
      </c>
      <c r="B1805" t="s">
        <v>2090</v>
      </c>
      <c r="C1805" t="s">
        <v>99</v>
      </c>
      <c r="D1805" t="s">
        <v>63</v>
      </c>
      <c r="E1805" t="s">
        <v>55</v>
      </c>
      <c r="F1805">
        <v>0</v>
      </c>
      <c r="G1805">
        <v>2463</v>
      </c>
      <c r="H1805">
        <v>1</v>
      </c>
      <c r="I1805" t="s">
        <v>173</v>
      </c>
      <c r="J1805">
        <v>1</v>
      </c>
      <c r="K1805" s="6">
        <v>1.78</v>
      </c>
      <c r="L1805" t="s">
        <v>174</v>
      </c>
      <c r="M1805">
        <v>0</v>
      </c>
      <c r="N1805" t="s">
        <v>175</v>
      </c>
      <c r="O1805">
        <v>1</v>
      </c>
      <c r="P1805">
        <v>0</v>
      </c>
      <c r="Q1805" s="6">
        <v>37.6</v>
      </c>
      <c r="R1805">
        <v>0</v>
      </c>
      <c r="S1805" s="6">
        <v>0</v>
      </c>
      <c r="T1805">
        <v>0</v>
      </c>
      <c r="U1805" s="6">
        <v>461</v>
      </c>
      <c r="V1805">
        <v>0</v>
      </c>
      <c r="W1805">
        <v>1</v>
      </c>
      <c r="X1805">
        <v>0</v>
      </c>
      <c r="Y1805" s="6">
        <v>49.4</v>
      </c>
      <c r="Z1805">
        <v>2E-3</v>
      </c>
      <c r="AA1805">
        <v>5.0999999999999997E-2</v>
      </c>
      <c r="AB1805">
        <v>2.5000000000000001E-2</v>
      </c>
      <c r="AC1805">
        <v>6</v>
      </c>
      <c r="AD1805" s="6">
        <v>50</v>
      </c>
      <c r="AE1805" s="6">
        <v>0</v>
      </c>
      <c r="AF1805" s="6">
        <v>0</v>
      </c>
      <c r="AG1805" s="6">
        <v>76.48</v>
      </c>
      <c r="AH1805" s="6">
        <v>96.6</v>
      </c>
      <c r="AI1805" s="6">
        <f t="shared" si="56"/>
        <v>20.11999999999999</v>
      </c>
      <c r="AJ1805" s="5">
        <f t="shared" si="57"/>
        <v>0.20828157349896473</v>
      </c>
    </row>
    <row r="1806" spans="1:36">
      <c r="A1806" t="s">
        <v>192</v>
      </c>
      <c r="B1806" t="s">
        <v>2091</v>
      </c>
      <c r="C1806" t="s">
        <v>99</v>
      </c>
      <c r="D1806" t="s">
        <v>63</v>
      </c>
      <c r="E1806" t="s">
        <v>55</v>
      </c>
      <c r="F1806">
        <v>0</v>
      </c>
      <c r="G1806">
        <v>2463</v>
      </c>
      <c r="H1806">
        <v>1</v>
      </c>
      <c r="I1806" t="s">
        <v>173</v>
      </c>
      <c r="J1806">
        <v>1</v>
      </c>
      <c r="K1806" s="6">
        <v>2.33</v>
      </c>
      <c r="L1806" t="s">
        <v>174</v>
      </c>
      <c r="M1806">
        <v>0</v>
      </c>
      <c r="N1806" t="s">
        <v>175</v>
      </c>
      <c r="O1806">
        <v>1</v>
      </c>
      <c r="P1806">
        <v>0</v>
      </c>
      <c r="Q1806" s="6">
        <v>25.2</v>
      </c>
      <c r="R1806">
        <v>1</v>
      </c>
      <c r="S1806" s="6">
        <v>1126</v>
      </c>
      <c r="T1806">
        <v>0</v>
      </c>
      <c r="U1806" s="6">
        <v>595</v>
      </c>
      <c r="V1806">
        <v>0</v>
      </c>
      <c r="W1806">
        <v>1</v>
      </c>
      <c r="X1806">
        <v>1</v>
      </c>
      <c r="Y1806" s="6">
        <v>49.4</v>
      </c>
      <c r="Z1806">
        <v>2E-3</v>
      </c>
      <c r="AA1806">
        <v>5.0999999999999997E-2</v>
      </c>
      <c r="AB1806">
        <v>2.5000000000000001E-2</v>
      </c>
      <c r="AC1806">
        <v>6</v>
      </c>
      <c r="AD1806" s="6">
        <v>50</v>
      </c>
      <c r="AE1806" s="6">
        <v>25</v>
      </c>
      <c r="AF1806" s="6">
        <v>0</v>
      </c>
      <c r="AG1806" s="6">
        <v>84.6</v>
      </c>
      <c r="AH1806" s="6">
        <v>109.26</v>
      </c>
      <c r="AI1806" s="6">
        <f t="shared" si="56"/>
        <v>24.660000000000011</v>
      </c>
      <c r="AJ1806" s="5">
        <f t="shared" si="57"/>
        <v>0.22570016474464588</v>
      </c>
    </row>
    <row r="1807" spans="1:36">
      <c r="A1807" t="s">
        <v>375</v>
      </c>
      <c r="B1807" t="s">
        <v>2092</v>
      </c>
      <c r="C1807" t="s">
        <v>99</v>
      </c>
      <c r="D1807" t="s">
        <v>63</v>
      </c>
      <c r="E1807" t="s">
        <v>55</v>
      </c>
      <c r="F1807">
        <v>0</v>
      </c>
      <c r="G1807">
        <v>2463</v>
      </c>
      <c r="H1807">
        <v>1</v>
      </c>
      <c r="I1807" t="s">
        <v>220</v>
      </c>
      <c r="J1807">
        <v>2</v>
      </c>
      <c r="K1807" s="6">
        <v>2.99</v>
      </c>
      <c r="L1807" t="s">
        <v>174</v>
      </c>
      <c r="M1807">
        <v>0</v>
      </c>
      <c r="N1807" t="s">
        <v>175</v>
      </c>
      <c r="O1807">
        <v>1</v>
      </c>
      <c r="P1807">
        <v>0</v>
      </c>
      <c r="Q1807" s="6">
        <v>45.8</v>
      </c>
      <c r="R1807">
        <v>0</v>
      </c>
      <c r="S1807" s="6">
        <v>0</v>
      </c>
      <c r="T1807">
        <v>0</v>
      </c>
      <c r="U1807" s="6">
        <v>588</v>
      </c>
      <c r="V1807">
        <v>0</v>
      </c>
      <c r="W1807">
        <v>0</v>
      </c>
      <c r="X1807">
        <v>0</v>
      </c>
      <c r="Y1807" s="6">
        <v>49.4</v>
      </c>
      <c r="Z1807">
        <v>2E-3</v>
      </c>
      <c r="AA1807">
        <v>5.0999999999999997E-2</v>
      </c>
      <c r="AB1807">
        <v>2.5000000000000001E-2</v>
      </c>
      <c r="AC1807">
        <v>6</v>
      </c>
      <c r="AD1807" s="6">
        <v>50</v>
      </c>
      <c r="AE1807" s="6">
        <v>0</v>
      </c>
      <c r="AF1807" s="6">
        <v>0</v>
      </c>
      <c r="AG1807" s="6">
        <v>59.75</v>
      </c>
      <c r="AH1807" s="6">
        <v>76.7</v>
      </c>
      <c r="AI1807" s="6">
        <f t="shared" si="56"/>
        <v>16.950000000000003</v>
      </c>
      <c r="AJ1807" s="5">
        <f t="shared" si="57"/>
        <v>0.22099087353324645</v>
      </c>
    </row>
    <row r="1808" spans="1:36">
      <c r="A1808" t="s">
        <v>436</v>
      </c>
      <c r="B1808" t="s">
        <v>2093</v>
      </c>
      <c r="C1808" t="s">
        <v>99</v>
      </c>
      <c r="D1808" t="s">
        <v>63</v>
      </c>
      <c r="E1808" t="s">
        <v>55</v>
      </c>
      <c r="F1808">
        <v>0</v>
      </c>
      <c r="G1808">
        <v>2463</v>
      </c>
      <c r="H1808">
        <v>1</v>
      </c>
      <c r="I1808" t="s">
        <v>181</v>
      </c>
      <c r="J1808">
        <v>3</v>
      </c>
      <c r="K1808" s="6">
        <v>10.23</v>
      </c>
      <c r="L1808" t="s">
        <v>174</v>
      </c>
      <c r="M1808">
        <v>0</v>
      </c>
      <c r="N1808" t="s">
        <v>175</v>
      </c>
      <c r="O1808">
        <v>1</v>
      </c>
      <c r="P1808">
        <v>0</v>
      </c>
      <c r="Q1808" s="6">
        <v>14.8</v>
      </c>
      <c r="R1808">
        <v>0</v>
      </c>
      <c r="S1808" s="6">
        <v>0</v>
      </c>
      <c r="T1808">
        <v>0</v>
      </c>
      <c r="U1808" s="6">
        <v>358</v>
      </c>
      <c r="V1808">
        <v>0</v>
      </c>
      <c r="W1808">
        <v>0</v>
      </c>
      <c r="X1808">
        <v>0</v>
      </c>
      <c r="Y1808" s="6">
        <v>49.4</v>
      </c>
      <c r="Z1808">
        <v>2E-3</v>
      </c>
      <c r="AA1808">
        <v>5.0999999999999997E-2</v>
      </c>
      <c r="AB1808">
        <v>2.5000000000000001E-2</v>
      </c>
      <c r="AC1808">
        <v>6</v>
      </c>
      <c r="AD1808" s="6">
        <v>60</v>
      </c>
      <c r="AE1808" s="6">
        <v>0</v>
      </c>
      <c r="AF1808" s="6">
        <v>0</v>
      </c>
      <c r="AG1808" s="6">
        <v>89.79</v>
      </c>
      <c r="AH1808" s="6">
        <v>115.7</v>
      </c>
      <c r="AI1808" s="6">
        <f t="shared" si="56"/>
        <v>25.909999999999997</v>
      </c>
      <c r="AJ1808" s="5">
        <f t="shared" si="57"/>
        <v>0.2239412273120138</v>
      </c>
    </row>
    <row r="1809" spans="1:36">
      <c r="A1809" t="s">
        <v>348</v>
      </c>
      <c r="B1809" t="s">
        <v>2094</v>
      </c>
      <c r="C1809" t="s">
        <v>99</v>
      </c>
      <c r="D1809" t="s">
        <v>63</v>
      </c>
      <c r="E1809" t="s">
        <v>55</v>
      </c>
      <c r="F1809">
        <v>0</v>
      </c>
      <c r="G1809">
        <v>2463</v>
      </c>
      <c r="H1809">
        <v>1</v>
      </c>
      <c r="I1809" t="s">
        <v>173</v>
      </c>
      <c r="J1809">
        <v>1</v>
      </c>
      <c r="K1809" s="6">
        <v>1.66</v>
      </c>
      <c r="L1809" t="s">
        <v>174</v>
      </c>
      <c r="M1809">
        <v>0</v>
      </c>
      <c r="N1809" t="s">
        <v>182</v>
      </c>
      <c r="O1809">
        <v>3</v>
      </c>
      <c r="P1809">
        <v>0</v>
      </c>
      <c r="Q1809" s="6">
        <v>105.2</v>
      </c>
      <c r="R1809">
        <v>0</v>
      </c>
      <c r="S1809" s="6">
        <v>0</v>
      </c>
      <c r="T1809">
        <v>0</v>
      </c>
      <c r="U1809" s="6">
        <v>566</v>
      </c>
      <c r="V1809">
        <v>0</v>
      </c>
      <c r="W1809">
        <v>0</v>
      </c>
      <c r="X1809">
        <v>0</v>
      </c>
      <c r="Y1809" s="6">
        <v>49.4</v>
      </c>
      <c r="Z1809">
        <v>2E-3</v>
      </c>
      <c r="AA1809">
        <v>5.0999999999999997E-2</v>
      </c>
      <c r="AB1809">
        <v>2.5000000000000001E-2</v>
      </c>
      <c r="AC1809">
        <v>6</v>
      </c>
      <c r="AD1809" s="6">
        <v>50</v>
      </c>
      <c r="AE1809" s="6">
        <v>0</v>
      </c>
      <c r="AF1809" s="6">
        <v>0</v>
      </c>
      <c r="AG1809" s="6">
        <v>55.44</v>
      </c>
      <c r="AH1809" s="6">
        <v>71.73</v>
      </c>
      <c r="AI1809" s="6">
        <f t="shared" si="56"/>
        <v>16.290000000000006</v>
      </c>
      <c r="AJ1809" s="5">
        <f t="shared" si="57"/>
        <v>0.22710163111668766</v>
      </c>
    </row>
    <row r="1810" spans="1:36">
      <c r="A1810" t="s">
        <v>311</v>
      </c>
      <c r="B1810" t="s">
        <v>2095</v>
      </c>
      <c r="C1810" t="s">
        <v>99</v>
      </c>
      <c r="D1810" t="s">
        <v>63</v>
      </c>
      <c r="E1810" t="s">
        <v>55</v>
      </c>
      <c r="F1810">
        <v>0</v>
      </c>
      <c r="G1810">
        <v>2463</v>
      </c>
      <c r="H1810">
        <v>1</v>
      </c>
      <c r="I1810" t="s">
        <v>181</v>
      </c>
      <c r="J1810">
        <v>3</v>
      </c>
      <c r="K1810" s="6">
        <v>8.69</v>
      </c>
      <c r="L1810" t="s">
        <v>174</v>
      </c>
      <c r="M1810">
        <v>0</v>
      </c>
      <c r="N1810" t="s">
        <v>175</v>
      </c>
      <c r="O1810">
        <v>1</v>
      </c>
      <c r="P1810">
        <v>0</v>
      </c>
      <c r="Q1810" s="6">
        <v>25.6</v>
      </c>
      <c r="R1810">
        <v>0</v>
      </c>
      <c r="S1810" s="6">
        <v>0</v>
      </c>
      <c r="T1810">
        <v>0</v>
      </c>
      <c r="U1810" s="6">
        <v>497</v>
      </c>
      <c r="V1810">
        <v>0</v>
      </c>
      <c r="W1810">
        <v>0</v>
      </c>
      <c r="X1810">
        <v>0</v>
      </c>
      <c r="Y1810" s="6">
        <v>49.4</v>
      </c>
      <c r="Z1810">
        <v>2E-3</v>
      </c>
      <c r="AA1810">
        <v>5.0999999999999997E-2</v>
      </c>
      <c r="AB1810">
        <v>2.5000000000000001E-2</v>
      </c>
      <c r="AC1810">
        <v>6</v>
      </c>
      <c r="AD1810" s="6">
        <v>60</v>
      </c>
      <c r="AE1810" s="6">
        <v>0</v>
      </c>
      <c r="AF1810" s="6">
        <v>0</v>
      </c>
      <c r="AG1810" s="6">
        <v>96.36</v>
      </c>
      <c r="AH1810" s="6">
        <v>124.83</v>
      </c>
      <c r="AI1810" s="6">
        <f t="shared" si="56"/>
        <v>28.47</v>
      </c>
      <c r="AJ1810" s="5">
        <f t="shared" si="57"/>
        <v>0.22807017543859648</v>
      </c>
    </row>
    <row r="1811" spans="1:36">
      <c r="A1811" t="s">
        <v>293</v>
      </c>
      <c r="B1811" t="s">
        <v>2096</v>
      </c>
      <c r="C1811" t="s">
        <v>99</v>
      </c>
      <c r="D1811" t="s">
        <v>63</v>
      </c>
      <c r="E1811" t="s">
        <v>55</v>
      </c>
      <c r="F1811">
        <v>0</v>
      </c>
      <c r="G1811">
        <v>2463</v>
      </c>
      <c r="H1811">
        <v>1</v>
      </c>
      <c r="I1811" t="s">
        <v>181</v>
      </c>
      <c r="J1811">
        <v>3</v>
      </c>
      <c r="K1811" s="6">
        <v>9.1</v>
      </c>
      <c r="L1811" t="s">
        <v>174</v>
      </c>
      <c r="M1811">
        <v>0</v>
      </c>
      <c r="N1811" t="s">
        <v>182</v>
      </c>
      <c r="O1811">
        <v>3</v>
      </c>
      <c r="P1811">
        <v>0</v>
      </c>
      <c r="Q1811" s="6">
        <v>111.1</v>
      </c>
      <c r="R1811">
        <v>0</v>
      </c>
      <c r="S1811" s="6">
        <v>0</v>
      </c>
      <c r="T1811">
        <v>0</v>
      </c>
      <c r="U1811" s="6">
        <v>643</v>
      </c>
      <c r="V1811">
        <v>0</v>
      </c>
      <c r="W1811">
        <v>0</v>
      </c>
      <c r="X1811">
        <v>0</v>
      </c>
      <c r="Y1811" s="6">
        <v>49.4</v>
      </c>
      <c r="Z1811">
        <v>2E-3</v>
      </c>
      <c r="AA1811">
        <v>5.0999999999999997E-2</v>
      </c>
      <c r="AB1811">
        <v>2.5000000000000001E-2</v>
      </c>
      <c r="AC1811">
        <v>6</v>
      </c>
      <c r="AD1811" s="6">
        <v>60</v>
      </c>
      <c r="AE1811" s="6">
        <v>0</v>
      </c>
      <c r="AF1811" s="6">
        <v>0</v>
      </c>
      <c r="AG1811" s="6">
        <v>106.17</v>
      </c>
      <c r="AH1811" s="6">
        <v>136.34</v>
      </c>
      <c r="AI1811" s="6">
        <f t="shared" si="56"/>
        <v>30.17</v>
      </c>
      <c r="AJ1811" s="5">
        <f t="shared" si="57"/>
        <v>0.22128502273727446</v>
      </c>
    </row>
    <row r="1812" spans="1:36">
      <c r="A1812" t="s">
        <v>266</v>
      </c>
      <c r="B1812" t="s">
        <v>2097</v>
      </c>
      <c r="C1812" t="s">
        <v>99</v>
      </c>
      <c r="D1812" t="s">
        <v>63</v>
      </c>
      <c r="E1812" t="s">
        <v>55</v>
      </c>
      <c r="F1812">
        <v>0</v>
      </c>
      <c r="G1812">
        <v>2463</v>
      </c>
      <c r="H1812">
        <v>1</v>
      </c>
      <c r="I1812" t="s">
        <v>173</v>
      </c>
      <c r="J1812">
        <v>1</v>
      </c>
      <c r="K1812" s="6">
        <v>1.74</v>
      </c>
      <c r="L1812" t="s">
        <v>174</v>
      </c>
      <c r="M1812">
        <v>0</v>
      </c>
      <c r="N1812" t="s">
        <v>175</v>
      </c>
      <c r="O1812">
        <v>1</v>
      </c>
      <c r="P1812">
        <v>0</v>
      </c>
      <c r="Q1812" s="6">
        <v>37.5</v>
      </c>
      <c r="R1812">
        <v>0</v>
      </c>
      <c r="S1812" s="6">
        <v>0</v>
      </c>
      <c r="T1812">
        <v>0</v>
      </c>
      <c r="U1812" s="6">
        <v>583</v>
      </c>
      <c r="V1812">
        <v>0</v>
      </c>
      <c r="W1812">
        <v>0</v>
      </c>
      <c r="X1812">
        <v>0</v>
      </c>
      <c r="Y1812" s="6">
        <v>49.4</v>
      </c>
      <c r="Z1812">
        <v>2E-3</v>
      </c>
      <c r="AA1812">
        <v>5.0999999999999997E-2</v>
      </c>
      <c r="AB1812">
        <v>2.5000000000000001E-2</v>
      </c>
      <c r="AC1812">
        <v>6</v>
      </c>
      <c r="AD1812" s="6">
        <v>50</v>
      </c>
      <c r="AE1812" s="6">
        <v>0</v>
      </c>
      <c r="AF1812" s="6">
        <v>0</v>
      </c>
      <c r="AG1812" s="6">
        <v>44.9</v>
      </c>
      <c r="AH1812" s="6">
        <v>56.64</v>
      </c>
      <c r="AI1812" s="6">
        <f t="shared" si="56"/>
        <v>11.740000000000002</v>
      </c>
      <c r="AJ1812" s="5">
        <f t="shared" si="57"/>
        <v>0.20727401129943507</v>
      </c>
    </row>
    <row r="1813" spans="1:36">
      <c r="A1813" t="s">
        <v>494</v>
      </c>
      <c r="B1813" t="s">
        <v>2098</v>
      </c>
      <c r="C1813" t="s">
        <v>99</v>
      </c>
      <c r="D1813" t="s">
        <v>63</v>
      </c>
      <c r="E1813" t="s">
        <v>55</v>
      </c>
      <c r="F1813">
        <v>0</v>
      </c>
      <c r="G1813">
        <v>2463</v>
      </c>
      <c r="H1813">
        <v>1</v>
      </c>
      <c r="I1813" t="s">
        <v>181</v>
      </c>
      <c r="J1813">
        <v>3</v>
      </c>
      <c r="K1813" s="6">
        <v>8.59</v>
      </c>
      <c r="L1813" t="s">
        <v>174</v>
      </c>
      <c r="M1813">
        <v>0</v>
      </c>
      <c r="N1813" t="s">
        <v>182</v>
      </c>
      <c r="O1813">
        <v>3</v>
      </c>
      <c r="P1813">
        <v>0</v>
      </c>
      <c r="Q1813" s="6">
        <v>76.900000000000006</v>
      </c>
      <c r="R1813">
        <v>0</v>
      </c>
      <c r="S1813" s="6">
        <v>0</v>
      </c>
      <c r="T1813">
        <v>0</v>
      </c>
      <c r="U1813" s="6">
        <v>633</v>
      </c>
      <c r="V1813">
        <v>0</v>
      </c>
      <c r="W1813">
        <v>0</v>
      </c>
      <c r="X1813">
        <v>0</v>
      </c>
      <c r="Y1813" s="6">
        <v>49.4</v>
      </c>
      <c r="Z1813">
        <v>2E-3</v>
      </c>
      <c r="AA1813">
        <v>5.0999999999999997E-2</v>
      </c>
      <c r="AB1813">
        <v>2.5000000000000001E-2</v>
      </c>
      <c r="AC1813">
        <v>6</v>
      </c>
      <c r="AD1813" s="6">
        <v>60</v>
      </c>
      <c r="AE1813" s="6">
        <v>0</v>
      </c>
      <c r="AF1813" s="6">
        <v>0</v>
      </c>
      <c r="AG1813" s="6">
        <v>103.51</v>
      </c>
      <c r="AH1813" s="6">
        <v>131.44</v>
      </c>
      <c r="AI1813" s="6">
        <f t="shared" si="56"/>
        <v>27.929999999999993</v>
      </c>
      <c r="AJ1813" s="5">
        <f t="shared" si="57"/>
        <v>0.21249239196591596</v>
      </c>
    </row>
    <row r="1814" spans="1:36">
      <c r="A1814" t="s">
        <v>469</v>
      </c>
      <c r="B1814" t="s">
        <v>2099</v>
      </c>
      <c r="C1814" t="s">
        <v>99</v>
      </c>
      <c r="D1814" t="s">
        <v>63</v>
      </c>
      <c r="E1814" t="s">
        <v>55</v>
      </c>
      <c r="F1814">
        <v>0</v>
      </c>
      <c r="G1814">
        <v>2463</v>
      </c>
      <c r="H1814">
        <v>1</v>
      </c>
      <c r="I1814" t="s">
        <v>173</v>
      </c>
      <c r="J1814">
        <v>1</v>
      </c>
      <c r="K1814" s="6">
        <v>0.89</v>
      </c>
      <c r="L1814" t="s">
        <v>174</v>
      </c>
      <c r="M1814">
        <v>0</v>
      </c>
      <c r="N1814" t="s">
        <v>217</v>
      </c>
      <c r="O1814">
        <v>4</v>
      </c>
      <c r="P1814">
        <v>1</v>
      </c>
      <c r="Q1814" s="6">
        <v>147.19999999999999</v>
      </c>
      <c r="R1814">
        <v>1</v>
      </c>
      <c r="S1814" s="6">
        <v>3334</v>
      </c>
      <c r="T1814">
        <v>0</v>
      </c>
      <c r="U1814" s="6">
        <v>288</v>
      </c>
      <c r="V1814">
        <v>0</v>
      </c>
      <c r="W1814">
        <v>0</v>
      </c>
      <c r="X1814">
        <v>0</v>
      </c>
      <c r="Y1814" s="6">
        <v>49.4</v>
      </c>
      <c r="Z1814">
        <v>2E-3</v>
      </c>
      <c r="AA1814">
        <v>5.0999999999999997E-2</v>
      </c>
      <c r="AB1814">
        <v>2.5000000000000001E-2</v>
      </c>
      <c r="AC1814">
        <v>6</v>
      </c>
      <c r="AD1814" s="6">
        <v>50</v>
      </c>
      <c r="AE1814" s="6">
        <v>40</v>
      </c>
      <c r="AF1814" s="6">
        <v>0</v>
      </c>
      <c r="AG1814" s="6">
        <v>96.62</v>
      </c>
      <c r="AH1814" s="6">
        <v>123.74</v>
      </c>
      <c r="AI1814" s="6">
        <f t="shared" si="56"/>
        <v>27.11999999999999</v>
      </c>
      <c r="AJ1814" s="5">
        <f t="shared" si="57"/>
        <v>0.21916922579602385</v>
      </c>
    </row>
    <row r="1815" spans="1:36">
      <c r="A1815" t="s">
        <v>397</v>
      </c>
      <c r="B1815" t="s">
        <v>2100</v>
      </c>
      <c r="C1815" t="s">
        <v>99</v>
      </c>
      <c r="D1815" t="s">
        <v>63</v>
      </c>
      <c r="E1815" t="s">
        <v>55</v>
      </c>
      <c r="F1815">
        <v>0</v>
      </c>
      <c r="G1815">
        <v>2463</v>
      </c>
      <c r="H1815">
        <v>1</v>
      </c>
      <c r="I1815" t="s">
        <v>220</v>
      </c>
      <c r="J1815">
        <v>2</v>
      </c>
      <c r="K1815" s="6">
        <v>5.93</v>
      </c>
      <c r="L1815" t="s">
        <v>174</v>
      </c>
      <c r="M1815">
        <v>0</v>
      </c>
      <c r="N1815" t="s">
        <v>182</v>
      </c>
      <c r="O1815">
        <v>3</v>
      </c>
      <c r="P1815">
        <v>0</v>
      </c>
      <c r="Q1815" s="6">
        <v>66.900000000000006</v>
      </c>
      <c r="R1815">
        <v>0</v>
      </c>
      <c r="S1815" s="6">
        <v>0</v>
      </c>
      <c r="T1815">
        <v>0</v>
      </c>
      <c r="U1815" s="6">
        <v>808</v>
      </c>
      <c r="V1815">
        <v>0</v>
      </c>
      <c r="W1815">
        <v>0</v>
      </c>
      <c r="X1815">
        <v>0</v>
      </c>
      <c r="Y1815" s="6">
        <v>49.4</v>
      </c>
      <c r="Z1815">
        <v>2E-3</v>
      </c>
      <c r="AA1815">
        <v>5.0999999999999997E-2</v>
      </c>
      <c r="AB1815">
        <v>2.5000000000000001E-2</v>
      </c>
      <c r="AC1815">
        <v>6</v>
      </c>
      <c r="AD1815" s="6">
        <v>50</v>
      </c>
      <c r="AE1815" s="6">
        <v>0</v>
      </c>
      <c r="AF1815" s="6">
        <v>0</v>
      </c>
      <c r="AG1815" s="6">
        <v>76.709999999999994</v>
      </c>
      <c r="AH1815" s="6">
        <v>97.59</v>
      </c>
      <c r="AI1815" s="6">
        <f t="shared" si="56"/>
        <v>20.88000000000001</v>
      </c>
      <c r="AJ1815" s="5">
        <f t="shared" si="57"/>
        <v>0.21395634798647412</v>
      </c>
    </row>
    <row r="1816" spans="1:36">
      <c r="A1816" t="s">
        <v>528</v>
      </c>
      <c r="B1816" t="s">
        <v>2101</v>
      </c>
      <c r="C1816" t="s">
        <v>99</v>
      </c>
      <c r="D1816" t="s">
        <v>63</v>
      </c>
      <c r="E1816" t="s">
        <v>55</v>
      </c>
      <c r="F1816">
        <v>0</v>
      </c>
      <c r="G1816">
        <v>2463</v>
      </c>
      <c r="H1816">
        <v>1</v>
      </c>
      <c r="I1816" t="s">
        <v>181</v>
      </c>
      <c r="J1816">
        <v>3</v>
      </c>
      <c r="K1816" s="6">
        <v>11.31</v>
      </c>
      <c r="L1816" t="s">
        <v>174</v>
      </c>
      <c r="M1816">
        <v>0</v>
      </c>
      <c r="N1816" t="s">
        <v>175</v>
      </c>
      <c r="O1816">
        <v>1</v>
      </c>
      <c r="P1816">
        <v>0</v>
      </c>
      <c r="Q1816" s="6">
        <v>28.2</v>
      </c>
      <c r="R1816">
        <v>1</v>
      </c>
      <c r="S1816" s="6">
        <v>2071</v>
      </c>
      <c r="T1816">
        <v>0</v>
      </c>
      <c r="U1816" s="6">
        <v>682</v>
      </c>
      <c r="V1816">
        <v>0</v>
      </c>
      <c r="W1816">
        <v>0</v>
      </c>
      <c r="X1816">
        <v>0</v>
      </c>
      <c r="Y1816" s="6">
        <v>49.4</v>
      </c>
      <c r="Z1816">
        <v>2E-3</v>
      </c>
      <c r="AA1816">
        <v>5.0999999999999997E-2</v>
      </c>
      <c r="AB1816">
        <v>2.5000000000000001E-2</v>
      </c>
      <c r="AC1816">
        <v>6</v>
      </c>
      <c r="AD1816" s="6">
        <v>60</v>
      </c>
      <c r="AE1816" s="6">
        <v>40</v>
      </c>
      <c r="AF1816" s="6">
        <v>0</v>
      </c>
      <c r="AG1816" s="6">
        <v>103.34</v>
      </c>
      <c r="AH1816" s="6">
        <v>130.81</v>
      </c>
      <c r="AI1816" s="6">
        <f t="shared" si="56"/>
        <v>27.47</v>
      </c>
      <c r="AJ1816" s="5">
        <f t="shared" si="57"/>
        <v>0.20999923553245164</v>
      </c>
    </row>
    <row r="1817" spans="1:36">
      <c r="A1817" t="s">
        <v>512</v>
      </c>
      <c r="B1817" t="s">
        <v>2102</v>
      </c>
      <c r="C1817" t="s">
        <v>99</v>
      </c>
      <c r="D1817" t="s">
        <v>63</v>
      </c>
      <c r="E1817" t="s">
        <v>55</v>
      </c>
      <c r="F1817">
        <v>0</v>
      </c>
      <c r="G1817">
        <v>2463</v>
      </c>
      <c r="H1817">
        <v>1</v>
      </c>
      <c r="I1817" t="s">
        <v>220</v>
      </c>
      <c r="J1817">
        <v>2</v>
      </c>
      <c r="K1817" s="6">
        <v>3.06</v>
      </c>
      <c r="L1817" t="s">
        <v>174</v>
      </c>
      <c r="M1817">
        <v>0</v>
      </c>
      <c r="N1817" t="s">
        <v>187</v>
      </c>
      <c r="O1817">
        <v>2</v>
      </c>
      <c r="P1817">
        <v>0</v>
      </c>
      <c r="Q1817" s="6">
        <v>30.1</v>
      </c>
      <c r="R1817">
        <v>1</v>
      </c>
      <c r="S1817" s="6">
        <v>3944</v>
      </c>
      <c r="T1817">
        <v>0</v>
      </c>
      <c r="U1817" s="6">
        <v>383</v>
      </c>
      <c r="V1817">
        <v>0</v>
      </c>
      <c r="W1817">
        <v>0</v>
      </c>
      <c r="X1817">
        <v>0</v>
      </c>
      <c r="Y1817" s="6">
        <v>49.4</v>
      </c>
      <c r="Z1817">
        <v>2E-3</v>
      </c>
      <c r="AA1817">
        <v>5.0999999999999997E-2</v>
      </c>
      <c r="AB1817">
        <v>2.5000000000000001E-2</v>
      </c>
      <c r="AC1817">
        <v>6</v>
      </c>
      <c r="AD1817" s="6">
        <v>50</v>
      </c>
      <c r="AE1817" s="6">
        <v>40</v>
      </c>
      <c r="AF1817" s="6">
        <v>0</v>
      </c>
      <c r="AG1817" s="6">
        <v>71.05</v>
      </c>
      <c r="AH1817" s="6">
        <v>89.73</v>
      </c>
      <c r="AI1817" s="6">
        <f t="shared" si="56"/>
        <v>18.680000000000007</v>
      </c>
      <c r="AJ1817" s="5">
        <f t="shared" si="57"/>
        <v>0.20818009584308489</v>
      </c>
    </row>
    <row r="1818" spans="1:36">
      <c r="A1818" t="s">
        <v>249</v>
      </c>
      <c r="B1818" t="s">
        <v>2103</v>
      </c>
      <c r="C1818" t="s">
        <v>99</v>
      </c>
      <c r="D1818" t="s">
        <v>63</v>
      </c>
      <c r="E1818" t="s">
        <v>55</v>
      </c>
      <c r="F1818">
        <v>0</v>
      </c>
      <c r="G1818">
        <v>2463</v>
      </c>
      <c r="H1818">
        <v>1</v>
      </c>
      <c r="I1818" t="s">
        <v>181</v>
      </c>
      <c r="J1818">
        <v>3</v>
      </c>
      <c r="K1818" s="6">
        <v>10.07</v>
      </c>
      <c r="L1818" t="s">
        <v>174</v>
      </c>
      <c r="M1818">
        <v>0</v>
      </c>
      <c r="N1818" t="s">
        <v>175</v>
      </c>
      <c r="O1818">
        <v>1</v>
      </c>
      <c r="P1818">
        <v>0</v>
      </c>
      <c r="Q1818" s="6">
        <v>20.6</v>
      </c>
      <c r="R1818">
        <v>1</v>
      </c>
      <c r="S1818" s="6">
        <v>574</v>
      </c>
      <c r="T1818">
        <v>0</v>
      </c>
      <c r="U1818" s="6">
        <v>564</v>
      </c>
      <c r="V1818">
        <v>0</v>
      </c>
      <c r="W1818">
        <v>0</v>
      </c>
      <c r="X1818">
        <v>0</v>
      </c>
      <c r="Y1818" s="6">
        <v>49.4</v>
      </c>
      <c r="Z1818">
        <v>2E-3</v>
      </c>
      <c r="AA1818">
        <v>5.0999999999999997E-2</v>
      </c>
      <c r="AB1818">
        <v>2.5000000000000001E-2</v>
      </c>
      <c r="AC1818">
        <v>6</v>
      </c>
      <c r="AD1818" s="6">
        <v>60</v>
      </c>
      <c r="AE1818" s="6">
        <v>25</v>
      </c>
      <c r="AF1818" s="6">
        <v>0</v>
      </c>
      <c r="AG1818" s="6">
        <v>96.39</v>
      </c>
      <c r="AH1818" s="6">
        <v>123.34</v>
      </c>
      <c r="AI1818" s="6">
        <f t="shared" si="56"/>
        <v>26.950000000000003</v>
      </c>
      <c r="AJ1818" s="5">
        <f t="shared" si="57"/>
        <v>0.2185017026106697</v>
      </c>
    </row>
    <row r="1819" spans="1:36">
      <c r="A1819" t="s">
        <v>343</v>
      </c>
      <c r="B1819" t="s">
        <v>2104</v>
      </c>
      <c r="C1819" t="s">
        <v>99</v>
      </c>
      <c r="D1819" t="s">
        <v>63</v>
      </c>
      <c r="E1819" t="s">
        <v>55</v>
      </c>
      <c r="F1819">
        <v>0</v>
      </c>
      <c r="G1819">
        <v>2463</v>
      </c>
      <c r="H1819">
        <v>1</v>
      </c>
      <c r="I1819" t="s">
        <v>220</v>
      </c>
      <c r="J1819">
        <v>2</v>
      </c>
      <c r="K1819" s="6">
        <v>2.87</v>
      </c>
      <c r="L1819" t="s">
        <v>174</v>
      </c>
      <c r="M1819">
        <v>0</v>
      </c>
      <c r="N1819" t="s">
        <v>182</v>
      </c>
      <c r="O1819">
        <v>3</v>
      </c>
      <c r="P1819">
        <v>0</v>
      </c>
      <c r="Q1819" s="6">
        <v>104.4</v>
      </c>
      <c r="R1819">
        <v>1</v>
      </c>
      <c r="S1819" s="6">
        <v>5809</v>
      </c>
      <c r="T1819">
        <v>0</v>
      </c>
      <c r="U1819" s="6">
        <v>740</v>
      </c>
      <c r="V1819">
        <v>0</v>
      </c>
      <c r="W1819">
        <v>0</v>
      </c>
      <c r="X1819">
        <v>0</v>
      </c>
      <c r="Y1819" s="6">
        <v>49.4</v>
      </c>
      <c r="Z1819">
        <v>2E-3</v>
      </c>
      <c r="AA1819">
        <v>5.0999999999999997E-2</v>
      </c>
      <c r="AB1819">
        <v>2.5000000000000001E-2</v>
      </c>
      <c r="AC1819">
        <v>6</v>
      </c>
      <c r="AD1819" s="6">
        <v>50</v>
      </c>
      <c r="AE1819" s="6">
        <v>50</v>
      </c>
      <c r="AF1819" s="6">
        <v>0</v>
      </c>
      <c r="AG1819" s="6">
        <v>62.37</v>
      </c>
      <c r="AH1819" s="6">
        <v>81.78</v>
      </c>
      <c r="AI1819" s="6">
        <f t="shared" si="56"/>
        <v>19.410000000000004</v>
      </c>
      <c r="AJ1819" s="5">
        <f t="shared" si="57"/>
        <v>0.2373440939104916</v>
      </c>
    </row>
    <row r="1820" spans="1:36">
      <c r="A1820" t="s">
        <v>457</v>
      </c>
      <c r="B1820" t="s">
        <v>2105</v>
      </c>
      <c r="C1820" t="s">
        <v>99</v>
      </c>
      <c r="D1820" t="s">
        <v>63</v>
      </c>
      <c r="E1820" t="s">
        <v>55</v>
      </c>
      <c r="F1820">
        <v>0</v>
      </c>
      <c r="G1820">
        <v>2463</v>
      </c>
      <c r="H1820">
        <v>1</v>
      </c>
      <c r="I1820" t="s">
        <v>173</v>
      </c>
      <c r="J1820">
        <v>1</v>
      </c>
      <c r="K1820" s="6">
        <v>1.73</v>
      </c>
      <c r="L1820" t="s">
        <v>174</v>
      </c>
      <c r="M1820">
        <v>0</v>
      </c>
      <c r="N1820" t="s">
        <v>175</v>
      </c>
      <c r="O1820">
        <v>1</v>
      </c>
      <c r="P1820">
        <v>0</v>
      </c>
      <c r="Q1820" s="6">
        <v>23.9</v>
      </c>
      <c r="R1820">
        <v>1</v>
      </c>
      <c r="S1820" s="6">
        <v>1609</v>
      </c>
      <c r="T1820">
        <v>0</v>
      </c>
      <c r="U1820" s="6">
        <v>955</v>
      </c>
      <c r="V1820">
        <v>0</v>
      </c>
      <c r="W1820">
        <v>0</v>
      </c>
      <c r="X1820">
        <v>0</v>
      </c>
      <c r="Y1820" s="6">
        <v>49.4</v>
      </c>
      <c r="Z1820">
        <v>2E-3</v>
      </c>
      <c r="AA1820">
        <v>5.0999999999999997E-2</v>
      </c>
      <c r="AB1820">
        <v>2.5000000000000001E-2</v>
      </c>
      <c r="AC1820">
        <v>6</v>
      </c>
      <c r="AD1820" s="6">
        <v>50</v>
      </c>
      <c r="AE1820" s="6">
        <v>25</v>
      </c>
      <c r="AF1820" s="6">
        <v>0</v>
      </c>
      <c r="AG1820" s="6">
        <v>57</v>
      </c>
      <c r="AH1820" s="6">
        <v>73.010000000000005</v>
      </c>
      <c r="AI1820" s="6">
        <f t="shared" si="56"/>
        <v>16.010000000000005</v>
      </c>
      <c r="AJ1820" s="5">
        <f t="shared" si="57"/>
        <v>0.21928502944802086</v>
      </c>
    </row>
    <row r="1821" spans="1:36">
      <c r="A1821" t="s">
        <v>469</v>
      </c>
      <c r="B1821" t="s">
        <v>2106</v>
      </c>
      <c r="C1821" t="s">
        <v>99</v>
      </c>
      <c r="D1821" t="s">
        <v>63</v>
      </c>
      <c r="E1821" t="s">
        <v>55</v>
      </c>
      <c r="F1821">
        <v>0</v>
      </c>
      <c r="G1821">
        <v>2463</v>
      </c>
      <c r="H1821">
        <v>1</v>
      </c>
      <c r="I1821" t="s">
        <v>220</v>
      </c>
      <c r="J1821">
        <v>2</v>
      </c>
      <c r="K1821" s="6">
        <v>3.13</v>
      </c>
      <c r="L1821" t="s">
        <v>174</v>
      </c>
      <c r="M1821">
        <v>0</v>
      </c>
      <c r="N1821" t="s">
        <v>187</v>
      </c>
      <c r="O1821">
        <v>2</v>
      </c>
      <c r="P1821">
        <v>0</v>
      </c>
      <c r="Q1821" s="6">
        <v>18.5</v>
      </c>
      <c r="R1821">
        <v>1</v>
      </c>
      <c r="S1821" s="6">
        <v>4319</v>
      </c>
      <c r="T1821">
        <v>0</v>
      </c>
      <c r="U1821" s="6">
        <v>841</v>
      </c>
      <c r="V1821">
        <v>0</v>
      </c>
      <c r="W1821">
        <v>0</v>
      </c>
      <c r="X1821">
        <v>0</v>
      </c>
      <c r="Y1821" s="6">
        <v>49.4</v>
      </c>
      <c r="Z1821">
        <v>2E-3</v>
      </c>
      <c r="AA1821">
        <v>5.0999999999999997E-2</v>
      </c>
      <c r="AB1821">
        <v>2.5000000000000001E-2</v>
      </c>
      <c r="AC1821">
        <v>6</v>
      </c>
      <c r="AD1821" s="6">
        <v>50</v>
      </c>
      <c r="AE1821" s="6">
        <v>40</v>
      </c>
      <c r="AF1821" s="6">
        <v>0</v>
      </c>
      <c r="AG1821" s="6">
        <v>63.29</v>
      </c>
      <c r="AH1821" s="6">
        <v>83.52</v>
      </c>
      <c r="AI1821" s="6">
        <f t="shared" si="56"/>
        <v>20.229999999999997</v>
      </c>
      <c r="AJ1821" s="5">
        <f t="shared" si="57"/>
        <v>0.24221743295019155</v>
      </c>
    </row>
    <row r="1822" spans="1:36">
      <c r="A1822" t="s">
        <v>355</v>
      </c>
      <c r="B1822" t="s">
        <v>2107</v>
      </c>
      <c r="C1822" t="s">
        <v>99</v>
      </c>
      <c r="D1822" t="s">
        <v>63</v>
      </c>
      <c r="E1822" t="s">
        <v>55</v>
      </c>
      <c r="F1822">
        <v>0</v>
      </c>
      <c r="G1822">
        <v>2463</v>
      </c>
      <c r="H1822">
        <v>1</v>
      </c>
      <c r="I1822" t="s">
        <v>173</v>
      </c>
      <c r="J1822">
        <v>1</v>
      </c>
      <c r="K1822" s="6">
        <v>2.31</v>
      </c>
      <c r="L1822" t="s">
        <v>174</v>
      </c>
      <c r="M1822">
        <v>0</v>
      </c>
      <c r="N1822" t="s">
        <v>217</v>
      </c>
      <c r="O1822">
        <v>4</v>
      </c>
      <c r="P1822">
        <v>1</v>
      </c>
      <c r="Q1822" s="6">
        <v>165.2</v>
      </c>
      <c r="R1822">
        <v>0</v>
      </c>
      <c r="S1822" s="6">
        <v>0</v>
      </c>
      <c r="T1822">
        <v>0</v>
      </c>
      <c r="U1822" s="6">
        <v>1307</v>
      </c>
      <c r="V1822">
        <v>0</v>
      </c>
      <c r="W1822">
        <v>0</v>
      </c>
      <c r="X1822">
        <v>0</v>
      </c>
      <c r="Y1822" s="6">
        <v>49.4</v>
      </c>
      <c r="Z1822">
        <v>2E-3</v>
      </c>
      <c r="AA1822">
        <v>5.0999999999999997E-2</v>
      </c>
      <c r="AB1822">
        <v>2.5000000000000001E-2</v>
      </c>
      <c r="AC1822">
        <v>6</v>
      </c>
      <c r="AD1822" s="6">
        <v>50</v>
      </c>
      <c r="AE1822" s="6">
        <v>0</v>
      </c>
      <c r="AF1822" s="6">
        <v>0</v>
      </c>
      <c r="AG1822" s="6">
        <v>101.21</v>
      </c>
      <c r="AH1822" s="6">
        <v>128.66</v>
      </c>
      <c r="AI1822" s="6">
        <f t="shared" si="56"/>
        <v>27.450000000000003</v>
      </c>
      <c r="AJ1822" s="5">
        <f t="shared" si="57"/>
        <v>0.21335302347271881</v>
      </c>
    </row>
    <row r="1823" spans="1:36">
      <c r="A1823" t="s">
        <v>192</v>
      </c>
      <c r="B1823" t="s">
        <v>2108</v>
      </c>
      <c r="C1823" t="s">
        <v>99</v>
      </c>
      <c r="D1823" t="s">
        <v>63</v>
      </c>
      <c r="E1823" t="s">
        <v>55</v>
      </c>
      <c r="F1823">
        <v>0</v>
      </c>
      <c r="G1823">
        <v>2463</v>
      </c>
      <c r="H1823">
        <v>1</v>
      </c>
      <c r="I1823" t="s">
        <v>173</v>
      </c>
      <c r="J1823">
        <v>1</v>
      </c>
      <c r="K1823" s="6">
        <v>1.77</v>
      </c>
      <c r="L1823" t="s">
        <v>174</v>
      </c>
      <c r="M1823">
        <v>0</v>
      </c>
      <c r="N1823" t="s">
        <v>175</v>
      </c>
      <c r="O1823">
        <v>1</v>
      </c>
      <c r="P1823">
        <v>0</v>
      </c>
      <c r="Q1823" s="6">
        <v>48.5</v>
      </c>
      <c r="R1823">
        <v>0</v>
      </c>
      <c r="S1823" s="6">
        <v>0</v>
      </c>
      <c r="T1823">
        <v>0</v>
      </c>
      <c r="U1823" s="6">
        <v>1055</v>
      </c>
      <c r="V1823">
        <v>0</v>
      </c>
      <c r="W1823">
        <v>0</v>
      </c>
      <c r="X1823">
        <v>0</v>
      </c>
      <c r="Y1823" s="6">
        <v>49.4</v>
      </c>
      <c r="Z1823">
        <v>2E-3</v>
      </c>
      <c r="AA1823">
        <v>5.0999999999999997E-2</v>
      </c>
      <c r="AB1823">
        <v>2.5000000000000001E-2</v>
      </c>
      <c r="AC1823">
        <v>6</v>
      </c>
      <c r="AD1823" s="6">
        <v>50</v>
      </c>
      <c r="AE1823" s="6">
        <v>0</v>
      </c>
      <c r="AF1823" s="6">
        <v>0</v>
      </c>
      <c r="AG1823" s="6">
        <v>55.13</v>
      </c>
      <c r="AH1823" s="6">
        <v>71.16</v>
      </c>
      <c r="AI1823" s="6">
        <f t="shared" si="56"/>
        <v>16.029999999999994</v>
      </c>
      <c r="AJ1823" s="5">
        <f t="shared" si="57"/>
        <v>0.22526700393479476</v>
      </c>
    </row>
    <row r="1824" spans="1:36">
      <c r="A1824" t="s">
        <v>512</v>
      </c>
      <c r="B1824" t="s">
        <v>2109</v>
      </c>
      <c r="C1824" t="s">
        <v>99</v>
      </c>
      <c r="D1824" t="s">
        <v>63</v>
      </c>
      <c r="E1824" t="s">
        <v>55</v>
      </c>
      <c r="F1824">
        <v>0</v>
      </c>
      <c r="G1824">
        <v>2463</v>
      </c>
      <c r="H1824">
        <v>1</v>
      </c>
      <c r="I1824" t="s">
        <v>220</v>
      </c>
      <c r="J1824">
        <v>2</v>
      </c>
      <c r="K1824" s="6">
        <v>3.67</v>
      </c>
      <c r="L1824" t="s">
        <v>174</v>
      </c>
      <c r="M1824">
        <v>0</v>
      </c>
      <c r="N1824" t="s">
        <v>182</v>
      </c>
      <c r="O1824">
        <v>3</v>
      </c>
      <c r="P1824">
        <v>0</v>
      </c>
      <c r="Q1824" s="6">
        <v>94.3</v>
      </c>
      <c r="R1824">
        <v>0</v>
      </c>
      <c r="S1824" s="6">
        <v>0</v>
      </c>
      <c r="T1824">
        <v>0</v>
      </c>
      <c r="U1824" s="6">
        <v>513</v>
      </c>
      <c r="V1824">
        <v>0</v>
      </c>
      <c r="W1824">
        <v>0</v>
      </c>
      <c r="X1824">
        <v>0</v>
      </c>
      <c r="Y1824" s="6">
        <v>49.4</v>
      </c>
      <c r="Z1824">
        <v>2E-3</v>
      </c>
      <c r="AA1824">
        <v>5.0999999999999997E-2</v>
      </c>
      <c r="AB1824">
        <v>2.5000000000000001E-2</v>
      </c>
      <c r="AC1824">
        <v>6</v>
      </c>
      <c r="AD1824" s="6">
        <v>50</v>
      </c>
      <c r="AE1824" s="6">
        <v>0</v>
      </c>
      <c r="AF1824" s="6">
        <v>0</v>
      </c>
      <c r="AG1824" s="6">
        <v>65.27</v>
      </c>
      <c r="AH1824" s="6">
        <v>82.74</v>
      </c>
      <c r="AI1824" s="6">
        <f t="shared" si="56"/>
        <v>17.47</v>
      </c>
      <c r="AJ1824" s="5">
        <f t="shared" si="57"/>
        <v>0.21114334058496495</v>
      </c>
    </row>
    <row r="1825" spans="1:36">
      <c r="A1825" t="s">
        <v>183</v>
      </c>
      <c r="B1825" t="s">
        <v>2110</v>
      </c>
      <c r="C1825" t="s">
        <v>99</v>
      </c>
      <c r="D1825" t="s">
        <v>63</v>
      </c>
      <c r="E1825" t="s">
        <v>55</v>
      </c>
      <c r="F1825">
        <v>0</v>
      </c>
      <c r="G1825">
        <v>2463</v>
      </c>
      <c r="H1825">
        <v>1</v>
      </c>
      <c r="I1825" t="s">
        <v>173</v>
      </c>
      <c r="J1825">
        <v>1</v>
      </c>
      <c r="K1825" s="6">
        <v>1.59</v>
      </c>
      <c r="L1825" t="s">
        <v>174</v>
      </c>
      <c r="M1825">
        <v>0</v>
      </c>
      <c r="N1825" t="s">
        <v>175</v>
      </c>
      <c r="O1825">
        <v>1</v>
      </c>
      <c r="P1825">
        <v>0</v>
      </c>
      <c r="Q1825" s="6">
        <v>45.8</v>
      </c>
      <c r="R1825">
        <v>0</v>
      </c>
      <c r="S1825" s="6">
        <v>0</v>
      </c>
      <c r="T1825">
        <v>0</v>
      </c>
      <c r="U1825" s="6">
        <v>793</v>
      </c>
      <c r="V1825">
        <v>0</v>
      </c>
      <c r="W1825">
        <v>0</v>
      </c>
      <c r="X1825">
        <v>0</v>
      </c>
      <c r="Y1825" s="6">
        <v>49.4</v>
      </c>
      <c r="Z1825">
        <v>2E-3</v>
      </c>
      <c r="AA1825">
        <v>5.0999999999999997E-2</v>
      </c>
      <c r="AB1825">
        <v>2.5000000000000001E-2</v>
      </c>
      <c r="AC1825">
        <v>6</v>
      </c>
      <c r="AD1825" s="6">
        <v>50</v>
      </c>
      <c r="AE1825" s="6">
        <v>0</v>
      </c>
      <c r="AF1825" s="6">
        <v>0</v>
      </c>
      <c r="AG1825" s="6">
        <v>54.84</v>
      </c>
      <c r="AH1825" s="6">
        <v>73.400000000000006</v>
      </c>
      <c r="AI1825" s="6">
        <f t="shared" si="56"/>
        <v>18.560000000000002</v>
      </c>
      <c r="AJ1825" s="5">
        <f t="shared" si="57"/>
        <v>0.25286103542234334</v>
      </c>
    </row>
    <row r="1826" spans="1:36">
      <c r="A1826" t="s">
        <v>201</v>
      </c>
      <c r="B1826" t="s">
        <v>2111</v>
      </c>
      <c r="C1826" t="s">
        <v>99</v>
      </c>
      <c r="D1826" t="s">
        <v>63</v>
      </c>
      <c r="E1826" t="s">
        <v>55</v>
      </c>
      <c r="F1826">
        <v>0</v>
      </c>
      <c r="G1826">
        <v>2463</v>
      </c>
      <c r="H1826">
        <v>1</v>
      </c>
      <c r="I1826" t="s">
        <v>173</v>
      </c>
      <c r="J1826">
        <v>1</v>
      </c>
      <c r="K1826" s="6">
        <v>1.49</v>
      </c>
      <c r="L1826" t="s">
        <v>174</v>
      </c>
      <c r="M1826">
        <v>0</v>
      </c>
      <c r="N1826" t="s">
        <v>182</v>
      </c>
      <c r="O1826">
        <v>3</v>
      </c>
      <c r="P1826">
        <v>0</v>
      </c>
      <c r="Q1826" s="6">
        <v>97.3</v>
      </c>
      <c r="R1826">
        <v>1</v>
      </c>
      <c r="S1826" s="6">
        <v>1583</v>
      </c>
      <c r="T1826">
        <v>0</v>
      </c>
      <c r="U1826" s="6">
        <v>504</v>
      </c>
      <c r="V1826">
        <v>0</v>
      </c>
      <c r="W1826">
        <v>0</v>
      </c>
      <c r="X1826">
        <v>0</v>
      </c>
      <c r="Y1826" s="6">
        <v>49.4</v>
      </c>
      <c r="Z1826">
        <v>2E-3</v>
      </c>
      <c r="AA1826">
        <v>5.0999999999999997E-2</v>
      </c>
      <c r="AB1826">
        <v>2.5000000000000001E-2</v>
      </c>
      <c r="AC1826">
        <v>6</v>
      </c>
      <c r="AD1826" s="6">
        <v>50</v>
      </c>
      <c r="AE1826" s="6">
        <v>25</v>
      </c>
      <c r="AF1826" s="6">
        <v>0</v>
      </c>
      <c r="AG1826" s="6">
        <v>66.66</v>
      </c>
      <c r="AH1826" s="6">
        <v>85.82</v>
      </c>
      <c r="AI1826" s="6">
        <f t="shared" si="56"/>
        <v>19.159999999999997</v>
      </c>
      <c r="AJ1826" s="5">
        <f t="shared" si="57"/>
        <v>0.22325798182241899</v>
      </c>
    </row>
    <row r="1827" spans="1:36">
      <c r="A1827" t="s">
        <v>286</v>
      </c>
      <c r="B1827" t="s">
        <v>2112</v>
      </c>
      <c r="C1827" t="s">
        <v>99</v>
      </c>
      <c r="D1827" t="s">
        <v>63</v>
      </c>
      <c r="E1827" t="s">
        <v>55</v>
      </c>
      <c r="F1827">
        <v>0</v>
      </c>
      <c r="G1827">
        <v>2463</v>
      </c>
      <c r="H1827">
        <v>1</v>
      </c>
      <c r="I1827" t="s">
        <v>173</v>
      </c>
      <c r="J1827">
        <v>1</v>
      </c>
      <c r="K1827" s="6">
        <v>1.8</v>
      </c>
      <c r="L1827" t="s">
        <v>174</v>
      </c>
      <c r="M1827">
        <v>0</v>
      </c>
      <c r="N1827" t="s">
        <v>175</v>
      </c>
      <c r="O1827">
        <v>1</v>
      </c>
      <c r="P1827">
        <v>0</v>
      </c>
      <c r="Q1827" s="6">
        <v>27.1</v>
      </c>
      <c r="R1827">
        <v>0</v>
      </c>
      <c r="S1827" s="6">
        <v>0</v>
      </c>
      <c r="T1827">
        <v>0</v>
      </c>
      <c r="U1827" s="6">
        <v>764</v>
      </c>
      <c r="V1827">
        <v>0</v>
      </c>
      <c r="W1827">
        <v>0</v>
      </c>
      <c r="X1827">
        <v>0</v>
      </c>
      <c r="Y1827" s="6">
        <v>49.4</v>
      </c>
      <c r="Z1827">
        <v>2E-3</v>
      </c>
      <c r="AA1827">
        <v>5.0999999999999997E-2</v>
      </c>
      <c r="AB1827">
        <v>2.5000000000000001E-2</v>
      </c>
      <c r="AC1827">
        <v>6</v>
      </c>
      <c r="AD1827" s="6">
        <v>50</v>
      </c>
      <c r="AE1827" s="6">
        <v>0</v>
      </c>
      <c r="AF1827" s="6">
        <v>0</v>
      </c>
      <c r="AG1827" s="6">
        <v>45.37</v>
      </c>
      <c r="AH1827" s="6">
        <v>57.96</v>
      </c>
      <c r="AI1827" s="6">
        <f t="shared" si="56"/>
        <v>12.590000000000003</v>
      </c>
      <c r="AJ1827" s="5">
        <f t="shared" si="57"/>
        <v>0.21721877156659772</v>
      </c>
    </row>
    <row r="1828" spans="1:36">
      <c r="A1828" t="s">
        <v>206</v>
      </c>
      <c r="B1828" t="s">
        <v>2113</v>
      </c>
      <c r="C1828" t="s">
        <v>99</v>
      </c>
      <c r="D1828" t="s">
        <v>63</v>
      </c>
      <c r="E1828" t="s">
        <v>55</v>
      </c>
      <c r="F1828">
        <v>0</v>
      </c>
      <c r="G1828">
        <v>2463</v>
      </c>
      <c r="H1828">
        <v>1</v>
      </c>
      <c r="I1828" t="s">
        <v>173</v>
      </c>
      <c r="J1828">
        <v>1</v>
      </c>
      <c r="K1828" s="6">
        <v>2.97</v>
      </c>
      <c r="L1828" t="s">
        <v>174</v>
      </c>
      <c r="M1828">
        <v>0</v>
      </c>
      <c r="N1828" t="s">
        <v>272</v>
      </c>
      <c r="O1828">
        <v>5</v>
      </c>
      <c r="P1828">
        <v>1</v>
      </c>
      <c r="Q1828" s="6">
        <v>230.1</v>
      </c>
      <c r="R1828">
        <v>1</v>
      </c>
      <c r="S1828" s="6">
        <v>965</v>
      </c>
      <c r="T1828">
        <v>0</v>
      </c>
      <c r="U1828" s="6">
        <v>649</v>
      </c>
      <c r="V1828">
        <v>0</v>
      </c>
      <c r="W1828">
        <v>0</v>
      </c>
      <c r="X1828">
        <v>1</v>
      </c>
      <c r="Y1828" s="6">
        <v>49.4</v>
      </c>
      <c r="Z1828">
        <v>2E-3</v>
      </c>
      <c r="AA1828">
        <v>5.0999999999999997E-2</v>
      </c>
      <c r="AB1828">
        <v>2.5000000000000001E-2</v>
      </c>
      <c r="AC1828">
        <v>6</v>
      </c>
      <c r="AD1828" s="6">
        <v>50</v>
      </c>
      <c r="AE1828" s="6">
        <v>25</v>
      </c>
      <c r="AF1828" s="6">
        <v>0</v>
      </c>
      <c r="AG1828" s="6">
        <v>148.16</v>
      </c>
      <c r="AH1828" s="6">
        <v>185.36</v>
      </c>
      <c r="AI1828" s="6">
        <f t="shared" si="56"/>
        <v>37.200000000000017</v>
      </c>
      <c r="AJ1828" s="5">
        <f t="shared" si="57"/>
        <v>0.20069054812257237</v>
      </c>
    </row>
    <row r="1829" spans="1:36">
      <c r="A1829" t="s">
        <v>436</v>
      </c>
      <c r="B1829" t="s">
        <v>2114</v>
      </c>
      <c r="C1829" t="s">
        <v>99</v>
      </c>
      <c r="D1829" t="s">
        <v>63</v>
      </c>
      <c r="E1829" t="s">
        <v>55</v>
      </c>
      <c r="F1829">
        <v>0</v>
      </c>
      <c r="G1829">
        <v>2463</v>
      </c>
      <c r="H1829">
        <v>1</v>
      </c>
      <c r="I1829" t="s">
        <v>173</v>
      </c>
      <c r="J1829">
        <v>1</v>
      </c>
      <c r="K1829" s="6">
        <v>1.37</v>
      </c>
      <c r="L1829" t="s">
        <v>174</v>
      </c>
      <c r="M1829">
        <v>0</v>
      </c>
      <c r="N1829" t="s">
        <v>182</v>
      </c>
      <c r="O1829">
        <v>3</v>
      </c>
      <c r="P1829">
        <v>0</v>
      </c>
      <c r="Q1829" s="6">
        <v>87.6</v>
      </c>
      <c r="R1829">
        <v>0</v>
      </c>
      <c r="S1829" s="6">
        <v>0</v>
      </c>
      <c r="T1829">
        <v>0</v>
      </c>
      <c r="U1829" s="6">
        <v>1093</v>
      </c>
      <c r="V1829">
        <v>0</v>
      </c>
      <c r="W1829">
        <v>0</v>
      </c>
      <c r="X1829">
        <v>0</v>
      </c>
      <c r="Y1829" s="6">
        <v>49.4</v>
      </c>
      <c r="Z1829">
        <v>2E-3</v>
      </c>
      <c r="AA1829">
        <v>5.0999999999999997E-2</v>
      </c>
      <c r="AB1829">
        <v>2.5000000000000001E-2</v>
      </c>
      <c r="AC1829">
        <v>6</v>
      </c>
      <c r="AD1829" s="6">
        <v>50</v>
      </c>
      <c r="AE1829" s="6">
        <v>0</v>
      </c>
      <c r="AF1829" s="6">
        <v>0</v>
      </c>
      <c r="AG1829" s="6">
        <v>56.83</v>
      </c>
      <c r="AH1829" s="6">
        <v>71.42</v>
      </c>
      <c r="AI1829" s="6">
        <f t="shared" si="56"/>
        <v>14.590000000000003</v>
      </c>
      <c r="AJ1829" s="5">
        <f t="shared" si="57"/>
        <v>0.20428451414169704</v>
      </c>
    </row>
    <row r="1830" spans="1:36">
      <c r="A1830" t="s">
        <v>251</v>
      </c>
      <c r="B1830" t="s">
        <v>2115</v>
      </c>
      <c r="C1830" t="s">
        <v>99</v>
      </c>
      <c r="D1830" t="s">
        <v>63</v>
      </c>
      <c r="E1830" t="s">
        <v>55</v>
      </c>
      <c r="F1830">
        <v>0</v>
      </c>
      <c r="G1830">
        <v>2463</v>
      </c>
      <c r="H1830">
        <v>1</v>
      </c>
      <c r="I1830" t="s">
        <v>173</v>
      </c>
      <c r="J1830">
        <v>1</v>
      </c>
      <c r="K1830" s="6">
        <v>1.96</v>
      </c>
      <c r="L1830" t="s">
        <v>174</v>
      </c>
      <c r="M1830">
        <v>0</v>
      </c>
      <c r="N1830" t="s">
        <v>187</v>
      </c>
      <c r="O1830">
        <v>2</v>
      </c>
      <c r="P1830">
        <v>0</v>
      </c>
      <c r="Q1830" s="6">
        <v>62.1</v>
      </c>
      <c r="R1830">
        <v>0</v>
      </c>
      <c r="S1830" s="6">
        <v>0</v>
      </c>
      <c r="T1830">
        <v>0</v>
      </c>
      <c r="U1830" s="6">
        <v>566</v>
      </c>
      <c r="V1830">
        <v>0</v>
      </c>
      <c r="W1830">
        <v>0</v>
      </c>
      <c r="X1830">
        <v>1</v>
      </c>
      <c r="Y1830" s="6">
        <v>49.4</v>
      </c>
      <c r="Z1830">
        <v>2E-3</v>
      </c>
      <c r="AA1830">
        <v>5.0999999999999997E-2</v>
      </c>
      <c r="AB1830">
        <v>2.5000000000000001E-2</v>
      </c>
      <c r="AC1830">
        <v>6</v>
      </c>
      <c r="AD1830" s="6">
        <v>50</v>
      </c>
      <c r="AE1830" s="6">
        <v>0</v>
      </c>
      <c r="AF1830" s="6">
        <v>0</v>
      </c>
      <c r="AG1830" s="6">
        <v>46.74</v>
      </c>
      <c r="AH1830" s="6">
        <v>59.53</v>
      </c>
      <c r="AI1830" s="6">
        <f t="shared" si="56"/>
        <v>12.79</v>
      </c>
      <c r="AJ1830" s="5">
        <f t="shared" si="57"/>
        <v>0.21484965563581385</v>
      </c>
    </row>
    <row r="1831" spans="1:36">
      <c r="A1831" t="s">
        <v>691</v>
      </c>
      <c r="B1831" t="s">
        <v>2116</v>
      </c>
      <c r="C1831" t="s">
        <v>99</v>
      </c>
      <c r="D1831" t="s">
        <v>63</v>
      </c>
      <c r="E1831" t="s">
        <v>55</v>
      </c>
      <c r="F1831">
        <v>0</v>
      </c>
      <c r="G1831">
        <v>2463</v>
      </c>
      <c r="H1831">
        <v>1</v>
      </c>
      <c r="I1831" t="s">
        <v>173</v>
      </c>
      <c r="J1831">
        <v>1</v>
      </c>
      <c r="K1831" s="6">
        <v>2.2799999999999998</v>
      </c>
      <c r="L1831" t="s">
        <v>174</v>
      </c>
      <c r="M1831">
        <v>0</v>
      </c>
      <c r="N1831" t="s">
        <v>182</v>
      </c>
      <c r="O1831">
        <v>3</v>
      </c>
      <c r="P1831">
        <v>0</v>
      </c>
      <c r="Q1831" s="6">
        <v>97.3</v>
      </c>
      <c r="R1831">
        <v>0</v>
      </c>
      <c r="S1831" s="6">
        <v>0</v>
      </c>
      <c r="T1831">
        <v>0</v>
      </c>
      <c r="U1831" s="6">
        <v>785</v>
      </c>
      <c r="V1831">
        <v>0</v>
      </c>
      <c r="W1831">
        <v>0</v>
      </c>
      <c r="X1831">
        <v>1</v>
      </c>
      <c r="Y1831" s="6">
        <v>49.4</v>
      </c>
      <c r="Z1831">
        <v>2E-3</v>
      </c>
      <c r="AA1831">
        <v>5.0999999999999997E-2</v>
      </c>
      <c r="AB1831">
        <v>2.5000000000000001E-2</v>
      </c>
      <c r="AC1831">
        <v>6</v>
      </c>
      <c r="AD1831" s="6">
        <v>50</v>
      </c>
      <c r="AE1831" s="6">
        <v>0</v>
      </c>
      <c r="AF1831" s="6">
        <v>0</v>
      </c>
      <c r="AG1831" s="6">
        <v>60.63</v>
      </c>
      <c r="AH1831" s="6">
        <v>79.55</v>
      </c>
      <c r="AI1831" s="6">
        <f t="shared" si="56"/>
        <v>18.919999999999995</v>
      </c>
      <c r="AJ1831" s="5">
        <f t="shared" si="57"/>
        <v>0.23783783783783777</v>
      </c>
    </row>
    <row r="1832" spans="1:36">
      <c r="A1832" t="s">
        <v>194</v>
      </c>
      <c r="B1832" t="s">
        <v>2117</v>
      </c>
      <c r="C1832" t="s">
        <v>99</v>
      </c>
      <c r="D1832" t="s">
        <v>63</v>
      </c>
      <c r="E1832" t="s">
        <v>55</v>
      </c>
      <c r="F1832">
        <v>0</v>
      </c>
      <c r="G1832">
        <v>2463</v>
      </c>
      <c r="H1832">
        <v>1</v>
      </c>
      <c r="I1832" t="s">
        <v>173</v>
      </c>
      <c r="J1832">
        <v>1</v>
      </c>
      <c r="K1832" s="6">
        <v>1.52</v>
      </c>
      <c r="L1832" t="s">
        <v>174</v>
      </c>
      <c r="M1832">
        <v>0</v>
      </c>
      <c r="N1832" t="s">
        <v>175</v>
      </c>
      <c r="O1832">
        <v>1</v>
      </c>
      <c r="P1832">
        <v>0</v>
      </c>
      <c r="Q1832" s="6">
        <v>29.3</v>
      </c>
      <c r="R1832">
        <v>0</v>
      </c>
      <c r="S1832" s="6">
        <v>0</v>
      </c>
      <c r="T1832">
        <v>0</v>
      </c>
      <c r="U1832" s="6">
        <v>436</v>
      </c>
      <c r="V1832">
        <v>0</v>
      </c>
      <c r="W1832">
        <v>0</v>
      </c>
      <c r="X1832">
        <v>0</v>
      </c>
      <c r="Y1832" s="6">
        <v>49.4</v>
      </c>
      <c r="Z1832">
        <v>2E-3</v>
      </c>
      <c r="AA1832">
        <v>5.0999999999999997E-2</v>
      </c>
      <c r="AB1832">
        <v>2.5000000000000001E-2</v>
      </c>
      <c r="AC1832">
        <v>6</v>
      </c>
      <c r="AD1832" s="6">
        <v>50</v>
      </c>
      <c r="AE1832" s="6">
        <v>0</v>
      </c>
      <c r="AF1832" s="6">
        <v>0</v>
      </c>
      <c r="AG1832" s="6">
        <v>48.46</v>
      </c>
      <c r="AH1832" s="6">
        <v>64.67</v>
      </c>
      <c r="AI1832" s="6">
        <f t="shared" si="56"/>
        <v>16.21</v>
      </c>
      <c r="AJ1832" s="5">
        <f t="shared" si="57"/>
        <v>0.25065718261945263</v>
      </c>
    </row>
    <row r="1833" spans="1:36">
      <c r="A1833" t="s">
        <v>316</v>
      </c>
      <c r="B1833" t="s">
        <v>2118</v>
      </c>
      <c r="C1833" t="s">
        <v>99</v>
      </c>
      <c r="D1833" t="s">
        <v>63</v>
      </c>
      <c r="E1833" t="s">
        <v>55</v>
      </c>
      <c r="F1833">
        <v>0</v>
      </c>
      <c r="G1833">
        <v>2463</v>
      </c>
      <c r="H1833">
        <v>1</v>
      </c>
      <c r="I1833" t="s">
        <v>173</v>
      </c>
      <c r="J1833">
        <v>1</v>
      </c>
      <c r="K1833" s="6">
        <v>1.89</v>
      </c>
      <c r="L1833" t="s">
        <v>174</v>
      </c>
      <c r="M1833">
        <v>0</v>
      </c>
      <c r="N1833" t="s">
        <v>187</v>
      </c>
      <c r="O1833">
        <v>2</v>
      </c>
      <c r="P1833">
        <v>0</v>
      </c>
      <c r="Q1833" s="6">
        <v>41.4</v>
      </c>
      <c r="R1833">
        <v>0</v>
      </c>
      <c r="S1833" s="6">
        <v>0</v>
      </c>
      <c r="T1833">
        <v>0</v>
      </c>
      <c r="U1833" s="6">
        <v>1217</v>
      </c>
      <c r="V1833">
        <v>0</v>
      </c>
      <c r="W1833">
        <v>0</v>
      </c>
      <c r="X1833">
        <v>0</v>
      </c>
      <c r="Y1833" s="6">
        <v>49.4</v>
      </c>
      <c r="Z1833">
        <v>2E-3</v>
      </c>
      <c r="AA1833">
        <v>5.0999999999999997E-2</v>
      </c>
      <c r="AB1833">
        <v>2.5000000000000001E-2</v>
      </c>
      <c r="AC1833">
        <v>6</v>
      </c>
      <c r="AD1833" s="6">
        <v>50</v>
      </c>
      <c r="AE1833" s="6">
        <v>0</v>
      </c>
      <c r="AF1833" s="6">
        <v>0</v>
      </c>
      <c r="AG1833" s="6">
        <v>58.9</v>
      </c>
      <c r="AH1833" s="6">
        <v>76.56</v>
      </c>
      <c r="AI1833" s="6">
        <f t="shared" si="56"/>
        <v>17.660000000000004</v>
      </c>
      <c r="AJ1833" s="5">
        <f t="shared" si="57"/>
        <v>0.23066875653082552</v>
      </c>
    </row>
    <row r="1834" spans="1:36">
      <c r="A1834" t="s">
        <v>240</v>
      </c>
      <c r="B1834" t="s">
        <v>2119</v>
      </c>
      <c r="C1834" t="s">
        <v>99</v>
      </c>
      <c r="D1834" t="s">
        <v>63</v>
      </c>
      <c r="E1834" t="s">
        <v>55</v>
      </c>
      <c r="F1834">
        <v>0</v>
      </c>
      <c r="G1834">
        <v>2463</v>
      </c>
      <c r="H1834">
        <v>1</v>
      </c>
      <c r="I1834" t="s">
        <v>173</v>
      </c>
      <c r="J1834">
        <v>1</v>
      </c>
      <c r="K1834" s="6">
        <v>1.23</v>
      </c>
      <c r="L1834" t="s">
        <v>174</v>
      </c>
      <c r="M1834">
        <v>0</v>
      </c>
      <c r="N1834" t="s">
        <v>187</v>
      </c>
      <c r="O1834">
        <v>2</v>
      </c>
      <c r="P1834">
        <v>0</v>
      </c>
      <c r="Q1834" s="6">
        <v>70.2</v>
      </c>
      <c r="R1834">
        <v>0</v>
      </c>
      <c r="S1834" s="6">
        <v>0</v>
      </c>
      <c r="T1834">
        <v>0</v>
      </c>
      <c r="U1834" s="6">
        <v>751</v>
      </c>
      <c r="V1834">
        <v>0</v>
      </c>
      <c r="W1834">
        <v>0</v>
      </c>
      <c r="X1834">
        <v>1</v>
      </c>
      <c r="Y1834" s="6">
        <v>49.4</v>
      </c>
      <c r="Z1834">
        <v>2E-3</v>
      </c>
      <c r="AA1834">
        <v>5.0999999999999997E-2</v>
      </c>
      <c r="AB1834">
        <v>2.5000000000000001E-2</v>
      </c>
      <c r="AC1834">
        <v>6</v>
      </c>
      <c r="AD1834" s="6">
        <v>50</v>
      </c>
      <c r="AE1834" s="6">
        <v>0</v>
      </c>
      <c r="AF1834" s="6">
        <v>0</v>
      </c>
      <c r="AG1834" s="6">
        <v>40.71</v>
      </c>
      <c r="AH1834" s="6">
        <v>54.76</v>
      </c>
      <c r="AI1834" s="6">
        <f t="shared" si="56"/>
        <v>14.049999999999997</v>
      </c>
      <c r="AJ1834" s="5">
        <f t="shared" si="57"/>
        <v>0.25657414170927678</v>
      </c>
    </row>
    <row r="1835" spans="1:36">
      <c r="A1835" t="s">
        <v>330</v>
      </c>
      <c r="B1835" t="s">
        <v>2120</v>
      </c>
      <c r="C1835" t="s">
        <v>99</v>
      </c>
      <c r="D1835" t="s">
        <v>63</v>
      </c>
      <c r="E1835" t="s">
        <v>55</v>
      </c>
      <c r="F1835">
        <v>0</v>
      </c>
      <c r="G1835">
        <v>2463</v>
      </c>
      <c r="H1835">
        <v>1</v>
      </c>
      <c r="I1835" t="s">
        <v>173</v>
      </c>
      <c r="J1835">
        <v>1</v>
      </c>
      <c r="K1835" s="6">
        <v>2.39</v>
      </c>
      <c r="L1835" t="s">
        <v>174</v>
      </c>
      <c r="M1835">
        <v>0</v>
      </c>
      <c r="N1835" t="s">
        <v>175</v>
      </c>
      <c r="O1835">
        <v>1</v>
      </c>
      <c r="P1835">
        <v>0</v>
      </c>
      <c r="Q1835" s="6">
        <v>43.7</v>
      </c>
      <c r="R1835">
        <v>0</v>
      </c>
      <c r="S1835" s="6">
        <v>0</v>
      </c>
      <c r="T1835">
        <v>0</v>
      </c>
      <c r="U1835" s="6">
        <v>1059</v>
      </c>
      <c r="V1835">
        <v>0</v>
      </c>
      <c r="W1835">
        <v>0</v>
      </c>
      <c r="X1835">
        <v>0</v>
      </c>
      <c r="Y1835" s="6">
        <v>49.4</v>
      </c>
      <c r="Z1835">
        <v>2E-3</v>
      </c>
      <c r="AA1835">
        <v>5.0999999999999997E-2</v>
      </c>
      <c r="AB1835">
        <v>2.5000000000000001E-2</v>
      </c>
      <c r="AC1835">
        <v>6</v>
      </c>
      <c r="AD1835" s="6">
        <v>50</v>
      </c>
      <c r="AE1835" s="6">
        <v>0</v>
      </c>
      <c r="AF1835" s="6">
        <v>0</v>
      </c>
      <c r="AG1835" s="6">
        <v>53.35</v>
      </c>
      <c r="AH1835" s="6">
        <v>66.73</v>
      </c>
      <c r="AI1835" s="6">
        <f t="shared" si="56"/>
        <v>13.380000000000003</v>
      </c>
      <c r="AJ1835" s="5">
        <f t="shared" si="57"/>
        <v>0.20050951595983818</v>
      </c>
    </row>
    <row r="1836" spans="1:36">
      <c r="A1836" t="s">
        <v>384</v>
      </c>
      <c r="B1836" t="s">
        <v>2121</v>
      </c>
      <c r="C1836" t="s">
        <v>99</v>
      </c>
      <c r="D1836" t="s">
        <v>63</v>
      </c>
      <c r="E1836" t="s">
        <v>55</v>
      </c>
      <c r="F1836">
        <v>0</v>
      </c>
      <c r="G1836">
        <v>2463</v>
      </c>
      <c r="H1836">
        <v>1</v>
      </c>
      <c r="I1836" t="s">
        <v>173</v>
      </c>
      <c r="J1836">
        <v>1</v>
      </c>
      <c r="K1836" s="6">
        <v>2.2599999999999998</v>
      </c>
      <c r="L1836" t="s">
        <v>174</v>
      </c>
      <c r="M1836">
        <v>0</v>
      </c>
      <c r="N1836" t="s">
        <v>182</v>
      </c>
      <c r="O1836">
        <v>3</v>
      </c>
      <c r="P1836">
        <v>0</v>
      </c>
      <c r="Q1836" s="6">
        <v>92.9</v>
      </c>
      <c r="R1836">
        <v>0</v>
      </c>
      <c r="S1836" s="6">
        <v>0</v>
      </c>
      <c r="T1836">
        <v>0</v>
      </c>
      <c r="U1836" s="6">
        <v>450</v>
      </c>
      <c r="V1836">
        <v>0</v>
      </c>
      <c r="W1836">
        <v>0</v>
      </c>
      <c r="X1836">
        <v>0</v>
      </c>
      <c r="Y1836" s="6">
        <v>49.4</v>
      </c>
      <c r="Z1836">
        <v>2E-3</v>
      </c>
      <c r="AA1836">
        <v>5.0999999999999997E-2</v>
      </c>
      <c r="AB1836">
        <v>2.5000000000000001E-2</v>
      </c>
      <c r="AC1836">
        <v>6</v>
      </c>
      <c r="AD1836" s="6">
        <v>50</v>
      </c>
      <c r="AE1836" s="6">
        <v>0</v>
      </c>
      <c r="AF1836" s="6">
        <v>0</v>
      </c>
      <c r="AG1836" s="6">
        <v>55.99</v>
      </c>
      <c r="AH1836" s="6">
        <v>71.33</v>
      </c>
      <c r="AI1836" s="6">
        <f t="shared" si="56"/>
        <v>15.339999999999996</v>
      </c>
      <c r="AJ1836" s="5">
        <f t="shared" si="57"/>
        <v>0.21505677835412865</v>
      </c>
    </row>
    <row r="1837" spans="1:36">
      <c r="A1837" t="s">
        <v>215</v>
      </c>
      <c r="B1837" t="s">
        <v>2122</v>
      </c>
      <c r="C1837" t="s">
        <v>101</v>
      </c>
      <c r="D1837" t="s">
        <v>96</v>
      </c>
      <c r="E1837" t="s">
        <v>55</v>
      </c>
      <c r="F1837">
        <v>0</v>
      </c>
      <c r="G1837">
        <v>1477</v>
      </c>
      <c r="H1837">
        <v>1</v>
      </c>
      <c r="I1837" t="s">
        <v>173</v>
      </c>
      <c r="J1837">
        <v>1</v>
      </c>
      <c r="K1837" s="6">
        <v>2.3199999999999998</v>
      </c>
      <c r="L1837" t="s">
        <v>174</v>
      </c>
      <c r="M1837">
        <v>0</v>
      </c>
      <c r="N1837" t="s">
        <v>182</v>
      </c>
      <c r="O1837">
        <v>3</v>
      </c>
      <c r="P1837">
        <v>0</v>
      </c>
      <c r="Q1837" s="6">
        <v>112.8</v>
      </c>
      <c r="R1837">
        <v>1</v>
      </c>
      <c r="S1837" s="6">
        <v>3907</v>
      </c>
      <c r="T1837">
        <v>0</v>
      </c>
      <c r="U1837" s="6">
        <v>10143</v>
      </c>
      <c r="V1837">
        <v>0</v>
      </c>
      <c r="W1837">
        <v>0</v>
      </c>
      <c r="X1837">
        <v>0</v>
      </c>
      <c r="Y1837" s="6">
        <v>45.7</v>
      </c>
      <c r="Z1837">
        <v>0</v>
      </c>
      <c r="AA1837">
        <v>9.4E-2</v>
      </c>
      <c r="AB1837">
        <v>0.109</v>
      </c>
      <c r="AC1837">
        <v>6</v>
      </c>
      <c r="AD1837" s="6">
        <v>50</v>
      </c>
      <c r="AE1837" s="6">
        <v>40</v>
      </c>
      <c r="AF1837" s="6">
        <v>0</v>
      </c>
      <c r="AG1837" s="6">
        <v>64.41</v>
      </c>
      <c r="AH1837" s="6">
        <v>82.23</v>
      </c>
      <c r="AI1837" s="6">
        <f t="shared" si="56"/>
        <v>17.820000000000007</v>
      </c>
      <c r="AJ1837" s="5">
        <f t="shared" si="57"/>
        <v>0.21670923020795338</v>
      </c>
    </row>
    <row r="1838" spans="1:36">
      <c r="A1838" t="s">
        <v>201</v>
      </c>
      <c r="B1838" t="s">
        <v>2123</v>
      </c>
      <c r="C1838" t="s">
        <v>101</v>
      </c>
      <c r="D1838" t="s">
        <v>96</v>
      </c>
      <c r="E1838" t="s">
        <v>55</v>
      </c>
      <c r="F1838">
        <v>0</v>
      </c>
      <c r="G1838">
        <v>1477</v>
      </c>
      <c r="H1838">
        <v>1</v>
      </c>
      <c r="I1838" t="s">
        <v>173</v>
      </c>
      <c r="J1838">
        <v>1</v>
      </c>
      <c r="K1838" s="6">
        <v>2.06</v>
      </c>
      <c r="L1838" t="s">
        <v>174</v>
      </c>
      <c r="M1838">
        <v>0</v>
      </c>
      <c r="N1838" t="s">
        <v>182</v>
      </c>
      <c r="O1838">
        <v>3</v>
      </c>
      <c r="P1838">
        <v>0</v>
      </c>
      <c r="Q1838" s="6">
        <v>95.1</v>
      </c>
      <c r="R1838">
        <v>1</v>
      </c>
      <c r="S1838" s="6">
        <v>1575</v>
      </c>
      <c r="T1838">
        <v>0</v>
      </c>
      <c r="U1838" s="6">
        <v>4356</v>
      </c>
      <c r="V1838">
        <v>0</v>
      </c>
      <c r="W1838">
        <v>0</v>
      </c>
      <c r="X1838">
        <v>0</v>
      </c>
      <c r="Y1838" s="6">
        <v>45.7</v>
      </c>
      <c r="Z1838">
        <v>0</v>
      </c>
      <c r="AA1838">
        <v>9.4E-2</v>
      </c>
      <c r="AB1838">
        <v>0.109</v>
      </c>
      <c r="AC1838">
        <v>6</v>
      </c>
      <c r="AD1838" s="6">
        <v>50</v>
      </c>
      <c r="AE1838" s="6">
        <v>25</v>
      </c>
      <c r="AF1838" s="6">
        <v>0</v>
      </c>
      <c r="AG1838" s="6">
        <v>64</v>
      </c>
      <c r="AH1838" s="6">
        <v>81.95</v>
      </c>
      <c r="AI1838" s="6">
        <f t="shared" si="56"/>
        <v>17.950000000000003</v>
      </c>
      <c r="AJ1838" s="5">
        <f t="shared" si="57"/>
        <v>0.21903599755948752</v>
      </c>
    </row>
    <row r="1839" spans="1:36">
      <c r="A1839" t="s">
        <v>298</v>
      </c>
      <c r="B1839" t="s">
        <v>2124</v>
      </c>
      <c r="C1839" t="s">
        <v>101</v>
      </c>
      <c r="D1839" t="s">
        <v>96</v>
      </c>
      <c r="E1839" t="s">
        <v>55</v>
      </c>
      <c r="F1839">
        <v>0</v>
      </c>
      <c r="G1839">
        <v>1477</v>
      </c>
      <c r="H1839">
        <v>1</v>
      </c>
      <c r="I1839" t="s">
        <v>173</v>
      </c>
      <c r="J1839">
        <v>1</v>
      </c>
      <c r="K1839" s="6">
        <v>0.82</v>
      </c>
      <c r="L1839" t="s">
        <v>174</v>
      </c>
      <c r="M1839">
        <v>0</v>
      </c>
      <c r="N1839" t="s">
        <v>175</v>
      </c>
      <c r="O1839">
        <v>1</v>
      </c>
      <c r="P1839">
        <v>0</v>
      </c>
      <c r="Q1839" s="6">
        <v>49.3</v>
      </c>
      <c r="R1839">
        <v>0</v>
      </c>
      <c r="S1839" s="6">
        <v>0</v>
      </c>
      <c r="T1839">
        <v>0</v>
      </c>
      <c r="U1839" s="6">
        <v>2806</v>
      </c>
      <c r="V1839">
        <v>0</v>
      </c>
      <c r="W1839">
        <v>0</v>
      </c>
      <c r="X1839">
        <v>0</v>
      </c>
      <c r="Y1839" s="6">
        <v>45.7</v>
      </c>
      <c r="Z1839">
        <v>0</v>
      </c>
      <c r="AA1839">
        <v>9.4E-2</v>
      </c>
      <c r="AB1839">
        <v>0.109</v>
      </c>
      <c r="AC1839">
        <v>6</v>
      </c>
      <c r="AD1839" s="6">
        <v>50</v>
      </c>
      <c r="AE1839" s="6">
        <v>0</v>
      </c>
      <c r="AF1839" s="6">
        <v>0</v>
      </c>
      <c r="AG1839" s="6">
        <v>43.8</v>
      </c>
      <c r="AH1839" s="6">
        <v>56.65</v>
      </c>
      <c r="AI1839" s="6">
        <f t="shared" si="56"/>
        <v>12.850000000000001</v>
      </c>
      <c r="AJ1839" s="5">
        <f t="shared" si="57"/>
        <v>0.22683142100617831</v>
      </c>
    </row>
    <row r="1840" spans="1:36">
      <c r="A1840" t="s">
        <v>194</v>
      </c>
      <c r="B1840" t="s">
        <v>2125</v>
      </c>
      <c r="C1840" t="s">
        <v>101</v>
      </c>
      <c r="D1840" t="s">
        <v>96</v>
      </c>
      <c r="E1840" t="s">
        <v>55</v>
      </c>
      <c r="F1840">
        <v>0</v>
      </c>
      <c r="G1840">
        <v>1477</v>
      </c>
      <c r="H1840">
        <v>1</v>
      </c>
      <c r="I1840" t="s">
        <v>173</v>
      </c>
      <c r="J1840">
        <v>1</v>
      </c>
      <c r="K1840" s="6">
        <v>2.06</v>
      </c>
      <c r="L1840" t="s">
        <v>174</v>
      </c>
      <c r="M1840">
        <v>0</v>
      </c>
      <c r="N1840" t="s">
        <v>187</v>
      </c>
      <c r="O1840">
        <v>2</v>
      </c>
      <c r="P1840">
        <v>1</v>
      </c>
      <c r="Q1840" s="6">
        <v>41.2</v>
      </c>
      <c r="R1840">
        <v>1</v>
      </c>
      <c r="S1840" s="6">
        <v>1267</v>
      </c>
      <c r="T1840">
        <v>0</v>
      </c>
      <c r="U1840" s="6">
        <v>3790</v>
      </c>
      <c r="V1840">
        <v>1</v>
      </c>
      <c r="W1840">
        <v>0</v>
      </c>
      <c r="X1840">
        <v>0</v>
      </c>
      <c r="Y1840" s="6">
        <v>45.7</v>
      </c>
      <c r="Z1840">
        <v>0</v>
      </c>
      <c r="AA1840">
        <v>9.4E-2</v>
      </c>
      <c r="AB1840">
        <v>0.109</v>
      </c>
      <c r="AC1840">
        <v>6</v>
      </c>
      <c r="AD1840" s="6">
        <v>50</v>
      </c>
      <c r="AE1840" s="6">
        <v>25</v>
      </c>
      <c r="AF1840" s="6">
        <v>0</v>
      </c>
      <c r="AG1840" s="6">
        <v>141.38999999999999</v>
      </c>
      <c r="AH1840" s="6">
        <v>178.32</v>
      </c>
      <c r="AI1840" s="6">
        <f t="shared" si="56"/>
        <v>36.930000000000007</v>
      </c>
      <c r="AJ1840" s="5">
        <f t="shared" si="57"/>
        <v>0.20709959623149399</v>
      </c>
    </row>
    <row r="1841" spans="1:36">
      <c r="A1841" t="s">
        <v>190</v>
      </c>
      <c r="B1841" t="s">
        <v>2126</v>
      </c>
      <c r="C1841" t="s">
        <v>101</v>
      </c>
      <c r="D1841" t="s">
        <v>96</v>
      </c>
      <c r="E1841" t="s">
        <v>55</v>
      </c>
      <c r="F1841">
        <v>0</v>
      </c>
      <c r="G1841">
        <v>1477</v>
      </c>
      <c r="H1841">
        <v>1</v>
      </c>
      <c r="I1841" t="s">
        <v>181</v>
      </c>
      <c r="J1841">
        <v>3</v>
      </c>
      <c r="K1841" s="6">
        <v>9.48</v>
      </c>
      <c r="L1841" t="s">
        <v>174</v>
      </c>
      <c r="M1841">
        <v>0</v>
      </c>
      <c r="N1841" t="s">
        <v>175</v>
      </c>
      <c r="O1841">
        <v>1</v>
      </c>
      <c r="P1841">
        <v>0</v>
      </c>
      <c r="Q1841" s="6">
        <v>43</v>
      </c>
      <c r="R1841">
        <v>1</v>
      </c>
      <c r="S1841" s="6">
        <v>2235</v>
      </c>
      <c r="T1841">
        <v>0</v>
      </c>
      <c r="U1841" s="6">
        <v>2012</v>
      </c>
      <c r="V1841">
        <v>0</v>
      </c>
      <c r="W1841">
        <v>0</v>
      </c>
      <c r="X1841">
        <v>0</v>
      </c>
      <c r="Y1841" s="6">
        <v>45.7</v>
      </c>
      <c r="Z1841">
        <v>0</v>
      </c>
      <c r="AA1841">
        <v>9.4E-2</v>
      </c>
      <c r="AB1841">
        <v>0.109</v>
      </c>
      <c r="AC1841">
        <v>6</v>
      </c>
      <c r="AD1841" s="6">
        <v>60</v>
      </c>
      <c r="AE1841" s="6">
        <v>40</v>
      </c>
      <c r="AF1841" s="6">
        <v>0</v>
      </c>
      <c r="AG1841" s="6">
        <v>96.28</v>
      </c>
      <c r="AH1841" s="6">
        <v>122.61</v>
      </c>
      <c r="AI1841" s="6">
        <f t="shared" si="56"/>
        <v>26.33</v>
      </c>
      <c r="AJ1841" s="5">
        <f t="shared" si="57"/>
        <v>0.21474594241905226</v>
      </c>
    </row>
    <row r="1842" spans="1:36">
      <c r="A1842" t="s">
        <v>303</v>
      </c>
      <c r="B1842" t="s">
        <v>2127</v>
      </c>
      <c r="C1842" t="s">
        <v>101</v>
      </c>
      <c r="D1842" t="s">
        <v>96</v>
      </c>
      <c r="E1842" t="s">
        <v>55</v>
      </c>
      <c r="F1842">
        <v>0</v>
      </c>
      <c r="G1842">
        <v>1477</v>
      </c>
      <c r="H1842">
        <v>1</v>
      </c>
      <c r="I1842" t="s">
        <v>173</v>
      </c>
      <c r="J1842">
        <v>1</v>
      </c>
      <c r="K1842" s="6">
        <v>1.72</v>
      </c>
      <c r="L1842" t="s">
        <v>174</v>
      </c>
      <c r="M1842">
        <v>0</v>
      </c>
      <c r="N1842" t="s">
        <v>175</v>
      </c>
      <c r="O1842">
        <v>1</v>
      </c>
      <c r="P1842">
        <v>0</v>
      </c>
      <c r="Q1842" s="6">
        <v>25.8</v>
      </c>
      <c r="R1842">
        <v>1</v>
      </c>
      <c r="S1842" s="6">
        <v>1465</v>
      </c>
      <c r="T1842">
        <v>0</v>
      </c>
      <c r="U1842" s="6">
        <v>6374</v>
      </c>
      <c r="V1842">
        <v>0</v>
      </c>
      <c r="W1842">
        <v>0</v>
      </c>
      <c r="X1842">
        <v>0</v>
      </c>
      <c r="Y1842" s="6">
        <v>45.7</v>
      </c>
      <c r="Z1842">
        <v>0</v>
      </c>
      <c r="AA1842">
        <v>9.4E-2</v>
      </c>
      <c r="AB1842">
        <v>0.109</v>
      </c>
      <c r="AC1842">
        <v>6</v>
      </c>
      <c r="AD1842" s="6">
        <v>50</v>
      </c>
      <c r="AE1842" s="6">
        <v>25</v>
      </c>
      <c r="AF1842" s="6">
        <v>0</v>
      </c>
      <c r="AG1842" s="6">
        <v>47.26</v>
      </c>
      <c r="AH1842" s="6">
        <v>62.74</v>
      </c>
      <c r="AI1842" s="6">
        <f t="shared" si="56"/>
        <v>15.480000000000004</v>
      </c>
      <c r="AJ1842" s="5">
        <f t="shared" si="57"/>
        <v>0.24673254701944539</v>
      </c>
    </row>
    <row r="1843" spans="1:36">
      <c r="A1843" t="s">
        <v>365</v>
      </c>
      <c r="B1843" t="s">
        <v>2128</v>
      </c>
      <c r="C1843" t="s">
        <v>101</v>
      </c>
      <c r="D1843" t="s">
        <v>96</v>
      </c>
      <c r="E1843" t="s">
        <v>55</v>
      </c>
      <c r="F1843">
        <v>0</v>
      </c>
      <c r="G1843">
        <v>1477</v>
      </c>
      <c r="H1843">
        <v>1</v>
      </c>
      <c r="I1843" t="s">
        <v>181</v>
      </c>
      <c r="J1843">
        <v>3</v>
      </c>
      <c r="K1843" s="6">
        <v>11.51</v>
      </c>
      <c r="L1843" t="s">
        <v>174</v>
      </c>
      <c r="M1843">
        <v>0</v>
      </c>
      <c r="N1843" t="s">
        <v>175</v>
      </c>
      <c r="O1843">
        <v>1</v>
      </c>
      <c r="P1843">
        <v>1</v>
      </c>
      <c r="Q1843" s="6">
        <v>37.700000000000003</v>
      </c>
      <c r="R1843">
        <v>1</v>
      </c>
      <c r="S1843" s="6">
        <v>327</v>
      </c>
      <c r="T1843">
        <v>0</v>
      </c>
      <c r="U1843" s="6">
        <v>3506</v>
      </c>
      <c r="V1843">
        <v>0</v>
      </c>
      <c r="W1843">
        <v>0</v>
      </c>
      <c r="X1843">
        <v>0</v>
      </c>
      <c r="Y1843" s="6">
        <v>45.7</v>
      </c>
      <c r="Z1843">
        <v>0</v>
      </c>
      <c r="AA1843">
        <v>9.4E-2</v>
      </c>
      <c r="AB1843">
        <v>0.109</v>
      </c>
      <c r="AC1843">
        <v>6</v>
      </c>
      <c r="AD1843" s="6">
        <v>60</v>
      </c>
      <c r="AE1843" s="6">
        <v>25</v>
      </c>
      <c r="AF1843" s="6">
        <v>0</v>
      </c>
      <c r="AG1843" s="6">
        <v>122.83</v>
      </c>
      <c r="AH1843" s="6">
        <v>158.34</v>
      </c>
      <c r="AI1843" s="6">
        <f t="shared" si="56"/>
        <v>35.510000000000005</v>
      </c>
      <c r="AJ1843" s="5">
        <f t="shared" si="57"/>
        <v>0.22426424150562085</v>
      </c>
    </row>
    <row r="1844" spans="1:36">
      <c r="A1844" t="s">
        <v>218</v>
      </c>
      <c r="B1844" t="s">
        <v>2129</v>
      </c>
      <c r="C1844" t="s">
        <v>101</v>
      </c>
      <c r="D1844" t="s">
        <v>96</v>
      </c>
      <c r="E1844" t="s">
        <v>55</v>
      </c>
      <c r="F1844">
        <v>0</v>
      </c>
      <c r="G1844">
        <v>1477</v>
      </c>
      <c r="H1844">
        <v>1</v>
      </c>
      <c r="I1844" t="s">
        <v>220</v>
      </c>
      <c r="J1844">
        <v>2</v>
      </c>
      <c r="K1844" s="6">
        <v>3.3</v>
      </c>
      <c r="L1844" t="s">
        <v>174</v>
      </c>
      <c r="M1844">
        <v>0</v>
      </c>
      <c r="N1844" t="s">
        <v>175</v>
      </c>
      <c r="O1844">
        <v>1</v>
      </c>
      <c r="P1844">
        <v>0</v>
      </c>
      <c r="Q1844" s="6">
        <v>43.8</v>
      </c>
      <c r="R1844">
        <v>1</v>
      </c>
      <c r="S1844" s="6">
        <v>1405</v>
      </c>
      <c r="T1844">
        <v>0</v>
      </c>
      <c r="U1844" s="6">
        <v>5211</v>
      </c>
      <c r="V1844">
        <v>0</v>
      </c>
      <c r="W1844">
        <v>0</v>
      </c>
      <c r="X1844">
        <v>0</v>
      </c>
      <c r="Y1844" s="6">
        <v>45.7</v>
      </c>
      <c r="Z1844">
        <v>0</v>
      </c>
      <c r="AA1844">
        <v>9.4E-2</v>
      </c>
      <c r="AB1844">
        <v>0.109</v>
      </c>
      <c r="AC1844">
        <v>6</v>
      </c>
      <c r="AD1844" s="6">
        <v>50</v>
      </c>
      <c r="AE1844" s="6">
        <v>25</v>
      </c>
      <c r="AF1844" s="6">
        <v>0</v>
      </c>
      <c r="AG1844" s="6">
        <v>69.58</v>
      </c>
      <c r="AH1844" s="6">
        <v>87.56</v>
      </c>
      <c r="AI1844" s="6">
        <f t="shared" si="56"/>
        <v>17.980000000000004</v>
      </c>
      <c r="AJ1844" s="5">
        <f t="shared" si="57"/>
        <v>0.20534490634993152</v>
      </c>
    </row>
    <row r="1845" spans="1:36">
      <c r="A1845" t="s">
        <v>403</v>
      </c>
      <c r="B1845" t="s">
        <v>2130</v>
      </c>
      <c r="C1845" t="s">
        <v>101</v>
      </c>
      <c r="D1845" t="s">
        <v>96</v>
      </c>
      <c r="E1845" t="s">
        <v>55</v>
      </c>
      <c r="F1845">
        <v>0</v>
      </c>
      <c r="G1845">
        <v>1477</v>
      </c>
      <c r="H1845">
        <v>1</v>
      </c>
      <c r="I1845" t="s">
        <v>181</v>
      </c>
      <c r="J1845">
        <v>3</v>
      </c>
      <c r="K1845" s="6">
        <v>6.81</v>
      </c>
      <c r="L1845" t="s">
        <v>174</v>
      </c>
      <c r="M1845">
        <v>0</v>
      </c>
      <c r="N1845" t="s">
        <v>175</v>
      </c>
      <c r="O1845">
        <v>1</v>
      </c>
      <c r="P1845">
        <v>0</v>
      </c>
      <c r="Q1845" s="6">
        <v>42.1</v>
      </c>
      <c r="R1845">
        <v>0</v>
      </c>
      <c r="S1845" s="6">
        <v>0</v>
      </c>
      <c r="T1845">
        <v>0</v>
      </c>
      <c r="U1845" s="6">
        <v>4581</v>
      </c>
      <c r="V1845">
        <v>1</v>
      </c>
      <c r="W1845">
        <v>0</v>
      </c>
      <c r="X1845">
        <v>0</v>
      </c>
      <c r="Y1845" s="6">
        <v>45.7</v>
      </c>
      <c r="Z1845">
        <v>0</v>
      </c>
      <c r="AA1845">
        <v>9.4E-2</v>
      </c>
      <c r="AB1845">
        <v>0.109</v>
      </c>
      <c r="AC1845">
        <v>6</v>
      </c>
      <c r="AD1845" s="6">
        <v>60</v>
      </c>
      <c r="AE1845" s="6">
        <v>0</v>
      </c>
      <c r="AF1845" s="6">
        <v>0</v>
      </c>
      <c r="AG1845" s="6">
        <v>114.49</v>
      </c>
      <c r="AH1845" s="6">
        <v>147.31</v>
      </c>
      <c r="AI1845" s="6">
        <f t="shared" si="56"/>
        <v>32.820000000000007</v>
      </c>
      <c r="AJ1845" s="5">
        <f t="shared" si="57"/>
        <v>0.22279546534519046</v>
      </c>
    </row>
    <row r="1846" spans="1:36">
      <c r="A1846" t="s">
        <v>212</v>
      </c>
      <c r="B1846" t="s">
        <v>2131</v>
      </c>
      <c r="C1846" t="s">
        <v>101</v>
      </c>
      <c r="D1846" t="s">
        <v>96</v>
      </c>
      <c r="E1846" t="s">
        <v>55</v>
      </c>
      <c r="F1846">
        <v>0</v>
      </c>
      <c r="G1846">
        <v>1477</v>
      </c>
      <c r="H1846">
        <v>1</v>
      </c>
      <c r="I1846" t="s">
        <v>181</v>
      </c>
      <c r="J1846">
        <v>3</v>
      </c>
      <c r="K1846" s="6">
        <v>8.84</v>
      </c>
      <c r="L1846" t="s">
        <v>174</v>
      </c>
      <c r="M1846">
        <v>0</v>
      </c>
      <c r="N1846" t="s">
        <v>175</v>
      </c>
      <c r="O1846">
        <v>1</v>
      </c>
      <c r="P1846">
        <v>1</v>
      </c>
      <c r="Q1846" s="6">
        <v>32.9</v>
      </c>
      <c r="R1846">
        <v>1</v>
      </c>
      <c r="S1846" s="6">
        <v>3100</v>
      </c>
      <c r="T1846">
        <v>0</v>
      </c>
      <c r="U1846" s="6">
        <v>7350</v>
      </c>
      <c r="V1846">
        <v>0</v>
      </c>
      <c r="W1846">
        <v>0</v>
      </c>
      <c r="X1846">
        <v>0</v>
      </c>
      <c r="Y1846" s="6">
        <v>45.7</v>
      </c>
      <c r="Z1846">
        <v>0</v>
      </c>
      <c r="AA1846">
        <v>9.4E-2</v>
      </c>
      <c r="AB1846">
        <v>0.109</v>
      </c>
      <c r="AC1846">
        <v>6</v>
      </c>
      <c r="AD1846" s="6">
        <v>60</v>
      </c>
      <c r="AE1846" s="6">
        <v>40</v>
      </c>
      <c r="AF1846" s="6">
        <v>0</v>
      </c>
      <c r="AG1846" s="6">
        <v>117.85</v>
      </c>
      <c r="AH1846" s="6">
        <v>151.94999999999999</v>
      </c>
      <c r="AI1846" s="6">
        <f t="shared" si="56"/>
        <v>34.099999999999994</v>
      </c>
      <c r="AJ1846" s="5">
        <f t="shared" si="57"/>
        <v>0.22441592629154325</v>
      </c>
    </row>
    <row r="1847" spans="1:36">
      <c r="A1847" t="s">
        <v>245</v>
      </c>
      <c r="B1847" t="s">
        <v>2132</v>
      </c>
      <c r="C1847" t="s">
        <v>101</v>
      </c>
      <c r="D1847" t="s">
        <v>96</v>
      </c>
      <c r="E1847" t="s">
        <v>55</v>
      </c>
      <c r="F1847">
        <v>0</v>
      </c>
      <c r="G1847">
        <v>1477</v>
      </c>
      <c r="H1847">
        <v>1</v>
      </c>
      <c r="I1847" t="s">
        <v>173</v>
      </c>
      <c r="J1847">
        <v>1</v>
      </c>
      <c r="K1847" s="6">
        <v>2.2999999999999998</v>
      </c>
      <c r="L1847" t="s">
        <v>174</v>
      </c>
      <c r="M1847">
        <v>0</v>
      </c>
      <c r="N1847" t="s">
        <v>182</v>
      </c>
      <c r="O1847">
        <v>3</v>
      </c>
      <c r="P1847">
        <v>0</v>
      </c>
      <c r="Q1847" s="6">
        <v>102</v>
      </c>
      <c r="R1847">
        <v>1</v>
      </c>
      <c r="S1847" s="6">
        <v>5349</v>
      </c>
      <c r="T1847">
        <v>0</v>
      </c>
      <c r="U1847" s="6">
        <v>2964</v>
      </c>
      <c r="V1847">
        <v>0</v>
      </c>
      <c r="W1847">
        <v>0</v>
      </c>
      <c r="X1847">
        <v>0</v>
      </c>
      <c r="Y1847" s="6">
        <v>45.7</v>
      </c>
      <c r="Z1847">
        <v>0</v>
      </c>
      <c r="AA1847">
        <v>9.4E-2</v>
      </c>
      <c r="AB1847">
        <v>0.109</v>
      </c>
      <c r="AC1847">
        <v>6</v>
      </c>
      <c r="AD1847" s="6">
        <v>50</v>
      </c>
      <c r="AE1847" s="6">
        <v>50</v>
      </c>
      <c r="AF1847" s="6">
        <v>0</v>
      </c>
      <c r="AG1847" s="6">
        <v>65.209999999999994</v>
      </c>
      <c r="AH1847" s="6">
        <v>85.87</v>
      </c>
      <c r="AI1847" s="6">
        <f t="shared" si="56"/>
        <v>20.660000000000011</v>
      </c>
      <c r="AJ1847" s="5">
        <f t="shared" si="57"/>
        <v>0.24059625014556899</v>
      </c>
    </row>
    <row r="1848" spans="1:36">
      <c r="A1848" t="s">
        <v>253</v>
      </c>
      <c r="B1848" t="s">
        <v>2133</v>
      </c>
      <c r="C1848" t="s">
        <v>101</v>
      </c>
      <c r="D1848" t="s">
        <v>96</v>
      </c>
      <c r="E1848" t="s">
        <v>55</v>
      </c>
      <c r="F1848">
        <v>0</v>
      </c>
      <c r="G1848">
        <v>1477</v>
      </c>
      <c r="H1848">
        <v>1</v>
      </c>
      <c r="I1848" t="s">
        <v>178</v>
      </c>
      <c r="J1848">
        <v>4</v>
      </c>
      <c r="K1848" s="6">
        <v>11</v>
      </c>
      <c r="L1848" t="s">
        <v>174</v>
      </c>
      <c r="M1848">
        <v>0</v>
      </c>
      <c r="N1848" t="s">
        <v>187</v>
      </c>
      <c r="O1848">
        <v>2</v>
      </c>
      <c r="P1848">
        <v>0</v>
      </c>
      <c r="Q1848" s="6">
        <v>56.7</v>
      </c>
      <c r="R1848">
        <v>0</v>
      </c>
      <c r="S1848" s="6">
        <v>0</v>
      </c>
      <c r="T1848">
        <v>0</v>
      </c>
      <c r="U1848" s="6">
        <v>1317</v>
      </c>
      <c r="V1848">
        <v>0</v>
      </c>
      <c r="W1848">
        <v>0</v>
      </c>
      <c r="X1848">
        <v>0</v>
      </c>
      <c r="Y1848" s="6">
        <v>45.7</v>
      </c>
      <c r="Z1848">
        <v>0</v>
      </c>
      <c r="AA1848">
        <v>9.4E-2</v>
      </c>
      <c r="AB1848">
        <v>0.109</v>
      </c>
      <c r="AC1848">
        <v>6</v>
      </c>
      <c r="AD1848" s="6">
        <v>65</v>
      </c>
      <c r="AE1848" s="6">
        <v>0</v>
      </c>
      <c r="AF1848" s="6">
        <v>0</v>
      </c>
      <c r="AG1848" s="6">
        <v>124.72</v>
      </c>
      <c r="AH1848" s="6">
        <v>160.01</v>
      </c>
      <c r="AI1848" s="6">
        <f t="shared" si="56"/>
        <v>35.289999999999992</v>
      </c>
      <c r="AJ1848" s="5">
        <f t="shared" si="57"/>
        <v>0.22054871570526838</v>
      </c>
    </row>
    <row r="1849" spans="1:36">
      <c r="A1849" t="s">
        <v>225</v>
      </c>
      <c r="B1849" t="s">
        <v>2134</v>
      </c>
      <c r="C1849" t="s">
        <v>101</v>
      </c>
      <c r="D1849" t="s">
        <v>96</v>
      </c>
      <c r="E1849" t="s">
        <v>55</v>
      </c>
      <c r="F1849">
        <v>0</v>
      </c>
      <c r="G1849">
        <v>1477</v>
      </c>
      <c r="H1849">
        <v>1</v>
      </c>
      <c r="I1849" t="s">
        <v>173</v>
      </c>
      <c r="J1849">
        <v>1</v>
      </c>
      <c r="K1849" s="6">
        <v>2.09</v>
      </c>
      <c r="L1849" t="s">
        <v>174</v>
      </c>
      <c r="M1849">
        <v>0</v>
      </c>
      <c r="N1849" t="s">
        <v>187</v>
      </c>
      <c r="O1849">
        <v>2</v>
      </c>
      <c r="P1849">
        <v>0</v>
      </c>
      <c r="Q1849" s="6">
        <v>49.3</v>
      </c>
      <c r="R1849">
        <v>0</v>
      </c>
      <c r="S1849" s="6">
        <v>0</v>
      </c>
      <c r="T1849">
        <v>0</v>
      </c>
      <c r="U1849" s="6">
        <v>3697</v>
      </c>
      <c r="V1849">
        <v>0</v>
      </c>
      <c r="W1849">
        <v>0</v>
      </c>
      <c r="X1849">
        <v>0</v>
      </c>
      <c r="Y1849" s="6">
        <v>45.7</v>
      </c>
      <c r="Z1849">
        <v>0</v>
      </c>
      <c r="AA1849">
        <v>9.4E-2</v>
      </c>
      <c r="AB1849">
        <v>0.109</v>
      </c>
      <c r="AC1849">
        <v>6</v>
      </c>
      <c r="AD1849" s="6">
        <v>50</v>
      </c>
      <c r="AE1849" s="6">
        <v>0</v>
      </c>
      <c r="AF1849" s="6">
        <v>0</v>
      </c>
      <c r="AG1849" s="6">
        <v>49.04</v>
      </c>
      <c r="AH1849" s="6">
        <v>65.069999999999993</v>
      </c>
      <c r="AI1849" s="6">
        <f t="shared" si="56"/>
        <v>16.029999999999994</v>
      </c>
      <c r="AJ1849" s="5">
        <f t="shared" si="57"/>
        <v>0.2463500845243583</v>
      </c>
    </row>
    <row r="1850" spans="1:36">
      <c r="A1850" t="s">
        <v>288</v>
      </c>
      <c r="B1850" t="s">
        <v>2135</v>
      </c>
      <c r="C1850" t="s">
        <v>101</v>
      </c>
      <c r="D1850" t="s">
        <v>96</v>
      </c>
      <c r="E1850" t="s">
        <v>55</v>
      </c>
      <c r="F1850">
        <v>0</v>
      </c>
      <c r="G1850">
        <v>1477</v>
      </c>
      <c r="H1850">
        <v>1</v>
      </c>
      <c r="I1850" t="s">
        <v>220</v>
      </c>
      <c r="J1850">
        <v>2</v>
      </c>
      <c r="K1850" s="6">
        <v>0.55000000000000004</v>
      </c>
      <c r="L1850" t="s">
        <v>174</v>
      </c>
      <c r="M1850">
        <v>0</v>
      </c>
      <c r="N1850" t="s">
        <v>272</v>
      </c>
      <c r="O1850">
        <v>5</v>
      </c>
      <c r="P1850">
        <v>1</v>
      </c>
      <c r="Q1850" s="6">
        <v>200</v>
      </c>
      <c r="R1850">
        <v>0</v>
      </c>
      <c r="S1850" s="6">
        <v>0</v>
      </c>
      <c r="T1850">
        <v>0</v>
      </c>
      <c r="U1850" s="6">
        <v>734</v>
      </c>
      <c r="V1850">
        <v>0</v>
      </c>
      <c r="W1850">
        <v>0</v>
      </c>
      <c r="X1850">
        <v>0</v>
      </c>
      <c r="Y1850" s="6">
        <v>45.7</v>
      </c>
      <c r="Z1850">
        <v>0</v>
      </c>
      <c r="AA1850">
        <v>9.4E-2</v>
      </c>
      <c r="AB1850">
        <v>0.109</v>
      </c>
      <c r="AC1850">
        <v>6</v>
      </c>
      <c r="AD1850" s="6">
        <v>50</v>
      </c>
      <c r="AE1850" s="6">
        <v>0</v>
      </c>
      <c r="AF1850" s="6">
        <v>0</v>
      </c>
      <c r="AG1850" s="6">
        <v>144.99</v>
      </c>
      <c r="AH1850" s="6">
        <v>181.86</v>
      </c>
      <c r="AI1850" s="6">
        <f t="shared" si="56"/>
        <v>36.870000000000005</v>
      </c>
      <c r="AJ1850" s="5">
        <f t="shared" si="57"/>
        <v>0.20273837017485979</v>
      </c>
    </row>
    <row r="1851" spans="1:36">
      <c r="A1851" t="s">
        <v>401</v>
      </c>
      <c r="B1851" t="s">
        <v>2136</v>
      </c>
      <c r="C1851" t="s">
        <v>101</v>
      </c>
      <c r="D1851" t="s">
        <v>96</v>
      </c>
      <c r="E1851" t="s">
        <v>55</v>
      </c>
      <c r="F1851">
        <v>0</v>
      </c>
      <c r="G1851">
        <v>1477</v>
      </c>
      <c r="H1851">
        <v>1</v>
      </c>
      <c r="I1851" t="s">
        <v>173</v>
      </c>
      <c r="J1851">
        <v>1</v>
      </c>
      <c r="K1851" s="6">
        <v>2.21</v>
      </c>
      <c r="L1851" t="s">
        <v>174</v>
      </c>
      <c r="M1851">
        <v>0</v>
      </c>
      <c r="N1851" t="s">
        <v>187</v>
      </c>
      <c r="O1851">
        <v>2</v>
      </c>
      <c r="P1851">
        <v>0</v>
      </c>
      <c r="Q1851" s="6">
        <v>44</v>
      </c>
      <c r="R1851">
        <v>0</v>
      </c>
      <c r="S1851" s="6">
        <v>0</v>
      </c>
      <c r="T1851">
        <v>0</v>
      </c>
      <c r="U1851" s="6">
        <v>6068</v>
      </c>
      <c r="V1851">
        <v>0</v>
      </c>
      <c r="W1851">
        <v>0</v>
      </c>
      <c r="X1851">
        <v>0</v>
      </c>
      <c r="Y1851" s="6">
        <v>45.7</v>
      </c>
      <c r="Z1851">
        <v>0</v>
      </c>
      <c r="AA1851">
        <v>9.4E-2</v>
      </c>
      <c r="AB1851">
        <v>0.109</v>
      </c>
      <c r="AC1851">
        <v>6</v>
      </c>
      <c r="AD1851" s="6">
        <v>50</v>
      </c>
      <c r="AE1851" s="6">
        <v>0</v>
      </c>
      <c r="AF1851" s="6">
        <v>0</v>
      </c>
      <c r="AG1851" s="6">
        <v>50.93</v>
      </c>
      <c r="AH1851" s="6">
        <v>66.05</v>
      </c>
      <c r="AI1851" s="6">
        <f t="shared" si="56"/>
        <v>15.119999999999997</v>
      </c>
      <c r="AJ1851" s="5">
        <f t="shared" si="57"/>
        <v>0.22891748675246024</v>
      </c>
    </row>
    <row r="1852" spans="1:36">
      <c r="A1852" t="s">
        <v>457</v>
      </c>
      <c r="B1852" t="s">
        <v>2137</v>
      </c>
      <c r="C1852" t="s">
        <v>101</v>
      </c>
      <c r="D1852" t="s">
        <v>96</v>
      </c>
      <c r="E1852" t="s">
        <v>55</v>
      </c>
      <c r="F1852">
        <v>0</v>
      </c>
      <c r="G1852">
        <v>1477</v>
      </c>
      <c r="H1852">
        <v>1</v>
      </c>
      <c r="I1852" t="s">
        <v>181</v>
      </c>
      <c r="J1852">
        <v>3</v>
      </c>
      <c r="K1852" s="6">
        <v>7.58</v>
      </c>
      <c r="L1852" t="s">
        <v>174</v>
      </c>
      <c r="M1852">
        <v>0</v>
      </c>
      <c r="N1852" t="s">
        <v>182</v>
      </c>
      <c r="O1852">
        <v>3</v>
      </c>
      <c r="P1852">
        <v>0</v>
      </c>
      <c r="Q1852" s="6">
        <v>73.5</v>
      </c>
      <c r="R1852">
        <v>0</v>
      </c>
      <c r="S1852" s="6">
        <v>0</v>
      </c>
      <c r="T1852">
        <v>0</v>
      </c>
      <c r="U1852" s="6">
        <v>3922</v>
      </c>
      <c r="V1852">
        <v>0</v>
      </c>
      <c r="W1852">
        <v>0</v>
      </c>
      <c r="X1852">
        <v>0</v>
      </c>
      <c r="Y1852" s="6">
        <v>45.7</v>
      </c>
      <c r="Z1852">
        <v>0</v>
      </c>
      <c r="AA1852">
        <v>9.4E-2</v>
      </c>
      <c r="AB1852">
        <v>0.109</v>
      </c>
      <c r="AC1852">
        <v>6</v>
      </c>
      <c r="AD1852" s="6">
        <v>60</v>
      </c>
      <c r="AE1852" s="6">
        <v>0</v>
      </c>
      <c r="AF1852" s="6">
        <v>0</v>
      </c>
      <c r="AG1852" s="6">
        <v>86.11</v>
      </c>
      <c r="AH1852" s="6">
        <v>108.4</v>
      </c>
      <c r="AI1852" s="6">
        <f t="shared" si="56"/>
        <v>22.290000000000006</v>
      </c>
      <c r="AJ1852" s="5">
        <f t="shared" si="57"/>
        <v>0.20562730627306278</v>
      </c>
    </row>
    <row r="1853" spans="1:36">
      <c r="A1853" t="s">
        <v>521</v>
      </c>
      <c r="B1853" t="s">
        <v>2138</v>
      </c>
      <c r="C1853" t="s">
        <v>101</v>
      </c>
      <c r="D1853" t="s">
        <v>96</v>
      </c>
      <c r="E1853" t="s">
        <v>55</v>
      </c>
      <c r="F1853">
        <v>0</v>
      </c>
      <c r="G1853">
        <v>1477</v>
      </c>
      <c r="H1853">
        <v>1</v>
      </c>
      <c r="I1853" t="s">
        <v>173</v>
      </c>
      <c r="J1853">
        <v>1</v>
      </c>
      <c r="K1853" s="6">
        <v>2.44</v>
      </c>
      <c r="L1853" t="s">
        <v>174</v>
      </c>
      <c r="M1853">
        <v>0</v>
      </c>
      <c r="N1853" t="s">
        <v>182</v>
      </c>
      <c r="O1853">
        <v>3</v>
      </c>
      <c r="P1853">
        <v>0</v>
      </c>
      <c r="Q1853" s="6">
        <v>94.4</v>
      </c>
      <c r="R1853">
        <v>0</v>
      </c>
      <c r="S1853" s="6">
        <v>0</v>
      </c>
      <c r="T1853">
        <v>0</v>
      </c>
      <c r="U1853" s="6">
        <v>2194</v>
      </c>
      <c r="V1853">
        <v>1</v>
      </c>
      <c r="W1853">
        <v>0</v>
      </c>
      <c r="X1853">
        <v>0</v>
      </c>
      <c r="Y1853" s="6">
        <v>45.7</v>
      </c>
      <c r="Z1853">
        <v>0</v>
      </c>
      <c r="AA1853">
        <v>9.4E-2</v>
      </c>
      <c r="AB1853">
        <v>0.109</v>
      </c>
      <c r="AC1853">
        <v>6</v>
      </c>
      <c r="AD1853" s="6">
        <v>50</v>
      </c>
      <c r="AE1853" s="6">
        <v>0</v>
      </c>
      <c r="AF1853" s="6">
        <v>0</v>
      </c>
      <c r="AG1853" s="6">
        <v>107.74</v>
      </c>
      <c r="AH1853" s="6">
        <v>136.94999999999999</v>
      </c>
      <c r="AI1853" s="6">
        <f t="shared" si="56"/>
        <v>29.209999999999994</v>
      </c>
      <c r="AJ1853" s="5">
        <f t="shared" si="57"/>
        <v>0.21328952172325663</v>
      </c>
    </row>
    <row r="1854" spans="1:36">
      <c r="A1854" t="s">
        <v>277</v>
      </c>
      <c r="B1854" t="s">
        <v>2139</v>
      </c>
      <c r="C1854" t="s">
        <v>101</v>
      </c>
      <c r="D1854" t="s">
        <v>96</v>
      </c>
      <c r="E1854" t="s">
        <v>55</v>
      </c>
      <c r="F1854">
        <v>0</v>
      </c>
      <c r="G1854">
        <v>1477</v>
      </c>
      <c r="H1854">
        <v>1</v>
      </c>
      <c r="I1854" t="s">
        <v>220</v>
      </c>
      <c r="J1854">
        <v>2</v>
      </c>
      <c r="K1854" s="6">
        <v>2.59</v>
      </c>
      <c r="L1854" t="s">
        <v>174</v>
      </c>
      <c r="M1854">
        <v>0</v>
      </c>
      <c r="N1854" t="s">
        <v>175</v>
      </c>
      <c r="O1854">
        <v>1</v>
      </c>
      <c r="P1854">
        <v>0</v>
      </c>
      <c r="Q1854" s="6">
        <v>44.2</v>
      </c>
      <c r="R1854">
        <v>0</v>
      </c>
      <c r="S1854" s="6">
        <v>0</v>
      </c>
      <c r="T1854">
        <v>0</v>
      </c>
      <c r="U1854" s="6">
        <v>1237</v>
      </c>
      <c r="V1854">
        <v>0</v>
      </c>
      <c r="W1854">
        <v>0</v>
      </c>
      <c r="X1854">
        <v>0</v>
      </c>
      <c r="Y1854" s="6">
        <v>45.7</v>
      </c>
      <c r="Z1854">
        <v>0</v>
      </c>
      <c r="AA1854">
        <v>9.4E-2</v>
      </c>
      <c r="AB1854">
        <v>0.109</v>
      </c>
      <c r="AC1854">
        <v>6</v>
      </c>
      <c r="AD1854" s="6">
        <v>50</v>
      </c>
      <c r="AE1854" s="6">
        <v>0</v>
      </c>
      <c r="AF1854" s="6">
        <v>0</v>
      </c>
      <c r="AG1854" s="6">
        <v>58.77</v>
      </c>
      <c r="AH1854" s="6">
        <v>76.78</v>
      </c>
      <c r="AI1854" s="6">
        <f t="shared" si="56"/>
        <v>18.009999999999998</v>
      </c>
      <c r="AJ1854" s="5">
        <f t="shared" si="57"/>
        <v>0.23456629330554829</v>
      </c>
    </row>
    <row r="1855" spans="1:36">
      <c r="A1855" t="s">
        <v>266</v>
      </c>
      <c r="B1855" t="s">
        <v>2140</v>
      </c>
      <c r="C1855" t="s">
        <v>101</v>
      </c>
      <c r="D1855" t="s">
        <v>96</v>
      </c>
      <c r="E1855" t="s">
        <v>55</v>
      </c>
      <c r="F1855">
        <v>0</v>
      </c>
      <c r="G1855">
        <v>1477</v>
      </c>
      <c r="H1855">
        <v>1</v>
      </c>
      <c r="I1855" t="s">
        <v>173</v>
      </c>
      <c r="J1855">
        <v>1</v>
      </c>
      <c r="K1855" s="6">
        <v>1.69</v>
      </c>
      <c r="L1855" t="s">
        <v>174</v>
      </c>
      <c r="M1855">
        <v>0</v>
      </c>
      <c r="N1855" t="s">
        <v>187</v>
      </c>
      <c r="O1855">
        <v>2</v>
      </c>
      <c r="P1855">
        <v>0</v>
      </c>
      <c r="Q1855" s="6">
        <v>35.200000000000003</v>
      </c>
      <c r="R1855">
        <v>0</v>
      </c>
      <c r="S1855" s="6">
        <v>0</v>
      </c>
      <c r="T1855">
        <v>0</v>
      </c>
      <c r="U1855" s="6">
        <v>3075</v>
      </c>
      <c r="V1855">
        <v>0</v>
      </c>
      <c r="W1855">
        <v>0</v>
      </c>
      <c r="X1855">
        <v>0</v>
      </c>
      <c r="Y1855" s="6">
        <v>45.7</v>
      </c>
      <c r="Z1855">
        <v>0</v>
      </c>
      <c r="AA1855">
        <v>9.4E-2</v>
      </c>
      <c r="AB1855">
        <v>0.109</v>
      </c>
      <c r="AC1855">
        <v>6</v>
      </c>
      <c r="AD1855" s="6">
        <v>50</v>
      </c>
      <c r="AE1855" s="6">
        <v>0</v>
      </c>
      <c r="AF1855" s="6">
        <v>0</v>
      </c>
      <c r="AG1855" s="6">
        <v>52.96</v>
      </c>
      <c r="AH1855" s="6">
        <v>67.86</v>
      </c>
      <c r="AI1855" s="6">
        <f t="shared" si="56"/>
        <v>14.899999999999999</v>
      </c>
      <c r="AJ1855" s="5">
        <f t="shared" si="57"/>
        <v>0.21956970232832299</v>
      </c>
    </row>
    <row r="1856" spans="1:36">
      <c r="A1856" t="s">
        <v>210</v>
      </c>
      <c r="B1856" t="s">
        <v>2141</v>
      </c>
      <c r="C1856" t="s">
        <v>101</v>
      </c>
      <c r="D1856" t="s">
        <v>96</v>
      </c>
      <c r="E1856" t="s">
        <v>55</v>
      </c>
      <c r="F1856">
        <v>0</v>
      </c>
      <c r="G1856">
        <v>1477</v>
      </c>
      <c r="H1856">
        <v>1</v>
      </c>
      <c r="I1856" t="s">
        <v>173</v>
      </c>
      <c r="J1856">
        <v>1</v>
      </c>
      <c r="K1856" s="6">
        <v>2.37</v>
      </c>
      <c r="L1856" t="s">
        <v>174</v>
      </c>
      <c r="M1856">
        <v>0</v>
      </c>
      <c r="N1856" t="s">
        <v>175</v>
      </c>
      <c r="O1856">
        <v>1</v>
      </c>
      <c r="P1856">
        <v>0</v>
      </c>
      <c r="Q1856" s="6">
        <v>14.2</v>
      </c>
      <c r="R1856">
        <v>0</v>
      </c>
      <c r="S1856" s="6">
        <v>0</v>
      </c>
      <c r="T1856">
        <v>0</v>
      </c>
      <c r="U1856" s="6">
        <v>1234</v>
      </c>
      <c r="V1856">
        <v>0</v>
      </c>
      <c r="W1856">
        <v>0</v>
      </c>
      <c r="X1856">
        <v>0</v>
      </c>
      <c r="Y1856" s="6">
        <v>45.7</v>
      </c>
      <c r="Z1856">
        <v>0</v>
      </c>
      <c r="AA1856">
        <v>9.4E-2</v>
      </c>
      <c r="AB1856">
        <v>0.109</v>
      </c>
      <c r="AC1856">
        <v>6</v>
      </c>
      <c r="AD1856" s="6">
        <v>50</v>
      </c>
      <c r="AE1856" s="6">
        <v>0</v>
      </c>
      <c r="AF1856" s="6">
        <v>0</v>
      </c>
      <c r="AG1856" s="6">
        <v>47.28</v>
      </c>
      <c r="AH1856" s="6">
        <v>63.22</v>
      </c>
      <c r="AI1856" s="6">
        <f t="shared" si="56"/>
        <v>15.939999999999998</v>
      </c>
      <c r="AJ1856" s="5">
        <f t="shared" si="57"/>
        <v>0.25213540018981334</v>
      </c>
    </row>
    <row r="1857" spans="1:36">
      <c r="A1857" t="s">
        <v>171</v>
      </c>
      <c r="B1857" t="s">
        <v>2142</v>
      </c>
      <c r="C1857" t="s">
        <v>101</v>
      </c>
      <c r="D1857" t="s">
        <v>96</v>
      </c>
      <c r="E1857" t="s">
        <v>55</v>
      </c>
      <c r="F1857">
        <v>0</v>
      </c>
      <c r="G1857">
        <v>1477</v>
      </c>
      <c r="H1857">
        <v>1</v>
      </c>
      <c r="I1857" t="s">
        <v>181</v>
      </c>
      <c r="J1857">
        <v>3</v>
      </c>
      <c r="K1857" s="6">
        <v>8.44</v>
      </c>
      <c r="L1857" t="s">
        <v>174</v>
      </c>
      <c r="M1857">
        <v>0</v>
      </c>
      <c r="N1857" t="s">
        <v>182</v>
      </c>
      <c r="O1857">
        <v>3</v>
      </c>
      <c r="P1857">
        <v>0</v>
      </c>
      <c r="Q1857" s="6">
        <v>101.4</v>
      </c>
      <c r="R1857">
        <v>0</v>
      </c>
      <c r="S1857" s="6">
        <v>0</v>
      </c>
      <c r="T1857">
        <v>0</v>
      </c>
      <c r="U1857" s="6">
        <v>3267</v>
      </c>
      <c r="V1857">
        <v>0</v>
      </c>
      <c r="W1857">
        <v>0</v>
      </c>
      <c r="X1857">
        <v>0</v>
      </c>
      <c r="Y1857" s="6">
        <v>45.7</v>
      </c>
      <c r="Z1857">
        <v>0</v>
      </c>
      <c r="AA1857">
        <v>9.4E-2</v>
      </c>
      <c r="AB1857">
        <v>0.109</v>
      </c>
      <c r="AC1857">
        <v>6</v>
      </c>
      <c r="AD1857" s="6">
        <v>60</v>
      </c>
      <c r="AE1857" s="6">
        <v>0</v>
      </c>
      <c r="AF1857" s="6">
        <v>0</v>
      </c>
      <c r="AG1857" s="6">
        <v>96.42</v>
      </c>
      <c r="AH1857" s="6">
        <v>122.31</v>
      </c>
      <c r="AI1857" s="6">
        <f t="shared" si="56"/>
        <v>25.89</v>
      </c>
      <c r="AJ1857" s="5">
        <f t="shared" si="57"/>
        <v>0.21167525141035076</v>
      </c>
    </row>
    <row r="1858" spans="1:36">
      <c r="A1858" t="s">
        <v>391</v>
      </c>
      <c r="B1858" t="s">
        <v>2143</v>
      </c>
      <c r="C1858" t="s">
        <v>101</v>
      </c>
      <c r="D1858" t="s">
        <v>96</v>
      </c>
      <c r="E1858" t="s">
        <v>55</v>
      </c>
      <c r="F1858">
        <v>0</v>
      </c>
      <c r="G1858">
        <v>1477</v>
      </c>
      <c r="H1858">
        <v>1</v>
      </c>
      <c r="I1858" t="s">
        <v>181</v>
      </c>
      <c r="J1858">
        <v>3</v>
      </c>
      <c r="K1858" s="6">
        <v>9.82</v>
      </c>
      <c r="L1858" t="s">
        <v>174</v>
      </c>
      <c r="M1858">
        <v>0</v>
      </c>
      <c r="N1858" t="s">
        <v>187</v>
      </c>
      <c r="O1858">
        <v>2</v>
      </c>
      <c r="P1858">
        <v>0</v>
      </c>
      <c r="Q1858" s="6">
        <v>70.400000000000006</v>
      </c>
      <c r="R1858">
        <v>1</v>
      </c>
      <c r="S1858" s="6">
        <v>2337</v>
      </c>
      <c r="T1858">
        <v>0</v>
      </c>
      <c r="U1858" s="6">
        <v>2077</v>
      </c>
      <c r="V1858">
        <v>0</v>
      </c>
      <c r="W1858">
        <v>0</v>
      </c>
      <c r="X1858">
        <v>0</v>
      </c>
      <c r="Y1858" s="6">
        <v>45.7</v>
      </c>
      <c r="Z1858">
        <v>0</v>
      </c>
      <c r="AA1858">
        <v>9.4E-2</v>
      </c>
      <c r="AB1858">
        <v>0.109</v>
      </c>
      <c r="AC1858">
        <v>6</v>
      </c>
      <c r="AD1858" s="6">
        <v>60</v>
      </c>
      <c r="AE1858" s="6">
        <v>40</v>
      </c>
      <c r="AF1858" s="6">
        <v>0</v>
      </c>
      <c r="AG1858" s="6">
        <v>98.91</v>
      </c>
      <c r="AH1858" s="6">
        <v>125.31</v>
      </c>
      <c r="AI1858" s="6">
        <f t="shared" ref="AI1858:AI1921" si="58">AH1858-AG1858</f>
        <v>26.400000000000006</v>
      </c>
      <c r="AJ1858" s="5">
        <f t="shared" ref="AJ1858:AJ1921" si="59">IFERROR(AI1858/AH1858,0)</f>
        <v>0.21067751975101751</v>
      </c>
    </row>
    <row r="1859" spans="1:36">
      <c r="A1859" t="s">
        <v>469</v>
      </c>
      <c r="B1859" t="s">
        <v>2144</v>
      </c>
      <c r="C1859" t="s">
        <v>101</v>
      </c>
      <c r="D1859" t="s">
        <v>96</v>
      </c>
      <c r="E1859" t="s">
        <v>55</v>
      </c>
      <c r="F1859">
        <v>0</v>
      </c>
      <c r="G1859">
        <v>1477</v>
      </c>
      <c r="H1859">
        <v>1</v>
      </c>
      <c r="I1859" t="s">
        <v>181</v>
      </c>
      <c r="J1859">
        <v>3</v>
      </c>
      <c r="K1859" s="6">
        <v>8.4700000000000006</v>
      </c>
      <c r="L1859" t="s">
        <v>174</v>
      </c>
      <c r="M1859">
        <v>0</v>
      </c>
      <c r="N1859" t="s">
        <v>217</v>
      </c>
      <c r="O1859">
        <v>4</v>
      </c>
      <c r="P1859">
        <v>1</v>
      </c>
      <c r="Q1859" s="6">
        <v>147.1</v>
      </c>
      <c r="R1859">
        <v>1</v>
      </c>
      <c r="S1859" s="6">
        <v>3421</v>
      </c>
      <c r="T1859">
        <v>0</v>
      </c>
      <c r="U1859" s="6">
        <v>3867</v>
      </c>
      <c r="V1859">
        <v>0</v>
      </c>
      <c r="W1859">
        <v>0</v>
      </c>
      <c r="X1859">
        <v>0</v>
      </c>
      <c r="Y1859" s="6">
        <v>45.7</v>
      </c>
      <c r="Z1859">
        <v>0</v>
      </c>
      <c r="AA1859">
        <v>9.4E-2</v>
      </c>
      <c r="AB1859">
        <v>0.109</v>
      </c>
      <c r="AC1859">
        <v>6</v>
      </c>
      <c r="AD1859" s="6">
        <v>60</v>
      </c>
      <c r="AE1859" s="6">
        <v>40</v>
      </c>
      <c r="AF1859" s="6">
        <v>0</v>
      </c>
      <c r="AG1859" s="6">
        <v>146.61000000000001</v>
      </c>
      <c r="AH1859" s="6">
        <v>185.51</v>
      </c>
      <c r="AI1859" s="6">
        <f t="shared" si="58"/>
        <v>38.899999999999977</v>
      </c>
      <c r="AJ1859" s="5">
        <f t="shared" si="59"/>
        <v>0.20969219988140789</v>
      </c>
    </row>
    <row r="1860" spans="1:36">
      <c r="A1860" t="s">
        <v>355</v>
      </c>
      <c r="B1860" t="s">
        <v>2145</v>
      </c>
      <c r="C1860" t="s">
        <v>101</v>
      </c>
      <c r="D1860" t="s">
        <v>96</v>
      </c>
      <c r="E1860" t="s">
        <v>55</v>
      </c>
      <c r="F1860">
        <v>0</v>
      </c>
      <c r="G1860">
        <v>1477</v>
      </c>
      <c r="H1860">
        <v>1</v>
      </c>
      <c r="I1860" t="s">
        <v>173</v>
      </c>
      <c r="J1860">
        <v>1</v>
      </c>
      <c r="K1860" s="6">
        <v>1.1000000000000001</v>
      </c>
      <c r="L1860" t="s">
        <v>174</v>
      </c>
      <c r="M1860">
        <v>0</v>
      </c>
      <c r="N1860" t="s">
        <v>175</v>
      </c>
      <c r="O1860">
        <v>1</v>
      </c>
      <c r="P1860">
        <v>0</v>
      </c>
      <c r="Q1860" s="6">
        <v>40.9</v>
      </c>
      <c r="R1860">
        <v>1</v>
      </c>
      <c r="S1860" s="6">
        <v>1438</v>
      </c>
      <c r="T1860">
        <v>0</v>
      </c>
      <c r="U1860" s="6">
        <v>1450</v>
      </c>
      <c r="V1860">
        <v>0</v>
      </c>
      <c r="W1860">
        <v>1</v>
      </c>
      <c r="X1860">
        <v>0</v>
      </c>
      <c r="Y1860" s="6">
        <v>45.7</v>
      </c>
      <c r="Z1860">
        <v>0</v>
      </c>
      <c r="AA1860">
        <v>9.4E-2</v>
      </c>
      <c r="AB1860">
        <v>0.109</v>
      </c>
      <c r="AC1860">
        <v>6</v>
      </c>
      <c r="AD1860" s="6">
        <v>50</v>
      </c>
      <c r="AE1860" s="6">
        <v>25</v>
      </c>
      <c r="AF1860" s="6">
        <v>0</v>
      </c>
      <c r="AG1860" s="6">
        <v>77.540000000000006</v>
      </c>
      <c r="AH1860" s="6">
        <v>101.23</v>
      </c>
      <c r="AI1860" s="6">
        <f t="shared" si="58"/>
        <v>23.689999999999998</v>
      </c>
      <c r="AJ1860" s="5">
        <f t="shared" si="59"/>
        <v>0.23402153511804799</v>
      </c>
    </row>
    <row r="1861" spans="1:36">
      <c r="A1861" t="s">
        <v>221</v>
      </c>
      <c r="B1861" t="s">
        <v>2146</v>
      </c>
      <c r="C1861" t="s">
        <v>101</v>
      </c>
      <c r="D1861" t="s">
        <v>96</v>
      </c>
      <c r="E1861" t="s">
        <v>55</v>
      </c>
      <c r="F1861">
        <v>0</v>
      </c>
      <c r="G1861">
        <v>1477</v>
      </c>
      <c r="H1861">
        <v>1</v>
      </c>
      <c r="I1861" t="s">
        <v>173</v>
      </c>
      <c r="J1861">
        <v>1</v>
      </c>
      <c r="K1861" s="6">
        <v>2.48</v>
      </c>
      <c r="L1861" t="s">
        <v>174</v>
      </c>
      <c r="M1861">
        <v>0</v>
      </c>
      <c r="N1861" t="s">
        <v>175</v>
      </c>
      <c r="O1861">
        <v>1</v>
      </c>
      <c r="P1861">
        <v>0</v>
      </c>
      <c r="Q1861" s="6">
        <v>45.6</v>
      </c>
      <c r="R1861">
        <v>1</v>
      </c>
      <c r="S1861" s="6">
        <v>1314</v>
      </c>
      <c r="T1861">
        <v>0</v>
      </c>
      <c r="U1861" s="6">
        <v>2459</v>
      </c>
      <c r="V1861">
        <v>0</v>
      </c>
      <c r="W1861">
        <v>0</v>
      </c>
      <c r="X1861">
        <v>0</v>
      </c>
      <c r="Y1861" s="6">
        <v>45.7</v>
      </c>
      <c r="Z1861">
        <v>0</v>
      </c>
      <c r="AA1861">
        <v>9.4E-2</v>
      </c>
      <c r="AB1861">
        <v>0.109</v>
      </c>
      <c r="AC1861">
        <v>6</v>
      </c>
      <c r="AD1861" s="6">
        <v>50</v>
      </c>
      <c r="AE1861" s="6">
        <v>25</v>
      </c>
      <c r="AF1861" s="6">
        <v>0</v>
      </c>
      <c r="AG1861" s="6">
        <v>53.01</v>
      </c>
      <c r="AH1861" s="6">
        <v>70.25</v>
      </c>
      <c r="AI1861" s="6">
        <f t="shared" si="58"/>
        <v>17.240000000000002</v>
      </c>
      <c r="AJ1861" s="5">
        <f t="shared" si="59"/>
        <v>0.24540925266903918</v>
      </c>
    </row>
    <row r="1862" spans="1:36">
      <c r="A1862" t="s">
        <v>243</v>
      </c>
      <c r="B1862" t="s">
        <v>2147</v>
      </c>
      <c r="C1862" t="s">
        <v>101</v>
      </c>
      <c r="D1862" t="s">
        <v>96</v>
      </c>
      <c r="E1862" t="s">
        <v>55</v>
      </c>
      <c r="F1862">
        <v>0</v>
      </c>
      <c r="G1862">
        <v>1477</v>
      </c>
      <c r="H1862">
        <v>1</v>
      </c>
      <c r="I1862" t="s">
        <v>173</v>
      </c>
      <c r="J1862">
        <v>1</v>
      </c>
      <c r="K1862" s="6">
        <v>2.11</v>
      </c>
      <c r="L1862" t="s">
        <v>174</v>
      </c>
      <c r="M1862">
        <v>0</v>
      </c>
      <c r="N1862" t="s">
        <v>187</v>
      </c>
      <c r="O1862">
        <v>2</v>
      </c>
      <c r="P1862">
        <v>0</v>
      </c>
      <c r="Q1862" s="6">
        <v>78.7</v>
      </c>
      <c r="R1862">
        <v>0</v>
      </c>
      <c r="S1862" s="6">
        <v>0</v>
      </c>
      <c r="T1862">
        <v>0</v>
      </c>
      <c r="U1862" s="6">
        <v>5215</v>
      </c>
      <c r="V1862">
        <v>1</v>
      </c>
      <c r="W1862">
        <v>0</v>
      </c>
      <c r="X1862">
        <v>0</v>
      </c>
      <c r="Y1862" s="6">
        <v>45.7</v>
      </c>
      <c r="Z1862">
        <v>0</v>
      </c>
      <c r="AA1862">
        <v>9.4E-2</v>
      </c>
      <c r="AB1862">
        <v>0.109</v>
      </c>
      <c r="AC1862">
        <v>6</v>
      </c>
      <c r="AD1862" s="6">
        <v>50</v>
      </c>
      <c r="AE1862" s="6">
        <v>0</v>
      </c>
      <c r="AF1862" s="6">
        <v>0</v>
      </c>
      <c r="AG1862" s="6">
        <v>94.6</v>
      </c>
      <c r="AH1862" s="6">
        <v>121.49</v>
      </c>
      <c r="AI1862" s="6">
        <f t="shared" si="58"/>
        <v>26.89</v>
      </c>
      <c r="AJ1862" s="5">
        <f t="shared" si="59"/>
        <v>0.22133508930776197</v>
      </c>
    </row>
    <row r="1863" spans="1:36">
      <c r="A1863" t="s">
        <v>306</v>
      </c>
      <c r="B1863" t="s">
        <v>2148</v>
      </c>
      <c r="C1863" t="s">
        <v>101</v>
      </c>
      <c r="D1863" t="s">
        <v>96</v>
      </c>
      <c r="E1863" t="s">
        <v>55</v>
      </c>
      <c r="F1863">
        <v>0</v>
      </c>
      <c r="G1863">
        <v>1477</v>
      </c>
      <c r="H1863">
        <v>1</v>
      </c>
      <c r="I1863" t="s">
        <v>173</v>
      </c>
      <c r="J1863">
        <v>1</v>
      </c>
      <c r="K1863" s="6">
        <v>2.29</v>
      </c>
      <c r="L1863" t="s">
        <v>174</v>
      </c>
      <c r="M1863">
        <v>0</v>
      </c>
      <c r="N1863" t="s">
        <v>182</v>
      </c>
      <c r="O1863">
        <v>3</v>
      </c>
      <c r="P1863">
        <v>0</v>
      </c>
      <c r="Q1863" s="6">
        <v>137.9</v>
      </c>
      <c r="R1863">
        <v>1</v>
      </c>
      <c r="S1863" s="6">
        <v>1435</v>
      </c>
      <c r="T1863">
        <v>0</v>
      </c>
      <c r="U1863" s="6">
        <v>1936</v>
      </c>
      <c r="V1863">
        <v>0</v>
      </c>
      <c r="W1863">
        <v>0</v>
      </c>
      <c r="X1863">
        <v>0</v>
      </c>
      <c r="Y1863" s="6">
        <v>45.7</v>
      </c>
      <c r="Z1863">
        <v>0</v>
      </c>
      <c r="AA1863">
        <v>9.4E-2</v>
      </c>
      <c r="AB1863">
        <v>0.109</v>
      </c>
      <c r="AC1863">
        <v>6</v>
      </c>
      <c r="AD1863" s="6">
        <v>50</v>
      </c>
      <c r="AE1863" s="6">
        <v>25</v>
      </c>
      <c r="AF1863" s="6">
        <v>0</v>
      </c>
      <c r="AG1863" s="6">
        <v>67.2</v>
      </c>
      <c r="AH1863" s="6">
        <v>85.17</v>
      </c>
      <c r="AI1863" s="6">
        <f t="shared" si="58"/>
        <v>17.97</v>
      </c>
      <c r="AJ1863" s="5">
        <f t="shared" si="59"/>
        <v>0.21098978513561112</v>
      </c>
    </row>
    <row r="1864" spans="1:36">
      <c r="A1864" t="s">
        <v>245</v>
      </c>
      <c r="B1864" t="s">
        <v>2149</v>
      </c>
      <c r="C1864" t="s">
        <v>101</v>
      </c>
      <c r="D1864" t="s">
        <v>96</v>
      </c>
      <c r="E1864" t="s">
        <v>55</v>
      </c>
      <c r="F1864">
        <v>0</v>
      </c>
      <c r="G1864">
        <v>1477</v>
      </c>
      <c r="H1864">
        <v>1</v>
      </c>
      <c r="I1864" t="s">
        <v>173</v>
      </c>
      <c r="J1864">
        <v>1</v>
      </c>
      <c r="K1864" s="6">
        <v>1.61</v>
      </c>
      <c r="L1864" t="s">
        <v>174</v>
      </c>
      <c r="M1864">
        <v>0</v>
      </c>
      <c r="N1864" t="s">
        <v>175</v>
      </c>
      <c r="O1864">
        <v>1</v>
      </c>
      <c r="P1864">
        <v>0</v>
      </c>
      <c r="Q1864" s="6">
        <v>24.5</v>
      </c>
      <c r="R1864">
        <v>0</v>
      </c>
      <c r="S1864" s="6">
        <v>0</v>
      </c>
      <c r="T1864">
        <v>0</v>
      </c>
      <c r="U1864" s="6">
        <v>2175</v>
      </c>
      <c r="V1864">
        <v>0</v>
      </c>
      <c r="W1864">
        <v>1</v>
      </c>
      <c r="X1864">
        <v>0</v>
      </c>
      <c r="Y1864" s="6">
        <v>45.7</v>
      </c>
      <c r="Z1864">
        <v>0</v>
      </c>
      <c r="AA1864">
        <v>9.4E-2</v>
      </c>
      <c r="AB1864">
        <v>0.109</v>
      </c>
      <c r="AC1864">
        <v>6</v>
      </c>
      <c r="AD1864" s="6">
        <v>50</v>
      </c>
      <c r="AE1864" s="6">
        <v>0</v>
      </c>
      <c r="AF1864" s="6">
        <v>0</v>
      </c>
      <c r="AG1864" s="6">
        <v>80.59</v>
      </c>
      <c r="AH1864" s="6">
        <v>101.42</v>
      </c>
      <c r="AI1864" s="6">
        <f t="shared" si="58"/>
        <v>20.83</v>
      </c>
      <c r="AJ1864" s="5">
        <f t="shared" si="59"/>
        <v>0.20538355353973572</v>
      </c>
    </row>
    <row r="1865" spans="1:36">
      <c r="A1865" t="s">
        <v>338</v>
      </c>
      <c r="B1865" t="s">
        <v>2150</v>
      </c>
      <c r="C1865" t="s">
        <v>101</v>
      </c>
      <c r="D1865" t="s">
        <v>96</v>
      </c>
      <c r="E1865" t="s">
        <v>55</v>
      </c>
      <c r="F1865">
        <v>0</v>
      </c>
      <c r="G1865">
        <v>1477</v>
      </c>
      <c r="H1865">
        <v>1</v>
      </c>
      <c r="I1865" t="s">
        <v>220</v>
      </c>
      <c r="J1865">
        <v>2</v>
      </c>
      <c r="K1865" s="6">
        <v>2.94</v>
      </c>
      <c r="L1865" t="s">
        <v>174</v>
      </c>
      <c r="M1865">
        <v>0</v>
      </c>
      <c r="N1865" t="s">
        <v>272</v>
      </c>
      <c r="O1865">
        <v>5</v>
      </c>
      <c r="P1865">
        <v>1</v>
      </c>
      <c r="Q1865" s="6">
        <v>174.7</v>
      </c>
      <c r="R1865">
        <v>0</v>
      </c>
      <c r="S1865" s="6">
        <v>0</v>
      </c>
      <c r="T1865">
        <v>0</v>
      </c>
      <c r="U1865" s="6">
        <v>2318</v>
      </c>
      <c r="V1865">
        <v>0</v>
      </c>
      <c r="W1865">
        <v>0</v>
      </c>
      <c r="X1865">
        <v>0</v>
      </c>
      <c r="Y1865" s="6">
        <v>45.7</v>
      </c>
      <c r="Z1865">
        <v>0</v>
      </c>
      <c r="AA1865">
        <v>9.4E-2</v>
      </c>
      <c r="AB1865">
        <v>0.109</v>
      </c>
      <c r="AC1865">
        <v>6</v>
      </c>
      <c r="AD1865" s="6">
        <v>50</v>
      </c>
      <c r="AE1865" s="6">
        <v>0</v>
      </c>
      <c r="AF1865" s="6">
        <v>0</v>
      </c>
      <c r="AG1865" s="6">
        <v>151.13</v>
      </c>
      <c r="AH1865" s="6">
        <v>193.18</v>
      </c>
      <c r="AI1865" s="6">
        <f t="shared" si="58"/>
        <v>42.050000000000011</v>
      </c>
      <c r="AJ1865" s="5">
        <f t="shared" si="59"/>
        <v>0.21767263691893576</v>
      </c>
    </row>
    <row r="1866" spans="1:36">
      <c r="A1866" t="s">
        <v>208</v>
      </c>
      <c r="B1866" t="s">
        <v>2151</v>
      </c>
      <c r="C1866" t="s">
        <v>101</v>
      </c>
      <c r="D1866" t="s">
        <v>96</v>
      </c>
      <c r="E1866" t="s">
        <v>55</v>
      </c>
      <c r="F1866">
        <v>0</v>
      </c>
      <c r="G1866">
        <v>1477</v>
      </c>
      <c r="H1866">
        <v>1</v>
      </c>
      <c r="I1866" t="s">
        <v>181</v>
      </c>
      <c r="J1866">
        <v>3</v>
      </c>
      <c r="K1866" s="6">
        <v>6.26</v>
      </c>
      <c r="L1866" t="s">
        <v>174</v>
      </c>
      <c r="M1866">
        <v>0</v>
      </c>
      <c r="N1866" t="s">
        <v>175</v>
      </c>
      <c r="O1866">
        <v>1</v>
      </c>
      <c r="P1866">
        <v>0</v>
      </c>
      <c r="Q1866" s="6">
        <v>47.2</v>
      </c>
      <c r="R1866">
        <v>1</v>
      </c>
      <c r="S1866" s="6">
        <v>393</v>
      </c>
      <c r="T1866">
        <v>0</v>
      </c>
      <c r="U1866" s="6">
        <v>4781</v>
      </c>
      <c r="V1866">
        <v>0</v>
      </c>
      <c r="W1866">
        <v>0</v>
      </c>
      <c r="X1866">
        <v>0</v>
      </c>
      <c r="Y1866" s="6">
        <v>45.7</v>
      </c>
      <c r="Z1866">
        <v>0</v>
      </c>
      <c r="AA1866">
        <v>9.4E-2</v>
      </c>
      <c r="AB1866">
        <v>0.109</v>
      </c>
      <c r="AC1866">
        <v>6</v>
      </c>
      <c r="AD1866" s="6">
        <v>60</v>
      </c>
      <c r="AE1866" s="6">
        <v>25</v>
      </c>
      <c r="AF1866" s="6">
        <v>0</v>
      </c>
      <c r="AG1866" s="6">
        <v>76.739999999999995</v>
      </c>
      <c r="AH1866" s="6">
        <v>99.09</v>
      </c>
      <c r="AI1866" s="6">
        <f t="shared" si="58"/>
        <v>22.350000000000009</v>
      </c>
      <c r="AJ1866" s="5">
        <f t="shared" si="59"/>
        <v>0.22555252800484415</v>
      </c>
    </row>
    <row r="1867" spans="1:36">
      <c r="A1867" t="s">
        <v>375</v>
      </c>
      <c r="B1867" t="s">
        <v>2152</v>
      </c>
      <c r="C1867" t="s">
        <v>101</v>
      </c>
      <c r="D1867" t="s">
        <v>96</v>
      </c>
      <c r="E1867" t="s">
        <v>55</v>
      </c>
      <c r="F1867">
        <v>0</v>
      </c>
      <c r="G1867">
        <v>1477</v>
      </c>
      <c r="H1867">
        <v>1</v>
      </c>
      <c r="I1867" t="s">
        <v>181</v>
      </c>
      <c r="J1867">
        <v>3</v>
      </c>
      <c r="K1867" s="6">
        <v>8.43</v>
      </c>
      <c r="L1867" t="s">
        <v>174</v>
      </c>
      <c r="M1867">
        <v>0</v>
      </c>
      <c r="N1867" t="s">
        <v>175</v>
      </c>
      <c r="O1867">
        <v>1</v>
      </c>
      <c r="P1867">
        <v>0</v>
      </c>
      <c r="Q1867" s="6">
        <v>31.5</v>
      </c>
      <c r="R1867">
        <v>1</v>
      </c>
      <c r="S1867" s="6">
        <v>1055</v>
      </c>
      <c r="T1867">
        <v>0</v>
      </c>
      <c r="U1867" s="6">
        <v>1726</v>
      </c>
      <c r="V1867">
        <v>0</v>
      </c>
      <c r="W1867">
        <v>0</v>
      </c>
      <c r="X1867">
        <v>0</v>
      </c>
      <c r="Y1867" s="6">
        <v>45.7</v>
      </c>
      <c r="Z1867">
        <v>0</v>
      </c>
      <c r="AA1867">
        <v>9.4E-2</v>
      </c>
      <c r="AB1867">
        <v>0.109</v>
      </c>
      <c r="AC1867">
        <v>6</v>
      </c>
      <c r="AD1867" s="6">
        <v>60</v>
      </c>
      <c r="AE1867" s="6">
        <v>25</v>
      </c>
      <c r="AF1867" s="6">
        <v>0</v>
      </c>
      <c r="AG1867" s="6">
        <v>94.11</v>
      </c>
      <c r="AH1867" s="6">
        <v>119.17</v>
      </c>
      <c r="AI1867" s="6">
        <f t="shared" si="58"/>
        <v>25.060000000000002</v>
      </c>
      <c r="AJ1867" s="5">
        <f t="shared" si="59"/>
        <v>0.21028782411680794</v>
      </c>
    </row>
    <row r="1868" spans="1:36">
      <c r="A1868" t="s">
        <v>375</v>
      </c>
      <c r="B1868" t="s">
        <v>2153</v>
      </c>
      <c r="C1868" t="s">
        <v>101</v>
      </c>
      <c r="D1868" t="s">
        <v>96</v>
      </c>
      <c r="E1868" t="s">
        <v>55</v>
      </c>
      <c r="F1868">
        <v>0</v>
      </c>
      <c r="G1868">
        <v>1477</v>
      </c>
      <c r="H1868">
        <v>1</v>
      </c>
      <c r="I1868" t="s">
        <v>178</v>
      </c>
      <c r="J1868">
        <v>4</v>
      </c>
      <c r="K1868" s="6">
        <v>15.54</v>
      </c>
      <c r="L1868" t="s">
        <v>174</v>
      </c>
      <c r="M1868">
        <v>0</v>
      </c>
      <c r="N1868" t="s">
        <v>217</v>
      </c>
      <c r="O1868">
        <v>4</v>
      </c>
      <c r="P1868">
        <v>1</v>
      </c>
      <c r="Q1868" s="6">
        <v>162.5</v>
      </c>
      <c r="R1868">
        <v>0</v>
      </c>
      <c r="S1868" s="6">
        <v>0</v>
      </c>
      <c r="T1868">
        <v>0</v>
      </c>
      <c r="U1868" s="6">
        <v>1626</v>
      </c>
      <c r="V1868">
        <v>0</v>
      </c>
      <c r="W1868">
        <v>0</v>
      </c>
      <c r="X1868">
        <v>0</v>
      </c>
      <c r="Y1868" s="6">
        <v>45.7</v>
      </c>
      <c r="Z1868">
        <v>0</v>
      </c>
      <c r="AA1868">
        <v>9.4E-2</v>
      </c>
      <c r="AB1868">
        <v>0.109</v>
      </c>
      <c r="AC1868">
        <v>6</v>
      </c>
      <c r="AD1868" s="6">
        <v>65</v>
      </c>
      <c r="AE1868" s="6">
        <v>0</v>
      </c>
      <c r="AF1868" s="6">
        <v>0</v>
      </c>
      <c r="AG1868" s="6">
        <v>177.29</v>
      </c>
      <c r="AH1868" s="6">
        <v>221.83</v>
      </c>
      <c r="AI1868" s="6">
        <f t="shared" si="58"/>
        <v>44.54000000000002</v>
      </c>
      <c r="AJ1868" s="5">
        <f t="shared" si="59"/>
        <v>0.20078438443853408</v>
      </c>
    </row>
    <row r="1869" spans="1:36">
      <c r="A1869" t="s">
        <v>488</v>
      </c>
      <c r="B1869" t="s">
        <v>2154</v>
      </c>
      <c r="C1869" t="s">
        <v>101</v>
      </c>
      <c r="D1869" t="s">
        <v>96</v>
      </c>
      <c r="E1869" t="s">
        <v>55</v>
      </c>
      <c r="F1869">
        <v>0</v>
      </c>
      <c r="G1869">
        <v>1477</v>
      </c>
      <c r="H1869">
        <v>1</v>
      </c>
      <c r="I1869" t="s">
        <v>173</v>
      </c>
      <c r="J1869">
        <v>1</v>
      </c>
      <c r="K1869" s="6">
        <v>1.96</v>
      </c>
      <c r="L1869" t="s">
        <v>174</v>
      </c>
      <c r="M1869">
        <v>0</v>
      </c>
      <c r="N1869" t="s">
        <v>175</v>
      </c>
      <c r="O1869">
        <v>1</v>
      </c>
      <c r="P1869">
        <v>0</v>
      </c>
      <c r="Q1869" s="6">
        <v>37.700000000000003</v>
      </c>
      <c r="R1869">
        <v>1</v>
      </c>
      <c r="S1869" s="6">
        <v>358</v>
      </c>
      <c r="T1869">
        <v>0</v>
      </c>
      <c r="U1869" s="6">
        <v>2944</v>
      </c>
      <c r="V1869">
        <v>0</v>
      </c>
      <c r="W1869">
        <v>0</v>
      </c>
      <c r="X1869">
        <v>0</v>
      </c>
      <c r="Y1869" s="6">
        <v>45.7</v>
      </c>
      <c r="Z1869">
        <v>0</v>
      </c>
      <c r="AA1869">
        <v>9.4E-2</v>
      </c>
      <c r="AB1869">
        <v>0.109</v>
      </c>
      <c r="AC1869">
        <v>6</v>
      </c>
      <c r="AD1869" s="6">
        <v>50</v>
      </c>
      <c r="AE1869" s="6">
        <v>25</v>
      </c>
      <c r="AF1869" s="6">
        <v>0</v>
      </c>
      <c r="AG1869" s="6">
        <v>52.47</v>
      </c>
      <c r="AH1869" s="6">
        <v>66.09</v>
      </c>
      <c r="AI1869" s="6">
        <f t="shared" si="58"/>
        <v>13.620000000000005</v>
      </c>
      <c r="AJ1869" s="5">
        <f t="shared" si="59"/>
        <v>0.20608261461643221</v>
      </c>
    </row>
    <row r="1870" spans="1:36">
      <c r="A1870" t="s">
        <v>255</v>
      </c>
      <c r="B1870" t="s">
        <v>2155</v>
      </c>
      <c r="C1870" t="s">
        <v>101</v>
      </c>
      <c r="D1870" t="s">
        <v>96</v>
      </c>
      <c r="E1870" t="s">
        <v>55</v>
      </c>
      <c r="F1870">
        <v>0</v>
      </c>
      <c r="G1870">
        <v>1477</v>
      </c>
      <c r="H1870">
        <v>1</v>
      </c>
      <c r="I1870" t="s">
        <v>220</v>
      </c>
      <c r="J1870">
        <v>2</v>
      </c>
      <c r="K1870" s="6">
        <v>3.89</v>
      </c>
      <c r="L1870" t="s">
        <v>174</v>
      </c>
      <c r="M1870">
        <v>0</v>
      </c>
      <c r="N1870" t="s">
        <v>175</v>
      </c>
      <c r="O1870">
        <v>1</v>
      </c>
      <c r="P1870">
        <v>0</v>
      </c>
      <c r="Q1870" s="6">
        <v>32.1</v>
      </c>
      <c r="R1870">
        <v>0</v>
      </c>
      <c r="S1870" s="6">
        <v>0</v>
      </c>
      <c r="T1870">
        <v>0</v>
      </c>
      <c r="U1870" s="6">
        <v>1939</v>
      </c>
      <c r="V1870">
        <v>0</v>
      </c>
      <c r="W1870">
        <v>0</v>
      </c>
      <c r="X1870">
        <v>0</v>
      </c>
      <c r="Y1870" s="6">
        <v>45.7</v>
      </c>
      <c r="Z1870">
        <v>0</v>
      </c>
      <c r="AA1870">
        <v>9.4E-2</v>
      </c>
      <c r="AB1870">
        <v>0.109</v>
      </c>
      <c r="AC1870">
        <v>6</v>
      </c>
      <c r="AD1870" s="6">
        <v>50</v>
      </c>
      <c r="AE1870" s="6">
        <v>0</v>
      </c>
      <c r="AF1870" s="6">
        <v>0</v>
      </c>
      <c r="AG1870" s="6">
        <v>62.36</v>
      </c>
      <c r="AH1870" s="6">
        <v>80.739999999999995</v>
      </c>
      <c r="AI1870" s="6">
        <f t="shared" si="58"/>
        <v>18.379999999999995</v>
      </c>
      <c r="AJ1870" s="5">
        <f t="shared" si="59"/>
        <v>0.22764429031458999</v>
      </c>
    </row>
    <row r="1871" spans="1:36">
      <c r="A1871" t="s">
        <v>338</v>
      </c>
      <c r="B1871" t="s">
        <v>2156</v>
      </c>
      <c r="C1871" t="s">
        <v>101</v>
      </c>
      <c r="D1871" t="s">
        <v>96</v>
      </c>
      <c r="E1871" t="s">
        <v>55</v>
      </c>
      <c r="F1871">
        <v>0</v>
      </c>
      <c r="G1871">
        <v>1477</v>
      </c>
      <c r="H1871">
        <v>1</v>
      </c>
      <c r="I1871" t="s">
        <v>173</v>
      </c>
      <c r="J1871">
        <v>1</v>
      </c>
      <c r="K1871" s="6">
        <v>1.61</v>
      </c>
      <c r="L1871" t="s">
        <v>174</v>
      </c>
      <c r="M1871">
        <v>0</v>
      </c>
      <c r="N1871" t="s">
        <v>187</v>
      </c>
      <c r="O1871">
        <v>2</v>
      </c>
      <c r="P1871">
        <v>0</v>
      </c>
      <c r="Q1871" s="6">
        <v>49.1</v>
      </c>
      <c r="R1871">
        <v>0</v>
      </c>
      <c r="S1871" s="6">
        <v>0</v>
      </c>
      <c r="T1871">
        <v>0</v>
      </c>
      <c r="U1871" s="6">
        <v>6306</v>
      </c>
      <c r="V1871">
        <v>0</v>
      </c>
      <c r="W1871">
        <v>0</v>
      </c>
      <c r="X1871">
        <v>0</v>
      </c>
      <c r="Y1871" s="6">
        <v>45.7</v>
      </c>
      <c r="Z1871">
        <v>0</v>
      </c>
      <c r="AA1871">
        <v>9.4E-2</v>
      </c>
      <c r="AB1871">
        <v>0.109</v>
      </c>
      <c r="AC1871">
        <v>6</v>
      </c>
      <c r="AD1871" s="6">
        <v>50</v>
      </c>
      <c r="AE1871" s="6">
        <v>0</v>
      </c>
      <c r="AF1871" s="6">
        <v>0</v>
      </c>
      <c r="AG1871" s="6">
        <v>53.18</v>
      </c>
      <c r="AH1871" s="6">
        <v>69.58</v>
      </c>
      <c r="AI1871" s="6">
        <f t="shared" si="58"/>
        <v>16.399999999999999</v>
      </c>
      <c r="AJ1871" s="5">
        <f t="shared" si="59"/>
        <v>0.23569991376832422</v>
      </c>
    </row>
    <row r="1872" spans="1:36">
      <c r="A1872" t="s">
        <v>537</v>
      </c>
      <c r="B1872" t="s">
        <v>2157</v>
      </c>
      <c r="C1872" t="s">
        <v>101</v>
      </c>
      <c r="D1872" t="s">
        <v>96</v>
      </c>
      <c r="E1872" t="s">
        <v>55</v>
      </c>
      <c r="F1872">
        <v>0</v>
      </c>
      <c r="G1872">
        <v>1477</v>
      </c>
      <c r="H1872">
        <v>1</v>
      </c>
      <c r="I1872" t="s">
        <v>220</v>
      </c>
      <c r="J1872">
        <v>2</v>
      </c>
      <c r="K1872" s="6">
        <v>3.89</v>
      </c>
      <c r="L1872" t="s">
        <v>174</v>
      </c>
      <c r="M1872">
        <v>0</v>
      </c>
      <c r="N1872" t="s">
        <v>187</v>
      </c>
      <c r="O1872">
        <v>2</v>
      </c>
      <c r="P1872">
        <v>0</v>
      </c>
      <c r="Q1872" s="6">
        <v>75.599999999999994</v>
      </c>
      <c r="R1872">
        <v>1</v>
      </c>
      <c r="S1872" s="6">
        <v>828</v>
      </c>
      <c r="T1872">
        <v>0</v>
      </c>
      <c r="U1872" s="6">
        <v>3850</v>
      </c>
      <c r="V1872">
        <v>0</v>
      </c>
      <c r="W1872">
        <v>0</v>
      </c>
      <c r="X1872">
        <v>0</v>
      </c>
      <c r="Y1872" s="6">
        <v>45.7</v>
      </c>
      <c r="Z1872">
        <v>0</v>
      </c>
      <c r="AA1872">
        <v>9.4E-2</v>
      </c>
      <c r="AB1872">
        <v>0.109</v>
      </c>
      <c r="AC1872">
        <v>6</v>
      </c>
      <c r="AD1872" s="6">
        <v>50</v>
      </c>
      <c r="AE1872" s="6">
        <v>25</v>
      </c>
      <c r="AF1872" s="6">
        <v>0</v>
      </c>
      <c r="AG1872" s="6">
        <v>67.42</v>
      </c>
      <c r="AH1872" s="6">
        <v>85.12</v>
      </c>
      <c r="AI1872" s="6">
        <f t="shared" si="58"/>
        <v>17.700000000000003</v>
      </c>
      <c r="AJ1872" s="5">
        <f t="shared" si="59"/>
        <v>0.20794172932330829</v>
      </c>
    </row>
    <row r="1873" spans="1:36">
      <c r="A1873" t="s">
        <v>236</v>
      </c>
      <c r="B1873" t="s">
        <v>2158</v>
      </c>
      <c r="C1873" t="s">
        <v>101</v>
      </c>
      <c r="D1873" t="s">
        <v>96</v>
      </c>
      <c r="E1873" t="s">
        <v>55</v>
      </c>
      <c r="F1873">
        <v>0</v>
      </c>
      <c r="G1873">
        <v>1477</v>
      </c>
      <c r="H1873">
        <v>1</v>
      </c>
      <c r="I1873" t="s">
        <v>173</v>
      </c>
      <c r="J1873">
        <v>1</v>
      </c>
      <c r="K1873" s="6">
        <v>1.98</v>
      </c>
      <c r="L1873" t="s">
        <v>174</v>
      </c>
      <c r="M1873">
        <v>0</v>
      </c>
      <c r="N1873" t="s">
        <v>187</v>
      </c>
      <c r="O1873">
        <v>2</v>
      </c>
      <c r="P1873">
        <v>0</v>
      </c>
      <c r="Q1873" s="6">
        <v>70.3</v>
      </c>
      <c r="R1873">
        <v>1</v>
      </c>
      <c r="S1873" s="6">
        <v>922</v>
      </c>
      <c r="T1873">
        <v>0</v>
      </c>
      <c r="U1873" s="6">
        <v>5318</v>
      </c>
      <c r="V1873">
        <v>0</v>
      </c>
      <c r="W1873">
        <v>0</v>
      </c>
      <c r="X1873">
        <v>0</v>
      </c>
      <c r="Y1873" s="6">
        <v>45.7</v>
      </c>
      <c r="Z1873">
        <v>0</v>
      </c>
      <c r="AA1873">
        <v>9.4E-2</v>
      </c>
      <c r="AB1873">
        <v>0.109</v>
      </c>
      <c r="AC1873">
        <v>6</v>
      </c>
      <c r="AD1873" s="6">
        <v>50</v>
      </c>
      <c r="AE1873" s="6">
        <v>25</v>
      </c>
      <c r="AF1873" s="6">
        <v>0</v>
      </c>
      <c r="AG1873" s="6">
        <v>58.62</v>
      </c>
      <c r="AH1873" s="6">
        <v>73.650000000000006</v>
      </c>
      <c r="AI1873" s="6">
        <f t="shared" si="58"/>
        <v>15.030000000000008</v>
      </c>
      <c r="AJ1873" s="5">
        <f t="shared" si="59"/>
        <v>0.20407331975560092</v>
      </c>
    </row>
    <row r="1874" spans="1:36">
      <c r="A1874" t="s">
        <v>411</v>
      </c>
      <c r="B1874" t="s">
        <v>2159</v>
      </c>
      <c r="C1874" t="s">
        <v>101</v>
      </c>
      <c r="D1874" t="s">
        <v>96</v>
      </c>
      <c r="E1874" t="s">
        <v>55</v>
      </c>
      <c r="F1874">
        <v>0</v>
      </c>
      <c r="G1874">
        <v>1477</v>
      </c>
      <c r="H1874">
        <v>1</v>
      </c>
      <c r="I1874" t="s">
        <v>173</v>
      </c>
      <c r="J1874">
        <v>1</v>
      </c>
      <c r="K1874" s="6">
        <v>2.11</v>
      </c>
      <c r="L1874" t="s">
        <v>174</v>
      </c>
      <c r="M1874">
        <v>0</v>
      </c>
      <c r="N1874" t="s">
        <v>182</v>
      </c>
      <c r="O1874">
        <v>3</v>
      </c>
      <c r="P1874">
        <v>0</v>
      </c>
      <c r="Q1874" s="6">
        <v>74.2</v>
      </c>
      <c r="R1874">
        <v>1</v>
      </c>
      <c r="S1874" s="6">
        <v>1401</v>
      </c>
      <c r="T1874">
        <v>0</v>
      </c>
      <c r="U1874" s="6">
        <v>6507</v>
      </c>
      <c r="V1874">
        <v>0</v>
      </c>
      <c r="W1874">
        <v>0</v>
      </c>
      <c r="X1874">
        <v>0</v>
      </c>
      <c r="Y1874" s="6">
        <v>45.7</v>
      </c>
      <c r="Z1874">
        <v>0</v>
      </c>
      <c r="AA1874">
        <v>9.4E-2</v>
      </c>
      <c r="AB1874">
        <v>0.109</v>
      </c>
      <c r="AC1874">
        <v>6</v>
      </c>
      <c r="AD1874" s="6">
        <v>50</v>
      </c>
      <c r="AE1874" s="6">
        <v>25</v>
      </c>
      <c r="AF1874" s="6">
        <v>0</v>
      </c>
      <c r="AG1874" s="6">
        <v>64.27</v>
      </c>
      <c r="AH1874" s="6">
        <v>81.760000000000005</v>
      </c>
      <c r="AI1874" s="6">
        <f t="shared" si="58"/>
        <v>17.490000000000009</v>
      </c>
      <c r="AJ1874" s="5">
        <f t="shared" si="59"/>
        <v>0.21391878669275941</v>
      </c>
    </row>
    <row r="1875" spans="1:36">
      <c r="A1875" t="s">
        <v>393</v>
      </c>
      <c r="B1875" t="s">
        <v>2160</v>
      </c>
      <c r="C1875" t="s">
        <v>101</v>
      </c>
      <c r="D1875" t="s">
        <v>96</v>
      </c>
      <c r="E1875" t="s">
        <v>55</v>
      </c>
      <c r="F1875">
        <v>0</v>
      </c>
      <c r="G1875">
        <v>1477</v>
      </c>
      <c r="H1875">
        <v>1</v>
      </c>
      <c r="I1875" t="s">
        <v>181</v>
      </c>
      <c r="J1875">
        <v>3</v>
      </c>
      <c r="K1875" s="6">
        <v>9.42</v>
      </c>
      <c r="L1875" t="s">
        <v>174</v>
      </c>
      <c r="M1875">
        <v>0</v>
      </c>
      <c r="N1875" t="s">
        <v>187</v>
      </c>
      <c r="O1875">
        <v>2</v>
      </c>
      <c r="P1875">
        <v>0</v>
      </c>
      <c r="Q1875" s="6">
        <v>40.9</v>
      </c>
      <c r="R1875">
        <v>1</v>
      </c>
      <c r="S1875" s="6">
        <v>2227</v>
      </c>
      <c r="T1875">
        <v>0</v>
      </c>
      <c r="U1875" s="6">
        <v>2953</v>
      </c>
      <c r="V1875">
        <v>0</v>
      </c>
      <c r="W1875">
        <v>0</v>
      </c>
      <c r="X1875">
        <v>0</v>
      </c>
      <c r="Y1875" s="6">
        <v>45.7</v>
      </c>
      <c r="Z1875">
        <v>0</v>
      </c>
      <c r="AA1875">
        <v>9.4E-2</v>
      </c>
      <c r="AB1875">
        <v>0.109</v>
      </c>
      <c r="AC1875">
        <v>6</v>
      </c>
      <c r="AD1875" s="6">
        <v>60</v>
      </c>
      <c r="AE1875" s="6">
        <v>40</v>
      </c>
      <c r="AF1875" s="6">
        <v>0</v>
      </c>
      <c r="AG1875" s="6">
        <v>99.88</v>
      </c>
      <c r="AH1875" s="6">
        <v>125.72</v>
      </c>
      <c r="AI1875" s="6">
        <f t="shared" si="58"/>
        <v>25.840000000000003</v>
      </c>
      <c r="AJ1875" s="5">
        <f t="shared" si="59"/>
        <v>0.20553611199490934</v>
      </c>
    </row>
    <row r="1876" spans="1:36">
      <c r="A1876" t="s">
        <v>204</v>
      </c>
      <c r="B1876" t="s">
        <v>2161</v>
      </c>
      <c r="C1876" t="s">
        <v>101</v>
      </c>
      <c r="D1876" t="s">
        <v>96</v>
      </c>
      <c r="E1876" t="s">
        <v>55</v>
      </c>
      <c r="F1876">
        <v>0</v>
      </c>
      <c r="G1876">
        <v>1477</v>
      </c>
      <c r="H1876">
        <v>1</v>
      </c>
      <c r="I1876" t="s">
        <v>173</v>
      </c>
      <c r="J1876">
        <v>1</v>
      </c>
      <c r="K1876" s="6">
        <v>1.61</v>
      </c>
      <c r="L1876" t="s">
        <v>174</v>
      </c>
      <c r="M1876">
        <v>0</v>
      </c>
      <c r="N1876" t="s">
        <v>182</v>
      </c>
      <c r="O1876">
        <v>3</v>
      </c>
      <c r="P1876">
        <v>1</v>
      </c>
      <c r="Q1876" s="6">
        <v>83.8</v>
      </c>
      <c r="R1876">
        <v>1</v>
      </c>
      <c r="S1876" s="6">
        <v>964</v>
      </c>
      <c r="T1876">
        <v>0</v>
      </c>
      <c r="U1876" s="6">
        <v>3332</v>
      </c>
      <c r="V1876">
        <v>0</v>
      </c>
      <c r="W1876">
        <v>0</v>
      </c>
      <c r="X1876">
        <v>0</v>
      </c>
      <c r="Y1876" s="6">
        <v>45.7</v>
      </c>
      <c r="Z1876">
        <v>0</v>
      </c>
      <c r="AA1876">
        <v>9.4E-2</v>
      </c>
      <c r="AB1876">
        <v>0.109</v>
      </c>
      <c r="AC1876">
        <v>6</v>
      </c>
      <c r="AD1876" s="6">
        <v>50</v>
      </c>
      <c r="AE1876" s="6">
        <v>25</v>
      </c>
      <c r="AF1876" s="6">
        <v>0</v>
      </c>
      <c r="AG1876" s="6">
        <v>90.84</v>
      </c>
      <c r="AH1876" s="6">
        <v>114.28</v>
      </c>
      <c r="AI1876" s="6">
        <f t="shared" si="58"/>
        <v>23.439999999999998</v>
      </c>
      <c r="AJ1876" s="5">
        <f t="shared" si="59"/>
        <v>0.20511025551277562</v>
      </c>
    </row>
    <row r="1877" spans="1:36">
      <c r="A1877" t="s">
        <v>362</v>
      </c>
      <c r="B1877" t="s">
        <v>2162</v>
      </c>
      <c r="C1877" t="s">
        <v>101</v>
      </c>
      <c r="D1877" t="s">
        <v>96</v>
      </c>
      <c r="E1877" t="s">
        <v>55</v>
      </c>
      <c r="F1877">
        <v>0</v>
      </c>
      <c r="G1877">
        <v>1477</v>
      </c>
      <c r="H1877">
        <v>1</v>
      </c>
      <c r="I1877" t="s">
        <v>181</v>
      </c>
      <c r="J1877">
        <v>3</v>
      </c>
      <c r="K1877" s="6">
        <v>8.31</v>
      </c>
      <c r="L1877" t="s">
        <v>174</v>
      </c>
      <c r="M1877">
        <v>0</v>
      </c>
      <c r="N1877" t="s">
        <v>175</v>
      </c>
      <c r="O1877">
        <v>1</v>
      </c>
      <c r="P1877">
        <v>0</v>
      </c>
      <c r="Q1877" s="6">
        <v>35</v>
      </c>
      <c r="R1877">
        <v>0</v>
      </c>
      <c r="S1877" s="6">
        <v>0</v>
      </c>
      <c r="T1877">
        <v>0</v>
      </c>
      <c r="U1877" s="6">
        <v>4843</v>
      </c>
      <c r="V1877">
        <v>0</v>
      </c>
      <c r="W1877">
        <v>0</v>
      </c>
      <c r="X1877">
        <v>0</v>
      </c>
      <c r="Y1877" s="6">
        <v>45.7</v>
      </c>
      <c r="Z1877">
        <v>0</v>
      </c>
      <c r="AA1877">
        <v>9.4E-2</v>
      </c>
      <c r="AB1877">
        <v>0.109</v>
      </c>
      <c r="AC1877">
        <v>6</v>
      </c>
      <c r="AD1877" s="6">
        <v>60</v>
      </c>
      <c r="AE1877" s="6">
        <v>0</v>
      </c>
      <c r="AF1877" s="6">
        <v>0</v>
      </c>
      <c r="AG1877" s="6">
        <v>91.76</v>
      </c>
      <c r="AH1877" s="6">
        <v>115.21</v>
      </c>
      <c r="AI1877" s="6">
        <f t="shared" si="58"/>
        <v>23.449999999999989</v>
      </c>
      <c r="AJ1877" s="5">
        <f t="shared" si="59"/>
        <v>0.20354135925700886</v>
      </c>
    </row>
    <row r="1878" spans="1:36">
      <c r="A1878" t="s">
        <v>223</v>
      </c>
      <c r="B1878" t="s">
        <v>2163</v>
      </c>
      <c r="C1878" t="s">
        <v>101</v>
      </c>
      <c r="D1878" t="s">
        <v>96</v>
      </c>
      <c r="E1878" t="s">
        <v>55</v>
      </c>
      <c r="F1878">
        <v>0</v>
      </c>
      <c r="G1878">
        <v>1477</v>
      </c>
      <c r="H1878">
        <v>1</v>
      </c>
      <c r="I1878" t="s">
        <v>220</v>
      </c>
      <c r="J1878">
        <v>2</v>
      </c>
      <c r="K1878" s="6">
        <v>4.72</v>
      </c>
      <c r="L1878" t="s">
        <v>174</v>
      </c>
      <c r="M1878">
        <v>0</v>
      </c>
      <c r="N1878" t="s">
        <v>187</v>
      </c>
      <c r="O1878">
        <v>2</v>
      </c>
      <c r="P1878">
        <v>0</v>
      </c>
      <c r="Q1878" s="6">
        <v>61.1</v>
      </c>
      <c r="R1878">
        <v>0</v>
      </c>
      <c r="S1878" s="6">
        <v>0</v>
      </c>
      <c r="T1878">
        <v>0</v>
      </c>
      <c r="U1878" s="6">
        <v>12667</v>
      </c>
      <c r="V1878">
        <v>0</v>
      </c>
      <c r="W1878">
        <v>0</v>
      </c>
      <c r="X1878">
        <v>0</v>
      </c>
      <c r="Y1878" s="6">
        <v>45.7</v>
      </c>
      <c r="Z1878">
        <v>0</v>
      </c>
      <c r="AA1878">
        <v>9.4E-2</v>
      </c>
      <c r="AB1878">
        <v>0.109</v>
      </c>
      <c r="AC1878">
        <v>6</v>
      </c>
      <c r="AD1878" s="6">
        <v>50</v>
      </c>
      <c r="AE1878" s="6">
        <v>0</v>
      </c>
      <c r="AF1878" s="6">
        <v>0</v>
      </c>
      <c r="AG1878" s="6">
        <v>61.4</v>
      </c>
      <c r="AH1878" s="6">
        <v>79.89</v>
      </c>
      <c r="AI1878" s="6">
        <f t="shared" si="58"/>
        <v>18.490000000000002</v>
      </c>
      <c r="AJ1878" s="5">
        <f t="shared" si="59"/>
        <v>0.23144323444736514</v>
      </c>
    </row>
    <row r="1879" spans="1:36">
      <c r="A1879" t="s">
        <v>501</v>
      </c>
      <c r="B1879" t="s">
        <v>2164</v>
      </c>
      <c r="C1879" t="s">
        <v>101</v>
      </c>
      <c r="D1879" t="s">
        <v>96</v>
      </c>
      <c r="E1879" t="s">
        <v>55</v>
      </c>
      <c r="F1879">
        <v>0</v>
      </c>
      <c r="G1879">
        <v>1477</v>
      </c>
      <c r="H1879">
        <v>1</v>
      </c>
      <c r="I1879" t="s">
        <v>173</v>
      </c>
      <c r="J1879">
        <v>1</v>
      </c>
      <c r="K1879" s="6">
        <v>0.94</v>
      </c>
      <c r="L1879" t="s">
        <v>174</v>
      </c>
      <c r="M1879">
        <v>0</v>
      </c>
      <c r="N1879" t="s">
        <v>175</v>
      </c>
      <c r="O1879">
        <v>1</v>
      </c>
      <c r="P1879">
        <v>0</v>
      </c>
      <c r="Q1879" s="6">
        <v>31.6</v>
      </c>
      <c r="R1879">
        <v>0</v>
      </c>
      <c r="S1879" s="6">
        <v>0</v>
      </c>
      <c r="T1879">
        <v>0</v>
      </c>
      <c r="U1879" s="6">
        <v>5748</v>
      </c>
      <c r="V1879">
        <v>1</v>
      </c>
      <c r="W1879">
        <v>0</v>
      </c>
      <c r="X1879">
        <v>0</v>
      </c>
      <c r="Y1879" s="6">
        <v>45.7</v>
      </c>
      <c r="Z1879">
        <v>0</v>
      </c>
      <c r="AA1879">
        <v>9.4E-2</v>
      </c>
      <c r="AB1879">
        <v>0.109</v>
      </c>
      <c r="AC1879">
        <v>6</v>
      </c>
      <c r="AD1879" s="6">
        <v>50</v>
      </c>
      <c r="AE1879" s="6">
        <v>0</v>
      </c>
      <c r="AF1879" s="6">
        <v>0</v>
      </c>
      <c r="AG1879" s="6">
        <v>80.44</v>
      </c>
      <c r="AH1879" s="6">
        <v>101.84</v>
      </c>
      <c r="AI1879" s="6">
        <f t="shared" si="58"/>
        <v>21.400000000000006</v>
      </c>
      <c r="AJ1879" s="5">
        <f t="shared" si="59"/>
        <v>0.21013354281225458</v>
      </c>
    </row>
    <row r="1880" spans="1:36">
      <c r="A1880" t="s">
        <v>176</v>
      </c>
      <c r="B1880" t="s">
        <v>2165</v>
      </c>
      <c r="C1880" t="s">
        <v>101</v>
      </c>
      <c r="D1880" t="s">
        <v>96</v>
      </c>
      <c r="E1880" t="s">
        <v>55</v>
      </c>
      <c r="F1880">
        <v>0</v>
      </c>
      <c r="G1880">
        <v>1477</v>
      </c>
      <c r="H1880">
        <v>1</v>
      </c>
      <c r="I1880" t="s">
        <v>173</v>
      </c>
      <c r="J1880">
        <v>1</v>
      </c>
      <c r="K1880" s="6">
        <v>1.93</v>
      </c>
      <c r="L1880" t="s">
        <v>174</v>
      </c>
      <c r="M1880">
        <v>0</v>
      </c>
      <c r="N1880" t="s">
        <v>175</v>
      </c>
      <c r="O1880">
        <v>1</v>
      </c>
      <c r="P1880">
        <v>0</v>
      </c>
      <c r="Q1880" s="6">
        <v>19.7</v>
      </c>
      <c r="R1880">
        <v>0</v>
      </c>
      <c r="S1880" s="6">
        <v>0</v>
      </c>
      <c r="T1880">
        <v>0</v>
      </c>
      <c r="U1880" s="6">
        <v>2494</v>
      </c>
      <c r="V1880">
        <v>0</v>
      </c>
      <c r="W1880">
        <v>0</v>
      </c>
      <c r="X1880">
        <v>0</v>
      </c>
      <c r="Y1880" s="6">
        <v>45.7</v>
      </c>
      <c r="Z1880">
        <v>0</v>
      </c>
      <c r="AA1880">
        <v>9.4E-2</v>
      </c>
      <c r="AB1880">
        <v>0.109</v>
      </c>
      <c r="AC1880">
        <v>6</v>
      </c>
      <c r="AD1880" s="6">
        <v>50</v>
      </c>
      <c r="AE1880" s="6">
        <v>0</v>
      </c>
      <c r="AF1880" s="6">
        <v>0</v>
      </c>
      <c r="AG1880" s="6">
        <v>47.23</v>
      </c>
      <c r="AH1880" s="6">
        <v>59.19</v>
      </c>
      <c r="AI1880" s="6">
        <f t="shared" si="58"/>
        <v>11.96</v>
      </c>
      <c r="AJ1880" s="5">
        <f t="shared" si="59"/>
        <v>0.20206115897955737</v>
      </c>
    </row>
    <row r="1881" spans="1:36">
      <c r="A1881" t="s">
        <v>238</v>
      </c>
      <c r="B1881" t="s">
        <v>2166</v>
      </c>
      <c r="C1881" t="s">
        <v>101</v>
      </c>
      <c r="D1881" t="s">
        <v>96</v>
      </c>
      <c r="E1881" t="s">
        <v>55</v>
      </c>
      <c r="F1881">
        <v>0</v>
      </c>
      <c r="G1881">
        <v>1477</v>
      </c>
      <c r="H1881">
        <v>1</v>
      </c>
      <c r="I1881" t="s">
        <v>173</v>
      </c>
      <c r="J1881">
        <v>1</v>
      </c>
      <c r="K1881" s="6">
        <v>1</v>
      </c>
      <c r="L1881" t="s">
        <v>174</v>
      </c>
      <c r="M1881">
        <v>0</v>
      </c>
      <c r="N1881" t="s">
        <v>182</v>
      </c>
      <c r="O1881">
        <v>3</v>
      </c>
      <c r="P1881">
        <v>0</v>
      </c>
      <c r="Q1881" s="6">
        <v>84.6</v>
      </c>
      <c r="R1881">
        <v>1</v>
      </c>
      <c r="S1881" s="6">
        <v>830</v>
      </c>
      <c r="T1881">
        <v>0</v>
      </c>
      <c r="U1881" s="6">
        <v>6729</v>
      </c>
      <c r="V1881">
        <v>0</v>
      </c>
      <c r="W1881">
        <v>0</v>
      </c>
      <c r="X1881">
        <v>0</v>
      </c>
      <c r="Y1881" s="6">
        <v>45.7</v>
      </c>
      <c r="Z1881">
        <v>0</v>
      </c>
      <c r="AA1881">
        <v>9.4E-2</v>
      </c>
      <c r="AB1881">
        <v>0.109</v>
      </c>
      <c r="AC1881">
        <v>6</v>
      </c>
      <c r="AD1881" s="6">
        <v>50</v>
      </c>
      <c r="AE1881" s="6">
        <v>25</v>
      </c>
      <c r="AF1881" s="6">
        <v>0</v>
      </c>
      <c r="AG1881" s="6">
        <v>65.69</v>
      </c>
      <c r="AH1881" s="6">
        <v>84.62</v>
      </c>
      <c r="AI1881" s="6">
        <f t="shared" si="58"/>
        <v>18.930000000000007</v>
      </c>
      <c r="AJ1881" s="5">
        <f t="shared" si="59"/>
        <v>0.22370597967383604</v>
      </c>
    </row>
    <row r="1882" spans="1:36">
      <c r="A1882" t="s">
        <v>316</v>
      </c>
      <c r="B1882" t="s">
        <v>2167</v>
      </c>
      <c r="C1882" t="s">
        <v>101</v>
      </c>
      <c r="D1882" t="s">
        <v>96</v>
      </c>
      <c r="E1882" t="s">
        <v>55</v>
      </c>
      <c r="F1882">
        <v>0</v>
      </c>
      <c r="G1882">
        <v>1477</v>
      </c>
      <c r="H1882">
        <v>1</v>
      </c>
      <c r="I1882" t="s">
        <v>173</v>
      </c>
      <c r="J1882">
        <v>1</v>
      </c>
      <c r="K1882" s="6">
        <v>2.08</v>
      </c>
      <c r="L1882" t="s">
        <v>174</v>
      </c>
      <c r="M1882">
        <v>0</v>
      </c>
      <c r="N1882" t="s">
        <v>175</v>
      </c>
      <c r="O1882">
        <v>1</v>
      </c>
      <c r="P1882">
        <v>0</v>
      </c>
      <c r="Q1882" s="6">
        <v>33.9</v>
      </c>
      <c r="R1882">
        <v>1</v>
      </c>
      <c r="S1882" s="6">
        <v>1402</v>
      </c>
      <c r="T1882">
        <v>0</v>
      </c>
      <c r="U1882" s="6">
        <v>3430</v>
      </c>
      <c r="V1882">
        <v>0</v>
      </c>
      <c r="W1882">
        <v>1</v>
      </c>
      <c r="X1882">
        <v>0</v>
      </c>
      <c r="Y1882" s="6">
        <v>45.7</v>
      </c>
      <c r="Z1882">
        <v>0</v>
      </c>
      <c r="AA1882">
        <v>9.4E-2</v>
      </c>
      <c r="AB1882">
        <v>0.109</v>
      </c>
      <c r="AC1882">
        <v>6</v>
      </c>
      <c r="AD1882" s="6">
        <v>50</v>
      </c>
      <c r="AE1882" s="6">
        <v>25</v>
      </c>
      <c r="AF1882" s="6">
        <v>0</v>
      </c>
      <c r="AG1882" s="6">
        <v>78.86</v>
      </c>
      <c r="AH1882" s="6">
        <v>100.61</v>
      </c>
      <c r="AI1882" s="6">
        <f t="shared" si="58"/>
        <v>21.75</v>
      </c>
      <c r="AJ1882" s="5">
        <f t="shared" si="59"/>
        <v>0.21618129410595369</v>
      </c>
    </row>
    <row r="1883" spans="1:36">
      <c r="A1883" t="s">
        <v>602</v>
      </c>
      <c r="B1883" t="s">
        <v>2168</v>
      </c>
      <c r="C1883" t="s">
        <v>101</v>
      </c>
      <c r="D1883" t="s">
        <v>96</v>
      </c>
      <c r="E1883" t="s">
        <v>55</v>
      </c>
      <c r="F1883">
        <v>0</v>
      </c>
      <c r="G1883">
        <v>1477</v>
      </c>
      <c r="H1883">
        <v>1</v>
      </c>
      <c r="I1883" t="s">
        <v>220</v>
      </c>
      <c r="J1883">
        <v>2</v>
      </c>
      <c r="K1883" s="6">
        <v>2.06</v>
      </c>
      <c r="L1883" t="s">
        <v>174</v>
      </c>
      <c r="M1883">
        <v>0</v>
      </c>
      <c r="N1883" t="s">
        <v>175</v>
      </c>
      <c r="O1883">
        <v>1</v>
      </c>
      <c r="P1883">
        <v>0</v>
      </c>
      <c r="Q1883" s="6">
        <v>40.4</v>
      </c>
      <c r="R1883">
        <v>0</v>
      </c>
      <c r="S1883" s="6">
        <v>0</v>
      </c>
      <c r="T1883">
        <v>0</v>
      </c>
      <c r="U1883" s="6">
        <v>2986</v>
      </c>
      <c r="V1883">
        <v>0</v>
      </c>
      <c r="W1883">
        <v>0</v>
      </c>
      <c r="X1883">
        <v>1</v>
      </c>
      <c r="Y1883" s="6">
        <v>45.7</v>
      </c>
      <c r="Z1883">
        <v>0</v>
      </c>
      <c r="AA1883">
        <v>9.4E-2</v>
      </c>
      <c r="AB1883">
        <v>0.109</v>
      </c>
      <c r="AC1883">
        <v>6</v>
      </c>
      <c r="AD1883" s="6">
        <v>50</v>
      </c>
      <c r="AE1883" s="6">
        <v>0</v>
      </c>
      <c r="AF1883" s="6">
        <v>0</v>
      </c>
      <c r="AG1883" s="6">
        <v>54.17</v>
      </c>
      <c r="AH1883" s="6">
        <v>70.510000000000005</v>
      </c>
      <c r="AI1883" s="6">
        <f t="shared" si="58"/>
        <v>16.340000000000003</v>
      </c>
      <c r="AJ1883" s="5">
        <f t="shared" si="59"/>
        <v>0.23174017869805705</v>
      </c>
    </row>
    <row r="1884" spans="1:36">
      <c r="A1884" t="s">
        <v>255</v>
      </c>
      <c r="B1884" t="s">
        <v>2169</v>
      </c>
      <c r="C1884" t="s">
        <v>101</v>
      </c>
      <c r="D1884" t="s">
        <v>96</v>
      </c>
      <c r="E1884" t="s">
        <v>55</v>
      </c>
      <c r="F1884">
        <v>0</v>
      </c>
      <c r="G1884">
        <v>1477</v>
      </c>
      <c r="H1884">
        <v>1</v>
      </c>
      <c r="I1884" t="s">
        <v>173</v>
      </c>
      <c r="J1884">
        <v>1</v>
      </c>
      <c r="K1884" s="6">
        <v>2.94</v>
      </c>
      <c r="L1884" t="s">
        <v>174</v>
      </c>
      <c r="M1884">
        <v>0</v>
      </c>
      <c r="N1884" t="s">
        <v>187</v>
      </c>
      <c r="O1884">
        <v>2</v>
      </c>
      <c r="P1884">
        <v>0</v>
      </c>
      <c r="Q1884" s="6">
        <v>38.9</v>
      </c>
      <c r="R1884">
        <v>0</v>
      </c>
      <c r="S1884" s="6">
        <v>0</v>
      </c>
      <c r="T1884">
        <v>0</v>
      </c>
      <c r="U1884" s="6">
        <v>5562</v>
      </c>
      <c r="V1884">
        <v>0</v>
      </c>
      <c r="W1884">
        <v>0</v>
      </c>
      <c r="X1884">
        <v>0</v>
      </c>
      <c r="Y1884" s="6">
        <v>45.7</v>
      </c>
      <c r="Z1884">
        <v>0</v>
      </c>
      <c r="AA1884">
        <v>9.4E-2</v>
      </c>
      <c r="AB1884">
        <v>0.109</v>
      </c>
      <c r="AC1884">
        <v>6</v>
      </c>
      <c r="AD1884" s="6">
        <v>50</v>
      </c>
      <c r="AE1884" s="6">
        <v>0</v>
      </c>
      <c r="AF1884" s="6">
        <v>0</v>
      </c>
      <c r="AG1884" s="6">
        <v>56.43</v>
      </c>
      <c r="AH1884" s="6">
        <v>74.48</v>
      </c>
      <c r="AI1884" s="6">
        <f t="shared" si="58"/>
        <v>18.050000000000004</v>
      </c>
      <c r="AJ1884" s="5">
        <f t="shared" si="59"/>
        <v>0.24234693877551025</v>
      </c>
    </row>
    <row r="1885" spans="1:36">
      <c r="A1885" t="s">
        <v>279</v>
      </c>
      <c r="B1885" t="s">
        <v>2170</v>
      </c>
      <c r="C1885" t="s">
        <v>101</v>
      </c>
      <c r="D1885" t="s">
        <v>96</v>
      </c>
      <c r="E1885" t="s">
        <v>55</v>
      </c>
      <c r="F1885">
        <v>0</v>
      </c>
      <c r="G1885">
        <v>1477</v>
      </c>
      <c r="H1885">
        <v>1</v>
      </c>
      <c r="I1885" t="s">
        <v>181</v>
      </c>
      <c r="J1885">
        <v>3</v>
      </c>
      <c r="K1885" s="6">
        <v>5.64</v>
      </c>
      <c r="L1885" t="s">
        <v>174</v>
      </c>
      <c r="M1885">
        <v>0</v>
      </c>
      <c r="N1885" t="s">
        <v>175</v>
      </c>
      <c r="O1885">
        <v>1</v>
      </c>
      <c r="P1885">
        <v>0</v>
      </c>
      <c r="Q1885" s="6">
        <v>35.200000000000003</v>
      </c>
      <c r="R1885">
        <v>1</v>
      </c>
      <c r="S1885" s="6">
        <v>2018</v>
      </c>
      <c r="T1885">
        <v>0</v>
      </c>
      <c r="U1885" s="6">
        <v>5362</v>
      </c>
      <c r="V1885">
        <v>0</v>
      </c>
      <c r="W1885">
        <v>0</v>
      </c>
      <c r="X1885">
        <v>0</v>
      </c>
      <c r="Y1885" s="6">
        <v>45.7</v>
      </c>
      <c r="Z1885">
        <v>0</v>
      </c>
      <c r="AA1885">
        <v>9.4E-2</v>
      </c>
      <c r="AB1885">
        <v>0.109</v>
      </c>
      <c r="AC1885">
        <v>6</v>
      </c>
      <c r="AD1885" s="6">
        <v>60</v>
      </c>
      <c r="AE1885" s="6">
        <v>40</v>
      </c>
      <c r="AF1885" s="6">
        <v>0</v>
      </c>
      <c r="AG1885" s="6">
        <v>75.59</v>
      </c>
      <c r="AH1885" s="6">
        <v>99.15</v>
      </c>
      <c r="AI1885" s="6">
        <f t="shared" si="58"/>
        <v>23.560000000000002</v>
      </c>
      <c r="AJ1885" s="5">
        <f t="shared" si="59"/>
        <v>0.23761976802824006</v>
      </c>
    </row>
    <row r="1886" spans="1:36">
      <c r="A1886" t="s">
        <v>194</v>
      </c>
      <c r="B1886" t="s">
        <v>2171</v>
      </c>
      <c r="C1886" t="s">
        <v>101</v>
      </c>
      <c r="D1886" t="s">
        <v>96</v>
      </c>
      <c r="E1886" t="s">
        <v>55</v>
      </c>
      <c r="F1886">
        <v>0</v>
      </c>
      <c r="G1886">
        <v>1477</v>
      </c>
      <c r="H1886">
        <v>1</v>
      </c>
      <c r="I1886" t="s">
        <v>220</v>
      </c>
      <c r="J1886">
        <v>2</v>
      </c>
      <c r="K1886" s="6">
        <v>3.95</v>
      </c>
      <c r="L1886" t="s">
        <v>174</v>
      </c>
      <c r="M1886">
        <v>0</v>
      </c>
      <c r="N1886" t="s">
        <v>272</v>
      </c>
      <c r="O1886">
        <v>5</v>
      </c>
      <c r="P1886">
        <v>1</v>
      </c>
      <c r="Q1886" s="6">
        <v>228.7</v>
      </c>
      <c r="R1886">
        <v>1</v>
      </c>
      <c r="S1886" s="6">
        <v>958</v>
      </c>
      <c r="T1886">
        <v>0</v>
      </c>
      <c r="U1886" s="6">
        <v>12594</v>
      </c>
      <c r="V1886">
        <v>0</v>
      </c>
      <c r="W1886">
        <v>0</v>
      </c>
      <c r="X1886">
        <v>0</v>
      </c>
      <c r="Y1886" s="6">
        <v>45.7</v>
      </c>
      <c r="Z1886">
        <v>0</v>
      </c>
      <c r="AA1886">
        <v>9.4E-2</v>
      </c>
      <c r="AB1886">
        <v>0.109</v>
      </c>
      <c r="AC1886">
        <v>6</v>
      </c>
      <c r="AD1886" s="6">
        <v>50</v>
      </c>
      <c r="AE1886" s="6">
        <v>25</v>
      </c>
      <c r="AF1886" s="6">
        <v>0</v>
      </c>
      <c r="AG1886" s="6">
        <v>157.85</v>
      </c>
      <c r="AH1886" s="6">
        <v>198.75</v>
      </c>
      <c r="AI1886" s="6">
        <f t="shared" si="58"/>
        <v>40.900000000000006</v>
      </c>
      <c r="AJ1886" s="5">
        <f t="shared" si="59"/>
        <v>0.20578616352201259</v>
      </c>
    </row>
    <row r="1887" spans="1:36">
      <c r="A1887" t="s">
        <v>236</v>
      </c>
      <c r="B1887" t="s">
        <v>2172</v>
      </c>
      <c r="C1887" t="s">
        <v>101</v>
      </c>
      <c r="D1887" t="s">
        <v>96</v>
      </c>
      <c r="E1887" t="s">
        <v>55</v>
      </c>
      <c r="F1887">
        <v>0</v>
      </c>
      <c r="G1887">
        <v>1477</v>
      </c>
      <c r="H1887">
        <v>1</v>
      </c>
      <c r="I1887" t="s">
        <v>173</v>
      </c>
      <c r="J1887">
        <v>1</v>
      </c>
      <c r="K1887" s="6">
        <v>1.76</v>
      </c>
      <c r="L1887" t="s">
        <v>174</v>
      </c>
      <c r="M1887">
        <v>0</v>
      </c>
      <c r="N1887" t="s">
        <v>175</v>
      </c>
      <c r="O1887">
        <v>1</v>
      </c>
      <c r="P1887">
        <v>0</v>
      </c>
      <c r="Q1887" s="6">
        <v>42.6</v>
      </c>
      <c r="R1887">
        <v>0</v>
      </c>
      <c r="S1887" s="6">
        <v>0</v>
      </c>
      <c r="T1887">
        <v>0</v>
      </c>
      <c r="U1887" s="6">
        <v>5400</v>
      </c>
      <c r="V1887">
        <v>0</v>
      </c>
      <c r="W1887">
        <v>0</v>
      </c>
      <c r="X1887">
        <v>0</v>
      </c>
      <c r="Y1887" s="6">
        <v>45.7</v>
      </c>
      <c r="Z1887">
        <v>0</v>
      </c>
      <c r="AA1887">
        <v>9.4E-2</v>
      </c>
      <c r="AB1887">
        <v>0.109</v>
      </c>
      <c r="AC1887">
        <v>6</v>
      </c>
      <c r="AD1887" s="6">
        <v>50</v>
      </c>
      <c r="AE1887" s="6">
        <v>0</v>
      </c>
      <c r="AF1887" s="6">
        <v>0</v>
      </c>
      <c r="AG1887" s="6">
        <v>51.31</v>
      </c>
      <c r="AH1887" s="6">
        <v>66.44</v>
      </c>
      <c r="AI1887" s="6">
        <f t="shared" si="58"/>
        <v>15.129999999999995</v>
      </c>
      <c r="AJ1887" s="5">
        <f t="shared" si="59"/>
        <v>0.22772426249247435</v>
      </c>
    </row>
    <row r="1888" spans="1:36">
      <c r="A1888" t="s">
        <v>212</v>
      </c>
      <c r="B1888" t="s">
        <v>2173</v>
      </c>
      <c r="C1888" t="s">
        <v>101</v>
      </c>
      <c r="D1888" t="s">
        <v>96</v>
      </c>
      <c r="E1888" t="s">
        <v>55</v>
      </c>
      <c r="F1888">
        <v>0</v>
      </c>
      <c r="G1888">
        <v>1477</v>
      </c>
      <c r="H1888">
        <v>1</v>
      </c>
      <c r="I1888" t="s">
        <v>173</v>
      </c>
      <c r="J1888">
        <v>1</v>
      </c>
      <c r="K1888" s="6">
        <v>1.47</v>
      </c>
      <c r="L1888" t="s">
        <v>174</v>
      </c>
      <c r="M1888">
        <v>0</v>
      </c>
      <c r="N1888" t="s">
        <v>187</v>
      </c>
      <c r="O1888">
        <v>2</v>
      </c>
      <c r="P1888">
        <v>0</v>
      </c>
      <c r="Q1888" s="6">
        <v>30.3</v>
      </c>
      <c r="R1888">
        <v>1</v>
      </c>
      <c r="S1888" s="6">
        <v>1156</v>
      </c>
      <c r="T1888">
        <v>0</v>
      </c>
      <c r="U1888" s="6">
        <v>1917</v>
      </c>
      <c r="V1888">
        <v>0</v>
      </c>
      <c r="W1888">
        <v>0</v>
      </c>
      <c r="X1888">
        <v>0</v>
      </c>
      <c r="Y1888" s="6">
        <v>45.7</v>
      </c>
      <c r="Z1888">
        <v>0</v>
      </c>
      <c r="AA1888">
        <v>9.4E-2</v>
      </c>
      <c r="AB1888">
        <v>0.109</v>
      </c>
      <c r="AC1888">
        <v>6</v>
      </c>
      <c r="AD1888" s="6">
        <v>50</v>
      </c>
      <c r="AE1888" s="6">
        <v>25</v>
      </c>
      <c r="AF1888" s="6">
        <v>0</v>
      </c>
      <c r="AG1888" s="6">
        <v>61.13</v>
      </c>
      <c r="AH1888" s="6">
        <v>77.94</v>
      </c>
      <c r="AI1888" s="6">
        <f t="shared" si="58"/>
        <v>16.809999999999995</v>
      </c>
      <c r="AJ1888" s="5">
        <f t="shared" si="59"/>
        <v>0.21567872722607129</v>
      </c>
    </row>
    <row r="1889" spans="1:36">
      <c r="A1889" t="s">
        <v>693</v>
      </c>
      <c r="B1889" t="s">
        <v>2174</v>
      </c>
      <c r="C1889" t="s">
        <v>101</v>
      </c>
      <c r="D1889" t="s">
        <v>96</v>
      </c>
      <c r="E1889" t="s">
        <v>55</v>
      </c>
      <c r="F1889">
        <v>0</v>
      </c>
      <c r="G1889">
        <v>1477</v>
      </c>
      <c r="H1889">
        <v>1</v>
      </c>
      <c r="I1889" t="s">
        <v>173</v>
      </c>
      <c r="J1889">
        <v>1</v>
      </c>
      <c r="K1889" s="6">
        <v>1.61</v>
      </c>
      <c r="L1889" t="s">
        <v>174</v>
      </c>
      <c r="M1889">
        <v>0</v>
      </c>
      <c r="N1889" t="s">
        <v>175</v>
      </c>
      <c r="O1889">
        <v>1</v>
      </c>
      <c r="P1889">
        <v>0</v>
      </c>
      <c r="Q1889" s="6">
        <v>40.799999999999997</v>
      </c>
      <c r="R1889">
        <v>1</v>
      </c>
      <c r="S1889" s="6">
        <v>1794</v>
      </c>
      <c r="T1889">
        <v>0</v>
      </c>
      <c r="U1889" s="6">
        <v>7018</v>
      </c>
      <c r="V1889">
        <v>0</v>
      </c>
      <c r="W1889">
        <v>0</v>
      </c>
      <c r="X1889">
        <v>0</v>
      </c>
      <c r="Y1889" s="6">
        <v>45.7</v>
      </c>
      <c r="Z1889">
        <v>0</v>
      </c>
      <c r="AA1889">
        <v>9.4E-2</v>
      </c>
      <c r="AB1889">
        <v>0.109</v>
      </c>
      <c r="AC1889">
        <v>6</v>
      </c>
      <c r="AD1889" s="6">
        <v>50</v>
      </c>
      <c r="AE1889" s="6">
        <v>25</v>
      </c>
      <c r="AF1889" s="6">
        <v>0</v>
      </c>
      <c r="AG1889" s="6">
        <v>50.29</v>
      </c>
      <c r="AH1889" s="6">
        <v>65.489999999999995</v>
      </c>
      <c r="AI1889" s="6">
        <f t="shared" si="58"/>
        <v>15.199999999999996</v>
      </c>
      <c r="AJ1889" s="5">
        <f t="shared" si="59"/>
        <v>0.2320965032829439</v>
      </c>
    </row>
    <row r="1890" spans="1:36">
      <c r="A1890" t="s">
        <v>693</v>
      </c>
      <c r="B1890" t="s">
        <v>2175</v>
      </c>
      <c r="C1890" t="s">
        <v>101</v>
      </c>
      <c r="D1890" t="s">
        <v>96</v>
      </c>
      <c r="E1890" t="s">
        <v>55</v>
      </c>
      <c r="F1890">
        <v>0</v>
      </c>
      <c r="G1890">
        <v>1477</v>
      </c>
      <c r="H1890">
        <v>1</v>
      </c>
      <c r="I1890" t="s">
        <v>173</v>
      </c>
      <c r="J1890">
        <v>1</v>
      </c>
      <c r="K1890" s="6">
        <v>2.39</v>
      </c>
      <c r="L1890" t="s">
        <v>174</v>
      </c>
      <c r="M1890">
        <v>0</v>
      </c>
      <c r="N1890" t="s">
        <v>175</v>
      </c>
      <c r="O1890">
        <v>1</v>
      </c>
      <c r="P1890">
        <v>1</v>
      </c>
      <c r="Q1890" s="6">
        <v>28.1</v>
      </c>
      <c r="R1890">
        <v>0</v>
      </c>
      <c r="S1890" s="6">
        <v>0</v>
      </c>
      <c r="T1890">
        <v>0</v>
      </c>
      <c r="U1890" s="6">
        <v>8861</v>
      </c>
      <c r="V1890">
        <v>1</v>
      </c>
      <c r="W1890">
        <v>0</v>
      </c>
      <c r="X1890">
        <v>0</v>
      </c>
      <c r="Y1890" s="6">
        <v>45.7</v>
      </c>
      <c r="Z1890">
        <v>0</v>
      </c>
      <c r="AA1890">
        <v>9.4E-2</v>
      </c>
      <c r="AB1890">
        <v>0.109</v>
      </c>
      <c r="AC1890">
        <v>6</v>
      </c>
      <c r="AD1890" s="6">
        <v>50</v>
      </c>
      <c r="AE1890" s="6">
        <v>0</v>
      </c>
      <c r="AF1890" s="6">
        <v>0</v>
      </c>
      <c r="AG1890" s="6">
        <v>128.75</v>
      </c>
      <c r="AH1890" s="6">
        <v>163.02000000000001</v>
      </c>
      <c r="AI1890" s="6">
        <f t="shared" si="58"/>
        <v>34.27000000000001</v>
      </c>
      <c r="AJ1890" s="5">
        <f t="shared" si="59"/>
        <v>0.21021960495644712</v>
      </c>
    </row>
    <row r="1891" spans="1:36">
      <c r="A1891" t="s">
        <v>210</v>
      </c>
      <c r="B1891" t="s">
        <v>2176</v>
      </c>
      <c r="C1891" t="s">
        <v>101</v>
      </c>
      <c r="D1891" t="s">
        <v>96</v>
      </c>
      <c r="E1891" t="s">
        <v>55</v>
      </c>
      <c r="F1891">
        <v>0</v>
      </c>
      <c r="G1891">
        <v>1477</v>
      </c>
      <c r="H1891">
        <v>1</v>
      </c>
      <c r="I1891" t="s">
        <v>181</v>
      </c>
      <c r="J1891">
        <v>3</v>
      </c>
      <c r="K1891" s="6">
        <v>10.33</v>
      </c>
      <c r="L1891" t="s">
        <v>174</v>
      </c>
      <c r="M1891">
        <v>0</v>
      </c>
      <c r="N1891" t="s">
        <v>175</v>
      </c>
      <c r="O1891">
        <v>1</v>
      </c>
      <c r="P1891">
        <v>0</v>
      </c>
      <c r="Q1891" s="6">
        <v>39.5</v>
      </c>
      <c r="R1891">
        <v>0</v>
      </c>
      <c r="S1891" s="6">
        <v>0</v>
      </c>
      <c r="T1891">
        <v>0</v>
      </c>
      <c r="U1891" s="6">
        <v>1700</v>
      </c>
      <c r="V1891">
        <v>0</v>
      </c>
      <c r="W1891">
        <v>0</v>
      </c>
      <c r="X1891">
        <v>0</v>
      </c>
      <c r="Y1891" s="6">
        <v>45.7</v>
      </c>
      <c r="Z1891">
        <v>0</v>
      </c>
      <c r="AA1891">
        <v>9.4E-2</v>
      </c>
      <c r="AB1891">
        <v>0.109</v>
      </c>
      <c r="AC1891">
        <v>6</v>
      </c>
      <c r="AD1891" s="6">
        <v>60</v>
      </c>
      <c r="AE1891" s="6">
        <v>0</v>
      </c>
      <c r="AF1891" s="6">
        <v>0</v>
      </c>
      <c r="AG1891" s="6">
        <v>88.17</v>
      </c>
      <c r="AH1891" s="6">
        <v>113.25</v>
      </c>
      <c r="AI1891" s="6">
        <f t="shared" si="58"/>
        <v>25.08</v>
      </c>
      <c r="AJ1891" s="5">
        <f t="shared" si="59"/>
        <v>0.2214569536423841</v>
      </c>
    </row>
    <row r="1892" spans="1:36">
      <c r="A1892" t="s">
        <v>306</v>
      </c>
      <c r="B1892" t="s">
        <v>2177</v>
      </c>
      <c r="C1892" t="s">
        <v>101</v>
      </c>
      <c r="D1892" t="s">
        <v>96</v>
      </c>
      <c r="E1892" t="s">
        <v>55</v>
      </c>
      <c r="F1892">
        <v>0</v>
      </c>
      <c r="G1892">
        <v>1477</v>
      </c>
      <c r="H1892">
        <v>1</v>
      </c>
      <c r="I1892" t="s">
        <v>220</v>
      </c>
      <c r="J1892">
        <v>2</v>
      </c>
      <c r="K1892" s="6">
        <v>3.42</v>
      </c>
      <c r="L1892" t="s">
        <v>174</v>
      </c>
      <c r="M1892">
        <v>0</v>
      </c>
      <c r="N1892" t="s">
        <v>187</v>
      </c>
      <c r="O1892">
        <v>2</v>
      </c>
      <c r="P1892">
        <v>0</v>
      </c>
      <c r="Q1892" s="6">
        <v>61.4</v>
      </c>
      <c r="R1892">
        <v>1</v>
      </c>
      <c r="S1892" s="6">
        <v>1233</v>
      </c>
      <c r="T1892">
        <v>0</v>
      </c>
      <c r="U1892" s="6">
        <v>1677</v>
      </c>
      <c r="V1892">
        <v>0</v>
      </c>
      <c r="W1892">
        <v>0</v>
      </c>
      <c r="X1892">
        <v>0</v>
      </c>
      <c r="Y1892" s="6">
        <v>45.7</v>
      </c>
      <c r="Z1892">
        <v>0</v>
      </c>
      <c r="AA1892">
        <v>9.4E-2</v>
      </c>
      <c r="AB1892">
        <v>0.109</v>
      </c>
      <c r="AC1892">
        <v>6</v>
      </c>
      <c r="AD1892" s="6">
        <v>50</v>
      </c>
      <c r="AE1892" s="6">
        <v>25</v>
      </c>
      <c r="AF1892" s="6">
        <v>0</v>
      </c>
      <c r="AG1892" s="6">
        <v>70.33</v>
      </c>
      <c r="AH1892" s="6">
        <v>89.13</v>
      </c>
      <c r="AI1892" s="6">
        <f t="shared" si="58"/>
        <v>18.799999999999997</v>
      </c>
      <c r="AJ1892" s="5">
        <f t="shared" si="59"/>
        <v>0.21092785818467405</v>
      </c>
    </row>
    <row r="1893" spans="1:36">
      <c r="A1893" t="s">
        <v>401</v>
      </c>
      <c r="B1893" t="s">
        <v>2178</v>
      </c>
      <c r="C1893" t="s">
        <v>101</v>
      </c>
      <c r="D1893" t="s">
        <v>96</v>
      </c>
      <c r="E1893" t="s">
        <v>55</v>
      </c>
      <c r="F1893">
        <v>0</v>
      </c>
      <c r="G1893">
        <v>1477</v>
      </c>
      <c r="H1893">
        <v>1</v>
      </c>
      <c r="I1893" t="s">
        <v>173</v>
      </c>
      <c r="J1893">
        <v>1</v>
      </c>
      <c r="K1893" s="6">
        <v>1.78</v>
      </c>
      <c r="L1893" t="s">
        <v>174</v>
      </c>
      <c r="M1893">
        <v>0</v>
      </c>
      <c r="N1893" t="s">
        <v>175</v>
      </c>
      <c r="O1893">
        <v>1</v>
      </c>
      <c r="P1893">
        <v>0</v>
      </c>
      <c r="Q1893" s="6">
        <v>17</v>
      </c>
      <c r="R1893">
        <v>1</v>
      </c>
      <c r="S1893" s="6">
        <v>6273</v>
      </c>
      <c r="T1893">
        <v>0</v>
      </c>
      <c r="U1893" s="6">
        <v>2229</v>
      </c>
      <c r="V1893">
        <v>0</v>
      </c>
      <c r="W1893">
        <v>0</v>
      </c>
      <c r="X1893">
        <v>0</v>
      </c>
      <c r="Y1893" s="6">
        <v>45.7</v>
      </c>
      <c r="Z1893">
        <v>0</v>
      </c>
      <c r="AA1893">
        <v>9.4E-2</v>
      </c>
      <c r="AB1893">
        <v>0.109</v>
      </c>
      <c r="AC1893">
        <v>6</v>
      </c>
      <c r="AD1893" s="6">
        <v>50</v>
      </c>
      <c r="AE1893" s="6">
        <v>50</v>
      </c>
      <c r="AF1893" s="6">
        <v>0</v>
      </c>
      <c r="AG1893" s="6">
        <v>50.88</v>
      </c>
      <c r="AH1893" s="6">
        <v>65.87</v>
      </c>
      <c r="AI1893" s="6">
        <f t="shared" si="58"/>
        <v>14.990000000000002</v>
      </c>
      <c r="AJ1893" s="5">
        <f t="shared" si="59"/>
        <v>0.2275694549870958</v>
      </c>
    </row>
    <row r="1894" spans="1:36">
      <c r="A1894" t="s">
        <v>300</v>
      </c>
      <c r="B1894" t="s">
        <v>2179</v>
      </c>
      <c r="C1894" t="s">
        <v>101</v>
      </c>
      <c r="D1894" t="s">
        <v>96</v>
      </c>
      <c r="E1894" t="s">
        <v>55</v>
      </c>
      <c r="F1894">
        <v>0</v>
      </c>
      <c r="G1894">
        <v>1477</v>
      </c>
      <c r="H1894">
        <v>1</v>
      </c>
      <c r="I1894" t="s">
        <v>173</v>
      </c>
      <c r="J1894">
        <v>1</v>
      </c>
      <c r="K1894" s="6">
        <v>2.09</v>
      </c>
      <c r="L1894" t="s">
        <v>174</v>
      </c>
      <c r="M1894">
        <v>0</v>
      </c>
      <c r="N1894" t="s">
        <v>182</v>
      </c>
      <c r="O1894">
        <v>3</v>
      </c>
      <c r="P1894">
        <v>0</v>
      </c>
      <c r="Q1894" s="6">
        <v>100.6</v>
      </c>
      <c r="R1894">
        <v>1</v>
      </c>
      <c r="S1894" s="6">
        <v>1812</v>
      </c>
      <c r="T1894">
        <v>0</v>
      </c>
      <c r="U1894" s="6">
        <v>2412</v>
      </c>
      <c r="V1894">
        <v>0</v>
      </c>
      <c r="W1894">
        <v>0</v>
      </c>
      <c r="X1894">
        <v>0</v>
      </c>
      <c r="Y1894" s="6">
        <v>45.7</v>
      </c>
      <c r="Z1894">
        <v>0</v>
      </c>
      <c r="AA1894">
        <v>9.4E-2</v>
      </c>
      <c r="AB1894">
        <v>0.109</v>
      </c>
      <c r="AC1894">
        <v>6</v>
      </c>
      <c r="AD1894" s="6">
        <v>50</v>
      </c>
      <c r="AE1894" s="6">
        <v>25</v>
      </c>
      <c r="AF1894" s="6">
        <v>0</v>
      </c>
      <c r="AG1894" s="6">
        <v>67.84</v>
      </c>
      <c r="AH1894" s="6">
        <v>85.01</v>
      </c>
      <c r="AI1894" s="6">
        <f t="shared" si="58"/>
        <v>17.170000000000002</v>
      </c>
      <c r="AJ1894" s="5">
        <f t="shared" si="59"/>
        <v>0.20197623808963652</v>
      </c>
    </row>
    <row r="1895" spans="1:36">
      <c r="A1895" t="s">
        <v>528</v>
      </c>
      <c r="B1895" t="s">
        <v>2180</v>
      </c>
      <c r="C1895" t="s">
        <v>101</v>
      </c>
      <c r="D1895" t="s">
        <v>96</v>
      </c>
      <c r="E1895" t="s">
        <v>55</v>
      </c>
      <c r="F1895">
        <v>0</v>
      </c>
      <c r="G1895">
        <v>1477</v>
      </c>
      <c r="H1895">
        <v>1</v>
      </c>
      <c r="I1895" t="s">
        <v>181</v>
      </c>
      <c r="J1895">
        <v>3</v>
      </c>
      <c r="K1895" s="6">
        <v>8.16</v>
      </c>
      <c r="L1895" t="s">
        <v>174</v>
      </c>
      <c r="M1895">
        <v>0</v>
      </c>
      <c r="N1895" t="s">
        <v>175</v>
      </c>
      <c r="O1895">
        <v>1</v>
      </c>
      <c r="P1895">
        <v>1</v>
      </c>
      <c r="Q1895" s="6">
        <v>29.6</v>
      </c>
      <c r="R1895">
        <v>0</v>
      </c>
      <c r="S1895" s="6">
        <v>0</v>
      </c>
      <c r="T1895">
        <v>0</v>
      </c>
      <c r="U1895" s="6">
        <v>2385</v>
      </c>
      <c r="V1895">
        <v>0</v>
      </c>
      <c r="W1895">
        <v>0</v>
      </c>
      <c r="X1895">
        <v>0</v>
      </c>
      <c r="Y1895" s="6">
        <v>45.7</v>
      </c>
      <c r="Z1895">
        <v>0</v>
      </c>
      <c r="AA1895">
        <v>9.4E-2</v>
      </c>
      <c r="AB1895">
        <v>0.109</v>
      </c>
      <c r="AC1895">
        <v>6</v>
      </c>
      <c r="AD1895" s="6">
        <v>60</v>
      </c>
      <c r="AE1895" s="6">
        <v>0</v>
      </c>
      <c r="AF1895" s="6">
        <v>0</v>
      </c>
      <c r="AG1895" s="6">
        <v>113.67</v>
      </c>
      <c r="AH1895" s="6">
        <v>145.07</v>
      </c>
      <c r="AI1895" s="6">
        <f t="shared" si="58"/>
        <v>31.399999999999991</v>
      </c>
      <c r="AJ1895" s="5">
        <f t="shared" si="59"/>
        <v>0.21644723237057967</v>
      </c>
    </row>
    <row r="1896" spans="1:36">
      <c r="A1896" t="s">
        <v>375</v>
      </c>
      <c r="B1896" t="s">
        <v>2181</v>
      </c>
      <c r="C1896" t="s">
        <v>101</v>
      </c>
      <c r="D1896" t="s">
        <v>96</v>
      </c>
      <c r="E1896" t="s">
        <v>55</v>
      </c>
      <c r="F1896">
        <v>0</v>
      </c>
      <c r="G1896">
        <v>1477</v>
      </c>
      <c r="H1896">
        <v>1</v>
      </c>
      <c r="I1896" t="s">
        <v>178</v>
      </c>
      <c r="J1896">
        <v>4</v>
      </c>
      <c r="K1896" s="6">
        <v>16</v>
      </c>
      <c r="L1896" t="s">
        <v>174</v>
      </c>
      <c r="M1896">
        <v>0</v>
      </c>
      <c r="N1896" t="s">
        <v>187</v>
      </c>
      <c r="O1896">
        <v>2</v>
      </c>
      <c r="P1896">
        <v>0</v>
      </c>
      <c r="Q1896" s="6">
        <v>41.8</v>
      </c>
      <c r="R1896">
        <v>0</v>
      </c>
      <c r="S1896" s="6">
        <v>0</v>
      </c>
      <c r="T1896">
        <v>0</v>
      </c>
      <c r="U1896" s="6">
        <v>2298</v>
      </c>
      <c r="V1896">
        <v>0</v>
      </c>
      <c r="W1896">
        <v>0</v>
      </c>
      <c r="X1896">
        <v>0</v>
      </c>
      <c r="Y1896" s="6">
        <v>45.7</v>
      </c>
      <c r="Z1896">
        <v>0</v>
      </c>
      <c r="AA1896">
        <v>9.4E-2</v>
      </c>
      <c r="AB1896">
        <v>0.109</v>
      </c>
      <c r="AC1896">
        <v>6</v>
      </c>
      <c r="AD1896" s="6">
        <v>65</v>
      </c>
      <c r="AE1896" s="6">
        <v>0</v>
      </c>
      <c r="AF1896" s="6">
        <v>0</v>
      </c>
      <c r="AG1896" s="6">
        <v>130.87</v>
      </c>
      <c r="AH1896" s="6">
        <v>166.69</v>
      </c>
      <c r="AI1896" s="6">
        <f t="shared" si="58"/>
        <v>35.819999999999993</v>
      </c>
      <c r="AJ1896" s="5">
        <f t="shared" si="59"/>
        <v>0.2148899154118423</v>
      </c>
    </row>
    <row r="1897" spans="1:36">
      <c r="A1897" t="s">
        <v>288</v>
      </c>
      <c r="B1897" t="s">
        <v>2182</v>
      </c>
      <c r="C1897" t="s">
        <v>101</v>
      </c>
      <c r="D1897" t="s">
        <v>96</v>
      </c>
      <c r="E1897" t="s">
        <v>55</v>
      </c>
      <c r="F1897">
        <v>0</v>
      </c>
      <c r="G1897">
        <v>1477</v>
      </c>
      <c r="H1897">
        <v>1</v>
      </c>
      <c r="I1897" t="s">
        <v>173</v>
      </c>
      <c r="J1897">
        <v>1</v>
      </c>
      <c r="K1897" s="6">
        <v>2.33</v>
      </c>
      <c r="L1897" t="s">
        <v>174</v>
      </c>
      <c r="M1897">
        <v>0</v>
      </c>
      <c r="N1897" t="s">
        <v>182</v>
      </c>
      <c r="O1897">
        <v>3</v>
      </c>
      <c r="P1897">
        <v>0</v>
      </c>
      <c r="Q1897" s="6">
        <v>129.30000000000001</v>
      </c>
      <c r="R1897">
        <v>0</v>
      </c>
      <c r="S1897" s="6">
        <v>0</v>
      </c>
      <c r="T1897">
        <v>0</v>
      </c>
      <c r="U1897" s="6">
        <v>3231</v>
      </c>
      <c r="V1897">
        <v>0</v>
      </c>
      <c r="W1897">
        <v>0</v>
      </c>
      <c r="X1897">
        <v>0</v>
      </c>
      <c r="Y1897" s="6">
        <v>45.7</v>
      </c>
      <c r="Z1897">
        <v>0</v>
      </c>
      <c r="AA1897">
        <v>9.4E-2</v>
      </c>
      <c r="AB1897">
        <v>0.109</v>
      </c>
      <c r="AC1897">
        <v>6</v>
      </c>
      <c r="AD1897" s="6">
        <v>50</v>
      </c>
      <c r="AE1897" s="6">
        <v>0</v>
      </c>
      <c r="AF1897" s="6">
        <v>0</v>
      </c>
      <c r="AG1897" s="6">
        <v>69.55</v>
      </c>
      <c r="AH1897" s="6">
        <v>90.61</v>
      </c>
      <c r="AI1897" s="6">
        <f t="shared" si="58"/>
        <v>21.060000000000002</v>
      </c>
      <c r="AJ1897" s="5">
        <f t="shared" si="59"/>
        <v>0.23242467718794838</v>
      </c>
    </row>
    <row r="1898" spans="1:36">
      <c r="A1898" t="s">
        <v>478</v>
      </c>
      <c r="B1898" t="s">
        <v>2183</v>
      </c>
      <c r="C1898" t="s">
        <v>101</v>
      </c>
      <c r="D1898" t="s">
        <v>96</v>
      </c>
      <c r="E1898" t="s">
        <v>55</v>
      </c>
      <c r="F1898">
        <v>0</v>
      </c>
      <c r="G1898">
        <v>1477</v>
      </c>
      <c r="H1898">
        <v>1</v>
      </c>
      <c r="I1898" t="s">
        <v>173</v>
      </c>
      <c r="J1898">
        <v>1</v>
      </c>
      <c r="K1898" s="6">
        <v>1.64</v>
      </c>
      <c r="L1898" t="s">
        <v>174</v>
      </c>
      <c r="M1898">
        <v>0</v>
      </c>
      <c r="N1898" t="s">
        <v>182</v>
      </c>
      <c r="O1898">
        <v>3</v>
      </c>
      <c r="P1898">
        <v>0</v>
      </c>
      <c r="Q1898" s="6">
        <v>85.2</v>
      </c>
      <c r="R1898">
        <v>0</v>
      </c>
      <c r="S1898" s="6">
        <v>0</v>
      </c>
      <c r="T1898">
        <v>0</v>
      </c>
      <c r="U1898" s="6">
        <v>2101</v>
      </c>
      <c r="V1898">
        <v>1</v>
      </c>
      <c r="W1898">
        <v>0</v>
      </c>
      <c r="X1898">
        <v>0</v>
      </c>
      <c r="Y1898" s="6">
        <v>45.7</v>
      </c>
      <c r="Z1898">
        <v>0</v>
      </c>
      <c r="AA1898">
        <v>9.4E-2</v>
      </c>
      <c r="AB1898">
        <v>0.109</v>
      </c>
      <c r="AC1898">
        <v>6</v>
      </c>
      <c r="AD1898" s="6">
        <v>50</v>
      </c>
      <c r="AE1898" s="6">
        <v>0</v>
      </c>
      <c r="AF1898" s="6">
        <v>0</v>
      </c>
      <c r="AG1898" s="6">
        <v>101.98</v>
      </c>
      <c r="AH1898" s="6">
        <v>131.05000000000001</v>
      </c>
      <c r="AI1898" s="6">
        <f t="shared" si="58"/>
        <v>29.070000000000007</v>
      </c>
      <c r="AJ1898" s="5">
        <f t="shared" si="59"/>
        <v>0.22182373140022896</v>
      </c>
    </row>
    <row r="1899" spans="1:36">
      <c r="A1899" t="s">
        <v>469</v>
      </c>
      <c r="B1899" t="s">
        <v>2184</v>
      </c>
      <c r="C1899" t="s">
        <v>101</v>
      </c>
      <c r="D1899" t="s">
        <v>96</v>
      </c>
      <c r="E1899" t="s">
        <v>55</v>
      </c>
      <c r="F1899">
        <v>0</v>
      </c>
      <c r="G1899">
        <v>1477</v>
      </c>
      <c r="H1899">
        <v>1</v>
      </c>
      <c r="I1899" t="s">
        <v>173</v>
      </c>
      <c r="J1899">
        <v>1</v>
      </c>
      <c r="K1899" s="6">
        <v>1.5</v>
      </c>
      <c r="L1899" t="s">
        <v>174</v>
      </c>
      <c r="M1899">
        <v>0</v>
      </c>
      <c r="N1899" t="s">
        <v>187</v>
      </c>
      <c r="O1899">
        <v>2</v>
      </c>
      <c r="P1899">
        <v>0</v>
      </c>
      <c r="Q1899" s="6">
        <v>50.9</v>
      </c>
      <c r="R1899">
        <v>1</v>
      </c>
      <c r="S1899" s="6">
        <v>1112</v>
      </c>
      <c r="T1899">
        <v>0</v>
      </c>
      <c r="U1899" s="6">
        <v>2062</v>
      </c>
      <c r="V1899">
        <v>0</v>
      </c>
      <c r="W1899">
        <v>0</v>
      </c>
      <c r="X1899">
        <v>0</v>
      </c>
      <c r="Y1899" s="6">
        <v>45.7</v>
      </c>
      <c r="Z1899">
        <v>0</v>
      </c>
      <c r="AA1899">
        <v>9.4E-2</v>
      </c>
      <c r="AB1899">
        <v>0.109</v>
      </c>
      <c r="AC1899">
        <v>6</v>
      </c>
      <c r="AD1899" s="6">
        <v>50</v>
      </c>
      <c r="AE1899" s="6">
        <v>25</v>
      </c>
      <c r="AF1899" s="6">
        <v>0</v>
      </c>
      <c r="AG1899" s="6">
        <v>53.76</v>
      </c>
      <c r="AH1899" s="6">
        <v>68.739999999999995</v>
      </c>
      <c r="AI1899" s="6">
        <f t="shared" si="58"/>
        <v>14.979999999999997</v>
      </c>
      <c r="AJ1899" s="5">
        <f t="shared" si="59"/>
        <v>0.21792260692464355</v>
      </c>
    </row>
    <row r="1900" spans="1:36">
      <c r="A1900" t="s">
        <v>423</v>
      </c>
      <c r="B1900" t="s">
        <v>2185</v>
      </c>
      <c r="C1900" t="s">
        <v>101</v>
      </c>
      <c r="D1900" t="s">
        <v>96</v>
      </c>
      <c r="E1900" t="s">
        <v>55</v>
      </c>
      <c r="F1900">
        <v>0</v>
      </c>
      <c r="G1900">
        <v>1477</v>
      </c>
      <c r="H1900">
        <v>1</v>
      </c>
      <c r="I1900" t="s">
        <v>181</v>
      </c>
      <c r="J1900">
        <v>3</v>
      </c>
      <c r="K1900" s="6">
        <v>7.4</v>
      </c>
      <c r="L1900" t="s">
        <v>174</v>
      </c>
      <c r="M1900">
        <v>0</v>
      </c>
      <c r="N1900" t="s">
        <v>187</v>
      </c>
      <c r="O1900">
        <v>2</v>
      </c>
      <c r="P1900">
        <v>0</v>
      </c>
      <c r="Q1900" s="6">
        <v>12.7</v>
      </c>
      <c r="R1900">
        <v>0</v>
      </c>
      <c r="S1900" s="6">
        <v>0</v>
      </c>
      <c r="T1900">
        <v>0</v>
      </c>
      <c r="U1900" s="6">
        <v>2723</v>
      </c>
      <c r="V1900">
        <v>0</v>
      </c>
      <c r="W1900">
        <v>0</v>
      </c>
      <c r="X1900">
        <v>0</v>
      </c>
      <c r="Y1900" s="6">
        <v>45.7</v>
      </c>
      <c r="Z1900">
        <v>0</v>
      </c>
      <c r="AA1900">
        <v>9.4E-2</v>
      </c>
      <c r="AB1900">
        <v>0.109</v>
      </c>
      <c r="AC1900">
        <v>6</v>
      </c>
      <c r="AD1900" s="6">
        <v>60</v>
      </c>
      <c r="AE1900" s="6">
        <v>0</v>
      </c>
      <c r="AF1900" s="6">
        <v>0</v>
      </c>
      <c r="AG1900" s="6">
        <v>70.69</v>
      </c>
      <c r="AH1900" s="6">
        <v>93.09</v>
      </c>
      <c r="AI1900" s="6">
        <f t="shared" si="58"/>
        <v>22.400000000000006</v>
      </c>
      <c r="AJ1900" s="5">
        <f t="shared" si="59"/>
        <v>0.2406273498764637</v>
      </c>
    </row>
    <row r="1901" spans="1:36">
      <c r="A1901" t="s">
        <v>423</v>
      </c>
      <c r="B1901" t="s">
        <v>2186</v>
      </c>
      <c r="C1901" t="s">
        <v>101</v>
      </c>
      <c r="D1901" t="s">
        <v>96</v>
      </c>
      <c r="E1901" t="s">
        <v>55</v>
      </c>
      <c r="F1901">
        <v>0</v>
      </c>
      <c r="G1901">
        <v>1477</v>
      </c>
      <c r="H1901">
        <v>1</v>
      </c>
      <c r="I1901" t="s">
        <v>220</v>
      </c>
      <c r="J1901">
        <v>2</v>
      </c>
      <c r="K1901" s="6">
        <v>3.45</v>
      </c>
      <c r="L1901" t="s">
        <v>174</v>
      </c>
      <c r="M1901">
        <v>0</v>
      </c>
      <c r="N1901" t="s">
        <v>175</v>
      </c>
      <c r="O1901">
        <v>1</v>
      </c>
      <c r="P1901">
        <v>0</v>
      </c>
      <c r="Q1901" s="6">
        <v>32.6</v>
      </c>
      <c r="R1901">
        <v>0</v>
      </c>
      <c r="S1901" s="6">
        <v>0</v>
      </c>
      <c r="T1901">
        <v>0</v>
      </c>
      <c r="U1901" s="6">
        <v>2922</v>
      </c>
      <c r="V1901">
        <v>0</v>
      </c>
      <c r="W1901">
        <v>0</v>
      </c>
      <c r="X1901">
        <v>0</v>
      </c>
      <c r="Y1901" s="6">
        <v>45.7</v>
      </c>
      <c r="Z1901">
        <v>0</v>
      </c>
      <c r="AA1901">
        <v>9.4E-2</v>
      </c>
      <c r="AB1901">
        <v>0.109</v>
      </c>
      <c r="AC1901">
        <v>6</v>
      </c>
      <c r="AD1901" s="6">
        <v>50</v>
      </c>
      <c r="AE1901" s="6">
        <v>0</v>
      </c>
      <c r="AF1901" s="6">
        <v>0</v>
      </c>
      <c r="AG1901" s="6">
        <v>57.17</v>
      </c>
      <c r="AH1901" s="6">
        <v>76.16</v>
      </c>
      <c r="AI1901" s="6">
        <f t="shared" si="58"/>
        <v>18.989999999999995</v>
      </c>
      <c r="AJ1901" s="5">
        <f t="shared" si="59"/>
        <v>0.24934348739495793</v>
      </c>
    </row>
    <row r="1902" spans="1:36">
      <c r="A1902" t="s">
        <v>537</v>
      </c>
      <c r="B1902" t="s">
        <v>2187</v>
      </c>
      <c r="C1902" t="s">
        <v>101</v>
      </c>
      <c r="D1902" t="s">
        <v>96</v>
      </c>
      <c r="E1902" t="s">
        <v>55</v>
      </c>
      <c r="F1902">
        <v>0</v>
      </c>
      <c r="G1902">
        <v>1477</v>
      </c>
      <c r="H1902">
        <v>1</v>
      </c>
      <c r="I1902" t="s">
        <v>173</v>
      </c>
      <c r="J1902">
        <v>1</v>
      </c>
      <c r="K1902" s="6">
        <v>2.1800000000000002</v>
      </c>
      <c r="L1902" t="s">
        <v>174</v>
      </c>
      <c r="M1902">
        <v>0</v>
      </c>
      <c r="N1902" t="s">
        <v>182</v>
      </c>
      <c r="O1902">
        <v>3</v>
      </c>
      <c r="P1902">
        <v>0</v>
      </c>
      <c r="Q1902" s="6">
        <v>41.7</v>
      </c>
      <c r="R1902">
        <v>0</v>
      </c>
      <c r="S1902" s="6">
        <v>0</v>
      </c>
      <c r="T1902">
        <v>0</v>
      </c>
      <c r="U1902" s="6">
        <v>2899</v>
      </c>
      <c r="V1902">
        <v>0</v>
      </c>
      <c r="W1902">
        <v>0</v>
      </c>
      <c r="X1902">
        <v>0</v>
      </c>
      <c r="Y1902" s="6">
        <v>45.7</v>
      </c>
      <c r="Z1902">
        <v>0</v>
      </c>
      <c r="AA1902">
        <v>9.4E-2</v>
      </c>
      <c r="AB1902">
        <v>0.109</v>
      </c>
      <c r="AC1902">
        <v>6</v>
      </c>
      <c r="AD1902" s="6">
        <v>50</v>
      </c>
      <c r="AE1902" s="6">
        <v>0</v>
      </c>
      <c r="AF1902" s="6">
        <v>0</v>
      </c>
      <c r="AG1902" s="6">
        <v>59.83</v>
      </c>
      <c r="AH1902" s="6">
        <v>76.260000000000005</v>
      </c>
      <c r="AI1902" s="6">
        <f t="shared" si="58"/>
        <v>16.430000000000007</v>
      </c>
      <c r="AJ1902" s="5">
        <f t="shared" si="59"/>
        <v>0.21544715447154478</v>
      </c>
    </row>
    <row r="1903" spans="1:36">
      <c r="A1903" t="s">
        <v>236</v>
      </c>
      <c r="B1903" t="s">
        <v>2188</v>
      </c>
      <c r="C1903" t="s">
        <v>101</v>
      </c>
      <c r="D1903" t="s">
        <v>96</v>
      </c>
      <c r="E1903" t="s">
        <v>55</v>
      </c>
      <c r="F1903">
        <v>0</v>
      </c>
      <c r="G1903">
        <v>1477</v>
      </c>
      <c r="H1903">
        <v>1</v>
      </c>
      <c r="I1903" t="s">
        <v>173</v>
      </c>
      <c r="J1903">
        <v>1</v>
      </c>
      <c r="K1903" s="6">
        <v>2.1</v>
      </c>
      <c r="L1903" t="s">
        <v>174</v>
      </c>
      <c r="M1903">
        <v>0</v>
      </c>
      <c r="N1903" t="s">
        <v>217</v>
      </c>
      <c r="O1903">
        <v>4</v>
      </c>
      <c r="P1903">
        <v>1</v>
      </c>
      <c r="Q1903" s="6">
        <v>163.9</v>
      </c>
      <c r="R1903">
        <v>0</v>
      </c>
      <c r="S1903" s="6">
        <v>0</v>
      </c>
      <c r="T1903">
        <v>0</v>
      </c>
      <c r="U1903" s="6">
        <v>4814</v>
      </c>
      <c r="V1903">
        <v>0</v>
      </c>
      <c r="W1903">
        <v>0</v>
      </c>
      <c r="X1903">
        <v>0</v>
      </c>
      <c r="Y1903" s="6">
        <v>45.7</v>
      </c>
      <c r="Z1903">
        <v>0</v>
      </c>
      <c r="AA1903">
        <v>9.4E-2</v>
      </c>
      <c r="AB1903">
        <v>0.109</v>
      </c>
      <c r="AC1903">
        <v>6</v>
      </c>
      <c r="AD1903" s="6">
        <v>50</v>
      </c>
      <c r="AE1903" s="6">
        <v>0</v>
      </c>
      <c r="AF1903" s="6">
        <v>0</v>
      </c>
      <c r="AG1903" s="6">
        <v>101.22</v>
      </c>
      <c r="AH1903" s="6">
        <v>129.57</v>
      </c>
      <c r="AI1903" s="6">
        <f t="shared" si="58"/>
        <v>28.349999999999994</v>
      </c>
      <c r="AJ1903" s="5">
        <f t="shared" si="59"/>
        <v>0.21880064829821716</v>
      </c>
    </row>
    <row r="1904" spans="1:36">
      <c r="A1904" t="s">
        <v>188</v>
      </c>
      <c r="B1904" t="s">
        <v>2189</v>
      </c>
      <c r="C1904" t="s">
        <v>101</v>
      </c>
      <c r="D1904" t="s">
        <v>96</v>
      </c>
      <c r="E1904" t="s">
        <v>55</v>
      </c>
      <c r="F1904">
        <v>0</v>
      </c>
      <c r="G1904">
        <v>1477</v>
      </c>
      <c r="H1904">
        <v>1</v>
      </c>
      <c r="I1904" t="s">
        <v>220</v>
      </c>
      <c r="J1904">
        <v>2</v>
      </c>
      <c r="K1904" s="6">
        <v>1.86</v>
      </c>
      <c r="L1904" t="s">
        <v>174</v>
      </c>
      <c r="M1904">
        <v>0</v>
      </c>
      <c r="N1904" t="s">
        <v>187</v>
      </c>
      <c r="O1904">
        <v>2</v>
      </c>
      <c r="P1904">
        <v>0</v>
      </c>
      <c r="Q1904" s="6">
        <v>51.4</v>
      </c>
      <c r="R1904">
        <v>0</v>
      </c>
      <c r="S1904" s="6">
        <v>0</v>
      </c>
      <c r="T1904">
        <v>0</v>
      </c>
      <c r="U1904" s="6">
        <v>4257</v>
      </c>
      <c r="V1904">
        <v>0</v>
      </c>
      <c r="W1904">
        <v>0</v>
      </c>
      <c r="X1904">
        <v>0</v>
      </c>
      <c r="Y1904" s="6">
        <v>45.7</v>
      </c>
      <c r="Z1904">
        <v>0</v>
      </c>
      <c r="AA1904">
        <v>9.4E-2</v>
      </c>
      <c r="AB1904">
        <v>0.109</v>
      </c>
      <c r="AC1904">
        <v>6</v>
      </c>
      <c r="AD1904" s="6">
        <v>50</v>
      </c>
      <c r="AE1904" s="6">
        <v>0</v>
      </c>
      <c r="AF1904" s="6">
        <v>0</v>
      </c>
      <c r="AG1904" s="6">
        <v>59.77</v>
      </c>
      <c r="AH1904" s="6">
        <v>76.930000000000007</v>
      </c>
      <c r="AI1904" s="6">
        <f t="shared" si="58"/>
        <v>17.160000000000004</v>
      </c>
      <c r="AJ1904" s="5">
        <f t="shared" si="59"/>
        <v>0.22305992460678542</v>
      </c>
    </row>
    <row r="1905" spans="1:36">
      <c r="A1905" t="s">
        <v>345</v>
      </c>
      <c r="B1905" t="s">
        <v>2190</v>
      </c>
      <c r="C1905" t="s">
        <v>101</v>
      </c>
      <c r="D1905" t="s">
        <v>96</v>
      </c>
      <c r="E1905" t="s">
        <v>55</v>
      </c>
      <c r="F1905">
        <v>0</v>
      </c>
      <c r="G1905">
        <v>1477</v>
      </c>
      <c r="H1905">
        <v>1</v>
      </c>
      <c r="I1905" t="s">
        <v>173</v>
      </c>
      <c r="J1905">
        <v>1</v>
      </c>
      <c r="K1905" s="6">
        <v>2.15</v>
      </c>
      <c r="L1905" t="s">
        <v>174</v>
      </c>
      <c r="M1905">
        <v>0</v>
      </c>
      <c r="N1905" t="s">
        <v>182</v>
      </c>
      <c r="O1905">
        <v>3</v>
      </c>
      <c r="P1905">
        <v>0</v>
      </c>
      <c r="Q1905" s="6">
        <v>90</v>
      </c>
      <c r="R1905">
        <v>1</v>
      </c>
      <c r="S1905" s="6">
        <v>1720</v>
      </c>
      <c r="T1905">
        <v>0</v>
      </c>
      <c r="U1905" s="6">
        <v>1334</v>
      </c>
      <c r="V1905">
        <v>1</v>
      </c>
      <c r="W1905">
        <v>0</v>
      </c>
      <c r="X1905">
        <v>0</v>
      </c>
      <c r="Y1905" s="6">
        <v>45.7</v>
      </c>
      <c r="Z1905">
        <v>0</v>
      </c>
      <c r="AA1905">
        <v>9.4E-2</v>
      </c>
      <c r="AB1905">
        <v>0.109</v>
      </c>
      <c r="AC1905">
        <v>6</v>
      </c>
      <c r="AD1905" s="6">
        <v>50</v>
      </c>
      <c r="AE1905" s="6">
        <v>25</v>
      </c>
      <c r="AF1905" s="6">
        <v>0</v>
      </c>
      <c r="AG1905" s="6">
        <v>110.75</v>
      </c>
      <c r="AH1905" s="6">
        <v>141.1</v>
      </c>
      <c r="AI1905" s="6">
        <f t="shared" si="58"/>
        <v>30.349999999999994</v>
      </c>
      <c r="AJ1905" s="5">
        <f t="shared" si="59"/>
        <v>0.21509567682494682</v>
      </c>
    </row>
    <row r="1906" spans="1:36">
      <c r="A1906" t="s">
        <v>277</v>
      </c>
      <c r="B1906" t="s">
        <v>2191</v>
      </c>
      <c r="C1906" t="s">
        <v>101</v>
      </c>
      <c r="D1906" t="s">
        <v>96</v>
      </c>
      <c r="E1906" t="s">
        <v>55</v>
      </c>
      <c r="F1906">
        <v>0</v>
      </c>
      <c r="G1906">
        <v>1477</v>
      </c>
      <c r="H1906">
        <v>1</v>
      </c>
      <c r="I1906" t="s">
        <v>181</v>
      </c>
      <c r="J1906">
        <v>3</v>
      </c>
      <c r="K1906" s="6">
        <v>11.66</v>
      </c>
      <c r="L1906" t="s">
        <v>174</v>
      </c>
      <c r="M1906">
        <v>0</v>
      </c>
      <c r="N1906" t="s">
        <v>187</v>
      </c>
      <c r="O1906">
        <v>2</v>
      </c>
      <c r="P1906">
        <v>0</v>
      </c>
      <c r="Q1906" s="6">
        <v>77.2</v>
      </c>
      <c r="R1906">
        <v>0</v>
      </c>
      <c r="S1906" s="6">
        <v>0</v>
      </c>
      <c r="T1906">
        <v>0</v>
      </c>
      <c r="U1906" s="6">
        <v>3542</v>
      </c>
      <c r="V1906">
        <v>0</v>
      </c>
      <c r="W1906">
        <v>0</v>
      </c>
      <c r="X1906">
        <v>0</v>
      </c>
      <c r="Y1906" s="6">
        <v>45.7</v>
      </c>
      <c r="Z1906">
        <v>0</v>
      </c>
      <c r="AA1906">
        <v>9.4E-2</v>
      </c>
      <c r="AB1906">
        <v>0.109</v>
      </c>
      <c r="AC1906">
        <v>6</v>
      </c>
      <c r="AD1906" s="6">
        <v>60</v>
      </c>
      <c r="AE1906" s="6">
        <v>0</v>
      </c>
      <c r="AF1906" s="6">
        <v>0</v>
      </c>
      <c r="AG1906" s="6">
        <v>108.53</v>
      </c>
      <c r="AH1906" s="6">
        <v>139.94999999999999</v>
      </c>
      <c r="AI1906" s="6">
        <f t="shared" si="58"/>
        <v>31.419999999999987</v>
      </c>
      <c r="AJ1906" s="5">
        <f t="shared" si="59"/>
        <v>0.2245087531261164</v>
      </c>
    </row>
    <row r="1907" spans="1:36">
      <c r="A1907" t="s">
        <v>194</v>
      </c>
      <c r="B1907" t="s">
        <v>2192</v>
      </c>
      <c r="C1907" t="s">
        <v>101</v>
      </c>
      <c r="D1907" t="s">
        <v>96</v>
      </c>
      <c r="E1907" t="s">
        <v>55</v>
      </c>
      <c r="F1907">
        <v>0</v>
      </c>
      <c r="G1907">
        <v>1477</v>
      </c>
      <c r="H1907">
        <v>1</v>
      </c>
      <c r="I1907" t="s">
        <v>181</v>
      </c>
      <c r="J1907">
        <v>3</v>
      </c>
      <c r="K1907" s="6">
        <v>5.89</v>
      </c>
      <c r="L1907" t="s">
        <v>174</v>
      </c>
      <c r="M1907">
        <v>0</v>
      </c>
      <c r="N1907" t="s">
        <v>187</v>
      </c>
      <c r="O1907">
        <v>2</v>
      </c>
      <c r="P1907">
        <v>0</v>
      </c>
      <c r="Q1907" s="6">
        <v>68.7</v>
      </c>
      <c r="R1907">
        <v>1</v>
      </c>
      <c r="S1907" s="6">
        <v>8011</v>
      </c>
      <c r="T1907">
        <v>0</v>
      </c>
      <c r="U1907" s="6">
        <v>3062</v>
      </c>
      <c r="V1907">
        <v>0</v>
      </c>
      <c r="W1907">
        <v>0</v>
      </c>
      <c r="X1907">
        <v>0</v>
      </c>
      <c r="Y1907" s="6">
        <v>45.7</v>
      </c>
      <c r="Z1907">
        <v>0</v>
      </c>
      <c r="AA1907">
        <v>9.4E-2</v>
      </c>
      <c r="AB1907">
        <v>0.109</v>
      </c>
      <c r="AC1907">
        <v>6</v>
      </c>
      <c r="AD1907" s="6">
        <v>60</v>
      </c>
      <c r="AE1907" s="6">
        <v>50</v>
      </c>
      <c r="AF1907" s="6">
        <v>0</v>
      </c>
      <c r="AG1907" s="6">
        <v>80.37</v>
      </c>
      <c r="AH1907" s="6">
        <v>100.46</v>
      </c>
      <c r="AI1907" s="6">
        <f t="shared" si="58"/>
        <v>20.089999999999989</v>
      </c>
      <c r="AJ1907" s="5">
        <f t="shared" si="59"/>
        <v>0.19998009157873772</v>
      </c>
    </row>
    <row r="1908" spans="1:36">
      <c r="A1908" t="s">
        <v>345</v>
      </c>
      <c r="B1908" t="s">
        <v>2193</v>
      </c>
      <c r="C1908" t="s">
        <v>101</v>
      </c>
      <c r="D1908" t="s">
        <v>96</v>
      </c>
      <c r="E1908" t="s">
        <v>55</v>
      </c>
      <c r="F1908">
        <v>0</v>
      </c>
      <c r="G1908">
        <v>1477</v>
      </c>
      <c r="H1908">
        <v>1</v>
      </c>
      <c r="I1908" t="s">
        <v>181</v>
      </c>
      <c r="J1908">
        <v>3</v>
      </c>
      <c r="K1908" s="6">
        <v>9.83</v>
      </c>
      <c r="L1908" t="s">
        <v>174</v>
      </c>
      <c r="M1908">
        <v>0</v>
      </c>
      <c r="N1908" t="s">
        <v>187</v>
      </c>
      <c r="O1908">
        <v>2</v>
      </c>
      <c r="P1908">
        <v>0</v>
      </c>
      <c r="Q1908" s="6">
        <v>73.2</v>
      </c>
      <c r="R1908">
        <v>0</v>
      </c>
      <c r="S1908" s="6">
        <v>0</v>
      </c>
      <c r="T1908">
        <v>0</v>
      </c>
      <c r="U1908" s="6">
        <v>4515</v>
      </c>
      <c r="V1908">
        <v>0</v>
      </c>
      <c r="W1908">
        <v>0</v>
      </c>
      <c r="X1908">
        <v>0</v>
      </c>
      <c r="Y1908" s="6">
        <v>45.7</v>
      </c>
      <c r="Z1908">
        <v>0</v>
      </c>
      <c r="AA1908">
        <v>9.4E-2</v>
      </c>
      <c r="AB1908">
        <v>0.109</v>
      </c>
      <c r="AC1908">
        <v>6</v>
      </c>
      <c r="AD1908" s="6">
        <v>60</v>
      </c>
      <c r="AE1908" s="6">
        <v>0</v>
      </c>
      <c r="AF1908" s="6">
        <v>0</v>
      </c>
      <c r="AG1908" s="6">
        <v>101.06</v>
      </c>
      <c r="AH1908" s="6">
        <v>129.52000000000001</v>
      </c>
      <c r="AI1908" s="6">
        <f t="shared" si="58"/>
        <v>28.460000000000008</v>
      </c>
      <c r="AJ1908" s="5">
        <f t="shared" si="59"/>
        <v>0.21973440395305749</v>
      </c>
    </row>
    <row r="1909" spans="1:36">
      <c r="A1909" t="s">
        <v>411</v>
      </c>
      <c r="B1909" t="s">
        <v>2194</v>
      </c>
      <c r="C1909" t="s">
        <v>101</v>
      </c>
      <c r="D1909" t="s">
        <v>96</v>
      </c>
      <c r="E1909" t="s">
        <v>55</v>
      </c>
      <c r="F1909">
        <v>0</v>
      </c>
      <c r="G1909">
        <v>1477</v>
      </c>
      <c r="H1909">
        <v>1</v>
      </c>
      <c r="I1909" t="s">
        <v>220</v>
      </c>
      <c r="J1909">
        <v>2</v>
      </c>
      <c r="K1909" s="6">
        <v>3.91</v>
      </c>
      <c r="L1909" t="s">
        <v>174</v>
      </c>
      <c r="M1909">
        <v>0</v>
      </c>
      <c r="N1909" t="s">
        <v>182</v>
      </c>
      <c r="O1909">
        <v>3</v>
      </c>
      <c r="P1909">
        <v>1</v>
      </c>
      <c r="Q1909" s="6">
        <v>97.6</v>
      </c>
      <c r="R1909">
        <v>1</v>
      </c>
      <c r="S1909" s="6">
        <v>2731</v>
      </c>
      <c r="T1909">
        <v>0</v>
      </c>
      <c r="U1909" s="6">
        <v>5149</v>
      </c>
      <c r="V1909">
        <v>0</v>
      </c>
      <c r="W1909">
        <v>0</v>
      </c>
      <c r="X1909">
        <v>0</v>
      </c>
      <c r="Y1909" s="6">
        <v>45.7</v>
      </c>
      <c r="Z1909">
        <v>0</v>
      </c>
      <c r="AA1909">
        <v>9.4E-2</v>
      </c>
      <c r="AB1909">
        <v>0.109</v>
      </c>
      <c r="AC1909">
        <v>6</v>
      </c>
      <c r="AD1909" s="6">
        <v>50</v>
      </c>
      <c r="AE1909" s="6">
        <v>40</v>
      </c>
      <c r="AF1909" s="6">
        <v>0</v>
      </c>
      <c r="AG1909" s="6">
        <v>90.64</v>
      </c>
      <c r="AH1909" s="6">
        <v>114.62</v>
      </c>
      <c r="AI1909" s="6">
        <f t="shared" si="58"/>
        <v>23.980000000000004</v>
      </c>
      <c r="AJ1909" s="5">
        <f t="shared" si="59"/>
        <v>0.20921305182341654</v>
      </c>
    </row>
    <row r="1910" spans="1:36">
      <c r="A1910" t="s">
        <v>348</v>
      </c>
      <c r="B1910" t="s">
        <v>2195</v>
      </c>
      <c r="C1910" t="s">
        <v>101</v>
      </c>
      <c r="D1910" t="s">
        <v>96</v>
      </c>
      <c r="E1910" t="s">
        <v>55</v>
      </c>
      <c r="F1910">
        <v>0</v>
      </c>
      <c r="G1910">
        <v>1477</v>
      </c>
      <c r="H1910">
        <v>1</v>
      </c>
      <c r="I1910" t="s">
        <v>173</v>
      </c>
      <c r="J1910">
        <v>1</v>
      </c>
      <c r="K1910" s="6">
        <v>1.38</v>
      </c>
      <c r="L1910" t="s">
        <v>174</v>
      </c>
      <c r="M1910">
        <v>0</v>
      </c>
      <c r="N1910" t="s">
        <v>187</v>
      </c>
      <c r="O1910">
        <v>2</v>
      </c>
      <c r="P1910">
        <v>0</v>
      </c>
      <c r="Q1910" s="6">
        <v>57.6</v>
      </c>
      <c r="R1910">
        <v>0</v>
      </c>
      <c r="S1910" s="6">
        <v>0</v>
      </c>
      <c r="T1910">
        <v>0</v>
      </c>
      <c r="U1910" s="6">
        <v>4197</v>
      </c>
      <c r="V1910">
        <v>0</v>
      </c>
      <c r="W1910">
        <v>0</v>
      </c>
      <c r="X1910">
        <v>0</v>
      </c>
      <c r="Y1910" s="6">
        <v>45.7</v>
      </c>
      <c r="Z1910">
        <v>0</v>
      </c>
      <c r="AA1910">
        <v>9.4E-2</v>
      </c>
      <c r="AB1910">
        <v>0.109</v>
      </c>
      <c r="AC1910">
        <v>6</v>
      </c>
      <c r="AD1910" s="6">
        <v>50</v>
      </c>
      <c r="AE1910" s="6">
        <v>0</v>
      </c>
      <c r="AF1910" s="6">
        <v>0</v>
      </c>
      <c r="AG1910" s="6">
        <v>53.33</v>
      </c>
      <c r="AH1910" s="6">
        <v>71.3</v>
      </c>
      <c r="AI1910" s="6">
        <f t="shared" si="58"/>
        <v>17.97</v>
      </c>
      <c r="AJ1910" s="5">
        <f t="shared" si="59"/>
        <v>0.25203366058906029</v>
      </c>
    </row>
    <row r="1911" spans="1:36">
      <c r="A1911" t="s">
        <v>190</v>
      </c>
      <c r="B1911" t="s">
        <v>2196</v>
      </c>
      <c r="C1911" t="s">
        <v>101</v>
      </c>
      <c r="D1911" t="s">
        <v>96</v>
      </c>
      <c r="E1911" t="s">
        <v>55</v>
      </c>
      <c r="F1911">
        <v>0</v>
      </c>
      <c r="G1911">
        <v>1477</v>
      </c>
      <c r="H1911">
        <v>1</v>
      </c>
      <c r="I1911" t="s">
        <v>220</v>
      </c>
      <c r="J1911">
        <v>2</v>
      </c>
      <c r="K1911" s="6">
        <v>3.66</v>
      </c>
      <c r="L1911" t="s">
        <v>174</v>
      </c>
      <c r="M1911">
        <v>0</v>
      </c>
      <c r="N1911" t="s">
        <v>182</v>
      </c>
      <c r="O1911">
        <v>3</v>
      </c>
      <c r="P1911">
        <v>1</v>
      </c>
      <c r="Q1911" s="6">
        <v>88</v>
      </c>
      <c r="R1911">
        <v>1</v>
      </c>
      <c r="S1911" s="6">
        <v>466</v>
      </c>
      <c r="T1911">
        <v>0</v>
      </c>
      <c r="U1911" s="6">
        <v>8947</v>
      </c>
      <c r="V1911">
        <v>1</v>
      </c>
      <c r="W1911">
        <v>0</v>
      </c>
      <c r="X1911">
        <v>0</v>
      </c>
      <c r="Y1911" s="6">
        <v>45.7</v>
      </c>
      <c r="Z1911">
        <v>0</v>
      </c>
      <c r="AA1911">
        <v>9.4E-2</v>
      </c>
      <c r="AB1911">
        <v>0.109</v>
      </c>
      <c r="AC1911">
        <v>6</v>
      </c>
      <c r="AD1911" s="6">
        <v>50</v>
      </c>
      <c r="AE1911" s="6">
        <v>25</v>
      </c>
      <c r="AF1911" s="6">
        <v>0</v>
      </c>
      <c r="AG1911" s="6">
        <v>150.04</v>
      </c>
      <c r="AH1911" s="6">
        <v>189.09</v>
      </c>
      <c r="AI1911" s="6">
        <f t="shared" si="58"/>
        <v>39.050000000000011</v>
      </c>
      <c r="AJ1911" s="5">
        <f t="shared" si="59"/>
        <v>0.20651541593949976</v>
      </c>
    </row>
    <row r="1912" spans="1:36">
      <c r="A1912" t="s">
        <v>210</v>
      </c>
      <c r="B1912" t="s">
        <v>2197</v>
      </c>
      <c r="C1912" t="s">
        <v>101</v>
      </c>
      <c r="D1912" t="s">
        <v>96</v>
      </c>
      <c r="E1912" t="s">
        <v>55</v>
      </c>
      <c r="F1912">
        <v>0</v>
      </c>
      <c r="G1912">
        <v>1477</v>
      </c>
      <c r="H1912">
        <v>1</v>
      </c>
      <c r="I1912" t="s">
        <v>173</v>
      </c>
      <c r="J1912">
        <v>1</v>
      </c>
      <c r="K1912" s="6">
        <v>2.5299999999999998</v>
      </c>
      <c r="L1912" t="s">
        <v>174</v>
      </c>
      <c r="M1912">
        <v>0</v>
      </c>
      <c r="N1912" t="s">
        <v>182</v>
      </c>
      <c r="O1912">
        <v>3</v>
      </c>
      <c r="P1912">
        <v>0</v>
      </c>
      <c r="Q1912" s="6">
        <v>67.8</v>
      </c>
      <c r="R1912">
        <v>0</v>
      </c>
      <c r="S1912" s="6">
        <v>0</v>
      </c>
      <c r="T1912">
        <v>0</v>
      </c>
      <c r="U1912" s="6">
        <v>2896</v>
      </c>
      <c r="V1912">
        <v>0</v>
      </c>
      <c r="W1912">
        <v>0</v>
      </c>
      <c r="X1912">
        <v>0</v>
      </c>
      <c r="Y1912" s="6">
        <v>45.7</v>
      </c>
      <c r="Z1912">
        <v>0</v>
      </c>
      <c r="AA1912">
        <v>9.4E-2</v>
      </c>
      <c r="AB1912">
        <v>0.109</v>
      </c>
      <c r="AC1912">
        <v>6</v>
      </c>
      <c r="AD1912" s="6">
        <v>50</v>
      </c>
      <c r="AE1912" s="6">
        <v>0</v>
      </c>
      <c r="AF1912" s="6">
        <v>0</v>
      </c>
      <c r="AG1912" s="6">
        <v>62.66</v>
      </c>
      <c r="AH1912" s="6">
        <v>82.58</v>
      </c>
      <c r="AI1912" s="6">
        <f t="shared" si="58"/>
        <v>19.920000000000002</v>
      </c>
      <c r="AJ1912" s="5">
        <f t="shared" si="59"/>
        <v>0.24122063453620735</v>
      </c>
    </row>
    <row r="1913" spans="1:36">
      <c r="A1913" t="s">
        <v>228</v>
      </c>
      <c r="B1913" t="s">
        <v>2198</v>
      </c>
      <c r="C1913" t="s">
        <v>101</v>
      </c>
      <c r="D1913" t="s">
        <v>96</v>
      </c>
      <c r="E1913" t="s">
        <v>55</v>
      </c>
      <c r="F1913">
        <v>0</v>
      </c>
      <c r="G1913">
        <v>1477</v>
      </c>
      <c r="H1913">
        <v>1</v>
      </c>
      <c r="I1913" t="s">
        <v>173</v>
      </c>
      <c r="J1913">
        <v>1</v>
      </c>
      <c r="K1913" s="6">
        <v>1.51</v>
      </c>
      <c r="L1913" t="s">
        <v>174</v>
      </c>
      <c r="M1913">
        <v>0</v>
      </c>
      <c r="N1913" t="s">
        <v>175</v>
      </c>
      <c r="O1913">
        <v>1</v>
      </c>
      <c r="P1913">
        <v>0</v>
      </c>
      <c r="Q1913" s="6">
        <v>34.200000000000003</v>
      </c>
      <c r="R1913">
        <v>1</v>
      </c>
      <c r="S1913" s="6">
        <v>383</v>
      </c>
      <c r="T1913">
        <v>0</v>
      </c>
      <c r="U1913" s="6">
        <v>7072</v>
      </c>
      <c r="V1913">
        <v>0</v>
      </c>
      <c r="W1913">
        <v>0</v>
      </c>
      <c r="X1913">
        <v>0</v>
      </c>
      <c r="Y1913" s="6">
        <v>45.7</v>
      </c>
      <c r="Z1913">
        <v>0</v>
      </c>
      <c r="AA1913">
        <v>9.4E-2</v>
      </c>
      <c r="AB1913">
        <v>0.109</v>
      </c>
      <c r="AC1913">
        <v>6</v>
      </c>
      <c r="AD1913" s="6">
        <v>50</v>
      </c>
      <c r="AE1913" s="6">
        <v>25</v>
      </c>
      <c r="AF1913" s="6">
        <v>0</v>
      </c>
      <c r="AG1913" s="6">
        <v>58.47</v>
      </c>
      <c r="AH1913" s="6">
        <v>75.680000000000007</v>
      </c>
      <c r="AI1913" s="6">
        <f t="shared" si="58"/>
        <v>17.210000000000008</v>
      </c>
      <c r="AJ1913" s="5">
        <f t="shared" si="59"/>
        <v>0.22740486257928128</v>
      </c>
    </row>
    <row r="1914" spans="1:36">
      <c r="A1914" t="s">
        <v>362</v>
      </c>
      <c r="B1914" t="s">
        <v>2199</v>
      </c>
      <c r="C1914" t="s">
        <v>101</v>
      </c>
      <c r="D1914" t="s">
        <v>96</v>
      </c>
      <c r="E1914" t="s">
        <v>55</v>
      </c>
      <c r="F1914">
        <v>0</v>
      </c>
      <c r="G1914">
        <v>1477</v>
      </c>
      <c r="H1914">
        <v>1</v>
      </c>
      <c r="I1914" t="s">
        <v>173</v>
      </c>
      <c r="J1914">
        <v>1</v>
      </c>
      <c r="K1914" s="6">
        <v>2.63</v>
      </c>
      <c r="L1914" t="s">
        <v>174</v>
      </c>
      <c r="M1914">
        <v>0</v>
      </c>
      <c r="N1914" t="s">
        <v>182</v>
      </c>
      <c r="O1914">
        <v>3</v>
      </c>
      <c r="P1914">
        <v>0</v>
      </c>
      <c r="Q1914" s="6">
        <v>110.5</v>
      </c>
      <c r="R1914">
        <v>1</v>
      </c>
      <c r="S1914" s="6">
        <v>1617</v>
      </c>
      <c r="T1914">
        <v>0</v>
      </c>
      <c r="U1914" s="6">
        <v>1299</v>
      </c>
      <c r="V1914">
        <v>0</v>
      </c>
      <c r="W1914">
        <v>0</v>
      </c>
      <c r="X1914">
        <v>0</v>
      </c>
      <c r="Y1914" s="6">
        <v>45.7</v>
      </c>
      <c r="Z1914">
        <v>0</v>
      </c>
      <c r="AA1914">
        <v>9.4E-2</v>
      </c>
      <c r="AB1914">
        <v>0.109</v>
      </c>
      <c r="AC1914">
        <v>6</v>
      </c>
      <c r="AD1914" s="6">
        <v>50</v>
      </c>
      <c r="AE1914" s="6">
        <v>25</v>
      </c>
      <c r="AF1914" s="6">
        <v>0</v>
      </c>
      <c r="AG1914" s="6">
        <v>60.33</v>
      </c>
      <c r="AH1914" s="6">
        <v>77.680000000000007</v>
      </c>
      <c r="AI1914" s="6">
        <f t="shared" si="58"/>
        <v>17.350000000000009</v>
      </c>
      <c r="AJ1914" s="5">
        <f t="shared" si="59"/>
        <v>0.22335221421215251</v>
      </c>
    </row>
    <row r="1915" spans="1:36">
      <c r="A1915" t="s">
        <v>403</v>
      </c>
      <c r="B1915" t="s">
        <v>2200</v>
      </c>
      <c r="C1915" t="s">
        <v>103</v>
      </c>
      <c r="D1915" t="s">
        <v>105</v>
      </c>
      <c r="E1915" t="s">
        <v>55</v>
      </c>
      <c r="F1915">
        <v>0</v>
      </c>
      <c r="G1915">
        <v>1718</v>
      </c>
      <c r="H1915">
        <v>1</v>
      </c>
      <c r="I1915" t="s">
        <v>181</v>
      </c>
      <c r="J1915">
        <v>3</v>
      </c>
      <c r="K1915" s="6">
        <v>7.02</v>
      </c>
      <c r="L1915" t="s">
        <v>174</v>
      </c>
      <c r="M1915">
        <v>0</v>
      </c>
      <c r="N1915" t="s">
        <v>175</v>
      </c>
      <c r="O1915">
        <v>1</v>
      </c>
      <c r="P1915">
        <v>0</v>
      </c>
      <c r="Q1915" s="6">
        <v>26.4</v>
      </c>
      <c r="R1915">
        <v>0</v>
      </c>
      <c r="S1915" s="6">
        <v>0</v>
      </c>
      <c r="T1915">
        <v>0</v>
      </c>
      <c r="U1915" s="6">
        <v>5574</v>
      </c>
      <c r="V1915">
        <v>0</v>
      </c>
      <c r="W1915">
        <v>0</v>
      </c>
      <c r="X1915">
        <v>0</v>
      </c>
      <c r="Y1915" s="6">
        <v>40</v>
      </c>
      <c r="Z1915">
        <v>4.5999999999999999E-2</v>
      </c>
      <c r="AA1915">
        <v>0.13900000000000001</v>
      </c>
      <c r="AB1915">
        <v>7.3999999999999996E-2</v>
      </c>
      <c r="AC1915">
        <v>6</v>
      </c>
      <c r="AD1915" s="6">
        <v>60</v>
      </c>
      <c r="AE1915" s="6">
        <v>0</v>
      </c>
      <c r="AF1915" s="6">
        <v>0</v>
      </c>
      <c r="AG1915" s="6">
        <v>72.73</v>
      </c>
      <c r="AH1915" s="6">
        <v>92.47</v>
      </c>
      <c r="AI1915" s="6">
        <f t="shared" si="58"/>
        <v>19.739999999999995</v>
      </c>
      <c r="AJ1915" s="5">
        <f t="shared" si="59"/>
        <v>0.21347464042392122</v>
      </c>
    </row>
    <row r="1916" spans="1:36">
      <c r="A1916" t="s">
        <v>313</v>
      </c>
      <c r="B1916" t="s">
        <v>2201</v>
      </c>
      <c r="C1916" t="s">
        <v>103</v>
      </c>
      <c r="D1916" t="s">
        <v>105</v>
      </c>
      <c r="E1916" t="s">
        <v>55</v>
      </c>
      <c r="F1916">
        <v>0</v>
      </c>
      <c r="G1916">
        <v>1718</v>
      </c>
      <c r="H1916">
        <v>1</v>
      </c>
      <c r="I1916" t="s">
        <v>181</v>
      </c>
      <c r="J1916">
        <v>3</v>
      </c>
      <c r="K1916" s="6">
        <v>12.53</v>
      </c>
      <c r="L1916" t="s">
        <v>174</v>
      </c>
      <c r="M1916">
        <v>0</v>
      </c>
      <c r="N1916" t="s">
        <v>187</v>
      </c>
      <c r="O1916">
        <v>2</v>
      </c>
      <c r="P1916">
        <v>0</v>
      </c>
      <c r="Q1916" s="6">
        <v>37.4</v>
      </c>
      <c r="R1916">
        <v>0</v>
      </c>
      <c r="S1916" s="6">
        <v>0</v>
      </c>
      <c r="T1916">
        <v>0</v>
      </c>
      <c r="U1916" s="6">
        <v>8169</v>
      </c>
      <c r="V1916">
        <v>0</v>
      </c>
      <c r="W1916">
        <v>0</v>
      </c>
      <c r="X1916">
        <v>0</v>
      </c>
      <c r="Y1916" s="6">
        <v>40</v>
      </c>
      <c r="Z1916">
        <v>4.5999999999999999E-2</v>
      </c>
      <c r="AA1916">
        <v>0.13900000000000001</v>
      </c>
      <c r="AB1916">
        <v>7.3999999999999996E-2</v>
      </c>
      <c r="AC1916">
        <v>6</v>
      </c>
      <c r="AD1916" s="6">
        <v>60</v>
      </c>
      <c r="AE1916" s="6">
        <v>0</v>
      </c>
      <c r="AF1916" s="6">
        <v>0</v>
      </c>
      <c r="AG1916" s="6">
        <v>108.31</v>
      </c>
      <c r="AH1916" s="6">
        <v>140.1</v>
      </c>
      <c r="AI1916" s="6">
        <f t="shared" si="58"/>
        <v>31.789999999999992</v>
      </c>
      <c r="AJ1916" s="5">
        <f t="shared" si="59"/>
        <v>0.22690935046395427</v>
      </c>
    </row>
    <row r="1917" spans="1:36">
      <c r="A1917" t="s">
        <v>343</v>
      </c>
      <c r="B1917" t="s">
        <v>2202</v>
      </c>
      <c r="C1917" t="s">
        <v>103</v>
      </c>
      <c r="D1917" t="s">
        <v>105</v>
      </c>
      <c r="E1917" t="s">
        <v>55</v>
      </c>
      <c r="F1917">
        <v>0</v>
      </c>
      <c r="G1917">
        <v>1718</v>
      </c>
      <c r="H1917">
        <v>1</v>
      </c>
      <c r="I1917" t="s">
        <v>220</v>
      </c>
      <c r="J1917">
        <v>2</v>
      </c>
      <c r="K1917" s="6">
        <v>5.57</v>
      </c>
      <c r="L1917" t="s">
        <v>174</v>
      </c>
      <c r="M1917">
        <v>0</v>
      </c>
      <c r="N1917" t="s">
        <v>187</v>
      </c>
      <c r="O1917">
        <v>2</v>
      </c>
      <c r="P1917">
        <v>0</v>
      </c>
      <c r="Q1917" s="6">
        <v>69.7</v>
      </c>
      <c r="R1917">
        <v>0</v>
      </c>
      <c r="S1917" s="6">
        <v>0</v>
      </c>
      <c r="T1917">
        <v>0</v>
      </c>
      <c r="U1917" s="6">
        <v>9437</v>
      </c>
      <c r="V1917">
        <v>0</v>
      </c>
      <c r="W1917">
        <v>0</v>
      </c>
      <c r="X1917">
        <v>0</v>
      </c>
      <c r="Y1917" s="6">
        <v>40</v>
      </c>
      <c r="Z1917">
        <v>4.5999999999999999E-2</v>
      </c>
      <c r="AA1917">
        <v>0.13900000000000001</v>
      </c>
      <c r="AB1917">
        <v>7.3999999999999996E-2</v>
      </c>
      <c r="AC1917">
        <v>6</v>
      </c>
      <c r="AD1917" s="6">
        <v>50</v>
      </c>
      <c r="AE1917" s="6">
        <v>0</v>
      </c>
      <c r="AF1917" s="6">
        <v>0</v>
      </c>
      <c r="AG1917" s="6">
        <v>67.19</v>
      </c>
      <c r="AH1917" s="6">
        <v>87.47</v>
      </c>
      <c r="AI1917" s="6">
        <f t="shared" si="58"/>
        <v>20.28</v>
      </c>
      <c r="AJ1917" s="5">
        <f t="shared" si="59"/>
        <v>0.23185092031553678</v>
      </c>
    </row>
    <row r="1918" spans="1:36">
      <c r="A1918" t="s">
        <v>206</v>
      </c>
      <c r="B1918" t="s">
        <v>2203</v>
      </c>
      <c r="C1918" t="s">
        <v>103</v>
      </c>
      <c r="D1918" t="s">
        <v>105</v>
      </c>
      <c r="E1918" t="s">
        <v>55</v>
      </c>
      <c r="F1918">
        <v>0</v>
      </c>
      <c r="G1918">
        <v>1718</v>
      </c>
      <c r="H1918">
        <v>1</v>
      </c>
      <c r="I1918" t="s">
        <v>181</v>
      </c>
      <c r="J1918">
        <v>3</v>
      </c>
      <c r="K1918" s="6">
        <v>9.59</v>
      </c>
      <c r="L1918" t="s">
        <v>174</v>
      </c>
      <c r="M1918">
        <v>0</v>
      </c>
      <c r="N1918" t="s">
        <v>175</v>
      </c>
      <c r="O1918">
        <v>1</v>
      </c>
      <c r="P1918">
        <v>0</v>
      </c>
      <c r="Q1918" s="6">
        <v>27.3</v>
      </c>
      <c r="R1918">
        <v>0</v>
      </c>
      <c r="S1918" s="6">
        <v>0</v>
      </c>
      <c r="T1918">
        <v>0</v>
      </c>
      <c r="U1918" s="6">
        <v>19709</v>
      </c>
      <c r="V1918">
        <v>0</v>
      </c>
      <c r="W1918">
        <v>0</v>
      </c>
      <c r="X1918">
        <v>0</v>
      </c>
      <c r="Y1918" s="6">
        <v>40</v>
      </c>
      <c r="Z1918">
        <v>4.5999999999999999E-2</v>
      </c>
      <c r="AA1918">
        <v>0.13900000000000001</v>
      </c>
      <c r="AB1918">
        <v>7.3999999999999996E-2</v>
      </c>
      <c r="AC1918">
        <v>6</v>
      </c>
      <c r="AD1918" s="6">
        <v>60</v>
      </c>
      <c r="AE1918" s="6">
        <v>0</v>
      </c>
      <c r="AF1918" s="6">
        <v>0</v>
      </c>
      <c r="AG1918" s="6">
        <v>95.88</v>
      </c>
      <c r="AH1918" s="6">
        <v>120.55</v>
      </c>
      <c r="AI1918" s="6">
        <f t="shared" si="58"/>
        <v>24.67</v>
      </c>
      <c r="AJ1918" s="5">
        <f t="shared" si="59"/>
        <v>0.20464537536291996</v>
      </c>
    </row>
    <row r="1919" spans="1:36">
      <c r="A1919" t="s">
        <v>303</v>
      </c>
      <c r="B1919" t="s">
        <v>2204</v>
      </c>
      <c r="C1919" t="s">
        <v>103</v>
      </c>
      <c r="D1919" t="s">
        <v>105</v>
      </c>
      <c r="E1919" t="s">
        <v>55</v>
      </c>
      <c r="F1919">
        <v>0</v>
      </c>
      <c r="G1919">
        <v>1718</v>
      </c>
      <c r="H1919">
        <v>1</v>
      </c>
      <c r="I1919" t="s">
        <v>178</v>
      </c>
      <c r="J1919">
        <v>4</v>
      </c>
      <c r="K1919" s="6">
        <v>12.15</v>
      </c>
      <c r="L1919" t="s">
        <v>174</v>
      </c>
      <c r="M1919">
        <v>0</v>
      </c>
      <c r="N1919" t="s">
        <v>182</v>
      </c>
      <c r="O1919">
        <v>3</v>
      </c>
      <c r="P1919">
        <v>0</v>
      </c>
      <c r="Q1919" s="6">
        <v>167.7</v>
      </c>
      <c r="R1919">
        <v>0</v>
      </c>
      <c r="S1919" s="6">
        <v>0</v>
      </c>
      <c r="T1919">
        <v>0</v>
      </c>
      <c r="U1919" s="6">
        <v>12075</v>
      </c>
      <c r="V1919">
        <v>0</v>
      </c>
      <c r="W1919">
        <v>0</v>
      </c>
      <c r="X1919">
        <v>0</v>
      </c>
      <c r="Y1919" s="6">
        <v>40</v>
      </c>
      <c r="Z1919">
        <v>4.5999999999999999E-2</v>
      </c>
      <c r="AA1919">
        <v>0.13900000000000001</v>
      </c>
      <c r="AB1919">
        <v>7.3999999999999996E-2</v>
      </c>
      <c r="AC1919">
        <v>6</v>
      </c>
      <c r="AD1919" s="6">
        <v>65</v>
      </c>
      <c r="AE1919" s="6">
        <v>0</v>
      </c>
      <c r="AF1919" s="6">
        <v>0</v>
      </c>
      <c r="AG1919" s="6">
        <v>130.12</v>
      </c>
      <c r="AH1919" s="6">
        <v>164.36</v>
      </c>
      <c r="AI1919" s="6">
        <f t="shared" si="58"/>
        <v>34.240000000000009</v>
      </c>
      <c r="AJ1919" s="5">
        <f t="shared" si="59"/>
        <v>0.20832319299099541</v>
      </c>
    </row>
    <row r="1920" spans="1:36">
      <c r="A1920" t="s">
        <v>602</v>
      </c>
      <c r="B1920" t="s">
        <v>2205</v>
      </c>
      <c r="C1920" t="s">
        <v>103</v>
      </c>
      <c r="D1920" t="s">
        <v>105</v>
      </c>
      <c r="E1920" t="s">
        <v>55</v>
      </c>
      <c r="F1920">
        <v>0</v>
      </c>
      <c r="G1920">
        <v>1718</v>
      </c>
      <c r="H1920">
        <v>1</v>
      </c>
      <c r="I1920" t="s">
        <v>173</v>
      </c>
      <c r="J1920">
        <v>1</v>
      </c>
      <c r="K1920" s="6">
        <v>2.04</v>
      </c>
      <c r="L1920" t="s">
        <v>174</v>
      </c>
      <c r="M1920">
        <v>0</v>
      </c>
      <c r="N1920" t="s">
        <v>182</v>
      </c>
      <c r="O1920">
        <v>3</v>
      </c>
      <c r="P1920">
        <v>0</v>
      </c>
      <c r="Q1920" s="6">
        <v>113</v>
      </c>
      <c r="R1920">
        <v>0</v>
      </c>
      <c r="S1920" s="6">
        <v>0</v>
      </c>
      <c r="T1920">
        <v>0</v>
      </c>
      <c r="U1920" s="6">
        <v>8553</v>
      </c>
      <c r="V1920">
        <v>0</v>
      </c>
      <c r="W1920">
        <v>0</v>
      </c>
      <c r="X1920">
        <v>0</v>
      </c>
      <c r="Y1920" s="6">
        <v>40</v>
      </c>
      <c r="Z1920">
        <v>4.5999999999999999E-2</v>
      </c>
      <c r="AA1920">
        <v>0.13900000000000001</v>
      </c>
      <c r="AB1920">
        <v>7.3999999999999996E-2</v>
      </c>
      <c r="AC1920">
        <v>6</v>
      </c>
      <c r="AD1920" s="6">
        <v>50</v>
      </c>
      <c r="AE1920" s="6">
        <v>0</v>
      </c>
      <c r="AF1920" s="6">
        <v>0</v>
      </c>
      <c r="AG1920" s="6">
        <v>66.81</v>
      </c>
      <c r="AH1920" s="6">
        <v>85.83</v>
      </c>
      <c r="AI1920" s="6">
        <f t="shared" si="58"/>
        <v>19.019999999999996</v>
      </c>
      <c r="AJ1920" s="5">
        <f t="shared" si="59"/>
        <v>0.22160083886752879</v>
      </c>
    </row>
    <row r="1921" spans="1:36">
      <c r="A1921" t="s">
        <v>263</v>
      </c>
      <c r="B1921" t="s">
        <v>2206</v>
      </c>
      <c r="C1921" t="s">
        <v>103</v>
      </c>
      <c r="D1921" t="s">
        <v>105</v>
      </c>
      <c r="E1921" t="s">
        <v>55</v>
      </c>
      <c r="F1921">
        <v>0</v>
      </c>
      <c r="G1921">
        <v>1718</v>
      </c>
      <c r="H1921">
        <v>1</v>
      </c>
      <c r="I1921" t="s">
        <v>178</v>
      </c>
      <c r="J1921">
        <v>4</v>
      </c>
      <c r="K1921" s="6">
        <v>6.8</v>
      </c>
      <c r="L1921" t="s">
        <v>174</v>
      </c>
      <c r="M1921">
        <v>0</v>
      </c>
      <c r="N1921" t="s">
        <v>187</v>
      </c>
      <c r="O1921">
        <v>2</v>
      </c>
      <c r="P1921">
        <v>0</v>
      </c>
      <c r="Q1921" s="6">
        <v>55.7</v>
      </c>
      <c r="R1921">
        <v>0</v>
      </c>
      <c r="S1921" s="6">
        <v>0</v>
      </c>
      <c r="T1921">
        <v>0</v>
      </c>
      <c r="U1921" s="6">
        <v>2496</v>
      </c>
      <c r="V1921">
        <v>0</v>
      </c>
      <c r="W1921">
        <v>0</v>
      </c>
      <c r="X1921">
        <v>0</v>
      </c>
      <c r="Y1921" s="6">
        <v>40</v>
      </c>
      <c r="Z1921">
        <v>4.5999999999999999E-2</v>
      </c>
      <c r="AA1921">
        <v>0.13900000000000001</v>
      </c>
      <c r="AB1921">
        <v>7.3999999999999996E-2</v>
      </c>
      <c r="AC1921">
        <v>6</v>
      </c>
      <c r="AD1921" s="6">
        <v>65</v>
      </c>
      <c r="AE1921" s="6">
        <v>0</v>
      </c>
      <c r="AF1921" s="6">
        <v>0</v>
      </c>
      <c r="AG1921" s="6">
        <v>101.34</v>
      </c>
      <c r="AH1921" s="6">
        <v>128.07</v>
      </c>
      <c r="AI1921" s="6">
        <f t="shared" si="58"/>
        <v>26.72999999999999</v>
      </c>
      <c r="AJ1921" s="5">
        <f t="shared" si="59"/>
        <v>0.20871398453970477</v>
      </c>
    </row>
    <row r="1922" spans="1:36">
      <c r="A1922" t="s">
        <v>296</v>
      </c>
      <c r="B1922" t="s">
        <v>2207</v>
      </c>
      <c r="C1922" t="s">
        <v>103</v>
      </c>
      <c r="D1922" t="s">
        <v>105</v>
      </c>
      <c r="E1922" t="s">
        <v>55</v>
      </c>
      <c r="F1922">
        <v>0</v>
      </c>
      <c r="G1922">
        <v>1718</v>
      </c>
      <c r="H1922">
        <v>1</v>
      </c>
      <c r="I1922" t="s">
        <v>220</v>
      </c>
      <c r="J1922">
        <v>2</v>
      </c>
      <c r="K1922" s="6">
        <v>5.65</v>
      </c>
      <c r="L1922" t="s">
        <v>174</v>
      </c>
      <c r="M1922">
        <v>0</v>
      </c>
      <c r="N1922" t="s">
        <v>182</v>
      </c>
      <c r="O1922">
        <v>3</v>
      </c>
      <c r="P1922">
        <v>1</v>
      </c>
      <c r="Q1922" s="6">
        <v>119.6</v>
      </c>
      <c r="R1922">
        <v>0</v>
      </c>
      <c r="S1922" s="6">
        <v>0</v>
      </c>
      <c r="T1922">
        <v>0</v>
      </c>
      <c r="U1922" s="6">
        <v>31156</v>
      </c>
      <c r="V1922">
        <v>0</v>
      </c>
      <c r="W1922">
        <v>0</v>
      </c>
      <c r="X1922">
        <v>0</v>
      </c>
      <c r="Y1922" s="6">
        <v>40</v>
      </c>
      <c r="Z1922">
        <v>4.5999999999999999E-2</v>
      </c>
      <c r="AA1922">
        <v>0.13900000000000001</v>
      </c>
      <c r="AB1922">
        <v>7.3999999999999996E-2</v>
      </c>
      <c r="AC1922">
        <v>6</v>
      </c>
      <c r="AD1922" s="6">
        <v>50</v>
      </c>
      <c r="AE1922" s="6">
        <v>0</v>
      </c>
      <c r="AF1922" s="6">
        <v>0</v>
      </c>
      <c r="AG1922" s="6">
        <v>96.38</v>
      </c>
      <c r="AH1922" s="6">
        <v>121.59</v>
      </c>
      <c r="AI1922" s="6">
        <f t="shared" ref="AI1922:AI1985" si="60">AH1922-AG1922</f>
        <v>25.210000000000008</v>
      </c>
      <c r="AJ1922" s="5">
        <f t="shared" ref="AJ1922:AJ1985" si="61">IFERROR(AI1922/AH1922,0)</f>
        <v>0.20733612961592243</v>
      </c>
    </row>
    <row r="1923" spans="1:36">
      <c r="A1923" t="s">
        <v>196</v>
      </c>
      <c r="B1923" t="s">
        <v>2208</v>
      </c>
      <c r="C1923" t="s">
        <v>103</v>
      </c>
      <c r="D1923" t="s">
        <v>105</v>
      </c>
      <c r="E1923" t="s">
        <v>55</v>
      </c>
      <c r="F1923">
        <v>0</v>
      </c>
      <c r="G1923">
        <v>1718</v>
      </c>
      <c r="H1923">
        <v>1</v>
      </c>
      <c r="I1923" t="s">
        <v>220</v>
      </c>
      <c r="J1923">
        <v>2</v>
      </c>
      <c r="K1923" s="6">
        <v>4.41</v>
      </c>
      <c r="L1923" t="s">
        <v>174</v>
      </c>
      <c r="M1923">
        <v>0</v>
      </c>
      <c r="N1923" t="s">
        <v>175</v>
      </c>
      <c r="O1923">
        <v>1</v>
      </c>
      <c r="P1923">
        <v>0</v>
      </c>
      <c r="Q1923" s="6">
        <v>43.2</v>
      </c>
      <c r="R1923">
        <v>0</v>
      </c>
      <c r="S1923" s="6">
        <v>0</v>
      </c>
      <c r="T1923">
        <v>0</v>
      </c>
      <c r="U1923" s="6">
        <v>5577</v>
      </c>
      <c r="V1923">
        <v>0</v>
      </c>
      <c r="W1923">
        <v>0</v>
      </c>
      <c r="X1923">
        <v>0</v>
      </c>
      <c r="Y1923" s="6">
        <v>40</v>
      </c>
      <c r="Z1923">
        <v>4.5999999999999999E-2</v>
      </c>
      <c r="AA1923">
        <v>0.13900000000000001</v>
      </c>
      <c r="AB1923">
        <v>7.3999999999999996E-2</v>
      </c>
      <c r="AC1923">
        <v>6</v>
      </c>
      <c r="AD1923" s="6">
        <v>50</v>
      </c>
      <c r="AE1923" s="6">
        <v>0</v>
      </c>
      <c r="AF1923" s="6">
        <v>0</v>
      </c>
      <c r="AG1923" s="6">
        <v>62.26</v>
      </c>
      <c r="AH1923" s="6">
        <v>79.430000000000007</v>
      </c>
      <c r="AI1923" s="6">
        <f t="shared" si="60"/>
        <v>17.170000000000009</v>
      </c>
      <c r="AJ1923" s="5">
        <f t="shared" si="61"/>
        <v>0.2161651768853079</v>
      </c>
    </row>
    <row r="1924" spans="1:36">
      <c r="A1924" t="s">
        <v>330</v>
      </c>
      <c r="B1924" t="s">
        <v>2209</v>
      </c>
      <c r="C1924" t="s">
        <v>103</v>
      </c>
      <c r="D1924" t="s">
        <v>105</v>
      </c>
      <c r="E1924" t="s">
        <v>55</v>
      </c>
      <c r="F1924">
        <v>0</v>
      </c>
      <c r="G1924">
        <v>1718</v>
      </c>
      <c r="H1924">
        <v>1</v>
      </c>
      <c r="I1924" t="s">
        <v>220</v>
      </c>
      <c r="J1924">
        <v>2</v>
      </c>
      <c r="K1924" s="6">
        <v>4.6500000000000004</v>
      </c>
      <c r="L1924" t="s">
        <v>174</v>
      </c>
      <c r="M1924">
        <v>0</v>
      </c>
      <c r="N1924" t="s">
        <v>187</v>
      </c>
      <c r="O1924">
        <v>2</v>
      </c>
      <c r="P1924">
        <v>0</v>
      </c>
      <c r="Q1924" s="6">
        <v>27.8</v>
      </c>
      <c r="R1924">
        <v>0</v>
      </c>
      <c r="S1924" s="6">
        <v>0</v>
      </c>
      <c r="T1924">
        <v>0</v>
      </c>
      <c r="U1924" s="6">
        <v>8807</v>
      </c>
      <c r="V1924">
        <v>1</v>
      </c>
      <c r="W1924">
        <v>0</v>
      </c>
      <c r="X1924">
        <v>0</v>
      </c>
      <c r="Y1924" s="6">
        <v>40</v>
      </c>
      <c r="Z1924">
        <v>4.5999999999999999E-2</v>
      </c>
      <c r="AA1924">
        <v>0.13900000000000001</v>
      </c>
      <c r="AB1924">
        <v>7.3999999999999996E-2</v>
      </c>
      <c r="AC1924">
        <v>6</v>
      </c>
      <c r="AD1924" s="6">
        <v>50</v>
      </c>
      <c r="AE1924" s="6">
        <v>0</v>
      </c>
      <c r="AF1924" s="6">
        <v>0</v>
      </c>
      <c r="AG1924" s="6">
        <v>106.25</v>
      </c>
      <c r="AH1924" s="6">
        <v>134.13999999999999</v>
      </c>
      <c r="AI1924" s="6">
        <f t="shared" si="60"/>
        <v>27.889999999999986</v>
      </c>
      <c r="AJ1924" s="5">
        <f t="shared" si="61"/>
        <v>0.20791710153570889</v>
      </c>
    </row>
    <row r="1925" spans="1:36">
      <c r="A1925" t="s">
        <v>353</v>
      </c>
      <c r="B1925" t="s">
        <v>2210</v>
      </c>
      <c r="C1925" t="s">
        <v>103</v>
      </c>
      <c r="D1925" t="s">
        <v>105</v>
      </c>
      <c r="E1925" t="s">
        <v>55</v>
      </c>
      <c r="F1925">
        <v>0</v>
      </c>
      <c r="G1925">
        <v>1718</v>
      </c>
      <c r="H1925">
        <v>1</v>
      </c>
      <c r="I1925" t="s">
        <v>220</v>
      </c>
      <c r="J1925">
        <v>2</v>
      </c>
      <c r="K1925" s="6">
        <v>2.74</v>
      </c>
      <c r="L1925" t="s">
        <v>174</v>
      </c>
      <c r="M1925">
        <v>0</v>
      </c>
      <c r="N1925" t="s">
        <v>187</v>
      </c>
      <c r="O1925">
        <v>2</v>
      </c>
      <c r="P1925">
        <v>0</v>
      </c>
      <c r="Q1925" s="6">
        <v>69.099999999999994</v>
      </c>
      <c r="R1925">
        <v>0</v>
      </c>
      <c r="S1925" s="6">
        <v>0</v>
      </c>
      <c r="T1925">
        <v>0</v>
      </c>
      <c r="U1925" s="6">
        <v>4279</v>
      </c>
      <c r="V1925">
        <v>0</v>
      </c>
      <c r="W1925">
        <v>0</v>
      </c>
      <c r="X1925">
        <v>0</v>
      </c>
      <c r="Y1925" s="6">
        <v>40</v>
      </c>
      <c r="Z1925">
        <v>4.5999999999999999E-2</v>
      </c>
      <c r="AA1925">
        <v>0.13900000000000001</v>
      </c>
      <c r="AB1925">
        <v>7.3999999999999996E-2</v>
      </c>
      <c r="AC1925">
        <v>6</v>
      </c>
      <c r="AD1925" s="6">
        <v>50</v>
      </c>
      <c r="AE1925" s="6">
        <v>0</v>
      </c>
      <c r="AF1925" s="6">
        <v>0</v>
      </c>
      <c r="AG1925" s="6">
        <v>62.82</v>
      </c>
      <c r="AH1925" s="6">
        <v>83.51</v>
      </c>
      <c r="AI1925" s="6">
        <f t="shared" si="60"/>
        <v>20.690000000000005</v>
      </c>
      <c r="AJ1925" s="5">
        <f t="shared" si="61"/>
        <v>0.24775475990899298</v>
      </c>
    </row>
    <row r="1926" spans="1:36">
      <c r="A1926" t="s">
        <v>375</v>
      </c>
      <c r="B1926" t="s">
        <v>2211</v>
      </c>
      <c r="C1926" t="s">
        <v>103</v>
      </c>
      <c r="D1926" t="s">
        <v>105</v>
      </c>
      <c r="E1926" t="s">
        <v>55</v>
      </c>
      <c r="F1926">
        <v>0</v>
      </c>
      <c r="G1926">
        <v>1718</v>
      </c>
      <c r="H1926">
        <v>1</v>
      </c>
      <c r="I1926" t="s">
        <v>173</v>
      </c>
      <c r="J1926">
        <v>1</v>
      </c>
      <c r="K1926" s="6">
        <v>2.21</v>
      </c>
      <c r="L1926" t="s">
        <v>174</v>
      </c>
      <c r="M1926">
        <v>0</v>
      </c>
      <c r="N1926" t="s">
        <v>175</v>
      </c>
      <c r="O1926">
        <v>1</v>
      </c>
      <c r="P1926">
        <v>0</v>
      </c>
      <c r="Q1926" s="6">
        <v>24</v>
      </c>
      <c r="R1926">
        <v>1</v>
      </c>
      <c r="S1926" s="6">
        <v>6379</v>
      </c>
      <c r="T1926">
        <v>0</v>
      </c>
      <c r="U1926" s="6">
        <v>15062</v>
      </c>
      <c r="V1926">
        <v>0</v>
      </c>
      <c r="W1926">
        <v>0</v>
      </c>
      <c r="X1926">
        <v>0</v>
      </c>
      <c r="Y1926" s="6">
        <v>40</v>
      </c>
      <c r="Z1926">
        <v>4.5999999999999999E-2</v>
      </c>
      <c r="AA1926">
        <v>0.13900000000000001</v>
      </c>
      <c r="AB1926">
        <v>7.3999999999999996E-2</v>
      </c>
      <c r="AC1926">
        <v>6</v>
      </c>
      <c r="AD1926" s="6">
        <v>50</v>
      </c>
      <c r="AE1926" s="6">
        <v>50</v>
      </c>
      <c r="AF1926" s="6">
        <v>0</v>
      </c>
      <c r="AG1926" s="6">
        <v>52.99</v>
      </c>
      <c r="AH1926" s="6">
        <v>69.97</v>
      </c>
      <c r="AI1926" s="6">
        <f t="shared" si="60"/>
        <v>16.979999999999997</v>
      </c>
      <c r="AJ1926" s="5">
        <f t="shared" si="61"/>
        <v>0.24267543232814059</v>
      </c>
    </row>
    <row r="1927" spans="1:36">
      <c r="A1927" t="s">
        <v>406</v>
      </c>
      <c r="B1927" t="s">
        <v>2212</v>
      </c>
      <c r="C1927" t="s">
        <v>103</v>
      </c>
      <c r="D1927" t="s">
        <v>105</v>
      </c>
      <c r="E1927" t="s">
        <v>55</v>
      </c>
      <c r="F1927">
        <v>0</v>
      </c>
      <c r="G1927">
        <v>1718</v>
      </c>
      <c r="H1927">
        <v>1</v>
      </c>
      <c r="I1927" t="s">
        <v>220</v>
      </c>
      <c r="J1927">
        <v>2</v>
      </c>
      <c r="K1927" s="6">
        <v>3.47</v>
      </c>
      <c r="L1927" t="s">
        <v>174</v>
      </c>
      <c r="M1927">
        <v>0</v>
      </c>
      <c r="N1927" t="s">
        <v>187</v>
      </c>
      <c r="O1927">
        <v>2</v>
      </c>
      <c r="P1927">
        <v>0</v>
      </c>
      <c r="Q1927" s="6">
        <v>57.7</v>
      </c>
      <c r="R1927">
        <v>0</v>
      </c>
      <c r="S1927" s="6">
        <v>0</v>
      </c>
      <c r="T1927">
        <v>0</v>
      </c>
      <c r="U1927" s="6">
        <v>7470</v>
      </c>
      <c r="V1927">
        <v>0</v>
      </c>
      <c r="W1927">
        <v>0</v>
      </c>
      <c r="X1927">
        <v>0</v>
      </c>
      <c r="Y1927" s="6">
        <v>40</v>
      </c>
      <c r="Z1927">
        <v>4.5999999999999999E-2</v>
      </c>
      <c r="AA1927">
        <v>0.13900000000000001</v>
      </c>
      <c r="AB1927">
        <v>7.3999999999999996E-2</v>
      </c>
      <c r="AC1927">
        <v>6</v>
      </c>
      <c r="AD1927" s="6">
        <v>50</v>
      </c>
      <c r="AE1927" s="6">
        <v>0</v>
      </c>
      <c r="AF1927" s="6">
        <v>0</v>
      </c>
      <c r="AG1927" s="6">
        <v>63.36</v>
      </c>
      <c r="AH1927" s="6">
        <v>84</v>
      </c>
      <c r="AI1927" s="6">
        <f t="shared" si="60"/>
        <v>20.64</v>
      </c>
      <c r="AJ1927" s="5">
        <f t="shared" si="61"/>
        <v>0.24571428571428572</v>
      </c>
    </row>
    <row r="1928" spans="1:36">
      <c r="A1928" t="s">
        <v>517</v>
      </c>
      <c r="B1928" t="s">
        <v>2213</v>
      </c>
      <c r="C1928" t="s">
        <v>103</v>
      </c>
      <c r="D1928" t="s">
        <v>105</v>
      </c>
      <c r="E1928" t="s">
        <v>55</v>
      </c>
      <c r="F1928">
        <v>0</v>
      </c>
      <c r="G1928">
        <v>1718</v>
      </c>
      <c r="H1928">
        <v>1</v>
      </c>
      <c r="I1928" t="s">
        <v>220</v>
      </c>
      <c r="J1928">
        <v>2</v>
      </c>
      <c r="K1928" s="6">
        <v>3.94</v>
      </c>
      <c r="L1928" t="s">
        <v>174</v>
      </c>
      <c r="M1928">
        <v>0</v>
      </c>
      <c r="N1928" t="s">
        <v>182</v>
      </c>
      <c r="O1928">
        <v>3</v>
      </c>
      <c r="P1928">
        <v>0</v>
      </c>
      <c r="Q1928" s="6">
        <v>97.2</v>
      </c>
      <c r="R1928">
        <v>0</v>
      </c>
      <c r="S1928" s="6">
        <v>0</v>
      </c>
      <c r="T1928">
        <v>0</v>
      </c>
      <c r="U1928" s="6">
        <v>3069</v>
      </c>
      <c r="V1928">
        <v>0</v>
      </c>
      <c r="W1928">
        <v>0</v>
      </c>
      <c r="X1928">
        <v>0</v>
      </c>
      <c r="Y1928" s="6">
        <v>40</v>
      </c>
      <c r="Z1928">
        <v>4.5999999999999999E-2</v>
      </c>
      <c r="AA1928">
        <v>0.13900000000000001</v>
      </c>
      <c r="AB1928">
        <v>7.3999999999999996E-2</v>
      </c>
      <c r="AC1928">
        <v>6</v>
      </c>
      <c r="AD1928" s="6">
        <v>50</v>
      </c>
      <c r="AE1928" s="6">
        <v>0</v>
      </c>
      <c r="AF1928" s="6">
        <v>0</v>
      </c>
      <c r="AG1928" s="6">
        <v>67.73</v>
      </c>
      <c r="AH1928" s="6">
        <v>87.69</v>
      </c>
      <c r="AI1928" s="6">
        <f t="shared" si="60"/>
        <v>19.959999999999994</v>
      </c>
      <c r="AJ1928" s="5">
        <f t="shared" si="61"/>
        <v>0.22762002508837945</v>
      </c>
    </row>
    <row r="1929" spans="1:36">
      <c r="A1929" t="s">
        <v>343</v>
      </c>
      <c r="B1929" t="s">
        <v>2214</v>
      </c>
      <c r="C1929" t="s">
        <v>103</v>
      </c>
      <c r="D1929" t="s">
        <v>105</v>
      </c>
      <c r="E1929" t="s">
        <v>55</v>
      </c>
      <c r="F1929">
        <v>0</v>
      </c>
      <c r="G1929">
        <v>1718</v>
      </c>
      <c r="H1929">
        <v>1</v>
      </c>
      <c r="I1929" t="s">
        <v>173</v>
      </c>
      <c r="J1929">
        <v>1</v>
      </c>
      <c r="K1929" s="6">
        <v>2.0699999999999998</v>
      </c>
      <c r="L1929" t="s">
        <v>174</v>
      </c>
      <c r="M1929">
        <v>0</v>
      </c>
      <c r="N1929" t="s">
        <v>187</v>
      </c>
      <c r="O1929">
        <v>2</v>
      </c>
      <c r="P1929">
        <v>0</v>
      </c>
      <c r="Q1929" s="6">
        <v>72.2</v>
      </c>
      <c r="R1929">
        <v>0</v>
      </c>
      <c r="S1929" s="6">
        <v>0</v>
      </c>
      <c r="T1929">
        <v>0</v>
      </c>
      <c r="U1929" s="6">
        <v>9821</v>
      </c>
      <c r="V1929">
        <v>0</v>
      </c>
      <c r="W1929">
        <v>0</v>
      </c>
      <c r="X1929">
        <v>0</v>
      </c>
      <c r="Y1929" s="6">
        <v>40</v>
      </c>
      <c r="Z1929">
        <v>4.5999999999999999E-2</v>
      </c>
      <c r="AA1929">
        <v>0.13900000000000001</v>
      </c>
      <c r="AB1929">
        <v>7.3999999999999996E-2</v>
      </c>
      <c r="AC1929">
        <v>6</v>
      </c>
      <c r="AD1929" s="6">
        <v>50</v>
      </c>
      <c r="AE1929" s="6">
        <v>0</v>
      </c>
      <c r="AF1929" s="6">
        <v>0</v>
      </c>
      <c r="AG1929" s="6">
        <v>55.87</v>
      </c>
      <c r="AH1929" s="6">
        <v>71.39</v>
      </c>
      <c r="AI1929" s="6">
        <f t="shared" si="60"/>
        <v>15.520000000000003</v>
      </c>
      <c r="AJ1929" s="5">
        <f t="shared" si="61"/>
        <v>0.2173973945930803</v>
      </c>
    </row>
    <row r="1930" spans="1:36">
      <c r="A1930" t="s">
        <v>171</v>
      </c>
      <c r="B1930" t="s">
        <v>2215</v>
      </c>
      <c r="C1930" t="s">
        <v>103</v>
      </c>
      <c r="D1930" t="s">
        <v>105</v>
      </c>
      <c r="E1930" t="s">
        <v>55</v>
      </c>
      <c r="F1930">
        <v>0</v>
      </c>
      <c r="G1930">
        <v>1718</v>
      </c>
      <c r="H1930">
        <v>1</v>
      </c>
      <c r="I1930" t="s">
        <v>173</v>
      </c>
      <c r="J1930">
        <v>1</v>
      </c>
      <c r="K1930" s="6">
        <v>2.19</v>
      </c>
      <c r="L1930" t="s">
        <v>174</v>
      </c>
      <c r="M1930">
        <v>0</v>
      </c>
      <c r="N1930" t="s">
        <v>182</v>
      </c>
      <c r="O1930">
        <v>3</v>
      </c>
      <c r="P1930">
        <v>1</v>
      </c>
      <c r="Q1930" s="6">
        <v>85.4</v>
      </c>
      <c r="R1930">
        <v>1</v>
      </c>
      <c r="S1930" s="6">
        <v>1069</v>
      </c>
      <c r="T1930">
        <v>0</v>
      </c>
      <c r="U1930" s="6">
        <v>9649</v>
      </c>
      <c r="V1930">
        <v>0</v>
      </c>
      <c r="W1930">
        <v>0</v>
      </c>
      <c r="X1930">
        <v>0</v>
      </c>
      <c r="Y1930" s="6">
        <v>40</v>
      </c>
      <c r="Z1930">
        <v>4.5999999999999999E-2</v>
      </c>
      <c r="AA1930">
        <v>0.13900000000000001</v>
      </c>
      <c r="AB1930">
        <v>7.3999999999999996E-2</v>
      </c>
      <c r="AC1930">
        <v>6</v>
      </c>
      <c r="AD1930" s="6">
        <v>50</v>
      </c>
      <c r="AE1930" s="6">
        <v>25</v>
      </c>
      <c r="AF1930" s="6">
        <v>0</v>
      </c>
      <c r="AG1930" s="6">
        <v>83.3</v>
      </c>
      <c r="AH1930" s="6">
        <v>106.88</v>
      </c>
      <c r="AI1930" s="6">
        <f t="shared" si="60"/>
        <v>23.58</v>
      </c>
      <c r="AJ1930" s="5">
        <f t="shared" si="61"/>
        <v>0.22062125748502992</v>
      </c>
    </row>
    <row r="1931" spans="1:36">
      <c r="A1931" t="s">
        <v>291</v>
      </c>
      <c r="B1931" t="s">
        <v>2216</v>
      </c>
      <c r="C1931" t="s">
        <v>103</v>
      </c>
      <c r="D1931" t="s">
        <v>105</v>
      </c>
      <c r="E1931" t="s">
        <v>55</v>
      </c>
      <c r="F1931">
        <v>0</v>
      </c>
      <c r="G1931">
        <v>1718</v>
      </c>
      <c r="H1931">
        <v>1</v>
      </c>
      <c r="I1931" t="s">
        <v>220</v>
      </c>
      <c r="J1931">
        <v>2</v>
      </c>
      <c r="K1931" s="6">
        <v>4.34</v>
      </c>
      <c r="L1931" t="s">
        <v>174</v>
      </c>
      <c r="M1931">
        <v>0</v>
      </c>
      <c r="N1931" t="s">
        <v>175</v>
      </c>
      <c r="O1931">
        <v>1</v>
      </c>
      <c r="P1931">
        <v>0</v>
      </c>
      <c r="Q1931" s="6">
        <v>27.2</v>
      </c>
      <c r="R1931">
        <v>1</v>
      </c>
      <c r="S1931" s="6">
        <v>2425</v>
      </c>
      <c r="T1931">
        <v>0</v>
      </c>
      <c r="U1931" s="6">
        <v>5585</v>
      </c>
      <c r="V1931">
        <v>0</v>
      </c>
      <c r="W1931">
        <v>1</v>
      </c>
      <c r="X1931">
        <v>0</v>
      </c>
      <c r="Y1931" s="6">
        <v>40</v>
      </c>
      <c r="Z1931">
        <v>4.5999999999999999E-2</v>
      </c>
      <c r="AA1931">
        <v>0.13900000000000001</v>
      </c>
      <c r="AB1931">
        <v>7.3999999999999996E-2</v>
      </c>
      <c r="AC1931">
        <v>6</v>
      </c>
      <c r="AD1931" s="6">
        <v>50</v>
      </c>
      <c r="AE1931" s="6">
        <v>40</v>
      </c>
      <c r="AF1931" s="6">
        <v>0</v>
      </c>
      <c r="AG1931" s="6">
        <v>87.89</v>
      </c>
      <c r="AH1931" s="6">
        <v>112.41</v>
      </c>
      <c r="AI1931" s="6">
        <f t="shared" si="60"/>
        <v>24.519999999999996</v>
      </c>
      <c r="AJ1931" s="5">
        <f t="shared" si="61"/>
        <v>0.21813005960323811</v>
      </c>
    </row>
    <row r="1932" spans="1:36">
      <c r="A1932" t="s">
        <v>316</v>
      </c>
      <c r="B1932" t="s">
        <v>2217</v>
      </c>
      <c r="C1932" t="s">
        <v>103</v>
      </c>
      <c r="D1932" t="s">
        <v>105</v>
      </c>
      <c r="E1932" t="s">
        <v>55</v>
      </c>
      <c r="F1932">
        <v>0</v>
      </c>
      <c r="G1932">
        <v>1718</v>
      </c>
      <c r="H1932">
        <v>1</v>
      </c>
      <c r="I1932" t="s">
        <v>220</v>
      </c>
      <c r="J1932">
        <v>2</v>
      </c>
      <c r="K1932" s="6">
        <v>3.53</v>
      </c>
      <c r="L1932" t="s">
        <v>174</v>
      </c>
      <c r="M1932">
        <v>0</v>
      </c>
      <c r="N1932" t="s">
        <v>182</v>
      </c>
      <c r="O1932">
        <v>3</v>
      </c>
      <c r="P1932">
        <v>1</v>
      </c>
      <c r="Q1932" s="6">
        <v>50.9</v>
      </c>
      <c r="R1932">
        <v>0</v>
      </c>
      <c r="S1932" s="6">
        <v>0</v>
      </c>
      <c r="T1932">
        <v>0</v>
      </c>
      <c r="U1932" s="6">
        <v>7749</v>
      </c>
      <c r="V1932">
        <v>0</v>
      </c>
      <c r="W1932">
        <v>0</v>
      </c>
      <c r="X1932">
        <v>0</v>
      </c>
      <c r="Y1932" s="6">
        <v>40</v>
      </c>
      <c r="Z1932">
        <v>4.5999999999999999E-2</v>
      </c>
      <c r="AA1932">
        <v>0.13900000000000001</v>
      </c>
      <c r="AB1932">
        <v>7.3999999999999996E-2</v>
      </c>
      <c r="AC1932">
        <v>6</v>
      </c>
      <c r="AD1932" s="6">
        <v>50</v>
      </c>
      <c r="AE1932" s="6">
        <v>0</v>
      </c>
      <c r="AF1932" s="6">
        <v>0</v>
      </c>
      <c r="AG1932" s="6">
        <v>92.22</v>
      </c>
      <c r="AH1932" s="6">
        <v>116.06</v>
      </c>
      <c r="AI1932" s="6">
        <f t="shared" si="60"/>
        <v>23.840000000000003</v>
      </c>
      <c r="AJ1932" s="5">
        <f t="shared" si="61"/>
        <v>0.20541099431328624</v>
      </c>
    </row>
    <row r="1933" spans="1:36">
      <c r="A1933" t="s">
        <v>190</v>
      </c>
      <c r="B1933" t="s">
        <v>2218</v>
      </c>
      <c r="C1933" t="s">
        <v>103</v>
      </c>
      <c r="D1933" t="s">
        <v>105</v>
      </c>
      <c r="E1933" t="s">
        <v>55</v>
      </c>
      <c r="F1933">
        <v>0</v>
      </c>
      <c r="G1933">
        <v>1718</v>
      </c>
      <c r="H1933">
        <v>1</v>
      </c>
      <c r="I1933" t="s">
        <v>181</v>
      </c>
      <c r="J1933">
        <v>3</v>
      </c>
      <c r="K1933" s="6">
        <v>9.14</v>
      </c>
      <c r="L1933" t="s">
        <v>174</v>
      </c>
      <c r="M1933">
        <v>0</v>
      </c>
      <c r="N1933" t="s">
        <v>182</v>
      </c>
      <c r="O1933">
        <v>3</v>
      </c>
      <c r="P1933">
        <v>1</v>
      </c>
      <c r="Q1933" s="6">
        <v>103.8</v>
      </c>
      <c r="R1933">
        <v>0</v>
      </c>
      <c r="S1933" s="6">
        <v>0</v>
      </c>
      <c r="T1933">
        <v>0</v>
      </c>
      <c r="U1933" s="6">
        <v>3737</v>
      </c>
      <c r="V1933">
        <v>0</v>
      </c>
      <c r="W1933">
        <v>0</v>
      </c>
      <c r="X1933">
        <v>0</v>
      </c>
      <c r="Y1933" s="6">
        <v>40</v>
      </c>
      <c r="Z1933">
        <v>4.5999999999999999E-2</v>
      </c>
      <c r="AA1933">
        <v>0.13900000000000001</v>
      </c>
      <c r="AB1933">
        <v>7.3999999999999996E-2</v>
      </c>
      <c r="AC1933">
        <v>6</v>
      </c>
      <c r="AD1933" s="6">
        <v>60</v>
      </c>
      <c r="AE1933" s="6">
        <v>0</v>
      </c>
      <c r="AF1933" s="6">
        <v>0</v>
      </c>
      <c r="AG1933" s="6">
        <v>126.58</v>
      </c>
      <c r="AH1933" s="6">
        <v>163.15</v>
      </c>
      <c r="AI1933" s="6">
        <f t="shared" si="60"/>
        <v>36.570000000000007</v>
      </c>
      <c r="AJ1933" s="5">
        <f t="shared" si="61"/>
        <v>0.22414955562365924</v>
      </c>
    </row>
    <row r="1934" spans="1:36">
      <c r="A1934" t="s">
        <v>343</v>
      </c>
      <c r="B1934" t="s">
        <v>2219</v>
      </c>
      <c r="C1934" t="s">
        <v>103</v>
      </c>
      <c r="D1934" t="s">
        <v>105</v>
      </c>
      <c r="E1934" t="s">
        <v>55</v>
      </c>
      <c r="F1934">
        <v>0</v>
      </c>
      <c r="G1934">
        <v>1718</v>
      </c>
      <c r="H1934">
        <v>1</v>
      </c>
      <c r="I1934" t="s">
        <v>181</v>
      </c>
      <c r="J1934">
        <v>3</v>
      </c>
      <c r="K1934" s="6">
        <v>9.74</v>
      </c>
      <c r="L1934" t="s">
        <v>174</v>
      </c>
      <c r="M1934">
        <v>0</v>
      </c>
      <c r="N1934" t="s">
        <v>187</v>
      </c>
      <c r="O1934">
        <v>2</v>
      </c>
      <c r="P1934">
        <v>0</v>
      </c>
      <c r="Q1934" s="6">
        <v>55.6</v>
      </c>
      <c r="R1934">
        <v>0</v>
      </c>
      <c r="S1934" s="6">
        <v>0</v>
      </c>
      <c r="T1934">
        <v>0</v>
      </c>
      <c r="U1934" s="6">
        <v>6904</v>
      </c>
      <c r="V1934">
        <v>0</v>
      </c>
      <c r="W1934">
        <v>0</v>
      </c>
      <c r="X1934">
        <v>0</v>
      </c>
      <c r="Y1934" s="6">
        <v>40</v>
      </c>
      <c r="Z1934">
        <v>4.5999999999999999E-2</v>
      </c>
      <c r="AA1934">
        <v>0.13900000000000001</v>
      </c>
      <c r="AB1934">
        <v>7.3999999999999996E-2</v>
      </c>
      <c r="AC1934">
        <v>6</v>
      </c>
      <c r="AD1934" s="6">
        <v>60</v>
      </c>
      <c r="AE1934" s="6">
        <v>0</v>
      </c>
      <c r="AF1934" s="6">
        <v>0</v>
      </c>
      <c r="AG1934" s="6">
        <v>97.34</v>
      </c>
      <c r="AH1934" s="6">
        <v>124.92</v>
      </c>
      <c r="AI1934" s="6">
        <f t="shared" si="60"/>
        <v>27.58</v>
      </c>
      <c r="AJ1934" s="5">
        <f t="shared" si="61"/>
        <v>0.22078130003202048</v>
      </c>
    </row>
    <row r="1935" spans="1:36">
      <c r="A1935" t="s">
        <v>434</v>
      </c>
      <c r="B1935" t="s">
        <v>2220</v>
      </c>
      <c r="C1935" t="s">
        <v>103</v>
      </c>
      <c r="D1935" t="s">
        <v>105</v>
      </c>
      <c r="E1935" t="s">
        <v>55</v>
      </c>
      <c r="F1935">
        <v>0</v>
      </c>
      <c r="G1935">
        <v>1718</v>
      </c>
      <c r="H1935">
        <v>1</v>
      </c>
      <c r="I1935" t="s">
        <v>173</v>
      </c>
      <c r="J1935">
        <v>1</v>
      </c>
      <c r="K1935" s="6">
        <v>1.74</v>
      </c>
      <c r="L1935" t="s">
        <v>174</v>
      </c>
      <c r="M1935">
        <v>0</v>
      </c>
      <c r="N1935" t="s">
        <v>182</v>
      </c>
      <c r="O1935">
        <v>3</v>
      </c>
      <c r="P1935">
        <v>0</v>
      </c>
      <c r="Q1935" s="6">
        <v>107.1</v>
      </c>
      <c r="R1935">
        <v>0</v>
      </c>
      <c r="S1935" s="6">
        <v>0</v>
      </c>
      <c r="T1935">
        <v>0</v>
      </c>
      <c r="U1935" s="6">
        <v>6791</v>
      </c>
      <c r="V1935">
        <v>0</v>
      </c>
      <c r="W1935">
        <v>0</v>
      </c>
      <c r="X1935">
        <v>0</v>
      </c>
      <c r="Y1935" s="6">
        <v>40</v>
      </c>
      <c r="Z1935">
        <v>4.5999999999999999E-2</v>
      </c>
      <c r="AA1935">
        <v>0.13900000000000001</v>
      </c>
      <c r="AB1935">
        <v>7.3999999999999996E-2</v>
      </c>
      <c r="AC1935">
        <v>6</v>
      </c>
      <c r="AD1935" s="6">
        <v>50</v>
      </c>
      <c r="AE1935" s="6">
        <v>0</v>
      </c>
      <c r="AF1935" s="6">
        <v>0</v>
      </c>
      <c r="AG1935" s="6">
        <v>58.07</v>
      </c>
      <c r="AH1935" s="6">
        <v>73.64</v>
      </c>
      <c r="AI1935" s="6">
        <f t="shared" si="60"/>
        <v>15.57</v>
      </c>
      <c r="AJ1935" s="5">
        <f t="shared" si="61"/>
        <v>0.21143400325909831</v>
      </c>
    </row>
    <row r="1936" spans="1:36">
      <c r="A1936" t="s">
        <v>562</v>
      </c>
      <c r="B1936" t="s">
        <v>2221</v>
      </c>
      <c r="C1936" t="s">
        <v>103</v>
      </c>
      <c r="D1936" t="s">
        <v>105</v>
      </c>
      <c r="E1936" t="s">
        <v>55</v>
      </c>
      <c r="F1936">
        <v>0</v>
      </c>
      <c r="G1936">
        <v>1718</v>
      </c>
      <c r="H1936">
        <v>1</v>
      </c>
      <c r="I1936" t="s">
        <v>173</v>
      </c>
      <c r="J1936">
        <v>1</v>
      </c>
      <c r="K1936" s="6">
        <v>2.16</v>
      </c>
      <c r="L1936" t="s">
        <v>174</v>
      </c>
      <c r="M1936">
        <v>0</v>
      </c>
      <c r="N1936" t="s">
        <v>187</v>
      </c>
      <c r="O1936">
        <v>2</v>
      </c>
      <c r="P1936">
        <v>0</v>
      </c>
      <c r="Q1936" s="6">
        <v>93.6</v>
      </c>
      <c r="R1936">
        <v>0</v>
      </c>
      <c r="S1936" s="6">
        <v>0</v>
      </c>
      <c r="T1936">
        <v>1</v>
      </c>
      <c r="U1936" s="6">
        <v>32721</v>
      </c>
      <c r="V1936">
        <v>0</v>
      </c>
      <c r="W1936">
        <v>0</v>
      </c>
      <c r="X1936">
        <v>1</v>
      </c>
      <c r="Y1936" s="6">
        <v>40</v>
      </c>
      <c r="Z1936">
        <v>4.5999999999999999E-2</v>
      </c>
      <c r="AA1936">
        <v>0.13900000000000001</v>
      </c>
      <c r="AB1936">
        <v>7.3999999999999996E-2</v>
      </c>
      <c r="AC1936">
        <v>6</v>
      </c>
      <c r="AD1936" s="6">
        <v>50</v>
      </c>
      <c r="AE1936" s="6">
        <v>0</v>
      </c>
      <c r="AF1936" s="6">
        <v>13.61</v>
      </c>
      <c r="AG1936" s="6">
        <v>47.9</v>
      </c>
      <c r="AH1936" s="6">
        <v>64.62</v>
      </c>
      <c r="AI1936" s="6">
        <f t="shared" si="60"/>
        <v>16.720000000000006</v>
      </c>
      <c r="AJ1936" s="5">
        <f t="shared" si="61"/>
        <v>0.25874342308882708</v>
      </c>
    </row>
    <row r="1937" spans="1:36">
      <c r="A1937" t="s">
        <v>176</v>
      </c>
      <c r="B1937" t="s">
        <v>2222</v>
      </c>
      <c r="C1937" t="s">
        <v>103</v>
      </c>
      <c r="D1937" t="s">
        <v>105</v>
      </c>
      <c r="E1937" t="s">
        <v>55</v>
      </c>
      <c r="F1937">
        <v>0</v>
      </c>
      <c r="G1937">
        <v>1718</v>
      </c>
      <c r="H1937">
        <v>1</v>
      </c>
      <c r="I1937" t="s">
        <v>220</v>
      </c>
      <c r="J1937">
        <v>2</v>
      </c>
      <c r="K1937" s="6">
        <v>4.7699999999999996</v>
      </c>
      <c r="L1937" t="s">
        <v>174</v>
      </c>
      <c r="M1937">
        <v>0</v>
      </c>
      <c r="N1937" t="s">
        <v>175</v>
      </c>
      <c r="O1937">
        <v>1</v>
      </c>
      <c r="P1937">
        <v>0</v>
      </c>
      <c r="Q1937" s="6">
        <v>22.6</v>
      </c>
      <c r="R1937">
        <v>0</v>
      </c>
      <c r="S1937" s="6">
        <v>0</v>
      </c>
      <c r="T1937">
        <v>0</v>
      </c>
      <c r="U1937" s="6">
        <v>8734</v>
      </c>
      <c r="V1937">
        <v>0</v>
      </c>
      <c r="W1937">
        <v>0</v>
      </c>
      <c r="X1937">
        <v>0</v>
      </c>
      <c r="Y1937" s="6">
        <v>40</v>
      </c>
      <c r="Z1937">
        <v>4.5999999999999999E-2</v>
      </c>
      <c r="AA1937">
        <v>0.13900000000000001</v>
      </c>
      <c r="AB1937">
        <v>7.3999999999999996E-2</v>
      </c>
      <c r="AC1937">
        <v>6</v>
      </c>
      <c r="AD1937" s="6">
        <v>50</v>
      </c>
      <c r="AE1937" s="6">
        <v>0</v>
      </c>
      <c r="AF1937" s="6">
        <v>0</v>
      </c>
      <c r="AG1937" s="6">
        <v>57</v>
      </c>
      <c r="AH1937" s="6">
        <v>73.53</v>
      </c>
      <c r="AI1937" s="6">
        <f t="shared" si="60"/>
        <v>16.53</v>
      </c>
      <c r="AJ1937" s="5">
        <f t="shared" si="61"/>
        <v>0.22480620155038761</v>
      </c>
    </row>
    <row r="1938" spans="1:36">
      <c r="A1938" t="s">
        <v>266</v>
      </c>
      <c r="B1938" t="s">
        <v>2223</v>
      </c>
      <c r="C1938" t="s">
        <v>103</v>
      </c>
      <c r="D1938" t="s">
        <v>105</v>
      </c>
      <c r="E1938" t="s">
        <v>55</v>
      </c>
      <c r="F1938">
        <v>0</v>
      </c>
      <c r="G1938">
        <v>1718</v>
      </c>
      <c r="H1938">
        <v>1</v>
      </c>
      <c r="I1938" t="s">
        <v>178</v>
      </c>
      <c r="J1938">
        <v>4</v>
      </c>
      <c r="K1938" s="6">
        <v>10.16</v>
      </c>
      <c r="L1938" t="s">
        <v>174</v>
      </c>
      <c r="M1938">
        <v>0</v>
      </c>
      <c r="N1938" t="s">
        <v>187</v>
      </c>
      <c r="O1938">
        <v>2</v>
      </c>
      <c r="P1938">
        <v>0</v>
      </c>
      <c r="Q1938" s="6">
        <v>45</v>
      </c>
      <c r="R1938">
        <v>0</v>
      </c>
      <c r="S1938" s="6">
        <v>0</v>
      </c>
      <c r="T1938">
        <v>0</v>
      </c>
      <c r="U1938" s="6">
        <v>19156</v>
      </c>
      <c r="V1938">
        <v>0</v>
      </c>
      <c r="W1938">
        <v>0</v>
      </c>
      <c r="X1938">
        <v>0</v>
      </c>
      <c r="Y1938" s="6">
        <v>40</v>
      </c>
      <c r="Z1938">
        <v>4.5999999999999999E-2</v>
      </c>
      <c r="AA1938">
        <v>0.13900000000000001</v>
      </c>
      <c r="AB1938">
        <v>7.3999999999999996E-2</v>
      </c>
      <c r="AC1938">
        <v>6</v>
      </c>
      <c r="AD1938" s="6">
        <v>65</v>
      </c>
      <c r="AE1938" s="6">
        <v>0</v>
      </c>
      <c r="AF1938" s="6">
        <v>0</v>
      </c>
      <c r="AG1938" s="6">
        <v>123.42</v>
      </c>
      <c r="AH1938" s="6">
        <v>155.08000000000001</v>
      </c>
      <c r="AI1938" s="6">
        <f t="shared" si="60"/>
        <v>31.660000000000011</v>
      </c>
      <c r="AJ1938" s="5">
        <f t="shared" si="61"/>
        <v>0.20415269538302816</v>
      </c>
    </row>
    <row r="1939" spans="1:36">
      <c r="A1939" t="s">
        <v>251</v>
      </c>
      <c r="B1939" t="s">
        <v>2224</v>
      </c>
      <c r="C1939" t="s">
        <v>103</v>
      </c>
      <c r="D1939" t="s">
        <v>105</v>
      </c>
      <c r="E1939" t="s">
        <v>55</v>
      </c>
      <c r="F1939">
        <v>0</v>
      </c>
      <c r="G1939">
        <v>1718</v>
      </c>
      <c r="H1939">
        <v>1</v>
      </c>
      <c r="I1939" t="s">
        <v>173</v>
      </c>
      <c r="J1939">
        <v>1</v>
      </c>
      <c r="K1939" s="6">
        <v>2.4500000000000002</v>
      </c>
      <c r="L1939" t="s">
        <v>174</v>
      </c>
      <c r="M1939">
        <v>0</v>
      </c>
      <c r="N1939" t="s">
        <v>175</v>
      </c>
      <c r="O1939">
        <v>1</v>
      </c>
      <c r="P1939">
        <v>0</v>
      </c>
      <c r="Q1939" s="6">
        <v>53.5</v>
      </c>
      <c r="R1939">
        <v>0</v>
      </c>
      <c r="S1939" s="6">
        <v>0</v>
      </c>
      <c r="T1939">
        <v>0</v>
      </c>
      <c r="U1939" s="6">
        <v>2100</v>
      </c>
      <c r="V1939">
        <v>0</v>
      </c>
      <c r="W1939">
        <v>1</v>
      </c>
      <c r="X1939">
        <v>0</v>
      </c>
      <c r="Y1939" s="6">
        <v>40</v>
      </c>
      <c r="Z1939">
        <v>4.5999999999999999E-2</v>
      </c>
      <c r="AA1939">
        <v>0.13900000000000001</v>
      </c>
      <c r="AB1939">
        <v>7.3999999999999996E-2</v>
      </c>
      <c r="AC1939">
        <v>6</v>
      </c>
      <c r="AD1939" s="6">
        <v>50</v>
      </c>
      <c r="AE1939" s="6">
        <v>0</v>
      </c>
      <c r="AF1939" s="6">
        <v>0</v>
      </c>
      <c r="AG1939" s="6">
        <v>75.69</v>
      </c>
      <c r="AH1939" s="6">
        <v>96.69</v>
      </c>
      <c r="AI1939" s="6">
        <f t="shared" si="60"/>
        <v>21</v>
      </c>
      <c r="AJ1939" s="5">
        <f t="shared" si="61"/>
        <v>0.21718895439031957</v>
      </c>
    </row>
    <row r="1940" spans="1:36">
      <c r="A1940" t="s">
        <v>274</v>
      </c>
      <c r="B1940" t="s">
        <v>2225</v>
      </c>
      <c r="C1940" t="s">
        <v>103</v>
      </c>
      <c r="D1940" t="s">
        <v>105</v>
      </c>
      <c r="E1940" t="s">
        <v>55</v>
      </c>
      <c r="F1940">
        <v>0</v>
      </c>
      <c r="G1940">
        <v>1718</v>
      </c>
      <c r="H1940">
        <v>1</v>
      </c>
      <c r="I1940" t="s">
        <v>220</v>
      </c>
      <c r="J1940">
        <v>2</v>
      </c>
      <c r="K1940" s="6">
        <v>4.9400000000000004</v>
      </c>
      <c r="L1940" t="s">
        <v>174</v>
      </c>
      <c r="M1940">
        <v>0</v>
      </c>
      <c r="N1940" t="s">
        <v>182</v>
      </c>
      <c r="O1940">
        <v>3</v>
      </c>
      <c r="P1940">
        <v>0</v>
      </c>
      <c r="Q1940" s="6">
        <v>111.3</v>
      </c>
      <c r="R1940">
        <v>1</v>
      </c>
      <c r="S1940" s="6">
        <v>2659</v>
      </c>
      <c r="T1940">
        <v>0</v>
      </c>
      <c r="U1940" s="6">
        <v>6186</v>
      </c>
      <c r="V1940">
        <v>0</v>
      </c>
      <c r="W1940">
        <v>0</v>
      </c>
      <c r="X1940">
        <v>0</v>
      </c>
      <c r="Y1940" s="6">
        <v>40</v>
      </c>
      <c r="Z1940">
        <v>4.5999999999999999E-2</v>
      </c>
      <c r="AA1940">
        <v>0.13900000000000001</v>
      </c>
      <c r="AB1940">
        <v>7.3999999999999996E-2</v>
      </c>
      <c r="AC1940">
        <v>6</v>
      </c>
      <c r="AD1940" s="6">
        <v>50</v>
      </c>
      <c r="AE1940" s="6">
        <v>40</v>
      </c>
      <c r="AF1940" s="6">
        <v>0</v>
      </c>
      <c r="AG1940" s="6">
        <v>74.209999999999994</v>
      </c>
      <c r="AH1940" s="6">
        <v>97.27</v>
      </c>
      <c r="AI1940" s="6">
        <f t="shared" si="60"/>
        <v>23.060000000000002</v>
      </c>
      <c r="AJ1940" s="5">
        <f t="shared" si="61"/>
        <v>0.23707206744114323</v>
      </c>
    </row>
    <row r="1941" spans="1:36">
      <c r="A1941" t="s">
        <v>208</v>
      </c>
      <c r="B1941" t="s">
        <v>2226</v>
      </c>
      <c r="C1941" t="s">
        <v>103</v>
      </c>
      <c r="D1941" t="s">
        <v>105</v>
      </c>
      <c r="E1941" t="s">
        <v>55</v>
      </c>
      <c r="F1941">
        <v>0</v>
      </c>
      <c r="G1941">
        <v>1718</v>
      </c>
      <c r="H1941">
        <v>1</v>
      </c>
      <c r="I1941" t="s">
        <v>181</v>
      </c>
      <c r="J1941">
        <v>3</v>
      </c>
      <c r="K1941" s="6">
        <v>5.77</v>
      </c>
      <c r="L1941" t="s">
        <v>174</v>
      </c>
      <c r="M1941">
        <v>0</v>
      </c>
      <c r="N1941" t="s">
        <v>175</v>
      </c>
      <c r="O1941">
        <v>1</v>
      </c>
      <c r="P1941">
        <v>0</v>
      </c>
      <c r="Q1941" s="6">
        <v>37.5</v>
      </c>
      <c r="R1941">
        <v>0</v>
      </c>
      <c r="S1941" s="6">
        <v>0</v>
      </c>
      <c r="T1941">
        <v>0</v>
      </c>
      <c r="U1941" s="6">
        <v>19927</v>
      </c>
      <c r="V1941">
        <v>1</v>
      </c>
      <c r="W1941">
        <v>0</v>
      </c>
      <c r="X1941">
        <v>0</v>
      </c>
      <c r="Y1941" s="6">
        <v>40</v>
      </c>
      <c r="Z1941">
        <v>4.5999999999999999E-2</v>
      </c>
      <c r="AA1941">
        <v>0.13900000000000001</v>
      </c>
      <c r="AB1941">
        <v>7.3999999999999996E-2</v>
      </c>
      <c r="AC1941">
        <v>6</v>
      </c>
      <c r="AD1941" s="6">
        <v>60</v>
      </c>
      <c r="AE1941" s="6">
        <v>0</v>
      </c>
      <c r="AF1941" s="6">
        <v>0</v>
      </c>
      <c r="AG1941" s="6">
        <v>121.4</v>
      </c>
      <c r="AH1941" s="6">
        <v>153.08000000000001</v>
      </c>
      <c r="AI1941" s="6">
        <f t="shared" si="60"/>
        <v>31.680000000000007</v>
      </c>
      <c r="AJ1941" s="5">
        <f t="shared" si="61"/>
        <v>0.20695061405800891</v>
      </c>
    </row>
    <row r="1942" spans="1:36">
      <c r="A1942" t="s">
        <v>179</v>
      </c>
      <c r="B1942" t="s">
        <v>2227</v>
      </c>
      <c r="C1942" t="s">
        <v>103</v>
      </c>
      <c r="D1942" t="s">
        <v>105</v>
      </c>
      <c r="E1942" t="s">
        <v>55</v>
      </c>
      <c r="F1942">
        <v>0</v>
      </c>
      <c r="G1942">
        <v>1718</v>
      </c>
      <c r="H1942">
        <v>1</v>
      </c>
      <c r="I1942" t="s">
        <v>173</v>
      </c>
      <c r="J1942">
        <v>1</v>
      </c>
      <c r="K1942" s="6">
        <v>0.48</v>
      </c>
      <c r="L1942" t="s">
        <v>174</v>
      </c>
      <c r="M1942">
        <v>0</v>
      </c>
      <c r="N1942" t="s">
        <v>182</v>
      </c>
      <c r="O1942">
        <v>3</v>
      </c>
      <c r="P1942">
        <v>0</v>
      </c>
      <c r="Q1942" s="6">
        <v>65.099999999999994</v>
      </c>
      <c r="R1942">
        <v>1</v>
      </c>
      <c r="S1942" s="6">
        <v>1194</v>
      </c>
      <c r="T1942">
        <v>0</v>
      </c>
      <c r="U1942" s="6">
        <v>12073</v>
      </c>
      <c r="V1942">
        <v>0</v>
      </c>
      <c r="W1942">
        <v>0</v>
      </c>
      <c r="X1942">
        <v>0</v>
      </c>
      <c r="Y1942" s="6">
        <v>40</v>
      </c>
      <c r="Z1942">
        <v>4.5999999999999999E-2</v>
      </c>
      <c r="AA1942">
        <v>0.13900000000000001</v>
      </c>
      <c r="AB1942">
        <v>7.3999999999999996E-2</v>
      </c>
      <c r="AC1942">
        <v>6</v>
      </c>
      <c r="AD1942" s="6">
        <v>50</v>
      </c>
      <c r="AE1942" s="6">
        <v>25</v>
      </c>
      <c r="AF1942" s="6">
        <v>0</v>
      </c>
      <c r="AG1942" s="6">
        <v>66.53</v>
      </c>
      <c r="AH1942" s="6">
        <v>86.35</v>
      </c>
      <c r="AI1942" s="6">
        <f t="shared" si="60"/>
        <v>19.819999999999993</v>
      </c>
      <c r="AJ1942" s="5">
        <f t="shared" si="61"/>
        <v>0.22953097857556451</v>
      </c>
    </row>
    <row r="1943" spans="1:36">
      <c r="A1943" t="s">
        <v>691</v>
      </c>
      <c r="B1943" t="s">
        <v>2228</v>
      </c>
      <c r="C1943" t="s">
        <v>103</v>
      </c>
      <c r="D1943" t="s">
        <v>105</v>
      </c>
      <c r="E1943" t="s">
        <v>55</v>
      </c>
      <c r="F1943">
        <v>0</v>
      </c>
      <c r="G1943">
        <v>1718</v>
      </c>
      <c r="H1943">
        <v>1</v>
      </c>
      <c r="I1943" t="s">
        <v>173</v>
      </c>
      <c r="J1943">
        <v>1</v>
      </c>
      <c r="K1943" s="6">
        <v>1.51</v>
      </c>
      <c r="L1943" t="s">
        <v>174</v>
      </c>
      <c r="M1943">
        <v>0</v>
      </c>
      <c r="N1943" t="s">
        <v>182</v>
      </c>
      <c r="O1943">
        <v>3</v>
      </c>
      <c r="P1943">
        <v>0</v>
      </c>
      <c r="Q1943" s="6">
        <v>76.3</v>
      </c>
      <c r="R1943">
        <v>0</v>
      </c>
      <c r="S1943" s="6">
        <v>0</v>
      </c>
      <c r="T1943">
        <v>0</v>
      </c>
      <c r="U1943" s="6">
        <v>7123</v>
      </c>
      <c r="V1943">
        <v>0</v>
      </c>
      <c r="W1943">
        <v>0</v>
      </c>
      <c r="X1943">
        <v>0</v>
      </c>
      <c r="Y1943" s="6">
        <v>40</v>
      </c>
      <c r="Z1943">
        <v>4.5999999999999999E-2</v>
      </c>
      <c r="AA1943">
        <v>0.13900000000000001</v>
      </c>
      <c r="AB1943">
        <v>7.3999999999999996E-2</v>
      </c>
      <c r="AC1943">
        <v>6</v>
      </c>
      <c r="AD1943" s="6">
        <v>50</v>
      </c>
      <c r="AE1943" s="6">
        <v>0</v>
      </c>
      <c r="AF1943" s="6">
        <v>0</v>
      </c>
      <c r="AG1943" s="6">
        <v>64.64</v>
      </c>
      <c r="AH1943" s="6">
        <v>81.28</v>
      </c>
      <c r="AI1943" s="6">
        <f t="shared" si="60"/>
        <v>16.64</v>
      </c>
      <c r="AJ1943" s="5">
        <f t="shared" si="61"/>
        <v>0.20472440944881889</v>
      </c>
    </row>
    <row r="1944" spans="1:36">
      <c r="A1944" t="s">
        <v>255</v>
      </c>
      <c r="B1944" t="s">
        <v>2229</v>
      </c>
      <c r="C1944" t="s">
        <v>103</v>
      </c>
      <c r="D1944" t="s">
        <v>105</v>
      </c>
      <c r="E1944" t="s">
        <v>55</v>
      </c>
      <c r="F1944">
        <v>0</v>
      </c>
      <c r="G1944">
        <v>1718</v>
      </c>
      <c r="H1944">
        <v>1</v>
      </c>
      <c r="I1944" t="s">
        <v>173</v>
      </c>
      <c r="J1944">
        <v>1</v>
      </c>
      <c r="K1944" s="6">
        <v>2.04</v>
      </c>
      <c r="L1944" t="s">
        <v>174</v>
      </c>
      <c r="M1944">
        <v>0</v>
      </c>
      <c r="N1944" t="s">
        <v>182</v>
      </c>
      <c r="O1944">
        <v>3</v>
      </c>
      <c r="P1944">
        <v>0</v>
      </c>
      <c r="Q1944" s="6">
        <v>101.5</v>
      </c>
      <c r="R1944">
        <v>0</v>
      </c>
      <c r="S1944" s="6">
        <v>0</v>
      </c>
      <c r="T1944">
        <v>0</v>
      </c>
      <c r="U1944" s="6">
        <v>5691</v>
      </c>
      <c r="V1944">
        <v>0</v>
      </c>
      <c r="W1944">
        <v>0</v>
      </c>
      <c r="X1944">
        <v>0</v>
      </c>
      <c r="Y1944" s="6">
        <v>40</v>
      </c>
      <c r="Z1944">
        <v>4.5999999999999999E-2</v>
      </c>
      <c r="AA1944">
        <v>0.13900000000000001</v>
      </c>
      <c r="AB1944">
        <v>7.3999999999999996E-2</v>
      </c>
      <c r="AC1944">
        <v>6</v>
      </c>
      <c r="AD1944" s="6">
        <v>50</v>
      </c>
      <c r="AE1944" s="6">
        <v>0</v>
      </c>
      <c r="AF1944" s="6">
        <v>0</v>
      </c>
      <c r="AG1944" s="6">
        <v>64.900000000000006</v>
      </c>
      <c r="AH1944" s="6">
        <v>82.71</v>
      </c>
      <c r="AI1944" s="6">
        <f t="shared" si="60"/>
        <v>17.809999999999988</v>
      </c>
      <c r="AJ1944" s="5">
        <f t="shared" si="61"/>
        <v>0.21533067343731097</v>
      </c>
    </row>
    <row r="1945" spans="1:36">
      <c r="A1945" t="s">
        <v>362</v>
      </c>
      <c r="B1945" t="s">
        <v>2230</v>
      </c>
      <c r="C1945" t="s">
        <v>103</v>
      </c>
      <c r="D1945" t="s">
        <v>105</v>
      </c>
      <c r="E1945" t="s">
        <v>55</v>
      </c>
      <c r="F1945">
        <v>0</v>
      </c>
      <c r="G1945">
        <v>1718</v>
      </c>
      <c r="H1945">
        <v>1</v>
      </c>
      <c r="I1945" t="s">
        <v>178</v>
      </c>
      <c r="J1945">
        <v>4</v>
      </c>
      <c r="K1945" s="6">
        <v>6.74</v>
      </c>
      <c r="L1945" t="s">
        <v>174</v>
      </c>
      <c r="M1945">
        <v>0</v>
      </c>
      <c r="N1945" t="s">
        <v>175</v>
      </c>
      <c r="O1945">
        <v>1</v>
      </c>
      <c r="P1945">
        <v>0</v>
      </c>
      <c r="Q1945" s="6">
        <v>47.1</v>
      </c>
      <c r="R1945">
        <v>0</v>
      </c>
      <c r="S1945" s="6">
        <v>0</v>
      </c>
      <c r="T1945">
        <v>0</v>
      </c>
      <c r="U1945" s="6">
        <v>6827</v>
      </c>
      <c r="V1945">
        <v>0</v>
      </c>
      <c r="W1945">
        <v>0</v>
      </c>
      <c r="X1945">
        <v>0</v>
      </c>
      <c r="Y1945" s="6">
        <v>40</v>
      </c>
      <c r="Z1945">
        <v>4.5999999999999999E-2</v>
      </c>
      <c r="AA1945">
        <v>0.13900000000000001</v>
      </c>
      <c r="AB1945">
        <v>7.3999999999999996E-2</v>
      </c>
      <c r="AC1945">
        <v>6</v>
      </c>
      <c r="AD1945" s="6">
        <v>65</v>
      </c>
      <c r="AE1945" s="6">
        <v>0</v>
      </c>
      <c r="AF1945" s="6">
        <v>0</v>
      </c>
      <c r="AG1945" s="6">
        <v>97.72</v>
      </c>
      <c r="AH1945" s="6">
        <v>126.59</v>
      </c>
      <c r="AI1945" s="6">
        <f t="shared" si="60"/>
        <v>28.870000000000005</v>
      </c>
      <c r="AJ1945" s="5">
        <f t="shared" si="61"/>
        <v>0.2280590883956079</v>
      </c>
    </row>
    <row r="1946" spans="1:36">
      <c r="A1946" t="s">
        <v>179</v>
      </c>
      <c r="B1946" t="s">
        <v>2231</v>
      </c>
      <c r="C1946" t="s">
        <v>103</v>
      </c>
      <c r="D1946" t="s">
        <v>105</v>
      </c>
      <c r="E1946" t="s">
        <v>55</v>
      </c>
      <c r="F1946">
        <v>0</v>
      </c>
      <c r="G1946">
        <v>1718</v>
      </c>
      <c r="H1946">
        <v>1</v>
      </c>
      <c r="I1946" t="s">
        <v>178</v>
      </c>
      <c r="J1946">
        <v>4</v>
      </c>
      <c r="K1946" s="6">
        <v>10.27</v>
      </c>
      <c r="L1946" t="s">
        <v>174</v>
      </c>
      <c r="M1946">
        <v>0</v>
      </c>
      <c r="N1946" t="s">
        <v>175</v>
      </c>
      <c r="O1946">
        <v>1</v>
      </c>
      <c r="P1946">
        <v>0</v>
      </c>
      <c r="Q1946" s="6">
        <v>40.5</v>
      </c>
      <c r="R1946">
        <v>1</v>
      </c>
      <c r="S1946" s="6">
        <v>2991</v>
      </c>
      <c r="T1946">
        <v>0</v>
      </c>
      <c r="U1946" s="6">
        <v>7618</v>
      </c>
      <c r="V1946">
        <v>0</v>
      </c>
      <c r="W1946">
        <v>0</v>
      </c>
      <c r="X1946">
        <v>0</v>
      </c>
      <c r="Y1946" s="6">
        <v>40</v>
      </c>
      <c r="Z1946">
        <v>4.5999999999999999E-2</v>
      </c>
      <c r="AA1946">
        <v>0.13900000000000001</v>
      </c>
      <c r="AB1946">
        <v>7.3999999999999996E-2</v>
      </c>
      <c r="AC1946">
        <v>6</v>
      </c>
      <c r="AD1946" s="6">
        <v>65</v>
      </c>
      <c r="AE1946" s="6">
        <v>40</v>
      </c>
      <c r="AF1946" s="6">
        <v>0</v>
      </c>
      <c r="AG1946" s="6">
        <v>116.16</v>
      </c>
      <c r="AH1946" s="6">
        <v>149.74</v>
      </c>
      <c r="AI1946" s="6">
        <f t="shared" si="60"/>
        <v>33.580000000000013</v>
      </c>
      <c r="AJ1946" s="5">
        <f t="shared" si="61"/>
        <v>0.22425537598504081</v>
      </c>
    </row>
    <row r="1947" spans="1:36">
      <c r="A1947" t="s">
        <v>323</v>
      </c>
      <c r="B1947" t="s">
        <v>2232</v>
      </c>
      <c r="C1947" t="s">
        <v>103</v>
      </c>
      <c r="D1947" t="s">
        <v>105</v>
      </c>
      <c r="E1947" t="s">
        <v>55</v>
      </c>
      <c r="F1947">
        <v>0</v>
      </c>
      <c r="G1947">
        <v>1718</v>
      </c>
      <c r="H1947">
        <v>1</v>
      </c>
      <c r="I1947" t="s">
        <v>220</v>
      </c>
      <c r="J1947">
        <v>2</v>
      </c>
      <c r="K1947" s="6">
        <v>3.08</v>
      </c>
      <c r="L1947" t="s">
        <v>174</v>
      </c>
      <c r="M1947">
        <v>0</v>
      </c>
      <c r="N1947" t="s">
        <v>182</v>
      </c>
      <c r="O1947">
        <v>3</v>
      </c>
      <c r="P1947">
        <v>1</v>
      </c>
      <c r="Q1947" s="6">
        <v>48.5</v>
      </c>
      <c r="R1947">
        <v>0</v>
      </c>
      <c r="S1947" s="6">
        <v>0</v>
      </c>
      <c r="T1947">
        <v>0</v>
      </c>
      <c r="U1947" s="6">
        <v>8706</v>
      </c>
      <c r="V1947">
        <v>0</v>
      </c>
      <c r="W1947">
        <v>0</v>
      </c>
      <c r="X1947">
        <v>0</v>
      </c>
      <c r="Y1947" s="6">
        <v>40</v>
      </c>
      <c r="Z1947">
        <v>4.5999999999999999E-2</v>
      </c>
      <c r="AA1947">
        <v>0.13900000000000001</v>
      </c>
      <c r="AB1947">
        <v>7.3999999999999996E-2</v>
      </c>
      <c r="AC1947">
        <v>6</v>
      </c>
      <c r="AD1947" s="6">
        <v>50</v>
      </c>
      <c r="AE1947" s="6">
        <v>0</v>
      </c>
      <c r="AF1947" s="6">
        <v>0</v>
      </c>
      <c r="AG1947" s="6">
        <v>95.88</v>
      </c>
      <c r="AH1947" s="6">
        <v>124.49</v>
      </c>
      <c r="AI1947" s="6">
        <f t="shared" si="60"/>
        <v>28.61</v>
      </c>
      <c r="AJ1947" s="5">
        <f t="shared" si="61"/>
        <v>0.22981765603662946</v>
      </c>
    </row>
    <row r="1948" spans="1:36">
      <c r="A1948" t="s">
        <v>236</v>
      </c>
      <c r="B1948" t="s">
        <v>2233</v>
      </c>
      <c r="C1948" t="s">
        <v>103</v>
      </c>
      <c r="D1948" t="s">
        <v>105</v>
      </c>
      <c r="E1948" t="s">
        <v>55</v>
      </c>
      <c r="F1948">
        <v>0</v>
      </c>
      <c r="G1948">
        <v>1718</v>
      </c>
      <c r="H1948">
        <v>1</v>
      </c>
      <c r="I1948" t="s">
        <v>220</v>
      </c>
      <c r="J1948">
        <v>2</v>
      </c>
      <c r="K1948" s="6">
        <v>5.67</v>
      </c>
      <c r="L1948" t="s">
        <v>174</v>
      </c>
      <c r="M1948">
        <v>0</v>
      </c>
      <c r="N1948" t="s">
        <v>217</v>
      </c>
      <c r="O1948">
        <v>4</v>
      </c>
      <c r="P1948">
        <v>1</v>
      </c>
      <c r="Q1948" s="6">
        <v>87</v>
      </c>
      <c r="R1948">
        <v>0</v>
      </c>
      <c r="S1948" s="6">
        <v>0</v>
      </c>
      <c r="T1948">
        <v>0</v>
      </c>
      <c r="U1948" s="6">
        <v>6619</v>
      </c>
      <c r="V1948">
        <v>0</v>
      </c>
      <c r="W1948">
        <v>0</v>
      </c>
      <c r="X1948">
        <v>0</v>
      </c>
      <c r="Y1948" s="6">
        <v>40</v>
      </c>
      <c r="Z1948">
        <v>4.5999999999999999E-2</v>
      </c>
      <c r="AA1948">
        <v>0.13900000000000001</v>
      </c>
      <c r="AB1948">
        <v>7.3999999999999996E-2</v>
      </c>
      <c r="AC1948">
        <v>6</v>
      </c>
      <c r="AD1948" s="6">
        <v>50</v>
      </c>
      <c r="AE1948" s="6">
        <v>0</v>
      </c>
      <c r="AF1948" s="6">
        <v>0</v>
      </c>
      <c r="AG1948" s="6">
        <v>104.31</v>
      </c>
      <c r="AH1948" s="6">
        <v>130.47999999999999</v>
      </c>
      <c r="AI1948" s="6">
        <f t="shared" si="60"/>
        <v>26.169999999999987</v>
      </c>
      <c r="AJ1948" s="5">
        <f t="shared" si="61"/>
        <v>0.20056713672593493</v>
      </c>
    </row>
    <row r="1949" spans="1:36">
      <c r="A1949" t="s">
        <v>360</v>
      </c>
      <c r="B1949" t="s">
        <v>2234</v>
      </c>
      <c r="C1949" t="s">
        <v>103</v>
      </c>
      <c r="D1949" t="s">
        <v>105</v>
      </c>
      <c r="E1949" t="s">
        <v>55</v>
      </c>
      <c r="F1949">
        <v>0</v>
      </c>
      <c r="G1949">
        <v>1718</v>
      </c>
      <c r="H1949">
        <v>1</v>
      </c>
      <c r="I1949" t="s">
        <v>173</v>
      </c>
      <c r="J1949">
        <v>1</v>
      </c>
      <c r="K1949" s="6">
        <v>1.53</v>
      </c>
      <c r="L1949" t="s">
        <v>174</v>
      </c>
      <c r="M1949">
        <v>0</v>
      </c>
      <c r="N1949" t="s">
        <v>272</v>
      </c>
      <c r="O1949">
        <v>5</v>
      </c>
      <c r="P1949">
        <v>1</v>
      </c>
      <c r="Q1949" s="6">
        <v>314.2</v>
      </c>
      <c r="R1949">
        <v>0</v>
      </c>
      <c r="S1949" s="6">
        <v>0</v>
      </c>
      <c r="T1949">
        <v>0</v>
      </c>
      <c r="U1949" s="6">
        <v>10753</v>
      </c>
      <c r="V1949">
        <v>0</v>
      </c>
      <c r="W1949">
        <v>0</v>
      </c>
      <c r="X1949">
        <v>0</v>
      </c>
      <c r="Y1949" s="6">
        <v>40</v>
      </c>
      <c r="Z1949">
        <v>4.5999999999999999E-2</v>
      </c>
      <c r="AA1949">
        <v>0.13900000000000001</v>
      </c>
      <c r="AB1949">
        <v>7.3999999999999996E-2</v>
      </c>
      <c r="AC1949">
        <v>6</v>
      </c>
      <c r="AD1949" s="6">
        <v>50</v>
      </c>
      <c r="AE1949" s="6">
        <v>0</v>
      </c>
      <c r="AF1949" s="6">
        <v>0</v>
      </c>
      <c r="AG1949" s="6">
        <v>144.15</v>
      </c>
      <c r="AH1949" s="6">
        <v>182.12</v>
      </c>
      <c r="AI1949" s="6">
        <f t="shared" si="60"/>
        <v>37.97</v>
      </c>
      <c r="AJ1949" s="5">
        <f t="shared" si="61"/>
        <v>0.20848890841203602</v>
      </c>
    </row>
    <row r="1950" spans="1:36">
      <c r="A1950" t="s">
        <v>345</v>
      </c>
      <c r="B1950" t="s">
        <v>2235</v>
      </c>
      <c r="C1950" t="s">
        <v>103</v>
      </c>
      <c r="D1950" t="s">
        <v>105</v>
      </c>
      <c r="E1950" t="s">
        <v>55</v>
      </c>
      <c r="F1950">
        <v>0</v>
      </c>
      <c r="G1950">
        <v>1718</v>
      </c>
      <c r="H1950">
        <v>1</v>
      </c>
      <c r="I1950" t="s">
        <v>220</v>
      </c>
      <c r="J1950">
        <v>2</v>
      </c>
      <c r="K1950" s="6">
        <v>4.4800000000000004</v>
      </c>
      <c r="L1950" t="s">
        <v>174</v>
      </c>
      <c r="M1950">
        <v>0</v>
      </c>
      <c r="N1950" t="s">
        <v>175</v>
      </c>
      <c r="O1950">
        <v>1</v>
      </c>
      <c r="P1950">
        <v>0</v>
      </c>
      <c r="Q1950" s="6">
        <v>14.7</v>
      </c>
      <c r="R1950">
        <v>0</v>
      </c>
      <c r="S1950" s="6">
        <v>0</v>
      </c>
      <c r="T1950">
        <v>0</v>
      </c>
      <c r="U1950" s="6">
        <v>10307</v>
      </c>
      <c r="V1950">
        <v>0</v>
      </c>
      <c r="W1950">
        <v>0</v>
      </c>
      <c r="X1950">
        <v>0</v>
      </c>
      <c r="Y1950" s="6">
        <v>40</v>
      </c>
      <c r="Z1950">
        <v>4.5999999999999999E-2</v>
      </c>
      <c r="AA1950">
        <v>0.13900000000000001</v>
      </c>
      <c r="AB1950">
        <v>7.3999999999999996E-2</v>
      </c>
      <c r="AC1950">
        <v>6</v>
      </c>
      <c r="AD1950" s="6">
        <v>50</v>
      </c>
      <c r="AE1950" s="6">
        <v>0</v>
      </c>
      <c r="AF1950" s="6">
        <v>0</v>
      </c>
      <c r="AG1950" s="6">
        <v>52.44</v>
      </c>
      <c r="AH1950" s="6">
        <v>69.89</v>
      </c>
      <c r="AI1950" s="6">
        <f t="shared" si="60"/>
        <v>17.450000000000003</v>
      </c>
      <c r="AJ1950" s="5">
        <f t="shared" si="61"/>
        <v>0.24967806553154961</v>
      </c>
    </row>
    <row r="1951" spans="1:36">
      <c r="A1951" t="s">
        <v>562</v>
      </c>
      <c r="B1951" t="s">
        <v>2236</v>
      </c>
      <c r="C1951" t="s">
        <v>103</v>
      </c>
      <c r="D1951" t="s">
        <v>105</v>
      </c>
      <c r="E1951" t="s">
        <v>55</v>
      </c>
      <c r="F1951">
        <v>0</v>
      </c>
      <c r="G1951">
        <v>1718</v>
      </c>
      <c r="H1951">
        <v>1</v>
      </c>
      <c r="I1951" t="s">
        <v>220</v>
      </c>
      <c r="J1951">
        <v>2</v>
      </c>
      <c r="K1951" s="6">
        <v>2.87</v>
      </c>
      <c r="L1951" t="s">
        <v>174</v>
      </c>
      <c r="M1951">
        <v>0</v>
      </c>
      <c r="N1951" t="s">
        <v>217</v>
      </c>
      <c r="O1951">
        <v>4</v>
      </c>
      <c r="P1951">
        <v>1</v>
      </c>
      <c r="Q1951" s="6">
        <v>136.9</v>
      </c>
      <c r="R1951">
        <v>0</v>
      </c>
      <c r="S1951" s="6">
        <v>0</v>
      </c>
      <c r="T1951">
        <v>0</v>
      </c>
      <c r="U1951" s="6">
        <v>6520</v>
      </c>
      <c r="V1951">
        <v>0</v>
      </c>
      <c r="W1951">
        <v>0</v>
      </c>
      <c r="X1951">
        <v>0</v>
      </c>
      <c r="Y1951" s="6">
        <v>40</v>
      </c>
      <c r="Z1951">
        <v>4.5999999999999999E-2</v>
      </c>
      <c r="AA1951">
        <v>0.13900000000000001</v>
      </c>
      <c r="AB1951">
        <v>7.3999999999999996E-2</v>
      </c>
      <c r="AC1951">
        <v>6</v>
      </c>
      <c r="AD1951" s="6">
        <v>50</v>
      </c>
      <c r="AE1951" s="6">
        <v>0</v>
      </c>
      <c r="AF1951" s="6">
        <v>0</v>
      </c>
      <c r="AG1951" s="6">
        <v>113.56</v>
      </c>
      <c r="AH1951" s="6">
        <v>145.72999999999999</v>
      </c>
      <c r="AI1951" s="6">
        <f t="shared" si="60"/>
        <v>32.169999999999987</v>
      </c>
      <c r="AJ1951" s="5">
        <f t="shared" si="61"/>
        <v>0.22075070335552041</v>
      </c>
    </row>
    <row r="1952" spans="1:36">
      <c r="A1952" t="s">
        <v>517</v>
      </c>
      <c r="B1952" t="s">
        <v>2237</v>
      </c>
      <c r="C1952" t="s">
        <v>103</v>
      </c>
      <c r="D1952" t="s">
        <v>105</v>
      </c>
      <c r="E1952" t="s">
        <v>55</v>
      </c>
      <c r="F1952">
        <v>0</v>
      </c>
      <c r="G1952">
        <v>1718</v>
      </c>
      <c r="H1952">
        <v>1</v>
      </c>
      <c r="I1952" t="s">
        <v>181</v>
      </c>
      <c r="J1952">
        <v>3</v>
      </c>
      <c r="K1952" s="6">
        <v>8.59</v>
      </c>
      <c r="L1952" t="s">
        <v>174</v>
      </c>
      <c r="M1952">
        <v>0</v>
      </c>
      <c r="N1952" t="s">
        <v>182</v>
      </c>
      <c r="O1952">
        <v>3</v>
      </c>
      <c r="P1952">
        <v>1</v>
      </c>
      <c r="Q1952" s="6">
        <v>118.9</v>
      </c>
      <c r="R1952">
        <v>0</v>
      </c>
      <c r="S1952" s="6">
        <v>0</v>
      </c>
      <c r="T1952">
        <v>0</v>
      </c>
      <c r="U1952" s="6">
        <v>5080</v>
      </c>
      <c r="V1952">
        <v>0</v>
      </c>
      <c r="W1952">
        <v>0</v>
      </c>
      <c r="X1952">
        <v>0</v>
      </c>
      <c r="Y1952" s="6">
        <v>40</v>
      </c>
      <c r="Z1952">
        <v>4.5999999999999999E-2</v>
      </c>
      <c r="AA1952">
        <v>0.13900000000000001</v>
      </c>
      <c r="AB1952">
        <v>7.3999999999999996E-2</v>
      </c>
      <c r="AC1952">
        <v>6</v>
      </c>
      <c r="AD1952" s="6">
        <v>60</v>
      </c>
      <c r="AE1952" s="6">
        <v>0</v>
      </c>
      <c r="AF1952" s="6">
        <v>0</v>
      </c>
      <c r="AG1952" s="6">
        <v>121.11</v>
      </c>
      <c r="AH1952" s="6">
        <v>155.65</v>
      </c>
      <c r="AI1952" s="6">
        <f t="shared" si="60"/>
        <v>34.540000000000006</v>
      </c>
      <c r="AJ1952" s="5">
        <f t="shared" si="61"/>
        <v>0.2219081272084806</v>
      </c>
    </row>
    <row r="1953" spans="1:36">
      <c r="A1953" t="s">
        <v>201</v>
      </c>
      <c r="B1953" t="s">
        <v>2238</v>
      </c>
      <c r="C1953" t="s">
        <v>103</v>
      </c>
      <c r="D1953" t="s">
        <v>105</v>
      </c>
      <c r="E1953" t="s">
        <v>55</v>
      </c>
      <c r="F1953">
        <v>0</v>
      </c>
      <c r="G1953">
        <v>1718</v>
      </c>
      <c r="H1953">
        <v>1</v>
      </c>
      <c r="I1953" t="s">
        <v>220</v>
      </c>
      <c r="J1953">
        <v>2</v>
      </c>
      <c r="K1953" s="6">
        <v>3.61</v>
      </c>
      <c r="L1953" t="s">
        <v>174</v>
      </c>
      <c r="M1953">
        <v>0</v>
      </c>
      <c r="N1953" t="s">
        <v>175</v>
      </c>
      <c r="O1953">
        <v>1</v>
      </c>
      <c r="P1953">
        <v>0</v>
      </c>
      <c r="Q1953" s="6">
        <v>11.1</v>
      </c>
      <c r="R1953">
        <v>0</v>
      </c>
      <c r="S1953" s="6">
        <v>0</v>
      </c>
      <c r="T1953">
        <v>0</v>
      </c>
      <c r="U1953" s="6">
        <v>10535</v>
      </c>
      <c r="V1953">
        <v>0</v>
      </c>
      <c r="W1953">
        <v>0</v>
      </c>
      <c r="X1953">
        <v>0</v>
      </c>
      <c r="Y1953" s="6">
        <v>40</v>
      </c>
      <c r="Z1953">
        <v>4.5999999999999999E-2</v>
      </c>
      <c r="AA1953">
        <v>0.13900000000000001</v>
      </c>
      <c r="AB1953">
        <v>7.3999999999999996E-2</v>
      </c>
      <c r="AC1953">
        <v>6</v>
      </c>
      <c r="AD1953" s="6">
        <v>50</v>
      </c>
      <c r="AE1953" s="6">
        <v>0</v>
      </c>
      <c r="AF1953" s="6">
        <v>0</v>
      </c>
      <c r="AG1953" s="6">
        <v>55.32</v>
      </c>
      <c r="AH1953" s="6">
        <v>73.14</v>
      </c>
      <c r="AI1953" s="6">
        <f t="shared" si="60"/>
        <v>17.82</v>
      </c>
      <c r="AJ1953" s="5">
        <f t="shared" si="61"/>
        <v>0.24364232977850697</v>
      </c>
    </row>
    <row r="1954" spans="1:36">
      <c r="A1954" t="s">
        <v>206</v>
      </c>
      <c r="B1954" t="s">
        <v>2239</v>
      </c>
      <c r="C1954" t="s">
        <v>103</v>
      </c>
      <c r="D1954" t="s">
        <v>105</v>
      </c>
      <c r="E1954" t="s">
        <v>55</v>
      </c>
      <c r="F1954">
        <v>0</v>
      </c>
      <c r="G1954">
        <v>1718</v>
      </c>
      <c r="H1954">
        <v>1</v>
      </c>
      <c r="I1954" t="s">
        <v>173</v>
      </c>
      <c r="J1954">
        <v>1</v>
      </c>
      <c r="K1954" s="6">
        <v>2.83</v>
      </c>
      <c r="L1954" t="s">
        <v>174</v>
      </c>
      <c r="M1954">
        <v>0</v>
      </c>
      <c r="N1954" t="s">
        <v>182</v>
      </c>
      <c r="O1954">
        <v>3</v>
      </c>
      <c r="P1954">
        <v>0</v>
      </c>
      <c r="Q1954" s="6">
        <v>86.7</v>
      </c>
      <c r="R1954">
        <v>0</v>
      </c>
      <c r="S1954" s="6">
        <v>0</v>
      </c>
      <c r="T1954">
        <v>0</v>
      </c>
      <c r="U1954" s="6">
        <v>2251</v>
      </c>
      <c r="V1954">
        <v>0</v>
      </c>
      <c r="W1954">
        <v>0</v>
      </c>
      <c r="X1954">
        <v>0</v>
      </c>
      <c r="Y1954" s="6">
        <v>40</v>
      </c>
      <c r="Z1954">
        <v>4.5999999999999999E-2</v>
      </c>
      <c r="AA1954">
        <v>0.13900000000000001</v>
      </c>
      <c r="AB1954">
        <v>7.3999999999999996E-2</v>
      </c>
      <c r="AC1954">
        <v>6</v>
      </c>
      <c r="AD1954" s="6">
        <v>50</v>
      </c>
      <c r="AE1954" s="6">
        <v>0</v>
      </c>
      <c r="AF1954" s="6">
        <v>0</v>
      </c>
      <c r="AG1954" s="6">
        <v>58.44</v>
      </c>
      <c r="AH1954" s="6">
        <v>76.709999999999994</v>
      </c>
      <c r="AI1954" s="6">
        <f t="shared" si="60"/>
        <v>18.269999999999996</v>
      </c>
      <c r="AJ1954" s="5">
        <f t="shared" si="61"/>
        <v>0.23816973015252246</v>
      </c>
    </row>
    <row r="1955" spans="1:36">
      <c r="A1955" t="s">
        <v>286</v>
      </c>
      <c r="B1955" t="s">
        <v>2240</v>
      </c>
      <c r="C1955" t="s">
        <v>103</v>
      </c>
      <c r="D1955" t="s">
        <v>105</v>
      </c>
      <c r="E1955" t="s">
        <v>55</v>
      </c>
      <c r="F1955">
        <v>0</v>
      </c>
      <c r="G1955">
        <v>1718</v>
      </c>
      <c r="H1955">
        <v>1</v>
      </c>
      <c r="I1955" t="s">
        <v>173</v>
      </c>
      <c r="J1955">
        <v>1</v>
      </c>
      <c r="K1955" s="6">
        <v>1.59</v>
      </c>
      <c r="L1955" t="s">
        <v>174</v>
      </c>
      <c r="M1955">
        <v>0</v>
      </c>
      <c r="N1955" t="s">
        <v>187</v>
      </c>
      <c r="O1955">
        <v>2</v>
      </c>
      <c r="P1955">
        <v>0</v>
      </c>
      <c r="Q1955" s="6">
        <v>41.4</v>
      </c>
      <c r="R1955">
        <v>0</v>
      </c>
      <c r="S1955" s="6">
        <v>0</v>
      </c>
      <c r="T1955">
        <v>0</v>
      </c>
      <c r="U1955" s="6">
        <v>4953</v>
      </c>
      <c r="V1955">
        <v>0</v>
      </c>
      <c r="W1955">
        <v>0</v>
      </c>
      <c r="X1955">
        <v>0</v>
      </c>
      <c r="Y1955" s="6">
        <v>40</v>
      </c>
      <c r="Z1955">
        <v>4.5999999999999999E-2</v>
      </c>
      <c r="AA1955">
        <v>0.13900000000000001</v>
      </c>
      <c r="AB1955">
        <v>7.3999999999999996E-2</v>
      </c>
      <c r="AC1955">
        <v>6</v>
      </c>
      <c r="AD1955" s="6">
        <v>50</v>
      </c>
      <c r="AE1955" s="6">
        <v>0</v>
      </c>
      <c r="AF1955" s="6">
        <v>0</v>
      </c>
      <c r="AG1955" s="6">
        <v>52.52</v>
      </c>
      <c r="AH1955" s="6">
        <v>68.33</v>
      </c>
      <c r="AI1955" s="6">
        <f t="shared" si="60"/>
        <v>15.809999999999995</v>
      </c>
      <c r="AJ1955" s="5">
        <f t="shared" si="61"/>
        <v>0.23137714034830961</v>
      </c>
    </row>
    <row r="1956" spans="1:36">
      <c r="A1956" t="s">
        <v>406</v>
      </c>
      <c r="B1956" t="s">
        <v>2241</v>
      </c>
      <c r="C1956" t="s">
        <v>103</v>
      </c>
      <c r="D1956" t="s">
        <v>105</v>
      </c>
      <c r="E1956" t="s">
        <v>55</v>
      </c>
      <c r="F1956">
        <v>0</v>
      </c>
      <c r="G1956">
        <v>1718</v>
      </c>
      <c r="H1956">
        <v>1</v>
      </c>
      <c r="I1956" t="s">
        <v>220</v>
      </c>
      <c r="J1956">
        <v>2</v>
      </c>
      <c r="K1956" s="6">
        <v>3.54</v>
      </c>
      <c r="L1956" t="s">
        <v>174</v>
      </c>
      <c r="M1956">
        <v>0</v>
      </c>
      <c r="N1956" t="s">
        <v>175</v>
      </c>
      <c r="O1956">
        <v>1</v>
      </c>
      <c r="P1956">
        <v>0</v>
      </c>
      <c r="Q1956" s="6">
        <v>43.3</v>
      </c>
      <c r="R1956">
        <v>0</v>
      </c>
      <c r="S1956" s="6">
        <v>0</v>
      </c>
      <c r="T1956">
        <v>0</v>
      </c>
      <c r="U1956" s="6">
        <v>5172</v>
      </c>
      <c r="V1956">
        <v>1</v>
      </c>
      <c r="W1956">
        <v>0</v>
      </c>
      <c r="X1956">
        <v>0</v>
      </c>
      <c r="Y1956" s="6">
        <v>40</v>
      </c>
      <c r="Z1956">
        <v>4.5999999999999999E-2</v>
      </c>
      <c r="AA1956">
        <v>0.13900000000000001</v>
      </c>
      <c r="AB1956">
        <v>7.3999999999999996E-2</v>
      </c>
      <c r="AC1956">
        <v>6</v>
      </c>
      <c r="AD1956" s="6">
        <v>50</v>
      </c>
      <c r="AE1956" s="6">
        <v>0</v>
      </c>
      <c r="AF1956" s="6">
        <v>0</v>
      </c>
      <c r="AG1956" s="6">
        <v>102.36</v>
      </c>
      <c r="AH1956" s="6">
        <v>132.77000000000001</v>
      </c>
      <c r="AI1956" s="6">
        <f t="shared" si="60"/>
        <v>30.410000000000011</v>
      </c>
      <c r="AJ1956" s="5">
        <f t="shared" si="61"/>
        <v>0.22904270543044369</v>
      </c>
    </row>
    <row r="1957" spans="1:36">
      <c r="A1957" t="s">
        <v>350</v>
      </c>
      <c r="B1957" t="s">
        <v>2242</v>
      </c>
      <c r="C1957" t="s">
        <v>103</v>
      </c>
      <c r="D1957" t="s">
        <v>105</v>
      </c>
      <c r="E1957" t="s">
        <v>55</v>
      </c>
      <c r="F1957">
        <v>0</v>
      </c>
      <c r="G1957">
        <v>1718</v>
      </c>
      <c r="H1957">
        <v>1</v>
      </c>
      <c r="I1957" t="s">
        <v>220</v>
      </c>
      <c r="J1957">
        <v>2</v>
      </c>
      <c r="K1957" s="6">
        <v>4.3600000000000003</v>
      </c>
      <c r="L1957" t="s">
        <v>174</v>
      </c>
      <c r="M1957">
        <v>0</v>
      </c>
      <c r="N1957" t="s">
        <v>182</v>
      </c>
      <c r="O1957">
        <v>3</v>
      </c>
      <c r="P1957">
        <v>0</v>
      </c>
      <c r="Q1957" s="6">
        <v>91.9</v>
      </c>
      <c r="R1957">
        <v>0</v>
      </c>
      <c r="S1957" s="6">
        <v>0</v>
      </c>
      <c r="T1957">
        <v>0</v>
      </c>
      <c r="U1957" s="6">
        <v>10752</v>
      </c>
      <c r="V1957">
        <v>0</v>
      </c>
      <c r="W1957">
        <v>0</v>
      </c>
      <c r="X1957">
        <v>0</v>
      </c>
      <c r="Y1957" s="6">
        <v>40</v>
      </c>
      <c r="Z1957">
        <v>4.5999999999999999E-2</v>
      </c>
      <c r="AA1957">
        <v>0.13900000000000001</v>
      </c>
      <c r="AB1957">
        <v>7.3999999999999996E-2</v>
      </c>
      <c r="AC1957">
        <v>6</v>
      </c>
      <c r="AD1957" s="6">
        <v>50</v>
      </c>
      <c r="AE1957" s="6">
        <v>0</v>
      </c>
      <c r="AF1957" s="6">
        <v>0</v>
      </c>
      <c r="AG1957" s="6">
        <v>67.2</v>
      </c>
      <c r="AH1957" s="6">
        <v>85.02</v>
      </c>
      <c r="AI1957" s="6">
        <f t="shared" si="60"/>
        <v>17.819999999999993</v>
      </c>
      <c r="AJ1957" s="5">
        <f t="shared" si="61"/>
        <v>0.20959774170783338</v>
      </c>
    </row>
    <row r="1958" spans="1:36">
      <c r="A1958" t="s">
        <v>221</v>
      </c>
      <c r="B1958" t="s">
        <v>2243</v>
      </c>
      <c r="C1958" t="s">
        <v>103</v>
      </c>
      <c r="D1958" t="s">
        <v>105</v>
      </c>
      <c r="E1958" t="s">
        <v>55</v>
      </c>
      <c r="F1958">
        <v>0</v>
      </c>
      <c r="G1958">
        <v>1718</v>
      </c>
      <c r="H1958">
        <v>1</v>
      </c>
      <c r="I1958" t="s">
        <v>220</v>
      </c>
      <c r="J1958">
        <v>2</v>
      </c>
      <c r="K1958" s="6">
        <v>4.09</v>
      </c>
      <c r="L1958" t="s">
        <v>174</v>
      </c>
      <c r="M1958">
        <v>0</v>
      </c>
      <c r="N1958" t="s">
        <v>182</v>
      </c>
      <c r="O1958">
        <v>3</v>
      </c>
      <c r="P1958">
        <v>0</v>
      </c>
      <c r="Q1958" s="6">
        <v>121.4</v>
      </c>
      <c r="R1958">
        <v>0</v>
      </c>
      <c r="S1958" s="6">
        <v>0</v>
      </c>
      <c r="T1958">
        <v>0</v>
      </c>
      <c r="U1958" s="6">
        <v>9539</v>
      </c>
      <c r="V1958">
        <v>0</v>
      </c>
      <c r="W1958">
        <v>0</v>
      </c>
      <c r="X1958">
        <v>0</v>
      </c>
      <c r="Y1958" s="6">
        <v>40</v>
      </c>
      <c r="Z1958">
        <v>4.5999999999999999E-2</v>
      </c>
      <c r="AA1958">
        <v>0.13900000000000001</v>
      </c>
      <c r="AB1958">
        <v>7.3999999999999996E-2</v>
      </c>
      <c r="AC1958">
        <v>6</v>
      </c>
      <c r="AD1958" s="6">
        <v>50</v>
      </c>
      <c r="AE1958" s="6">
        <v>0</v>
      </c>
      <c r="AF1958" s="6">
        <v>0</v>
      </c>
      <c r="AG1958" s="6">
        <v>72.319999999999993</v>
      </c>
      <c r="AH1958" s="6">
        <v>90.84</v>
      </c>
      <c r="AI1958" s="6">
        <f t="shared" si="60"/>
        <v>18.52000000000001</v>
      </c>
      <c r="AJ1958" s="5">
        <f t="shared" si="61"/>
        <v>0.20387494495816832</v>
      </c>
    </row>
    <row r="1959" spans="1:36">
      <c r="A1959" t="s">
        <v>391</v>
      </c>
      <c r="B1959" t="s">
        <v>2244</v>
      </c>
      <c r="C1959" t="s">
        <v>103</v>
      </c>
      <c r="D1959" t="s">
        <v>105</v>
      </c>
      <c r="E1959" t="s">
        <v>55</v>
      </c>
      <c r="F1959">
        <v>0</v>
      </c>
      <c r="G1959">
        <v>1718</v>
      </c>
      <c r="H1959">
        <v>1</v>
      </c>
      <c r="I1959" t="s">
        <v>220</v>
      </c>
      <c r="J1959">
        <v>2</v>
      </c>
      <c r="K1959" s="6">
        <v>5.97</v>
      </c>
      <c r="L1959" t="s">
        <v>174</v>
      </c>
      <c r="M1959">
        <v>0</v>
      </c>
      <c r="N1959" t="s">
        <v>175</v>
      </c>
      <c r="O1959">
        <v>1</v>
      </c>
      <c r="P1959">
        <v>0</v>
      </c>
      <c r="Q1959" s="6">
        <v>36</v>
      </c>
      <c r="R1959">
        <v>0</v>
      </c>
      <c r="S1959" s="6">
        <v>0</v>
      </c>
      <c r="T1959">
        <v>0</v>
      </c>
      <c r="U1959" s="6">
        <v>27120</v>
      </c>
      <c r="V1959">
        <v>0</v>
      </c>
      <c r="W1959">
        <v>0</v>
      </c>
      <c r="X1959">
        <v>0</v>
      </c>
      <c r="Y1959" s="6">
        <v>40</v>
      </c>
      <c r="Z1959">
        <v>4.5999999999999999E-2</v>
      </c>
      <c r="AA1959">
        <v>0.13900000000000001</v>
      </c>
      <c r="AB1959">
        <v>7.3999999999999996E-2</v>
      </c>
      <c r="AC1959">
        <v>6</v>
      </c>
      <c r="AD1959" s="6">
        <v>50</v>
      </c>
      <c r="AE1959" s="6">
        <v>0</v>
      </c>
      <c r="AF1959" s="6">
        <v>0</v>
      </c>
      <c r="AG1959" s="6">
        <v>58.98</v>
      </c>
      <c r="AH1959" s="6">
        <v>74.91</v>
      </c>
      <c r="AI1959" s="6">
        <f t="shared" si="60"/>
        <v>15.93</v>
      </c>
      <c r="AJ1959" s="5">
        <f t="shared" si="61"/>
        <v>0.21265518622346816</v>
      </c>
    </row>
    <row r="1960" spans="1:36">
      <c r="A1960" t="s">
        <v>691</v>
      </c>
      <c r="B1960" t="s">
        <v>2245</v>
      </c>
      <c r="C1960" t="s">
        <v>103</v>
      </c>
      <c r="D1960" t="s">
        <v>105</v>
      </c>
      <c r="E1960" t="s">
        <v>55</v>
      </c>
      <c r="F1960">
        <v>0</v>
      </c>
      <c r="G1960">
        <v>1718</v>
      </c>
      <c r="H1960">
        <v>1</v>
      </c>
      <c r="I1960" t="s">
        <v>173</v>
      </c>
      <c r="J1960">
        <v>1</v>
      </c>
      <c r="K1960" s="6">
        <v>1.95</v>
      </c>
      <c r="L1960" t="s">
        <v>200</v>
      </c>
      <c r="M1960">
        <v>1</v>
      </c>
      <c r="N1960" t="s">
        <v>175</v>
      </c>
      <c r="O1960">
        <v>1</v>
      </c>
      <c r="P1960">
        <v>1</v>
      </c>
      <c r="Q1960" s="6">
        <v>24.5</v>
      </c>
      <c r="R1960">
        <v>1</v>
      </c>
      <c r="S1960" s="6">
        <v>1289</v>
      </c>
      <c r="T1960">
        <v>0</v>
      </c>
      <c r="U1960" s="6">
        <v>8682</v>
      </c>
      <c r="V1960">
        <v>0</v>
      </c>
      <c r="W1960">
        <v>0</v>
      </c>
      <c r="X1960">
        <v>0</v>
      </c>
      <c r="Y1960" s="6">
        <v>40</v>
      </c>
      <c r="Z1960">
        <v>4.5999999999999999E-2</v>
      </c>
      <c r="AA1960">
        <v>0.13900000000000001</v>
      </c>
      <c r="AB1960">
        <v>7.3999999999999996E-2</v>
      </c>
      <c r="AC1960">
        <v>6</v>
      </c>
      <c r="AD1960" s="6">
        <v>99</v>
      </c>
      <c r="AE1960" s="6">
        <v>25</v>
      </c>
      <c r="AF1960" s="6">
        <v>0</v>
      </c>
      <c r="AG1960" s="6">
        <v>128.26</v>
      </c>
      <c r="AH1960" s="6">
        <v>162.74</v>
      </c>
      <c r="AI1960" s="6">
        <f t="shared" si="60"/>
        <v>34.480000000000018</v>
      </c>
      <c r="AJ1960" s="5">
        <f t="shared" si="61"/>
        <v>0.21187169718569507</v>
      </c>
    </row>
    <row r="1961" spans="1:36">
      <c r="A1961" t="s">
        <v>201</v>
      </c>
      <c r="B1961" t="s">
        <v>2246</v>
      </c>
      <c r="C1961" t="s">
        <v>103</v>
      </c>
      <c r="D1961" t="s">
        <v>105</v>
      </c>
      <c r="E1961" t="s">
        <v>55</v>
      </c>
      <c r="F1961">
        <v>0</v>
      </c>
      <c r="G1961">
        <v>1718</v>
      </c>
      <c r="H1961">
        <v>1</v>
      </c>
      <c r="I1961" t="s">
        <v>220</v>
      </c>
      <c r="J1961">
        <v>2</v>
      </c>
      <c r="K1961" s="6">
        <v>3.69</v>
      </c>
      <c r="L1961" t="s">
        <v>174</v>
      </c>
      <c r="M1961">
        <v>0</v>
      </c>
      <c r="N1961" t="s">
        <v>187</v>
      </c>
      <c r="O1961">
        <v>2</v>
      </c>
      <c r="P1961">
        <v>1</v>
      </c>
      <c r="Q1961" s="6">
        <v>53.9</v>
      </c>
      <c r="R1961">
        <v>0</v>
      </c>
      <c r="S1961" s="6">
        <v>0</v>
      </c>
      <c r="T1961">
        <v>0</v>
      </c>
      <c r="U1961" s="6">
        <v>9235</v>
      </c>
      <c r="V1961">
        <v>0</v>
      </c>
      <c r="W1961">
        <v>0</v>
      </c>
      <c r="X1961">
        <v>1</v>
      </c>
      <c r="Y1961" s="6">
        <v>40</v>
      </c>
      <c r="Z1961">
        <v>4.5999999999999999E-2</v>
      </c>
      <c r="AA1961">
        <v>0.13900000000000001</v>
      </c>
      <c r="AB1961">
        <v>7.3999999999999996E-2</v>
      </c>
      <c r="AC1961">
        <v>6</v>
      </c>
      <c r="AD1961" s="6">
        <v>50</v>
      </c>
      <c r="AE1961" s="6">
        <v>0</v>
      </c>
      <c r="AF1961" s="6">
        <v>0</v>
      </c>
      <c r="AG1961" s="6">
        <v>82.11</v>
      </c>
      <c r="AH1961" s="6">
        <v>107.43</v>
      </c>
      <c r="AI1961" s="6">
        <f t="shared" si="60"/>
        <v>25.320000000000007</v>
      </c>
      <c r="AJ1961" s="5">
        <f t="shared" si="61"/>
        <v>0.23568835520804249</v>
      </c>
    </row>
    <row r="1962" spans="1:36">
      <c r="A1962" t="s">
        <v>240</v>
      </c>
      <c r="B1962" t="s">
        <v>2247</v>
      </c>
      <c r="C1962" t="s">
        <v>103</v>
      </c>
      <c r="D1962" t="s">
        <v>105</v>
      </c>
      <c r="E1962" t="s">
        <v>55</v>
      </c>
      <c r="F1962">
        <v>0</v>
      </c>
      <c r="G1962">
        <v>1718</v>
      </c>
      <c r="H1962">
        <v>1</v>
      </c>
      <c r="I1962" t="s">
        <v>181</v>
      </c>
      <c r="J1962">
        <v>3</v>
      </c>
      <c r="K1962" s="6">
        <v>8.82</v>
      </c>
      <c r="L1962" t="s">
        <v>174</v>
      </c>
      <c r="M1962">
        <v>0</v>
      </c>
      <c r="N1962" t="s">
        <v>187</v>
      </c>
      <c r="O1962">
        <v>2</v>
      </c>
      <c r="P1962">
        <v>0</v>
      </c>
      <c r="Q1962" s="6">
        <v>61.9</v>
      </c>
      <c r="R1962">
        <v>0</v>
      </c>
      <c r="S1962" s="6">
        <v>0</v>
      </c>
      <c r="T1962">
        <v>0</v>
      </c>
      <c r="U1962" s="6">
        <v>3204</v>
      </c>
      <c r="V1962">
        <v>0</v>
      </c>
      <c r="W1962">
        <v>0</v>
      </c>
      <c r="X1962">
        <v>0</v>
      </c>
      <c r="Y1962" s="6">
        <v>40</v>
      </c>
      <c r="Z1962">
        <v>4.5999999999999999E-2</v>
      </c>
      <c r="AA1962">
        <v>0.13900000000000001</v>
      </c>
      <c r="AB1962">
        <v>7.3999999999999996E-2</v>
      </c>
      <c r="AC1962">
        <v>6</v>
      </c>
      <c r="AD1962" s="6">
        <v>60</v>
      </c>
      <c r="AE1962" s="6">
        <v>0</v>
      </c>
      <c r="AF1962" s="6">
        <v>0</v>
      </c>
      <c r="AG1962" s="6">
        <v>95.01</v>
      </c>
      <c r="AH1962" s="6">
        <v>121.5</v>
      </c>
      <c r="AI1962" s="6">
        <f t="shared" si="60"/>
        <v>26.489999999999995</v>
      </c>
      <c r="AJ1962" s="5">
        <f t="shared" si="61"/>
        <v>0.21802469135802466</v>
      </c>
    </row>
    <row r="1963" spans="1:36">
      <c r="A1963" t="s">
        <v>284</v>
      </c>
      <c r="B1963" t="s">
        <v>2248</v>
      </c>
      <c r="C1963" t="s">
        <v>103</v>
      </c>
      <c r="D1963" t="s">
        <v>105</v>
      </c>
      <c r="E1963" t="s">
        <v>55</v>
      </c>
      <c r="F1963">
        <v>0</v>
      </c>
      <c r="G1963">
        <v>1718</v>
      </c>
      <c r="H1963">
        <v>1</v>
      </c>
      <c r="I1963" t="s">
        <v>220</v>
      </c>
      <c r="J1963">
        <v>2</v>
      </c>
      <c r="K1963" s="6">
        <v>4.32</v>
      </c>
      <c r="L1963" t="s">
        <v>174</v>
      </c>
      <c r="M1963">
        <v>0</v>
      </c>
      <c r="N1963" t="s">
        <v>182</v>
      </c>
      <c r="O1963">
        <v>3</v>
      </c>
      <c r="P1963">
        <v>0</v>
      </c>
      <c r="Q1963" s="6">
        <v>122.3</v>
      </c>
      <c r="R1963">
        <v>0</v>
      </c>
      <c r="S1963" s="6">
        <v>0</v>
      </c>
      <c r="T1963">
        <v>0</v>
      </c>
      <c r="U1963" s="6">
        <v>5806</v>
      </c>
      <c r="V1963">
        <v>0</v>
      </c>
      <c r="W1963">
        <v>0</v>
      </c>
      <c r="X1963">
        <v>0</v>
      </c>
      <c r="Y1963" s="6">
        <v>40</v>
      </c>
      <c r="Z1963">
        <v>4.5999999999999999E-2</v>
      </c>
      <c r="AA1963">
        <v>0.13900000000000001</v>
      </c>
      <c r="AB1963">
        <v>7.3999999999999996E-2</v>
      </c>
      <c r="AC1963">
        <v>6</v>
      </c>
      <c r="AD1963" s="6">
        <v>50</v>
      </c>
      <c r="AE1963" s="6">
        <v>0</v>
      </c>
      <c r="AF1963" s="6">
        <v>0</v>
      </c>
      <c r="AG1963" s="6">
        <v>72.37</v>
      </c>
      <c r="AH1963" s="6">
        <v>93.99</v>
      </c>
      <c r="AI1963" s="6">
        <f t="shared" si="60"/>
        <v>21.61999999999999</v>
      </c>
      <c r="AJ1963" s="5">
        <f t="shared" si="61"/>
        <v>0.23002447068837101</v>
      </c>
    </row>
    <row r="1964" spans="1:36">
      <c r="A1964" t="s">
        <v>212</v>
      </c>
      <c r="B1964" t="s">
        <v>2249</v>
      </c>
      <c r="C1964" t="s">
        <v>103</v>
      </c>
      <c r="D1964" t="s">
        <v>105</v>
      </c>
      <c r="E1964" t="s">
        <v>55</v>
      </c>
      <c r="F1964">
        <v>0</v>
      </c>
      <c r="G1964">
        <v>1718</v>
      </c>
      <c r="H1964">
        <v>1</v>
      </c>
      <c r="I1964" t="s">
        <v>173</v>
      </c>
      <c r="J1964">
        <v>1</v>
      </c>
      <c r="K1964" s="6">
        <v>1.85</v>
      </c>
      <c r="L1964" t="s">
        <v>200</v>
      </c>
      <c r="M1964">
        <v>1</v>
      </c>
      <c r="N1964" t="s">
        <v>182</v>
      </c>
      <c r="O1964">
        <v>3</v>
      </c>
      <c r="P1964">
        <v>0</v>
      </c>
      <c r="Q1964" s="6">
        <v>87.8</v>
      </c>
      <c r="R1964">
        <v>1</v>
      </c>
      <c r="S1964" s="6">
        <v>2584</v>
      </c>
      <c r="T1964">
        <v>0</v>
      </c>
      <c r="U1964" s="6">
        <v>30785</v>
      </c>
      <c r="V1964">
        <v>0</v>
      </c>
      <c r="W1964">
        <v>0</v>
      </c>
      <c r="X1964">
        <v>0</v>
      </c>
      <c r="Y1964" s="6">
        <v>40</v>
      </c>
      <c r="Z1964">
        <v>4.5999999999999999E-2</v>
      </c>
      <c r="AA1964">
        <v>0.13900000000000001</v>
      </c>
      <c r="AB1964">
        <v>7.3999999999999996E-2</v>
      </c>
      <c r="AC1964">
        <v>6</v>
      </c>
      <c r="AD1964" s="6">
        <v>99</v>
      </c>
      <c r="AE1964" s="6">
        <v>40</v>
      </c>
      <c r="AF1964" s="6">
        <v>0</v>
      </c>
      <c r="AG1964" s="6">
        <v>94.6</v>
      </c>
      <c r="AH1964" s="6">
        <v>119.39</v>
      </c>
      <c r="AI1964" s="6">
        <f t="shared" si="60"/>
        <v>24.790000000000006</v>
      </c>
      <c r="AJ1964" s="5">
        <f t="shared" si="61"/>
        <v>0.20763883072284117</v>
      </c>
    </row>
    <row r="1965" spans="1:36">
      <c r="A1965" t="s">
        <v>350</v>
      </c>
      <c r="B1965" t="s">
        <v>2250</v>
      </c>
      <c r="C1965" t="s">
        <v>103</v>
      </c>
      <c r="D1965" t="s">
        <v>105</v>
      </c>
      <c r="E1965" t="s">
        <v>55</v>
      </c>
      <c r="F1965">
        <v>0</v>
      </c>
      <c r="G1965">
        <v>1718</v>
      </c>
      <c r="H1965">
        <v>1</v>
      </c>
      <c r="I1965" t="s">
        <v>173</v>
      </c>
      <c r="J1965">
        <v>1</v>
      </c>
      <c r="K1965" s="6">
        <v>1.1299999999999999</v>
      </c>
      <c r="L1965" t="s">
        <v>174</v>
      </c>
      <c r="M1965">
        <v>0</v>
      </c>
      <c r="N1965" t="s">
        <v>182</v>
      </c>
      <c r="O1965">
        <v>3</v>
      </c>
      <c r="P1965">
        <v>0</v>
      </c>
      <c r="Q1965" s="6">
        <v>143.9</v>
      </c>
      <c r="R1965">
        <v>0</v>
      </c>
      <c r="S1965" s="6">
        <v>0</v>
      </c>
      <c r="T1965">
        <v>0</v>
      </c>
      <c r="U1965" s="6">
        <v>10093</v>
      </c>
      <c r="V1965">
        <v>0</v>
      </c>
      <c r="W1965">
        <v>0</v>
      </c>
      <c r="X1965">
        <v>0</v>
      </c>
      <c r="Y1965" s="6">
        <v>40</v>
      </c>
      <c r="Z1965">
        <v>4.5999999999999999E-2</v>
      </c>
      <c r="AA1965">
        <v>0.13900000000000001</v>
      </c>
      <c r="AB1965">
        <v>7.3999999999999996E-2</v>
      </c>
      <c r="AC1965">
        <v>6</v>
      </c>
      <c r="AD1965" s="6">
        <v>50</v>
      </c>
      <c r="AE1965" s="6">
        <v>0</v>
      </c>
      <c r="AF1965" s="6">
        <v>0</v>
      </c>
      <c r="AG1965" s="6">
        <v>60.13</v>
      </c>
      <c r="AH1965" s="6">
        <v>79.75</v>
      </c>
      <c r="AI1965" s="6">
        <f t="shared" si="60"/>
        <v>19.619999999999997</v>
      </c>
      <c r="AJ1965" s="5">
        <f t="shared" si="61"/>
        <v>0.24601880877742943</v>
      </c>
    </row>
    <row r="1966" spans="1:36">
      <c r="A1966" t="s">
        <v>765</v>
      </c>
      <c r="B1966" t="s">
        <v>2251</v>
      </c>
      <c r="C1966" t="s">
        <v>103</v>
      </c>
      <c r="D1966" t="s">
        <v>105</v>
      </c>
      <c r="E1966" t="s">
        <v>55</v>
      </c>
      <c r="F1966">
        <v>0</v>
      </c>
      <c r="G1966">
        <v>1718</v>
      </c>
      <c r="H1966">
        <v>1</v>
      </c>
      <c r="I1966" t="s">
        <v>220</v>
      </c>
      <c r="J1966">
        <v>2</v>
      </c>
      <c r="K1966" s="6">
        <v>4.7300000000000004</v>
      </c>
      <c r="L1966" t="s">
        <v>174</v>
      </c>
      <c r="M1966">
        <v>0</v>
      </c>
      <c r="N1966" t="s">
        <v>175</v>
      </c>
      <c r="O1966">
        <v>1</v>
      </c>
      <c r="P1966">
        <v>0</v>
      </c>
      <c r="Q1966" s="6">
        <v>30.5</v>
      </c>
      <c r="R1966">
        <v>0</v>
      </c>
      <c r="S1966" s="6">
        <v>0</v>
      </c>
      <c r="T1966">
        <v>0</v>
      </c>
      <c r="U1966" s="6">
        <v>5323</v>
      </c>
      <c r="V1966">
        <v>0</v>
      </c>
      <c r="W1966">
        <v>0</v>
      </c>
      <c r="X1966">
        <v>0</v>
      </c>
      <c r="Y1966" s="6">
        <v>40</v>
      </c>
      <c r="Z1966">
        <v>4.5999999999999999E-2</v>
      </c>
      <c r="AA1966">
        <v>0.13900000000000001</v>
      </c>
      <c r="AB1966">
        <v>7.3999999999999996E-2</v>
      </c>
      <c r="AC1966">
        <v>6</v>
      </c>
      <c r="AD1966" s="6">
        <v>50</v>
      </c>
      <c r="AE1966" s="6">
        <v>0</v>
      </c>
      <c r="AF1966" s="6">
        <v>0</v>
      </c>
      <c r="AG1966" s="6">
        <v>59.84</v>
      </c>
      <c r="AH1966" s="6">
        <v>77.62</v>
      </c>
      <c r="AI1966" s="6">
        <f t="shared" si="60"/>
        <v>17.78</v>
      </c>
      <c r="AJ1966" s="5">
        <f t="shared" si="61"/>
        <v>0.22906467405307909</v>
      </c>
    </row>
    <row r="1967" spans="1:36">
      <c r="A1967" t="s">
        <v>635</v>
      </c>
      <c r="B1967" t="s">
        <v>2252</v>
      </c>
      <c r="C1967" t="s">
        <v>103</v>
      </c>
      <c r="D1967" t="s">
        <v>105</v>
      </c>
      <c r="E1967" t="s">
        <v>55</v>
      </c>
      <c r="F1967">
        <v>0</v>
      </c>
      <c r="G1967">
        <v>1718</v>
      </c>
      <c r="H1967">
        <v>1</v>
      </c>
      <c r="I1967" t="s">
        <v>173</v>
      </c>
      <c r="J1967">
        <v>1</v>
      </c>
      <c r="K1967" s="6">
        <v>1.91</v>
      </c>
      <c r="L1967" t="s">
        <v>174</v>
      </c>
      <c r="M1967">
        <v>0</v>
      </c>
      <c r="N1967" t="s">
        <v>272</v>
      </c>
      <c r="O1967">
        <v>5</v>
      </c>
      <c r="P1967">
        <v>1</v>
      </c>
      <c r="Q1967" s="6">
        <v>267.60000000000002</v>
      </c>
      <c r="R1967">
        <v>0</v>
      </c>
      <c r="S1967" s="6">
        <v>0</v>
      </c>
      <c r="T1967">
        <v>0</v>
      </c>
      <c r="U1967" s="6">
        <v>6209</v>
      </c>
      <c r="V1967">
        <v>0</v>
      </c>
      <c r="W1967">
        <v>0</v>
      </c>
      <c r="X1967">
        <v>0</v>
      </c>
      <c r="Y1967" s="6">
        <v>40</v>
      </c>
      <c r="Z1967">
        <v>4.5999999999999999E-2</v>
      </c>
      <c r="AA1967">
        <v>0.13900000000000001</v>
      </c>
      <c r="AB1967">
        <v>7.3999999999999996E-2</v>
      </c>
      <c r="AC1967">
        <v>6</v>
      </c>
      <c r="AD1967" s="6">
        <v>50</v>
      </c>
      <c r="AE1967" s="6">
        <v>0</v>
      </c>
      <c r="AF1967" s="6">
        <v>0</v>
      </c>
      <c r="AG1967" s="6">
        <v>146.88</v>
      </c>
      <c r="AH1967" s="6">
        <v>185.49</v>
      </c>
      <c r="AI1967" s="6">
        <f t="shared" si="60"/>
        <v>38.610000000000014</v>
      </c>
      <c r="AJ1967" s="5">
        <f t="shared" si="61"/>
        <v>0.20815138282387197</v>
      </c>
    </row>
    <row r="1968" spans="1:36">
      <c r="A1968" t="s">
        <v>306</v>
      </c>
      <c r="B1968" t="s">
        <v>2253</v>
      </c>
      <c r="C1968" t="s">
        <v>103</v>
      </c>
      <c r="D1968" t="s">
        <v>105</v>
      </c>
      <c r="E1968" t="s">
        <v>55</v>
      </c>
      <c r="F1968">
        <v>0</v>
      </c>
      <c r="G1968">
        <v>1718</v>
      </c>
      <c r="H1968">
        <v>1</v>
      </c>
      <c r="I1968" t="s">
        <v>220</v>
      </c>
      <c r="J1968">
        <v>2</v>
      </c>
      <c r="K1968" s="6">
        <v>2.14</v>
      </c>
      <c r="L1968" t="s">
        <v>174</v>
      </c>
      <c r="M1968">
        <v>0</v>
      </c>
      <c r="N1968" t="s">
        <v>175</v>
      </c>
      <c r="O1968">
        <v>1</v>
      </c>
      <c r="P1968">
        <v>0</v>
      </c>
      <c r="Q1968" s="6">
        <v>28.5</v>
      </c>
      <c r="R1968">
        <v>0</v>
      </c>
      <c r="S1968" s="6">
        <v>0</v>
      </c>
      <c r="T1968">
        <v>0</v>
      </c>
      <c r="U1968" s="6">
        <v>12323</v>
      </c>
      <c r="V1968">
        <v>0</v>
      </c>
      <c r="W1968">
        <v>0</v>
      </c>
      <c r="X1968">
        <v>0</v>
      </c>
      <c r="Y1968" s="6">
        <v>40</v>
      </c>
      <c r="Z1968">
        <v>4.5999999999999999E-2</v>
      </c>
      <c r="AA1968">
        <v>0.13900000000000001</v>
      </c>
      <c r="AB1968">
        <v>7.3999999999999996E-2</v>
      </c>
      <c r="AC1968">
        <v>6</v>
      </c>
      <c r="AD1968" s="6">
        <v>50</v>
      </c>
      <c r="AE1968" s="6">
        <v>0</v>
      </c>
      <c r="AF1968" s="6">
        <v>0</v>
      </c>
      <c r="AG1968" s="6">
        <v>47.59</v>
      </c>
      <c r="AH1968" s="6">
        <v>63.12</v>
      </c>
      <c r="AI1968" s="6">
        <f t="shared" si="60"/>
        <v>15.529999999999994</v>
      </c>
      <c r="AJ1968" s="5">
        <f t="shared" si="61"/>
        <v>0.24603929024081106</v>
      </c>
    </row>
    <row r="1969" spans="1:36">
      <c r="A1969" t="s">
        <v>401</v>
      </c>
      <c r="B1969" t="s">
        <v>2254</v>
      </c>
      <c r="C1969" t="s">
        <v>103</v>
      </c>
      <c r="D1969" t="s">
        <v>105</v>
      </c>
      <c r="E1969" t="s">
        <v>55</v>
      </c>
      <c r="F1969">
        <v>0</v>
      </c>
      <c r="G1969">
        <v>1718</v>
      </c>
      <c r="H1969">
        <v>1</v>
      </c>
      <c r="I1969" t="s">
        <v>220</v>
      </c>
      <c r="J1969">
        <v>2</v>
      </c>
      <c r="K1969" s="6">
        <v>5.69</v>
      </c>
      <c r="L1969" t="s">
        <v>174</v>
      </c>
      <c r="M1969">
        <v>0</v>
      </c>
      <c r="N1969" t="s">
        <v>182</v>
      </c>
      <c r="O1969">
        <v>3</v>
      </c>
      <c r="P1969">
        <v>1</v>
      </c>
      <c r="Q1969" s="6">
        <v>84.6</v>
      </c>
      <c r="R1969">
        <v>0</v>
      </c>
      <c r="S1969" s="6">
        <v>0</v>
      </c>
      <c r="T1969">
        <v>0</v>
      </c>
      <c r="U1969" s="6">
        <v>3956</v>
      </c>
      <c r="V1969">
        <v>0</v>
      </c>
      <c r="W1969">
        <v>0</v>
      </c>
      <c r="X1969">
        <v>0</v>
      </c>
      <c r="Y1969" s="6">
        <v>40</v>
      </c>
      <c r="Z1969">
        <v>4.5999999999999999E-2</v>
      </c>
      <c r="AA1969">
        <v>0.13900000000000001</v>
      </c>
      <c r="AB1969">
        <v>7.3999999999999996E-2</v>
      </c>
      <c r="AC1969">
        <v>6</v>
      </c>
      <c r="AD1969" s="6">
        <v>50</v>
      </c>
      <c r="AE1969" s="6">
        <v>0</v>
      </c>
      <c r="AF1969" s="6">
        <v>0</v>
      </c>
      <c r="AG1969" s="6">
        <v>95.6</v>
      </c>
      <c r="AH1969" s="6">
        <v>124.18</v>
      </c>
      <c r="AI1969" s="6">
        <f t="shared" si="60"/>
        <v>28.580000000000013</v>
      </c>
      <c r="AJ1969" s="5">
        <f t="shared" si="61"/>
        <v>0.23014978257368346</v>
      </c>
    </row>
    <row r="1970" spans="1:36">
      <c r="A1970" t="s">
        <v>537</v>
      </c>
      <c r="B1970" t="s">
        <v>2255</v>
      </c>
      <c r="C1970" t="s">
        <v>103</v>
      </c>
      <c r="D1970" t="s">
        <v>105</v>
      </c>
      <c r="E1970" t="s">
        <v>55</v>
      </c>
      <c r="F1970">
        <v>0</v>
      </c>
      <c r="G1970">
        <v>1718</v>
      </c>
      <c r="H1970">
        <v>1</v>
      </c>
      <c r="I1970" t="s">
        <v>173</v>
      </c>
      <c r="J1970">
        <v>1</v>
      </c>
      <c r="K1970" s="6">
        <v>1.94</v>
      </c>
      <c r="L1970" t="s">
        <v>200</v>
      </c>
      <c r="M1970">
        <v>1</v>
      </c>
      <c r="N1970" t="s">
        <v>182</v>
      </c>
      <c r="O1970">
        <v>3</v>
      </c>
      <c r="P1970">
        <v>0</v>
      </c>
      <c r="Q1970" s="6">
        <v>78.900000000000006</v>
      </c>
      <c r="R1970">
        <v>0</v>
      </c>
      <c r="S1970" s="6">
        <v>0</v>
      </c>
      <c r="T1970">
        <v>0</v>
      </c>
      <c r="U1970" s="6">
        <v>6033</v>
      </c>
      <c r="V1970">
        <v>0</v>
      </c>
      <c r="W1970">
        <v>0</v>
      </c>
      <c r="X1970">
        <v>0</v>
      </c>
      <c r="Y1970" s="6">
        <v>40</v>
      </c>
      <c r="Z1970">
        <v>4.5999999999999999E-2</v>
      </c>
      <c r="AA1970">
        <v>0.13900000000000001</v>
      </c>
      <c r="AB1970">
        <v>7.3999999999999996E-2</v>
      </c>
      <c r="AC1970">
        <v>6</v>
      </c>
      <c r="AD1970" s="6">
        <v>99</v>
      </c>
      <c r="AE1970" s="6">
        <v>0</v>
      </c>
      <c r="AF1970" s="6">
        <v>0</v>
      </c>
      <c r="AG1970" s="6">
        <v>81.77</v>
      </c>
      <c r="AH1970" s="6">
        <v>106.82</v>
      </c>
      <c r="AI1970" s="6">
        <f t="shared" si="60"/>
        <v>25.049999999999997</v>
      </c>
      <c r="AJ1970" s="5">
        <f t="shared" si="61"/>
        <v>0.23450664669537538</v>
      </c>
    </row>
    <row r="1971" spans="1:36">
      <c r="A1971" t="s">
        <v>274</v>
      </c>
      <c r="B1971" t="s">
        <v>2256</v>
      </c>
      <c r="C1971" t="s">
        <v>103</v>
      </c>
      <c r="D1971" t="s">
        <v>105</v>
      </c>
      <c r="E1971" t="s">
        <v>55</v>
      </c>
      <c r="F1971">
        <v>0</v>
      </c>
      <c r="G1971">
        <v>1718</v>
      </c>
      <c r="H1971">
        <v>1</v>
      </c>
      <c r="I1971" t="s">
        <v>220</v>
      </c>
      <c r="J1971">
        <v>2</v>
      </c>
      <c r="K1971" s="6">
        <v>3.78</v>
      </c>
      <c r="L1971" t="s">
        <v>174</v>
      </c>
      <c r="M1971">
        <v>0</v>
      </c>
      <c r="N1971" t="s">
        <v>182</v>
      </c>
      <c r="O1971">
        <v>3</v>
      </c>
      <c r="P1971">
        <v>0</v>
      </c>
      <c r="Q1971" s="6">
        <v>121</v>
      </c>
      <c r="R1971">
        <v>0</v>
      </c>
      <c r="S1971" s="6">
        <v>0</v>
      </c>
      <c r="T1971">
        <v>0</v>
      </c>
      <c r="U1971" s="6">
        <v>12699</v>
      </c>
      <c r="V1971">
        <v>0</v>
      </c>
      <c r="W1971">
        <v>0</v>
      </c>
      <c r="X1971">
        <v>0</v>
      </c>
      <c r="Y1971" s="6">
        <v>40</v>
      </c>
      <c r="Z1971">
        <v>4.5999999999999999E-2</v>
      </c>
      <c r="AA1971">
        <v>0.13900000000000001</v>
      </c>
      <c r="AB1971">
        <v>7.3999999999999996E-2</v>
      </c>
      <c r="AC1971">
        <v>6</v>
      </c>
      <c r="AD1971" s="6">
        <v>50</v>
      </c>
      <c r="AE1971" s="6">
        <v>0</v>
      </c>
      <c r="AF1971" s="6">
        <v>0</v>
      </c>
      <c r="AG1971" s="6">
        <v>68.63</v>
      </c>
      <c r="AH1971" s="6">
        <v>85.85</v>
      </c>
      <c r="AI1971" s="6">
        <f t="shared" si="60"/>
        <v>17.22</v>
      </c>
      <c r="AJ1971" s="5">
        <f t="shared" si="61"/>
        <v>0.2005824111822947</v>
      </c>
    </row>
    <row r="1972" spans="1:36">
      <c r="A1972" t="s">
        <v>238</v>
      </c>
      <c r="B1972" t="s">
        <v>2257</v>
      </c>
      <c r="C1972" t="s">
        <v>103</v>
      </c>
      <c r="D1972" t="s">
        <v>105</v>
      </c>
      <c r="E1972" t="s">
        <v>55</v>
      </c>
      <c r="F1972">
        <v>0</v>
      </c>
      <c r="G1972">
        <v>1718</v>
      </c>
      <c r="H1972">
        <v>1</v>
      </c>
      <c r="I1972" t="s">
        <v>181</v>
      </c>
      <c r="J1972">
        <v>3</v>
      </c>
      <c r="K1972" s="6">
        <v>8.0500000000000007</v>
      </c>
      <c r="L1972" t="s">
        <v>174</v>
      </c>
      <c r="M1972">
        <v>0</v>
      </c>
      <c r="N1972" t="s">
        <v>182</v>
      </c>
      <c r="O1972">
        <v>3</v>
      </c>
      <c r="P1972">
        <v>0</v>
      </c>
      <c r="Q1972" s="6">
        <v>76.900000000000006</v>
      </c>
      <c r="R1972">
        <v>0</v>
      </c>
      <c r="S1972" s="6">
        <v>0</v>
      </c>
      <c r="T1972">
        <v>0</v>
      </c>
      <c r="U1972" s="6">
        <v>3100</v>
      </c>
      <c r="V1972">
        <v>0</v>
      </c>
      <c r="W1972">
        <v>0</v>
      </c>
      <c r="X1972">
        <v>0</v>
      </c>
      <c r="Y1972" s="6">
        <v>40</v>
      </c>
      <c r="Z1972">
        <v>4.5999999999999999E-2</v>
      </c>
      <c r="AA1972">
        <v>0.13900000000000001</v>
      </c>
      <c r="AB1972">
        <v>7.3999999999999996E-2</v>
      </c>
      <c r="AC1972">
        <v>6</v>
      </c>
      <c r="AD1972" s="6">
        <v>60</v>
      </c>
      <c r="AE1972" s="6">
        <v>0</v>
      </c>
      <c r="AF1972" s="6">
        <v>0</v>
      </c>
      <c r="AG1972" s="6">
        <v>95.61</v>
      </c>
      <c r="AH1972" s="6">
        <v>121.4</v>
      </c>
      <c r="AI1972" s="6">
        <f t="shared" si="60"/>
        <v>25.790000000000006</v>
      </c>
      <c r="AJ1972" s="5">
        <f t="shared" si="61"/>
        <v>0.21243822075782542</v>
      </c>
    </row>
    <row r="1973" spans="1:36">
      <c r="A1973" t="s">
        <v>323</v>
      </c>
      <c r="B1973" t="s">
        <v>2258</v>
      </c>
      <c r="C1973" t="s">
        <v>103</v>
      </c>
      <c r="D1973" t="s">
        <v>105</v>
      </c>
      <c r="E1973" t="s">
        <v>55</v>
      </c>
      <c r="F1973">
        <v>0</v>
      </c>
      <c r="G1973">
        <v>1718</v>
      </c>
      <c r="H1973">
        <v>1</v>
      </c>
      <c r="I1973" t="s">
        <v>181</v>
      </c>
      <c r="J1973">
        <v>3</v>
      </c>
      <c r="K1973" s="6">
        <v>4.38</v>
      </c>
      <c r="L1973" t="s">
        <v>174</v>
      </c>
      <c r="M1973">
        <v>0</v>
      </c>
      <c r="N1973" t="s">
        <v>175</v>
      </c>
      <c r="O1973">
        <v>1</v>
      </c>
      <c r="P1973">
        <v>1</v>
      </c>
      <c r="Q1973" s="6">
        <v>47.8</v>
      </c>
      <c r="R1973">
        <v>0</v>
      </c>
      <c r="S1973" s="6">
        <v>0</v>
      </c>
      <c r="T1973">
        <v>0</v>
      </c>
      <c r="U1973" s="6">
        <v>12688</v>
      </c>
      <c r="V1973">
        <v>0</v>
      </c>
      <c r="W1973">
        <v>0</v>
      </c>
      <c r="X1973">
        <v>0</v>
      </c>
      <c r="Y1973" s="6">
        <v>40</v>
      </c>
      <c r="Z1973">
        <v>4.5999999999999999E-2</v>
      </c>
      <c r="AA1973">
        <v>0.13900000000000001</v>
      </c>
      <c r="AB1973">
        <v>7.3999999999999996E-2</v>
      </c>
      <c r="AC1973">
        <v>6</v>
      </c>
      <c r="AD1973" s="6">
        <v>60</v>
      </c>
      <c r="AE1973" s="6">
        <v>0</v>
      </c>
      <c r="AF1973" s="6">
        <v>0</v>
      </c>
      <c r="AG1973" s="6">
        <v>104.55</v>
      </c>
      <c r="AH1973" s="6">
        <v>131.4</v>
      </c>
      <c r="AI1973" s="6">
        <f t="shared" si="60"/>
        <v>26.850000000000009</v>
      </c>
      <c r="AJ1973" s="5">
        <f t="shared" si="61"/>
        <v>0.20433789954337905</v>
      </c>
    </row>
    <row r="1974" spans="1:36">
      <c r="A1974" t="s">
        <v>306</v>
      </c>
      <c r="B1974" t="s">
        <v>2259</v>
      </c>
      <c r="C1974" t="s">
        <v>103</v>
      </c>
      <c r="D1974" t="s">
        <v>105</v>
      </c>
      <c r="E1974" t="s">
        <v>55</v>
      </c>
      <c r="F1974">
        <v>0</v>
      </c>
      <c r="G1974">
        <v>1718</v>
      </c>
      <c r="H1974">
        <v>1</v>
      </c>
      <c r="I1974" t="s">
        <v>173</v>
      </c>
      <c r="J1974">
        <v>1</v>
      </c>
      <c r="K1974" s="6">
        <v>2.02</v>
      </c>
      <c r="L1974" t="s">
        <v>174</v>
      </c>
      <c r="M1974">
        <v>0</v>
      </c>
      <c r="N1974" t="s">
        <v>187</v>
      </c>
      <c r="O1974">
        <v>2</v>
      </c>
      <c r="P1974">
        <v>0</v>
      </c>
      <c r="Q1974" s="6">
        <v>51.8</v>
      </c>
      <c r="R1974">
        <v>0</v>
      </c>
      <c r="S1974" s="6">
        <v>0</v>
      </c>
      <c r="T1974">
        <v>0</v>
      </c>
      <c r="U1974" s="6">
        <v>2301</v>
      </c>
      <c r="V1974">
        <v>0</v>
      </c>
      <c r="W1974">
        <v>0</v>
      </c>
      <c r="X1974">
        <v>0</v>
      </c>
      <c r="Y1974" s="6">
        <v>40</v>
      </c>
      <c r="Z1974">
        <v>4.5999999999999999E-2</v>
      </c>
      <c r="AA1974">
        <v>0.13900000000000001</v>
      </c>
      <c r="AB1974">
        <v>7.3999999999999996E-2</v>
      </c>
      <c r="AC1974">
        <v>6</v>
      </c>
      <c r="AD1974" s="6">
        <v>50</v>
      </c>
      <c r="AE1974" s="6">
        <v>0</v>
      </c>
      <c r="AF1974" s="6">
        <v>0</v>
      </c>
      <c r="AG1974" s="6">
        <v>48.4</v>
      </c>
      <c r="AH1974" s="6">
        <v>62.35</v>
      </c>
      <c r="AI1974" s="6">
        <f t="shared" si="60"/>
        <v>13.950000000000003</v>
      </c>
      <c r="AJ1974" s="5">
        <f t="shared" si="61"/>
        <v>0.22373696872493989</v>
      </c>
    </row>
    <row r="1975" spans="1:36">
      <c r="A1975" t="s">
        <v>269</v>
      </c>
      <c r="B1975" t="s">
        <v>2260</v>
      </c>
      <c r="C1975" t="s">
        <v>103</v>
      </c>
      <c r="D1975" t="s">
        <v>105</v>
      </c>
      <c r="E1975" t="s">
        <v>55</v>
      </c>
      <c r="F1975">
        <v>0</v>
      </c>
      <c r="G1975">
        <v>1718</v>
      </c>
      <c r="H1975">
        <v>1</v>
      </c>
      <c r="I1975" t="s">
        <v>178</v>
      </c>
      <c r="J1975">
        <v>4</v>
      </c>
      <c r="K1975" s="6">
        <v>17.68</v>
      </c>
      <c r="L1975" t="s">
        <v>174</v>
      </c>
      <c r="M1975">
        <v>0</v>
      </c>
      <c r="N1975" t="s">
        <v>187</v>
      </c>
      <c r="O1975">
        <v>2</v>
      </c>
      <c r="P1975">
        <v>1</v>
      </c>
      <c r="Q1975" s="6">
        <v>54.2</v>
      </c>
      <c r="R1975">
        <v>0</v>
      </c>
      <c r="S1975" s="6">
        <v>0</v>
      </c>
      <c r="T1975">
        <v>0</v>
      </c>
      <c r="U1975" s="6">
        <v>13997</v>
      </c>
      <c r="V1975">
        <v>0</v>
      </c>
      <c r="W1975">
        <v>0</v>
      </c>
      <c r="X1975">
        <v>0</v>
      </c>
      <c r="Y1975" s="6">
        <v>40</v>
      </c>
      <c r="Z1975">
        <v>4.5999999999999999E-2</v>
      </c>
      <c r="AA1975">
        <v>0.13900000000000001</v>
      </c>
      <c r="AB1975">
        <v>7.3999999999999996E-2</v>
      </c>
      <c r="AC1975">
        <v>6</v>
      </c>
      <c r="AD1975" s="6">
        <v>65</v>
      </c>
      <c r="AE1975" s="6">
        <v>0</v>
      </c>
      <c r="AF1975" s="6">
        <v>0</v>
      </c>
      <c r="AG1975" s="6">
        <v>158.47999999999999</v>
      </c>
      <c r="AH1975" s="6">
        <v>199.78</v>
      </c>
      <c r="AI1975" s="6">
        <f t="shared" si="60"/>
        <v>41.300000000000011</v>
      </c>
      <c r="AJ1975" s="5">
        <f t="shared" si="61"/>
        <v>0.20672740014015423</v>
      </c>
    </row>
    <row r="1976" spans="1:36">
      <c r="A1976" t="s">
        <v>343</v>
      </c>
      <c r="B1976" t="s">
        <v>2261</v>
      </c>
      <c r="C1976" t="s">
        <v>103</v>
      </c>
      <c r="D1976" t="s">
        <v>105</v>
      </c>
      <c r="E1976" t="s">
        <v>55</v>
      </c>
      <c r="F1976">
        <v>0</v>
      </c>
      <c r="G1976">
        <v>1718</v>
      </c>
      <c r="H1976">
        <v>1</v>
      </c>
      <c r="I1976" t="s">
        <v>173</v>
      </c>
      <c r="J1976">
        <v>1</v>
      </c>
      <c r="K1976" s="6">
        <v>2.19</v>
      </c>
      <c r="L1976" t="s">
        <v>174</v>
      </c>
      <c r="M1976">
        <v>0</v>
      </c>
      <c r="N1976" t="s">
        <v>217</v>
      </c>
      <c r="O1976">
        <v>4</v>
      </c>
      <c r="P1976">
        <v>1</v>
      </c>
      <c r="Q1976" s="6">
        <v>87.3</v>
      </c>
      <c r="R1976">
        <v>1</v>
      </c>
      <c r="S1976" s="6">
        <v>1255</v>
      </c>
      <c r="T1976">
        <v>0</v>
      </c>
      <c r="U1976" s="6">
        <v>4208</v>
      </c>
      <c r="V1976">
        <v>0</v>
      </c>
      <c r="W1976">
        <v>0</v>
      </c>
      <c r="X1976">
        <v>0</v>
      </c>
      <c r="Y1976" s="6">
        <v>40</v>
      </c>
      <c r="Z1976">
        <v>4.5999999999999999E-2</v>
      </c>
      <c r="AA1976">
        <v>0.13900000000000001</v>
      </c>
      <c r="AB1976">
        <v>7.3999999999999996E-2</v>
      </c>
      <c r="AC1976">
        <v>6</v>
      </c>
      <c r="AD1976" s="6">
        <v>50</v>
      </c>
      <c r="AE1976" s="6">
        <v>25</v>
      </c>
      <c r="AF1976" s="6">
        <v>0</v>
      </c>
      <c r="AG1976" s="6">
        <v>104.71</v>
      </c>
      <c r="AH1976" s="6">
        <v>134.31</v>
      </c>
      <c r="AI1976" s="6">
        <f t="shared" si="60"/>
        <v>29.600000000000009</v>
      </c>
      <c r="AJ1976" s="5">
        <f t="shared" si="61"/>
        <v>0.22038567493112954</v>
      </c>
    </row>
    <row r="1977" spans="1:36">
      <c r="A1977" t="s">
        <v>323</v>
      </c>
      <c r="B1977" t="s">
        <v>2262</v>
      </c>
      <c r="C1977" t="s">
        <v>103</v>
      </c>
      <c r="D1977" t="s">
        <v>105</v>
      </c>
      <c r="E1977" t="s">
        <v>55</v>
      </c>
      <c r="F1977">
        <v>0</v>
      </c>
      <c r="G1977">
        <v>1718</v>
      </c>
      <c r="H1977">
        <v>1</v>
      </c>
      <c r="I1977" t="s">
        <v>220</v>
      </c>
      <c r="J1977">
        <v>2</v>
      </c>
      <c r="K1977" s="6">
        <v>3.07</v>
      </c>
      <c r="L1977" t="s">
        <v>174</v>
      </c>
      <c r="M1977">
        <v>0</v>
      </c>
      <c r="N1977" t="s">
        <v>182</v>
      </c>
      <c r="O1977">
        <v>3</v>
      </c>
      <c r="P1977">
        <v>0</v>
      </c>
      <c r="Q1977" s="6">
        <v>99.8</v>
      </c>
      <c r="R1977">
        <v>0</v>
      </c>
      <c r="S1977" s="6">
        <v>0</v>
      </c>
      <c r="T1977">
        <v>0</v>
      </c>
      <c r="U1977" s="6">
        <v>5976</v>
      </c>
      <c r="V1977">
        <v>0</v>
      </c>
      <c r="W1977">
        <v>0</v>
      </c>
      <c r="X1977">
        <v>1</v>
      </c>
      <c r="Y1977" s="6">
        <v>40</v>
      </c>
      <c r="Z1977">
        <v>4.5999999999999999E-2</v>
      </c>
      <c r="AA1977">
        <v>0.13900000000000001</v>
      </c>
      <c r="AB1977">
        <v>7.3999999999999996E-2</v>
      </c>
      <c r="AC1977">
        <v>6</v>
      </c>
      <c r="AD1977" s="6">
        <v>50</v>
      </c>
      <c r="AE1977" s="6">
        <v>0</v>
      </c>
      <c r="AF1977" s="6">
        <v>0</v>
      </c>
      <c r="AG1977" s="6">
        <v>62.28</v>
      </c>
      <c r="AH1977" s="6">
        <v>80.59</v>
      </c>
      <c r="AI1977" s="6">
        <f t="shared" si="60"/>
        <v>18.310000000000002</v>
      </c>
      <c r="AJ1977" s="5">
        <f t="shared" si="61"/>
        <v>0.22719940439260455</v>
      </c>
    </row>
    <row r="1978" spans="1:36">
      <c r="A1978" t="s">
        <v>393</v>
      </c>
      <c r="B1978" t="s">
        <v>2263</v>
      </c>
      <c r="C1978" t="s">
        <v>103</v>
      </c>
      <c r="D1978" t="s">
        <v>105</v>
      </c>
      <c r="E1978" t="s">
        <v>55</v>
      </c>
      <c r="F1978">
        <v>0</v>
      </c>
      <c r="G1978">
        <v>1718</v>
      </c>
      <c r="H1978">
        <v>1</v>
      </c>
      <c r="I1978" t="s">
        <v>173</v>
      </c>
      <c r="J1978">
        <v>1</v>
      </c>
      <c r="K1978" s="6">
        <v>1.8</v>
      </c>
      <c r="L1978" t="s">
        <v>174</v>
      </c>
      <c r="M1978">
        <v>0</v>
      </c>
      <c r="N1978" t="s">
        <v>187</v>
      </c>
      <c r="O1978">
        <v>2</v>
      </c>
      <c r="P1978">
        <v>0</v>
      </c>
      <c r="Q1978" s="6">
        <v>50.6</v>
      </c>
      <c r="R1978">
        <v>0</v>
      </c>
      <c r="S1978" s="6">
        <v>0</v>
      </c>
      <c r="T1978">
        <v>0</v>
      </c>
      <c r="U1978" s="6">
        <v>6561</v>
      </c>
      <c r="V1978">
        <v>0</v>
      </c>
      <c r="W1978">
        <v>0</v>
      </c>
      <c r="X1978">
        <v>0</v>
      </c>
      <c r="Y1978" s="6">
        <v>40</v>
      </c>
      <c r="Z1978">
        <v>4.5999999999999999E-2</v>
      </c>
      <c r="AA1978">
        <v>0.13900000000000001</v>
      </c>
      <c r="AB1978">
        <v>7.3999999999999996E-2</v>
      </c>
      <c r="AC1978">
        <v>6</v>
      </c>
      <c r="AD1978" s="6">
        <v>50</v>
      </c>
      <c r="AE1978" s="6">
        <v>0</v>
      </c>
      <c r="AF1978" s="6">
        <v>0</v>
      </c>
      <c r="AG1978" s="6">
        <v>56.73</v>
      </c>
      <c r="AH1978" s="6">
        <v>72.08</v>
      </c>
      <c r="AI1978" s="6">
        <f t="shared" si="60"/>
        <v>15.350000000000001</v>
      </c>
      <c r="AJ1978" s="5">
        <f t="shared" si="61"/>
        <v>0.21295782463928969</v>
      </c>
    </row>
    <row r="1979" spans="1:36">
      <c r="A1979" t="s">
        <v>238</v>
      </c>
      <c r="B1979" t="s">
        <v>2264</v>
      </c>
      <c r="C1979" t="s">
        <v>103</v>
      </c>
      <c r="D1979" t="s">
        <v>105</v>
      </c>
      <c r="E1979" t="s">
        <v>55</v>
      </c>
      <c r="F1979">
        <v>0</v>
      </c>
      <c r="G1979">
        <v>1718</v>
      </c>
      <c r="H1979">
        <v>1</v>
      </c>
      <c r="I1979" t="s">
        <v>220</v>
      </c>
      <c r="J1979">
        <v>2</v>
      </c>
      <c r="K1979" s="6">
        <v>4.1100000000000003</v>
      </c>
      <c r="L1979" t="s">
        <v>174</v>
      </c>
      <c r="M1979">
        <v>0</v>
      </c>
      <c r="N1979" t="s">
        <v>187</v>
      </c>
      <c r="O1979">
        <v>2</v>
      </c>
      <c r="P1979">
        <v>0</v>
      </c>
      <c r="Q1979" s="6">
        <v>58.7</v>
      </c>
      <c r="R1979">
        <v>0</v>
      </c>
      <c r="S1979" s="6">
        <v>0</v>
      </c>
      <c r="T1979">
        <v>0</v>
      </c>
      <c r="U1979" s="6">
        <v>6154</v>
      </c>
      <c r="V1979">
        <v>0</v>
      </c>
      <c r="W1979">
        <v>0</v>
      </c>
      <c r="X1979">
        <v>0</v>
      </c>
      <c r="Y1979" s="6">
        <v>40</v>
      </c>
      <c r="Z1979">
        <v>4.5999999999999999E-2</v>
      </c>
      <c r="AA1979">
        <v>0.13900000000000001</v>
      </c>
      <c r="AB1979">
        <v>7.3999999999999996E-2</v>
      </c>
      <c r="AC1979">
        <v>6</v>
      </c>
      <c r="AD1979" s="6">
        <v>50</v>
      </c>
      <c r="AE1979" s="6">
        <v>0</v>
      </c>
      <c r="AF1979" s="6">
        <v>0</v>
      </c>
      <c r="AG1979" s="6">
        <v>65.489999999999995</v>
      </c>
      <c r="AH1979" s="6">
        <v>85.74</v>
      </c>
      <c r="AI1979" s="6">
        <f t="shared" si="60"/>
        <v>20.25</v>
      </c>
      <c r="AJ1979" s="5">
        <f t="shared" si="61"/>
        <v>0.23617914625612318</v>
      </c>
    </row>
    <row r="1980" spans="1:36">
      <c r="A1980" t="s">
        <v>303</v>
      </c>
      <c r="B1980" t="s">
        <v>2265</v>
      </c>
      <c r="C1980" t="s">
        <v>103</v>
      </c>
      <c r="D1980" t="s">
        <v>105</v>
      </c>
      <c r="E1980" t="s">
        <v>55</v>
      </c>
      <c r="F1980">
        <v>0</v>
      </c>
      <c r="G1980">
        <v>1718</v>
      </c>
      <c r="H1980">
        <v>1</v>
      </c>
      <c r="I1980" t="s">
        <v>181</v>
      </c>
      <c r="J1980">
        <v>3</v>
      </c>
      <c r="K1980" s="6">
        <v>10.63</v>
      </c>
      <c r="L1980" t="s">
        <v>174</v>
      </c>
      <c r="M1980">
        <v>0</v>
      </c>
      <c r="N1980" t="s">
        <v>187</v>
      </c>
      <c r="O1980">
        <v>2</v>
      </c>
      <c r="P1980">
        <v>0</v>
      </c>
      <c r="Q1980" s="6">
        <v>63.9</v>
      </c>
      <c r="R1980">
        <v>1</v>
      </c>
      <c r="S1980" s="6">
        <v>1347</v>
      </c>
      <c r="T1980">
        <v>0</v>
      </c>
      <c r="U1980" s="6">
        <v>13674</v>
      </c>
      <c r="V1980">
        <v>0</v>
      </c>
      <c r="W1980">
        <v>0</v>
      </c>
      <c r="X1980">
        <v>0</v>
      </c>
      <c r="Y1980" s="6">
        <v>40</v>
      </c>
      <c r="Z1980">
        <v>4.5999999999999999E-2</v>
      </c>
      <c r="AA1980">
        <v>0.13900000000000001</v>
      </c>
      <c r="AB1980">
        <v>7.3999999999999996E-2</v>
      </c>
      <c r="AC1980">
        <v>6</v>
      </c>
      <c r="AD1980" s="6">
        <v>60</v>
      </c>
      <c r="AE1980" s="6">
        <v>25</v>
      </c>
      <c r="AF1980" s="6">
        <v>0</v>
      </c>
      <c r="AG1980" s="6">
        <v>101.24</v>
      </c>
      <c r="AH1980" s="6">
        <v>126.89</v>
      </c>
      <c r="AI1980" s="6">
        <f t="shared" si="60"/>
        <v>25.650000000000006</v>
      </c>
      <c r="AJ1980" s="5">
        <f t="shared" si="61"/>
        <v>0.20214358893529832</v>
      </c>
    </row>
    <row r="1981" spans="1:36">
      <c r="A1981" t="s">
        <v>277</v>
      </c>
      <c r="B1981" t="s">
        <v>2266</v>
      </c>
      <c r="C1981" t="s">
        <v>103</v>
      </c>
      <c r="D1981" t="s">
        <v>105</v>
      </c>
      <c r="E1981" t="s">
        <v>55</v>
      </c>
      <c r="F1981">
        <v>0</v>
      </c>
      <c r="G1981">
        <v>1718</v>
      </c>
      <c r="H1981">
        <v>1</v>
      </c>
      <c r="I1981" t="s">
        <v>173</v>
      </c>
      <c r="J1981">
        <v>1</v>
      </c>
      <c r="K1981" s="6">
        <v>2.13</v>
      </c>
      <c r="L1981" t="s">
        <v>174</v>
      </c>
      <c r="M1981">
        <v>0</v>
      </c>
      <c r="N1981" t="s">
        <v>182</v>
      </c>
      <c r="O1981">
        <v>3</v>
      </c>
      <c r="P1981">
        <v>0</v>
      </c>
      <c r="Q1981" s="6">
        <v>131.6</v>
      </c>
      <c r="R1981">
        <v>0</v>
      </c>
      <c r="S1981" s="6">
        <v>0</v>
      </c>
      <c r="T1981">
        <v>0</v>
      </c>
      <c r="U1981" s="6">
        <v>17855</v>
      </c>
      <c r="V1981">
        <v>0</v>
      </c>
      <c r="W1981">
        <v>0</v>
      </c>
      <c r="X1981">
        <v>0</v>
      </c>
      <c r="Y1981" s="6">
        <v>40</v>
      </c>
      <c r="Z1981">
        <v>4.5999999999999999E-2</v>
      </c>
      <c r="AA1981">
        <v>0.13900000000000001</v>
      </c>
      <c r="AB1981">
        <v>7.3999999999999996E-2</v>
      </c>
      <c r="AC1981">
        <v>6</v>
      </c>
      <c r="AD1981" s="6">
        <v>50</v>
      </c>
      <c r="AE1981" s="6">
        <v>0</v>
      </c>
      <c r="AF1981" s="6">
        <v>0</v>
      </c>
      <c r="AG1981" s="6">
        <v>58.8</v>
      </c>
      <c r="AH1981" s="6">
        <v>77.569999999999993</v>
      </c>
      <c r="AI1981" s="6">
        <f t="shared" si="60"/>
        <v>18.769999999999996</v>
      </c>
      <c r="AJ1981" s="5">
        <f t="shared" si="61"/>
        <v>0.24197499033131362</v>
      </c>
    </row>
    <row r="1982" spans="1:36">
      <c r="A1982" t="s">
        <v>316</v>
      </c>
      <c r="B1982" t="s">
        <v>2267</v>
      </c>
      <c r="C1982" t="s">
        <v>103</v>
      </c>
      <c r="D1982" t="s">
        <v>105</v>
      </c>
      <c r="E1982" t="s">
        <v>55</v>
      </c>
      <c r="F1982">
        <v>0</v>
      </c>
      <c r="G1982">
        <v>1718</v>
      </c>
      <c r="H1982">
        <v>1</v>
      </c>
      <c r="I1982" t="s">
        <v>173</v>
      </c>
      <c r="J1982">
        <v>1</v>
      </c>
      <c r="K1982" s="6">
        <v>2.21</v>
      </c>
      <c r="L1982" t="s">
        <v>174</v>
      </c>
      <c r="M1982">
        <v>0</v>
      </c>
      <c r="N1982" t="s">
        <v>175</v>
      </c>
      <c r="O1982">
        <v>1</v>
      </c>
      <c r="P1982">
        <v>1</v>
      </c>
      <c r="Q1982" s="6">
        <v>41.1</v>
      </c>
      <c r="R1982">
        <v>0</v>
      </c>
      <c r="S1982" s="6">
        <v>0</v>
      </c>
      <c r="T1982">
        <v>0</v>
      </c>
      <c r="U1982" s="6">
        <v>12682</v>
      </c>
      <c r="V1982">
        <v>0</v>
      </c>
      <c r="W1982">
        <v>0</v>
      </c>
      <c r="X1982">
        <v>0</v>
      </c>
      <c r="Y1982" s="6">
        <v>40</v>
      </c>
      <c r="Z1982">
        <v>4.5999999999999999E-2</v>
      </c>
      <c r="AA1982">
        <v>0.13900000000000001</v>
      </c>
      <c r="AB1982">
        <v>7.3999999999999996E-2</v>
      </c>
      <c r="AC1982">
        <v>6</v>
      </c>
      <c r="AD1982" s="6">
        <v>50</v>
      </c>
      <c r="AE1982" s="6">
        <v>0</v>
      </c>
      <c r="AF1982" s="6">
        <v>0</v>
      </c>
      <c r="AG1982" s="6">
        <v>66.849999999999994</v>
      </c>
      <c r="AH1982" s="6">
        <v>84.13</v>
      </c>
      <c r="AI1982" s="6">
        <f t="shared" si="60"/>
        <v>17.28</v>
      </c>
      <c r="AJ1982" s="5">
        <f t="shared" si="61"/>
        <v>0.205396410317366</v>
      </c>
    </row>
    <row r="1983" spans="1:36">
      <c r="A1983" t="s">
        <v>258</v>
      </c>
      <c r="B1983" t="s">
        <v>2268</v>
      </c>
      <c r="C1983" t="s">
        <v>103</v>
      </c>
      <c r="D1983" t="s">
        <v>105</v>
      </c>
      <c r="E1983" t="s">
        <v>55</v>
      </c>
      <c r="F1983">
        <v>0</v>
      </c>
      <c r="G1983">
        <v>1718</v>
      </c>
      <c r="H1983">
        <v>1</v>
      </c>
      <c r="I1983" t="s">
        <v>173</v>
      </c>
      <c r="J1983">
        <v>1</v>
      </c>
      <c r="K1983" s="6">
        <v>0.84</v>
      </c>
      <c r="L1983" t="s">
        <v>174</v>
      </c>
      <c r="M1983">
        <v>0</v>
      </c>
      <c r="N1983" t="s">
        <v>217</v>
      </c>
      <c r="O1983">
        <v>4</v>
      </c>
      <c r="P1983">
        <v>1</v>
      </c>
      <c r="Q1983" s="6">
        <v>121.1</v>
      </c>
      <c r="R1983">
        <v>0</v>
      </c>
      <c r="S1983" s="6">
        <v>0</v>
      </c>
      <c r="T1983">
        <v>0</v>
      </c>
      <c r="U1983" s="6">
        <v>12546</v>
      </c>
      <c r="V1983">
        <v>0</v>
      </c>
      <c r="W1983">
        <v>0</v>
      </c>
      <c r="X1983">
        <v>0</v>
      </c>
      <c r="Y1983" s="6">
        <v>40</v>
      </c>
      <c r="Z1983">
        <v>4.5999999999999999E-2</v>
      </c>
      <c r="AA1983">
        <v>0.13900000000000001</v>
      </c>
      <c r="AB1983">
        <v>7.3999999999999996E-2</v>
      </c>
      <c r="AC1983">
        <v>6</v>
      </c>
      <c r="AD1983" s="6">
        <v>50</v>
      </c>
      <c r="AE1983" s="6">
        <v>0</v>
      </c>
      <c r="AF1983" s="6">
        <v>0</v>
      </c>
      <c r="AG1983" s="6">
        <v>96.19</v>
      </c>
      <c r="AH1983" s="6">
        <v>125.07</v>
      </c>
      <c r="AI1983" s="6">
        <f t="shared" si="60"/>
        <v>28.879999999999995</v>
      </c>
      <c r="AJ1983" s="5">
        <f t="shared" si="61"/>
        <v>0.23091069001359235</v>
      </c>
    </row>
    <row r="1984" spans="1:36">
      <c r="A1984" t="s">
        <v>303</v>
      </c>
      <c r="B1984" t="s">
        <v>2269</v>
      </c>
      <c r="C1984" t="s">
        <v>103</v>
      </c>
      <c r="D1984" t="s">
        <v>105</v>
      </c>
      <c r="E1984" t="s">
        <v>55</v>
      </c>
      <c r="F1984">
        <v>0</v>
      </c>
      <c r="G1984">
        <v>1718</v>
      </c>
      <c r="H1984">
        <v>1</v>
      </c>
      <c r="I1984" t="s">
        <v>181</v>
      </c>
      <c r="J1984">
        <v>3</v>
      </c>
      <c r="K1984" s="6">
        <v>4.01</v>
      </c>
      <c r="L1984" t="s">
        <v>174</v>
      </c>
      <c r="M1984">
        <v>0</v>
      </c>
      <c r="N1984" t="s">
        <v>175</v>
      </c>
      <c r="O1984">
        <v>1</v>
      </c>
      <c r="P1984">
        <v>0</v>
      </c>
      <c r="Q1984" s="6">
        <v>18.600000000000001</v>
      </c>
      <c r="R1984">
        <v>0</v>
      </c>
      <c r="S1984" s="6">
        <v>0</v>
      </c>
      <c r="T1984">
        <v>0</v>
      </c>
      <c r="U1984" s="6">
        <v>6229</v>
      </c>
      <c r="V1984">
        <v>0</v>
      </c>
      <c r="W1984">
        <v>0</v>
      </c>
      <c r="X1984">
        <v>0</v>
      </c>
      <c r="Y1984" s="6">
        <v>40</v>
      </c>
      <c r="Z1984">
        <v>4.5999999999999999E-2</v>
      </c>
      <c r="AA1984">
        <v>0.13900000000000001</v>
      </c>
      <c r="AB1984">
        <v>7.3999999999999996E-2</v>
      </c>
      <c r="AC1984">
        <v>6</v>
      </c>
      <c r="AD1984" s="6">
        <v>60</v>
      </c>
      <c r="AE1984" s="6">
        <v>0</v>
      </c>
      <c r="AF1984" s="6">
        <v>0</v>
      </c>
      <c r="AG1984" s="6">
        <v>68.69</v>
      </c>
      <c r="AH1984" s="6">
        <v>86.94</v>
      </c>
      <c r="AI1984" s="6">
        <f t="shared" si="60"/>
        <v>18.25</v>
      </c>
      <c r="AJ1984" s="5">
        <f t="shared" si="61"/>
        <v>0.20991488382792731</v>
      </c>
    </row>
    <row r="1985" spans="1:36">
      <c r="A1985" t="s">
        <v>345</v>
      </c>
      <c r="B1985" t="s">
        <v>2270</v>
      </c>
      <c r="C1985" t="s">
        <v>103</v>
      </c>
      <c r="D1985" t="s">
        <v>105</v>
      </c>
      <c r="E1985" t="s">
        <v>55</v>
      </c>
      <c r="F1985">
        <v>0</v>
      </c>
      <c r="G1985">
        <v>1718</v>
      </c>
      <c r="H1985">
        <v>1</v>
      </c>
      <c r="I1985" t="s">
        <v>220</v>
      </c>
      <c r="J1985">
        <v>2</v>
      </c>
      <c r="K1985" s="6">
        <v>3.77</v>
      </c>
      <c r="L1985" t="s">
        <v>174</v>
      </c>
      <c r="M1985">
        <v>0</v>
      </c>
      <c r="N1985" t="s">
        <v>182</v>
      </c>
      <c r="O1985">
        <v>3</v>
      </c>
      <c r="P1985">
        <v>0</v>
      </c>
      <c r="Q1985" s="6">
        <v>132</v>
      </c>
      <c r="R1985">
        <v>0</v>
      </c>
      <c r="S1985" s="6">
        <v>0</v>
      </c>
      <c r="T1985">
        <v>0</v>
      </c>
      <c r="U1985" s="6">
        <v>13811</v>
      </c>
      <c r="V1985">
        <v>0</v>
      </c>
      <c r="W1985">
        <v>0</v>
      </c>
      <c r="X1985">
        <v>0</v>
      </c>
      <c r="Y1985" s="6">
        <v>40</v>
      </c>
      <c r="Z1985">
        <v>4.5999999999999999E-2</v>
      </c>
      <c r="AA1985">
        <v>0.13900000000000001</v>
      </c>
      <c r="AB1985">
        <v>7.3999999999999996E-2</v>
      </c>
      <c r="AC1985">
        <v>6</v>
      </c>
      <c r="AD1985" s="6">
        <v>50</v>
      </c>
      <c r="AE1985" s="6">
        <v>0</v>
      </c>
      <c r="AF1985" s="6">
        <v>0</v>
      </c>
      <c r="AG1985" s="6">
        <v>72.239999999999995</v>
      </c>
      <c r="AH1985" s="6">
        <v>91.52</v>
      </c>
      <c r="AI1985" s="6">
        <f t="shared" si="60"/>
        <v>19.28</v>
      </c>
      <c r="AJ1985" s="5">
        <f t="shared" si="61"/>
        <v>0.21066433566433568</v>
      </c>
    </row>
    <row r="1986" spans="1:36">
      <c r="A1986" t="s">
        <v>188</v>
      </c>
      <c r="B1986" t="s">
        <v>2271</v>
      </c>
      <c r="C1986" t="s">
        <v>103</v>
      </c>
      <c r="D1986" t="s">
        <v>105</v>
      </c>
      <c r="E1986" t="s">
        <v>55</v>
      </c>
      <c r="F1986">
        <v>0</v>
      </c>
      <c r="G1986">
        <v>1718</v>
      </c>
      <c r="H1986">
        <v>1</v>
      </c>
      <c r="I1986" t="s">
        <v>220</v>
      </c>
      <c r="J1986">
        <v>2</v>
      </c>
      <c r="K1986" s="6">
        <v>2.8</v>
      </c>
      <c r="L1986" t="s">
        <v>174</v>
      </c>
      <c r="M1986">
        <v>0</v>
      </c>
      <c r="N1986" t="s">
        <v>175</v>
      </c>
      <c r="O1986">
        <v>1</v>
      </c>
      <c r="P1986">
        <v>0</v>
      </c>
      <c r="Q1986" s="6">
        <v>48.9</v>
      </c>
      <c r="R1986">
        <v>0</v>
      </c>
      <c r="S1986" s="6">
        <v>0</v>
      </c>
      <c r="T1986">
        <v>0</v>
      </c>
      <c r="U1986" s="6">
        <v>14773</v>
      </c>
      <c r="V1986">
        <v>0</v>
      </c>
      <c r="W1986">
        <v>0</v>
      </c>
      <c r="X1986">
        <v>0</v>
      </c>
      <c r="Y1986" s="6">
        <v>40</v>
      </c>
      <c r="Z1986">
        <v>4.5999999999999999E-2</v>
      </c>
      <c r="AA1986">
        <v>0.13900000000000001</v>
      </c>
      <c r="AB1986">
        <v>7.3999999999999996E-2</v>
      </c>
      <c r="AC1986">
        <v>6</v>
      </c>
      <c r="AD1986" s="6">
        <v>50</v>
      </c>
      <c r="AE1986" s="6">
        <v>0</v>
      </c>
      <c r="AF1986" s="6">
        <v>0</v>
      </c>
      <c r="AG1986" s="6">
        <v>63.38</v>
      </c>
      <c r="AH1986" s="6">
        <v>84.13</v>
      </c>
      <c r="AI1986" s="6">
        <f t="shared" ref="AI1986:AI2049" si="62">AH1986-AG1986</f>
        <v>20.749999999999993</v>
      </c>
      <c r="AJ1986" s="5">
        <f t="shared" ref="AJ1986:AJ2049" si="63">IFERROR(AI1986/AH1986,0)</f>
        <v>0.24664210150956845</v>
      </c>
    </row>
    <row r="1987" spans="1:36">
      <c r="A1987" t="s">
        <v>381</v>
      </c>
      <c r="B1987" t="s">
        <v>2272</v>
      </c>
      <c r="C1987" t="s">
        <v>103</v>
      </c>
      <c r="D1987" t="s">
        <v>105</v>
      </c>
      <c r="E1987" t="s">
        <v>55</v>
      </c>
      <c r="F1987">
        <v>0</v>
      </c>
      <c r="G1987">
        <v>1718</v>
      </c>
      <c r="H1987">
        <v>1</v>
      </c>
      <c r="I1987" t="s">
        <v>220</v>
      </c>
      <c r="J1987">
        <v>2</v>
      </c>
      <c r="K1987" s="6">
        <v>4.3600000000000003</v>
      </c>
      <c r="L1987" t="s">
        <v>174</v>
      </c>
      <c r="M1987">
        <v>0</v>
      </c>
      <c r="N1987" t="s">
        <v>175</v>
      </c>
      <c r="O1987">
        <v>1</v>
      </c>
      <c r="P1987">
        <v>1</v>
      </c>
      <c r="Q1987" s="6">
        <v>26.8</v>
      </c>
      <c r="R1987">
        <v>0</v>
      </c>
      <c r="S1987" s="6">
        <v>0</v>
      </c>
      <c r="T1987">
        <v>0</v>
      </c>
      <c r="U1987" s="6">
        <v>9129</v>
      </c>
      <c r="V1987">
        <v>0</v>
      </c>
      <c r="W1987">
        <v>0</v>
      </c>
      <c r="X1987">
        <v>0</v>
      </c>
      <c r="Y1987" s="6">
        <v>40</v>
      </c>
      <c r="Z1987">
        <v>4.5999999999999999E-2</v>
      </c>
      <c r="AA1987">
        <v>0.13900000000000001</v>
      </c>
      <c r="AB1987">
        <v>7.3999999999999996E-2</v>
      </c>
      <c r="AC1987">
        <v>6</v>
      </c>
      <c r="AD1987" s="6">
        <v>50</v>
      </c>
      <c r="AE1987" s="6">
        <v>0</v>
      </c>
      <c r="AF1987" s="6">
        <v>0</v>
      </c>
      <c r="AG1987" s="6">
        <v>79.09</v>
      </c>
      <c r="AH1987" s="6">
        <v>100.8</v>
      </c>
      <c r="AI1987" s="6">
        <f t="shared" si="62"/>
        <v>21.709999999999994</v>
      </c>
      <c r="AJ1987" s="5">
        <f t="shared" si="63"/>
        <v>0.21537698412698408</v>
      </c>
    </row>
    <row r="1988" spans="1:36">
      <c r="A1988" t="s">
        <v>348</v>
      </c>
      <c r="B1988" t="s">
        <v>2273</v>
      </c>
      <c r="C1988" t="s">
        <v>103</v>
      </c>
      <c r="D1988" t="s">
        <v>105</v>
      </c>
      <c r="E1988" t="s">
        <v>55</v>
      </c>
      <c r="F1988">
        <v>0</v>
      </c>
      <c r="G1988">
        <v>1718</v>
      </c>
      <c r="H1988">
        <v>1</v>
      </c>
      <c r="I1988" t="s">
        <v>173</v>
      </c>
      <c r="J1988">
        <v>1</v>
      </c>
      <c r="K1988" s="6">
        <v>2.57</v>
      </c>
      <c r="L1988" t="s">
        <v>174</v>
      </c>
      <c r="M1988">
        <v>0</v>
      </c>
      <c r="N1988" t="s">
        <v>175</v>
      </c>
      <c r="O1988">
        <v>1</v>
      </c>
      <c r="P1988">
        <v>0</v>
      </c>
      <c r="Q1988" s="6">
        <v>21.1</v>
      </c>
      <c r="R1988">
        <v>0</v>
      </c>
      <c r="S1988" s="6">
        <v>0</v>
      </c>
      <c r="T1988">
        <v>0</v>
      </c>
      <c r="U1988" s="6">
        <v>11388</v>
      </c>
      <c r="V1988">
        <v>0</v>
      </c>
      <c r="W1988">
        <v>0</v>
      </c>
      <c r="X1988">
        <v>0</v>
      </c>
      <c r="Y1988" s="6">
        <v>40</v>
      </c>
      <c r="Z1988">
        <v>4.5999999999999999E-2</v>
      </c>
      <c r="AA1988">
        <v>0.13900000000000001</v>
      </c>
      <c r="AB1988">
        <v>7.3999999999999996E-2</v>
      </c>
      <c r="AC1988">
        <v>6</v>
      </c>
      <c r="AD1988" s="6">
        <v>50</v>
      </c>
      <c r="AE1988" s="6">
        <v>0</v>
      </c>
      <c r="AF1988" s="6">
        <v>0</v>
      </c>
      <c r="AG1988" s="6">
        <v>49.87</v>
      </c>
      <c r="AH1988" s="6">
        <v>66.98</v>
      </c>
      <c r="AI1988" s="6">
        <f t="shared" si="62"/>
        <v>17.110000000000007</v>
      </c>
      <c r="AJ1988" s="5">
        <f t="shared" si="63"/>
        <v>0.2554493878769783</v>
      </c>
    </row>
    <row r="1989" spans="1:36">
      <c r="A1989" t="s">
        <v>316</v>
      </c>
      <c r="B1989" t="s">
        <v>2274</v>
      </c>
      <c r="C1989" t="s">
        <v>103</v>
      </c>
      <c r="D1989" t="s">
        <v>105</v>
      </c>
      <c r="E1989" t="s">
        <v>55</v>
      </c>
      <c r="F1989">
        <v>0</v>
      </c>
      <c r="G1989">
        <v>1718</v>
      </c>
      <c r="H1989">
        <v>1</v>
      </c>
      <c r="I1989" t="s">
        <v>181</v>
      </c>
      <c r="J1989">
        <v>3</v>
      </c>
      <c r="K1989" s="6">
        <v>6.25</v>
      </c>
      <c r="L1989" t="s">
        <v>174</v>
      </c>
      <c r="M1989">
        <v>0</v>
      </c>
      <c r="N1989" t="s">
        <v>182</v>
      </c>
      <c r="O1989">
        <v>3</v>
      </c>
      <c r="P1989">
        <v>0</v>
      </c>
      <c r="Q1989" s="6">
        <v>58.4</v>
      </c>
      <c r="R1989">
        <v>0</v>
      </c>
      <c r="S1989" s="6">
        <v>0</v>
      </c>
      <c r="T1989">
        <v>0</v>
      </c>
      <c r="U1989" s="6">
        <v>8314</v>
      </c>
      <c r="V1989">
        <v>0</v>
      </c>
      <c r="W1989">
        <v>0</v>
      </c>
      <c r="X1989">
        <v>0</v>
      </c>
      <c r="Y1989" s="6">
        <v>40</v>
      </c>
      <c r="Z1989">
        <v>4.5999999999999999E-2</v>
      </c>
      <c r="AA1989">
        <v>0.13900000000000001</v>
      </c>
      <c r="AB1989">
        <v>7.3999999999999996E-2</v>
      </c>
      <c r="AC1989">
        <v>6</v>
      </c>
      <c r="AD1989" s="6">
        <v>60</v>
      </c>
      <c r="AE1989" s="6">
        <v>0</v>
      </c>
      <c r="AF1989" s="6">
        <v>0</v>
      </c>
      <c r="AG1989" s="6">
        <v>82.27</v>
      </c>
      <c r="AH1989" s="6">
        <v>105.8</v>
      </c>
      <c r="AI1989" s="6">
        <f t="shared" si="62"/>
        <v>23.53</v>
      </c>
      <c r="AJ1989" s="5">
        <f t="shared" si="63"/>
        <v>0.22240075614366731</v>
      </c>
    </row>
    <row r="1990" spans="1:36">
      <c r="A1990" t="s">
        <v>286</v>
      </c>
      <c r="B1990" t="s">
        <v>2275</v>
      </c>
      <c r="C1990" t="s">
        <v>103</v>
      </c>
      <c r="D1990" t="s">
        <v>105</v>
      </c>
      <c r="E1990" t="s">
        <v>55</v>
      </c>
      <c r="F1990">
        <v>0</v>
      </c>
      <c r="G1990">
        <v>1718</v>
      </c>
      <c r="H1990">
        <v>1</v>
      </c>
      <c r="I1990" t="s">
        <v>220</v>
      </c>
      <c r="J1990">
        <v>2</v>
      </c>
      <c r="K1990" s="6">
        <v>2.0499999999999998</v>
      </c>
      <c r="L1990" t="s">
        <v>174</v>
      </c>
      <c r="M1990">
        <v>0</v>
      </c>
      <c r="N1990" t="s">
        <v>175</v>
      </c>
      <c r="O1990">
        <v>1</v>
      </c>
      <c r="P1990">
        <v>0</v>
      </c>
      <c r="Q1990" s="6">
        <v>45.3</v>
      </c>
      <c r="R1990">
        <v>1</v>
      </c>
      <c r="S1990" s="6">
        <v>844</v>
      </c>
      <c r="T1990">
        <v>0</v>
      </c>
      <c r="U1990" s="6">
        <v>7469</v>
      </c>
      <c r="V1990">
        <v>0</v>
      </c>
      <c r="W1990">
        <v>0</v>
      </c>
      <c r="X1990">
        <v>0</v>
      </c>
      <c r="Y1990" s="6">
        <v>40</v>
      </c>
      <c r="Z1990">
        <v>4.5999999999999999E-2</v>
      </c>
      <c r="AA1990">
        <v>0.13900000000000001</v>
      </c>
      <c r="AB1990">
        <v>7.3999999999999996E-2</v>
      </c>
      <c r="AC1990">
        <v>6</v>
      </c>
      <c r="AD1990" s="6">
        <v>50</v>
      </c>
      <c r="AE1990" s="6">
        <v>25</v>
      </c>
      <c r="AF1990" s="6">
        <v>0</v>
      </c>
      <c r="AG1990" s="6">
        <v>63.18</v>
      </c>
      <c r="AH1990" s="6">
        <v>80.989999999999995</v>
      </c>
      <c r="AI1990" s="6">
        <f t="shared" si="62"/>
        <v>17.809999999999995</v>
      </c>
      <c r="AJ1990" s="5">
        <f t="shared" si="63"/>
        <v>0.21990369181380412</v>
      </c>
    </row>
    <row r="1991" spans="1:36">
      <c r="A1991" t="s">
        <v>365</v>
      </c>
      <c r="B1991" t="s">
        <v>2276</v>
      </c>
      <c r="C1991" t="s">
        <v>103</v>
      </c>
      <c r="D1991" t="s">
        <v>105</v>
      </c>
      <c r="E1991" t="s">
        <v>55</v>
      </c>
      <c r="F1991">
        <v>0</v>
      </c>
      <c r="G1991">
        <v>1718</v>
      </c>
      <c r="H1991">
        <v>1</v>
      </c>
      <c r="I1991" t="s">
        <v>178</v>
      </c>
      <c r="J1991">
        <v>4</v>
      </c>
      <c r="K1991" s="6">
        <v>9.77</v>
      </c>
      <c r="L1991" t="s">
        <v>174</v>
      </c>
      <c r="M1991">
        <v>0</v>
      </c>
      <c r="N1991" t="s">
        <v>187</v>
      </c>
      <c r="O1991">
        <v>2</v>
      </c>
      <c r="P1991">
        <v>0</v>
      </c>
      <c r="Q1991" s="6">
        <v>62.7</v>
      </c>
      <c r="R1991">
        <v>0</v>
      </c>
      <c r="S1991" s="6">
        <v>0</v>
      </c>
      <c r="T1991">
        <v>0</v>
      </c>
      <c r="U1991" s="6">
        <v>4086</v>
      </c>
      <c r="V1991">
        <v>0</v>
      </c>
      <c r="W1991">
        <v>0</v>
      </c>
      <c r="X1991">
        <v>0</v>
      </c>
      <c r="Y1991" s="6">
        <v>40</v>
      </c>
      <c r="Z1991">
        <v>4.5999999999999999E-2</v>
      </c>
      <c r="AA1991">
        <v>0.13900000000000001</v>
      </c>
      <c r="AB1991">
        <v>7.3999999999999996E-2</v>
      </c>
      <c r="AC1991">
        <v>6</v>
      </c>
      <c r="AD1991" s="6">
        <v>65</v>
      </c>
      <c r="AE1991" s="6">
        <v>0</v>
      </c>
      <c r="AF1991" s="6">
        <v>0</v>
      </c>
      <c r="AG1991" s="6">
        <v>113.52</v>
      </c>
      <c r="AH1991" s="6">
        <v>144.54</v>
      </c>
      <c r="AI1991" s="6">
        <f t="shared" si="62"/>
        <v>31.019999999999996</v>
      </c>
      <c r="AJ1991" s="5">
        <f t="shared" si="63"/>
        <v>0.21461187214611871</v>
      </c>
    </row>
    <row r="1992" spans="1:36">
      <c r="A1992" t="s">
        <v>188</v>
      </c>
      <c r="B1992" t="s">
        <v>2277</v>
      </c>
      <c r="C1992" t="s">
        <v>103</v>
      </c>
      <c r="D1992" t="s">
        <v>105</v>
      </c>
      <c r="E1992" t="s">
        <v>55</v>
      </c>
      <c r="F1992">
        <v>0</v>
      </c>
      <c r="G1992">
        <v>1718</v>
      </c>
      <c r="H1992">
        <v>1</v>
      </c>
      <c r="I1992" t="s">
        <v>220</v>
      </c>
      <c r="J1992">
        <v>2</v>
      </c>
      <c r="K1992" s="6">
        <v>4.92</v>
      </c>
      <c r="L1992" t="s">
        <v>174</v>
      </c>
      <c r="M1992">
        <v>0</v>
      </c>
      <c r="N1992" t="s">
        <v>175</v>
      </c>
      <c r="O1992">
        <v>1</v>
      </c>
      <c r="P1992">
        <v>0</v>
      </c>
      <c r="Q1992" s="6">
        <v>54.4</v>
      </c>
      <c r="R1992">
        <v>0</v>
      </c>
      <c r="S1992" s="6">
        <v>0</v>
      </c>
      <c r="T1992">
        <v>0</v>
      </c>
      <c r="U1992" s="6">
        <v>5107</v>
      </c>
      <c r="V1992">
        <v>0</v>
      </c>
      <c r="W1992">
        <v>0</v>
      </c>
      <c r="X1992">
        <v>0</v>
      </c>
      <c r="Y1992" s="6">
        <v>40</v>
      </c>
      <c r="Z1992">
        <v>4.5999999999999999E-2</v>
      </c>
      <c r="AA1992">
        <v>0.13900000000000001</v>
      </c>
      <c r="AB1992">
        <v>7.3999999999999996E-2</v>
      </c>
      <c r="AC1992">
        <v>6</v>
      </c>
      <c r="AD1992" s="6">
        <v>50</v>
      </c>
      <c r="AE1992" s="6">
        <v>0</v>
      </c>
      <c r="AF1992" s="6">
        <v>0</v>
      </c>
      <c r="AG1992" s="6">
        <v>58.79</v>
      </c>
      <c r="AH1992" s="6">
        <v>78.11</v>
      </c>
      <c r="AI1992" s="6">
        <f t="shared" si="62"/>
        <v>19.32</v>
      </c>
      <c r="AJ1992" s="5">
        <f t="shared" si="63"/>
        <v>0.24734348995007041</v>
      </c>
    </row>
    <row r="1993" spans="1:36">
      <c r="A1993" t="s">
        <v>436</v>
      </c>
      <c r="B1993" t="s">
        <v>2278</v>
      </c>
      <c r="C1993" t="s">
        <v>103</v>
      </c>
      <c r="D1993" t="s">
        <v>105</v>
      </c>
      <c r="E1993" t="s">
        <v>55</v>
      </c>
      <c r="F1993">
        <v>0</v>
      </c>
      <c r="G1993">
        <v>1718</v>
      </c>
      <c r="H1993">
        <v>1</v>
      </c>
      <c r="I1993" t="s">
        <v>181</v>
      </c>
      <c r="J1993">
        <v>3</v>
      </c>
      <c r="K1993" s="6">
        <v>6.78</v>
      </c>
      <c r="L1993" t="s">
        <v>174</v>
      </c>
      <c r="M1993">
        <v>0</v>
      </c>
      <c r="N1993" t="s">
        <v>175</v>
      </c>
      <c r="O1993">
        <v>1</v>
      </c>
      <c r="P1993">
        <v>0</v>
      </c>
      <c r="Q1993" s="6">
        <v>35.700000000000003</v>
      </c>
      <c r="R1993">
        <v>0</v>
      </c>
      <c r="S1993" s="6">
        <v>0</v>
      </c>
      <c r="T1993">
        <v>0</v>
      </c>
      <c r="U1993" s="6">
        <v>5160</v>
      </c>
      <c r="V1993">
        <v>0</v>
      </c>
      <c r="W1993">
        <v>0</v>
      </c>
      <c r="X1993">
        <v>0</v>
      </c>
      <c r="Y1993" s="6">
        <v>40</v>
      </c>
      <c r="Z1993">
        <v>4.5999999999999999E-2</v>
      </c>
      <c r="AA1993">
        <v>0.13900000000000001</v>
      </c>
      <c r="AB1993">
        <v>7.3999999999999996E-2</v>
      </c>
      <c r="AC1993">
        <v>6</v>
      </c>
      <c r="AD1993" s="6">
        <v>60</v>
      </c>
      <c r="AE1993" s="6">
        <v>0</v>
      </c>
      <c r="AF1993" s="6">
        <v>0</v>
      </c>
      <c r="AG1993" s="6">
        <v>61.25</v>
      </c>
      <c r="AH1993" s="6">
        <v>80.31</v>
      </c>
      <c r="AI1993" s="6">
        <f t="shared" si="62"/>
        <v>19.060000000000002</v>
      </c>
      <c r="AJ1993" s="5">
        <f t="shared" si="63"/>
        <v>0.23733034491346036</v>
      </c>
    </row>
    <row r="1994" spans="1:36">
      <c r="A1994" t="s">
        <v>171</v>
      </c>
      <c r="B1994" t="s">
        <v>2279</v>
      </c>
      <c r="C1994" t="s">
        <v>103</v>
      </c>
      <c r="D1994" t="s">
        <v>105</v>
      </c>
      <c r="E1994" t="s">
        <v>55</v>
      </c>
      <c r="F1994">
        <v>0</v>
      </c>
      <c r="G1994">
        <v>1718</v>
      </c>
      <c r="H1994">
        <v>1</v>
      </c>
      <c r="I1994" t="s">
        <v>173</v>
      </c>
      <c r="J1994">
        <v>1</v>
      </c>
      <c r="K1994" s="6">
        <v>1.46</v>
      </c>
      <c r="L1994" t="s">
        <v>174</v>
      </c>
      <c r="M1994">
        <v>0</v>
      </c>
      <c r="N1994" t="s">
        <v>175</v>
      </c>
      <c r="O1994">
        <v>1</v>
      </c>
      <c r="P1994">
        <v>0</v>
      </c>
      <c r="Q1994" s="6">
        <v>46.4</v>
      </c>
      <c r="R1994">
        <v>0</v>
      </c>
      <c r="S1994" s="6">
        <v>0</v>
      </c>
      <c r="T1994">
        <v>0</v>
      </c>
      <c r="U1994" s="6">
        <v>9669</v>
      </c>
      <c r="V1994">
        <v>1</v>
      </c>
      <c r="W1994">
        <v>0</v>
      </c>
      <c r="X1994">
        <v>0</v>
      </c>
      <c r="Y1994" s="6">
        <v>40</v>
      </c>
      <c r="Z1994">
        <v>4.5999999999999999E-2</v>
      </c>
      <c r="AA1994">
        <v>0.13900000000000001</v>
      </c>
      <c r="AB1994">
        <v>7.3999999999999996E-2</v>
      </c>
      <c r="AC1994">
        <v>6</v>
      </c>
      <c r="AD1994" s="6">
        <v>50</v>
      </c>
      <c r="AE1994" s="6">
        <v>0</v>
      </c>
      <c r="AF1994" s="6">
        <v>0</v>
      </c>
      <c r="AG1994" s="6">
        <v>90.11</v>
      </c>
      <c r="AH1994" s="6">
        <v>113.85</v>
      </c>
      <c r="AI1994" s="6">
        <f t="shared" si="62"/>
        <v>23.739999999999995</v>
      </c>
      <c r="AJ1994" s="5">
        <f t="shared" si="63"/>
        <v>0.20851998243302589</v>
      </c>
    </row>
    <row r="1995" spans="1:36">
      <c r="A1995" t="s">
        <v>298</v>
      </c>
      <c r="B1995" t="s">
        <v>2280</v>
      </c>
      <c r="C1995" t="s">
        <v>103</v>
      </c>
      <c r="D1995" t="s">
        <v>105</v>
      </c>
      <c r="E1995" t="s">
        <v>55</v>
      </c>
      <c r="F1995">
        <v>0</v>
      </c>
      <c r="G1995">
        <v>1718</v>
      </c>
      <c r="H1995">
        <v>1</v>
      </c>
      <c r="I1995" t="s">
        <v>181</v>
      </c>
      <c r="J1995">
        <v>3</v>
      </c>
      <c r="K1995" s="6">
        <v>5.33</v>
      </c>
      <c r="L1995" t="s">
        <v>174</v>
      </c>
      <c r="M1995">
        <v>0</v>
      </c>
      <c r="N1995" t="s">
        <v>175</v>
      </c>
      <c r="O1995">
        <v>1</v>
      </c>
      <c r="P1995">
        <v>0</v>
      </c>
      <c r="Q1995" s="6">
        <v>19.899999999999999</v>
      </c>
      <c r="R1995">
        <v>0</v>
      </c>
      <c r="S1995" s="6">
        <v>0</v>
      </c>
      <c r="T1995">
        <v>0</v>
      </c>
      <c r="U1995" s="6">
        <v>7906</v>
      </c>
      <c r="V1995">
        <v>0</v>
      </c>
      <c r="W1995">
        <v>0</v>
      </c>
      <c r="X1995">
        <v>0</v>
      </c>
      <c r="Y1995" s="6">
        <v>40</v>
      </c>
      <c r="Z1995">
        <v>4.5999999999999999E-2</v>
      </c>
      <c r="AA1995">
        <v>0.13900000000000001</v>
      </c>
      <c r="AB1995">
        <v>7.3999999999999996E-2</v>
      </c>
      <c r="AC1995">
        <v>6</v>
      </c>
      <c r="AD1995" s="6">
        <v>60</v>
      </c>
      <c r="AE1995" s="6">
        <v>0</v>
      </c>
      <c r="AF1995" s="6">
        <v>0</v>
      </c>
      <c r="AG1995" s="6">
        <v>69.63</v>
      </c>
      <c r="AH1995" s="6">
        <v>87.19</v>
      </c>
      <c r="AI1995" s="6">
        <f t="shared" si="62"/>
        <v>17.560000000000002</v>
      </c>
      <c r="AJ1995" s="5">
        <f t="shared" si="63"/>
        <v>0.20139924303245788</v>
      </c>
    </row>
    <row r="1996" spans="1:36">
      <c r="A1996" t="s">
        <v>355</v>
      </c>
      <c r="B1996" t="s">
        <v>2281</v>
      </c>
      <c r="C1996" t="s">
        <v>103</v>
      </c>
      <c r="D1996" t="s">
        <v>105</v>
      </c>
      <c r="E1996" t="s">
        <v>55</v>
      </c>
      <c r="F1996">
        <v>0</v>
      </c>
      <c r="G1996">
        <v>1718</v>
      </c>
      <c r="H1996">
        <v>1</v>
      </c>
      <c r="I1996" t="s">
        <v>181</v>
      </c>
      <c r="J1996">
        <v>3</v>
      </c>
      <c r="K1996" s="6">
        <v>10.34</v>
      </c>
      <c r="L1996" t="s">
        <v>174</v>
      </c>
      <c r="M1996">
        <v>0</v>
      </c>
      <c r="N1996" t="s">
        <v>175</v>
      </c>
      <c r="O1996">
        <v>1</v>
      </c>
      <c r="P1996">
        <v>0</v>
      </c>
      <c r="Q1996" s="6">
        <v>23.1</v>
      </c>
      <c r="R1996">
        <v>0</v>
      </c>
      <c r="S1996" s="6">
        <v>0</v>
      </c>
      <c r="T1996">
        <v>0</v>
      </c>
      <c r="U1996" s="6">
        <v>3398</v>
      </c>
      <c r="V1996">
        <v>0</v>
      </c>
      <c r="W1996">
        <v>0</v>
      </c>
      <c r="X1996">
        <v>0</v>
      </c>
      <c r="Y1996" s="6">
        <v>40</v>
      </c>
      <c r="Z1996">
        <v>4.5999999999999999E-2</v>
      </c>
      <c r="AA1996">
        <v>0.13900000000000001</v>
      </c>
      <c r="AB1996">
        <v>7.3999999999999996E-2</v>
      </c>
      <c r="AC1996">
        <v>6</v>
      </c>
      <c r="AD1996" s="6">
        <v>60</v>
      </c>
      <c r="AE1996" s="6">
        <v>0</v>
      </c>
      <c r="AF1996" s="6">
        <v>0</v>
      </c>
      <c r="AG1996" s="6">
        <v>88.14</v>
      </c>
      <c r="AH1996" s="6">
        <v>113.18</v>
      </c>
      <c r="AI1996" s="6">
        <f t="shared" si="62"/>
        <v>25.040000000000006</v>
      </c>
      <c r="AJ1996" s="5">
        <f t="shared" si="63"/>
        <v>0.22124050185545152</v>
      </c>
    </row>
    <row r="1997" spans="1:36">
      <c r="A1997" t="s">
        <v>233</v>
      </c>
      <c r="B1997" t="s">
        <v>2282</v>
      </c>
      <c r="C1997" t="s">
        <v>103</v>
      </c>
      <c r="D1997" t="s">
        <v>105</v>
      </c>
      <c r="E1997" t="s">
        <v>55</v>
      </c>
      <c r="F1997">
        <v>0</v>
      </c>
      <c r="G1997">
        <v>1718</v>
      </c>
      <c r="H1997">
        <v>1</v>
      </c>
      <c r="I1997" t="s">
        <v>220</v>
      </c>
      <c r="J1997">
        <v>2</v>
      </c>
      <c r="K1997" s="6">
        <v>1.77</v>
      </c>
      <c r="L1997" t="s">
        <v>174</v>
      </c>
      <c r="M1997">
        <v>0</v>
      </c>
      <c r="N1997" t="s">
        <v>175</v>
      </c>
      <c r="O1997">
        <v>1</v>
      </c>
      <c r="P1997">
        <v>0</v>
      </c>
      <c r="Q1997" s="6">
        <v>41</v>
      </c>
      <c r="R1997">
        <v>0</v>
      </c>
      <c r="S1997" s="6">
        <v>0</v>
      </c>
      <c r="T1997">
        <v>0</v>
      </c>
      <c r="U1997" s="6">
        <v>11701</v>
      </c>
      <c r="V1997">
        <v>0</v>
      </c>
      <c r="W1997">
        <v>0</v>
      </c>
      <c r="X1997">
        <v>1</v>
      </c>
      <c r="Y1997" s="6">
        <v>40</v>
      </c>
      <c r="Z1997">
        <v>4.5999999999999999E-2</v>
      </c>
      <c r="AA1997">
        <v>0.13900000000000001</v>
      </c>
      <c r="AB1997">
        <v>7.3999999999999996E-2</v>
      </c>
      <c r="AC1997">
        <v>6</v>
      </c>
      <c r="AD1997" s="6">
        <v>50</v>
      </c>
      <c r="AE1997" s="6">
        <v>0</v>
      </c>
      <c r="AF1997" s="6">
        <v>0</v>
      </c>
      <c r="AG1997" s="6">
        <v>55.29</v>
      </c>
      <c r="AH1997" s="6">
        <v>73.47</v>
      </c>
      <c r="AI1997" s="6">
        <f t="shared" si="62"/>
        <v>18.18</v>
      </c>
      <c r="AJ1997" s="5">
        <f t="shared" si="63"/>
        <v>0.24744793793385056</v>
      </c>
    </row>
    <row r="1998" spans="1:36">
      <c r="A1998" t="s">
        <v>345</v>
      </c>
      <c r="B1998" t="s">
        <v>2283</v>
      </c>
      <c r="C1998" t="s">
        <v>103</v>
      </c>
      <c r="D1998" t="s">
        <v>105</v>
      </c>
      <c r="E1998" t="s">
        <v>55</v>
      </c>
      <c r="F1998">
        <v>0</v>
      </c>
      <c r="G1998">
        <v>1718</v>
      </c>
      <c r="H1998">
        <v>1</v>
      </c>
      <c r="I1998" t="s">
        <v>173</v>
      </c>
      <c r="J1998">
        <v>1</v>
      </c>
      <c r="K1998" s="6">
        <v>2.2599999999999998</v>
      </c>
      <c r="L1998" t="s">
        <v>174</v>
      </c>
      <c r="M1998">
        <v>0</v>
      </c>
      <c r="N1998" t="s">
        <v>175</v>
      </c>
      <c r="O1998">
        <v>1</v>
      </c>
      <c r="P1998">
        <v>0</v>
      </c>
      <c r="Q1998" s="6">
        <v>40.1</v>
      </c>
      <c r="R1998">
        <v>0</v>
      </c>
      <c r="S1998" s="6">
        <v>0</v>
      </c>
      <c r="T1998">
        <v>0</v>
      </c>
      <c r="U1998" s="6">
        <v>6617</v>
      </c>
      <c r="V1998">
        <v>0</v>
      </c>
      <c r="W1998">
        <v>0</v>
      </c>
      <c r="X1998">
        <v>0</v>
      </c>
      <c r="Y1998" s="6">
        <v>40</v>
      </c>
      <c r="Z1998">
        <v>4.5999999999999999E-2</v>
      </c>
      <c r="AA1998">
        <v>0.13900000000000001</v>
      </c>
      <c r="AB1998">
        <v>7.3999999999999996E-2</v>
      </c>
      <c r="AC1998">
        <v>6</v>
      </c>
      <c r="AD1998" s="6">
        <v>50</v>
      </c>
      <c r="AE1998" s="6">
        <v>0</v>
      </c>
      <c r="AF1998" s="6">
        <v>0</v>
      </c>
      <c r="AG1998" s="6">
        <v>53.71</v>
      </c>
      <c r="AH1998" s="6">
        <v>67.33</v>
      </c>
      <c r="AI1998" s="6">
        <f t="shared" si="62"/>
        <v>13.619999999999997</v>
      </c>
      <c r="AJ1998" s="5">
        <f t="shared" si="63"/>
        <v>0.20228724194267039</v>
      </c>
    </row>
    <row r="1999" spans="1:36">
      <c r="A1999" t="s">
        <v>171</v>
      </c>
      <c r="B1999" t="s">
        <v>2284</v>
      </c>
      <c r="C1999" t="s">
        <v>103</v>
      </c>
      <c r="D1999" t="s">
        <v>105</v>
      </c>
      <c r="E1999" t="s">
        <v>55</v>
      </c>
      <c r="F1999">
        <v>0</v>
      </c>
      <c r="G1999">
        <v>1718</v>
      </c>
      <c r="H1999">
        <v>1</v>
      </c>
      <c r="I1999" t="s">
        <v>178</v>
      </c>
      <c r="J1999">
        <v>4</v>
      </c>
      <c r="K1999" s="6">
        <v>12.51</v>
      </c>
      <c r="L1999" t="s">
        <v>174</v>
      </c>
      <c r="M1999">
        <v>0</v>
      </c>
      <c r="N1999" t="s">
        <v>182</v>
      </c>
      <c r="O1999">
        <v>3</v>
      </c>
      <c r="P1999">
        <v>0</v>
      </c>
      <c r="Q1999" s="6">
        <v>82.1</v>
      </c>
      <c r="R1999">
        <v>0</v>
      </c>
      <c r="S1999" s="6">
        <v>0</v>
      </c>
      <c r="T1999">
        <v>0</v>
      </c>
      <c r="U1999" s="6">
        <v>3638</v>
      </c>
      <c r="V1999">
        <v>0</v>
      </c>
      <c r="W1999">
        <v>0</v>
      </c>
      <c r="X1999">
        <v>0</v>
      </c>
      <c r="Y1999" s="6">
        <v>40</v>
      </c>
      <c r="Z1999">
        <v>4.5999999999999999E-2</v>
      </c>
      <c r="AA1999">
        <v>0.13900000000000001</v>
      </c>
      <c r="AB1999">
        <v>7.3999999999999996E-2</v>
      </c>
      <c r="AC1999">
        <v>6</v>
      </c>
      <c r="AD1999" s="6">
        <v>65</v>
      </c>
      <c r="AE1999" s="6">
        <v>0</v>
      </c>
      <c r="AF1999" s="6">
        <v>0</v>
      </c>
      <c r="AG1999" s="6">
        <v>130.56</v>
      </c>
      <c r="AH1999" s="6">
        <v>167.81</v>
      </c>
      <c r="AI1999" s="6">
        <f t="shared" si="62"/>
        <v>37.25</v>
      </c>
      <c r="AJ1999" s="5">
        <f t="shared" si="63"/>
        <v>0.22197723615994278</v>
      </c>
    </row>
    <row r="2000" spans="1:36">
      <c r="A2000" t="s">
        <v>255</v>
      </c>
      <c r="B2000" t="s">
        <v>2285</v>
      </c>
      <c r="C2000" t="s">
        <v>103</v>
      </c>
      <c r="D2000" t="s">
        <v>105</v>
      </c>
      <c r="E2000" t="s">
        <v>55</v>
      </c>
      <c r="F2000">
        <v>0</v>
      </c>
      <c r="G2000">
        <v>1718</v>
      </c>
      <c r="H2000">
        <v>1</v>
      </c>
      <c r="I2000" t="s">
        <v>220</v>
      </c>
      <c r="J2000">
        <v>2</v>
      </c>
      <c r="K2000" s="6">
        <v>3.95</v>
      </c>
      <c r="L2000" t="s">
        <v>174</v>
      </c>
      <c r="M2000">
        <v>0</v>
      </c>
      <c r="N2000" t="s">
        <v>175</v>
      </c>
      <c r="O2000">
        <v>1</v>
      </c>
      <c r="P2000">
        <v>0</v>
      </c>
      <c r="Q2000" s="6">
        <v>29.7</v>
      </c>
      <c r="R2000">
        <v>0</v>
      </c>
      <c r="S2000" s="6">
        <v>0</v>
      </c>
      <c r="T2000">
        <v>0</v>
      </c>
      <c r="U2000" s="6">
        <v>6036</v>
      </c>
      <c r="V2000">
        <v>1</v>
      </c>
      <c r="W2000">
        <v>0</v>
      </c>
      <c r="X2000">
        <v>0</v>
      </c>
      <c r="Y2000" s="6">
        <v>40</v>
      </c>
      <c r="Z2000">
        <v>4.5999999999999999E-2</v>
      </c>
      <c r="AA2000">
        <v>0.13900000000000001</v>
      </c>
      <c r="AB2000">
        <v>7.3999999999999996E-2</v>
      </c>
      <c r="AC2000">
        <v>6</v>
      </c>
      <c r="AD2000" s="6">
        <v>50</v>
      </c>
      <c r="AE2000" s="6">
        <v>0</v>
      </c>
      <c r="AF2000" s="6">
        <v>0</v>
      </c>
      <c r="AG2000" s="6">
        <v>105.68</v>
      </c>
      <c r="AH2000" s="6">
        <v>132.22999999999999</v>
      </c>
      <c r="AI2000" s="6">
        <f t="shared" si="62"/>
        <v>26.549999999999983</v>
      </c>
      <c r="AJ2000" s="5">
        <f t="shared" si="63"/>
        <v>0.20078650835665118</v>
      </c>
    </row>
    <row r="2001" spans="1:36">
      <c r="A2001" t="s">
        <v>691</v>
      </c>
      <c r="B2001" t="s">
        <v>2286</v>
      </c>
      <c r="C2001" t="s">
        <v>106</v>
      </c>
      <c r="D2001" t="s">
        <v>54</v>
      </c>
      <c r="E2001" t="s">
        <v>55</v>
      </c>
      <c r="F2001">
        <v>0</v>
      </c>
      <c r="G2001">
        <v>2188</v>
      </c>
      <c r="H2001">
        <v>1</v>
      </c>
      <c r="I2001" t="s">
        <v>220</v>
      </c>
      <c r="J2001">
        <v>2</v>
      </c>
      <c r="K2001" s="6">
        <v>4.7300000000000004</v>
      </c>
      <c r="L2001" t="s">
        <v>174</v>
      </c>
      <c r="M2001">
        <v>0</v>
      </c>
      <c r="N2001" t="s">
        <v>187</v>
      </c>
      <c r="O2001">
        <v>2</v>
      </c>
      <c r="P2001">
        <v>0</v>
      </c>
      <c r="Q2001" s="6">
        <v>51.9</v>
      </c>
      <c r="R2001">
        <v>1</v>
      </c>
      <c r="S2001" s="6">
        <v>949</v>
      </c>
      <c r="T2001">
        <v>0</v>
      </c>
      <c r="U2001" s="6">
        <v>2703</v>
      </c>
      <c r="V2001">
        <v>0</v>
      </c>
      <c r="W2001">
        <v>0</v>
      </c>
      <c r="X2001">
        <v>0</v>
      </c>
      <c r="Y2001" s="6">
        <v>47.6</v>
      </c>
      <c r="Z2001">
        <v>7.6999999999999999E-2</v>
      </c>
      <c r="AA2001">
        <v>0.14399999999999999</v>
      </c>
      <c r="AB2001">
        <v>2.5000000000000001E-2</v>
      </c>
      <c r="AC2001">
        <v>6</v>
      </c>
      <c r="AD2001" s="6">
        <v>50</v>
      </c>
      <c r="AE2001" s="6">
        <v>25</v>
      </c>
      <c r="AF2001" s="6">
        <v>0</v>
      </c>
      <c r="AG2001" s="6">
        <v>72.3</v>
      </c>
      <c r="AH2001" s="6">
        <v>92.55</v>
      </c>
      <c r="AI2001" s="6">
        <f t="shared" si="62"/>
        <v>20.25</v>
      </c>
      <c r="AJ2001" s="5">
        <f t="shared" si="63"/>
        <v>0.21880064829821719</v>
      </c>
    </row>
    <row r="2002" spans="1:36">
      <c r="A2002" t="s">
        <v>434</v>
      </c>
      <c r="B2002" t="s">
        <v>2287</v>
      </c>
      <c r="C2002" t="s">
        <v>106</v>
      </c>
      <c r="D2002" t="s">
        <v>54</v>
      </c>
      <c r="E2002" t="s">
        <v>55</v>
      </c>
      <c r="F2002">
        <v>0</v>
      </c>
      <c r="G2002">
        <v>2188</v>
      </c>
      <c r="H2002">
        <v>1</v>
      </c>
      <c r="I2002" t="s">
        <v>181</v>
      </c>
      <c r="J2002">
        <v>3</v>
      </c>
      <c r="K2002" s="6">
        <v>6.22</v>
      </c>
      <c r="L2002" t="s">
        <v>200</v>
      </c>
      <c r="M2002">
        <v>1</v>
      </c>
      <c r="N2002" t="s">
        <v>175</v>
      </c>
      <c r="O2002">
        <v>1</v>
      </c>
      <c r="P2002">
        <v>0</v>
      </c>
      <c r="Q2002" s="6">
        <v>48.4</v>
      </c>
      <c r="R2002">
        <v>0</v>
      </c>
      <c r="S2002" s="6">
        <v>0</v>
      </c>
      <c r="T2002">
        <v>0</v>
      </c>
      <c r="U2002" s="6">
        <v>4935</v>
      </c>
      <c r="V2002">
        <v>0</v>
      </c>
      <c r="W2002">
        <v>0</v>
      </c>
      <c r="X2002">
        <v>0</v>
      </c>
      <c r="Y2002" s="6">
        <v>47.6</v>
      </c>
      <c r="Z2002">
        <v>7.6999999999999999E-2</v>
      </c>
      <c r="AA2002">
        <v>0.14399999999999999</v>
      </c>
      <c r="AB2002">
        <v>2.5000000000000001E-2</v>
      </c>
      <c r="AC2002">
        <v>6</v>
      </c>
      <c r="AD2002" s="6">
        <v>139</v>
      </c>
      <c r="AE2002" s="6">
        <v>0</v>
      </c>
      <c r="AF2002" s="6">
        <v>0</v>
      </c>
      <c r="AG2002" s="6">
        <v>105.9</v>
      </c>
      <c r="AH2002" s="6">
        <v>142.76</v>
      </c>
      <c r="AI2002" s="6">
        <f t="shared" si="62"/>
        <v>36.859999999999985</v>
      </c>
      <c r="AJ2002" s="5">
        <f t="shared" si="63"/>
        <v>0.25819557298963286</v>
      </c>
    </row>
    <row r="2003" spans="1:36">
      <c r="A2003" t="s">
        <v>218</v>
      </c>
      <c r="B2003" t="s">
        <v>2288</v>
      </c>
      <c r="C2003" t="s">
        <v>106</v>
      </c>
      <c r="D2003" t="s">
        <v>54</v>
      </c>
      <c r="E2003" t="s">
        <v>55</v>
      </c>
      <c r="F2003">
        <v>0</v>
      </c>
      <c r="G2003">
        <v>2188</v>
      </c>
      <c r="H2003">
        <v>1</v>
      </c>
      <c r="I2003" t="s">
        <v>173</v>
      </c>
      <c r="J2003">
        <v>1</v>
      </c>
      <c r="K2003" s="6">
        <v>2.3199999999999998</v>
      </c>
      <c r="L2003" t="s">
        <v>174</v>
      </c>
      <c r="M2003">
        <v>0</v>
      </c>
      <c r="N2003" t="s">
        <v>187</v>
      </c>
      <c r="O2003">
        <v>2</v>
      </c>
      <c r="P2003">
        <v>1</v>
      </c>
      <c r="Q2003" s="6">
        <v>68.400000000000006</v>
      </c>
      <c r="R2003">
        <v>1</v>
      </c>
      <c r="S2003" s="6">
        <v>2627</v>
      </c>
      <c r="T2003">
        <v>0</v>
      </c>
      <c r="U2003" s="6">
        <v>2112</v>
      </c>
      <c r="V2003">
        <v>0</v>
      </c>
      <c r="W2003">
        <v>0</v>
      </c>
      <c r="X2003">
        <v>0</v>
      </c>
      <c r="Y2003" s="6">
        <v>47.6</v>
      </c>
      <c r="Z2003">
        <v>7.6999999999999999E-2</v>
      </c>
      <c r="AA2003">
        <v>0.14399999999999999</v>
      </c>
      <c r="AB2003">
        <v>2.5000000000000001E-2</v>
      </c>
      <c r="AC2003">
        <v>6</v>
      </c>
      <c r="AD2003" s="6">
        <v>50</v>
      </c>
      <c r="AE2003" s="6">
        <v>40</v>
      </c>
      <c r="AF2003" s="6">
        <v>0</v>
      </c>
      <c r="AG2003" s="6">
        <v>84.16</v>
      </c>
      <c r="AH2003" s="6">
        <v>109.64</v>
      </c>
      <c r="AI2003" s="6">
        <f t="shared" si="62"/>
        <v>25.480000000000004</v>
      </c>
      <c r="AJ2003" s="5">
        <f t="shared" si="63"/>
        <v>0.2323969354250274</v>
      </c>
    </row>
    <row r="2004" spans="1:36">
      <c r="A2004" t="s">
        <v>230</v>
      </c>
      <c r="B2004" t="s">
        <v>2289</v>
      </c>
      <c r="C2004" t="s">
        <v>106</v>
      </c>
      <c r="D2004" t="s">
        <v>54</v>
      </c>
      <c r="E2004" t="s">
        <v>55</v>
      </c>
      <c r="F2004">
        <v>0</v>
      </c>
      <c r="G2004">
        <v>2188</v>
      </c>
      <c r="H2004">
        <v>1</v>
      </c>
      <c r="I2004" t="s">
        <v>173</v>
      </c>
      <c r="J2004">
        <v>1</v>
      </c>
      <c r="K2004" s="6">
        <v>2.2599999999999998</v>
      </c>
      <c r="L2004" t="s">
        <v>174</v>
      </c>
      <c r="M2004">
        <v>0</v>
      </c>
      <c r="N2004" t="s">
        <v>182</v>
      </c>
      <c r="O2004">
        <v>3</v>
      </c>
      <c r="P2004">
        <v>0</v>
      </c>
      <c r="Q2004" s="6">
        <v>111.3</v>
      </c>
      <c r="R2004">
        <v>0</v>
      </c>
      <c r="S2004" s="6">
        <v>0</v>
      </c>
      <c r="T2004">
        <v>0</v>
      </c>
      <c r="U2004" s="6">
        <v>5749</v>
      </c>
      <c r="V2004">
        <v>0</v>
      </c>
      <c r="W2004">
        <v>0</v>
      </c>
      <c r="X2004">
        <v>0</v>
      </c>
      <c r="Y2004" s="6">
        <v>47.6</v>
      </c>
      <c r="Z2004">
        <v>7.6999999999999999E-2</v>
      </c>
      <c r="AA2004">
        <v>0.14399999999999999</v>
      </c>
      <c r="AB2004">
        <v>2.5000000000000001E-2</v>
      </c>
      <c r="AC2004">
        <v>6</v>
      </c>
      <c r="AD2004" s="6">
        <v>50</v>
      </c>
      <c r="AE2004" s="6">
        <v>0</v>
      </c>
      <c r="AF2004" s="6">
        <v>0</v>
      </c>
      <c r="AG2004" s="6">
        <v>58.45</v>
      </c>
      <c r="AH2004" s="6">
        <v>73.63</v>
      </c>
      <c r="AI2004" s="6">
        <f t="shared" si="62"/>
        <v>15.179999999999993</v>
      </c>
      <c r="AJ2004" s="5">
        <f t="shared" si="63"/>
        <v>0.20616596495993472</v>
      </c>
    </row>
    <row r="2005" spans="1:36">
      <c r="A2005" t="s">
        <v>274</v>
      </c>
      <c r="B2005" t="s">
        <v>2290</v>
      </c>
      <c r="C2005" t="s">
        <v>106</v>
      </c>
      <c r="D2005" t="s">
        <v>54</v>
      </c>
      <c r="E2005" t="s">
        <v>55</v>
      </c>
      <c r="F2005">
        <v>0</v>
      </c>
      <c r="G2005">
        <v>2188</v>
      </c>
      <c r="H2005">
        <v>1</v>
      </c>
      <c r="I2005" t="s">
        <v>173</v>
      </c>
      <c r="J2005">
        <v>1</v>
      </c>
      <c r="K2005" s="6">
        <v>1.53</v>
      </c>
      <c r="L2005" t="s">
        <v>174</v>
      </c>
      <c r="M2005">
        <v>0</v>
      </c>
      <c r="N2005" t="s">
        <v>175</v>
      </c>
      <c r="O2005">
        <v>1</v>
      </c>
      <c r="P2005">
        <v>0</v>
      </c>
      <c r="Q2005" s="6">
        <v>7.8</v>
      </c>
      <c r="R2005">
        <v>1</v>
      </c>
      <c r="S2005" s="6">
        <v>1165</v>
      </c>
      <c r="T2005">
        <v>0</v>
      </c>
      <c r="U2005" s="6">
        <v>1730</v>
      </c>
      <c r="V2005">
        <v>0</v>
      </c>
      <c r="W2005">
        <v>0</v>
      </c>
      <c r="X2005">
        <v>0</v>
      </c>
      <c r="Y2005" s="6">
        <v>47.6</v>
      </c>
      <c r="Z2005">
        <v>7.6999999999999999E-2</v>
      </c>
      <c r="AA2005">
        <v>0.14399999999999999</v>
      </c>
      <c r="AB2005">
        <v>2.5000000000000001E-2</v>
      </c>
      <c r="AC2005">
        <v>6</v>
      </c>
      <c r="AD2005" s="6">
        <v>50</v>
      </c>
      <c r="AE2005" s="6">
        <v>25</v>
      </c>
      <c r="AF2005" s="6">
        <v>0</v>
      </c>
      <c r="AG2005" s="6">
        <v>53.38</v>
      </c>
      <c r="AH2005" s="6">
        <v>68.36</v>
      </c>
      <c r="AI2005" s="6">
        <f t="shared" si="62"/>
        <v>14.979999999999997</v>
      </c>
      <c r="AJ2005" s="5">
        <f t="shared" si="63"/>
        <v>0.21913399648917492</v>
      </c>
    </row>
    <row r="2006" spans="1:36">
      <c r="A2006" t="s">
        <v>284</v>
      </c>
      <c r="B2006" t="s">
        <v>2291</v>
      </c>
      <c r="C2006" t="s">
        <v>106</v>
      </c>
      <c r="D2006" t="s">
        <v>54</v>
      </c>
      <c r="E2006" t="s">
        <v>55</v>
      </c>
      <c r="F2006">
        <v>0</v>
      </c>
      <c r="G2006">
        <v>2188</v>
      </c>
      <c r="H2006">
        <v>1</v>
      </c>
      <c r="I2006" t="s">
        <v>173</v>
      </c>
      <c r="J2006">
        <v>1</v>
      </c>
      <c r="K2006" s="6">
        <v>2.2999999999999998</v>
      </c>
      <c r="L2006" t="s">
        <v>174</v>
      </c>
      <c r="M2006">
        <v>0</v>
      </c>
      <c r="N2006" t="s">
        <v>187</v>
      </c>
      <c r="O2006">
        <v>2</v>
      </c>
      <c r="P2006">
        <v>1</v>
      </c>
      <c r="Q2006" s="6">
        <v>51.6</v>
      </c>
      <c r="R2006">
        <v>1</v>
      </c>
      <c r="S2006" s="6">
        <v>10899</v>
      </c>
      <c r="T2006">
        <v>0</v>
      </c>
      <c r="U2006" s="6">
        <v>3272</v>
      </c>
      <c r="V2006">
        <v>0</v>
      </c>
      <c r="W2006">
        <v>0</v>
      </c>
      <c r="X2006">
        <v>0</v>
      </c>
      <c r="Y2006" s="6">
        <v>47.6</v>
      </c>
      <c r="Z2006">
        <v>7.6999999999999999E-2</v>
      </c>
      <c r="AA2006">
        <v>0.14399999999999999</v>
      </c>
      <c r="AB2006">
        <v>2.5000000000000001E-2</v>
      </c>
      <c r="AC2006">
        <v>6</v>
      </c>
      <c r="AD2006" s="6">
        <v>50</v>
      </c>
      <c r="AE2006" s="6">
        <v>100</v>
      </c>
      <c r="AF2006" s="6">
        <v>0</v>
      </c>
      <c r="AG2006" s="6">
        <v>80.849999999999994</v>
      </c>
      <c r="AH2006" s="6">
        <v>105.04</v>
      </c>
      <c r="AI2006" s="6">
        <f t="shared" si="62"/>
        <v>24.190000000000012</v>
      </c>
      <c r="AJ2006" s="5">
        <f t="shared" si="63"/>
        <v>0.23029322162985538</v>
      </c>
    </row>
    <row r="2007" spans="1:36">
      <c r="A2007" t="s">
        <v>403</v>
      </c>
      <c r="B2007" t="s">
        <v>2292</v>
      </c>
      <c r="C2007" t="s">
        <v>106</v>
      </c>
      <c r="D2007" t="s">
        <v>54</v>
      </c>
      <c r="E2007" t="s">
        <v>55</v>
      </c>
      <c r="F2007">
        <v>0</v>
      </c>
      <c r="G2007">
        <v>2188</v>
      </c>
      <c r="H2007">
        <v>1</v>
      </c>
      <c r="I2007" t="s">
        <v>173</v>
      </c>
      <c r="J2007">
        <v>1</v>
      </c>
      <c r="K2007" s="6">
        <v>1.7</v>
      </c>
      <c r="L2007" t="s">
        <v>174</v>
      </c>
      <c r="M2007">
        <v>0</v>
      </c>
      <c r="N2007" t="s">
        <v>217</v>
      </c>
      <c r="O2007">
        <v>4</v>
      </c>
      <c r="P2007">
        <v>1</v>
      </c>
      <c r="Q2007" s="6">
        <v>78.3</v>
      </c>
      <c r="R2007">
        <v>0</v>
      </c>
      <c r="S2007" s="6">
        <v>0</v>
      </c>
      <c r="T2007">
        <v>0</v>
      </c>
      <c r="U2007" s="6">
        <v>3154</v>
      </c>
      <c r="V2007">
        <v>0</v>
      </c>
      <c r="W2007">
        <v>0</v>
      </c>
      <c r="X2007">
        <v>0</v>
      </c>
      <c r="Y2007" s="6">
        <v>47.6</v>
      </c>
      <c r="Z2007">
        <v>7.6999999999999999E-2</v>
      </c>
      <c r="AA2007">
        <v>0.14399999999999999</v>
      </c>
      <c r="AB2007">
        <v>2.5000000000000001E-2</v>
      </c>
      <c r="AC2007">
        <v>6</v>
      </c>
      <c r="AD2007" s="6">
        <v>50</v>
      </c>
      <c r="AE2007" s="6">
        <v>0</v>
      </c>
      <c r="AF2007" s="6">
        <v>0</v>
      </c>
      <c r="AG2007" s="6">
        <v>103.82</v>
      </c>
      <c r="AH2007" s="6">
        <v>133.86000000000001</v>
      </c>
      <c r="AI2007" s="6">
        <f t="shared" si="62"/>
        <v>30.04000000000002</v>
      </c>
      <c r="AJ2007" s="5">
        <f t="shared" si="63"/>
        <v>0.22441356641267007</v>
      </c>
    </row>
    <row r="2008" spans="1:36">
      <c r="A2008" t="s">
        <v>204</v>
      </c>
      <c r="B2008" t="s">
        <v>2293</v>
      </c>
      <c r="C2008" t="s">
        <v>106</v>
      </c>
      <c r="D2008" t="s">
        <v>54</v>
      </c>
      <c r="E2008" t="s">
        <v>55</v>
      </c>
      <c r="F2008">
        <v>0</v>
      </c>
      <c r="G2008">
        <v>2188</v>
      </c>
      <c r="H2008">
        <v>1</v>
      </c>
      <c r="I2008" t="s">
        <v>181</v>
      </c>
      <c r="J2008">
        <v>3</v>
      </c>
      <c r="K2008" s="6">
        <v>8.68</v>
      </c>
      <c r="L2008" t="s">
        <v>174</v>
      </c>
      <c r="M2008">
        <v>0</v>
      </c>
      <c r="N2008" t="s">
        <v>175</v>
      </c>
      <c r="O2008">
        <v>1</v>
      </c>
      <c r="P2008">
        <v>0</v>
      </c>
      <c r="Q2008" s="6">
        <v>38.200000000000003</v>
      </c>
      <c r="R2008">
        <v>1</v>
      </c>
      <c r="S2008" s="6">
        <v>2122</v>
      </c>
      <c r="T2008">
        <v>0</v>
      </c>
      <c r="U2008" s="6">
        <v>1443</v>
      </c>
      <c r="V2008">
        <v>0</v>
      </c>
      <c r="W2008">
        <v>0</v>
      </c>
      <c r="X2008">
        <v>0</v>
      </c>
      <c r="Y2008" s="6">
        <v>47.6</v>
      </c>
      <c r="Z2008">
        <v>7.6999999999999999E-2</v>
      </c>
      <c r="AA2008">
        <v>0.14399999999999999</v>
      </c>
      <c r="AB2008">
        <v>2.5000000000000001E-2</v>
      </c>
      <c r="AC2008">
        <v>6</v>
      </c>
      <c r="AD2008" s="6">
        <v>60</v>
      </c>
      <c r="AE2008" s="6">
        <v>40</v>
      </c>
      <c r="AF2008" s="6">
        <v>0</v>
      </c>
      <c r="AG2008" s="6">
        <v>94.27</v>
      </c>
      <c r="AH2008" s="6">
        <v>122.41</v>
      </c>
      <c r="AI2008" s="6">
        <f t="shared" si="62"/>
        <v>28.14</v>
      </c>
      <c r="AJ2008" s="5">
        <f t="shared" si="63"/>
        <v>0.22988317947880077</v>
      </c>
    </row>
    <row r="2009" spans="1:36">
      <c r="A2009" t="s">
        <v>288</v>
      </c>
      <c r="B2009" t="s">
        <v>2294</v>
      </c>
      <c r="C2009" t="s">
        <v>106</v>
      </c>
      <c r="D2009" t="s">
        <v>54</v>
      </c>
      <c r="E2009" t="s">
        <v>55</v>
      </c>
      <c r="F2009">
        <v>0</v>
      </c>
      <c r="G2009">
        <v>2188</v>
      </c>
      <c r="H2009">
        <v>1</v>
      </c>
      <c r="I2009" t="s">
        <v>173</v>
      </c>
      <c r="J2009">
        <v>1</v>
      </c>
      <c r="K2009" s="6">
        <v>2</v>
      </c>
      <c r="L2009" t="s">
        <v>174</v>
      </c>
      <c r="M2009">
        <v>0</v>
      </c>
      <c r="N2009" t="s">
        <v>175</v>
      </c>
      <c r="O2009">
        <v>1</v>
      </c>
      <c r="P2009">
        <v>0</v>
      </c>
      <c r="Q2009" s="6">
        <v>39.6</v>
      </c>
      <c r="R2009">
        <v>0</v>
      </c>
      <c r="S2009" s="6">
        <v>0</v>
      </c>
      <c r="T2009">
        <v>0</v>
      </c>
      <c r="U2009" s="6">
        <v>1370</v>
      </c>
      <c r="V2009">
        <v>0</v>
      </c>
      <c r="W2009">
        <v>1</v>
      </c>
      <c r="X2009">
        <v>0</v>
      </c>
      <c r="Y2009" s="6">
        <v>47.6</v>
      </c>
      <c r="Z2009">
        <v>7.6999999999999999E-2</v>
      </c>
      <c r="AA2009">
        <v>0.14399999999999999</v>
      </c>
      <c r="AB2009">
        <v>2.5000000000000001E-2</v>
      </c>
      <c r="AC2009">
        <v>6</v>
      </c>
      <c r="AD2009" s="6">
        <v>50</v>
      </c>
      <c r="AE2009" s="6">
        <v>0</v>
      </c>
      <c r="AF2009" s="6">
        <v>0</v>
      </c>
      <c r="AG2009" s="6">
        <v>73.34</v>
      </c>
      <c r="AH2009" s="6">
        <v>96.22</v>
      </c>
      <c r="AI2009" s="6">
        <f t="shared" si="62"/>
        <v>22.879999999999995</v>
      </c>
      <c r="AJ2009" s="5">
        <f t="shared" si="63"/>
        <v>0.23778840157971312</v>
      </c>
    </row>
    <row r="2010" spans="1:36">
      <c r="A2010" t="s">
        <v>296</v>
      </c>
      <c r="B2010" t="s">
        <v>2295</v>
      </c>
      <c r="C2010" t="s">
        <v>106</v>
      </c>
      <c r="D2010" t="s">
        <v>54</v>
      </c>
      <c r="E2010" t="s">
        <v>55</v>
      </c>
      <c r="F2010">
        <v>0</v>
      </c>
      <c r="G2010">
        <v>2188</v>
      </c>
      <c r="H2010">
        <v>1</v>
      </c>
      <c r="I2010" t="s">
        <v>178</v>
      </c>
      <c r="J2010">
        <v>4</v>
      </c>
      <c r="K2010" s="6">
        <v>9.24</v>
      </c>
      <c r="L2010" t="s">
        <v>174</v>
      </c>
      <c r="M2010">
        <v>0</v>
      </c>
      <c r="N2010" t="s">
        <v>182</v>
      </c>
      <c r="O2010">
        <v>3</v>
      </c>
      <c r="P2010">
        <v>0</v>
      </c>
      <c r="Q2010" s="6">
        <v>96.8</v>
      </c>
      <c r="R2010">
        <v>1</v>
      </c>
      <c r="S2010" s="6">
        <v>897</v>
      </c>
      <c r="T2010">
        <v>0</v>
      </c>
      <c r="U2010" s="6">
        <v>1665</v>
      </c>
      <c r="V2010">
        <v>0</v>
      </c>
      <c r="W2010">
        <v>0</v>
      </c>
      <c r="X2010">
        <v>0</v>
      </c>
      <c r="Y2010" s="6">
        <v>47.6</v>
      </c>
      <c r="Z2010">
        <v>7.6999999999999999E-2</v>
      </c>
      <c r="AA2010">
        <v>0.14399999999999999</v>
      </c>
      <c r="AB2010">
        <v>2.5000000000000001E-2</v>
      </c>
      <c r="AC2010">
        <v>6</v>
      </c>
      <c r="AD2010" s="6">
        <v>65</v>
      </c>
      <c r="AE2010" s="6">
        <v>25</v>
      </c>
      <c r="AF2010" s="6">
        <v>0</v>
      </c>
      <c r="AG2010" s="6">
        <v>118.1</v>
      </c>
      <c r="AH2010" s="6">
        <v>148.69999999999999</v>
      </c>
      <c r="AI2010" s="6">
        <f t="shared" si="62"/>
        <v>30.599999999999994</v>
      </c>
      <c r="AJ2010" s="5">
        <f t="shared" si="63"/>
        <v>0.20578345662407529</v>
      </c>
    </row>
    <row r="2011" spans="1:36">
      <c r="A2011" t="s">
        <v>494</v>
      </c>
      <c r="B2011" t="s">
        <v>2296</v>
      </c>
      <c r="C2011" t="s">
        <v>106</v>
      </c>
      <c r="D2011" t="s">
        <v>54</v>
      </c>
      <c r="E2011" t="s">
        <v>55</v>
      </c>
      <c r="F2011">
        <v>0</v>
      </c>
      <c r="G2011">
        <v>2188</v>
      </c>
      <c r="H2011">
        <v>1</v>
      </c>
      <c r="I2011" t="s">
        <v>181</v>
      </c>
      <c r="J2011">
        <v>3</v>
      </c>
      <c r="K2011" s="6">
        <v>6.97</v>
      </c>
      <c r="L2011" t="s">
        <v>174</v>
      </c>
      <c r="M2011">
        <v>0</v>
      </c>
      <c r="N2011" t="s">
        <v>187</v>
      </c>
      <c r="O2011">
        <v>2</v>
      </c>
      <c r="P2011">
        <v>0</v>
      </c>
      <c r="Q2011" s="6">
        <v>41.8</v>
      </c>
      <c r="R2011">
        <v>0</v>
      </c>
      <c r="S2011" s="6">
        <v>0</v>
      </c>
      <c r="T2011">
        <v>0</v>
      </c>
      <c r="U2011" s="6">
        <v>2444</v>
      </c>
      <c r="V2011">
        <v>0</v>
      </c>
      <c r="W2011">
        <v>0</v>
      </c>
      <c r="X2011">
        <v>0</v>
      </c>
      <c r="Y2011" s="6">
        <v>47.6</v>
      </c>
      <c r="Z2011">
        <v>7.6999999999999999E-2</v>
      </c>
      <c r="AA2011">
        <v>0.14399999999999999</v>
      </c>
      <c r="AB2011">
        <v>2.5000000000000001E-2</v>
      </c>
      <c r="AC2011">
        <v>6</v>
      </c>
      <c r="AD2011" s="6">
        <v>60</v>
      </c>
      <c r="AE2011" s="6">
        <v>0</v>
      </c>
      <c r="AF2011" s="6">
        <v>0</v>
      </c>
      <c r="AG2011" s="6">
        <v>80.05</v>
      </c>
      <c r="AH2011" s="6">
        <v>103.66</v>
      </c>
      <c r="AI2011" s="6">
        <f t="shared" si="62"/>
        <v>23.61</v>
      </c>
      <c r="AJ2011" s="5">
        <f t="shared" si="63"/>
        <v>0.22776384333397645</v>
      </c>
    </row>
    <row r="2012" spans="1:36">
      <c r="A2012" t="s">
        <v>284</v>
      </c>
      <c r="B2012" t="s">
        <v>2297</v>
      </c>
      <c r="C2012" t="s">
        <v>106</v>
      </c>
      <c r="D2012" t="s">
        <v>54</v>
      </c>
      <c r="E2012" t="s">
        <v>55</v>
      </c>
      <c r="F2012">
        <v>0</v>
      </c>
      <c r="G2012">
        <v>2188</v>
      </c>
      <c r="H2012">
        <v>1</v>
      </c>
      <c r="I2012" t="s">
        <v>173</v>
      </c>
      <c r="J2012">
        <v>1</v>
      </c>
      <c r="K2012" s="6">
        <v>1.75</v>
      </c>
      <c r="L2012" t="s">
        <v>174</v>
      </c>
      <c r="M2012">
        <v>0</v>
      </c>
      <c r="N2012" t="s">
        <v>182</v>
      </c>
      <c r="O2012">
        <v>3</v>
      </c>
      <c r="P2012">
        <v>0</v>
      </c>
      <c r="Q2012" s="6">
        <v>88.1</v>
      </c>
      <c r="R2012">
        <v>0</v>
      </c>
      <c r="S2012" s="6">
        <v>0</v>
      </c>
      <c r="T2012">
        <v>0</v>
      </c>
      <c r="U2012" s="6">
        <v>3997</v>
      </c>
      <c r="V2012">
        <v>0</v>
      </c>
      <c r="W2012">
        <v>0</v>
      </c>
      <c r="X2012">
        <v>0</v>
      </c>
      <c r="Y2012" s="6">
        <v>47.6</v>
      </c>
      <c r="Z2012">
        <v>7.6999999999999999E-2</v>
      </c>
      <c r="AA2012">
        <v>0.14399999999999999</v>
      </c>
      <c r="AB2012">
        <v>2.5000000000000001E-2</v>
      </c>
      <c r="AC2012">
        <v>6</v>
      </c>
      <c r="AD2012" s="6">
        <v>50</v>
      </c>
      <c r="AE2012" s="6">
        <v>0</v>
      </c>
      <c r="AF2012" s="6">
        <v>0</v>
      </c>
      <c r="AG2012" s="6">
        <v>53.72</v>
      </c>
      <c r="AH2012" s="6">
        <v>69.2</v>
      </c>
      <c r="AI2012" s="6">
        <f t="shared" si="62"/>
        <v>15.480000000000004</v>
      </c>
      <c r="AJ2012" s="5">
        <f t="shared" si="63"/>
        <v>0.22369942196531797</v>
      </c>
    </row>
    <row r="2013" spans="1:36">
      <c r="A2013" t="s">
        <v>355</v>
      </c>
      <c r="B2013" t="s">
        <v>2298</v>
      </c>
      <c r="C2013" t="s">
        <v>106</v>
      </c>
      <c r="D2013" t="s">
        <v>54</v>
      </c>
      <c r="E2013" t="s">
        <v>55</v>
      </c>
      <c r="F2013">
        <v>0</v>
      </c>
      <c r="G2013">
        <v>2188</v>
      </c>
      <c r="H2013">
        <v>1</v>
      </c>
      <c r="I2013" t="s">
        <v>173</v>
      </c>
      <c r="J2013">
        <v>1</v>
      </c>
      <c r="K2013" s="6">
        <v>1.58</v>
      </c>
      <c r="L2013" t="s">
        <v>174</v>
      </c>
      <c r="M2013">
        <v>0</v>
      </c>
      <c r="N2013" t="s">
        <v>182</v>
      </c>
      <c r="O2013">
        <v>3</v>
      </c>
      <c r="P2013">
        <v>0</v>
      </c>
      <c r="Q2013" s="6">
        <v>72.8</v>
      </c>
      <c r="R2013">
        <v>0</v>
      </c>
      <c r="S2013" s="6">
        <v>0</v>
      </c>
      <c r="T2013">
        <v>0</v>
      </c>
      <c r="U2013" s="6">
        <v>2894</v>
      </c>
      <c r="V2013">
        <v>0</v>
      </c>
      <c r="W2013">
        <v>0</v>
      </c>
      <c r="X2013">
        <v>0</v>
      </c>
      <c r="Y2013" s="6">
        <v>47.6</v>
      </c>
      <c r="Z2013">
        <v>7.6999999999999999E-2</v>
      </c>
      <c r="AA2013">
        <v>0.14399999999999999</v>
      </c>
      <c r="AB2013">
        <v>2.5000000000000001E-2</v>
      </c>
      <c r="AC2013">
        <v>6</v>
      </c>
      <c r="AD2013" s="6">
        <v>50</v>
      </c>
      <c r="AE2013" s="6">
        <v>0</v>
      </c>
      <c r="AF2013" s="6">
        <v>0</v>
      </c>
      <c r="AG2013" s="6">
        <v>62.87</v>
      </c>
      <c r="AH2013" s="6">
        <v>81.849999999999994</v>
      </c>
      <c r="AI2013" s="6">
        <f t="shared" si="62"/>
        <v>18.979999999999997</v>
      </c>
      <c r="AJ2013" s="5">
        <f t="shared" si="63"/>
        <v>0.23188759926695171</v>
      </c>
    </row>
    <row r="2014" spans="1:36">
      <c r="A2014" t="s">
        <v>375</v>
      </c>
      <c r="B2014" t="s">
        <v>2299</v>
      </c>
      <c r="C2014" t="s">
        <v>106</v>
      </c>
      <c r="D2014" t="s">
        <v>54</v>
      </c>
      <c r="E2014" t="s">
        <v>55</v>
      </c>
      <c r="F2014">
        <v>0</v>
      </c>
      <c r="G2014">
        <v>2188</v>
      </c>
      <c r="H2014">
        <v>1</v>
      </c>
      <c r="I2014" t="s">
        <v>173</v>
      </c>
      <c r="J2014">
        <v>1</v>
      </c>
      <c r="K2014" s="6">
        <v>1.57</v>
      </c>
      <c r="L2014" t="s">
        <v>174</v>
      </c>
      <c r="M2014">
        <v>0</v>
      </c>
      <c r="N2014" t="s">
        <v>175</v>
      </c>
      <c r="O2014">
        <v>1</v>
      </c>
      <c r="P2014">
        <v>0</v>
      </c>
      <c r="Q2014" s="6">
        <v>8.6999999999999993</v>
      </c>
      <c r="R2014">
        <v>0</v>
      </c>
      <c r="S2014" s="6">
        <v>0</v>
      </c>
      <c r="T2014">
        <v>0</v>
      </c>
      <c r="U2014" s="6">
        <v>6597</v>
      </c>
      <c r="V2014">
        <v>0</v>
      </c>
      <c r="W2014">
        <v>1</v>
      </c>
      <c r="X2014">
        <v>0</v>
      </c>
      <c r="Y2014" s="6">
        <v>47.6</v>
      </c>
      <c r="Z2014">
        <v>7.6999999999999999E-2</v>
      </c>
      <c r="AA2014">
        <v>0.14399999999999999</v>
      </c>
      <c r="AB2014">
        <v>2.5000000000000001E-2</v>
      </c>
      <c r="AC2014">
        <v>6</v>
      </c>
      <c r="AD2014" s="6">
        <v>50</v>
      </c>
      <c r="AE2014" s="6">
        <v>0</v>
      </c>
      <c r="AF2014" s="6">
        <v>0</v>
      </c>
      <c r="AG2014" s="6">
        <v>76.3</v>
      </c>
      <c r="AH2014" s="6">
        <v>96.21</v>
      </c>
      <c r="AI2014" s="6">
        <f t="shared" si="62"/>
        <v>19.909999999999997</v>
      </c>
      <c r="AJ2014" s="5">
        <f t="shared" si="63"/>
        <v>0.20694314520320131</v>
      </c>
    </row>
    <row r="2015" spans="1:36">
      <c r="A2015" t="s">
        <v>274</v>
      </c>
      <c r="B2015" t="s">
        <v>2300</v>
      </c>
      <c r="C2015" t="s">
        <v>106</v>
      </c>
      <c r="D2015" t="s">
        <v>54</v>
      </c>
      <c r="E2015" t="s">
        <v>55</v>
      </c>
      <c r="F2015">
        <v>0</v>
      </c>
      <c r="G2015">
        <v>2188</v>
      </c>
      <c r="H2015">
        <v>1</v>
      </c>
      <c r="I2015" t="s">
        <v>220</v>
      </c>
      <c r="J2015">
        <v>2</v>
      </c>
      <c r="K2015" s="6">
        <v>2.35</v>
      </c>
      <c r="L2015" t="s">
        <v>174</v>
      </c>
      <c r="M2015">
        <v>0</v>
      </c>
      <c r="N2015" t="s">
        <v>217</v>
      </c>
      <c r="O2015">
        <v>4</v>
      </c>
      <c r="P2015">
        <v>1</v>
      </c>
      <c r="Q2015" s="6">
        <v>168.5</v>
      </c>
      <c r="R2015">
        <v>0</v>
      </c>
      <c r="S2015" s="6">
        <v>0</v>
      </c>
      <c r="T2015">
        <v>0</v>
      </c>
      <c r="U2015" s="6">
        <v>4424</v>
      </c>
      <c r="V2015">
        <v>0</v>
      </c>
      <c r="W2015">
        <v>0</v>
      </c>
      <c r="X2015">
        <v>0</v>
      </c>
      <c r="Y2015" s="6">
        <v>47.6</v>
      </c>
      <c r="Z2015">
        <v>7.6999999999999999E-2</v>
      </c>
      <c r="AA2015">
        <v>0.14399999999999999</v>
      </c>
      <c r="AB2015">
        <v>2.5000000000000001E-2</v>
      </c>
      <c r="AC2015">
        <v>6</v>
      </c>
      <c r="AD2015" s="6">
        <v>50</v>
      </c>
      <c r="AE2015" s="6">
        <v>0</v>
      </c>
      <c r="AF2015" s="6">
        <v>0</v>
      </c>
      <c r="AG2015" s="6">
        <v>109.39</v>
      </c>
      <c r="AH2015" s="6">
        <v>140.21</v>
      </c>
      <c r="AI2015" s="6">
        <f t="shared" si="62"/>
        <v>30.820000000000007</v>
      </c>
      <c r="AJ2015" s="5">
        <f t="shared" si="63"/>
        <v>0.21981313743670214</v>
      </c>
    </row>
    <row r="2016" spans="1:36">
      <c r="A2016" t="s">
        <v>251</v>
      </c>
      <c r="B2016" t="s">
        <v>2301</v>
      </c>
      <c r="C2016" t="s">
        <v>106</v>
      </c>
      <c r="D2016" t="s">
        <v>54</v>
      </c>
      <c r="E2016" t="s">
        <v>55</v>
      </c>
      <c r="F2016">
        <v>0</v>
      </c>
      <c r="G2016">
        <v>2188</v>
      </c>
      <c r="H2016">
        <v>1</v>
      </c>
      <c r="I2016" t="s">
        <v>220</v>
      </c>
      <c r="J2016">
        <v>2</v>
      </c>
      <c r="K2016" s="6">
        <v>4.9000000000000004</v>
      </c>
      <c r="L2016" t="s">
        <v>174</v>
      </c>
      <c r="M2016">
        <v>0</v>
      </c>
      <c r="N2016" t="s">
        <v>175</v>
      </c>
      <c r="O2016">
        <v>1</v>
      </c>
      <c r="P2016">
        <v>0</v>
      </c>
      <c r="Q2016" s="6">
        <v>34.700000000000003</v>
      </c>
      <c r="R2016">
        <v>1</v>
      </c>
      <c r="S2016" s="6">
        <v>3715</v>
      </c>
      <c r="T2016">
        <v>0</v>
      </c>
      <c r="U2016" s="6">
        <v>3312</v>
      </c>
      <c r="V2016">
        <v>0</v>
      </c>
      <c r="W2016">
        <v>0</v>
      </c>
      <c r="X2016">
        <v>0</v>
      </c>
      <c r="Y2016" s="6">
        <v>47.6</v>
      </c>
      <c r="Z2016">
        <v>7.6999999999999999E-2</v>
      </c>
      <c r="AA2016">
        <v>0.14399999999999999</v>
      </c>
      <c r="AB2016">
        <v>2.5000000000000001E-2</v>
      </c>
      <c r="AC2016">
        <v>6</v>
      </c>
      <c r="AD2016" s="6">
        <v>50</v>
      </c>
      <c r="AE2016" s="6">
        <v>40</v>
      </c>
      <c r="AF2016" s="6">
        <v>0</v>
      </c>
      <c r="AG2016" s="6">
        <v>71.14</v>
      </c>
      <c r="AH2016" s="6">
        <v>89.97</v>
      </c>
      <c r="AI2016" s="6">
        <f t="shared" si="62"/>
        <v>18.829999999999998</v>
      </c>
      <c r="AJ2016" s="5">
        <f t="shared" si="63"/>
        <v>0.2092919862176281</v>
      </c>
    </row>
    <row r="2017" spans="1:36">
      <c r="A2017" t="s">
        <v>397</v>
      </c>
      <c r="B2017" t="s">
        <v>2302</v>
      </c>
      <c r="C2017" t="s">
        <v>106</v>
      </c>
      <c r="D2017" t="s">
        <v>54</v>
      </c>
      <c r="E2017" t="s">
        <v>55</v>
      </c>
      <c r="F2017">
        <v>0</v>
      </c>
      <c r="G2017">
        <v>2188</v>
      </c>
      <c r="H2017">
        <v>1</v>
      </c>
      <c r="I2017" t="s">
        <v>220</v>
      </c>
      <c r="J2017">
        <v>2</v>
      </c>
      <c r="K2017" s="6">
        <v>3.39</v>
      </c>
      <c r="L2017" t="s">
        <v>174</v>
      </c>
      <c r="M2017">
        <v>0</v>
      </c>
      <c r="N2017" t="s">
        <v>187</v>
      </c>
      <c r="O2017">
        <v>2</v>
      </c>
      <c r="P2017">
        <v>0</v>
      </c>
      <c r="Q2017" s="6">
        <v>52.5</v>
      </c>
      <c r="R2017">
        <v>0</v>
      </c>
      <c r="S2017" s="6">
        <v>0</v>
      </c>
      <c r="T2017">
        <v>0</v>
      </c>
      <c r="U2017" s="6">
        <v>1442</v>
      </c>
      <c r="V2017">
        <v>0</v>
      </c>
      <c r="W2017">
        <v>0</v>
      </c>
      <c r="X2017">
        <v>0</v>
      </c>
      <c r="Y2017" s="6">
        <v>47.6</v>
      </c>
      <c r="Z2017">
        <v>7.6999999999999999E-2</v>
      </c>
      <c r="AA2017">
        <v>0.14399999999999999</v>
      </c>
      <c r="AB2017">
        <v>2.5000000000000001E-2</v>
      </c>
      <c r="AC2017">
        <v>6</v>
      </c>
      <c r="AD2017" s="6">
        <v>50</v>
      </c>
      <c r="AE2017" s="6">
        <v>0</v>
      </c>
      <c r="AF2017" s="6">
        <v>0</v>
      </c>
      <c r="AG2017" s="6">
        <v>63.02</v>
      </c>
      <c r="AH2017" s="6">
        <v>80.709999999999994</v>
      </c>
      <c r="AI2017" s="6">
        <f t="shared" si="62"/>
        <v>17.689999999999991</v>
      </c>
      <c r="AJ2017" s="5">
        <f t="shared" si="63"/>
        <v>0.21917977945731623</v>
      </c>
    </row>
    <row r="2018" spans="1:36">
      <c r="A2018" t="s">
        <v>286</v>
      </c>
      <c r="B2018" t="s">
        <v>2303</v>
      </c>
      <c r="C2018" t="s">
        <v>106</v>
      </c>
      <c r="D2018" t="s">
        <v>54</v>
      </c>
      <c r="E2018" t="s">
        <v>55</v>
      </c>
      <c r="F2018">
        <v>0</v>
      </c>
      <c r="G2018">
        <v>2188</v>
      </c>
      <c r="H2018">
        <v>1</v>
      </c>
      <c r="I2018" t="s">
        <v>220</v>
      </c>
      <c r="J2018">
        <v>2</v>
      </c>
      <c r="K2018" s="6">
        <v>6.44</v>
      </c>
      <c r="L2018" t="s">
        <v>174</v>
      </c>
      <c r="M2018">
        <v>0</v>
      </c>
      <c r="N2018" t="s">
        <v>175</v>
      </c>
      <c r="O2018">
        <v>1</v>
      </c>
      <c r="P2018">
        <v>0</v>
      </c>
      <c r="Q2018" s="6">
        <v>28.4</v>
      </c>
      <c r="R2018">
        <v>0</v>
      </c>
      <c r="S2018" s="6">
        <v>0</v>
      </c>
      <c r="T2018">
        <v>0</v>
      </c>
      <c r="U2018" s="6">
        <v>2709</v>
      </c>
      <c r="V2018">
        <v>0</v>
      </c>
      <c r="W2018">
        <v>1</v>
      </c>
      <c r="X2018">
        <v>0</v>
      </c>
      <c r="Y2018" s="6">
        <v>47.6</v>
      </c>
      <c r="Z2018">
        <v>7.6999999999999999E-2</v>
      </c>
      <c r="AA2018">
        <v>0.14399999999999999</v>
      </c>
      <c r="AB2018">
        <v>2.5000000000000001E-2</v>
      </c>
      <c r="AC2018">
        <v>6</v>
      </c>
      <c r="AD2018" s="6">
        <v>50</v>
      </c>
      <c r="AE2018" s="6">
        <v>0</v>
      </c>
      <c r="AF2018" s="6">
        <v>0</v>
      </c>
      <c r="AG2018" s="6">
        <v>93.45</v>
      </c>
      <c r="AH2018" s="6">
        <v>117.92</v>
      </c>
      <c r="AI2018" s="6">
        <f t="shared" si="62"/>
        <v>24.47</v>
      </c>
      <c r="AJ2018" s="5">
        <f t="shared" si="63"/>
        <v>0.2075135685210312</v>
      </c>
    </row>
    <row r="2019" spans="1:36">
      <c r="A2019" t="s">
        <v>693</v>
      </c>
      <c r="B2019" t="s">
        <v>2304</v>
      </c>
      <c r="C2019" t="s">
        <v>106</v>
      </c>
      <c r="D2019" t="s">
        <v>54</v>
      </c>
      <c r="E2019" t="s">
        <v>55</v>
      </c>
      <c r="F2019">
        <v>0</v>
      </c>
      <c r="G2019">
        <v>2188</v>
      </c>
      <c r="H2019">
        <v>1</v>
      </c>
      <c r="I2019" t="s">
        <v>220</v>
      </c>
      <c r="J2019">
        <v>2</v>
      </c>
      <c r="K2019" s="6">
        <v>4.76</v>
      </c>
      <c r="L2019" t="s">
        <v>174</v>
      </c>
      <c r="M2019">
        <v>0</v>
      </c>
      <c r="N2019" t="s">
        <v>187</v>
      </c>
      <c r="O2019">
        <v>2</v>
      </c>
      <c r="P2019">
        <v>0</v>
      </c>
      <c r="Q2019" s="6">
        <v>43.6</v>
      </c>
      <c r="R2019">
        <v>0</v>
      </c>
      <c r="S2019" s="6">
        <v>0</v>
      </c>
      <c r="T2019">
        <v>0</v>
      </c>
      <c r="U2019" s="6">
        <v>1470</v>
      </c>
      <c r="V2019">
        <v>0</v>
      </c>
      <c r="W2019">
        <v>0</v>
      </c>
      <c r="X2019">
        <v>0</v>
      </c>
      <c r="Y2019" s="6">
        <v>47.6</v>
      </c>
      <c r="Z2019">
        <v>7.6999999999999999E-2</v>
      </c>
      <c r="AA2019">
        <v>0.14399999999999999</v>
      </c>
      <c r="AB2019">
        <v>2.5000000000000001E-2</v>
      </c>
      <c r="AC2019">
        <v>6</v>
      </c>
      <c r="AD2019" s="6">
        <v>50</v>
      </c>
      <c r="AE2019" s="6">
        <v>0</v>
      </c>
      <c r="AF2019" s="6">
        <v>0</v>
      </c>
      <c r="AG2019" s="6">
        <v>69.92</v>
      </c>
      <c r="AH2019" s="6">
        <v>88.63</v>
      </c>
      <c r="AI2019" s="6">
        <f t="shared" si="62"/>
        <v>18.709999999999994</v>
      </c>
      <c r="AJ2019" s="5">
        <f t="shared" si="63"/>
        <v>0.21110233555229599</v>
      </c>
    </row>
    <row r="2020" spans="1:36">
      <c r="A2020" t="s">
        <v>316</v>
      </c>
      <c r="B2020" t="s">
        <v>2305</v>
      </c>
      <c r="C2020" t="s">
        <v>106</v>
      </c>
      <c r="D2020" t="s">
        <v>54</v>
      </c>
      <c r="E2020" t="s">
        <v>55</v>
      </c>
      <c r="F2020">
        <v>0</v>
      </c>
      <c r="G2020">
        <v>2188</v>
      </c>
      <c r="H2020">
        <v>1</v>
      </c>
      <c r="I2020" t="s">
        <v>220</v>
      </c>
      <c r="J2020">
        <v>2</v>
      </c>
      <c r="K2020" s="6">
        <v>2.04</v>
      </c>
      <c r="L2020" t="s">
        <v>174</v>
      </c>
      <c r="M2020">
        <v>0</v>
      </c>
      <c r="N2020" t="s">
        <v>187</v>
      </c>
      <c r="O2020">
        <v>2</v>
      </c>
      <c r="P2020">
        <v>0</v>
      </c>
      <c r="Q2020" s="6">
        <v>45.4</v>
      </c>
      <c r="R2020">
        <v>0</v>
      </c>
      <c r="S2020" s="6">
        <v>0</v>
      </c>
      <c r="T2020">
        <v>0</v>
      </c>
      <c r="U2020" s="6">
        <v>2056</v>
      </c>
      <c r="V2020">
        <v>0</v>
      </c>
      <c r="W2020">
        <v>0</v>
      </c>
      <c r="X2020">
        <v>0</v>
      </c>
      <c r="Y2020" s="6">
        <v>47.6</v>
      </c>
      <c r="Z2020">
        <v>7.6999999999999999E-2</v>
      </c>
      <c r="AA2020">
        <v>0.14399999999999999</v>
      </c>
      <c r="AB2020">
        <v>2.5000000000000001E-2</v>
      </c>
      <c r="AC2020">
        <v>6</v>
      </c>
      <c r="AD2020" s="6">
        <v>50</v>
      </c>
      <c r="AE2020" s="6">
        <v>0</v>
      </c>
      <c r="AF2020" s="6">
        <v>0</v>
      </c>
      <c r="AG2020" s="6">
        <v>63.26</v>
      </c>
      <c r="AH2020" s="6">
        <v>81.599999999999994</v>
      </c>
      <c r="AI2020" s="6">
        <f t="shared" si="62"/>
        <v>18.339999999999996</v>
      </c>
      <c r="AJ2020" s="5">
        <f t="shared" si="63"/>
        <v>0.22475490196078429</v>
      </c>
    </row>
    <row r="2021" spans="1:36">
      <c r="A2021" t="s">
        <v>228</v>
      </c>
      <c r="B2021" t="s">
        <v>2306</v>
      </c>
      <c r="C2021" t="s">
        <v>106</v>
      </c>
      <c r="D2021" t="s">
        <v>54</v>
      </c>
      <c r="E2021" t="s">
        <v>55</v>
      </c>
      <c r="F2021">
        <v>0</v>
      </c>
      <c r="G2021">
        <v>2188</v>
      </c>
      <c r="H2021">
        <v>1</v>
      </c>
      <c r="I2021" t="s">
        <v>181</v>
      </c>
      <c r="J2021">
        <v>3</v>
      </c>
      <c r="K2021" s="6">
        <v>12.2</v>
      </c>
      <c r="L2021" t="s">
        <v>174</v>
      </c>
      <c r="M2021">
        <v>0</v>
      </c>
      <c r="N2021" t="s">
        <v>175</v>
      </c>
      <c r="O2021">
        <v>1</v>
      </c>
      <c r="P2021">
        <v>0</v>
      </c>
      <c r="Q2021" s="6">
        <v>45</v>
      </c>
      <c r="R2021">
        <v>1</v>
      </c>
      <c r="S2021" s="6">
        <v>2645</v>
      </c>
      <c r="T2021">
        <v>0</v>
      </c>
      <c r="U2021" s="6">
        <v>2160</v>
      </c>
      <c r="V2021">
        <v>0</v>
      </c>
      <c r="W2021">
        <v>0</v>
      </c>
      <c r="X2021">
        <v>0</v>
      </c>
      <c r="Y2021" s="6">
        <v>47.6</v>
      </c>
      <c r="Z2021">
        <v>7.6999999999999999E-2</v>
      </c>
      <c r="AA2021">
        <v>0.14399999999999999</v>
      </c>
      <c r="AB2021">
        <v>2.5000000000000001E-2</v>
      </c>
      <c r="AC2021">
        <v>6</v>
      </c>
      <c r="AD2021" s="6">
        <v>60</v>
      </c>
      <c r="AE2021" s="6">
        <v>40</v>
      </c>
      <c r="AF2021" s="6">
        <v>0</v>
      </c>
      <c r="AG2021" s="6">
        <v>106.91</v>
      </c>
      <c r="AH2021" s="6">
        <v>138.55000000000001</v>
      </c>
      <c r="AI2021" s="6">
        <f t="shared" si="62"/>
        <v>31.640000000000015</v>
      </c>
      <c r="AJ2021" s="5">
        <f t="shared" si="63"/>
        <v>0.22836521111512098</v>
      </c>
    </row>
    <row r="2022" spans="1:36">
      <c r="A2022" t="s">
        <v>269</v>
      </c>
      <c r="B2022" t="s">
        <v>2307</v>
      </c>
      <c r="C2022" t="s">
        <v>106</v>
      </c>
      <c r="D2022" t="s">
        <v>54</v>
      </c>
      <c r="E2022" t="s">
        <v>55</v>
      </c>
      <c r="F2022">
        <v>0</v>
      </c>
      <c r="G2022">
        <v>2188</v>
      </c>
      <c r="H2022">
        <v>1</v>
      </c>
      <c r="I2022" t="s">
        <v>220</v>
      </c>
      <c r="J2022">
        <v>2</v>
      </c>
      <c r="K2022" s="6">
        <v>3.65</v>
      </c>
      <c r="L2022" t="s">
        <v>174</v>
      </c>
      <c r="M2022">
        <v>0</v>
      </c>
      <c r="N2022" t="s">
        <v>187</v>
      </c>
      <c r="O2022">
        <v>2</v>
      </c>
      <c r="P2022">
        <v>1</v>
      </c>
      <c r="Q2022" s="6">
        <v>65.400000000000006</v>
      </c>
      <c r="R2022">
        <v>1</v>
      </c>
      <c r="S2022" s="6">
        <v>2897</v>
      </c>
      <c r="T2022">
        <v>0</v>
      </c>
      <c r="U2022" s="6">
        <v>3840</v>
      </c>
      <c r="V2022">
        <v>0</v>
      </c>
      <c r="W2022">
        <v>0</v>
      </c>
      <c r="X2022">
        <v>0</v>
      </c>
      <c r="Y2022" s="6">
        <v>47.6</v>
      </c>
      <c r="Z2022">
        <v>7.6999999999999999E-2</v>
      </c>
      <c r="AA2022">
        <v>0.14399999999999999</v>
      </c>
      <c r="AB2022">
        <v>2.5000000000000001E-2</v>
      </c>
      <c r="AC2022">
        <v>6</v>
      </c>
      <c r="AD2022" s="6">
        <v>50</v>
      </c>
      <c r="AE2022" s="6">
        <v>40</v>
      </c>
      <c r="AF2022" s="6">
        <v>0</v>
      </c>
      <c r="AG2022" s="6">
        <v>91</v>
      </c>
      <c r="AH2022" s="6">
        <v>115.78</v>
      </c>
      <c r="AI2022" s="6">
        <f t="shared" si="62"/>
        <v>24.78</v>
      </c>
      <c r="AJ2022" s="5">
        <f t="shared" si="63"/>
        <v>0.21402660217654174</v>
      </c>
    </row>
    <row r="2023" spans="1:36">
      <c r="A2023" t="s">
        <v>355</v>
      </c>
      <c r="B2023" t="s">
        <v>2308</v>
      </c>
      <c r="C2023" t="s">
        <v>106</v>
      </c>
      <c r="D2023" t="s">
        <v>54</v>
      </c>
      <c r="E2023" t="s">
        <v>55</v>
      </c>
      <c r="F2023">
        <v>0</v>
      </c>
      <c r="G2023">
        <v>2188</v>
      </c>
      <c r="H2023">
        <v>1</v>
      </c>
      <c r="I2023" t="s">
        <v>220</v>
      </c>
      <c r="J2023">
        <v>2</v>
      </c>
      <c r="K2023" s="6">
        <v>4.1100000000000003</v>
      </c>
      <c r="L2023" t="s">
        <v>174</v>
      </c>
      <c r="M2023">
        <v>0</v>
      </c>
      <c r="N2023" t="s">
        <v>182</v>
      </c>
      <c r="O2023">
        <v>3</v>
      </c>
      <c r="P2023">
        <v>0</v>
      </c>
      <c r="Q2023" s="6">
        <v>50.3</v>
      </c>
      <c r="R2023">
        <v>0</v>
      </c>
      <c r="S2023" s="6">
        <v>0</v>
      </c>
      <c r="T2023">
        <v>0</v>
      </c>
      <c r="U2023" s="6">
        <v>2699</v>
      </c>
      <c r="V2023">
        <v>0</v>
      </c>
      <c r="W2023">
        <v>0</v>
      </c>
      <c r="X2023">
        <v>0</v>
      </c>
      <c r="Y2023" s="6">
        <v>47.6</v>
      </c>
      <c r="Z2023">
        <v>7.6999999999999999E-2</v>
      </c>
      <c r="AA2023">
        <v>0.14399999999999999</v>
      </c>
      <c r="AB2023">
        <v>2.5000000000000001E-2</v>
      </c>
      <c r="AC2023">
        <v>6</v>
      </c>
      <c r="AD2023" s="6">
        <v>50</v>
      </c>
      <c r="AE2023" s="6">
        <v>0</v>
      </c>
      <c r="AF2023" s="6">
        <v>0</v>
      </c>
      <c r="AG2023" s="6">
        <v>66.97</v>
      </c>
      <c r="AH2023" s="6">
        <v>85.61</v>
      </c>
      <c r="AI2023" s="6">
        <f t="shared" si="62"/>
        <v>18.64</v>
      </c>
      <c r="AJ2023" s="5">
        <f t="shared" si="63"/>
        <v>0.21773157341432076</v>
      </c>
    </row>
    <row r="2024" spans="1:36">
      <c r="A2024" t="s">
        <v>372</v>
      </c>
      <c r="B2024" t="s">
        <v>2309</v>
      </c>
      <c r="C2024" t="s">
        <v>106</v>
      </c>
      <c r="D2024" t="s">
        <v>54</v>
      </c>
      <c r="E2024" t="s">
        <v>55</v>
      </c>
      <c r="F2024">
        <v>0</v>
      </c>
      <c r="G2024">
        <v>2188</v>
      </c>
      <c r="H2024">
        <v>1</v>
      </c>
      <c r="I2024" t="s">
        <v>220</v>
      </c>
      <c r="J2024">
        <v>2</v>
      </c>
      <c r="K2024" s="6">
        <v>5.59</v>
      </c>
      <c r="L2024" t="s">
        <v>174</v>
      </c>
      <c r="M2024">
        <v>0</v>
      </c>
      <c r="N2024" t="s">
        <v>217</v>
      </c>
      <c r="O2024">
        <v>4</v>
      </c>
      <c r="P2024">
        <v>1</v>
      </c>
      <c r="Q2024" s="6">
        <v>189.4</v>
      </c>
      <c r="R2024">
        <v>0</v>
      </c>
      <c r="S2024" s="6">
        <v>0</v>
      </c>
      <c r="T2024">
        <v>0</v>
      </c>
      <c r="U2024" s="6">
        <v>3043</v>
      </c>
      <c r="V2024">
        <v>0</v>
      </c>
      <c r="W2024">
        <v>0</v>
      </c>
      <c r="X2024">
        <v>0</v>
      </c>
      <c r="Y2024" s="6">
        <v>47.6</v>
      </c>
      <c r="Z2024">
        <v>7.6999999999999999E-2</v>
      </c>
      <c r="AA2024">
        <v>0.14399999999999999</v>
      </c>
      <c r="AB2024">
        <v>2.5000000000000001E-2</v>
      </c>
      <c r="AC2024">
        <v>6</v>
      </c>
      <c r="AD2024" s="6">
        <v>50</v>
      </c>
      <c r="AE2024" s="6">
        <v>0</v>
      </c>
      <c r="AF2024" s="6">
        <v>0</v>
      </c>
      <c r="AG2024" s="6">
        <v>111.18</v>
      </c>
      <c r="AH2024" s="6">
        <v>143.30000000000001</v>
      </c>
      <c r="AI2024" s="6">
        <f t="shared" si="62"/>
        <v>32.120000000000005</v>
      </c>
      <c r="AJ2024" s="5">
        <f t="shared" si="63"/>
        <v>0.22414515003489185</v>
      </c>
    </row>
    <row r="2025" spans="1:36">
      <c r="A2025" t="s">
        <v>303</v>
      </c>
      <c r="B2025" t="s">
        <v>2310</v>
      </c>
      <c r="C2025" t="s">
        <v>106</v>
      </c>
      <c r="D2025" t="s">
        <v>54</v>
      </c>
      <c r="E2025" t="s">
        <v>55</v>
      </c>
      <c r="F2025">
        <v>0</v>
      </c>
      <c r="G2025">
        <v>2188</v>
      </c>
      <c r="H2025">
        <v>1</v>
      </c>
      <c r="I2025" t="s">
        <v>178</v>
      </c>
      <c r="J2025">
        <v>4</v>
      </c>
      <c r="K2025" s="6">
        <v>13.14</v>
      </c>
      <c r="L2025" t="s">
        <v>174</v>
      </c>
      <c r="M2025">
        <v>0</v>
      </c>
      <c r="N2025" t="s">
        <v>175</v>
      </c>
      <c r="O2025">
        <v>1</v>
      </c>
      <c r="P2025">
        <v>0</v>
      </c>
      <c r="Q2025" s="6">
        <v>33.700000000000003</v>
      </c>
      <c r="R2025">
        <v>0</v>
      </c>
      <c r="S2025" s="6">
        <v>0</v>
      </c>
      <c r="T2025">
        <v>0</v>
      </c>
      <c r="U2025" s="6">
        <v>1247</v>
      </c>
      <c r="V2025">
        <v>1</v>
      </c>
      <c r="W2025">
        <v>0</v>
      </c>
      <c r="X2025">
        <v>0</v>
      </c>
      <c r="Y2025" s="6">
        <v>47.6</v>
      </c>
      <c r="Z2025">
        <v>7.6999999999999999E-2</v>
      </c>
      <c r="AA2025">
        <v>0.14399999999999999</v>
      </c>
      <c r="AB2025">
        <v>2.5000000000000001E-2</v>
      </c>
      <c r="AC2025">
        <v>6</v>
      </c>
      <c r="AD2025" s="6">
        <v>65</v>
      </c>
      <c r="AE2025" s="6">
        <v>0</v>
      </c>
      <c r="AF2025" s="6">
        <v>0</v>
      </c>
      <c r="AG2025" s="6">
        <v>164.76</v>
      </c>
      <c r="AH2025" s="6">
        <v>209.5</v>
      </c>
      <c r="AI2025" s="6">
        <f t="shared" si="62"/>
        <v>44.740000000000009</v>
      </c>
      <c r="AJ2025" s="5">
        <f t="shared" si="63"/>
        <v>0.21355608591885447</v>
      </c>
    </row>
    <row r="2026" spans="1:36">
      <c r="A2026" t="s">
        <v>286</v>
      </c>
      <c r="B2026" t="s">
        <v>2311</v>
      </c>
      <c r="C2026" t="s">
        <v>106</v>
      </c>
      <c r="D2026" t="s">
        <v>54</v>
      </c>
      <c r="E2026" t="s">
        <v>55</v>
      </c>
      <c r="F2026">
        <v>0</v>
      </c>
      <c r="G2026">
        <v>2188</v>
      </c>
      <c r="H2026">
        <v>1</v>
      </c>
      <c r="I2026" t="s">
        <v>173</v>
      </c>
      <c r="J2026">
        <v>1</v>
      </c>
      <c r="K2026" s="6">
        <v>0.98</v>
      </c>
      <c r="L2026" t="s">
        <v>174</v>
      </c>
      <c r="M2026">
        <v>0</v>
      </c>
      <c r="N2026" t="s">
        <v>182</v>
      </c>
      <c r="O2026">
        <v>3</v>
      </c>
      <c r="P2026">
        <v>0</v>
      </c>
      <c r="Q2026" s="6">
        <v>88.2</v>
      </c>
      <c r="R2026">
        <v>0</v>
      </c>
      <c r="S2026" s="6">
        <v>0</v>
      </c>
      <c r="T2026">
        <v>0</v>
      </c>
      <c r="U2026" s="6">
        <v>2490</v>
      </c>
      <c r="V2026">
        <v>0</v>
      </c>
      <c r="W2026">
        <v>0</v>
      </c>
      <c r="X2026">
        <v>0</v>
      </c>
      <c r="Y2026" s="6">
        <v>47.6</v>
      </c>
      <c r="Z2026">
        <v>7.6999999999999999E-2</v>
      </c>
      <c r="AA2026">
        <v>0.14399999999999999</v>
      </c>
      <c r="AB2026">
        <v>2.5000000000000001E-2</v>
      </c>
      <c r="AC2026">
        <v>6</v>
      </c>
      <c r="AD2026" s="6">
        <v>50</v>
      </c>
      <c r="AE2026" s="6">
        <v>0</v>
      </c>
      <c r="AF2026" s="6">
        <v>0</v>
      </c>
      <c r="AG2026" s="6">
        <v>60.09</v>
      </c>
      <c r="AH2026" s="6">
        <v>78.41</v>
      </c>
      <c r="AI2026" s="6">
        <f t="shared" si="62"/>
        <v>18.319999999999993</v>
      </c>
      <c r="AJ2026" s="5">
        <f t="shared" si="63"/>
        <v>0.23364366789950253</v>
      </c>
    </row>
    <row r="2027" spans="1:36">
      <c r="A2027" t="s">
        <v>602</v>
      </c>
      <c r="B2027" t="s">
        <v>2312</v>
      </c>
      <c r="C2027" t="s">
        <v>106</v>
      </c>
      <c r="D2027" t="s">
        <v>54</v>
      </c>
      <c r="E2027" t="s">
        <v>55</v>
      </c>
      <c r="F2027">
        <v>0</v>
      </c>
      <c r="G2027">
        <v>2188</v>
      </c>
      <c r="H2027">
        <v>1</v>
      </c>
      <c r="I2027" t="s">
        <v>173</v>
      </c>
      <c r="J2027">
        <v>1</v>
      </c>
      <c r="K2027" s="6">
        <v>2.97</v>
      </c>
      <c r="L2027" t="s">
        <v>200</v>
      </c>
      <c r="M2027">
        <v>1</v>
      </c>
      <c r="N2027" t="s">
        <v>175</v>
      </c>
      <c r="O2027">
        <v>1</v>
      </c>
      <c r="P2027">
        <v>0</v>
      </c>
      <c r="Q2027" s="6">
        <v>27.2</v>
      </c>
      <c r="R2027">
        <v>0</v>
      </c>
      <c r="S2027" s="6">
        <v>0</v>
      </c>
      <c r="T2027">
        <v>0</v>
      </c>
      <c r="U2027" s="6">
        <v>1799</v>
      </c>
      <c r="V2027">
        <v>0</v>
      </c>
      <c r="W2027">
        <v>0</v>
      </c>
      <c r="X2027">
        <v>0</v>
      </c>
      <c r="Y2027" s="6">
        <v>47.6</v>
      </c>
      <c r="Z2027">
        <v>7.6999999999999999E-2</v>
      </c>
      <c r="AA2027">
        <v>0.14399999999999999</v>
      </c>
      <c r="AB2027">
        <v>2.5000000000000001E-2</v>
      </c>
      <c r="AC2027">
        <v>6</v>
      </c>
      <c r="AD2027" s="6">
        <v>99</v>
      </c>
      <c r="AE2027" s="6">
        <v>0</v>
      </c>
      <c r="AF2027" s="6">
        <v>0</v>
      </c>
      <c r="AG2027" s="6">
        <v>82.71</v>
      </c>
      <c r="AH2027" s="6">
        <v>105.51</v>
      </c>
      <c r="AI2027" s="6">
        <f t="shared" si="62"/>
        <v>22.800000000000011</v>
      </c>
      <c r="AJ2027" s="5">
        <f t="shared" si="63"/>
        <v>0.21609326130224632</v>
      </c>
    </row>
    <row r="2028" spans="1:36">
      <c r="A2028" t="s">
        <v>517</v>
      </c>
      <c r="B2028" t="s">
        <v>2313</v>
      </c>
      <c r="C2028" t="s">
        <v>106</v>
      </c>
      <c r="D2028" t="s">
        <v>54</v>
      </c>
      <c r="E2028" t="s">
        <v>55</v>
      </c>
      <c r="F2028">
        <v>0</v>
      </c>
      <c r="G2028">
        <v>2188</v>
      </c>
      <c r="H2028">
        <v>1</v>
      </c>
      <c r="I2028" t="s">
        <v>220</v>
      </c>
      <c r="J2028">
        <v>2</v>
      </c>
      <c r="K2028" s="6">
        <v>1.58</v>
      </c>
      <c r="L2028" t="s">
        <v>174</v>
      </c>
      <c r="M2028">
        <v>0</v>
      </c>
      <c r="N2028" t="s">
        <v>182</v>
      </c>
      <c r="O2028">
        <v>3</v>
      </c>
      <c r="P2028">
        <v>0</v>
      </c>
      <c r="Q2028" s="6">
        <v>81.8</v>
      </c>
      <c r="R2028">
        <v>0</v>
      </c>
      <c r="S2028" s="6">
        <v>0</v>
      </c>
      <c r="T2028">
        <v>0</v>
      </c>
      <c r="U2028" s="6">
        <v>915</v>
      </c>
      <c r="V2028">
        <v>0</v>
      </c>
      <c r="W2028">
        <v>0</v>
      </c>
      <c r="X2028">
        <v>0</v>
      </c>
      <c r="Y2028" s="6">
        <v>47.6</v>
      </c>
      <c r="Z2028">
        <v>7.6999999999999999E-2</v>
      </c>
      <c r="AA2028">
        <v>0.14399999999999999</v>
      </c>
      <c r="AB2028">
        <v>2.5000000000000001E-2</v>
      </c>
      <c r="AC2028">
        <v>6</v>
      </c>
      <c r="AD2028" s="6">
        <v>50</v>
      </c>
      <c r="AE2028" s="6">
        <v>0</v>
      </c>
      <c r="AF2028" s="6">
        <v>0</v>
      </c>
      <c r="AG2028" s="6">
        <v>77.650000000000006</v>
      </c>
      <c r="AH2028" s="6">
        <v>97.53</v>
      </c>
      <c r="AI2028" s="6">
        <f t="shared" si="62"/>
        <v>19.879999999999995</v>
      </c>
      <c r="AJ2028" s="5">
        <f t="shared" si="63"/>
        <v>0.20383471752281346</v>
      </c>
    </row>
    <row r="2029" spans="1:36">
      <c r="A2029" t="s">
        <v>261</v>
      </c>
      <c r="B2029" t="s">
        <v>2314</v>
      </c>
      <c r="C2029" t="s">
        <v>106</v>
      </c>
      <c r="D2029" t="s">
        <v>54</v>
      </c>
      <c r="E2029" t="s">
        <v>55</v>
      </c>
      <c r="F2029">
        <v>0</v>
      </c>
      <c r="G2029">
        <v>2188</v>
      </c>
      <c r="H2029">
        <v>1</v>
      </c>
      <c r="I2029" t="s">
        <v>181</v>
      </c>
      <c r="J2029">
        <v>3</v>
      </c>
      <c r="K2029" s="6">
        <v>4.75</v>
      </c>
      <c r="L2029" t="s">
        <v>174</v>
      </c>
      <c r="M2029">
        <v>0</v>
      </c>
      <c r="N2029" t="s">
        <v>175</v>
      </c>
      <c r="O2029">
        <v>1</v>
      </c>
      <c r="P2029">
        <v>0</v>
      </c>
      <c r="Q2029" s="6">
        <v>43.7</v>
      </c>
      <c r="R2029">
        <v>1</v>
      </c>
      <c r="S2029" s="6">
        <v>953</v>
      </c>
      <c r="T2029">
        <v>0</v>
      </c>
      <c r="U2029" s="6">
        <v>2148</v>
      </c>
      <c r="V2029">
        <v>0</v>
      </c>
      <c r="W2029">
        <v>0</v>
      </c>
      <c r="X2029">
        <v>0</v>
      </c>
      <c r="Y2029" s="6">
        <v>47.6</v>
      </c>
      <c r="Z2029">
        <v>7.6999999999999999E-2</v>
      </c>
      <c r="AA2029">
        <v>0.14399999999999999</v>
      </c>
      <c r="AB2029">
        <v>2.5000000000000001E-2</v>
      </c>
      <c r="AC2029">
        <v>6</v>
      </c>
      <c r="AD2029" s="6">
        <v>60</v>
      </c>
      <c r="AE2029" s="6">
        <v>25</v>
      </c>
      <c r="AF2029" s="6">
        <v>0</v>
      </c>
      <c r="AG2029" s="6">
        <v>78.19</v>
      </c>
      <c r="AH2029" s="6">
        <v>101.76</v>
      </c>
      <c r="AI2029" s="6">
        <f t="shared" si="62"/>
        <v>23.570000000000007</v>
      </c>
      <c r="AJ2029" s="5">
        <f t="shared" si="63"/>
        <v>0.23162342767295604</v>
      </c>
    </row>
    <row r="2030" spans="1:36">
      <c r="A2030" t="s">
        <v>238</v>
      </c>
      <c r="B2030" t="s">
        <v>2315</v>
      </c>
      <c r="C2030" t="s">
        <v>106</v>
      </c>
      <c r="D2030" t="s">
        <v>54</v>
      </c>
      <c r="E2030" t="s">
        <v>55</v>
      </c>
      <c r="F2030">
        <v>0</v>
      </c>
      <c r="G2030">
        <v>2188</v>
      </c>
      <c r="H2030">
        <v>1</v>
      </c>
      <c r="I2030" t="s">
        <v>173</v>
      </c>
      <c r="J2030">
        <v>1</v>
      </c>
      <c r="K2030" s="6">
        <v>1.94</v>
      </c>
      <c r="L2030" t="s">
        <v>174</v>
      </c>
      <c r="M2030">
        <v>0</v>
      </c>
      <c r="N2030" t="s">
        <v>175</v>
      </c>
      <c r="O2030">
        <v>1</v>
      </c>
      <c r="P2030">
        <v>0</v>
      </c>
      <c r="Q2030" s="6">
        <v>37.700000000000003</v>
      </c>
      <c r="R2030">
        <v>0</v>
      </c>
      <c r="S2030" s="6">
        <v>0</v>
      </c>
      <c r="T2030">
        <v>0</v>
      </c>
      <c r="U2030" s="6">
        <v>1347</v>
      </c>
      <c r="V2030">
        <v>0</v>
      </c>
      <c r="W2030">
        <v>0</v>
      </c>
      <c r="X2030">
        <v>1</v>
      </c>
      <c r="Y2030" s="6">
        <v>47.6</v>
      </c>
      <c r="Z2030">
        <v>7.6999999999999999E-2</v>
      </c>
      <c r="AA2030">
        <v>0.14399999999999999</v>
      </c>
      <c r="AB2030">
        <v>2.5000000000000001E-2</v>
      </c>
      <c r="AC2030">
        <v>6</v>
      </c>
      <c r="AD2030" s="6">
        <v>50</v>
      </c>
      <c r="AE2030" s="6">
        <v>0</v>
      </c>
      <c r="AF2030" s="6">
        <v>0</v>
      </c>
      <c r="AG2030" s="6">
        <v>49.46</v>
      </c>
      <c r="AH2030" s="6">
        <v>62.95</v>
      </c>
      <c r="AI2030" s="6">
        <f t="shared" si="62"/>
        <v>13.490000000000002</v>
      </c>
      <c r="AJ2030" s="5">
        <f t="shared" si="63"/>
        <v>0.21429706115965053</v>
      </c>
    </row>
    <row r="2031" spans="1:36">
      <c r="A2031" t="s">
        <v>316</v>
      </c>
      <c r="B2031" t="s">
        <v>2316</v>
      </c>
      <c r="C2031" t="s">
        <v>106</v>
      </c>
      <c r="D2031" t="s">
        <v>54</v>
      </c>
      <c r="E2031" t="s">
        <v>55</v>
      </c>
      <c r="F2031">
        <v>0</v>
      </c>
      <c r="G2031">
        <v>2188</v>
      </c>
      <c r="H2031">
        <v>1</v>
      </c>
      <c r="I2031" t="s">
        <v>220</v>
      </c>
      <c r="J2031">
        <v>2</v>
      </c>
      <c r="K2031" s="6">
        <v>4</v>
      </c>
      <c r="L2031" t="s">
        <v>174</v>
      </c>
      <c r="M2031">
        <v>0</v>
      </c>
      <c r="N2031" t="s">
        <v>182</v>
      </c>
      <c r="O2031">
        <v>3</v>
      </c>
      <c r="P2031">
        <v>0</v>
      </c>
      <c r="Q2031" s="6">
        <v>98.5</v>
      </c>
      <c r="R2031">
        <v>0</v>
      </c>
      <c r="S2031" s="6">
        <v>0</v>
      </c>
      <c r="T2031">
        <v>0</v>
      </c>
      <c r="U2031" s="6">
        <v>1683</v>
      </c>
      <c r="V2031">
        <v>0</v>
      </c>
      <c r="W2031">
        <v>0</v>
      </c>
      <c r="X2031">
        <v>1</v>
      </c>
      <c r="Y2031" s="6">
        <v>47.6</v>
      </c>
      <c r="Z2031">
        <v>7.6999999999999999E-2</v>
      </c>
      <c r="AA2031">
        <v>0.14399999999999999</v>
      </c>
      <c r="AB2031">
        <v>2.5000000000000001E-2</v>
      </c>
      <c r="AC2031">
        <v>6</v>
      </c>
      <c r="AD2031" s="6">
        <v>50</v>
      </c>
      <c r="AE2031" s="6">
        <v>0</v>
      </c>
      <c r="AF2031" s="6">
        <v>0</v>
      </c>
      <c r="AG2031" s="6">
        <v>62.58</v>
      </c>
      <c r="AH2031" s="6">
        <v>78.319999999999993</v>
      </c>
      <c r="AI2031" s="6">
        <f t="shared" si="62"/>
        <v>15.739999999999995</v>
      </c>
      <c r="AJ2031" s="5">
        <f t="shared" si="63"/>
        <v>0.20097037793667002</v>
      </c>
    </row>
    <row r="2032" spans="1:36">
      <c r="A2032" t="s">
        <v>311</v>
      </c>
      <c r="B2032" t="s">
        <v>2317</v>
      </c>
      <c r="C2032" t="s">
        <v>106</v>
      </c>
      <c r="D2032" t="s">
        <v>54</v>
      </c>
      <c r="E2032" t="s">
        <v>55</v>
      </c>
      <c r="F2032">
        <v>0</v>
      </c>
      <c r="G2032">
        <v>2188</v>
      </c>
      <c r="H2032">
        <v>1</v>
      </c>
      <c r="I2032" t="s">
        <v>220</v>
      </c>
      <c r="J2032">
        <v>2</v>
      </c>
      <c r="K2032" s="6">
        <v>3.59</v>
      </c>
      <c r="L2032" t="s">
        <v>174</v>
      </c>
      <c r="M2032">
        <v>0</v>
      </c>
      <c r="N2032" t="s">
        <v>175</v>
      </c>
      <c r="O2032">
        <v>1</v>
      </c>
      <c r="P2032">
        <v>1</v>
      </c>
      <c r="Q2032" s="6">
        <v>35.200000000000003</v>
      </c>
      <c r="R2032">
        <v>1</v>
      </c>
      <c r="S2032" s="6">
        <v>1907</v>
      </c>
      <c r="T2032">
        <v>0</v>
      </c>
      <c r="U2032" s="6">
        <v>4724</v>
      </c>
      <c r="V2032">
        <v>0</v>
      </c>
      <c r="W2032">
        <v>0</v>
      </c>
      <c r="X2032">
        <v>0</v>
      </c>
      <c r="Y2032" s="6">
        <v>47.6</v>
      </c>
      <c r="Z2032">
        <v>7.6999999999999999E-2</v>
      </c>
      <c r="AA2032">
        <v>0.14399999999999999</v>
      </c>
      <c r="AB2032">
        <v>2.5000000000000001E-2</v>
      </c>
      <c r="AC2032">
        <v>6</v>
      </c>
      <c r="AD2032" s="6">
        <v>50</v>
      </c>
      <c r="AE2032" s="6">
        <v>25</v>
      </c>
      <c r="AF2032" s="6">
        <v>0</v>
      </c>
      <c r="AG2032" s="6">
        <v>84.91</v>
      </c>
      <c r="AH2032" s="6">
        <v>107.76</v>
      </c>
      <c r="AI2032" s="6">
        <f t="shared" si="62"/>
        <v>22.850000000000009</v>
      </c>
      <c r="AJ2032" s="5">
        <f t="shared" si="63"/>
        <v>0.21204528582034157</v>
      </c>
    </row>
    <row r="2033" spans="1:36">
      <c r="A2033" t="s">
        <v>311</v>
      </c>
      <c r="B2033" t="s">
        <v>2318</v>
      </c>
      <c r="C2033" t="s">
        <v>106</v>
      </c>
      <c r="D2033" t="s">
        <v>54</v>
      </c>
      <c r="E2033" t="s">
        <v>55</v>
      </c>
      <c r="F2033">
        <v>0</v>
      </c>
      <c r="G2033">
        <v>2188</v>
      </c>
      <c r="H2033">
        <v>1</v>
      </c>
      <c r="I2033" t="s">
        <v>220</v>
      </c>
      <c r="J2033">
        <v>2</v>
      </c>
      <c r="K2033" s="6">
        <v>5.23</v>
      </c>
      <c r="L2033" t="s">
        <v>174</v>
      </c>
      <c r="M2033">
        <v>0</v>
      </c>
      <c r="N2033" t="s">
        <v>175</v>
      </c>
      <c r="O2033">
        <v>1</v>
      </c>
      <c r="P2033">
        <v>0</v>
      </c>
      <c r="Q2033" s="6">
        <v>38.700000000000003</v>
      </c>
      <c r="R2033">
        <v>0</v>
      </c>
      <c r="S2033" s="6">
        <v>0</v>
      </c>
      <c r="T2033">
        <v>0</v>
      </c>
      <c r="U2033" s="6">
        <v>4569</v>
      </c>
      <c r="V2033">
        <v>0</v>
      </c>
      <c r="W2033">
        <v>0</v>
      </c>
      <c r="X2033">
        <v>0</v>
      </c>
      <c r="Y2033" s="6">
        <v>47.6</v>
      </c>
      <c r="Z2033">
        <v>7.6999999999999999E-2</v>
      </c>
      <c r="AA2033">
        <v>0.14399999999999999</v>
      </c>
      <c r="AB2033">
        <v>2.5000000000000001E-2</v>
      </c>
      <c r="AC2033">
        <v>6</v>
      </c>
      <c r="AD2033" s="6">
        <v>50</v>
      </c>
      <c r="AE2033" s="6">
        <v>0</v>
      </c>
      <c r="AF2033" s="6">
        <v>0</v>
      </c>
      <c r="AG2033" s="6">
        <v>60.24</v>
      </c>
      <c r="AH2033" s="6">
        <v>77.7</v>
      </c>
      <c r="AI2033" s="6">
        <f t="shared" si="62"/>
        <v>17.46</v>
      </c>
      <c r="AJ2033" s="5">
        <f t="shared" si="63"/>
        <v>0.22471042471042471</v>
      </c>
    </row>
    <row r="2034" spans="1:36">
      <c r="A2034" t="s">
        <v>434</v>
      </c>
      <c r="B2034" t="s">
        <v>2319</v>
      </c>
      <c r="C2034" t="s">
        <v>106</v>
      </c>
      <c r="D2034" t="s">
        <v>54</v>
      </c>
      <c r="E2034" t="s">
        <v>55</v>
      </c>
      <c r="F2034">
        <v>0</v>
      </c>
      <c r="G2034">
        <v>2188</v>
      </c>
      <c r="H2034">
        <v>1</v>
      </c>
      <c r="I2034" t="s">
        <v>220</v>
      </c>
      <c r="J2034">
        <v>2</v>
      </c>
      <c r="K2034" s="6">
        <v>2.78</v>
      </c>
      <c r="L2034" t="s">
        <v>174</v>
      </c>
      <c r="M2034">
        <v>0</v>
      </c>
      <c r="N2034" t="s">
        <v>182</v>
      </c>
      <c r="O2034">
        <v>3</v>
      </c>
      <c r="P2034">
        <v>0</v>
      </c>
      <c r="Q2034" s="6">
        <v>70.400000000000006</v>
      </c>
      <c r="R2034">
        <v>1</v>
      </c>
      <c r="S2034" s="6">
        <v>3051</v>
      </c>
      <c r="T2034">
        <v>0</v>
      </c>
      <c r="U2034" s="6">
        <v>7305</v>
      </c>
      <c r="V2034">
        <v>0</v>
      </c>
      <c r="W2034">
        <v>0</v>
      </c>
      <c r="X2034">
        <v>0</v>
      </c>
      <c r="Y2034" s="6">
        <v>47.6</v>
      </c>
      <c r="Z2034">
        <v>7.6999999999999999E-2</v>
      </c>
      <c r="AA2034">
        <v>0.14399999999999999</v>
      </c>
      <c r="AB2034">
        <v>2.5000000000000001E-2</v>
      </c>
      <c r="AC2034">
        <v>6</v>
      </c>
      <c r="AD2034" s="6">
        <v>50</v>
      </c>
      <c r="AE2034" s="6">
        <v>40</v>
      </c>
      <c r="AF2034" s="6">
        <v>0</v>
      </c>
      <c r="AG2034" s="6">
        <v>74.56</v>
      </c>
      <c r="AH2034" s="6">
        <v>97.61</v>
      </c>
      <c r="AI2034" s="6">
        <f t="shared" si="62"/>
        <v>23.049999999999997</v>
      </c>
      <c r="AJ2034" s="5">
        <f t="shared" si="63"/>
        <v>0.2361438377215449</v>
      </c>
    </row>
    <row r="2035" spans="1:36">
      <c r="A2035" t="s">
        <v>384</v>
      </c>
      <c r="B2035" t="s">
        <v>2320</v>
      </c>
      <c r="C2035" t="s">
        <v>106</v>
      </c>
      <c r="D2035" t="s">
        <v>54</v>
      </c>
      <c r="E2035" t="s">
        <v>55</v>
      </c>
      <c r="F2035">
        <v>0</v>
      </c>
      <c r="G2035">
        <v>2188</v>
      </c>
      <c r="H2035">
        <v>1</v>
      </c>
      <c r="I2035" t="s">
        <v>220</v>
      </c>
      <c r="J2035">
        <v>2</v>
      </c>
      <c r="K2035" s="6">
        <v>3.47</v>
      </c>
      <c r="L2035" t="s">
        <v>174</v>
      </c>
      <c r="M2035">
        <v>0</v>
      </c>
      <c r="N2035" t="s">
        <v>182</v>
      </c>
      <c r="O2035">
        <v>3</v>
      </c>
      <c r="P2035">
        <v>1</v>
      </c>
      <c r="Q2035" s="6">
        <v>86.8</v>
      </c>
      <c r="R2035">
        <v>0</v>
      </c>
      <c r="S2035" s="6">
        <v>0</v>
      </c>
      <c r="T2035">
        <v>0</v>
      </c>
      <c r="U2035" s="6">
        <v>3591</v>
      </c>
      <c r="V2035">
        <v>0</v>
      </c>
      <c r="W2035">
        <v>0</v>
      </c>
      <c r="X2035">
        <v>0</v>
      </c>
      <c r="Y2035" s="6">
        <v>47.6</v>
      </c>
      <c r="Z2035">
        <v>7.6999999999999999E-2</v>
      </c>
      <c r="AA2035">
        <v>0.14399999999999999</v>
      </c>
      <c r="AB2035">
        <v>2.5000000000000001E-2</v>
      </c>
      <c r="AC2035">
        <v>6</v>
      </c>
      <c r="AD2035" s="6">
        <v>50</v>
      </c>
      <c r="AE2035" s="6">
        <v>0</v>
      </c>
      <c r="AF2035" s="6">
        <v>0</v>
      </c>
      <c r="AG2035" s="6">
        <v>102.15</v>
      </c>
      <c r="AH2035" s="6">
        <v>131.57</v>
      </c>
      <c r="AI2035" s="6">
        <f t="shared" si="62"/>
        <v>29.419999999999987</v>
      </c>
      <c r="AJ2035" s="5">
        <f t="shared" si="63"/>
        <v>0.22360720528995964</v>
      </c>
    </row>
    <row r="2036" spans="1:36">
      <c r="A2036" t="s">
        <v>263</v>
      </c>
      <c r="B2036" t="s">
        <v>2321</v>
      </c>
      <c r="C2036" t="s">
        <v>106</v>
      </c>
      <c r="D2036" t="s">
        <v>54</v>
      </c>
      <c r="E2036" t="s">
        <v>55</v>
      </c>
      <c r="F2036">
        <v>0</v>
      </c>
      <c r="G2036">
        <v>2188</v>
      </c>
      <c r="H2036">
        <v>1</v>
      </c>
      <c r="I2036" t="s">
        <v>173</v>
      </c>
      <c r="J2036">
        <v>1</v>
      </c>
      <c r="K2036" s="6">
        <v>2.4500000000000002</v>
      </c>
      <c r="L2036" t="s">
        <v>174</v>
      </c>
      <c r="M2036">
        <v>0</v>
      </c>
      <c r="N2036" t="s">
        <v>187</v>
      </c>
      <c r="O2036">
        <v>2</v>
      </c>
      <c r="P2036">
        <v>0</v>
      </c>
      <c r="Q2036" s="6">
        <v>67.400000000000006</v>
      </c>
      <c r="R2036">
        <v>1</v>
      </c>
      <c r="S2036" s="6">
        <v>1134</v>
      </c>
      <c r="T2036">
        <v>0</v>
      </c>
      <c r="U2036" s="6">
        <v>1142</v>
      </c>
      <c r="V2036">
        <v>0</v>
      </c>
      <c r="W2036">
        <v>0</v>
      </c>
      <c r="X2036">
        <v>0</v>
      </c>
      <c r="Y2036" s="6">
        <v>47.6</v>
      </c>
      <c r="Z2036">
        <v>7.6999999999999999E-2</v>
      </c>
      <c r="AA2036">
        <v>0.14399999999999999</v>
      </c>
      <c r="AB2036">
        <v>2.5000000000000001E-2</v>
      </c>
      <c r="AC2036">
        <v>6</v>
      </c>
      <c r="AD2036" s="6">
        <v>50</v>
      </c>
      <c r="AE2036" s="6">
        <v>25</v>
      </c>
      <c r="AF2036" s="6">
        <v>0</v>
      </c>
      <c r="AG2036" s="6">
        <v>57.16</v>
      </c>
      <c r="AH2036" s="6">
        <v>75.400000000000006</v>
      </c>
      <c r="AI2036" s="6">
        <f t="shared" si="62"/>
        <v>18.240000000000009</v>
      </c>
      <c r="AJ2036" s="5">
        <f t="shared" si="63"/>
        <v>0.24190981432360753</v>
      </c>
    </row>
    <row r="2037" spans="1:36">
      <c r="A2037" t="s">
        <v>423</v>
      </c>
      <c r="B2037" t="s">
        <v>2322</v>
      </c>
      <c r="C2037" t="s">
        <v>106</v>
      </c>
      <c r="D2037" t="s">
        <v>54</v>
      </c>
      <c r="E2037" t="s">
        <v>55</v>
      </c>
      <c r="F2037">
        <v>0</v>
      </c>
      <c r="G2037">
        <v>2188</v>
      </c>
      <c r="H2037">
        <v>1</v>
      </c>
      <c r="I2037" t="s">
        <v>220</v>
      </c>
      <c r="J2037">
        <v>2</v>
      </c>
      <c r="K2037" s="6">
        <v>3.28</v>
      </c>
      <c r="L2037" t="s">
        <v>200</v>
      </c>
      <c r="M2037">
        <v>1</v>
      </c>
      <c r="N2037" t="s">
        <v>217</v>
      </c>
      <c r="O2037">
        <v>4</v>
      </c>
      <c r="P2037">
        <v>1</v>
      </c>
      <c r="Q2037" s="6">
        <v>149.4</v>
      </c>
      <c r="R2037">
        <v>0</v>
      </c>
      <c r="S2037" s="6">
        <v>0</v>
      </c>
      <c r="T2037">
        <v>0</v>
      </c>
      <c r="U2037" s="6">
        <v>2673</v>
      </c>
      <c r="V2037">
        <v>0</v>
      </c>
      <c r="W2037">
        <v>0</v>
      </c>
      <c r="X2037">
        <v>0</v>
      </c>
      <c r="Y2037" s="6">
        <v>47.6</v>
      </c>
      <c r="Z2037">
        <v>7.6999999999999999E-2</v>
      </c>
      <c r="AA2037">
        <v>0.14399999999999999</v>
      </c>
      <c r="AB2037">
        <v>2.5000000000000001E-2</v>
      </c>
      <c r="AC2037">
        <v>6</v>
      </c>
      <c r="AD2037" s="6">
        <v>119</v>
      </c>
      <c r="AE2037" s="6">
        <v>0</v>
      </c>
      <c r="AF2037" s="6">
        <v>0</v>
      </c>
      <c r="AG2037" s="6">
        <v>156.05000000000001</v>
      </c>
      <c r="AH2037" s="6">
        <v>196.73</v>
      </c>
      <c r="AI2037" s="6">
        <f t="shared" si="62"/>
        <v>40.679999999999978</v>
      </c>
      <c r="AJ2037" s="5">
        <f t="shared" si="63"/>
        <v>0.20678086717836619</v>
      </c>
    </row>
    <row r="2038" spans="1:36">
      <c r="A2038" t="s">
        <v>198</v>
      </c>
      <c r="B2038" t="s">
        <v>2323</v>
      </c>
      <c r="C2038" t="s">
        <v>106</v>
      </c>
      <c r="D2038" t="s">
        <v>54</v>
      </c>
      <c r="E2038" t="s">
        <v>55</v>
      </c>
      <c r="F2038">
        <v>0</v>
      </c>
      <c r="G2038">
        <v>2188</v>
      </c>
      <c r="H2038">
        <v>1</v>
      </c>
      <c r="I2038" t="s">
        <v>173</v>
      </c>
      <c r="J2038">
        <v>1</v>
      </c>
      <c r="K2038" s="6">
        <v>1.55</v>
      </c>
      <c r="L2038" t="s">
        <v>174</v>
      </c>
      <c r="M2038">
        <v>0</v>
      </c>
      <c r="N2038" t="s">
        <v>187</v>
      </c>
      <c r="O2038">
        <v>2</v>
      </c>
      <c r="P2038">
        <v>0</v>
      </c>
      <c r="Q2038" s="6">
        <v>70.2</v>
      </c>
      <c r="R2038">
        <v>1</v>
      </c>
      <c r="S2038" s="6">
        <v>1546</v>
      </c>
      <c r="T2038">
        <v>0</v>
      </c>
      <c r="U2038" s="6">
        <v>5066</v>
      </c>
      <c r="V2038">
        <v>0</v>
      </c>
      <c r="W2038">
        <v>0</v>
      </c>
      <c r="X2038">
        <v>0</v>
      </c>
      <c r="Y2038" s="6">
        <v>47.6</v>
      </c>
      <c r="Z2038">
        <v>7.6999999999999999E-2</v>
      </c>
      <c r="AA2038">
        <v>0.14399999999999999</v>
      </c>
      <c r="AB2038">
        <v>2.5000000000000001E-2</v>
      </c>
      <c r="AC2038">
        <v>6</v>
      </c>
      <c r="AD2038" s="6">
        <v>50</v>
      </c>
      <c r="AE2038" s="6">
        <v>25</v>
      </c>
      <c r="AF2038" s="6">
        <v>0</v>
      </c>
      <c r="AG2038" s="6">
        <v>61.19</v>
      </c>
      <c r="AH2038" s="6">
        <v>78.650000000000006</v>
      </c>
      <c r="AI2038" s="6">
        <f t="shared" si="62"/>
        <v>17.460000000000008</v>
      </c>
      <c r="AJ2038" s="5">
        <f t="shared" si="63"/>
        <v>0.22199618563254936</v>
      </c>
    </row>
    <row r="2039" spans="1:36">
      <c r="A2039" t="s">
        <v>328</v>
      </c>
      <c r="B2039" t="s">
        <v>2324</v>
      </c>
      <c r="C2039" t="s">
        <v>106</v>
      </c>
      <c r="D2039" t="s">
        <v>54</v>
      </c>
      <c r="E2039" t="s">
        <v>55</v>
      </c>
      <c r="F2039">
        <v>0</v>
      </c>
      <c r="G2039">
        <v>2188</v>
      </c>
      <c r="H2039">
        <v>1</v>
      </c>
      <c r="I2039" t="s">
        <v>220</v>
      </c>
      <c r="J2039">
        <v>2</v>
      </c>
      <c r="K2039" s="6">
        <v>3.94</v>
      </c>
      <c r="L2039" t="s">
        <v>200</v>
      </c>
      <c r="M2039">
        <v>1</v>
      </c>
      <c r="N2039" t="s">
        <v>187</v>
      </c>
      <c r="O2039">
        <v>2</v>
      </c>
      <c r="P2039">
        <v>1</v>
      </c>
      <c r="Q2039" s="6">
        <v>38.4</v>
      </c>
      <c r="R2039">
        <v>1</v>
      </c>
      <c r="S2039" s="6">
        <v>1337</v>
      </c>
      <c r="T2039">
        <v>0</v>
      </c>
      <c r="U2039" s="6">
        <v>3599</v>
      </c>
      <c r="V2039">
        <v>0</v>
      </c>
      <c r="W2039">
        <v>0</v>
      </c>
      <c r="X2039">
        <v>0</v>
      </c>
      <c r="Y2039" s="6">
        <v>47.6</v>
      </c>
      <c r="Z2039">
        <v>7.6999999999999999E-2</v>
      </c>
      <c r="AA2039">
        <v>0.14399999999999999</v>
      </c>
      <c r="AB2039">
        <v>2.5000000000000001E-2</v>
      </c>
      <c r="AC2039">
        <v>6</v>
      </c>
      <c r="AD2039" s="6">
        <v>119</v>
      </c>
      <c r="AE2039" s="6">
        <v>25</v>
      </c>
      <c r="AF2039" s="6">
        <v>0</v>
      </c>
      <c r="AG2039" s="6">
        <v>131.47</v>
      </c>
      <c r="AH2039" s="6">
        <v>168.35</v>
      </c>
      <c r="AI2039" s="6">
        <f t="shared" si="62"/>
        <v>36.879999999999995</v>
      </c>
      <c r="AJ2039" s="5">
        <f t="shared" si="63"/>
        <v>0.21906741906741906</v>
      </c>
    </row>
    <row r="2040" spans="1:36">
      <c r="A2040" t="s">
        <v>436</v>
      </c>
      <c r="B2040" t="s">
        <v>2325</v>
      </c>
      <c r="C2040" t="s">
        <v>106</v>
      </c>
      <c r="D2040" t="s">
        <v>54</v>
      </c>
      <c r="E2040" t="s">
        <v>55</v>
      </c>
      <c r="F2040">
        <v>0</v>
      </c>
      <c r="G2040">
        <v>2188</v>
      </c>
      <c r="H2040">
        <v>1</v>
      </c>
      <c r="I2040" t="s">
        <v>220</v>
      </c>
      <c r="J2040">
        <v>2</v>
      </c>
      <c r="K2040" s="6">
        <v>5.78</v>
      </c>
      <c r="L2040" t="s">
        <v>174</v>
      </c>
      <c r="M2040">
        <v>0</v>
      </c>
      <c r="N2040" t="s">
        <v>175</v>
      </c>
      <c r="O2040">
        <v>1</v>
      </c>
      <c r="P2040">
        <v>0</v>
      </c>
      <c r="Q2040" s="6">
        <v>44.4</v>
      </c>
      <c r="R2040">
        <v>1</v>
      </c>
      <c r="S2040" s="6">
        <v>3846</v>
      </c>
      <c r="T2040">
        <v>0</v>
      </c>
      <c r="U2040" s="6">
        <v>2091</v>
      </c>
      <c r="V2040">
        <v>1</v>
      </c>
      <c r="W2040">
        <v>0</v>
      </c>
      <c r="X2040">
        <v>0</v>
      </c>
      <c r="Y2040" s="6">
        <v>47.6</v>
      </c>
      <c r="Z2040">
        <v>7.6999999999999999E-2</v>
      </c>
      <c r="AA2040">
        <v>0.14399999999999999</v>
      </c>
      <c r="AB2040">
        <v>2.5000000000000001E-2</v>
      </c>
      <c r="AC2040">
        <v>6</v>
      </c>
      <c r="AD2040" s="6">
        <v>50</v>
      </c>
      <c r="AE2040" s="6">
        <v>40</v>
      </c>
      <c r="AF2040" s="6">
        <v>0</v>
      </c>
      <c r="AG2040" s="6">
        <v>105.04</v>
      </c>
      <c r="AH2040" s="6">
        <v>135.76</v>
      </c>
      <c r="AI2040" s="6">
        <f t="shared" si="62"/>
        <v>30.719999999999985</v>
      </c>
      <c r="AJ2040" s="5">
        <f t="shared" si="63"/>
        <v>0.2262816735415438</v>
      </c>
    </row>
    <row r="2041" spans="1:36">
      <c r="A2041" t="s">
        <v>434</v>
      </c>
      <c r="B2041" t="s">
        <v>2326</v>
      </c>
      <c r="C2041" t="s">
        <v>106</v>
      </c>
      <c r="D2041" t="s">
        <v>54</v>
      </c>
      <c r="E2041" t="s">
        <v>55</v>
      </c>
      <c r="F2041">
        <v>0</v>
      </c>
      <c r="G2041">
        <v>2188</v>
      </c>
      <c r="H2041">
        <v>1</v>
      </c>
      <c r="I2041" t="s">
        <v>220</v>
      </c>
      <c r="J2041">
        <v>2</v>
      </c>
      <c r="K2041" s="6">
        <v>1.54</v>
      </c>
      <c r="L2041" t="s">
        <v>174</v>
      </c>
      <c r="M2041">
        <v>0</v>
      </c>
      <c r="N2041" t="s">
        <v>175</v>
      </c>
      <c r="O2041">
        <v>1</v>
      </c>
      <c r="P2041">
        <v>0</v>
      </c>
      <c r="Q2041" s="6">
        <v>37.200000000000003</v>
      </c>
      <c r="R2041">
        <v>0</v>
      </c>
      <c r="S2041" s="6">
        <v>0</v>
      </c>
      <c r="T2041">
        <v>0</v>
      </c>
      <c r="U2041" s="6">
        <v>2878</v>
      </c>
      <c r="V2041">
        <v>0</v>
      </c>
      <c r="W2041">
        <v>0</v>
      </c>
      <c r="X2041">
        <v>1</v>
      </c>
      <c r="Y2041" s="6">
        <v>47.6</v>
      </c>
      <c r="Z2041">
        <v>7.6999999999999999E-2</v>
      </c>
      <c r="AA2041">
        <v>0.14399999999999999</v>
      </c>
      <c r="AB2041">
        <v>2.5000000000000001E-2</v>
      </c>
      <c r="AC2041">
        <v>6</v>
      </c>
      <c r="AD2041" s="6">
        <v>50</v>
      </c>
      <c r="AE2041" s="6">
        <v>0</v>
      </c>
      <c r="AF2041" s="6">
        <v>0</v>
      </c>
      <c r="AG2041" s="6">
        <v>58.25</v>
      </c>
      <c r="AH2041" s="6">
        <v>73.5</v>
      </c>
      <c r="AI2041" s="6">
        <f t="shared" si="62"/>
        <v>15.25</v>
      </c>
      <c r="AJ2041" s="5">
        <f t="shared" si="63"/>
        <v>0.20748299319727892</v>
      </c>
    </row>
    <row r="2042" spans="1:36">
      <c r="A2042" t="s">
        <v>171</v>
      </c>
      <c r="B2042" t="s">
        <v>2327</v>
      </c>
      <c r="C2042" t="s">
        <v>106</v>
      </c>
      <c r="D2042" t="s">
        <v>54</v>
      </c>
      <c r="E2042" t="s">
        <v>55</v>
      </c>
      <c r="F2042">
        <v>0</v>
      </c>
      <c r="G2042">
        <v>2188</v>
      </c>
      <c r="H2042">
        <v>1</v>
      </c>
      <c r="I2042" t="s">
        <v>220</v>
      </c>
      <c r="J2042">
        <v>2</v>
      </c>
      <c r="K2042" s="6">
        <v>3.34</v>
      </c>
      <c r="L2042" t="s">
        <v>174</v>
      </c>
      <c r="M2042">
        <v>0</v>
      </c>
      <c r="N2042" t="s">
        <v>175</v>
      </c>
      <c r="O2042">
        <v>1</v>
      </c>
      <c r="P2042">
        <v>1</v>
      </c>
      <c r="Q2042" s="6">
        <v>47.3</v>
      </c>
      <c r="R2042">
        <v>1</v>
      </c>
      <c r="S2042" s="6">
        <v>1894</v>
      </c>
      <c r="T2042">
        <v>0</v>
      </c>
      <c r="U2042" s="6">
        <v>1334</v>
      </c>
      <c r="V2042">
        <v>0</v>
      </c>
      <c r="W2042">
        <v>1</v>
      </c>
      <c r="X2042">
        <v>0</v>
      </c>
      <c r="Y2042" s="6">
        <v>47.6</v>
      </c>
      <c r="Z2042">
        <v>7.6999999999999999E-2</v>
      </c>
      <c r="AA2042">
        <v>0.14399999999999999</v>
      </c>
      <c r="AB2042">
        <v>2.5000000000000001E-2</v>
      </c>
      <c r="AC2042">
        <v>6</v>
      </c>
      <c r="AD2042" s="6">
        <v>50</v>
      </c>
      <c r="AE2042" s="6">
        <v>25</v>
      </c>
      <c r="AF2042" s="6">
        <v>0</v>
      </c>
      <c r="AG2042" s="6">
        <v>110.73</v>
      </c>
      <c r="AH2042" s="6">
        <v>143.28</v>
      </c>
      <c r="AI2042" s="6">
        <f t="shared" si="62"/>
        <v>32.549999999999997</v>
      </c>
      <c r="AJ2042" s="5">
        <f t="shared" si="63"/>
        <v>0.22717755443886095</v>
      </c>
    </row>
    <row r="2043" spans="1:36">
      <c r="A2043" t="s">
        <v>188</v>
      </c>
      <c r="B2043" t="s">
        <v>2328</v>
      </c>
      <c r="C2043" t="s">
        <v>106</v>
      </c>
      <c r="D2043" t="s">
        <v>54</v>
      </c>
      <c r="E2043" t="s">
        <v>55</v>
      </c>
      <c r="F2043">
        <v>0</v>
      </c>
      <c r="G2043">
        <v>2188</v>
      </c>
      <c r="H2043">
        <v>1</v>
      </c>
      <c r="I2043" t="s">
        <v>173</v>
      </c>
      <c r="J2043">
        <v>1</v>
      </c>
      <c r="K2043" s="6">
        <v>2.41</v>
      </c>
      <c r="L2043" t="s">
        <v>174</v>
      </c>
      <c r="M2043">
        <v>0</v>
      </c>
      <c r="N2043" t="s">
        <v>175</v>
      </c>
      <c r="O2043">
        <v>1</v>
      </c>
      <c r="P2043">
        <v>0</v>
      </c>
      <c r="Q2043" s="6">
        <v>37.6</v>
      </c>
      <c r="R2043">
        <v>0</v>
      </c>
      <c r="S2043" s="6">
        <v>0</v>
      </c>
      <c r="T2043">
        <v>0</v>
      </c>
      <c r="U2043" s="6">
        <v>4856</v>
      </c>
      <c r="V2043">
        <v>0</v>
      </c>
      <c r="W2043">
        <v>0</v>
      </c>
      <c r="X2043">
        <v>0</v>
      </c>
      <c r="Y2043" s="6">
        <v>47.6</v>
      </c>
      <c r="Z2043">
        <v>7.6999999999999999E-2</v>
      </c>
      <c r="AA2043">
        <v>0.14399999999999999</v>
      </c>
      <c r="AB2043">
        <v>2.5000000000000001E-2</v>
      </c>
      <c r="AC2043">
        <v>6</v>
      </c>
      <c r="AD2043" s="6">
        <v>50</v>
      </c>
      <c r="AE2043" s="6">
        <v>0</v>
      </c>
      <c r="AF2043" s="6">
        <v>0</v>
      </c>
      <c r="AG2043" s="6">
        <v>47.31</v>
      </c>
      <c r="AH2043" s="6">
        <v>59.82</v>
      </c>
      <c r="AI2043" s="6">
        <f t="shared" si="62"/>
        <v>12.509999999999998</v>
      </c>
      <c r="AJ2043" s="5">
        <f t="shared" si="63"/>
        <v>0.20912738214643928</v>
      </c>
    </row>
    <row r="2044" spans="1:36">
      <c r="A2044" t="s">
        <v>230</v>
      </c>
      <c r="B2044" t="s">
        <v>2329</v>
      </c>
      <c r="C2044" t="s">
        <v>106</v>
      </c>
      <c r="D2044" t="s">
        <v>54</v>
      </c>
      <c r="E2044" t="s">
        <v>55</v>
      </c>
      <c r="F2044">
        <v>0</v>
      </c>
      <c r="G2044">
        <v>2188</v>
      </c>
      <c r="H2044">
        <v>1</v>
      </c>
      <c r="I2044" t="s">
        <v>220</v>
      </c>
      <c r="J2044">
        <v>2</v>
      </c>
      <c r="K2044" s="6">
        <v>1.73</v>
      </c>
      <c r="L2044" t="s">
        <v>174</v>
      </c>
      <c r="M2044">
        <v>0</v>
      </c>
      <c r="N2044" t="s">
        <v>175</v>
      </c>
      <c r="O2044">
        <v>1</v>
      </c>
      <c r="P2044">
        <v>0</v>
      </c>
      <c r="Q2044" s="6">
        <v>41.7</v>
      </c>
      <c r="R2044">
        <v>1</v>
      </c>
      <c r="S2044" s="6">
        <v>2016</v>
      </c>
      <c r="T2044">
        <v>0</v>
      </c>
      <c r="U2044" s="6">
        <v>2546</v>
      </c>
      <c r="V2044">
        <v>0</v>
      </c>
      <c r="W2044">
        <v>0</v>
      </c>
      <c r="X2044">
        <v>0</v>
      </c>
      <c r="Y2044" s="6">
        <v>47.6</v>
      </c>
      <c r="Z2044">
        <v>7.6999999999999999E-2</v>
      </c>
      <c r="AA2044">
        <v>0.14399999999999999</v>
      </c>
      <c r="AB2044">
        <v>2.5000000000000001E-2</v>
      </c>
      <c r="AC2044">
        <v>6</v>
      </c>
      <c r="AD2044" s="6">
        <v>50</v>
      </c>
      <c r="AE2044" s="6">
        <v>40</v>
      </c>
      <c r="AF2044" s="6">
        <v>0</v>
      </c>
      <c r="AG2044" s="6">
        <v>61.77</v>
      </c>
      <c r="AH2044" s="6">
        <v>77.64</v>
      </c>
      <c r="AI2044" s="6">
        <f t="shared" si="62"/>
        <v>15.869999999999997</v>
      </c>
      <c r="AJ2044" s="5">
        <f t="shared" si="63"/>
        <v>0.20440494590417307</v>
      </c>
    </row>
    <row r="2045" spans="1:36">
      <c r="A2045" t="s">
        <v>401</v>
      </c>
      <c r="B2045" t="s">
        <v>2330</v>
      </c>
      <c r="C2045" t="s">
        <v>106</v>
      </c>
      <c r="D2045" t="s">
        <v>54</v>
      </c>
      <c r="E2045" t="s">
        <v>55</v>
      </c>
      <c r="F2045">
        <v>0</v>
      </c>
      <c r="G2045">
        <v>2188</v>
      </c>
      <c r="H2045">
        <v>1</v>
      </c>
      <c r="I2045" t="s">
        <v>220</v>
      </c>
      <c r="J2045">
        <v>2</v>
      </c>
      <c r="K2045" s="6">
        <v>3.32</v>
      </c>
      <c r="L2045" t="s">
        <v>174</v>
      </c>
      <c r="M2045">
        <v>0</v>
      </c>
      <c r="N2045" t="s">
        <v>187</v>
      </c>
      <c r="O2045">
        <v>2</v>
      </c>
      <c r="P2045">
        <v>0</v>
      </c>
      <c r="Q2045" s="6">
        <v>79.7</v>
      </c>
      <c r="R2045">
        <v>0</v>
      </c>
      <c r="S2045" s="6">
        <v>0</v>
      </c>
      <c r="T2045">
        <v>0</v>
      </c>
      <c r="U2045" s="6">
        <v>1867</v>
      </c>
      <c r="V2045">
        <v>0</v>
      </c>
      <c r="W2045">
        <v>0</v>
      </c>
      <c r="X2045">
        <v>0</v>
      </c>
      <c r="Y2045" s="6">
        <v>47.6</v>
      </c>
      <c r="Z2045">
        <v>7.6999999999999999E-2</v>
      </c>
      <c r="AA2045">
        <v>0.14399999999999999</v>
      </c>
      <c r="AB2045">
        <v>2.5000000000000001E-2</v>
      </c>
      <c r="AC2045">
        <v>6</v>
      </c>
      <c r="AD2045" s="6">
        <v>50</v>
      </c>
      <c r="AE2045" s="6">
        <v>0</v>
      </c>
      <c r="AF2045" s="6">
        <v>0</v>
      </c>
      <c r="AG2045" s="6">
        <v>66.44</v>
      </c>
      <c r="AH2045" s="6">
        <v>85.4</v>
      </c>
      <c r="AI2045" s="6">
        <f t="shared" si="62"/>
        <v>18.960000000000008</v>
      </c>
      <c r="AJ2045" s="5">
        <f t="shared" si="63"/>
        <v>0.22201405152224832</v>
      </c>
    </row>
    <row r="2046" spans="1:36">
      <c r="A2046" t="s">
        <v>201</v>
      </c>
      <c r="B2046" t="s">
        <v>2331</v>
      </c>
      <c r="C2046" t="s">
        <v>106</v>
      </c>
      <c r="D2046" t="s">
        <v>54</v>
      </c>
      <c r="E2046" t="s">
        <v>55</v>
      </c>
      <c r="F2046">
        <v>0</v>
      </c>
      <c r="G2046">
        <v>2188</v>
      </c>
      <c r="H2046">
        <v>1</v>
      </c>
      <c r="I2046" t="s">
        <v>181</v>
      </c>
      <c r="J2046">
        <v>3</v>
      </c>
      <c r="K2046" s="6">
        <v>8.39</v>
      </c>
      <c r="L2046" t="s">
        <v>174</v>
      </c>
      <c r="M2046">
        <v>0</v>
      </c>
      <c r="N2046" t="s">
        <v>182</v>
      </c>
      <c r="O2046">
        <v>3</v>
      </c>
      <c r="P2046">
        <v>0</v>
      </c>
      <c r="Q2046" s="6">
        <v>111.7</v>
      </c>
      <c r="R2046">
        <v>0</v>
      </c>
      <c r="S2046" s="6">
        <v>0</v>
      </c>
      <c r="T2046">
        <v>0</v>
      </c>
      <c r="U2046" s="6">
        <v>7597</v>
      </c>
      <c r="V2046">
        <v>0</v>
      </c>
      <c r="W2046">
        <v>0</v>
      </c>
      <c r="X2046">
        <v>0</v>
      </c>
      <c r="Y2046" s="6">
        <v>47.6</v>
      </c>
      <c r="Z2046">
        <v>7.6999999999999999E-2</v>
      </c>
      <c r="AA2046">
        <v>0.14399999999999999</v>
      </c>
      <c r="AB2046">
        <v>2.5000000000000001E-2</v>
      </c>
      <c r="AC2046">
        <v>6</v>
      </c>
      <c r="AD2046" s="6">
        <v>60</v>
      </c>
      <c r="AE2046" s="6">
        <v>0</v>
      </c>
      <c r="AF2046" s="6">
        <v>0</v>
      </c>
      <c r="AG2046" s="6">
        <v>98.55</v>
      </c>
      <c r="AH2046" s="6">
        <v>127.71</v>
      </c>
      <c r="AI2046" s="6">
        <f t="shared" si="62"/>
        <v>29.159999999999997</v>
      </c>
      <c r="AJ2046" s="5">
        <f t="shared" si="63"/>
        <v>0.22832980972515854</v>
      </c>
    </row>
    <row r="2047" spans="1:36">
      <c r="A2047" t="s">
        <v>225</v>
      </c>
      <c r="B2047" t="s">
        <v>2332</v>
      </c>
      <c r="C2047" t="s">
        <v>106</v>
      </c>
      <c r="D2047" t="s">
        <v>54</v>
      </c>
      <c r="E2047" t="s">
        <v>55</v>
      </c>
      <c r="F2047">
        <v>0</v>
      </c>
      <c r="G2047">
        <v>2188</v>
      </c>
      <c r="H2047">
        <v>1</v>
      </c>
      <c r="I2047" t="s">
        <v>220</v>
      </c>
      <c r="J2047">
        <v>2</v>
      </c>
      <c r="K2047" s="6">
        <v>4.05</v>
      </c>
      <c r="L2047" t="s">
        <v>174</v>
      </c>
      <c r="M2047">
        <v>0</v>
      </c>
      <c r="N2047" t="s">
        <v>175</v>
      </c>
      <c r="O2047">
        <v>1</v>
      </c>
      <c r="P2047">
        <v>0</v>
      </c>
      <c r="Q2047" s="6">
        <v>43</v>
      </c>
      <c r="R2047">
        <v>0</v>
      </c>
      <c r="S2047" s="6">
        <v>0</v>
      </c>
      <c r="T2047">
        <v>0</v>
      </c>
      <c r="U2047" s="6">
        <v>2042</v>
      </c>
      <c r="V2047">
        <v>0</v>
      </c>
      <c r="W2047">
        <v>0</v>
      </c>
      <c r="X2047">
        <v>0</v>
      </c>
      <c r="Y2047" s="6">
        <v>47.6</v>
      </c>
      <c r="Z2047">
        <v>7.6999999999999999E-2</v>
      </c>
      <c r="AA2047">
        <v>0.14399999999999999</v>
      </c>
      <c r="AB2047">
        <v>2.5000000000000001E-2</v>
      </c>
      <c r="AC2047">
        <v>6</v>
      </c>
      <c r="AD2047" s="6">
        <v>50</v>
      </c>
      <c r="AE2047" s="6">
        <v>0</v>
      </c>
      <c r="AF2047" s="6">
        <v>0</v>
      </c>
      <c r="AG2047" s="6">
        <v>50.31</v>
      </c>
      <c r="AH2047" s="6">
        <v>63.78</v>
      </c>
      <c r="AI2047" s="6">
        <f t="shared" si="62"/>
        <v>13.469999999999999</v>
      </c>
      <c r="AJ2047" s="5">
        <f t="shared" si="63"/>
        <v>0.21119473189087487</v>
      </c>
    </row>
    <row r="2048" spans="1:36">
      <c r="A2048" t="s">
        <v>436</v>
      </c>
      <c r="B2048" t="s">
        <v>2333</v>
      </c>
      <c r="C2048" t="s">
        <v>106</v>
      </c>
      <c r="D2048" t="s">
        <v>54</v>
      </c>
      <c r="E2048" t="s">
        <v>55</v>
      </c>
      <c r="F2048">
        <v>0</v>
      </c>
      <c r="G2048">
        <v>2188</v>
      </c>
      <c r="H2048">
        <v>1</v>
      </c>
      <c r="I2048" t="s">
        <v>220</v>
      </c>
      <c r="J2048">
        <v>2</v>
      </c>
      <c r="K2048" s="6">
        <v>2.85</v>
      </c>
      <c r="L2048" t="s">
        <v>174</v>
      </c>
      <c r="M2048">
        <v>0</v>
      </c>
      <c r="N2048" t="s">
        <v>217</v>
      </c>
      <c r="O2048">
        <v>4</v>
      </c>
      <c r="P2048">
        <v>1</v>
      </c>
      <c r="Q2048" s="6">
        <v>154.80000000000001</v>
      </c>
      <c r="R2048">
        <v>0</v>
      </c>
      <c r="S2048" s="6">
        <v>0</v>
      </c>
      <c r="T2048">
        <v>0</v>
      </c>
      <c r="U2048" s="6">
        <v>1551</v>
      </c>
      <c r="V2048">
        <v>0</v>
      </c>
      <c r="W2048">
        <v>0</v>
      </c>
      <c r="X2048">
        <v>0</v>
      </c>
      <c r="Y2048" s="6">
        <v>47.6</v>
      </c>
      <c r="Z2048">
        <v>7.6999999999999999E-2</v>
      </c>
      <c r="AA2048">
        <v>0.14399999999999999</v>
      </c>
      <c r="AB2048">
        <v>2.5000000000000001E-2</v>
      </c>
      <c r="AC2048">
        <v>6</v>
      </c>
      <c r="AD2048" s="6">
        <v>50</v>
      </c>
      <c r="AE2048" s="6">
        <v>0</v>
      </c>
      <c r="AF2048" s="6">
        <v>0</v>
      </c>
      <c r="AG2048" s="6">
        <v>110.18</v>
      </c>
      <c r="AH2048" s="6">
        <v>139.59</v>
      </c>
      <c r="AI2048" s="6">
        <f t="shared" si="62"/>
        <v>29.409999999999997</v>
      </c>
      <c r="AJ2048" s="5">
        <f t="shared" si="63"/>
        <v>0.2106884447309979</v>
      </c>
    </row>
    <row r="2049" spans="1:36">
      <c r="A2049" t="s">
        <v>306</v>
      </c>
      <c r="B2049" t="s">
        <v>2334</v>
      </c>
      <c r="C2049" t="s">
        <v>106</v>
      </c>
      <c r="D2049" t="s">
        <v>54</v>
      </c>
      <c r="E2049" t="s">
        <v>55</v>
      </c>
      <c r="F2049">
        <v>0</v>
      </c>
      <c r="G2049">
        <v>2188</v>
      </c>
      <c r="H2049">
        <v>1</v>
      </c>
      <c r="I2049" t="s">
        <v>173</v>
      </c>
      <c r="J2049">
        <v>1</v>
      </c>
      <c r="K2049" s="6">
        <v>1.43</v>
      </c>
      <c r="L2049" t="s">
        <v>174</v>
      </c>
      <c r="M2049">
        <v>0</v>
      </c>
      <c r="N2049" t="s">
        <v>175</v>
      </c>
      <c r="O2049">
        <v>1</v>
      </c>
      <c r="P2049">
        <v>1</v>
      </c>
      <c r="Q2049" s="6">
        <v>23</v>
      </c>
      <c r="R2049">
        <v>1</v>
      </c>
      <c r="S2049" s="6">
        <v>2262</v>
      </c>
      <c r="T2049">
        <v>0</v>
      </c>
      <c r="U2049" s="6">
        <v>12449</v>
      </c>
      <c r="V2049">
        <v>0</v>
      </c>
      <c r="W2049">
        <v>0</v>
      </c>
      <c r="X2049">
        <v>0</v>
      </c>
      <c r="Y2049" s="6">
        <v>47.6</v>
      </c>
      <c r="Z2049">
        <v>7.6999999999999999E-2</v>
      </c>
      <c r="AA2049">
        <v>0.14399999999999999</v>
      </c>
      <c r="AB2049">
        <v>2.5000000000000001E-2</v>
      </c>
      <c r="AC2049">
        <v>6</v>
      </c>
      <c r="AD2049" s="6">
        <v>50</v>
      </c>
      <c r="AE2049" s="6">
        <v>40</v>
      </c>
      <c r="AF2049" s="6">
        <v>0</v>
      </c>
      <c r="AG2049" s="6">
        <v>73.540000000000006</v>
      </c>
      <c r="AH2049" s="6">
        <v>93.06</v>
      </c>
      <c r="AI2049" s="6">
        <f t="shared" si="62"/>
        <v>19.519999999999996</v>
      </c>
      <c r="AJ2049" s="5">
        <f t="shared" si="63"/>
        <v>0.20975714592735864</v>
      </c>
    </row>
    <row r="2050" spans="1:36">
      <c r="A2050" t="s">
        <v>266</v>
      </c>
      <c r="B2050" t="s">
        <v>2335</v>
      </c>
      <c r="C2050" t="s">
        <v>106</v>
      </c>
      <c r="D2050" t="s">
        <v>54</v>
      </c>
      <c r="E2050" t="s">
        <v>55</v>
      </c>
      <c r="F2050">
        <v>0</v>
      </c>
      <c r="G2050">
        <v>2188</v>
      </c>
      <c r="H2050">
        <v>1</v>
      </c>
      <c r="I2050" t="s">
        <v>173</v>
      </c>
      <c r="J2050">
        <v>1</v>
      </c>
      <c r="K2050" s="6">
        <v>1.36</v>
      </c>
      <c r="L2050" t="s">
        <v>174</v>
      </c>
      <c r="M2050">
        <v>0</v>
      </c>
      <c r="N2050" t="s">
        <v>272</v>
      </c>
      <c r="O2050">
        <v>5</v>
      </c>
      <c r="P2050">
        <v>1</v>
      </c>
      <c r="Q2050" s="6">
        <v>205.4</v>
      </c>
      <c r="R2050">
        <v>0</v>
      </c>
      <c r="S2050" s="6">
        <v>0</v>
      </c>
      <c r="T2050">
        <v>0</v>
      </c>
      <c r="U2050" s="6">
        <v>1930</v>
      </c>
      <c r="V2050">
        <v>0</v>
      </c>
      <c r="W2050">
        <v>0</v>
      </c>
      <c r="X2050">
        <v>0</v>
      </c>
      <c r="Y2050" s="6">
        <v>47.6</v>
      </c>
      <c r="Z2050">
        <v>7.6999999999999999E-2</v>
      </c>
      <c r="AA2050">
        <v>0.14399999999999999</v>
      </c>
      <c r="AB2050">
        <v>2.5000000000000001E-2</v>
      </c>
      <c r="AC2050">
        <v>6</v>
      </c>
      <c r="AD2050" s="6">
        <v>50</v>
      </c>
      <c r="AE2050" s="6">
        <v>0</v>
      </c>
      <c r="AF2050" s="6">
        <v>0</v>
      </c>
      <c r="AG2050" s="6">
        <v>144.6</v>
      </c>
      <c r="AH2050" s="6">
        <v>181.05</v>
      </c>
      <c r="AI2050" s="6">
        <f t="shared" ref="AI2050:AI2113" si="64">AH2050-AG2050</f>
        <v>36.450000000000017</v>
      </c>
      <c r="AJ2050" s="5">
        <f t="shared" ref="AJ2050:AJ2113" si="65">IFERROR(AI2050/AH2050,0)</f>
        <v>0.20132560066280042</v>
      </c>
    </row>
    <row r="2051" spans="1:36">
      <c r="A2051" t="s">
        <v>338</v>
      </c>
      <c r="B2051" t="s">
        <v>2336</v>
      </c>
      <c r="C2051" t="s">
        <v>106</v>
      </c>
      <c r="D2051" t="s">
        <v>54</v>
      </c>
      <c r="E2051" t="s">
        <v>55</v>
      </c>
      <c r="F2051">
        <v>0</v>
      </c>
      <c r="G2051">
        <v>2188</v>
      </c>
      <c r="H2051">
        <v>1</v>
      </c>
      <c r="I2051" t="s">
        <v>173</v>
      </c>
      <c r="J2051">
        <v>1</v>
      </c>
      <c r="K2051" s="6">
        <v>1.27</v>
      </c>
      <c r="L2051" t="s">
        <v>174</v>
      </c>
      <c r="M2051">
        <v>0</v>
      </c>
      <c r="N2051" t="s">
        <v>187</v>
      </c>
      <c r="O2051">
        <v>2</v>
      </c>
      <c r="P2051">
        <v>0</v>
      </c>
      <c r="Q2051" s="6">
        <v>50.6</v>
      </c>
      <c r="R2051">
        <v>0</v>
      </c>
      <c r="S2051" s="6">
        <v>0</v>
      </c>
      <c r="T2051">
        <v>0</v>
      </c>
      <c r="U2051" s="6">
        <v>2509</v>
      </c>
      <c r="V2051">
        <v>0</v>
      </c>
      <c r="W2051">
        <v>0</v>
      </c>
      <c r="X2051">
        <v>0</v>
      </c>
      <c r="Y2051" s="6">
        <v>47.6</v>
      </c>
      <c r="Z2051">
        <v>7.6999999999999999E-2</v>
      </c>
      <c r="AA2051">
        <v>0.14399999999999999</v>
      </c>
      <c r="AB2051">
        <v>2.5000000000000001E-2</v>
      </c>
      <c r="AC2051">
        <v>6</v>
      </c>
      <c r="AD2051" s="6">
        <v>50</v>
      </c>
      <c r="AE2051" s="6">
        <v>0</v>
      </c>
      <c r="AF2051" s="6">
        <v>0</v>
      </c>
      <c r="AG2051" s="6">
        <v>44.29</v>
      </c>
      <c r="AH2051" s="6">
        <v>58.98</v>
      </c>
      <c r="AI2051" s="6">
        <f t="shared" si="64"/>
        <v>14.689999999999998</v>
      </c>
      <c r="AJ2051" s="5">
        <f t="shared" si="65"/>
        <v>0.249067480501865</v>
      </c>
    </row>
    <row r="2052" spans="1:36">
      <c r="A2052" t="s">
        <v>183</v>
      </c>
      <c r="B2052" t="s">
        <v>2337</v>
      </c>
      <c r="C2052" t="s">
        <v>106</v>
      </c>
      <c r="D2052" t="s">
        <v>54</v>
      </c>
      <c r="E2052" t="s">
        <v>55</v>
      </c>
      <c r="F2052">
        <v>0</v>
      </c>
      <c r="G2052">
        <v>2188</v>
      </c>
      <c r="H2052">
        <v>1</v>
      </c>
      <c r="I2052" t="s">
        <v>173</v>
      </c>
      <c r="J2052">
        <v>1</v>
      </c>
      <c r="K2052" s="6">
        <v>2.31</v>
      </c>
      <c r="L2052" t="s">
        <v>174</v>
      </c>
      <c r="M2052">
        <v>0</v>
      </c>
      <c r="N2052" t="s">
        <v>187</v>
      </c>
      <c r="O2052">
        <v>2</v>
      </c>
      <c r="P2052">
        <v>0</v>
      </c>
      <c r="Q2052" s="6">
        <v>73.599999999999994</v>
      </c>
      <c r="R2052">
        <v>0</v>
      </c>
      <c r="S2052" s="6">
        <v>0</v>
      </c>
      <c r="T2052">
        <v>0</v>
      </c>
      <c r="U2052" s="6">
        <v>2247</v>
      </c>
      <c r="V2052">
        <v>0</v>
      </c>
      <c r="W2052">
        <v>0</v>
      </c>
      <c r="X2052">
        <v>0</v>
      </c>
      <c r="Y2052" s="6">
        <v>47.6</v>
      </c>
      <c r="Z2052">
        <v>7.6999999999999999E-2</v>
      </c>
      <c r="AA2052">
        <v>0.14399999999999999</v>
      </c>
      <c r="AB2052">
        <v>2.5000000000000001E-2</v>
      </c>
      <c r="AC2052">
        <v>6</v>
      </c>
      <c r="AD2052" s="6">
        <v>50</v>
      </c>
      <c r="AE2052" s="6">
        <v>0</v>
      </c>
      <c r="AF2052" s="6">
        <v>0</v>
      </c>
      <c r="AG2052" s="6">
        <v>51.92</v>
      </c>
      <c r="AH2052" s="6">
        <v>68.5</v>
      </c>
      <c r="AI2052" s="6">
        <f t="shared" si="64"/>
        <v>16.579999999999998</v>
      </c>
      <c r="AJ2052" s="5">
        <f t="shared" si="65"/>
        <v>0.24204379562043793</v>
      </c>
    </row>
    <row r="2053" spans="1:36">
      <c r="A2053" t="s">
        <v>537</v>
      </c>
      <c r="B2053" t="s">
        <v>2338</v>
      </c>
      <c r="C2053" t="s">
        <v>106</v>
      </c>
      <c r="D2053" t="s">
        <v>54</v>
      </c>
      <c r="E2053" t="s">
        <v>55</v>
      </c>
      <c r="F2053">
        <v>0</v>
      </c>
      <c r="G2053">
        <v>2188</v>
      </c>
      <c r="H2053">
        <v>1</v>
      </c>
      <c r="I2053" t="s">
        <v>220</v>
      </c>
      <c r="J2053">
        <v>2</v>
      </c>
      <c r="K2053" s="6">
        <v>3.55</v>
      </c>
      <c r="L2053" t="s">
        <v>174</v>
      </c>
      <c r="M2053">
        <v>0</v>
      </c>
      <c r="N2053" t="s">
        <v>182</v>
      </c>
      <c r="O2053">
        <v>3</v>
      </c>
      <c r="P2053">
        <v>0</v>
      </c>
      <c r="Q2053" s="6">
        <v>95.6</v>
      </c>
      <c r="R2053">
        <v>0</v>
      </c>
      <c r="S2053" s="6">
        <v>0</v>
      </c>
      <c r="T2053">
        <v>0</v>
      </c>
      <c r="U2053" s="6">
        <v>1158</v>
      </c>
      <c r="V2053">
        <v>0</v>
      </c>
      <c r="W2053">
        <v>0</v>
      </c>
      <c r="X2053">
        <v>0</v>
      </c>
      <c r="Y2053" s="6">
        <v>47.6</v>
      </c>
      <c r="Z2053">
        <v>7.6999999999999999E-2</v>
      </c>
      <c r="AA2053">
        <v>0.14399999999999999</v>
      </c>
      <c r="AB2053">
        <v>2.5000000000000001E-2</v>
      </c>
      <c r="AC2053">
        <v>6</v>
      </c>
      <c r="AD2053" s="6">
        <v>50</v>
      </c>
      <c r="AE2053" s="6">
        <v>0</v>
      </c>
      <c r="AF2053" s="6">
        <v>0</v>
      </c>
      <c r="AG2053" s="6">
        <v>74.819999999999993</v>
      </c>
      <c r="AH2053" s="6">
        <v>94.58</v>
      </c>
      <c r="AI2053" s="6">
        <f t="shared" si="64"/>
        <v>19.760000000000005</v>
      </c>
      <c r="AJ2053" s="5">
        <f t="shared" si="65"/>
        <v>0.20892366250792985</v>
      </c>
    </row>
    <row r="2054" spans="1:36">
      <c r="A2054" t="s">
        <v>457</v>
      </c>
      <c r="B2054" t="s">
        <v>2339</v>
      </c>
      <c r="C2054" t="s">
        <v>106</v>
      </c>
      <c r="D2054" t="s">
        <v>54</v>
      </c>
      <c r="E2054" t="s">
        <v>55</v>
      </c>
      <c r="F2054">
        <v>0</v>
      </c>
      <c r="G2054">
        <v>2188</v>
      </c>
      <c r="H2054">
        <v>1</v>
      </c>
      <c r="I2054" t="s">
        <v>173</v>
      </c>
      <c r="J2054">
        <v>1</v>
      </c>
      <c r="K2054" s="6">
        <v>1.58</v>
      </c>
      <c r="L2054" t="s">
        <v>174</v>
      </c>
      <c r="M2054">
        <v>0</v>
      </c>
      <c r="N2054" t="s">
        <v>187</v>
      </c>
      <c r="O2054">
        <v>2</v>
      </c>
      <c r="P2054">
        <v>0</v>
      </c>
      <c r="Q2054" s="6">
        <v>42.9</v>
      </c>
      <c r="R2054">
        <v>0</v>
      </c>
      <c r="S2054" s="6">
        <v>0</v>
      </c>
      <c r="T2054">
        <v>0</v>
      </c>
      <c r="U2054" s="6">
        <v>4594</v>
      </c>
      <c r="V2054">
        <v>0</v>
      </c>
      <c r="W2054">
        <v>0</v>
      </c>
      <c r="X2054">
        <v>1</v>
      </c>
      <c r="Y2054" s="6">
        <v>47.6</v>
      </c>
      <c r="Z2054">
        <v>7.6999999999999999E-2</v>
      </c>
      <c r="AA2054">
        <v>0.14399999999999999</v>
      </c>
      <c r="AB2054">
        <v>2.5000000000000001E-2</v>
      </c>
      <c r="AC2054">
        <v>6</v>
      </c>
      <c r="AD2054" s="6">
        <v>50</v>
      </c>
      <c r="AE2054" s="6">
        <v>0</v>
      </c>
      <c r="AF2054" s="6">
        <v>0</v>
      </c>
      <c r="AG2054" s="6">
        <v>54.93</v>
      </c>
      <c r="AH2054" s="6">
        <v>71.88</v>
      </c>
      <c r="AI2054" s="6">
        <f t="shared" si="64"/>
        <v>16.949999999999996</v>
      </c>
      <c r="AJ2054" s="5">
        <f t="shared" si="65"/>
        <v>0.2358096828046744</v>
      </c>
    </row>
    <row r="2055" spans="1:36">
      <c r="A2055" t="s">
        <v>406</v>
      </c>
      <c r="B2055" t="s">
        <v>2340</v>
      </c>
      <c r="C2055" t="s">
        <v>106</v>
      </c>
      <c r="D2055" t="s">
        <v>54</v>
      </c>
      <c r="E2055" t="s">
        <v>55</v>
      </c>
      <c r="F2055">
        <v>0</v>
      </c>
      <c r="G2055">
        <v>2188</v>
      </c>
      <c r="H2055">
        <v>1</v>
      </c>
      <c r="I2055" t="s">
        <v>181</v>
      </c>
      <c r="J2055">
        <v>3</v>
      </c>
      <c r="K2055" s="6">
        <v>10.49</v>
      </c>
      <c r="L2055" t="s">
        <v>174</v>
      </c>
      <c r="M2055">
        <v>0</v>
      </c>
      <c r="N2055" t="s">
        <v>175</v>
      </c>
      <c r="O2055">
        <v>1</v>
      </c>
      <c r="P2055">
        <v>0</v>
      </c>
      <c r="Q2055" s="6">
        <v>38.4</v>
      </c>
      <c r="R2055">
        <v>0</v>
      </c>
      <c r="S2055" s="6">
        <v>0</v>
      </c>
      <c r="T2055">
        <v>0</v>
      </c>
      <c r="U2055" s="6">
        <v>1865</v>
      </c>
      <c r="V2055">
        <v>0</v>
      </c>
      <c r="W2055">
        <v>0</v>
      </c>
      <c r="X2055">
        <v>0</v>
      </c>
      <c r="Y2055" s="6">
        <v>47.6</v>
      </c>
      <c r="Z2055">
        <v>7.6999999999999999E-2</v>
      </c>
      <c r="AA2055">
        <v>0.14399999999999999</v>
      </c>
      <c r="AB2055">
        <v>2.5000000000000001E-2</v>
      </c>
      <c r="AC2055">
        <v>6</v>
      </c>
      <c r="AD2055" s="6">
        <v>60</v>
      </c>
      <c r="AE2055" s="6">
        <v>0</v>
      </c>
      <c r="AF2055" s="6">
        <v>0</v>
      </c>
      <c r="AG2055" s="6">
        <v>92.14</v>
      </c>
      <c r="AH2055" s="6">
        <v>118.46</v>
      </c>
      <c r="AI2055" s="6">
        <f t="shared" si="64"/>
        <v>26.319999999999993</v>
      </c>
      <c r="AJ2055" s="5">
        <f t="shared" si="65"/>
        <v>0.22218470369745058</v>
      </c>
    </row>
    <row r="2056" spans="1:36">
      <c r="A2056" t="s">
        <v>277</v>
      </c>
      <c r="B2056" t="s">
        <v>2341</v>
      </c>
      <c r="C2056" t="s">
        <v>106</v>
      </c>
      <c r="D2056" t="s">
        <v>54</v>
      </c>
      <c r="E2056" t="s">
        <v>55</v>
      </c>
      <c r="F2056">
        <v>0</v>
      </c>
      <c r="G2056">
        <v>2188</v>
      </c>
      <c r="H2056">
        <v>1</v>
      </c>
      <c r="I2056" t="s">
        <v>181</v>
      </c>
      <c r="J2056">
        <v>3</v>
      </c>
      <c r="K2056" s="6">
        <v>9.1</v>
      </c>
      <c r="L2056" t="s">
        <v>174</v>
      </c>
      <c r="M2056">
        <v>0</v>
      </c>
      <c r="N2056" t="s">
        <v>182</v>
      </c>
      <c r="O2056">
        <v>3</v>
      </c>
      <c r="P2056">
        <v>0</v>
      </c>
      <c r="Q2056" s="6">
        <v>136</v>
      </c>
      <c r="R2056">
        <v>0</v>
      </c>
      <c r="S2056" s="6">
        <v>0</v>
      </c>
      <c r="T2056">
        <v>0</v>
      </c>
      <c r="U2056" s="6">
        <v>1035</v>
      </c>
      <c r="V2056">
        <v>0</v>
      </c>
      <c r="W2056">
        <v>0</v>
      </c>
      <c r="X2056">
        <v>0</v>
      </c>
      <c r="Y2056" s="6">
        <v>47.6</v>
      </c>
      <c r="Z2056">
        <v>7.6999999999999999E-2</v>
      </c>
      <c r="AA2056">
        <v>0.14399999999999999</v>
      </c>
      <c r="AB2056">
        <v>2.5000000000000001E-2</v>
      </c>
      <c r="AC2056">
        <v>6</v>
      </c>
      <c r="AD2056" s="6">
        <v>60</v>
      </c>
      <c r="AE2056" s="6">
        <v>0</v>
      </c>
      <c r="AF2056" s="6">
        <v>0</v>
      </c>
      <c r="AG2056" s="6">
        <v>106.89</v>
      </c>
      <c r="AH2056" s="6">
        <v>136.88999999999999</v>
      </c>
      <c r="AI2056" s="6">
        <f t="shared" si="64"/>
        <v>29.999999999999986</v>
      </c>
      <c r="AJ2056" s="5">
        <f t="shared" si="65"/>
        <v>0.21915406530791137</v>
      </c>
    </row>
    <row r="2057" spans="1:36">
      <c r="A2057" t="s">
        <v>236</v>
      </c>
      <c r="B2057" t="s">
        <v>2342</v>
      </c>
      <c r="C2057" t="s">
        <v>106</v>
      </c>
      <c r="D2057" t="s">
        <v>54</v>
      </c>
      <c r="E2057" t="s">
        <v>55</v>
      </c>
      <c r="F2057">
        <v>0</v>
      </c>
      <c r="G2057">
        <v>2188</v>
      </c>
      <c r="H2057">
        <v>1</v>
      </c>
      <c r="I2057" t="s">
        <v>220</v>
      </c>
      <c r="J2057">
        <v>2</v>
      </c>
      <c r="K2057" s="6">
        <v>3.47</v>
      </c>
      <c r="L2057" t="s">
        <v>174</v>
      </c>
      <c r="M2057">
        <v>0</v>
      </c>
      <c r="N2057" t="s">
        <v>187</v>
      </c>
      <c r="O2057">
        <v>2</v>
      </c>
      <c r="P2057">
        <v>1</v>
      </c>
      <c r="Q2057" s="6">
        <v>50.4</v>
      </c>
      <c r="R2057">
        <v>0</v>
      </c>
      <c r="S2057" s="6">
        <v>0</v>
      </c>
      <c r="T2057">
        <v>0</v>
      </c>
      <c r="U2057" s="6">
        <v>1885</v>
      </c>
      <c r="V2057">
        <v>0</v>
      </c>
      <c r="W2057">
        <v>0</v>
      </c>
      <c r="X2057">
        <v>1</v>
      </c>
      <c r="Y2057" s="6">
        <v>47.6</v>
      </c>
      <c r="Z2057">
        <v>7.6999999999999999E-2</v>
      </c>
      <c r="AA2057">
        <v>0.14399999999999999</v>
      </c>
      <c r="AB2057">
        <v>2.5000000000000001E-2</v>
      </c>
      <c r="AC2057">
        <v>6</v>
      </c>
      <c r="AD2057" s="6">
        <v>50</v>
      </c>
      <c r="AE2057" s="6">
        <v>0</v>
      </c>
      <c r="AF2057" s="6">
        <v>0</v>
      </c>
      <c r="AG2057" s="6">
        <v>83.51</v>
      </c>
      <c r="AH2057" s="6">
        <v>107.21</v>
      </c>
      <c r="AI2057" s="6">
        <f t="shared" si="64"/>
        <v>23.699999999999989</v>
      </c>
      <c r="AJ2057" s="5">
        <f t="shared" si="65"/>
        <v>0.22106146814662803</v>
      </c>
    </row>
    <row r="2058" spans="1:36">
      <c r="A2058" t="s">
        <v>298</v>
      </c>
      <c r="B2058" t="s">
        <v>2343</v>
      </c>
      <c r="C2058" t="s">
        <v>106</v>
      </c>
      <c r="D2058" t="s">
        <v>54</v>
      </c>
      <c r="E2058" t="s">
        <v>55</v>
      </c>
      <c r="F2058">
        <v>0</v>
      </c>
      <c r="G2058">
        <v>2188</v>
      </c>
      <c r="H2058">
        <v>1</v>
      </c>
      <c r="I2058" t="s">
        <v>173</v>
      </c>
      <c r="J2058">
        <v>1</v>
      </c>
      <c r="K2058" s="6">
        <v>2.2999999999999998</v>
      </c>
      <c r="L2058" t="s">
        <v>174</v>
      </c>
      <c r="M2058">
        <v>0</v>
      </c>
      <c r="N2058" t="s">
        <v>182</v>
      </c>
      <c r="O2058">
        <v>3</v>
      </c>
      <c r="P2058">
        <v>1</v>
      </c>
      <c r="Q2058" s="6">
        <v>31.9</v>
      </c>
      <c r="R2058">
        <v>0</v>
      </c>
      <c r="S2058" s="6">
        <v>0</v>
      </c>
      <c r="T2058">
        <v>0</v>
      </c>
      <c r="U2058" s="6">
        <v>1693</v>
      </c>
      <c r="V2058">
        <v>0</v>
      </c>
      <c r="W2058">
        <v>0</v>
      </c>
      <c r="X2058">
        <v>0</v>
      </c>
      <c r="Y2058" s="6">
        <v>47.6</v>
      </c>
      <c r="Z2058">
        <v>7.6999999999999999E-2</v>
      </c>
      <c r="AA2058">
        <v>0.14399999999999999</v>
      </c>
      <c r="AB2058">
        <v>2.5000000000000001E-2</v>
      </c>
      <c r="AC2058">
        <v>6</v>
      </c>
      <c r="AD2058" s="6">
        <v>50</v>
      </c>
      <c r="AE2058" s="6">
        <v>0</v>
      </c>
      <c r="AF2058" s="6">
        <v>0</v>
      </c>
      <c r="AG2058" s="6">
        <v>77.400000000000006</v>
      </c>
      <c r="AH2058" s="6">
        <v>98.59</v>
      </c>
      <c r="AI2058" s="6">
        <f t="shared" si="64"/>
        <v>21.189999999999998</v>
      </c>
      <c r="AJ2058" s="5">
        <f t="shared" si="65"/>
        <v>0.21493052033674812</v>
      </c>
    </row>
    <row r="2059" spans="1:36">
      <c r="A2059" t="s">
        <v>481</v>
      </c>
      <c r="B2059" t="s">
        <v>2344</v>
      </c>
      <c r="C2059" t="s">
        <v>106</v>
      </c>
      <c r="D2059" t="s">
        <v>54</v>
      </c>
      <c r="E2059" t="s">
        <v>55</v>
      </c>
      <c r="F2059">
        <v>0</v>
      </c>
      <c r="G2059">
        <v>2188</v>
      </c>
      <c r="H2059">
        <v>1</v>
      </c>
      <c r="I2059" t="s">
        <v>173</v>
      </c>
      <c r="J2059">
        <v>1</v>
      </c>
      <c r="K2059" s="6">
        <v>1.74</v>
      </c>
      <c r="L2059" t="s">
        <v>174</v>
      </c>
      <c r="M2059">
        <v>0</v>
      </c>
      <c r="N2059" t="s">
        <v>175</v>
      </c>
      <c r="O2059">
        <v>1</v>
      </c>
      <c r="P2059">
        <v>0</v>
      </c>
      <c r="Q2059" s="6">
        <v>25.6</v>
      </c>
      <c r="R2059">
        <v>0</v>
      </c>
      <c r="S2059" s="6">
        <v>0</v>
      </c>
      <c r="T2059">
        <v>0</v>
      </c>
      <c r="U2059" s="6">
        <v>1950</v>
      </c>
      <c r="V2059">
        <v>0</v>
      </c>
      <c r="W2059">
        <v>0</v>
      </c>
      <c r="X2059">
        <v>0</v>
      </c>
      <c r="Y2059" s="6">
        <v>47.6</v>
      </c>
      <c r="Z2059">
        <v>7.6999999999999999E-2</v>
      </c>
      <c r="AA2059">
        <v>0.14399999999999999</v>
      </c>
      <c r="AB2059">
        <v>2.5000000000000001E-2</v>
      </c>
      <c r="AC2059">
        <v>6</v>
      </c>
      <c r="AD2059" s="6">
        <v>50</v>
      </c>
      <c r="AE2059" s="6">
        <v>0</v>
      </c>
      <c r="AF2059" s="6">
        <v>0</v>
      </c>
      <c r="AG2059" s="6">
        <v>49.35</v>
      </c>
      <c r="AH2059" s="6">
        <v>66.55</v>
      </c>
      <c r="AI2059" s="6">
        <f t="shared" si="64"/>
        <v>17.199999999999996</v>
      </c>
      <c r="AJ2059" s="5">
        <f t="shared" si="65"/>
        <v>0.25845229151014271</v>
      </c>
    </row>
    <row r="2060" spans="1:36">
      <c r="A2060" t="s">
        <v>323</v>
      </c>
      <c r="B2060" t="s">
        <v>2345</v>
      </c>
      <c r="C2060" t="s">
        <v>106</v>
      </c>
      <c r="D2060" t="s">
        <v>54</v>
      </c>
      <c r="E2060" t="s">
        <v>55</v>
      </c>
      <c r="F2060">
        <v>0</v>
      </c>
      <c r="G2060">
        <v>2188</v>
      </c>
      <c r="H2060">
        <v>1</v>
      </c>
      <c r="I2060" t="s">
        <v>220</v>
      </c>
      <c r="J2060">
        <v>2</v>
      </c>
      <c r="K2060" s="6">
        <v>2.83</v>
      </c>
      <c r="L2060" t="s">
        <v>200</v>
      </c>
      <c r="M2060">
        <v>1</v>
      </c>
      <c r="N2060" t="s">
        <v>175</v>
      </c>
      <c r="O2060">
        <v>1</v>
      </c>
      <c r="P2060">
        <v>0</v>
      </c>
      <c r="Q2060" s="6">
        <v>35.200000000000003</v>
      </c>
      <c r="R2060">
        <v>0</v>
      </c>
      <c r="S2060" s="6">
        <v>0</v>
      </c>
      <c r="T2060">
        <v>0</v>
      </c>
      <c r="U2060" s="6">
        <v>2269</v>
      </c>
      <c r="V2060">
        <v>0</v>
      </c>
      <c r="W2060">
        <v>0</v>
      </c>
      <c r="X2060">
        <v>0</v>
      </c>
      <c r="Y2060" s="6">
        <v>47.6</v>
      </c>
      <c r="Z2060">
        <v>7.6999999999999999E-2</v>
      </c>
      <c r="AA2060">
        <v>0.14399999999999999</v>
      </c>
      <c r="AB2060">
        <v>2.5000000000000001E-2</v>
      </c>
      <c r="AC2060">
        <v>6</v>
      </c>
      <c r="AD2060" s="6">
        <v>119</v>
      </c>
      <c r="AE2060" s="6">
        <v>0</v>
      </c>
      <c r="AF2060" s="6">
        <v>0</v>
      </c>
      <c r="AG2060" s="6">
        <v>85.41</v>
      </c>
      <c r="AH2060" s="6">
        <v>123.47</v>
      </c>
      <c r="AI2060" s="6">
        <f t="shared" si="64"/>
        <v>38.06</v>
      </c>
      <c r="AJ2060" s="5">
        <f t="shared" si="65"/>
        <v>0.30825301692718882</v>
      </c>
    </row>
    <row r="2061" spans="1:36">
      <c r="A2061" t="s">
        <v>348</v>
      </c>
      <c r="B2061" t="s">
        <v>2346</v>
      </c>
      <c r="C2061" t="s">
        <v>106</v>
      </c>
      <c r="D2061" t="s">
        <v>54</v>
      </c>
      <c r="E2061" t="s">
        <v>55</v>
      </c>
      <c r="F2061">
        <v>0</v>
      </c>
      <c r="G2061">
        <v>2188</v>
      </c>
      <c r="H2061">
        <v>1</v>
      </c>
      <c r="I2061" t="s">
        <v>220</v>
      </c>
      <c r="J2061">
        <v>2</v>
      </c>
      <c r="K2061" s="6">
        <v>4.49</v>
      </c>
      <c r="L2061" t="s">
        <v>174</v>
      </c>
      <c r="M2061">
        <v>0</v>
      </c>
      <c r="N2061" t="s">
        <v>175</v>
      </c>
      <c r="O2061">
        <v>1</v>
      </c>
      <c r="P2061">
        <v>0</v>
      </c>
      <c r="Q2061" s="6">
        <v>26.3</v>
      </c>
      <c r="R2061">
        <v>0</v>
      </c>
      <c r="S2061" s="6">
        <v>0</v>
      </c>
      <c r="T2061">
        <v>0</v>
      </c>
      <c r="U2061" s="6">
        <v>1972</v>
      </c>
      <c r="V2061">
        <v>0</v>
      </c>
      <c r="W2061">
        <v>0</v>
      </c>
      <c r="X2061">
        <v>0</v>
      </c>
      <c r="Y2061" s="6">
        <v>47.6</v>
      </c>
      <c r="Z2061">
        <v>7.6999999999999999E-2</v>
      </c>
      <c r="AA2061">
        <v>0.14399999999999999</v>
      </c>
      <c r="AB2061">
        <v>2.5000000000000001E-2</v>
      </c>
      <c r="AC2061">
        <v>6</v>
      </c>
      <c r="AD2061" s="6">
        <v>50</v>
      </c>
      <c r="AE2061" s="6">
        <v>0</v>
      </c>
      <c r="AF2061" s="6">
        <v>0</v>
      </c>
      <c r="AG2061" s="6">
        <v>58.2</v>
      </c>
      <c r="AH2061" s="6">
        <v>76.239999999999995</v>
      </c>
      <c r="AI2061" s="6">
        <f t="shared" si="64"/>
        <v>18.039999999999992</v>
      </c>
      <c r="AJ2061" s="5">
        <f t="shared" si="65"/>
        <v>0.23662119622245531</v>
      </c>
    </row>
    <row r="2062" spans="1:36">
      <c r="A2062" t="s">
        <v>238</v>
      </c>
      <c r="B2062" t="s">
        <v>2347</v>
      </c>
      <c r="C2062" t="s">
        <v>106</v>
      </c>
      <c r="D2062" t="s">
        <v>54</v>
      </c>
      <c r="E2062" t="s">
        <v>55</v>
      </c>
      <c r="F2062">
        <v>0</v>
      </c>
      <c r="G2062">
        <v>2188</v>
      </c>
      <c r="H2062">
        <v>1</v>
      </c>
      <c r="I2062" t="s">
        <v>181</v>
      </c>
      <c r="J2062">
        <v>3</v>
      </c>
      <c r="K2062" s="6">
        <v>8.84</v>
      </c>
      <c r="L2062" t="s">
        <v>174</v>
      </c>
      <c r="M2062">
        <v>0</v>
      </c>
      <c r="N2062" t="s">
        <v>272</v>
      </c>
      <c r="O2062">
        <v>5</v>
      </c>
      <c r="P2062">
        <v>1</v>
      </c>
      <c r="Q2062" s="6">
        <v>177.1</v>
      </c>
      <c r="R2062">
        <v>0</v>
      </c>
      <c r="S2062" s="6">
        <v>0</v>
      </c>
      <c r="T2062">
        <v>0</v>
      </c>
      <c r="U2062" s="6">
        <v>12345</v>
      </c>
      <c r="V2062">
        <v>0</v>
      </c>
      <c r="W2062">
        <v>0</v>
      </c>
      <c r="X2062">
        <v>0</v>
      </c>
      <c r="Y2062" s="6">
        <v>47.6</v>
      </c>
      <c r="Z2062">
        <v>7.6999999999999999E-2</v>
      </c>
      <c r="AA2062">
        <v>0.14399999999999999</v>
      </c>
      <c r="AB2062">
        <v>2.5000000000000001E-2</v>
      </c>
      <c r="AC2062">
        <v>6</v>
      </c>
      <c r="AD2062" s="6">
        <v>60</v>
      </c>
      <c r="AE2062" s="6">
        <v>0</v>
      </c>
      <c r="AF2062" s="6">
        <v>0</v>
      </c>
      <c r="AG2062" s="6">
        <v>195.79</v>
      </c>
      <c r="AH2062" s="6">
        <v>246.95</v>
      </c>
      <c r="AI2062" s="6">
        <f t="shared" si="64"/>
        <v>51.16</v>
      </c>
      <c r="AJ2062" s="5">
        <f t="shared" si="65"/>
        <v>0.20716744280218669</v>
      </c>
    </row>
    <row r="2063" spans="1:36">
      <c r="A2063" t="s">
        <v>691</v>
      </c>
      <c r="B2063" t="s">
        <v>2348</v>
      </c>
      <c r="C2063" t="s">
        <v>106</v>
      </c>
      <c r="D2063" t="s">
        <v>54</v>
      </c>
      <c r="E2063" t="s">
        <v>55</v>
      </c>
      <c r="F2063">
        <v>0</v>
      </c>
      <c r="G2063">
        <v>2188</v>
      </c>
      <c r="H2063">
        <v>1</v>
      </c>
      <c r="I2063" t="s">
        <v>173</v>
      </c>
      <c r="J2063">
        <v>1</v>
      </c>
      <c r="K2063" s="6">
        <v>2.19</v>
      </c>
      <c r="L2063" t="s">
        <v>174</v>
      </c>
      <c r="M2063">
        <v>0</v>
      </c>
      <c r="N2063" t="s">
        <v>175</v>
      </c>
      <c r="O2063">
        <v>1</v>
      </c>
      <c r="P2063">
        <v>0</v>
      </c>
      <c r="Q2063" s="6">
        <v>49.7</v>
      </c>
      <c r="R2063">
        <v>0</v>
      </c>
      <c r="S2063" s="6">
        <v>0</v>
      </c>
      <c r="T2063">
        <v>0</v>
      </c>
      <c r="U2063" s="6">
        <v>1601</v>
      </c>
      <c r="V2063">
        <v>0</v>
      </c>
      <c r="W2063">
        <v>0</v>
      </c>
      <c r="X2063">
        <v>0</v>
      </c>
      <c r="Y2063" s="6">
        <v>47.6</v>
      </c>
      <c r="Z2063">
        <v>7.6999999999999999E-2</v>
      </c>
      <c r="AA2063">
        <v>0.14399999999999999</v>
      </c>
      <c r="AB2063">
        <v>2.5000000000000001E-2</v>
      </c>
      <c r="AC2063">
        <v>6</v>
      </c>
      <c r="AD2063" s="6">
        <v>50</v>
      </c>
      <c r="AE2063" s="6">
        <v>0</v>
      </c>
      <c r="AF2063" s="6">
        <v>0</v>
      </c>
      <c r="AG2063" s="6">
        <v>47.63</v>
      </c>
      <c r="AH2063" s="6">
        <v>61.22</v>
      </c>
      <c r="AI2063" s="6">
        <f t="shared" si="64"/>
        <v>13.589999999999996</v>
      </c>
      <c r="AJ2063" s="5">
        <f t="shared" si="65"/>
        <v>0.22198627899379283</v>
      </c>
    </row>
    <row r="2064" spans="1:36">
      <c r="A2064" t="s">
        <v>303</v>
      </c>
      <c r="B2064" t="s">
        <v>2349</v>
      </c>
      <c r="C2064" t="s">
        <v>106</v>
      </c>
      <c r="D2064" t="s">
        <v>54</v>
      </c>
      <c r="E2064" t="s">
        <v>55</v>
      </c>
      <c r="F2064">
        <v>0</v>
      </c>
      <c r="G2064">
        <v>2188</v>
      </c>
      <c r="H2064">
        <v>1</v>
      </c>
      <c r="I2064" t="s">
        <v>178</v>
      </c>
      <c r="J2064">
        <v>4</v>
      </c>
      <c r="K2064" s="6">
        <v>15.5</v>
      </c>
      <c r="L2064" t="s">
        <v>174</v>
      </c>
      <c r="M2064">
        <v>0</v>
      </c>
      <c r="N2064" t="s">
        <v>182</v>
      </c>
      <c r="O2064">
        <v>3</v>
      </c>
      <c r="P2064">
        <v>0</v>
      </c>
      <c r="Q2064" s="6">
        <v>89.8</v>
      </c>
      <c r="R2064">
        <v>0</v>
      </c>
      <c r="S2064" s="6">
        <v>0</v>
      </c>
      <c r="T2064">
        <v>0</v>
      </c>
      <c r="U2064" s="6">
        <v>2591</v>
      </c>
      <c r="V2064">
        <v>0</v>
      </c>
      <c r="W2064">
        <v>0</v>
      </c>
      <c r="X2064">
        <v>0</v>
      </c>
      <c r="Y2064" s="6">
        <v>47.6</v>
      </c>
      <c r="Z2064">
        <v>7.6999999999999999E-2</v>
      </c>
      <c r="AA2064">
        <v>0.14399999999999999</v>
      </c>
      <c r="AB2064">
        <v>2.5000000000000001E-2</v>
      </c>
      <c r="AC2064">
        <v>6</v>
      </c>
      <c r="AD2064" s="6">
        <v>65</v>
      </c>
      <c r="AE2064" s="6">
        <v>0</v>
      </c>
      <c r="AF2064" s="6">
        <v>0</v>
      </c>
      <c r="AG2064" s="6">
        <v>139.16</v>
      </c>
      <c r="AH2064" s="6">
        <v>174.42</v>
      </c>
      <c r="AI2064" s="6">
        <f t="shared" si="64"/>
        <v>35.259999999999991</v>
      </c>
      <c r="AJ2064" s="5">
        <f t="shared" si="65"/>
        <v>0.2021557160876046</v>
      </c>
    </row>
    <row r="2065" spans="1:36">
      <c r="A2065" t="s">
        <v>266</v>
      </c>
      <c r="B2065" t="s">
        <v>2350</v>
      </c>
      <c r="C2065" t="s">
        <v>106</v>
      </c>
      <c r="D2065" t="s">
        <v>54</v>
      </c>
      <c r="E2065" t="s">
        <v>55</v>
      </c>
      <c r="F2065">
        <v>0</v>
      </c>
      <c r="G2065">
        <v>2188</v>
      </c>
      <c r="H2065">
        <v>1</v>
      </c>
      <c r="I2065" t="s">
        <v>220</v>
      </c>
      <c r="J2065">
        <v>2</v>
      </c>
      <c r="K2065" s="6">
        <v>4.79</v>
      </c>
      <c r="L2065" t="s">
        <v>174</v>
      </c>
      <c r="M2065">
        <v>0</v>
      </c>
      <c r="N2065" t="s">
        <v>182</v>
      </c>
      <c r="O2065">
        <v>3</v>
      </c>
      <c r="P2065">
        <v>1</v>
      </c>
      <c r="Q2065" s="6">
        <v>118.5</v>
      </c>
      <c r="R2065">
        <v>0</v>
      </c>
      <c r="S2065" s="6">
        <v>0</v>
      </c>
      <c r="T2065">
        <v>0</v>
      </c>
      <c r="U2065" s="6">
        <v>4218</v>
      </c>
      <c r="V2065">
        <v>0</v>
      </c>
      <c r="W2065">
        <v>0</v>
      </c>
      <c r="X2065">
        <v>0</v>
      </c>
      <c r="Y2065" s="6">
        <v>47.6</v>
      </c>
      <c r="Z2065">
        <v>7.6999999999999999E-2</v>
      </c>
      <c r="AA2065">
        <v>0.14399999999999999</v>
      </c>
      <c r="AB2065">
        <v>2.5000000000000001E-2</v>
      </c>
      <c r="AC2065">
        <v>6</v>
      </c>
      <c r="AD2065" s="6">
        <v>50</v>
      </c>
      <c r="AE2065" s="6">
        <v>0</v>
      </c>
      <c r="AF2065" s="6">
        <v>0</v>
      </c>
      <c r="AG2065" s="6">
        <v>95.07</v>
      </c>
      <c r="AH2065" s="6">
        <v>122.06</v>
      </c>
      <c r="AI2065" s="6">
        <f t="shared" si="64"/>
        <v>26.990000000000009</v>
      </c>
      <c r="AJ2065" s="5">
        <f t="shared" si="65"/>
        <v>0.22112076028182867</v>
      </c>
    </row>
    <row r="2066" spans="1:36">
      <c r="A2066" t="s">
        <v>263</v>
      </c>
      <c r="B2066" t="s">
        <v>2351</v>
      </c>
      <c r="C2066" t="s">
        <v>106</v>
      </c>
      <c r="D2066" t="s">
        <v>54</v>
      </c>
      <c r="E2066" t="s">
        <v>55</v>
      </c>
      <c r="F2066">
        <v>0</v>
      </c>
      <c r="G2066">
        <v>2188</v>
      </c>
      <c r="H2066">
        <v>1</v>
      </c>
      <c r="I2066" t="s">
        <v>220</v>
      </c>
      <c r="J2066">
        <v>2</v>
      </c>
      <c r="K2066" s="6">
        <v>4.21</v>
      </c>
      <c r="L2066" t="s">
        <v>174</v>
      </c>
      <c r="M2066">
        <v>0</v>
      </c>
      <c r="N2066" t="s">
        <v>187</v>
      </c>
      <c r="O2066">
        <v>2</v>
      </c>
      <c r="P2066">
        <v>0</v>
      </c>
      <c r="Q2066" s="6">
        <v>48</v>
      </c>
      <c r="R2066">
        <v>1</v>
      </c>
      <c r="S2066" s="6">
        <v>2754</v>
      </c>
      <c r="T2066">
        <v>0</v>
      </c>
      <c r="U2066" s="6">
        <v>4092</v>
      </c>
      <c r="V2066">
        <v>0</v>
      </c>
      <c r="W2066">
        <v>0</v>
      </c>
      <c r="X2066">
        <v>1</v>
      </c>
      <c r="Y2066" s="6">
        <v>47.6</v>
      </c>
      <c r="Z2066">
        <v>7.6999999999999999E-2</v>
      </c>
      <c r="AA2066">
        <v>0.14399999999999999</v>
      </c>
      <c r="AB2066">
        <v>2.5000000000000001E-2</v>
      </c>
      <c r="AC2066">
        <v>6</v>
      </c>
      <c r="AD2066" s="6">
        <v>50</v>
      </c>
      <c r="AE2066" s="6">
        <v>40</v>
      </c>
      <c r="AF2066" s="6">
        <v>0</v>
      </c>
      <c r="AG2066" s="6">
        <v>61.18</v>
      </c>
      <c r="AH2066" s="6">
        <v>78.83</v>
      </c>
      <c r="AI2066" s="6">
        <f t="shared" si="64"/>
        <v>17.649999999999999</v>
      </c>
      <c r="AJ2066" s="5">
        <f t="shared" si="65"/>
        <v>0.22389953063554482</v>
      </c>
    </row>
    <row r="2067" spans="1:36">
      <c r="A2067" t="s">
        <v>691</v>
      </c>
      <c r="B2067" t="s">
        <v>2352</v>
      </c>
      <c r="C2067" t="s">
        <v>106</v>
      </c>
      <c r="D2067" t="s">
        <v>54</v>
      </c>
      <c r="E2067" t="s">
        <v>55</v>
      </c>
      <c r="F2067">
        <v>0</v>
      </c>
      <c r="G2067">
        <v>2188</v>
      </c>
      <c r="H2067">
        <v>1</v>
      </c>
      <c r="I2067" t="s">
        <v>173</v>
      </c>
      <c r="J2067">
        <v>1</v>
      </c>
      <c r="K2067" s="6">
        <v>1.18</v>
      </c>
      <c r="L2067" t="s">
        <v>174</v>
      </c>
      <c r="M2067">
        <v>0</v>
      </c>
      <c r="N2067" t="s">
        <v>187</v>
      </c>
      <c r="O2067">
        <v>2</v>
      </c>
      <c r="P2067">
        <v>0</v>
      </c>
      <c r="Q2067" s="6">
        <v>47.1</v>
      </c>
      <c r="R2067">
        <v>1</v>
      </c>
      <c r="S2067" s="6">
        <v>1558</v>
      </c>
      <c r="T2067">
        <v>0</v>
      </c>
      <c r="U2067" s="6">
        <v>5297</v>
      </c>
      <c r="V2067">
        <v>0</v>
      </c>
      <c r="W2067">
        <v>0</v>
      </c>
      <c r="X2067">
        <v>0</v>
      </c>
      <c r="Y2067" s="6">
        <v>47.6</v>
      </c>
      <c r="Z2067">
        <v>7.6999999999999999E-2</v>
      </c>
      <c r="AA2067">
        <v>0.14399999999999999</v>
      </c>
      <c r="AB2067">
        <v>2.5000000000000001E-2</v>
      </c>
      <c r="AC2067">
        <v>6</v>
      </c>
      <c r="AD2067" s="6">
        <v>50</v>
      </c>
      <c r="AE2067" s="6">
        <v>25</v>
      </c>
      <c r="AF2067" s="6">
        <v>0</v>
      </c>
      <c r="AG2067" s="6">
        <v>59.89</v>
      </c>
      <c r="AH2067" s="6">
        <v>77.02</v>
      </c>
      <c r="AI2067" s="6">
        <f t="shared" si="64"/>
        <v>17.129999999999995</v>
      </c>
      <c r="AJ2067" s="5">
        <f t="shared" si="65"/>
        <v>0.22240976369774079</v>
      </c>
    </row>
    <row r="2068" spans="1:36">
      <c r="A2068" t="s">
        <v>185</v>
      </c>
      <c r="B2068" t="s">
        <v>2353</v>
      </c>
      <c r="C2068" t="s">
        <v>106</v>
      </c>
      <c r="D2068" t="s">
        <v>54</v>
      </c>
      <c r="E2068" t="s">
        <v>55</v>
      </c>
      <c r="F2068">
        <v>0</v>
      </c>
      <c r="G2068">
        <v>2188</v>
      </c>
      <c r="H2068">
        <v>1</v>
      </c>
      <c r="I2068" t="s">
        <v>173</v>
      </c>
      <c r="J2068">
        <v>1</v>
      </c>
      <c r="K2068" s="6">
        <v>1.71</v>
      </c>
      <c r="L2068" t="s">
        <v>174</v>
      </c>
      <c r="M2068">
        <v>0</v>
      </c>
      <c r="N2068" t="s">
        <v>187</v>
      </c>
      <c r="O2068">
        <v>2</v>
      </c>
      <c r="P2068">
        <v>0</v>
      </c>
      <c r="Q2068" s="6">
        <v>37.6</v>
      </c>
      <c r="R2068">
        <v>1</v>
      </c>
      <c r="S2068" s="6">
        <v>1719</v>
      </c>
      <c r="T2068">
        <v>0</v>
      </c>
      <c r="U2068" s="6">
        <v>1933</v>
      </c>
      <c r="V2068">
        <v>0</v>
      </c>
      <c r="W2068">
        <v>0</v>
      </c>
      <c r="X2068">
        <v>0</v>
      </c>
      <c r="Y2068" s="6">
        <v>47.6</v>
      </c>
      <c r="Z2068">
        <v>7.6999999999999999E-2</v>
      </c>
      <c r="AA2068">
        <v>0.14399999999999999</v>
      </c>
      <c r="AB2068">
        <v>2.5000000000000001E-2</v>
      </c>
      <c r="AC2068">
        <v>6</v>
      </c>
      <c r="AD2068" s="6">
        <v>50</v>
      </c>
      <c r="AE2068" s="6">
        <v>25</v>
      </c>
      <c r="AF2068" s="6">
        <v>0</v>
      </c>
      <c r="AG2068" s="6">
        <v>56.3</v>
      </c>
      <c r="AH2068" s="6">
        <v>71.040000000000006</v>
      </c>
      <c r="AI2068" s="6">
        <f t="shared" si="64"/>
        <v>14.740000000000009</v>
      </c>
      <c r="AJ2068" s="5">
        <f t="shared" si="65"/>
        <v>0.20748873873873885</v>
      </c>
    </row>
    <row r="2069" spans="1:36">
      <c r="A2069" t="s">
        <v>360</v>
      </c>
      <c r="B2069" t="s">
        <v>2354</v>
      </c>
      <c r="C2069" t="s">
        <v>106</v>
      </c>
      <c r="D2069" t="s">
        <v>54</v>
      </c>
      <c r="E2069" t="s">
        <v>55</v>
      </c>
      <c r="F2069">
        <v>0</v>
      </c>
      <c r="G2069">
        <v>2188</v>
      </c>
      <c r="H2069">
        <v>1</v>
      </c>
      <c r="I2069" t="s">
        <v>173</v>
      </c>
      <c r="J2069">
        <v>1</v>
      </c>
      <c r="K2069" s="6">
        <v>1.88</v>
      </c>
      <c r="L2069" t="s">
        <v>200</v>
      </c>
      <c r="M2069">
        <v>1</v>
      </c>
      <c r="N2069" t="s">
        <v>175</v>
      </c>
      <c r="O2069">
        <v>1</v>
      </c>
      <c r="P2069">
        <v>0</v>
      </c>
      <c r="Q2069" s="6">
        <v>33.200000000000003</v>
      </c>
      <c r="R2069">
        <v>0</v>
      </c>
      <c r="S2069" s="6">
        <v>0</v>
      </c>
      <c r="T2069">
        <v>0</v>
      </c>
      <c r="U2069" s="6">
        <v>1155</v>
      </c>
      <c r="V2069">
        <v>0</v>
      </c>
      <c r="W2069">
        <v>0</v>
      </c>
      <c r="X2069">
        <v>0</v>
      </c>
      <c r="Y2069" s="6">
        <v>47.6</v>
      </c>
      <c r="Z2069">
        <v>7.6999999999999999E-2</v>
      </c>
      <c r="AA2069">
        <v>0.14399999999999999</v>
      </c>
      <c r="AB2069">
        <v>2.5000000000000001E-2</v>
      </c>
      <c r="AC2069">
        <v>6</v>
      </c>
      <c r="AD2069" s="6">
        <v>99</v>
      </c>
      <c r="AE2069" s="6">
        <v>0</v>
      </c>
      <c r="AF2069" s="6">
        <v>0</v>
      </c>
      <c r="AG2069" s="6">
        <v>76.930000000000007</v>
      </c>
      <c r="AH2069" s="6">
        <v>99.52</v>
      </c>
      <c r="AI2069" s="6">
        <f t="shared" si="64"/>
        <v>22.589999999999989</v>
      </c>
      <c r="AJ2069" s="5">
        <f t="shared" si="65"/>
        <v>0.2269895498392282</v>
      </c>
    </row>
    <row r="2070" spans="1:36">
      <c r="A2070" t="s">
        <v>391</v>
      </c>
      <c r="B2070" t="s">
        <v>2355</v>
      </c>
      <c r="C2070" t="s">
        <v>106</v>
      </c>
      <c r="D2070" t="s">
        <v>54</v>
      </c>
      <c r="E2070" t="s">
        <v>55</v>
      </c>
      <c r="F2070">
        <v>0</v>
      </c>
      <c r="G2070">
        <v>2188</v>
      </c>
      <c r="H2070">
        <v>1</v>
      </c>
      <c r="I2070" t="s">
        <v>173</v>
      </c>
      <c r="J2070">
        <v>1</v>
      </c>
      <c r="K2070" s="6">
        <v>1.48</v>
      </c>
      <c r="L2070" t="s">
        <v>174</v>
      </c>
      <c r="M2070">
        <v>0</v>
      </c>
      <c r="N2070" t="s">
        <v>175</v>
      </c>
      <c r="O2070">
        <v>1</v>
      </c>
      <c r="P2070">
        <v>1</v>
      </c>
      <c r="Q2070" s="6">
        <v>26.3</v>
      </c>
      <c r="R2070">
        <v>1</v>
      </c>
      <c r="S2070" s="6">
        <v>556</v>
      </c>
      <c r="T2070">
        <v>0</v>
      </c>
      <c r="U2070" s="6">
        <v>2406</v>
      </c>
      <c r="V2070">
        <v>0</v>
      </c>
      <c r="W2070">
        <v>0</v>
      </c>
      <c r="X2070">
        <v>0</v>
      </c>
      <c r="Y2070" s="6">
        <v>47.6</v>
      </c>
      <c r="Z2070">
        <v>7.6999999999999999E-2</v>
      </c>
      <c r="AA2070">
        <v>0.14399999999999999</v>
      </c>
      <c r="AB2070">
        <v>2.5000000000000001E-2</v>
      </c>
      <c r="AC2070">
        <v>6</v>
      </c>
      <c r="AD2070" s="6">
        <v>50</v>
      </c>
      <c r="AE2070" s="6">
        <v>25</v>
      </c>
      <c r="AF2070" s="6">
        <v>0</v>
      </c>
      <c r="AG2070" s="6">
        <v>76.88</v>
      </c>
      <c r="AH2070" s="6">
        <v>97.49</v>
      </c>
      <c r="AI2070" s="6">
        <f t="shared" si="64"/>
        <v>20.61</v>
      </c>
      <c r="AJ2070" s="5">
        <f t="shared" si="65"/>
        <v>0.21140629808185454</v>
      </c>
    </row>
    <row r="2071" spans="1:36">
      <c r="A2071" t="s">
        <v>355</v>
      </c>
      <c r="B2071" t="s">
        <v>2356</v>
      </c>
      <c r="C2071" t="s">
        <v>106</v>
      </c>
      <c r="D2071" t="s">
        <v>54</v>
      </c>
      <c r="E2071" t="s">
        <v>55</v>
      </c>
      <c r="F2071">
        <v>0</v>
      </c>
      <c r="G2071">
        <v>2188</v>
      </c>
      <c r="H2071">
        <v>1</v>
      </c>
      <c r="I2071" t="s">
        <v>173</v>
      </c>
      <c r="J2071">
        <v>1</v>
      </c>
      <c r="K2071" s="6">
        <v>2.56</v>
      </c>
      <c r="L2071" t="s">
        <v>174</v>
      </c>
      <c r="M2071">
        <v>0</v>
      </c>
      <c r="N2071" t="s">
        <v>182</v>
      </c>
      <c r="O2071">
        <v>3</v>
      </c>
      <c r="P2071">
        <v>0</v>
      </c>
      <c r="Q2071" s="6">
        <v>135.6</v>
      </c>
      <c r="R2071">
        <v>0</v>
      </c>
      <c r="S2071" s="6">
        <v>0</v>
      </c>
      <c r="T2071">
        <v>0</v>
      </c>
      <c r="U2071" s="6">
        <v>1775</v>
      </c>
      <c r="V2071">
        <v>1</v>
      </c>
      <c r="W2071">
        <v>0</v>
      </c>
      <c r="X2071">
        <v>0</v>
      </c>
      <c r="Y2071" s="6">
        <v>47.6</v>
      </c>
      <c r="Z2071">
        <v>7.6999999999999999E-2</v>
      </c>
      <c r="AA2071">
        <v>0.14399999999999999</v>
      </c>
      <c r="AB2071">
        <v>2.5000000000000001E-2</v>
      </c>
      <c r="AC2071">
        <v>6</v>
      </c>
      <c r="AD2071" s="6">
        <v>50</v>
      </c>
      <c r="AE2071" s="6">
        <v>0</v>
      </c>
      <c r="AF2071" s="6">
        <v>0</v>
      </c>
      <c r="AG2071" s="6">
        <v>108.45</v>
      </c>
      <c r="AH2071" s="6">
        <v>138.72</v>
      </c>
      <c r="AI2071" s="6">
        <f t="shared" si="64"/>
        <v>30.269999999999996</v>
      </c>
      <c r="AJ2071" s="5">
        <f t="shared" si="65"/>
        <v>0.2182093425605536</v>
      </c>
    </row>
    <row r="2072" spans="1:36">
      <c r="A2072" t="s">
        <v>188</v>
      </c>
      <c r="B2072" t="s">
        <v>2357</v>
      </c>
      <c r="C2072" t="s">
        <v>106</v>
      </c>
      <c r="D2072" t="s">
        <v>54</v>
      </c>
      <c r="E2072" t="s">
        <v>55</v>
      </c>
      <c r="F2072">
        <v>0</v>
      </c>
      <c r="G2072">
        <v>2188</v>
      </c>
      <c r="H2072">
        <v>1</v>
      </c>
      <c r="I2072" t="s">
        <v>220</v>
      </c>
      <c r="J2072">
        <v>2</v>
      </c>
      <c r="K2072" s="6">
        <v>3.08</v>
      </c>
      <c r="L2072" t="s">
        <v>174</v>
      </c>
      <c r="M2072">
        <v>0</v>
      </c>
      <c r="N2072" t="s">
        <v>175</v>
      </c>
      <c r="O2072">
        <v>1</v>
      </c>
      <c r="P2072">
        <v>0</v>
      </c>
      <c r="Q2072" s="6">
        <v>51.2</v>
      </c>
      <c r="R2072">
        <v>0</v>
      </c>
      <c r="S2072" s="6">
        <v>0</v>
      </c>
      <c r="T2072">
        <v>0</v>
      </c>
      <c r="U2072" s="6">
        <v>1644</v>
      </c>
      <c r="V2072">
        <v>0</v>
      </c>
      <c r="W2072">
        <v>0</v>
      </c>
      <c r="X2072">
        <v>0</v>
      </c>
      <c r="Y2072" s="6">
        <v>47.6</v>
      </c>
      <c r="Z2072">
        <v>7.6999999999999999E-2</v>
      </c>
      <c r="AA2072">
        <v>0.14399999999999999</v>
      </c>
      <c r="AB2072">
        <v>2.5000000000000001E-2</v>
      </c>
      <c r="AC2072">
        <v>6</v>
      </c>
      <c r="AD2072" s="6">
        <v>50</v>
      </c>
      <c r="AE2072" s="6">
        <v>0</v>
      </c>
      <c r="AF2072" s="6">
        <v>0</v>
      </c>
      <c r="AG2072" s="6">
        <v>61.75</v>
      </c>
      <c r="AH2072" s="6">
        <v>79.650000000000006</v>
      </c>
      <c r="AI2072" s="6">
        <f t="shared" si="64"/>
        <v>17.900000000000006</v>
      </c>
      <c r="AJ2072" s="5">
        <f t="shared" si="65"/>
        <v>0.22473320778405528</v>
      </c>
    </row>
    <row r="2073" spans="1:36">
      <c r="A2073" t="s">
        <v>247</v>
      </c>
      <c r="B2073" t="s">
        <v>2358</v>
      </c>
      <c r="C2073" t="s">
        <v>106</v>
      </c>
      <c r="D2073" t="s">
        <v>54</v>
      </c>
      <c r="E2073" t="s">
        <v>55</v>
      </c>
      <c r="F2073">
        <v>0</v>
      </c>
      <c r="G2073">
        <v>2188</v>
      </c>
      <c r="H2073">
        <v>1</v>
      </c>
      <c r="I2073" t="s">
        <v>220</v>
      </c>
      <c r="J2073">
        <v>2</v>
      </c>
      <c r="K2073" s="6">
        <v>4.53</v>
      </c>
      <c r="L2073" t="s">
        <v>174</v>
      </c>
      <c r="M2073">
        <v>0</v>
      </c>
      <c r="N2073" t="s">
        <v>175</v>
      </c>
      <c r="O2073">
        <v>1</v>
      </c>
      <c r="P2073">
        <v>0</v>
      </c>
      <c r="Q2073" s="6">
        <v>33.9</v>
      </c>
      <c r="R2073">
        <v>0</v>
      </c>
      <c r="S2073" s="6">
        <v>0</v>
      </c>
      <c r="T2073">
        <v>0</v>
      </c>
      <c r="U2073" s="6">
        <v>2742</v>
      </c>
      <c r="V2073">
        <v>0</v>
      </c>
      <c r="W2073">
        <v>0</v>
      </c>
      <c r="X2073">
        <v>0</v>
      </c>
      <c r="Y2073" s="6">
        <v>47.6</v>
      </c>
      <c r="Z2073">
        <v>7.6999999999999999E-2</v>
      </c>
      <c r="AA2073">
        <v>0.14399999999999999</v>
      </c>
      <c r="AB2073">
        <v>2.5000000000000001E-2</v>
      </c>
      <c r="AC2073">
        <v>6</v>
      </c>
      <c r="AD2073" s="6">
        <v>50</v>
      </c>
      <c r="AE2073" s="6">
        <v>0</v>
      </c>
      <c r="AF2073" s="6">
        <v>0</v>
      </c>
      <c r="AG2073" s="6">
        <v>56.52</v>
      </c>
      <c r="AH2073" s="6">
        <v>71.930000000000007</v>
      </c>
      <c r="AI2073" s="6">
        <f t="shared" si="64"/>
        <v>15.410000000000004</v>
      </c>
      <c r="AJ2073" s="5">
        <f t="shared" si="65"/>
        <v>0.21423606283887114</v>
      </c>
    </row>
    <row r="2074" spans="1:36">
      <c r="A2074" t="s">
        <v>350</v>
      </c>
      <c r="B2074" t="s">
        <v>2359</v>
      </c>
      <c r="C2074" t="s">
        <v>106</v>
      </c>
      <c r="D2074" t="s">
        <v>54</v>
      </c>
      <c r="E2074" t="s">
        <v>55</v>
      </c>
      <c r="F2074">
        <v>0</v>
      </c>
      <c r="G2074">
        <v>2188</v>
      </c>
      <c r="H2074">
        <v>1</v>
      </c>
      <c r="I2074" t="s">
        <v>220</v>
      </c>
      <c r="J2074">
        <v>2</v>
      </c>
      <c r="K2074" s="6">
        <v>4.41</v>
      </c>
      <c r="L2074" t="s">
        <v>174</v>
      </c>
      <c r="M2074">
        <v>0</v>
      </c>
      <c r="N2074" t="s">
        <v>175</v>
      </c>
      <c r="O2074">
        <v>1</v>
      </c>
      <c r="P2074">
        <v>0</v>
      </c>
      <c r="Q2074" s="6">
        <v>37.6</v>
      </c>
      <c r="R2074">
        <v>0</v>
      </c>
      <c r="S2074" s="6">
        <v>0</v>
      </c>
      <c r="T2074">
        <v>0</v>
      </c>
      <c r="U2074" s="6">
        <v>1639</v>
      </c>
      <c r="V2074">
        <v>0</v>
      </c>
      <c r="W2074">
        <v>0</v>
      </c>
      <c r="X2074">
        <v>0</v>
      </c>
      <c r="Y2074" s="6">
        <v>47.6</v>
      </c>
      <c r="Z2074">
        <v>7.6999999999999999E-2</v>
      </c>
      <c r="AA2074">
        <v>0.14399999999999999</v>
      </c>
      <c r="AB2074">
        <v>2.5000000000000001E-2</v>
      </c>
      <c r="AC2074">
        <v>6</v>
      </c>
      <c r="AD2074" s="6">
        <v>50</v>
      </c>
      <c r="AE2074" s="6">
        <v>0</v>
      </c>
      <c r="AF2074" s="6">
        <v>0</v>
      </c>
      <c r="AG2074" s="6">
        <v>57.27</v>
      </c>
      <c r="AH2074" s="6">
        <v>75.33</v>
      </c>
      <c r="AI2074" s="6">
        <f t="shared" si="64"/>
        <v>18.059999999999995</v>
      </c>
      <c r="AJ2074" s="5">
        <f t="shared" si="65"/>
        <v>0.23974512146555152</v>
      </c>
    </row>
    <row r="2075" spans="1:36">
      <c r="A2075" t="s">
        <v>411</v>
      </c>
      <c r="B2075" t="s">
        <v>2360</v>
      </c>
      <c r="C2075" t="s">
        <v>106</v>
      </c>
      <c r="D2075" t="s">
        <v>54</v>
      </c>
      <c r="E2075" t="s">
        <v>55</v>
      </c>
      <c r="F2075">
        <v>0</v>
      </c>
      <c r="G2075">
        <v>2188</v>
      </c>
      <c r="H2075">
        <v>1</v>
      </c>
      <c r="I2075" t="s">
        <v>173</v>
      </c>
      <c r="J2075">
        <v>1</v>
      </c>
      <c r="K2075" s="6">
        <v>1.37</v>
      </c>
      <c r="L2075" t="s">
        <v>174</v>
      </c>
      <c r="M2075">
        <v>0</v>
      </c>
      <c r="N2075" t="s">
        <v>175</v>
      </c>
      <c r="O2075">
        <v>1</v>
      </c>
      <c r="P2075">
        <v>0</v>
      </c>
      <c r="Q2075" s="6">
        <v>31.6</v>
      </c>
      <c r="R2075">
        <v>0</v>
      </c>
      <c r="S2075" s="6">
        <v>0</v>
      </c>
      <c r="T2075">
        <v>0</v>
      </c>
      <c r="U2075" s="6">
        <v>2338</v>
      </c>
      <c r="V2075">
        <v>0</v>
      </c>
      <c r="W2075">
        <v>0</v>
      </c>
      <c r="X2075">
        <v>0</v>
      </c>
      <c r="Y2075" s="6">
        <v>47.6</v>
      </c>
      <c r="Z2075">
        <v>7.6999999999999999E-2</v>
      </c>
      <c r="AA2075">
        <v>0.14399999999999999</v>
      </c>
      <c r="AB2075">
        <v>2.5000000000000001E-2</v>
      </c>
      <c r="AC2075">
        <v>6</v>
      </c>
      <c r="AD2075" s="6">
        <v>50</v>
      </c>
      <c r="AE2075" s="6">
        <v>0</v>
      </c>
      <c r="AF2075" s="6">
        <v>0</v>
      </c>
      <c r="AG2075" s="6">
        <v>55.69</v>
      </c>
      <c r="AH2075" s="6">
        <v>70.91</v>
      </c>
      <c r="AI2075" s="6">
        <f t="shared" si="64"/>
        <v>15.219999999999999</v>
      </c>
      <c r="AJ2075" s="5">
        <f t="shared" si="65"/>
        <v>0.21463827386828374</v>
      </c>
    </row>
    <row r="2076" spans="1:36">
      <c r="A2076" t="s">
        <v>243</v>
      </c>
      <c r="B2076" t="s">
        <v>2361</v>
      </c>
      <c r="C2076" t="s">
        <v>106</v>
      </c>
      <c r="D2076" t="s">
        <v>54</v>
      </c>
      <c r="E2076" t="s">
        <v>55</v>
      </c>
      <c r="F2076">
        <v>0</v>
      </c>
      <c r="G2076">
        <v>2188</v>
      </c>
      <c r="H2076">
        <v>1</v>
      </c>
      <c r="I2076" t="s">
        <v>181</v>
      </c>
      <c r="J2076">
        <v>3</v>
      </c>
      <c r="K2076" s="6">
        <v>9.07</v>
      </c>
      <c r="L2076" t="s">
        <v>174</v>
      </c>
      <c r="M2076">
        <v>0</v>
      </c>
      <c r="N2076" t="s">
        <v>175</v>
      </c>
      <c r="O2076">
        <v>1</v>
      </c>
      <c r="P2076">
        <v>1</v>
      </c>
      <c r="Q2076" s="6">
        <v>26</v>
      </c>
      <c r="R2076">
        <v>0</v>
      </c>
      <c r="S2076" s="6">
        <v>0</v>
      </c>
      <c r="T2076">
        <v>0</v>
      </c>
      <c r="U2076" s="6">
        <v>3306</v>
      </c>
      <c r="V2076">
        <v>1</v>
      </c>
      <c r="W2076">
        <v>0</v>
      </c>
      <c r="X2076">
        <v>0</v>
      </c>
      <c r="Y2076" s="6">
        <v>47.6</v>
      </c>
      <c r="Z2076">
        <v>7.6999999999999999E-2</v>
      </c>
      <c r="AA2076">
        <v>0.14399999999999999</v>
      </c>
      <c r="AB2076">
        <v>2.5000000000000001E-2</v>
      </c>
      <c r="AC2076">
        <v>6</v>
      </c>
      <c r="AD2076" s="6">
        <v>60</v>
      </c>
      <c r="AE2076" s="6">
        <v>0</v>
      </c>
      <c r="AF2076" s="6">
        <v>0</v>
      </c>
      <c r="AG2076" s="6">
        <v>176.24</v>
      </c>
      <c r="AH2076" s="6">
        <v>220.34</v>
      </c>
      <c r="AI2076" s="6">
        <f t="shared" si="64"/>
        <v>44.099999999999994</v>
      </c>
      <c r="AJ2076" s="5">
        <f t="shared" si="65"/>
        <v>0.20014523009893798</v>
      </c>
    </row>
    <row r="2077" spans="1:36">
      <c r="A2077" t="s">
        <v>185</v>
      </c>
      <c r="B2077" t="s">
        <v>2362</v>
      </c>
      <c r="C2077" t="s">
        <v>106</v>
      </c>
      <c r="D2077" t="s">
        <v>54</v>
      </c>
      <c r="E2077" t="s">
        <v>55</v>
      </c>
      <c r="F2077">
        <v>0</v>
      </c>
      <c r="G2077">
        <v>2188</v>
      </c>
      <c r="H2077">
        <v>1</v>
      </c>
      <c r="I2077" t="s">
        <v>220</v>
      </c>
      <c r="J2077">
        <v>2</v>
      </c>
      <c r="K2077" s="6">
        <v>6.07</v>
      </c>
      <c r="L2077" t="s">
        <v>174</v>
      </c>
      <c r="M2077">
        <v>0</v>
      </c>
      <c r="N2077" t="s">
        <v>175</v>
      </c>
      <c r="O2077">
        <v>1</v>
      </c>
      <c r="P2077">
        <v>0</v>
      </c>
      <c r="Q2077" s="6">
        <v>31.3</v>
      </c>
      <c r="R2077">
        <v>0</v>
      </c>
      <c r="S2077" s="6">
        <v>0</v>
      </c>
      <c r="T2077">
        <v>0</v>
      </c>
      <c r="U2077" s="6">
        <v>1236</v>
      </c>
      <c r="V2077">
        <v>0</v>
      </c>
      <c r="W2077">
        <v>0</v>
      </c>
      <c r="X2077">
        <v>0</v>
      </c>
      <c r="Y2077" s="6">
        <v>47.6</v>
      </c>
      <c r="Z2077">
        <v>7.6999999999999999E-2</v>
      </c>
      <c r="AA2077">
        <v>0.14399999999999999</v>
      </c>
      <c r="AB2077">
        <v>2.5000000000000001E-2</v>
      </c>
      <c r="AC2077">
        <v>6</v>
      </c>
      <c r="AD2077" s="6">
        <v>50</v>
      </c>
      <c r="AE2077" s="6">
        <v>0</v>
      </c>
      <c r="AF2077" s="6">
        <v>0</v>
      </c>
      <c r="AG2077" s="6">
        <v>71.5</v>
      </c>
      <c r="AH2077" s="6">
        <v>91.84</v>
      </c>
      <c r="AI2077" s="6">
        <f t="shared" si="64"/>
        <v>20.340000000000003</v>
      </c>
      <c r="AJ2077" s="5">
        <f t="shared" si="65"/>
        <v>0.2214721254355401</v>
      </c>
    </row>
    <row r="2078" spans="1:36">
      <c r="A2078" t="s">
        <v>245</v>
      </c>
      <c r="B2078" t="s">
        <v>2363</v>
      </c>
      <c r="C2078" t="s">
        <v>106</v>
      </c>
      <c r="D2078" t="s">
        <v>54</v>
      </c>
      <c r="E2078" t="s">
        <v>55</v>
      </c>
      <c r="F2078">
        <v>0</v>
      </c>
      <c r="G2078">
        <v>2188</v>
      </c>
      <c r="H2078">
        <v>1</v>
      </c>
      <c r="I2078" t="s">
        <v>173</v>
      </c>
      <c r="J2078">
        <v>1</v>
      </c>
      <c r="K2078" s="6">
        <v>1.73</v>
      </c>
      <c r="L2078" t="s">
        <v>174</v>
      </c>
      <c r="M2078">
        <v>0</v>
      </c>
      <c r="N2078" t="s">
        <v>217</v>
      </c>
      <c r="O2078">
        <v>4</v>
      </c>
      <c r="P2078">
        <v>1</v>
      </c>
      <c r="Q2078" s="6">
        <v>135.5</v>
      </c>
      <c r="R2078">
        <v>1</v>
      </c>
      <c r="S2078" s="6">
        <v>1444</v>
      </c>
      <c r="T2078">
        <v>0</v>
      </c>
      <c r="U2078" s="6">
        <v>650</v>
      </c>
      <c r="V2078">
        <v>0</v>
      </c>
      <c r="W2078">
        <v>0</v>
      </c>
      <c r="X2078">
        <v>0</v>
      </c>
      <c r="Y2078" s="6">
        <v>47.6</v>
      </c>
      <c r="Z2078">
        <v>7.6999999999999999E-2</v>
      </c>
      <c r="AA2078">
        <v>0.14399999999999999</v>
      </c>
      <c r="AB2078">
        <v>2.5000000000000001E-2</v>
      </c>
      <c r="AC2078">
        <v>6</v>
      </c>
      <c r="AD2078" s="6">
        <v>50</v>
      </c>
      <c r="AE2078" s="6">
        <v>25</v>
      </c>
      <c r="AF2078" s="6">
        <v>0</v>
      </c>
      <c r="AG2078" s="6">
        <v>98.54</v>
      </c>
      <c r="AH2078" s="6">
        <v>125.22</v>
      </c>
      <c r="AI2078" s="6">
        <f t="shared" si="64"/>
        <v>26.679999999999993</v>
      </c>
      <c r="AJ2078" s="5">
        <f t="shared" si="65"/>
        <v>0.21306500559016125</v>
      </c>
    </row>
    <row r="2079" spans="1:36">
      <c r="A2079" t="s">
        <v>478</v>
      </c>
      <c r="B2079" t="s">
        <v>2364</v>
      </c>
      <c r="C2079" t="s">
        <v>106</v>
      </c>
      <c r="D2079" t="s">
        <v>54</v>
      </c>
      <c r="E2079" t="s">
        <v>55</v>
      </c>
      <c r="F2079">
        <v>0</v>
      </c>
      <c r="G2079">
        <v>2188</v>
      </c>
      <c r="H2079">
        <v>1</v>
      </c>
      <c r="I2079" t="s">
        <v>173</v>
      </c>
      <c r="J2079">
        <v>1</v>
      </c>
      <c r="K2079" s="6">
        <v>1.36</v>
      </c>
      <c r="L2079" t="s">
        <v>174</v>
      </c>
      <c r="M2079">
        <v>0</v>
      </c>
      <c r="N2079" t="s">
        <v>182</v>
      </c>
      <c r="O2079">
        <v>3</v>
      </c>
      <c r="P2079">
        <v>0</v>
      </c>
      <c r="Q2079" s="6">
        <v>130.4</v>
      </c>
      <c r="R2079">
        <v>0</v>
      </c>
      <c r="S2079" s="6">
        <v>0</v>
      </c>
      <c r="T2079">
        <v>0</v>
      </c>
      <c r="U2079" s="6">
        <v>2706</v>
      </c>
      <c r="V2079">
        <v>0</v>
      </c>
      <c r="W2079">
        <v>0</v>
      </c>
      <c r="X2079">
        <v>0</v>
      </c>
      <c r="Y2079" s="6">
        <v>47.6</v>
      </c>
      <c r="Z2079">
        <v>7.6999999999999999E-2</v>
      </c>
      <c r="AA2079">
        <v>0.14399999999999999</v>
      </c>
      <c r="AB2079">
        <v>2.5000000000000001E-2</v>
      </c>
      <c r="AC2079">
        <v>6</v>
      </c>
      <c r="AD2079" s="6">
        <v>50</v>
      </c>
      <c r="AE2079" s="6">
        <v>0</v>
      </c>
      <c r="AF2079" s="6">
        <v>0</v>
      </c>
      <c r="AG2079" s="6">
        <v>65.97</v>
      </c>
      <c r="AH2079" s="6">
        <v>85.85</v>
      </c>
      <c r="AI2079" s="6">
        <f t="shared" si="64"/>
        <v>19.879999999999995</v>
      </c>
      <c r="AJ2079" s="5">
        <f t="shared" si="65"/>
        <v>0.2315666860803727</v>
      </c>
    </row>
    <row r="2080" spans="1:36">
      <c r="A2080" t="s">
        <v>266</v>
      </c>
      <c r="B2080" t="s">
        <v>2365</v>
      </c>
      <c r="C2080" t="s">
        <v>106</v>
      </c>
      <c r="D2080" t="s">
        <v>54</v>
      </c>
      <c r="E2080" t="s">
        <v>55</v>
      </c>
      <c r="F2080">
        <v>0</v>
      </c>
      <c r="G2080">
        <v>2188</v>
      </c>
      <c r="H2080">
        <v>1</v>
      </c>
      <c r="I2080" t="s">
        <v>173</v>
      </c>
      <c r="J2080">
        <v>1</v>
      </c>
      <c r="K2080" s="6">
        <v>2.04</v>
      </c>
      <c r="L2080" t="s">
        <v>174</v>
      </c>
      <c r="M2080">
        <v>0</v>
      </c>
      <c r="N2080" t="s">
        <v>187</v>
      </c>
      <c r="O2080">
        <v>2</v>
      </c>
      <c r="P2080">
        <v>0</v>
      </c>
      <c r="Q2080" s="6">
        <v>61.4</v>
      </c>
      <c r="R2080">
        <v>0</v>
      </c>
      <c r="S2080" s="6">
        <v>0</v>
      </c>
      <c r="T2080">
        <v>0</v>
      </c>
      <c r="U2080" s="6">
        <v>1666</v>
      </c>
      <c r="V2080">
        <v>0</v>
      </c>
      <c r="W2080">
        <v>0</v>
      </c>
      <c r="X2080">
        <v>0</v>
      </c>
      <c r="Y2080" s="6">
        <v>47.6</v>
      </c>
      <c r="Z2080">
        <v>7.6999999999999999E-2</v>
      </c>
      <c r="AA2080">
        <v>0.14399999999999999</v>
      </c>
      <c r="AB2080">
        <v>2.5000000000000001E-2</v>
      </c>
      <c r="AC2080">
        <v>6</v>
      </c>
      <c r="AD2080" s="6">
        <v>50</v>
      </c>
      <c r="AE2080" s="6">
        <v>0</v>
      </c>
      <c r="AF2080" s="6">
        <v>0</v>
      </c>
      <c r="AG2080" s="6">
        <v>55.71</v>
      </c>
      <c r="AH2080" s="6">
        <v>74.3</v>
      </c>
      <c r="AI2080" s="6">
        <f t="shared" si="64"/>
        <v>18.589999999999996</v>
      </c>
      <c r="AJ2080" s="5">
        <f t="shared" si="65"/>
        <v>0.25020188425302825</v>
      </c>
    </row>
    <row r="2081" spans="1:36">
      <c r="A2081" t="s">
        <v>223</v>
      </c>
      <c r="B2081" t="s">
        <v>2366</v>
      </c>
      <c r="C2081" t="s">
        <v>106</v>
      </c>
      <c r="D2081" t="s">
        <v>54</v>
      </c>
      <c r="E2081" t="s">
        <v>55</v>
      </c>
      <c r="F2081">
        <v>0</v>
      </c>
      <c r="G2081">
        <v>2188</v>
      </c>
      <c r="H2081">
        <v>1</v>
      </c>
      <c r="I2081" t="s">
        <v>173</v>
      </c>
      <c r="J2081">
        <v>1</v>
      </c>
      <c r="K2081" s="6">
        <v>0.65</v>
      </c>
      <c r="L2081" t="s">
        <v>174</v>
      </c>
      <c r="M2081">
        <v>0</v>
      </c>
      <c r="N2081" t="s">
        <v>175</v>
      </c>
      <c r="O2081">
        <v>1</v>
      </c>
      <c r="P2081">
        <v>0</v>
      </c>
      <c r="Q2081" s="6">
        <v>44.8</v>
      </c>
      <c r="R2081">
        <v>0</v>
      </c>
      <c r="S2081" s="6">
        <v>0</v>
      </c>
      <c r="T2081">
        <v>0</v>
      </c>
      <c r="U2081" s="6">
        <v>3785</v>
      </c>
      <c r="V2081">
        <v>0</v>
      </c>
      <c r="W2081">
        <v>0</v>
      </c>
      <c r="X2081">
        <v>0</v>
      </c>
      <c r="Y2081" s="6">
        <v>47.6</v>
      </c>
      <c r="Z2081">
        <v>7.6999999999999999E-2</v>
      </c>
      <c r="AA2081">
        <v>0.14399999999999999</v>
      </c>
      <c r="AB2081">
        <v>2.5000000000000001E-2</v>
      </c>
      <c r="AC2081">
        <v>6</v>
      </c>
      <c r="AD2081" s="6">
        <v>50</v>
      </c>
      <c r="AE2081" s="6">
        <v>0</v>
      </c>
      <c r="AF2081" s="6">
        <v>0</v>
      </c>
      <c r="AG2081" s="6">
        <v>57.05</v>
      </c>
      <c r="AH2081" s="6">
        <v>76.260000000000005</v>
      </c>
      <c r="AI2081" s="6">
        <f t="shared" si="64"/>
        <v>19.210000000000008</v>
      </c>
      <c r="AJ2081" s="5">
        <f t="shared" si="65"/>
        <v>0.25190138998164185</v>
      </c>
    </row>
    <row r="2082" spans="1:36">
      <c r="A2082" t="s">
        <v>338</v>
      </c>
      <c r="B2082" t="s">
        <v>2367</v>
      </c>
      <c r="C2082" t="s">
        <v>106</v>
      </c>
      <c r="D2082" t="s">
        <v>54</v>
      </c>
      <c r="E2082" t="s">
        <v>55</v>
      </c>
      <c r="F2082">
        <v>0</v>
      </c>
      <c r="G2082">
        <v>2188</v>
      </c>
      <c r="H2082">
        <v>1</v>
      </c>
      <c r="I2082" t="s">
        <v>173</v>
      </c>
      <c r="J2082">
        <v>1</v>
      </c>
      <c r="K2082" s="6">
        <v>1.96</v>
      </c>
      <c r="L2082" t="s">
        <v>174</v>
      </c>
      <c r="M2082">
        <v>0</v>
      </c>
      <c r="N2082" t="s">
        <v>187</v>
      </c>
      <c r="O2082">
        <v>2</v>
      </c>
      <c r="P2082">
        <v>0</v>
      </c>
      <c r="Q2082" s="6">
        <v>71.3</v>
      </c>
      <c r="R2082">
        <v>0</v>
      </c>
      <c r="S2082" s="6">
        <v>0</v>
      </c>
      <c r="T2082">
        <v>0</v>
      </c>
      <c r="U2082" s="6">
        <v>1030</v>
      </c>
      <c r="V2082">
        <v>0</v>
      </c>
      <c r="W2082">
        <v>0</v>
      </c>
      <c r="X2082">
        <v>0</v>
      </c>
      <c r="Y2082" s="6">
        <v>47.6</v>
      </c>
      <c r="Z2082">
        <v>7.6999999999999999E-2</v>
      </c>
      <c r="AA2082">
        <v>0.14399999999999999</v>
      </c>
      <c r="AB2082">
        <v>2.5000000000000001E-2</v>
      </c>
      <c r="AC2082">
        <v>6</v>
      </c>
      <c r="AD2082" s="6">
        <v>50</v>
      </c>
      <c r="AE2082" s="6">
        <v>0</v>
      </c>
      <c r="AF2082" s="6">
        <v>0</v>
      </c>
      <c r="AG2082" s="6">
        <v>52.63</v>
      </c>
      <c r="AH2082" s="6">
        <v>66.010000000000005</v>
      </c>
      <c r="AI2082" s="6">
        <f t="shared" si="64"/>
        <v>13.380000000000003</v>
      </c>
      <c r="AJ2082" s="5">
        <f t="shared" si="65"/>
        <v>0.20269656112710197</v>
      </c>
    </row>
    <row r="2083" spans="1:36">
      <c r="A2083" t="s">
        <v>206</v>
      </c>
      <c r="B2083" t="s">
        <v>2368</v>
      </c>
      <c r="C2083" t="s">
        <v>106</v>
      </c>
      <c r="D2083" t="s">
        <v>54</v>
      </c>
      <c r="E2083" t="s">
        <v>55</v>
      </c>
      <c r="F2083">
        <v>0</v>
      </c>
      <c r="G2083">
        <v>2188</v>
      </c>
      <c r="H2083">
        <v>1</v>
      </c>
      <c r="I2083" t="s">
        <v>181</v>
      </c>
      <c r="J2083">
        <v>3</v>
      </c>
      <c r="K2083" s="6">
        <v>9.5299999999999994</v>
      </c>
      <c r="L2083" t="s">
        <v>174</v>
      </c>
      <c r="M2083">
        <v>0</v>
      </c>
      <c r="N2083" t="s">
        <v>175</v>
      </c>
      <c r="O2083">
        <v>1</v>
      </c>
      <c r="P2083">
        <v>0</v>
      </c>
      <c r="Q2083" s="6">
        <v>25.3</v>
      </c>
      <c r="R2083">
        <v>1</v>
      </c>
      <c r="S2083" s="6">
        <v>1010</v>
      </c>
      <c r="T2083">
        <v>0</v>
      </c>
      <c r="U2083" s="6">
        <v>2249</v>
      </c>
      <c r="V2083">
        <v>0</v>
      </c>
      <c r="W2083">
        <v>0</v>
      </c>
      <c r="X2083">
        <v>0</v>
      </c>
      <c r="Y2083" s="6">
        <v>47.6</v>
      </c>
      <c r="Z2083">
        <v>7.6999999999999999E-2</v>
      </c>
      <c r="AA2083">
        <v>0.14399999999999999</v>
      </c>
      <c r="AB2083">
        <v>2.5000000000000001E-2</v>
      </c>
      <c r="AC2083">
        <v>6</v>
      </c>
      <c r="AD2083" s="6">
        <v>60</v>
      </c>
      <c r="AE2083" s="6">
        <v>25</v>
      </c>
      <c r="AF2083" s="6">
        <v>0</v>
      </c>
      <c r="AG2083" s="6">
        <v>98.92</v>
      </c>
      <c r="AH2083" s="6">
        <v>126.43</v>
      </c>
      <c r="AI2083" s="6">
        <f t="shared" si="64"/>
        <v>27.510000000000005</v>
      </c>
      <c r="AJ2083" s="5">
        <f t="shared" si="65"/>
        <v>0.21759076168630867</v>
      </c>
    </row>
    <row r="2084" spans="1:36">
      <c r="A2084" t="s">
        <v>323</v>
      </c>
      <c r="B2084" t="s">
        <v>2369</v>
      </c>
      <c r="C2084" t="s">
        <v>106</v>
      </c>
      <c r="D2084" t="s">
        <v>54</v>
      </c>
      <c r="E2084" t="s">
        <v>55</v>
      </c>
      <c r="F2084">
        <v>0</v>
      </c>
      <c r="G2084">
        <v>2188</v>
      </c>
      <c r="H2084">
        <v>1</v>
      </c>
      <c r="I2084" t="s">
        <v>220</v>
      </c>
      <c r="J2084">
        <v>2</v>
      </c>
      <c r="K2084" s="6">
        <v>4.83</v>
      </c>
      <c r="L2084" t="s">
        <v>200</v>
      </c>
      <c r="M2084">
        <v>1</v>
      </c>
      <c r="N2084" t="s">
        <v>187</v>
      </c>
      <c r="O2084">
        <v>2</v>
      </c>
      <c r="P2084">
        <v>0</v>
      </c>
      <c r="Q2084" s="6">
        <v>52.6</v>
      </c>
      <c r="R2084">
        <v>0</v>
      </c>
      <c r="S2084" s="6">
        <v>0</v>
      </c>
      <c r="T2084">
        <v>0</v>
      </c>
      <c r="U2084" s="6">
        <v>3621</v>
      </c>
      <c r="V2084">
        <v>0</v>
      </c>
      <c r="W2084">
        <v>0</v>
      </c>
      <c r="X2084">
        <v>0</v>
      </c>
      <c r="Y2084" s="6">
        <v>47.6</v>
      </c>
      <c r="Z2084">
        <v>7.6999999999999999E-2</v>
      </c>
      <c r="AA2084">
        <v>0.14399999999999999</v>
      </c>
      <c r="AB2084">
        <v>2.5000000000000001E-2</v>
      </c>
      <c r="AC2084">
        <v>6</v>
      </c>
      <c r="AD2084" s="6">
        <v>119</v>
      </c>
      <c r="AE2084" s="6">
        <v>0</v>
      </c>
      <c r="AF2084" s="6">
        <v>0</v>
      </c>
      <c r="AG2084" s="6">
        <v>97.73</v>
      </c>
      <c r="AH2084" s="6">
        <v>123.04</v>
      </c>
      <c r="AI2084" s="6">
        <f t="shared" si="64"/>
        <v>25.310000000000002</v>
      </c>
      <c r="AJ2084" s="5">
        <f t="shared" si="65"/>
        <v>0.20570546163849154</v>
      </c>
    </row>
    <row r="2085" spans="1:36">
      <c r="A2085" t="s">
        <v>328</v>
      </c>
      <c r="B2085" t="s">
        <v>2370</v>
      </c>
      <c r="C2085" t="s">
        <v>106</v>
      </c>
      <c r="D2085" t="s">
        <v>54</v>
      </c>
      <c r="E2085" t="s">
        <v>55</v>
      </c>
      <c r="F2085">
        <v>0</v>
      </c>
      <c r="G2085">
        <v>2188</v>
      </c>
      <c r="H2085">
        <v>1</v>
      </c>
      <c r="I2085" t="s">
        <v>173</v>
      </c>
      <c r="J2085">
        <v>1</v>
      </c>
      <c r="K2085" s="6">
        <v>1.81</v>
      </c>
      <c r="L2085" t="s">
        <v>174</v>
      </c>
      <c r="M2085">
        <v>0</v>
      </c>
      <c r="N2085" t="s">
        <v>272</v>
      </c>
      <c r="O2085">
        <v>5</v>
      </c>
      <c r="P2085">
        <v>1</v>
      </c>
      <c r="Q2085" s="6">
        <v>308.7</v>
      </c>
      <c r="R2085">
        <v>0</v>
      </c>
      <c r="S2085" s="6">
        <v>0</v>
      </c>
      <c r="T2085">
        <v>0</v>
      </c>
      <c r="U2085" s="6">
        <v>4946</v>
      </c>
      <c r="V2085">
        <v>0</v>
      </c>
      <c r="W2085">
        <v>0</v>
      </c>
      <c r="X2085">
        <v>0</v>
      </c>
      <c r="Y2085" s="6">
        <v>47.6</v>
      </c>
      <c r="Z2085">
        <v>7.6999999999999999E-2</v>
      </c>
      <c r="AA2085">
        <v>0.14399999999999999</v>
      </c>
      <c r="AB2085">
        <v>2.5000000000000001E-2</v>
      </c>
      <c r="AC2085">
        <v>6</v>
      </c>
      <c r="AD2085" s="6">
        <v>50</v>
      </c>
      <c r="AE2085" s="6">
        <v>0</v>
      </c>
      <c r="AF2085" s="6">
        <v>0</v>
      </c>
      <c r="AG2085" s="6">
        <v>152.12</v>
      </c>
      <c r="AH2085" s="6">
        <v>193.52</v>
      </c>
      <c r="AI2085" s="6">
        <f t="shared" si="64"/>
        <v>41.400000000000006</v>
      </c>
      <c r="AJ2085" s="5">
        <f t="shared" si="65"/>
        <v>0.21393137660190162</v>
      </c>
    </row>
    <row r="2086" spans="1:36">
      <c r="A2086" t="s">
        <v>279</v>
      </c>
      <c r="B2086" t="s">
        <v>2371</v>
      </c>
      <c r="C2086" t="s">
        <v>106</v>
      </c>
      <c r="D2086" t="s">
        <v>54</v>
      </c>
      <c r="E2086" t="s">
        <v>55</v>
      </c>
      <c r="F2086">
        <v>0</v>
      </c>
      <c r="G2086">
        <v>2188</v>
      </c>
      <c r="H2086">
        <v>1</v>
      </c>
      <c r="I2086" t="s">
        <v>181</v>
      </c>
      <c r="J2086">
        <v>3</v>
      </c>
      <c r="K2086" s="6">
        <v>9.48</v>
      </c>
      <c r="L2086" t="s">
        <v>200</v>
      </c>
      <c r="M2086">
        <v>1</v>
      </c>
      <c r="N2086" t="s">
        <v>175</v>
      </c>
      <c r="O2086">
        <v>1</v>
      </c>
      <c r="P2086">
        <v>1</v>
      </c>
      <c r="Q2086" s="6">
        <v>31.1</v>
      </c>
      <c r="R2086">
        <v>0</v>
      </c>
      <c r="S2086" s="6">
        <v>0</v>
      </c>
      <c r="T2086">
        <v>0</v>
      </c>
      <c r="U2086" s="6">
        <v>2333</v>
      </c>
      <c r="V2086">
        <v>0</v>
      </c>
      <c r="W2086">
        <v>0</v>
      </c>
      <c r="X2086">
        <v>0</v>
      </c>
      <c r="Y2086" s="6">
        <v>47.6</v>
      </c>
      <c r="Z2086">
        <v>7.6999999999999999E-2</v>
      </c>
      <c r="AA2086">
        <v>0.14399999999999999</v>
      </c>
      <c r="AB2086">
        <v>2.5000000000000001E-2</v>
      </c>
      <c r="AC2086">
        <v>6</v>
      </c>
      <c r="AD2086" s="6">
        <v>139</v>
      </c>
      <c r="AE2086" s="6">
        <v>0</v>
      </c>
      <c r="AF2086" s="6">
        <v>0</v>
      </c>
      <c r="AG2086" s="6">
        <v>166.66</v>
      </c>
      <c r="AH2086" s="6">
        <v>211.39</v>
      </c>
      <c r="AI2086" s="6">
        <f t="shared" si="64"/>
        <v>44.72999999999999</v>
      </c>
      <c r="AJ2086" s="5">
        <f t="shared" si="65"/>
        <v>0.21159941340649979</v>
      </c>
    </row>
    <row r="2087" spans="1:36">
      <c r="A2087" t="s">
        <v>348</v>
      </c>
      <c r="B2087" t="s">
        <v>2372</v>
      </c>
      <c r="C2087" t="s">
        <v>106</v>
      </c>
      <c r="D2087" t="s">
        <v>54</v>
      </c>
      <c r="E2087" t="s">
        <v>55</v>
      </c>
      <c r="F2087">
        <v>0</v>
      </c>
      <c r="G2087">
        <v>2188</v>
      </c>
      <c r="H2087">
        <v>1</v>
      </c>
      <c r="I2087" t="s">
        <v>173</v>
      </c>
      <c r="J2087">
        <v>1</v>
      </c>
      <c r="K2087" s="6">
        <v>2.38</v>
      </c>
      <c r="L2087" t="s">
        <v>174</v>
      </c>
      <c r="M2087">
        <v>0</v>
      </c>
      <c r="N2087" t="s">
        <v>175</v>
      </c>
      <c r="O2087">
        <v>1</v>
      </c>
      <c r="P2087">
        <v>1</v>
      </c>
      <c r="Q2087" s="6">
        <v>48.3</v>
      </c>
      <c r="R2087">
        <v>0</v>
      </c>
      <c r="S2087" s="6">
        <v>0</v>
      </c>
      <c r="T2087">
        <v>0</v>
      </c>
      <c r="U2087" s="6">
        <v>2203</v>
      </c>
      <c r="V2087">
        <v>0</v>
      </c>
      <c r="W2087">
        <v>0</v>
      </c>
      <c r="X2087">
        <v>0</v>
      </c>
      <c r="Y2087" s="6">
        <v>47.6</v>
      </c>
      <c r="Z2087">
        <v>7.6999999999999999E-2</v>
      </c>
      <c r="AA2087">
        <v>0.14399999999999999</v>
      </c>
      <c r="AB2087">
        <v>2.5000000000000001E-2</v>
      </c>
      <c r="AC2087">
        <v>6</v>
      </c>
      <c r="AD2087" s="6">
        <v>50</v>
      </c>
      <c r="AE2087" s="6">
        <v>0</v>
      </c>
      <c r="AF2087" s="6">
        <v>0</v>
      </c>
      <c r="AG2087" s="6">
        <v>73.61</v>
      </c>
      <c r="AH2087" s="6">
        <v>94.66</v>
      </c>
      <c r="AI2087" s="6">
        <f t="shared" si="64"/>
        <v>21.049999999999997</v>
      </c>
      <c r="AJ2087" s="5">
        <f t="shared" si="65"/>
        <v>0.22237481512782589</v>
      </c>
    </row>
    <row r="2088" spans="1:36">
      <c r="A2088" t="s">
        <v>303</v>
      </c>
      <c r="B2088" t="s">
        <v>2373</v>
      </c>
      <c r="C2088" t="s">
        <v>106</v>
      </c>
      <c r="D2088" t="s">
        <v>54</v>
      </c>
      <c r="E2088" t="s">
        <v>55</v>
      </c>
      <c r="F2088">
        <v>0</v>
      </c>
      <c r="G2088">
        <v>2188</v>
      </c>
      <c r="H2088">
        <v>1</v>
      </c>
      <c r="I2088" t="s">
        <v>173</v>
      </c>
      <c r="J2088">
        <v>1</v>
      </c>
      <c r="K2088" s="6">
        <v>2.23</v>
      </c>
      <c r="L2088" t="s">
        <v>174</v>
      </c>
      <c r="M2088">
        <v>0</v>
      </c>
      <c r="N2088" t="s">
        <v>182</v>
      </c>
      <c r="O2088">
        <v>3</v>
      </c>
      <c r="P2088">
        <v>0</v>
      </c>
      <c r="Q2088" s="6">
        <v>142.19999999999999</v>
      </c>
      <c r="R2088">
        <v>0</v>
      </c>
      <c r="S2088" s="6">
        <v>0</v>
      </c>
      <c r="T2088">
        <v>0</v>
      </c>
      <c r="U2088" s="6">
        <v>1978</v>
      </c>
      <c r="V2088">
        <v>0</v>
      </c>
      <c r="W2088">
        <v>0</v>
      </c>
      <c r="X2088">
        <v>0</v>
      </c>
      <c r="Y2088" s="6">
        <v>47.6</v>
      </c>
      <c r="Z2088">
        <v>7.6999999999999999E-2</v>
      </c>
      <c r="AA2088">
        <v>0.14399999999999999</v>
      </c>
      <c r="AB2088">
        <v>2.5000000000000001E-2</v>
      </c>
      <c r="AC2088">
        <v>6</v>
      </c>
      <c r="AD2088" s="6">
        <v>50</v>
      </c>
      <c r="AE2088" s="6">
        <v>0</v>
      </c>
      <c r="AF2088" s="6">
        <v>0</v>
      </c>
      <c r="AG2088" s="6">
        <v>58.96</v>
      </c>
      <c r="AH2088" s="6">
        <v>76.540000000000006</v>
      </c>
      <c r="AI2088" s="6">
        <f t="shared" si="64"/>
        <v>17.580000000000005</v>
      </c>
      <c r="AJ2088" s="5">
        <f t="shared" si="65"/>
        <v>0.22968382545074476</v>
      </c>
    </row>
    <row r="2089" spans="1:36">
      <c r="A2089" t="s">
        <v>201</v>
      </c>
      <c r="B2089" t="s">
        <v>2374</v>
      </c>
      <c r="C2089" t="s">
        <v>106</v>
      </c>
      <c r="D2089" t="s">
        <v>54</v>
      </c>
      <c r="E2089" t="s">
        <v>55</v>
      </c>
      <c r="F2089">
        <v>0</v>
      </c>
      <c r="G2089">
        <v>2188</v>
      </c>
      <c r="H2089">
        <v>1</v>
      </c>
      <c r="I2089" t="s">
        <v>173</v>
      </c>
      <c r="J2089">
        <v>1</v>
      </c>
      <c r="K2089" s="6">
        <v>1.57</v>
      </c>
      <c r="L2089" t="s">
        <v>174</v>
      </c>
      <c r="M2089">
        <v>0</v>
      </c>
      <c r="N2089" t="s">
        <v>187</v>
      </c>
      <c r="O2089">
        <v>2</v>
      </c>
      <c r="P2089">
        <v>0</v>
      </c>
      <c r="Q2089" s="6">
        <v>64.099999999999994</v>
      </c>
      <c r="R2089">
        <v>0</v>
      </c>
      <c r="S2089" s="6">
        <v>0</v>
      </c>
      <c r="T2089">
        <v>0</v>
      </c>
      <c r="U2089" s="6">
        <v>3459</v>
      </c>
      <c r="V2089">
        <v>0</v>
      </c>
      <c r="W2089">
        <v>0</v>
      </c>
      <c r="X2089">
        <v>0</v>
      </c>
      <c r="Y2089" s="6">
        <v>47.6</v>
      </c>
      <c r="Z2089">
        <v>7.6999999999999999E-2</v>
      </c>
      <c r="AA2089">
        <v>0.14399999999999999</v>
      </c>
      <c r="AB2089">
        <v>2.5000000000000001E-2</v>
      </c>
      <c r="AC2089">
        <v>6</v>
      </c>
      <c r="AD2089" s="6">
        <v>50</v>
      </c>
      <c r="AE2089" s="6">
        <v>0</v>
      </c>
      <c r="AF2089" s="6">
        <v>0</v>
      </c>
      <c r="AG2089" s="6">
        <v>51.27</v>
      </c>
      <c r="AH2089" s="6">
        <v>68.12</v>
      </c>
      <c r="AI2089" s="6">
        <f t="shared" si="64"/>
        <v>16.850000000000001</v>
      </c>
      <c r="AJ2089" s="5">
        <f t="shared" si="65"/>
        <v>0.24735760422783323</v>
      </c>
    </row>
    <row r="2090" spans="1:36">
      <c r="A2090" t="s">
        <v>365</v>
      </c>
      <c r="B2090" t="s">
        <v>2375</v>
      </c>
      <c r="C2090" t="s">
        <v>106</v>
      </c>
      <c r="D2090" t="s">
        <v>54</v>
      </c>
      <c r="E2090" t="s">
        <v>55</v>
      </c>
      <c r="F2090">
        <v>0</v>
      </c>
      <c r="G2090">
        <v>2188</v>
      </c>
      <c r="H2090">
        <v>1</v>
      </c>
      <c r="I2090" t="s">
        <v>173</v>
      </c>
      <c r="J2090">
        <v>1</v>
      </c>
      <c r="K2090" s="6">
        <v>2.37</v>
      </c>
      <c r="L2090" t="s">
        <v>174</v>
      </c>
      <c r="M2090">
        <v>0</v>
      </c>
      <c r="N2090" t="s">
        <v>187</v>
      </c>
      <c r="O2090">
        <v>2</v>
      </c>
      <c r="P2090">
        <v>0</v>
      </c>
      <c r="Q2090" s="6">
        <v>41.8</v>
      </c>
      <c r="R2090">
        <v>1</v>
      </c>
      <c r="S2090" s="6">
        <v>1510</v>
      </c>
      <c r="T2090">
        <v>0</v>
      </c>
      <c r="U2090" s="6">
        <v>6617</v>
      </c>
      <c r="V2090">
        <v>0</v>
      </c>
      <c r="W2090">
        <v>0</v>
      </c>
      <c r="X2090">
        <v>0</v>
      </c>
      <c r="Y2090" s="6">
        <v>47.6</v>
      </c>
      <c r="Z2090">
        <v>7.6999999999999999E-2</v>
      </c>
      <c r="AA2090">
        <v>0.14399999999999999</v>
      </c>
      <c r="AB2090">
        <v>2.5000000000000001E-2</v>
      </c>
      <c r="AC2090">
        <v>6</v>
      </c>
      <c r="AD2090" s="6">
        <v>50</v>
      </c>
      <c r="AE2090" s="6">
        <v>25</v>
      </c>
      <c r="AF2090" s="6">
        <v>0</v>
      </c>
      <c r="AG2090" s="6">
        <v>58.14</v>
      </c>
      <c r="AH2090" s="6">
        <v>74.62</v>
      </c>
      <c r="AI2090" s="6">
        <f t="shared" si="64"/>
        <v>16.480000000000004</v>
      </c>
      <c r="AJ2090" s="5">
        <f t="shared" si="65"/>
        <v>0.22085231841329406</v>
      </c>
    </row>
    <row r="2091" spans="1:36">
      <c r="A2091" t="s">
        <v>579</v>
      </c>
      <c r="B2091" t="s">
        <v>2376</v>
      </c>
      <c r="C2091" t="s">
        <v>106</v>
      </c>
      <c r="D2091" t="s">
        <v>54</v>
      </c>
      <c r="E2091" t="s">
        <v>55</v>
      </c>
      <c r="F2091">
        <v>0</v>
      </c>
      <c r="G2091">
        <v>2188</v>
      </c>
      <c r="H2091">
        <v>1</v>
      </c>
      <c r="I2091" t="s">
        <v>173</v>
      </c>
      <c r="J2091">
        <v>1</v>
      </c>
      <c r="K2091" s="6">
        <v>1.41</v>
      </c>
      <c r="L2091" t="s">
        <v>174</v>
      </c>
      <c r="M2091">
        <v>0</v>
      </c>
      <c r="N2091" t="s">
        <v>182</v>
      </c>
      <c r="O2091">
        <v>3</v>
      </c>
      <c r="P2091">
        <v>0</v>
      </c>
      <c r="Q2091" s="6">
        <v>66.2</v>
      </c>
      <c r="R2091">
        <v>0</v>
      </c>
      <c r="S2091" s="6">
        <v>0</v>
      </c>
      <c r="T2091">
        <v>0</v>
      </c>
      <c r="U2091" s="6">
        <v>4935</v>
      </c>
      <c r="V2091">
        <v>0</v>
      </c>
      <c r="W2091">
        <v>0</v>
      </c>
      <c r="X2091">
        <v>0</v>
      </c>
      <c r="Y2091" s="6">
        <v>47.6</v>
      </c>
      <c r="Z2091">
        <v>7.6999999999999999E-2</v>
      </c>
      <c r="AA2091">
        <v>0.14399999999999999</v>
      </c>
      <c r="AB2091">
        <v>2.5000000000000001E-2</v>
      </c>
      <c r="AC2091">
        <v>6</v>
      </c>
      <c r="AD2091" s="6">
        <v>50</v>
      </c>
      <c r="AE2091" s="6">
        <v>0</v>
      </c>
      <c r="AF2091" s="6">
        <v>0</v>
      </c>
      <c r="AG2091" s="6">
        <v>61.83</v>
      </c>
      <c r="AH2091" s="6">
        <v>82.06</v>
      </c>
      <c r="AI2091" s="6">
        <f t="shared" si="64"/>
        <v>20.230000000000004</v>
      </c>
      <c r="AJ2091" s="5">
        <f t="shared" si="65"/>
        <v>0.24652693151352673</v>
      </c>
    </row>
    <row r="2092" spans="1:36">
      <c r="A2092" t="s">
        <v>183</v>
      </c>
      <c r="B2092" t="s">
        <v>2377</v>
      </c>
      <c r="C2092" t="s">
        <v>106</v>
      </c>
      <c r="D2092" t="s">
        <v>54</v>
      </c>
      <c r="E2092" t="s">
        <v>55</v>
      </c>
      <c r="F2092">
        <v>0</v>
      </c>
      <c r="G2092">
        <v>2188</v>
      </c>
      <c r="H2092">
        <v>1</v>
      </c>
      <c r="I2092" t="s">
        <v>220</v>
      </c>
      <c r="J2092">
        <v>2</v>
      </c>
      <c r="K2092" s="6">
        <v>3.07</v>
      </c>
      <c r="L2092" t="s">
        <v>174</v>
      </c>
      <c r="M2092">
        <v>0</v>
      </c>
      <c r="N2092" t="s">
        <v>187</v>
      </c>
      <c r="O2092">
        <v>2</v>
      </c>
      <c r="P2092">
        <v>1</v>
      </c>
      <c r="Q2092" s="6">
        <v>65.5</v>
      </c>
      <c r="R2092">
        <v>1</v>
      </c>
      <c r="S2092" s="6">
        <v>2381</v>
      </c>
      <c r="T2092">
        <v>0</v>
      </c>
      <c r="U2092" s="6">
        <v>1193</v>
      </c>
      <c r="V2092">
        <v>0</v>
      </c>
      <c r="W2092">
        <v>0</v>
      </c>
      <c r="X2092">
        <v>0</v>
      </c>
      <c r="Y2092" s="6">
        <v>47.6</v>
      </c>
      <c r="Z2092">
        <v>7.6999999999999999E-2</v>
      </c>
      <c r="AA2092">
        <v>0.14399999999999999</v>
      </c>
      <c r="AB2092">
        <v>2.5000000000000001E-2</v>
      </c>
      <c r="AC2092">
        <v>6</v>
      </c>
      <c r="AD2092" s="6">
        <v>50</v>
      </c>
      <c r="AE2092" s="6">
        <v>40</v>
      </c>
      <c r="AF2092" s="6">
        <v>0</v>
      </c>
      <c r="AG2092" s="6">
        <v>99.87</v>
      </c>
      <c r="AH2092" s="6">
        <v>128.59</v>
      </c>
      <c r="AI2092" s="6">
        <f t="shared" si="64"/>
        <v>28.72</v>
      </c>
      <c r="AJ2092" s="5">
        <f t="shared" si="65"/>
        <v>0.22334551675869041</v>
      </c>
    </row>
    <row r="2093" spans="1:36">
      <c r="A2093" t="s">
        <v>204</v>
      </c>
      <c r="B2093" t="s">
        <v>2378</v>
      </c>
      <c r="C2093" t="s">
        <v>106</v>
      </c>
      <c r="D2093" t="s">
        <v>54</v>
      </c>
      <c r="E2093" t="s">
        <v>55</v>
      </c>
      <c r="F2093">
        <v>0</v>
      </c>
      <c r="G2093">
        <v>2188</v>
      </c>
      <c r="H2093">
        <v>1</v>
      </c>
      <c r="I2093" t="s">
        <v>173</v>
      </c>
      <c r="J2093">
        <v>1</v>
      </c>
      <c r="K2093" s="6">
        <v>2.52</v>
      </c>
      <c r="L2093" t="s">
        <v>174</v>
      </c>
      <c r="M2093">
        <v>0</v>
      </c>
      <c r="N2093" t="s">
        <v>175</v>
      </c>
      <c r="O2093">
        <v>1</v>
      </c>
      <c r="P2093">
        <v>0</v>
      </c>
      <c r="Q2093" s="6">
        <v>37.4</v>
      </c>
      <c r="R2093">
        <v>0</v>
      </c>
      <c r="S2093" s="6">
        <v>0</v>
      </c>
      <c r="T2093">
        <v>0</v>
      </c>
      <c r="U2093" s="6">
        <v>2379</v>
      </c>
      <c r="V2093">
        <v>0</v>
      </c>
      <c r="W2093">
        <v>0</v>
      </c>
      <c r="X2093">
        <v>0</v>
      </c>
      <c r="Y2093" s="6">
        <v>47.6</v>
      </c>
      <c r="Z2093">
        <v>7.6999999999999999E-2</v>
      </c>
      <c r="AA2093">
        <v>0.14399999999999999</v>
      </c>
      <c r="AB2093">
        <v>2.5000000000000001E-2</v>
      </c>
      <c r="AC2093">
        <v>6</v>
      </c>
      <c r="AD2093" s="6">
        <v>50</v>
      </c>
      <c r="AE2093" s="6">
        <v>0</v>
      </c>
      <c r="AF2093" s="6">
        <v>0</v>
      </c>
      <c r="AG2093" s="6">
        <v>50.88</v>
      </c>
      <c r="AH2093" s="6">
        <v>66.03</v>
      </c>
      <c r="AI2093" s="6">
        <f t="shared" si="64"/>
        <v>15.149999999999999</v>
      </c>
      <c r="AJ2093" s="5">
        <f t="shared" si="65"/>
        <v>0.22944116310767831</v>
      </c>
    </row>
    <row r="2094" spans="1:36">
      <c r="A2094" t="s">
        <v>228</v>
      </c>
      <c r="B2094" t="s">
        <v>2379</v>
      </c>
      <c r="C2094" t="s">
        <v>106</v>
      </c>
      <c r="D2094" t="s">
        <v>54</v>
      </c>
      <c r="E2094" t="s">
        <v>55</v>
      </c>
      <c r="F2094">
        <v>0</v>
      </c>
      <c r="G2094">
        <v>2188</v>
      </c>
      <c r="H2094">
        <v>1</v>
      </c>
      <c r="I2094" t="s">
        <v>173</v>
      </c>
      <c r="J2094">
        <v>1</v>
      </c>
      <c r="K2094" s="6">
        <v>2.25</v>
      </c>
      <c r="L2094" t="s">
        <v>174</v>
      </c>
      <c r="M2094">
        <v>0</v>
      </c>
      <c r="N2094" t="s">
        <v>217</v>
      </c>
      <c r="O2094">
        <v>4</v>
      </c>
      <c r="P2094">
        <v>1</v>
      </c>
      <c r="Q2094" s="6">
        <v>128.6</v>
      </c>
      <c r="R2094">
        <v>0</v>
      </c>
      <c r="S2094" s="6">
        <v>0</v>
      </c>
      <c r="T2094">
        <v>0</v>
      </c>
      <c r="U2094" s="6">
        <v>1426</v>
      </c>
      <c r="V2094">
        <v>0</v>
      </c>
      <c r="W2094">
        <v>0</v>
      </c>
      <c r="X2094">
        <v>0</v>
      </c>
      <c r="Y2094" s="6">
        <v>47.6</v>
      </c>
      <c r="Z2094">
        <v>7.6999999999999999E-2</v>
      </c>
      <c r="AA2094">
        <v>0.14399999999999999</v>
      </c>
      <c r="AB2094">
        <v>2.5000000000000001E-2</v>
      </c>
      <c r="AC2094">
        <v>6</v>
      </c>
      <c r="AD2094" s="6">
        <v>50</v>
      </c>
      <c r="AE2094" s="6">
        <v>0</v>
      </c>
      <c r="AF2094" s="6">
        <v>0</v>
      </c>
      <c r="AG2094" s="6">
        <v>104.75</v>
      </c>
      <c r="AH2094" s="6">
        <v>131.66999999999999</v>
      </c>
      <c r="AI2094" s="6">
        <f t="shared" si="64"/>
        <v>26.919999999999987</v>
      </c>
      <c r="AJ2094" s="5">
        <f t="shared" si="65"/>
        <v>0.20445052023999385</v>
      </c>
    </row>
    <row r="2095" spans="1:36">
      <c r="A2095" t="s">
        <v>306</v>
      </c>
      <c r="B2095" t="s">
        <v>2380</v>
      </c>
      <c r="C2095" t="s">
        <v>106</v>
      </c>
      <c r="D2095" t="s">
        <v>54</v>
      </c>
      <c r="E2095" t="s">
        <v>55</v>
      </c>
      <c r="F2095">
        <v>0</v>
      </c>
      <c r="G2095">
        <v>2188</v>
      </c>
      <c r="H2095">
        <v>1</v>
      </c>
      <c r="I2095" t="s">
        <v>173</v>
      </c>
      <c r="J2095">
        <v>1</v>
      </c>
      <c r="K2095" s="6">
        <v>2.12</v>
      </c>
      <c r="L2095" t="s">
        <v>174</v>
      </c>
      <c r="M2095">
        <v>0</v>
      </c>
      <c r="N2095" t="s">
        <v>182</v>
      </c>
      <c r="O2095">
        <v>3</v>
      </c>
      <c r="P2095">
        <v>0</v>
      </c>
      <c r="Q2095" s="6">
        <v>79.3</v>
      </c>
      <c r="R2095">
        <v>1</v>
      </c>
      <c r="S2095" s="6">
        <v>2312</v>
      </c>
      <c r="T2095">
        <v>0</v>
      </c>
      <c r="U2095" s="6">
        <v>2126</v>
      </c>
      <c r="V2095">
        <v>0</v>
      </c>
      <c r="W2095">
        <v>0</v>
      </c>
      <c r="X2095">
        <v>0</v>
      </c>
      <c r="Y2095" s="6">
        <v>47.6</v>
      </c>
      <c r="Z2095">
        <v>7.6999999999999999E-2</v>
      </c>
      <c r="AA2095">
        <v>0.14399999999999999</v>
      </c>
      <c r="AB2095">
        <v>2.5000000000000001E-2</v>
      </c>
      <c r="AC2095">
        <v>6</v>
      </c>
      <c r="AD2095" s="6">
        <v>50</v>
      </c>
      <c r="AE2095" s="6">
        <v>40</v>
      </c>
      <c r="AF2095" s="6">
        <v>0</v>
      </c>
      <c r="AG2095" s="6">
        <v>63.67</v>
      </c>
      <c r="AH2095" s="6">
        <v>81.75</v>
      </c>
      <c r="AI2095" s="6">
        <f t="shared" si="64"/>
        <v>18.079999999999998</v>
      </c>
      <c r="AJ2095" s="5">
        <f t="shared" si="65"/>
        <v>0.22116207951070335</v>
      </c>
    </row>
    <row r="2096" spans="1:36">
      <c r="A2096" t="s">
        <v>457</v>
      </c>
      <c r="B2096" t="s">
        <v>2381</v>
      </c>
      <c r="C2096" t="s">
        <v>106</v>
      </c>
      <c r="D2096" t="s">
        <v>54</v>
      </c>
      <c r="E2096" t="s">
        <v>55</v>
      </c>
      <c r="F2096">
        <v>0</v>
      </c>
      <c r="G2096">
        <v>2188</v>
      </c>
      <c r="H2096">
        <v>1</v>
      </c>
      <c r="I2096" t="s">
        <v>178</v>
      </c>
      <c r="J2096">
        <v>4</v>
      </c>
      <c r="K2096" s="6">
        <v>19.97</v>
      </c>
      <c r="L2096" t="s">
        <v>174</v>
      </c>
      <c r="M2096">
        <v>0</v>
      </c>
      <c r="N2096" t="s">
        <v>182</v>
      </c>
      <c r="O2096">
        <v>3</v>
      </c>
      <c r="P2096">
        <v>0</v>
      </c>
      <c r="Q2096" s="6">
        <v>88.9</v>
      </c>
      <c r="R2096">
        <v>0</v>
      </c>
      <c r="S2096" s="6">
        <v>0</v>
      </c>
      <c r="T2096">
        <v>0</v>
      </c>
      <c r="U2096" s="6">
        <v>6670</v>
      </c>
      <c r="V2096">
        <v>0</v>
      </c>
      <c r="W2096">
        <v>0</v>
      </c>
      <c r="X2096">
        <v>0</v>
      </c>
      <c r="Y2096" s="6">
        <v>47.6</v>
      </c>
      <c r="Z2096">
        <v>7.6999999999999999E-2</v>
      </c>
      <c r="AA2096">
        <v>0.14399999999999999</v>
      </c>
      <c r="AB2096">
        <v>2.5000000000000001E-2</v>
      </c>
      <c r="AC2096">
        <v>6</v>
      </c>
      <c r="AD2096" s="6">
        <v>65</v>
      </c>
      <c r="AE2096" s="6">
        <v>0</v>
      </c>
      <c r="AF2096" s="6">
        <v>0</v>
      </c>
      <c r="AG2096" s="6">
        <v>158.01</v>
      </c>
      <c r="AH2096" s="6">
        <v>200.61</v>
      </c>
      <c r="AI2096" s="6">
        <f t="shared" si="64"/>
        <v>42.600000000000023</v>
      </c>
      <c r="AJ2096" s="5">
        <f t="shared" si="65"/>
        <v>0.2123523254075072</v>
      </c>
    </row>
    <row r="2097" spans="1:36">
      <c r="A2097" t="s">
        <v>691</v>
      </c>
      <c r="B2097" t="s">
        <v>2382</v>
      </c>
      <c r="C2097" t="s">
        <v>108</v>
      </c>
      <c r="D2097" t="s">
        <v>77</v>
      </c>
      <c r="E2097" t="s">
        <v>55</v>
      </c>
      <c r="F2097">
        <v>0</v>
      </c>
      <c r="G2097">
        <v>1472</v>
      </c>
      <c r="H2097">
        <v>1</v>
      </c>
      <c r="I2097" t="s">
        <v>173</v>
      </c>
      <c r="J2097">
        <v>1</v>
      </c>
      <c r="K2097" s="6">
        <v>1.47</v>
      </c>
      <c r="L2097" t="s">
        <v>174</v>
      </c>
      <c r="M2097">
        <v>0</v>
      </c>
      <c r="N2097" t="s">
        <v>182</v>
      </c>
      <c r="O2097">
        <v>3</v>
      </c>
      <c r="P2097">
        <v>0</v>
      </c>
      <c r="Q2097" s="6">
        <v>78.5</v>
      </c>
      <c r="R2097">
        <v>0</v>
      </c>
      <c r="S2097" s="6">
        <v>0</v>
      </c>
      <c r="T2097">
        <v>0</v>
      </c>
      <c r="U2097" s="6">
        <v>981</v>
      </c>
      <c r="V2097">
        <v>0</v>
      </c>
      <c r="W2097">
        <v>0</v>
      </c>
      <c r="X2097">
        <v>1</v>
      </c>
      <c r="Y2097" s="6">
        <v>40.700000000000003</v>
      </c>
      <c r="Z2097">
        <v>3.4000000000000002E-2</v>
      </c>
      <c r="AA2097">
        <v>5.8999999999999997E-2</v>
      </c>
      <c r="AB2097">
        <v>0.05</v>
      </c>
      <c r="AC2097">
        <v>6</v>
      </c>
      <c r="AD2097" s="6">
        <v>50</v>
      </c>
      <c r="AE2097" s="6">
        <v>0</v>
      </c>
      <c r="AF2097" s="6">
        <v>0</v>
      </c>
      <c r="AG2097" s="6">
        <v>53.08</v>
      </c>
      <c r="AH2097" s="6">
        <v>68.7</v>
      </c>
      <c r="AI2097" s="6">
        <f t="shared" si="64"/>
        <v>15.620000000000005</v>
      </c>
      <c r="AJ2097" s="5">
        <f t="shared" si="65"/>
        <v>0.22736535662299859</v>
      </c>
    </row>
    <row r="2098" spans="1:36">
      <c r="A2098" t="s">
        <v>635</v>
      </c>
      <c r="B2098" t="s">
        <v>2383</v>
      </c>
      <c r="C2098" t="s">
        <v>108</v>
      </c>
      <c r="D2098" t="s">
        <v>77</v>
      </c>
      <c r="E2098" t="s">
        <v>55</v>
      </c>
      <c r="F2098">
        <v>0</v>
      </c>
      <c r="G2098">
        <v>1472</v>
      </c>
      <c r="H2098">
        <v>1</v>
      </c>
      <c r="I2098" t="s">
        <v>220</v>
      </c>
      <c r="J2098">
        <v>2</v>
      </c>
      <c r="K2098" s="6">
        <v>4.82</v>
      </c>
      <c r="L2098" t="s">
        <v>174</v>
      </c>
      <c r="M2098">
        <v>0</v>
      </c>
      <c r="N2098" t="s">
        <v>182</v>
      </c>
      <c r="O2098">
        <v>3</v>
      </c>
      <c r="P2098">
        <v>0</v>
      </c>
      <c r="Q2098" s="6">
        <v>123.9</v>
      </c>
      <c r="R2098">
        <v>0</v>
      </c>
      <c r="S2098" s="6">
        <v>0</v>
      </c>
      <c r="T2098">
        <v>0</v>
      </c>
      <c r="U2098" s="6">
        <v>925</v>
      </c>
      <c r="V2098">
        <v>0</v>
      </c>
      <c r="W2098">
        <v>0</v>
      </c>
      <c r="X2098">
        <v>0</v>
      </c>
      <c r="Y2098" s="6">
        <v>40.700000000000003</v>
      </c>
      <c r="Z2098">
        <v>3.4000000000000002E-2</v>
      </c>
      <c r="AA2098">
        <v>5.8999999999999997E-2</v>
      </c>
      <c r="AB2098">
        <v>0.05</v>
      </c>
      <c r="AC2098">
        <v>6</v>
      </c>
      <c r="AD2098" s="6">
        <v>50</v>
      </c>
      <c r="AE2098" s="6">
        <v>0</v>
      </c>
      <c r="AF2098" s="6">
        <v>0</v>
      </c>
      <c r="AG2098" s="6">
        <v>65.03</v>
      </c>
      <c r="AH2098" s="6">
        <v>83.42</v>
      </c>
      <c r="AI2098" s="6">
        <f t="shared" si="64"/>
        <v>18.39</v>
      </c>
      <c r="AJ2098" s="5">
        <f t="shared" si="65"/>
        <v>0.22045073123951092</v>
      </c>
    </row>
    <row r="2099" spans="1:36">
      <c r="A2099" t="s">
        <v>286</v>
      </c>
      <c r="B2099" t="s">
        <v>2384</v>
      </c>
      <c r="C2099" t="s">
        <v>108</v>
      </c>
      <c r="D2099" t="s">
        <v>77</v>
      </c>
      <c r="E2099" t="s">
        <v>55</v>
      </c>
      <c r="F2099">
        <v>0</v>
      </c>
      <c r="G2099">
        <v>1472</v>
      </c>
      <c r="H2099">
        <v>1</v>
      </c>
      <c r="I2099" t="s">
        <v>220</v>
      </c>
      <c r="J2099">
        <v>2</v>
      </c>
      <c r="K2099" s="6">
        <v>4.6900000000000004</v>
      </c>
      <c r="L2099" t="s">
        <v>174</v>
      </c>
      <c r="M2099">
        <v>0</v>
      </c>
      <c r="N2099" t="s">
        <v>175</v>
      </c>
      <c r="O2099">
        <v>1</v>
      </c>
      <c r="P2099">
        <v>0</v>
      </c>
      <c r="Q2099" s="6">
        <v>23</v>
      </c>
      <c r="R2099">
        <v>0</v>
      </c>
      <c r="S2099" s="6">
        <v>0</v>
      </c>
      <c r="T2099">
        <v>0</v>
      </c>
      <c r="U2099" s="6">
        <v>1424</v>
      </c>
      <c r="V2099">
        <v>0</v>
      </c>
      <c r="W2099">
        <v>0</v>
      </c>
      <c r="X2099">
        <v>0</v>
      </c>
      <c r="Y2099" s="6">
        <v>40.700000000000003</v>
      </c>
      <c r="Z2099">
        <v>3.4000000000000002E-2</v>
      </c>
      <c r="AA2099">
        <v>5.8999999999999997E-2</v>
      </c>
      <c r="AB2099">
        <v>0.05</v>
      </c>
      <c r="AC2099">
        <v>6</v>
      </c>
      <c r="AD2099" s="6">
        <v>50</v>
      </c>
      <c r="AE2099" s="6">
        <v>0</v>
      </c>
      <c r="AF2099" s="6">
        <v>0</v>
      </c>
      <c r="AG2099" s="6">
        <v>60.85</v>
      </c>
      <c r="AH2099" s="6">
        <v>76.09</v>
      </c>
      <c r="AI2099" s="6">
        <f t="shared" si="64"/>
        <v>15.240000000000002</v>
      </c>
      <c r="AJ2099" s="5">
        <f t="shared" si="65"/>
        <v>0.20028913129189119</v>
      </c>
    </row>
    <row r="2100" spans="1:36">
      <c r="A2100" t="s">
        <v>266</v>
      </c>
      <c r="B2100" t="s">
        <v>2385</v>
      </c>
      <c r="C2100" t="s">
        <v>108</v>
      </c>
      <c r="D2100" t="s">
        <v>77</v>
      </c>
      <c r="E2100" t="s">
        <v>55</v>
      </c>
      <c r="F2100">
        <v>0</v>
      </c>
      <c r="G2100">
        <v>1472</v>
      </c>
      <c r="H2100">
        <v>1</v>
      </c>
      <c r="I2100" t="s">
        <v>220</v>
      </c>
      <c r="J2100">
        <v>2</v>
      </c>
      <c r="K2100" s="6">
        <v>5.14</v>
      </c>
      <c r="L2100" t="s">
        <v>174</v>
      </c>
      <c r="M2100">
        <v>0</v>
      </c>
      <c r="N2100" t="s">
        <v>175</v>
      </c>
      <c r="O2100">
        <v>1</v>
      </c>
      <c r="P2100">
        <v>0</v>
      </c>
      <c r="Q2100" s="6">
        <v>37.6</v>
      </c>
      <c r="R2100">
        <v>0</v>
      </c>
      <c r="S2100" s="6">
        <v>0</v>
      </c>
      <c r="T2100">
        <v>0</v>
      </c>
      <c r="U2100" s="6">
        <v>1883</v>
      </c>
      <c r="V2100">
        <v>0</v>
      </c>
      <c r="W2100">
        <v>0</v>
      </c>
      <c r="X2100">
        <v>0</v>
      </c>
      <c r="Y2100" s="6">
        <v>40.700000000000003</v>
      </c>
      <c r="Z2100">
        <v>3.4000000000000002E-2</v>
      </c>
      <c r="AA2100">
        <v>5.8999999999999997E-2</v>
      </c>
      <c r="AB2100">
        <v>0.05</v>
      </c>
      <c r="AC2100">
        <v>6</v>
      </c>
      <c r="AD2100" s="6">
        <v>50</v>
      </c>
      <c r="AE2100" s="6">
        <v>0</v>
      </c>
      <c r="AF2100" s="6">
        <v>0</v>
      </c>
      <c r="AG2100" s="6">
        <v>57.49</v>
      </c>
      <c r="AH2100" s="6">
        <v>72.91</v>
      </c>
      <c r="AI2100" s="6">
        <f t="shared" si="64"/>
        <v>15.419999999999995</v>
      </c>
      <c r="AJ2100" s="5">
        <f t="shared" si="65"/>
        <v>0.21149362227403642</v>
      </c>
    </row>
    <row r="2101" spans="1:36">
      <c r="A2101" t="s">
        <v>457</v>
      </c>
      <c r="B2101" t="s">
        <v>2386</v>
      </c>
      <c r="C2101" t="s">
        <v>108</v>
      </c>
      <c r="D2101" t="s">
        <v>77</v>
      </c>
      <c r="E2101" t="s">
        <v>55</v>
      </c>
      <c r="F2101">
        <v>0</v>
      </c>
      <c r="G2101">
        <v>1472</v>
      </c>
      <c r="H2101">
        <v>1</v>
      </c>
      <c r="I2101" t="s">
        <v>173</v>
      </c>
      <c r="J2101">
        <v>1</v>
      </c>
      <c r="K2101" s="6">
        <v>2.4</v>
      </c>
      <c r="L2101" t="s">
        <v>174</v>
      </c>
      <c r="M2101">
        <v>0</v>
      </c>
      <c r="N2101" t="s">
        <v>187</v>
      </c>
      <c r="O2101">
        <v>2</v>
      </c>
      <c r="P2101">
        <v>0</v>
      </c>
      <c r="Q2101" s="6">
        <v>49.1</v>
      </c>
      <c r="R2101">
        <v>0</v>
      </c>
      <c r="S2101" s="6">
        <v>0</v>
      </c>
      <c r="T2101">
        <v>0</v>
      </c>
      <c r="U2101" s="6">
        <v>1543</v>
      </c>
      <c r="V2101">
        <v>0</v>
      </c>
      <c r="W2101">
        <v>0</v>
      </c>
      <c r="X2101">
        <v>0</v>
      </c>
      <c r="Y2101" s="6">
        <v>40.700000000000003</v>
      </c>
      <c r="Z2101">
        <v>3.4000000000000002E-2</v>
      </c>
      <c r="AA2101">
        <v>5.8999999999999997E-2</v>
      </c>
      <c r="AB2101">
        <v>0.05</v>
      </c>
      <c r="AC2101">
        <v>6</v>
      </c>
      <c r="AD2101" s="6">
        <v>50</v>
      </c>
      <c r="AE2101" s="6">
        <v>0</v>
      </c>
      <c r="AF2101" s="6">
        <v>0</v>
      </c>
      <c r="AG2101" s="6">
        <v>61.01</v>
      </c>
      <c r="AH2101" s="6">
        <v>76.5</v>
      </c>
      <c r="AI2101" s="6">
        <f t="shared" si="64"/>
        <v>15.490000000000002</v>
      </c>
      <c r="AJ2101" s="5">
        <f t="shared" si="65"/>
        <v>0.20248366013071897</v>
      </c>
    </row>
    <row r="2102" spans="1:36">
      <c r="A2102" t="s">
        <v>196</v>
      </c>
      <c r="B2102" t="s">
        <v>2387</v>
      </c>
      <c r="C2102" t="s">
        <v>108</v>
      </c>
      <c r="D2102" t="s">
        <v>77</v>
      </c>
      <c r="E2102" t="s">
        <v>55</v>
      </c>
      <c r="F2102">
        <v>0</v>
      </c>
      <c r="G2102">
        <v>1472</v>
      </c>
      <c r="H2102">
        <v>1</v>
      </c>
      <c r="I2102" t="s">
        <v>173</v>
      </c>
      <c r="J2102">
        <v>1</v>
      </c>
      <c r="K2102" s="6">
        <v>1.75</v>
      </c>
      <c r="L2102" t="s">
        <v>174</v>
      </c>
      <c r="M2102">
        <v>0</v>
      </c>
      <c r="N2102" t="s">
        <v>182</v>
      </c>
      <c r="O2102">
        <v>3</v>
      </c>
      <c r="P2102">
        <v>0</v>
      </c>
      <c r="Q2102" s="6">
        <v>79.900000000000006</v>
      </c>
      <c r="R2102">
        <v>0</v>
      </c>
      <c r="S2102" s="6">
        <v>0</v>
      </c>
      <c r="T2102">
        <v>0</v>
      </c>
      <c r="U2102" s="6">
        <v>3048</v>
      </c>
      <c r="V2102">
        <v>0</v>
      </c>
      <c r="W2102">
        <v>0</v>
      </c>
      <c r="X2102">
        <v>0</v>
      </c>
      <c r="Y2102" s="6">
        <v>40.700000000000003</v>
      </c>
      <c r="Z2102">
        <v>3.4000000000000002E-2</v>
      </c>
      <c r="AA2102">
        <v>5.8999999999999997E-2</v>
      </c>
      <c r="AB2102">
        <v>0.05</v>
      </c>
      <c r="AC2102">
        <v>6</v>
      </c>
      <c r="AD2102" s="6">
        <v>50</v>
      </c>
      <c r="AE2102" s="6">
        <v>0</v>
      </c>
      <c r="AF2102" s="6">
        <v>0</v>
      </c>
      <c r="AG2102" s="6">
        <v>55.66</v>
      </c>
      <c r="AH2102" s="6">
        <v>72.44</v>
      </c>
      <c r="AI2102" s="6">
        <f t="shared" si="64"/>
        <v>16.78</v>
      </c>
      <c r="AJ2102" s="5">
        <f t="shared" si="65"/>
        <v>0.2316399779127554</v>
      </c>
    </row>
    <row r="2103" spans="1:36">
      <c r="A2103" t="s">
        <v>355</v>
      </c>
      <c r="B2103" t="s">
        <v>2388</v>
      </c>
      <c r="C2103" t="s">
        <v>108</v>
      </c>
      <c r="D2103" t="s">
        <v>77</v>
      </c>
      <c r="E2103" t="s">
        <v>55</v>
      </c>
      <c r="F2103">
        <v>0</v>
      </c>
      <c r="G2103">
        <v>1472</v>
      </c>
      <c r="H2103">
        <v>1</v>
      </c>
      <c r="I2103" t="s">
        <v>173</v>
      </c>
      <c r="J2103">
        <v>1</v>
      </c>
      <c r="K2103" s="6">
        <v>0.95</v>
      </c>
      <c r="L2103" t="s">
        <v>174</v>
      </c>
      <c r="M2103">
        <v>0</v>
      </c>
      <c r="N2103" t="s">
        <v>272</v>
      </c>
      <c r="O2103">
        <v>5</v>
      </c>
      <c r="P2103">
        <v>1</v>
      </c>
      <c r="Q2103" s="6">
        <v>307.5</v>
      </c>
      <c r="R2103">
        <v>0</v>
      </c>
      <c r="S2103" s="6">
        <v>0</v>
      </c>
      <c r="T2103">
        <v>0</v>
      </c>
      <c r="U2103" s="6">
        <v>1679</v>
      </c>
      <c r="V2103">
        <v>0</v>
      </c>
      <c r="W2103">
        <v>0</v>
      </c>
      <c r="X2103">
        <v>0</v>
      </c>
      <c r="Y2103" s="6">
        <v>40.700000000000003</v>
      </c>
      <c r="Z2103">
        <v>3.4000000000000002E-2</v>
      </c>
      <c r="AA2103">
        <v>5.8999999999999997E-2</v>
      </c>
      <c r="AB2103">
        <v>0.05</v>
      </c>
      <c r="AC2103">
        <v>6</v>
      </c>
      <c r="AD2103" s="6">
        <v>50</v>
      </c>
      <c r="AE2103" s="6">
        <v>0</v>
      </c>
      <c r="AF2103" s="6">
        <v>0</v>
      </c>
      <c r="AG2103" s="6">
        <v>152.01</v>
      </c>
      <c r="AH2103" s="6">
        <v>190.04</v>
      </c>
      <c r="AI2103" s="6">
        <f t="shared" si="64"/>
        <v>38.03</v>
      </c>
      <c r="AJ2103" s="5">
        <f t="shared" si="65"/>
        <v>0.20011576510208379</v>
      </c>
    </row>
    <row r="2104" spans="1:36">
      <c r="A2104" t="s">
        <v>288</v>
      </c>
      <c r="B2104" t="s">
        <v>2389</v>
      </c>
      <c r="C2104" t="s">
        <v>108</v>
      </c>
      <c r="D2104" t="s">
        <v>77</v>
      </c>
      <c r="E2104" t="s">
        <v>55</v>
      </c>
      <c r="F2104">
        <v>0</v>
      </c>
      <c r="G2104">
        <v>1472</v>
      </c>
      <c r="H2104">
        <v>1</v>
      </c>
      <c r="I2104" t="s">
        <v>173</v>
      </c>
      <c r="J2104">
        <v>1</v>
      </c>
      <c r="K2104" s="6">
        <v>2.13</v>
      </c>
      <c r="L2104" t="s">
        <v>200</v>
      </c>
      <c r="M2104">
        <v>1</v>
      </c>
      <c r="N2104" t="s">
        <v>175</v>
      </c>
      <c r="O2104">
        <v>1</v>
      </c>
      <c r="P2104">
        <v>0</v>
      </c>
      <c r="Q2104" s="6">
        <v>17.8</v>
      </c>
      <c r="R2104">
        <v>0</v>
      </c>
      <c r="S2104" s="6">
        <v>0</v>
      </c>
      <c r="T2104">
        <v>0</v>
      </c>
      <c r="U2104" s="6">
        <v>2882</v>
      </c>
      <c r="V2104">
        <v>0</v>
      </c>
      <c r="W2104">
        <v>0</v>
      </c>
      <c r="X2104">
        <v>0</v>
      </c>
      <c r="Y2104" s="6">
        <v>40.700000000000003</v>
      </c>
      <c r="Z2104">
        <v>3.4000000000000002E-2</v>
      </c>
      <c r="AA2104">
        <v>5.8999999999999997E-2</v>
      </c>
      <c r="AB2104">
        <v>0.05</v>
      </c>
      <c r="AC2104">
        <v>6</v>
      </c>
      <c r="AD2104" s="6">
        <v>99</v>
      </c>
      <c r="AE2104" s="6">
        <v>0</v>
      </c>
      <c r="AF2104" s="6">
        <v>0</v>
      </c>
      <c r="AG2104" s="6">
        <v>78.7</v>
      </c>
      <c r="AH2104" s="6">
        <v>100.87</v>
      </c>
      <c r="AI2104" s="6">
        <f t="shared" si="64"/>
        <v>22.17</v>
      </c>
      <c r="AJ2104" s="5">
        <f t="shared" si="65"/>
        <v>0.21978784574204421</v>
      </c>
    </row>
    <row r="2105" spans="1:36">
      <c r="A2105" t="s">
        <v>391</v>
      </c>
      <c r="B2105" t="s">
        <v>2390</v>
      </c>
      <c r="C2105" t="s">
        <v>108</v>
      </c>
      <c r="D2105" t="s">
        <v>77</v>
      </c>
      <c r="E2105" t="s">
        <v>55</v>
      </c>
      <c r="F2105">
        <v>0</v>
      </c>
      <c r="G2105">
        <v>1472</v>
      </c>
      <c r="H2105">
        <v>1</v>
      </c>
      <c r="I2105" t="s">
        <v>173</v>
      </c>
      <c r="J2105">
        <v>1</v>
      </c>
      <c r="K2105" s="6">
        <v>2.35</v>
      </c>
      <c r="L2105" t="s">
        <v>174</v>
      </c>
      <c r="M2105">
        <v>0</v>
      </c>
      <c r="N2105" t="s">
        <v>182</v>
      </c>
      <c r="O2105">
        <v>3</v>
      </c>
      <c r="P2105">
        <v>0</v>
      </c>
      <c r="Q2105" s="6">
        <v>26.4</v>
      </c>
      <c r="R2105">
        <v>1</v>
      </c>
      <c r="S2105" s="6">
        <v>5679</v>
      </c>
      <c r="T2105">
        <v>0</v>
      </c>
      <c r="U2105" s="6">
        <v>1424</v>
      </c>
      <c r="V2105">
        <v>0</v>
      </c>
      <c r="W2105">
        <v>0</v>
      </c>
      <c r="X2105">
        <v>0</v>
      </c>
      <c r="Y2105" s="6">
        <v>40.700000000000003</v>
      </c>
      <c r="Z2105">
        <v>3.4000000000000002E-2</v>
      </c>
      <c r="AA2105">
        <v>5.8999999999999997E-2</v>
      </c>
      <c r="AB2105">
        <v>0.05</v>
      </c>
      <c r="AC2105">
        <v>6</v>
      </c>
      <c r="AD2105" s="6">
        <v>50</v>
      </c>
      <c r="AE2105" s="6">
        <v>50</v>
      </c>
      <c r="AF2105" s="6">
        <v>0</v>
      </c>
      <c r="AG2105" s="6">
        <v>57.25</v>
      </c>
      <c r="AH2105" s="6">
        <v>73.41</v>
      </c>
      <c r="AI2105" s="6">
        <f t="shared" si="64"/>
        <v>16.159999999999997</v>
      </c>
      <c r="AJ2105" s="5">
        <f t="shared" si="65"/>
        <v>0.2201334967988012</v>
      </c>
    </row>
    <row r="2106" spans="1:36">
      <c r="A2106" t="s">
        <v>431</v>
      </c>
      <c r="B2106" t="s">
        <v>2391</v>
      </c>
      <c r="C2106" t="s">
        <v>108</v>
      </c>
      <c r="D2106" t="s">
        <v>77</v>
      </c>
      <c r="E2106" t="s">
        <v>55</v>
      </c>
      <c r="F2106">
        <v>0</v>
      </c>
      <c r="G2106">
        <v>1472</v>
      </c>
      <c r="H2106">
        <v>1</v>
      </c>
      <c r="I2106" t="s">
        <v>173</v>
      </c>
      <c r="J2106">
        <v>1</v>
      </c>
      <c r="K2106" s="6">
        <v>1.45</v>
      </c>
      <c r="L2106" t="s">
        <v>174</v>
      </c>
      <c r="M2106">
        <v>0</v>
      </c>
      <c r="N2106" t="s">
        <v>175</v>
      </c>
      <c r="O2106">
        <v>1</v>
      </c>
      <c r="P2106">
        <v>0</v>
      </c>
      <c r="Q2106" s="6">
        <v>34.9</v>
      </c>
      <c r="R2106">
        <v>1</v>
      </c>
      <c r="S2106" s="6">
        <v>2717</v>
      </c>
      <c r="T2106">
        <v>0</v>
      </c>
      <c r="U2106" s="6">
        <v>1110</v>
      </c>
      <c r="V2106">
        <v>0</v>
      </c>
      <c r="W2106">
        <v>0</v>
      </c>
      <c r="X2106">
        <v>0</v>
      </c>
      <c r="Y2106" s="6">
        <v>40.700000000000003</v>
      </c>
      <c r="Z2106">
        <v>3.4000000000000002E-2</v>
      </c>
      <c r="AA2106">
        <v>5.8999999999999997E-2</v>
      </c>
      <c r="AB2106">
        <v>0.05</v>
      </c>
      <c r="AC2106">
        <v>6</v>
      </c>
      <c r="AD2106" s="6">
        <v>50</v>
      </c>
      <c r="AE2106" s="6">
        <v>40</v>
      </c>
      <c r="AF2106" s="6">
        <v>0</v>
      </c>
      <c r="AG2106" s="6">
        <v>52.33</v>
      </c>
      <c r="AH2106" s="6">
        <v>68.239999999999995</v>
      </c>
      <c r="AI2106" s="6">
        <f t="shared" si="64"/>
        <v>15.909999999999997</v>
      </c>
      <c r="AJ2106" s="5">
        <f t="shared" si="65"/>
        <v>0.23314771395076198</v>
      </c>
    </row>
    <row r="2107" spans="1:36">
      <c r="A2107" t="s">
        <v>291</v>
      </c>
      <c r="B2107" t="s">
        <v>2392</v>
      </c>
      <c r="C2107" t="s">
        <v>108</v>
      </c>
      <c r="D2107" t="s">
        <v>77</v>
      </c>
      <c r="E2107" t="s">
        <v>55</v>
      </c>
      <c r="F2107">
        <v>0</v>
      </c>
      <c r="G2107">
        <v>1472</v>
      </c>
      <c r="H2107">
        <v>1</v>
      </c>
      <c r="I2107" t="s">
        <v>173</v>
      </c>
      <c r="J2107">
        <v>1</v>
      </c>
      <c r="K2107" s="6">
        <v>1.42</v>
      </c>
      <c r="L2107" t="s">
        <v>174</v>
      </c>
      <c r="M2107">
        <v>0</v>
      </c>
      <c r="N2107" t="s">
        <v>182</v>
      </c>
      <c r="O2107">
        <v>3</v>
      </c>
      <c r="P2107">
        <v>0</v>
      </c>
      <c r="Q2107" s="6">
        <v>97.7</v>
      </c>
      <c r="R2107">
        <v>0</v>
      </c>
      <c r="S2107" s="6">
        <v>0</v>
      </c>
      <c r="T2107">
        <v>0</v>
      </c>
      <c r="U2107" s="6">
        <v>2995</v>
      </c>
      <c r="V2107">
        <v>0</v>
      </c>
      <c r="W2107">
        <v>0</v>
      </c>
      <c r="X2107">
        <v>0</v>
      </c>
      <c r="Y2107" s="6">
        <v>40.700000000000003</v>
      </c>
      <c r="Z2107">
        <v>3.4000000000000002E-2</v>
      </c>
      <c r="AA2107">
        <v>5.8999999999999997E-2</v>
      </c>
      <c r="AB2107">
        <v>0.05</v>
      </c>
      <c r="AC2107">
        <v>6</v>
      </c>
      <c r="AD2107" s="6">
        <v>50</v>
      </c>
      <c r="AE2107" s="6">
        <v>0</v>
      </c>
      <c r="AF2107" s="6">
        <v>0</v>
      </c>
      <c r="AG2107" s="6">
        <v>60.13</v>
      </c>
      <c r="AH2107" s="6">
        <v>78.819999999999993</v>
      </c>
      <c r="AI2107" s="6">
        <f t="shared" si="64"/>
        <v>18.689999999999991</v>
      </c>
      <c r="AJ2107" s="5">
        <f t="shared" si="65"/>
        <v>0.23712255772646526</v>
      </c>
    </row>
    <row r="2108" spans="1:36">
      <c r="A2108" t="s">
        <v>176</v>
      </c>
      <c r="B2108" t="s">
        <v>2393</v>
      </c>
      <c r="C2108" t="s">
        <v>108</v>
      </c>
      <c r="D2108" t="s">
        <v>77</v>
      </c>
      <c r="E2108" t="s">
        <v>55</v>
      </c>
      <c r="F2108">
        <v>0</v>
      </c>
      <c r="G2108">
        <v>1472</v>
      </c>
      <c r="H2108">
        <v>1</v>
      </c>
      <c r="I2108" t="s">
        <v>173</v>
      </c>
      <c r="J2108">
        <v>1</v>
      </c>
      <c r="K2108" s="6">
        <v>1.87</v>
      </c>
      <c r="L2108" t="s">
        <v>174</v>
      </c>
      <c r="M2108">
        <v>0</v>
      </c>
      <c r="N2108" t="s">
        <v>175</v>
      </c>
      <c r="O2108">
        <v>1</v>
      </c>
      <c r="P2108">
        <v>0</v>
      </c>
      <c r="Q2108" s="6">
        <v>21.1</v>
      </c>
      <c r="R2108">
        <v>0</v>
      </c>
      <c r="S2108" s="6">
        <v>0</v>
      </c>
      <c r="T2108">
        <v>0</v>
      </c>
      <c r="U2108" s="6">
        <v>2269</v>
      </c>
      <c r="V2108">
        <v>1</v>
      </c>
      <c r="W2108">
        <v>0</v>
      </c>
      <c r="X2108">
        <v>0</v>
      </c>
      <c r="Y2108" s="6">
        <v>40.700000000000003</v>
      </c>
      <c r="Z2108">
        <v>3.4000000000000002E-2</v>
      </c>
      <c r="AA2108">
        <v>5.8999999999999997E-2</v>
      </c>
      <c r="AB2108">
        <v>0.05</v>
      </c>
      <c r="AC2108">
        <v>6</v>
      </c>
      <c r="AD2108" s="6">
        <v>50</v>
      </c>
      <c r="AE2108" s="6">
        <v>0</v>
      </c>
      <c r="AF2108" s="6">
        <v>0</v>
      </c>
      <c r="AG2108" s="6">
        <v>93.28</v>
      </c>
      <c r="AH2108" s="6">
        <v>118.61</v>
      </c>
      <c r="AI2108" s="6">
        <f t="shared" si="64"/>
        <v>25.33</v>
      </c>
      <c r="AJ2108" s="5">
        <f t="shared" si="65"/>
        <v>0.21355703566309753</v>
      </c>
    </row>
    <row r="2109" spans="1:36">
      <c r="A2109" t="s">
        <v>204</v>
      </c>
      <c r="B2109" t="s">
        <v>2394</v>
      </c>
      <c r="C2109" t="s">
        <v>108</v>
      </c>
      <c r="D2109" t="s">
        <v>77</v>
      </c>
      <c r="E2109" t="s">
        <v>55</v>
      </c>
      <c r="F2109">
        <v>0</v>
      </c>
      <c r="G2109">
        <v>1472</v>
      </c>
      <c r="H2109">
        <v>1</v>
      </c>
      <c r="I2109" t="s">
        <v>181</v>
      </c>
      <c r="J2109">
        <v>3</v>
      </c>
      <c r="K2109" s="6">
        <v>11.56</v>
      </c>
      <c r="L2109" t="s">
        <v>174</v>
      </c>
      <c r="M2109">
        <v>0</v>
      </c>
      <c r="N2109" t="s">
        <v>175</v>
      </c>
      <c r="O2109">
        <v>1</v>
      </c>
      <c r="P2109">
        <v>0</v>
      </c>
      <c r="Q2109" s="6">
        <v>32.799999999999997</v>
      </c>
      <c r="R2109">
        <v>0</v>
      </c>
      <c r="S2109" s="6">
        <v>0</v>
      </c>
      <c r="T2109">
        <v>0</v>
      </c>
      <c r="U2109" s="6">
        <v>4241</v>
      </c>
      <c r="V2109">
        <v>0</v>
      </c>
      <c r="W2109">
        <v>0</v>
      </c>
      <c r="X2109">
        <v>0</v>
      </c>
      <c r="Y2109" s="6">
        <v>40.700000000000003</v>
      </c>
      <c r="Z2109">
        <v>3.4000000000000002E-2</v>
      </c>
      <c r="AA2109">
        <v>5.8999999999999997E-2</v>
      </c>
      <c r="AB2109">
        <v>0.05</v>
      </c>
      <c r="AC2109">
        <v>6</v>
      </c>
      <c r="AD2109" s="6">
        <v>60</v>
      </c>
      <c r="AE2109" s="6">
        <v>0</v>
      </c>
      <c r="AF2109" s="6">
        <v>0</v>
      </c>
      <c r="AG2109" s="6">
        <v>105.09</v>
      </c>
      <c r="AH2109" s="6">
        <v>135.15</v>
      </c>
      <c r="AI2109" s="6">
        <f t="shared" si="64"/>
        <v>30.060000000000002</v>
      </c>
      <c r="AJ2109" s="5">
        <f t="shared" si="65"/>
        <v>0.22241953385127636</v>
      </c>
    </row>
    <row r="2110" spans="1:36">
      <c r="A2110" t="s">
        <v>512</v>
      </c>
      <c r="B2110" t="s">
        <v>2395</v>
      </c>
      <c r="C2110" t="s">
        <v>108</v>
      </c>
      <c r="D2110" t="s">
        <v>77</v>
      </c>
      <c r="E2110" t="s">
        <v>55</v>
      </c>
      <c r="F2110">
        <v>0</v>
      </c>
      <c r="G2110">
        <v>1472</v>
      </c>
      <c r="H2110">
        <v>1</v>
      </c>
      <c r="I2110" t="s">
        <v>173</v>
      </c>
      <c r="J2110">
        <v>1</v>
      </c>
      <c r="K2110" s="6">
        <v>2.04</v>
      </c>
      <c r="L2110" t="s">
        <v>174</v>
      </c>
      <c r="M2110">
        <v>0</v>
      </c>
      <c r="N2110" t="s">
        <v>187</v>
      </c>
      <c r="O2110">
        <v>2</v>
      </c>
      <c r="P2110">
        <v>0</v>
      </c>
      <c r="Q2110" s="6">
        <v>62.8</v>
      </c>
      <c r="R2110">
        <v>0</v>
      </c>
      <c r="S2110" s="6">
        <v>0</v>
      </c>
      <c r="T2110">
        <v>0</v>
      </c>
      <c r="U2110" s="6">
        <v>5368</v>
      </c>
      <c r="V2110">
        <v>0</v>
      </c>
      <c r="W2110">
        <v>0</v>
      </c>
      <c r="X2110">
        <v>0</v>
      </c>
      <c r="Y2110" s="6">
        <v>40.700000000000003</v>
      </c>
      <c r="Z2110">
        <v>3.4000000000000002E-2</v>
      </c>
      <c r="AA2110">
        <v>5.8999999999999997E-2</v>
      </c>
      <c r="AB2110">
        <v>0.05</v>
      </c>
      <c r="AC2110">
        <v>6</v>
      </c>
      <c r="AD2110" s="6">
        <v>50</v>
      </c>
      <c r="AE2110" s="6">
        <v>0</v>
      </c>
      <c r="AF2110" s="6">
        <v>0</v>
      </c>
      <c r="AG2110" s="6">
        <v>60.95</v>
      </c>
      <c r="AH2110" s="6">
        <v>76.819999999999993</v>
      </c>
      <c r="AI2110" s="6">
        <f t="shared" si="64"/>
        <v>15.86999999999999</v>
      </c>
      <c r="AJ2110" s="5">
        <f t="shared" si="65"/>
        <v>0.20658682634730527</v>
      </c>
    </row>
    <row r="2111" spans="1:36">
      <c r="A2111" t="s">
        <v>459</v>
      </c>
      <c r="B2111" t="s">
        <v>2396</v>
      </c>
      <c r="C2111" t="s">
        <v>108</v>
      </c>
      <c r="D2111" t="s">
        <v>77</v>
      </c>
      <c r="E2111" t="s">
        <v>55</v>
      </c>
      <c r="F2111">
        <v>0</v>
      </c>
      <c r="G2111">
        <v>1472</v>
      </c>
      <c r="H2111">
        <v>1</v>
      </c>
      <c r="I2111" t="s">
        <v>173</v>
      </c>
      <c r="J2111">
        <v>1</v>
      </c>
      <c r="K2111" s="6">
        <v>1.89</v>
      </c>
      <c r="L2111" t="s">
        <v>174</v>
      </c>
      <c r="M2111">
        <v>0</v>
      </c>
      <c r="N2111" t="s">
        <v>182</v>
      </c>
      <c r="O2111">
        <v>3</v>
      </c>
      <c r="P2111">
        <v>0</v>
      </c>
      <c r="Q2111" s="6">
        <v>124.5</v>
      </c>
      <c r="R2111">
        <v>1</v>
      </c>
      <c r="S2111" s="6">
        <v>3277</v>
      </c>
      <c r="T2111">
        <v>0</v>
      </c>
      <c r="U2111" s="6">
        <v>2762</v>
      </c>
      <c r="V2111">
        <v>0</v>
      </c>
      <c r="W2111">
        <v>0</v>
      </c>
      <c r="X2111">
        <v>0</v>
      </c>
      <c r="Y2111" s="6">
        <v>40.700000000000003</v>
      </c>
      <c r="Z2111">
        <v>3.4000000000000002E-2</v>
      </c>
      <c r="AA2111">
        <v>5.8999999999999997E-2</v>
      </c>
      <c r="AB2111">
        <v>0.05</v>
      </c>
      <c r="AC2111">
        <v>6</v>
      </c>
      <c r="AD2111" s="6">
        <v>50</v>
      </c>
      <c r="AE2111" s="6">
        <v>40</v>
      </c>
      <c r="AF2111" s="6">
        <v>0</v>
      </c>
      <c r="AG2111" s="6">
        <v>58.07</v>
      </c>
      <c r="AH2111" s="6">
        <v>76.62</v>
      </c>
      <c r="AI2111" s="6">
        <f t="shared" si="64"/>
        <v>18.550000000000004</v>
      </c>
      <c r="AJ2111" s="5">
        <f t="shared" si="65"/>
        <v>0.24210388932393634</v>
      </c>
    </row>
    <row r="2112" spans="1:36">
      <c r="A2112" t="s">
        <v>269</v>
      </c>
      <c r="B2112" t="s">
        <v>2397</v>
      </c>
      <c r="C2112" t="s">
        <v>108</v>
      </c>
      <c r="D2112" t="s">
        <v>77</v>
      </c>
      <c r="E2112" t="s">
        <v>55</v>
      </c>
      <c r="F2112">
        <v>0</v>
      </c>
      <c r="G2112">
        <v>1472</v>
      </c>
      <c r="H2112">
        <v>1</v>
      </c>
      <c r="I2112" t="s">
        <v>173</v>
      </c>
      <c r="J2112">
        <v>1</v>
      </c>
      <c r="K2112" s="6">
        <v>2.98</v>
      </c>
      <c r="L2112" t="s">
        <v>174</v>
      </c>
      <c r="M2112">
        <v>0</v>
      </c>
      <c r="N2112" t="s">
        <v>272</v>
      </c>
      <c r="O2112">
        <v>5</v>
      </c>
      <c r="P2112">
        <v>1</v>
      </c>
      <c r="Q2112" s="6">
        <v>259.89999999999998</v>
      </c>
      <c r="R2112">
        <v>0</v>
      </c>
      <c r="S2112" s="6">
        <v>0</v>
      </c>
      <c r="T2112">
        <v>0</v>
      </c>
      <c r="U2112" s="6">
        <v>1482</v>
      </c>
      <c r="V2112">
        <v>0</v>
      </c>
      <c r="W2112">
        <v>0</v>
      </c>
      <c r="X2112">
        <v>0</v>
      </c>
      <c r="Y2112" s="6">
        <v>40.700000000000003</v>
      </c>
      <c r="Z2112">
        <v>3.4000000000000002E-2</v>
      </c>
      <c r="AA2112">
        <v>5.8999999999999997E-2</v>
      </c>
      <c r="AB2112">
        <v>0.05</v>
      </c>
      <c r="AC2112">
        <v>6</v>
      </c>
      <c r="AD2112" s="6">
        <v>50</v>
      </c>
      <c r="AE2112" s="6">
        <v>0</v>
      </c>
      <c r="AF2112" s="6">
        <v>0</v>
      </c>
      <c r="AG2112" s="6">
        <v>144.99</v>
      </c>
      <c r="AH2112" s="6">
        <v>185.5</v>
      </c>
      <c r="AI2112" s="6">
        <f t="shared" si="64"/>
        <v>40.509999999999991</v>
      </c>
      <c r="AJ2112" s="5">
        <f t="shared" si="65"/>
        <v>0.21838274932614551</v>
      </c>
    </row>
    <row r="2113" spans="1:36">
      <c r="A2113" t="s">
        <v>183</v>
      </c>
      <c r="B2113" t="s">
        <v>2398</v>
      </c>
      <c r="C2113" t="s">
        <v>108</v>
      </c>
      <c r="D2113" t="s">
        <v>77</v>
      </c>
      <c r="E2113" t="s">
        <v>55</v>
      </c>
      <c r="F2113">
        <v>0</v>
      </c>
      <c r="G2113">
        <v>1472</v>
      </c>
      <c r="H2113">
        <v>1</v>
      </c>
      <c r="I2113" t="s">
        <v>181</v>
      </c>
      <c r="J2113">
        <v>3</v>
      </c>
      <c r="K2113" s="6">
        <v>10.55</v>
      </c>
      <c r="L2113" t="s">
        <v>174</v>
      </c>
      <c r="M2113">
        <v>0</v>
      </c>
      <c r="N2113" t="s">
        <v>187</v>
      </c>
      <c r="O2113">
        <v>2</v>
      </c>
      <c r="P2113">
        <v>0</v>
      </c>
      <c r="Q2113" s="6">
        <v>47</v>
      </c>
      <c r="R2113">
        <v>0</v>
      </c>
      <c r="S2113" s="6">
        <v>0</v>
      </c>
      <c r="T2113">
        <v>0</v>
      </c>
      <c r="U2113" s="6">
        <v>934</v>
      </c>
      <c r="V2113">
        <v>0</v>
      </c>
      <c r="W2113">
        <v>0</v>
      </c>
      <c r="X2113">
        <v>0</v>
      </c>
      <c r="Y2113" s="6">
        <v>40.700000000000003</v>
      </c>
      <c r="Z2113">
        <v>3.4000000000000002E-2</v>
      </c>
      <c r="AA2113">
        <v>5.8999999999999997E-2</v>
      </c>
      <c r="AB2113">
        <v>0.05</v>
      </c>
      <c r="AC2113">
        <v>6</v>
      </c>
      <c r="AD2113" s="6">
        <v>60</v>
      </c>
      <c r="AE2113" s="6">
        <v>0</v>
      </c>
      <c r="AF2113" s="6">
        <v>0</v>
      </c>
      <c r="AG2113" s="6">
        <v>99.76</v>
      </c>
      <c r="AH2113" s="6">
        <v>127.85</v>
      </c>
      <c r="AI2113" s="6">
        <f t="shared" si="64"/>
        <v>28.089999999999989</v>
      </c>
      <c r="AJ2113" s="5">
        <f t="shared" si="65"/>
        <v>0.21971059835745005</v>
      </c>
    </row>
    <row r="2114" spans="1:36">
      <c r="A2114" t="s">
        <v>411</v>
      </c>
      <c r="B2114" t="s">
        <v>2399</v>
      </c>
      <c r="C2114" t="s">
        <v>108</v>
      </c>
      <c r="D2114" t="s">
        <v>77</v>
      </c>
      <c r="E2114" t="s">
        <v>55</v>
      </c>
      <c r="F2114">
        <v>0</v>
      </c>
      <c r="G2114">
        <v>1472</v>
      </c>
      <c r="H2114">
        <v>1</v>
      </c>
      <c r="I2114" t="s">
        <v>173</v>
      </c>
      <c r="J2114">
        <v>1</v>
      </c>
      <c r="K2114" s="6">
        <v>1.1599999999999999</v>
      </c>
      <c r="L2114" t="s">
        <v>174</v>
      </c>
      <c r="M2114">
        <v>0</v>
      </c>
      <c r="N2114" t="s">
        <v>187</v>
      </c>
      <c r="O2114">
        <v>2</v>
      </c>
      <c r="P2114">
        <v>0</v>
      </c>
      <c r="Q2114" s="6">
        <v>46.9</v>
      </c>
      <c r="R2114">
        <v>1</v>
      </c>
      <c r="S2114" s="6">
        <v>1032</v>
      </c>
      <c r="T2114">
        <v>0</v>
      </c>
      <c r="U2114" s="6">
        <v>1948</v>
      </c>
      <c r="V2114">
        <v>0</v>
      </c>
      <c r="W2114">
        <v>0</v>
      </c>
      <c r="X2114">
        <v>1</v>
      </c>
      <c r="Y2114" s="6">
        <v>40.700000000000003</v>
      </c>
      <c r="Z2114">
        <v>3.4000000000000002E-2</v>
      </c>
      <c r="AA2114">
        <v>5.8999999999999997E-2</v>
      </c>
      <c r="AB2114">
        <v>0.05</v>
      </c>
      <c r="AC2114">
        <v>6</v>
      </c>
      <c r="AD2114" s="6">
        <v>50</v>
      </c>
      <c r="AE2114" s="6">
        <v>25</v>
      </c>
      <c r="AF2114" s="6">
        <v>0</v>
      </c>
      <c r="AG2114" s="6">
        <v>50.87</v>
      </c>
      <c r="AH2114" s="6">
        <v>67.91</v>
      </c>
      <c r="AI2114" s="6">
        <f t="shared" ref="AI2114:AI2177" si="66">AH2114-AG2114</f>
        <v>17.04</v>
      </c>
      <c r="AJ2114" s="5">
        <f t="shared" ref="AJ2114:AJ2177" si="67">IFERROR(AI2114/AH2114,0)</f>
        <v>0.25092033573847738</v>
      </c>
    </row>
    <row r="2115" spans="1:36">
      <c r="A2115" t="s">
        <v>269</v>
      </c>
      <c r="B2115" t="s">
        <v>2400</v>
      </c>
      <c r="C2115" t="s">
        <v>108</v>
      </c>
      <c r="D2115" t="s">
        <v>77</v>
      </c>
      <c r="E2115" t="s">
        <v>55</v>
      </c>
      <c r="F2115">
        <v>0</v>
      </c>
      <c r="G2115">
        <v>1472</v>
      </c>
      <c r="H2115">
        <v>1</v>
      </c>
      <c r="I2115" t="s">
        <v>220</v>
      </c>
      <c r="J2115">
        <v>2</v>
      </c>
      <c r="K2115" s="6">
        <v>3.81</v>
      </c>
      <c r="L2115" t="s">
        <v>174</v>
      </c>
      <c r="M2115">
        <v>0</v>
      </c>
      <c r="N2115" t="s">
        <v>187</v>
      </c>
      <c r="O2115">
        <v>2</v>
      </c>
      <c r="P2115">
        <v>1</v>
      </c>
      <c r="Q2115" s="6">
        <v>60.2</v>
      </c>
      <c r="R2115">
        <v>0</v>
      </c>
      <c r="S2115" s="6">
        <v>0</v>
      </c>
      <c r="T2115">
        <v>0</v>
      </c>
      <c r="U2115" s="6">
        <v>1175</v>
      </c>
      <c r="V2115">
        <v>0</v>
      </c>
      <c r="W2115">
        <v>0</v>
      </c>
      <c r="X2115">
        <v>0</v>
      </c>
      <c r="Y2115" s="6">
        <v>40.700000000000003</v>
      </c>
      <c r="Z2115">
        <v>3.4000000000000002E-2</v>
      </c>
      <c r="AA2115">
        <v>5.8999999999999997E-2</v>
      </c>
      <c r="AB2115">
        <v>0.05</v>
      </c>
      <c r="AC2115">
        <v>6</v>
      </c>
      <c r="AD2115" s="6">
        <v>50</v>
      </c>
      <c r="AE2115" s="6">
        <v>0</v>
      </c>
      <c r="AF2115" s="6">
        <v>0</v>
      </c>
      <c r="AG2115" s="6">
        <v>85.8</v>
      </c>
      <c r="AH2115" s="6">
        <v>110.09</v>
      </c>
      <c r="AI2115" s="6">
        <f t="shared" si="66"/>
        <v>24.290000000000006</v>
      </c>
      <c r="AJ2115" s="5">
        <f t="shared" si="67"/>
        <v>0.22063766009628491</v>
      </c>
    </row>
    <row r="2116" spans="1:36">
      <c r="A2116" t="s">
        <v>188</v>
      </c>
      <c r="B2116" t="s">
        <v>2401</v>
      </c>
      <c r="C2116" t="s">
        <v>108</v>
      </c>
      <c r="D2116" t="s">
        <v>77</v>
      </c>
      <c r="E2116" t="s">
        <v>55</v>
      </c>
      <c r="F2116">
        <v>0</v>
      </c>
      <c r="G2116">
        <v>1472</v>
      </c>
      <c r="H2116">
        <v>1</v>
      </c>
      <c r="I2116" t="s">
        <v>173</v>
      </c>
      <c r="J2116">
        <v>1</v>
      </c>
      <c r="K2116" s="6">
        <v>1.8</v>
      </c>
      <c r="L2116" t="s">
        <v>174</v>
      </c>
      <c r="M2116">
        <v>0</v>
      </c>
      <c r="N2116" t="s">
        <v>175</v>
      </c>
      <c r="O2116">
        <v>1</v>
      </c>
      <c r="P2116">
        <v>0</v>
      </c>
      <c r="Q2116" s="6">
        <v>28.5</v>
      </c>
      <c r="R2116">
        <v>0</v>
      </c>
      <c r="S2116" s="6">
        <v>0</v>
      </c>
      <c r="T2116">
        <v>0</v>
      </c>
      <c r="U2116" s="6">
        <v>843</v>
      </c>
      <c r="V2116">
        <v>0</v>
      </c>
      <c r="W2116">
        <v>0</v>
      </c>
      <c r="X2116">
        <v>0</v>
      </c>
      <c r="Y2116" s="6">
        <v>40.700000000000003</v>
      </c>
      <c r="Z2116">
        <v>3.4000000000000002E-2</v>
      </c>
      <c r="AA2116">
        <v>5.8999999999999997E-2</v>
      </c>
      <c r="AB2116">
        <v>0.05</v>
      </c>
      <c r="AC2116">
        <v>6</v>
      </c>
      <c r="AD2116" s="6">
        <v>50</v>
      </c>
      <c r="AE2116" s="6">
        <v>0</v>
      </c>
      <c r="AF2116" s="6">
        <v>0</v>
      </c>
      <c r="AG2116" s="6">
        <v>49.59</v>
      </c>
      <c r="AH2116" s="6">
        <v>63.29</v>
      </c>
      <c r="AI2116" s="6">
        <f t="shared" si="66"/>
        <v>13.699999999999996</v>
      </c>
      <c r="AJ2116" s="5">
        <f t="shared" si="67"/>
        <v>0.21646389635013424</v>
      </c>
    </row>
    <row r="2117" spans="1:36">
      <c r="A2117" t="s">
        <v>245</v>
      </c>
      <c r="B2117" t="s">
        <v>2402</v>
      </c>
      <c r="C2117" t="s">
        <v>108</v>
      </c>
      <c r="D2117" t="s">
        <v>77</v>
      </c>
      <c r="E2117" t="s">
        <v>55</v>
      </c>
      <c r="F2117">
        <v>0</v>
      </c>
      <c r="G2117">
        <v>1472</v>
      </c>
      <c r="H2117">
        <v>1</v>
      </c>
      <c r="I2117" t="s">
        <v>181</v>
      </c>
      <c r="J2117">
        <v>3</v>
      </c>
      <c r="K2117" s="6">
        <v>7.31</v>
      </c>
      <c r="L2117" t="s">
        <v>174</v>
      </c>
      <c r="M2117">
        <v>0</v>
      </c>
      <c r="N2117" t="s">
        <v>175</v>
      </c>
      <c r="O2117">
        <v>1</v>
      </c>
      <c r="P2117">
        <v>0</v>
      </c>
      <c r="Q2117" s="6">
        <v>36.1</v>
      </c>
      <c r="R2117">
        <v>0</v>
      </c>
      <c r="S2117" s="6">
        <v>0</v>
      </c>
      <c r="T2117">
        <v>0</v>
      </c>
      <c r="U2117" s="6">
        <v>3287</v>
      </c>
      <c r="V2117">
        <v>0</v>
      </c>
      <c r="W2117">
        <v>0</v>
      </c>
      <c r="X2117">
        <v>0</v>
      </c>
      <c r="Y2117" s="6">
        <v>40.700000000000003</v>
      </c>
      <c r="Z2117">
        <v>3.4000000000000002E-2</v>
      </c>
      <c r="AA2117">
        <v>5.8999999999999997E-2</v>
      </c>
      <c r="AB2117">
        <v>0.05</v>
      </c>
      <c r="AC2117">
        <v>6</v>
      </c>
      <c r="AD2117" s="6">
        <v>60</v>
      </c>
      <c r="AE2117" s="6">
        <v>0</v>
      </c>
      <c r="AF2117" s="6">
        <v>0</v>
      </c>
      <c r="AG2117" s="6">
        <v>73.2</v>
      </c>
      <c r="AH2117" s="6">
        <v>94.72</v>
      </c>
      <c r="AI2117" s="6">
        <f t="shared" si="66"/>
        <v>21.519999999999996</v>
      </c>
      <c r="AJ2117" s="5">
        <f t="shared" si="67"/>
        <v>0.22719594594594592</v>
      </c>
    </row>
    <row r="2118" spans="1:36">
      <c r="A2118" t="s">
        <v>194</v>
      </c>
      <c r="B2118" t="s">
        <v>2403</v>
      </c>
      <c r="C2118" t="s">
        <v>108</v>
      </c>
      <c r="D2118" t="s">
        <v>77</v>
      </c>
      <c r="E2118" t="s">
        <v>55</v>
      </c>
      <c r="F2118">
        <v>0</v>
      </c>
      <c r="G2118">
        <v>1472</v>
      </c>
      <c r="H2118">
        <v>1</v>
      </c>
      <c r="I2118" t="s">
        <v>178</v>
      </c>
      <c r="J2118">
        <v>4</v>
      </c>
      <c r="K2118" s="6">
        <v>9.1</v>
      </c>
      <c r="L2118" t="s">
        <v>174</v>
      </c>
      <c r="M2118">
        <v>0</v>
      </c>
      <c r="N2118" t="s">
        <v>175</v>
      </c>
      <c r="O2118">
        <v>1</v>
      </c>
      <c r="P2118">
        <v>0</v>
      </c>
      <c r="Q2118" s="6">
        <v>33.200000000000003</v>
      </c>
      <c r="R2118">
        <v>0</v>
      </c>
      <c r="S2118" s="6">
        <v>0</v>
      </c>
      <c r="T2118">
        <v>0</v>
      </c>
      <c r="U2118" s="6">
        <v>4395</v>
      </c>
      <c r="V2118">
        <v>0</v>
      </c>
      <c r="W2118">
        <v>0</v>
      </c>
      <c r="X2118">
        <v>0</v>
      </c>
      <c r="Y2118" s="6">
        <v>40.700000000000003</v>
      </c>
      <c r="Z2118">
        <v>3.4000000000000002E-2</v>
      </c>
      <c r="AA2118">
        <v>5.8999999999999997E-2</v>
      </c>
      <c r="AB2118">
        <v>0.05</v>
      </c>
      <c r="AC2118">
        <v>6</v>
      </c>
      <c r="AD2118" s="6">
        <v>65</v>
      </c>
      <c r="AE2118" s="6">
        <v>0</v>
      </c>
      <c r="AF2118" s="6">
        <v>0</v>
      </c>
      <c r="AG2118" s="6">
        <v>110.48</v>
      </c>
      <c r="AH2118" s="6">
        <v>140.07</v>
      </c>
      <c r="AI2118" s="6">
        <f t="shared" si="66"/>
        <v>29.589999999999989</v>
      </c>
      <c r="AJ2118" s="5">
        <f t="shared" si="67"/>
        <v>0.21125151709859349</v>
      </c>
    </row>
    <row r="2119" spans="1:36">
      <c r="A2119" t="s">
        <v>537</v>
      </c>
      <c r="B2119" t="s">
        <v>2404</v>
      </c>
      <c r="C2119" t="s">
        <v>108</v>
      </c>
      <c r="D2119" t="s">
        <v>77</v>
      </c>
      <c r="E2119" t="s">
        <v>55</v>
      </c>
      <c r="F2119">
        <v>0</v>
      </c>
      <c r="G2119">
        <v>1472</v>
      </c>
      <c r="H2119">
        <v>1</v>
      </c>
      <c r="I2119" t="s">
        <v>220</v>
      </c>
      <c r="J2119">
        <v>2</v>
      </c>
      <c r="K2119" s="6">
        <v>4.51</v>
      </c>
      <c r="L2119" t="s">
        <v>174</v>
      </c>
      <c r="M2119">
        <v>0</v>
      </c>
      <c r="N2119" t="s">
        <v>182</v>
      </c>
      <c r="O2119">
        <v>3</v>
      </c>
      <c r="P2119">
        <v>1</v>
      </c>
      <c r="Q2119" s="6">
        <v>81.900000000000006</v>
      </c>
      <c r="R2119">
        <v>0</v>
      </c>
      <c r="S2119" s="6">
        <v>0</v>
      </c>
      <c r="T2119">
        <v>0</v>
      </c>
      <c r="U2119" s="6">
        <v>6068</v>
      </c>
      <c r="V2119">
        <v>0</v>
      </c>
      <c r="W2119">
        <v>0</v>
      </c>
      <c r="X2119">
        <v>0</v>
      </c>
      <c r="Y2119" s="6">
        <v>40.700000000000003</v>
      </c>
      <c r="Z2119">
        <v>3.4000000000000002E-2</v>
      </c>
      <c r="AA2119">
        <v>5.8999999999999997E-2</v>
      </c>
      <c r="AB2119">
        <v>0.05</v>
      </c>
      <c r="AC2119">
        <v>6</v>
      </c>
      <c r="AD2119" s="6">
        <v>50</v>
      </c>
      <c r="AE2119" s="6">
        <v>0</v>
      </c>
      <c r="AF2119" s="6">
        <v>0</v>
      </c>
      <c r="AG2119" s="6">
        <v>90.96</v>
      </c>
      <c r="AH2119" s="6">
        <v>114.36</v>
      </c>
      <c r="AI2119" s="6">
        <f t="shared" si="66"/>
        <v>23.400000000000006</v>
      </c>
      <c r="AJ2119" s="5">
        <f t="shared" si="67"/>
        <v>0.20461699895068211</v>
      </c>
    </row>
    <row r="2120" spans="1:36">
      <c r="A2120" t="s">
        <v>284</v>
      </c>
      <c r="B2120" t="s">
        <v>2405</v>
      </c>
      <c r="C2120" t="s">
        <v>108</v>
      </c>
      <c r="D2120" t="s">
        <v>77</v>
      </c>
      <c r="E2120" t="s">
        <v>55</v>
      </c>
      <c r="F2120">
        <v>0</v>
      </c>
      <c r="G2120">
        <v>1472</v>
      </c>
      <c r="H2120">
        <v>1</v>
      </c>
      <c r="I2120" t="s">
        <v>173</v>
      </c>
      <c r="J2120">
        <v>1</v>
      </c>
      <c r="K2120" s="6">
        <v>1.1200000000000001</v>
      </c>
      <c r="L2120" t="s">
        <v>174</v>
      </c>
      <c r="M2120">
        <v>0</v>
      </c>
      <c r="N2120" t="s">
        <v>187</v>
      </c>
      <c r="O2120">
        <v>2</v>
      </c>
      <c r="P2120">
        <v>0</v>
      </c>
      <c r="Q2120" s="6">
        <v>74.7</v>
      </c>
      <c r="R2120">
        <v>0</v>
      </c>
      <c r="S2120" s="6">
        <v>0</v>
      </c>
      <c r="T2120">
        <v>0</v>
      </c>
      <c r="U2120" s="6">
        <v>1264</v>
      </c>
      <c r="V2120">
        <v>0</v>
      </c>
      <c r="W2120">
        <v>0</v>
      </c>
      <c r="X2120">
        <v>0</v>
      </c>
      <c r="Y2120" s="6">
        <v>40.700000000000003</v>
      </c>
      <c r="Z2120">
        <v>3.4000000000000002E-2</v>
      </c>
      <c r="AA2120">
        <v>5.8999999999999997E-2</v>
      </c>
      <c r="AB2120">
        <v>0.05</v>
      </c>
      <c r="AC2120">
        <v>6</v>
      </c>
      <c r="AD2120" s="6">
        <v>50</v>
      </c>
      <c r="AE2120" s="6">
        <v>0</v>
      </c>
      <c r="AF2120" s="6">
        <v>0</v>
      </c>
      <c r="AG2120" s="6">
        <v>49.59</v>
      </c>
      <c r="AH2120" s="6">
        <v>66.94</v>
      </c>
      <c r="AI2120" s="6">
        <f t="shared" si="66"/>
        <v>17.349999999999994</v>
      </c>
      <c r="AJ2120" s="5">
        <f t="shared" si="67"/>
        <v>0.2591873319390498</v>
      </c>
    </row>
    <row r="2121" spans="1:36">
      <c r="A2121" t="s">
        <v>194</v>
      </c>
      <c r="B2121" t="s">
        <v>2406</v>
      </c>
      <c r="C2121" t="s">
        <v>108</v>
      </c>
      <c r="D2121" t="s">
        <v>77</v>
      </c>
      <c r="E2121" t="s">
        <v>55</v>
      </c>
      <c r="F2121">
        <v>0</v>
      </c>
      <c r="G2121">
        <v>1472</v>
      </c>
      <c r="H2121">
        <v>1</v>
      </c>
      <c r="I2121" t="s">
        <v>220</v>
      </c>
      <c r="J2121">
        <v>2</v>
      </c>
      <c r="K2121" s="6">
        <v>3.82</v>
      </c>
      <c r="L2121" t="s">
        <v>174</v>
      </c>
      <c r="M2121">
        <v>0</v>
      </c>
      <c r="N2121" t="s">
        <v>187</v>
      </c>
      <c r="O2121">
        <v>2</v>
      </c>
      <c r="P2121">
        <v>0</v>
      </c>
      <c r="Q2121" s="6">
        <v>38.5</v>
      </c>
      <c r="R2121">
        <v>0</v>
      </c>
      <c r="S2121" s="6">
        <v>0</v>
      </c>
      <c r="T2121">
        <v>0</v>
      </c>
      <c r="U2121" s="6">
        <v>5490</v>
      </c>
      <c r="V2121">
        <v>1</v>
      </c>
      <c r="W2121">
        <v>0</v>
      </c>
      <c r="X2121">
        <v>0</v>
      </c>
      <c r="Y2121" s="6">
        <v>40.700000000000003</v>
      </c>
      <c r="Z2121">
        <v>3.4000000000000002E-2</v>
      </c>
      <c r="AA2121">
        <v>5.8999999999999997E-2</v>
      </c>
      <c r="AB2121">
        <v>0.05</v>
      </c>
      <c r="AC2121">
        <v>6</v>
      </c>
      <c r="AD2121" s="6">
        <v>50</v>
      </c>
      <c r="AE2121" s="6">
        <v>0</v>
      </c>
      <c r="AF2121" s="6">
        <v>0</v>
      </c>
      <c r="AG2121" s="6">
        <v>103.13</v>
      </c>
      <c r="AH2121" s="6">
        <v>129.32</v>
      </c>
      <c r="AI2121" s="6">
        <f t="shared" si="66"/>
        <v>26.189999999999998</v>
      </c>
      <c r="AJ2121" s="5">
        <f t="shared" si="67"/>
        <v>0.20252087844107639</v>
      </c>
    </row>
    <row r="2122" spans="1:36">
      <c r="A2122" t="s">
        <v>225</v>
      </c>
      <c r="B2122" t="s">
        <v>2407</v>
      </c>
      <c r="C2122" t="s">
        <v>108</v>
      </c>
      <c r="D2122" t="s">
        <v>77</v>
      </c>
      <c r="E2122" t="s">
        <v>55</v>
      </c>
      <c r="F2122">
        <v>0</v>
      </c>
      <c r="G2122">
        <v>1472</v>
      </c>
      <c r="H2122">
        <v>1</v>
      </c>
      <c r="I2122" t="s">
        <v>181</v>
      </c>
      <c r="J2122">
        <v>3</v>
      </c>
      <c r="K2122" s="6">
        <v>8.8699999999999992</v>
      </c>
      <c r="L2122" t="s">
        <v>174</v>
      </c>
      <c r="M2122">
        <v>0</v>
      </c>
      <c r="N2122" t="s">
        <v>175</v>
      </c>
      <c r="O2122">
        <v>1</v>
      </c>
      <c r="P2122">
        <v>0</v>
      </c>
      <c r="Q2122" s="6">
        <v>40.4</v>
      </c>
      <c r="R2122">
        <v>0</v>
      </c>
      <c r="S2122" s="6">
        <v>0</v>
      </c>
      <c r="T2122">
        <v>0</v>
      </c>
      <c r="U2122" s="6">
        <v>2449</v>
      </c>
      <c r="V2122">
        <v>0</v>
      </c>
      <c r="W2122">
        <v>0</v>
      </c>
      <c r="X2122">
        <v>0</v>
      </c>
      <c r="Y2122" s="6">
        <v>40.700000000000003</v>
      </c>
      <c r="Z2122">
        <v>3.4000000000000002E-2</v>
      </c>
      <c r="AA2122">
        <v>5.8999999999999997E-2</v>
      </c>
      <c r="AB2122">
        <v>0.05</v>
      </c>
      <c r="AC2122">
        <v>6</v>
      </c>
      <c r="AD2122" s="6">
        <v>60</v>
      </c>
      <c r="AE2122" s="6">
        <v>0</v>
      </c>
      <c r="AF2122" s="6">
        <v>0</v>
      </c>
      <c r="AG2122" s="6">
        <v>95.12</v>
      </c>
      <c r="AH2122" s="6">
        <v>119.39</v>
      </c>
      <c r="AI2122" s="6">
        <f t="shared" si="66"/>
        <v>24.269999999999996</v>
      </c>
      <c r="AJ2122" s="5">
        <f t="shared" si="67"/>
        <v>0.2032833570650808</v>
      </c>
    </row>
    <row r="2123" spans="1:36">
      <c r="A2123" t="s">
        <v>255</v>
      </c>
      <c r="B2123" t="s">
        <v>2408</v>
      </c>
      <c r="C2123" t="s">
        <v>108</v>
      </c>
      <c r="D2123" t="s">
        <v>77</v>
      </c>
      <c r="E2123" t="s">
        <v>55</v>
      </c>
      <c r="F2123">
        <v>0</v>
      </c>
      <c r="G2123">
        <v>1472</v>
      </c>
      <c r="H2123">
        <v>1</v>
      </c>
      <c r="I2123" t="s">
        <v>173</v>
      </c>
      <c r="J2123">
        <v>1</v>
      </c>
      <c r="K2123" s="6">
        <v>1.1499999999999999</v>
      </c>
      <c r="L2123" t="s">
        <v>174</v>
      </c>
      <c r="M2123">
        <v>0</v>
      </c>
      <c r="N2123" t="s">
        <v>217</v>
      </c>
      <c r="O2123">
        <v>4</v>
      </c>
      <c r="P2123">
        <v>1</v>
      </c>
      <c r="Q2123" s="6">
        <v>106.7</v>
      </c>
      <c r="R2123">
        <v>0</v>
      </c>
      <c r="S2123" s="6">
        <v>0</v>
      </c>
      <c r="T2123">
        <v>0</v>
      </c>
      <c r="U2123" s="6">
        <v>562</v>
      </c>
      <c r="V2123">
        <v>0</v>
      </c>
      <c r="W2123">
        <v>0</v>
      </c>
      <c r="X2123">
        <v>0</v>
      </c>
      <c r="Y2123" s="6">
        <v>40.700000000000003</v>
      </c>
      <c r="Z2123">
        <v>3.4000000000000002E-2</v>
      </c>
      <c r="AA2123">
        <v>5.8999999999999997E-2</v>
      </c>
      <c r="AB2123">
        <v>0.05</v>
      </c>
      <c r="AC2123">
        <v>6</v>
      </c>
      <c r="AD2123" s="6">
        <v>50</v>
      </c>
      <c r="AE2123" s="6">
        <v>0</v>
      </c>
      <c r="AF2123" s="6">
        <v>0</v>
      </c>
      <c r="AG2123" s="6">
        <v>100.32</v>
      </c>
      <c r="AH2123" s="6">
        <v>128.91999999999999</v>
      </c>
      <c r="AI2123" s="6">
        <f t="shared" si="66"/>
        <v>28.599999999999994</v>
      </c>
      <c r="AJ2123" s="5">
        <f t="shared" si="67"/>
        <v>0.22184300341296925</v>
      </c>
    </row>
    <row r="2124" spans="1:36">
      <c r="A2124" t="s">
        <v>306</v>
      </c>
      <c r="B2124" t="s">
        <v>2409</v>
      </c>
      <c r="C2124" t="s">
        <v>108</v>
      </c>
      <c r="D2124" t="s">
        <v>77</v>
      </c>
      <c r="E2124" t="s">
        <v>55</v>
      </c>
      <c r="F2124">
        <v>0</v>
      </c>
      <c r="G2124">
        <v>1472</v>
      </c>
      <c r="H2124">
        <v>1</v>
      </c>
      <c r="I2124" t="s">
        <v>220</v>
      </c>
      <c r="J2124">
        <v>2</v>
      </c>
      <c r="K2124" s="6">
        <v>0.41</v>
      </c>
      <c r="L2124" t="s">
        <v>174</v>
      </c>
      <c r="M2124">
        <v>0</v>
      </c>
      <c r="N2124" t="s">
        <v>182</v>
      </c>
      <c r="O2124">
        <v>3</v>
      </c>
      <c r="P2124">
        <v>0</v>
      </c>
      <c r="Q2124" s="6">
        <v>96.8</v>
      </c>
      <c r="R2124">
        <v>0</v>
      </c>
      <c r="S2124" s="6">
        <v>0</v>
      </c>
      <c r="T2124">
        <v>0</v>
      </c>
      <c r="U2124" s="6">
        <v>2090</v>
      </c>
      <c r="V2124">
        <v>0</v>
      </c>
      <c r="W2124">
        <v>0</v>
      </c>
      <c r="X2124">
        <v>0</v>
      </c>
      <c r="Y2124" s="6">
        <v>40.700000000000003</v>
      </c>
      <c r="Z2124">
        <v>3.4000000000000002E-2</v>
      </c>
      <c r="AA2124">
        <v>5.8999999999999997E-2</v>
      </c>
      <c r="AB2124">
        <v>0.05</v>
      </c>
      <c r="AC2124">
        <v>6</v>
      </c>
      <c r="AD2124" s="6">
        <v>50</v>
      </c>
      <c r="AE2124" s="6">
        <v>0</v>
      </c>
      <c r="AF2124" s="6">
        <v>0</v>
      </c>
      <c r="AG2124" s="6">
        <v>75.72</v>
      </c>
      <c r="AH2124" s="6">
        <v>98.05</v>
      </c>
      <c r="AI2124" s="6">
        <f t="shared" si="66"/>
        <v>22.33</v>
      </c>
      <c r="AJ2124" s="5">
        <f t="shared" si="67"/>
        <v>0.22774094849566548</v>
      </c>
    </row>
    <row r="2125" spans="1:36">
      <c r="A2125" t="s">
        <v>517</v>
      </c>
      <c r="B2125" t="s">
        <v>2410</v>
      </c>
      <c r="C2125" t="s">
        <v>108</v>
      </c>
      <c r="D2125" t="s">
        <v>77</v>
      </c>
      <c r="E2125" t="s">
        <v>55</v>
      </c>
      <c r="F2125">
        <v>0</v>
      </c>
      <c r="G2125">
        <v>1472</v>
      </c>
      <c r="H2125">
        <v>1</v>
      </c>
      <c r="I2125" t="s">
        <v>173</v>
      </c>
      <c r="J2125">
        <v>1</v>
      </c>
      <c r="K2125" s="6">
        <v>1.2</v>
      </c>
      <c r="L2125" t="s">
        <v>174</v>
      </c>
      <c r="M2125">
        <v>0</v>
      </c>
      <c r="N2125" t="s">
        <v>175</v>
      </c>
      <c r="O2125">
        <v>1</v>
      </c>
      <c r="P2125">
        <v>0</v>
      </c>
      <c r="Q2125" s="6">
        <v>29.1</v>
      </c>
      <c r="R2125">
        <v>0</v>
      </c>
      <c r="S2125" s="6">
        <v>0</v>
      </c>
      <c r="T2125">
        <v>0</v>
      </c>
      <c r="U2125" s="6">
        <v>927</v>
      </c>
      <c r="V2125">
        <v>0</v>
      </c>
      <c r="W2125">
        <v>0</v>
      </c>
      <c r="X2125">
        <v>0</v>
      </c>
      <c r="Y2125" s="6">
        <v>40.700000000000003</v>
      </c>
      <c r="Z2125">
        <v>3.4000000000000002E-2</v>
      </c>
      <c r="AA2125">
        <v>5.8999999999999997E-2</v>
      </c>
      <c r="AB2125">
        <v>0.05</v>
      </c>
      <c r="AC2125">
        <v>6</v>
      </c>
      <c r="AD2125" s="6">
        <v>50</v>
      </c>
      <c r="AE2125" s="6">
        <v>0</v>
      </c>
      <c r="AF2125" s="6">
        <v>0</v>
      </c>
      <c r="AG2125" s="6">
        <v>42.66</v>
      </c>
      <c r="AH2125" s="6">
        <v>54.67</v>
      </c>
      <c r="AI2125" s="6">
        <f t="shared" si="66"/>
        <v>12.010000000000005</v>
      </c>
      <c r="AJ2125" s="5">
        <f t="shared" si="67"/>
        <v>0.21968172672398034</v>
      </c>
    </row>
    <row r="2126" spans="1:36">
      <c r="A2126" t="s">
        <v>393</v>
      </c>
      <c r="B2126" t="s">
        <v>2411</v>
      </c>
      <c r="C2126" t="s">
        <v>108</v>
      </c>
      <c r="D2126" t="s">
        <v>77</v>
      </c>
      <c r="E2126" t="s">
        <v>55</v>
      </c>
      <c r="F2126">
        <v>0</v>
      </c>
      <c r="G2126">
        <v>1472</v>
      </c>
      <c r="H2126">
        <v>1</v>
      </c>
      <c r="I2126" t="s">
        <v>220</v>
      </c>
      <c r="J2126">
        <v>2</v>
      </c>
      <c r="K2126" s="6">
        <v>2.48</v>
      </c>
      <c r="L2126" t="s">
        <v>174</v>
      </c>
      <c r="M2126">
        <v>0</v>
      </c>
      <c r="N2126" t="s">
        <v>217</v>
      </c>
      <c r="O2126">
        <v>4</v>
      </c>
      <c r="P2126">
        <v>1</v>
      </c>
      <c r="Q2126" s="6">
        <v>153.30000000000001</v>
      </c>
      <c r="R2126">
        <v>0</v>
      </c>
      <c r="S2126" s="6">
        <v>0</v>
      </c>
      <c r="T2126">
        <v>0</v>
      </c>
      <c r="U2126" s="6">
        <v>1375</v>
      </c>
      <c r="V2126">
        <v>0</v>
      </c>
      <c r="W2126">
        <v>0</v>
      </c>
      <c r="X2126">
        <v>0</v>
      </c>
      <c r="Y2126" s="6">
        <v>40.700000000000003</v>
      </c>
      <c r="Z2126">
        <v>3.4000000000000002E-2</v>
      </c>
      <c r="AA2126">
        <v>5.8999999999999997E-2</v>
      </c>
      <c r="AB2126">
        <v>0.05</v>
      </c>
      <c r="AC2126">
        <v>6</v>
      </c>
      <c r="AD2126" s="6">
        <v>50</v>
      </c>
      <c r="AE2126" s="6">
        <v>0</v>
      </c>
      <c r="AF2126" s="6">
        <v>0</v>
      </c>
      <c r="AG2126" s="6">
        <v>114.18</v>
      </c>
      <c r="AH2126" s="6">
        <v>146.38</v>
      </c>
      <c r="AI2126" s="6">
        <f t="shared" si="66"/>
        <v>32.199999999999989</v>
      </c>
      <c r="AJ2126" s="5">
        <f t="shared" si="67"/>
        <v>0.21997540647629452</v>
      </c>
    </row>
    <row r="2127" spans="1:36">
      <c r="A2127" t="s">
        <v>210</v>
      </c>
      <c r="B2127" t="s">
        <v>2412</v>
      </c>
      <c r="C2127" t="s">
        <v>108</v>
      </c>
      <c r="D2127" t="s">
        <v>77</v>
      </c>
      <c r="E2127" t="s">
        <v>55</v>
      </c>
      <c r="F2127">
        <v>0</v>
      </c>
      <c r="G2127">
        <v>1472</v>
      </c>
      <c r="H2127">
        <v>1</v>
      </c>
      <c r="I2127" t="s">
        <v>173</v>
      </c>
      <c r="J2127">
        <v>1</v>
      </c>
      <c r="K2127" s="6">
        <v>2.2999999999999998</v>
      </c>
      <c r="L2127" t="s">
        <v>174</v>
      </c>
      <c r="M2127">
        <v>0</v>
      </c>
      <c r="N2127" t="s">
        <v>187</v>
      </c>
      <c r="O2127">
        <v>2</v>
      </c>
      <c r="P2127">
        <v>1</v>
      </c>
      <c r="Q2127" s="6">
        <v>38.6</v>
      </c>
      <c r="R2127">
        <v>0</v>
      </c>
      <c r="S2127" s="6">
        <v>0</v>
      </c>
      <c r="T2127">
        <v>0</v>
      </c>
      <c r="U2127" s="6">
        <v>1209</v>
      </c>
      <c r="V2127">
        <v>0</v>
      </c>
      <c r="W2127">
        <v>0</v>
      </c>
      <c r="X2127">
        <v>0</v>
      </c>
      <c r="Y2127" s="6">
        <v>40.700000000000003</v>
      </c>
      <c r="Z2127">
        <v>3.4000000000000002E-2</v>
      </c>
      <c r="AA2127">
        <v>5.8999999999999997E-2</v>
      </c>
      <c r="AB2127">
        <v>0.05</v>
      </c>
      <c r="AC2127">
        <v>6</v>
      </c>
      <c r="AD2127" s="6">
        <v>50</v>
      </c>
      <c r="AE2127" s="6">
        <v>0</v>
      </c>
      <c r="AF2127" s="6">
        <v>0</v>
      </c>
      <c r="AG2127" s="6">
        <v>75.739999999999995</v>
      </c>
      <c r="AH2127" s="6">
        <v>96.26</v>
      </c>
      <c r="AI2127" s="6">
        <f t="shared" si="66"/>
        <v>20.52000000000001</v>
      </c>
      <c r="AJ2127" s="5">
        <f t="shared" si="67"/>
        <v>0.21317265738624569</v>
      </c>
    </row>
    <row r="2128" spans="1:36">
      <c r="A2128" t="s">
        <v>478</v>
      </c>
      <c r="B2128" t="s">
        <v>2413</v>
      </c>
      <c r="C2128" t="s">
        <v>108</v>
      </c>
      <c r="D2128" t="s">
        <v>77</v>
      </c>
      <c r="E2128" t="s">
        <v>55</v>
      </c>
      <c r="F2128">
        <v>0</v>
      </c>
      <c r="G2128">
        <v>1472</v>
      </c>
      <c r="H2128">
        <v>1</v>
      </c>
      <c r="I2128" t="s">
        <v>181</v>
      </c>
      <c r="J2128">
        <v>3</v>
      </c>
      <c r="K2128" s="6">
        <v>7.87</v>
      </c>
      <c r="L2128" t="s">
        <v>174</v>
      </c>
      <c r="M2128">
        <v>0</v>
      </c>
      <c r="N2128" t="s">
        <v>217</v>
      </c>
      <c r="O2128">
        <v>4</v>
      </c>
      <c r="P2128">
        <v>1</v>
      </c>
      <c r="Q2128" s="6">
        <v>137</v>
      </c>
      <c r="R2128">
        <v>0</v>
      </c>
      <c r="S2128" s="6">
        <v>0</v>
      </c>
      <c r="T2128">
        <v>0</v>
      </c>
      <c r="U2128" s="6">
        <v>3829</v>
      </c>
      <c r="V2128">
        <v>0</v>
      </c>
      <c r="W2128">
        <v>0</v>
      </c>
      <c r="X2128">
        <v>0</v>
      </c>
      <c r="Y2128" s="6">
        <v>40.700000000000003</v>
      </c>
      <c r="Z2128">
        <v>3.4000000000000002E-2</v>
      </c>
      <c r="AA2128">
        <v>5.8999999999999997E-2</v>
      </c>
      <c r="AB2128">
        <v>0.05</v>
      </c>
      <c r="AC2128">
        <v>6</v>
      </c>
      <c r="AD2128" s="6">
        <v>60</v>
      </c>
      <c r="AE2128" s="6">
        <v>0</v>
      </c>
      <c r="AF2128" s="6">
        <v>0</v>
      </c>
      <c r="AG2128" s="6">
        <v>128.08000000000001</v>
      </c>
      <c r="AH2128" s="6">
        <v>163.91</v>
      </c>
      <c r="AI2128" s="6">
        <f t="shared" si="66"/>
        <v>35.829999999999984</v>
      </c>
      <c r="AJ2128" s="5">
        <f t="shared" si="67"/>
        <v>0.21859557074004018</v>
      </c>
    </row>
    <row r="2129" spans="1:36">
      <c r="A2129" t="s">
        <v>183</v>
      </c>
      <c r="B2129" t="s">
        <v>2414</v>
      </c>
      <c r="C2129" t="s">
        <v>108</v>
      </c>
      <c r="D2129" t="s">
        <v>77</v>
      </c>
      <c r="E2129" t="s">
        <v>55</v>
      </c>
      <c r="F2129">
        <v>0</v>
      </c>
      <c r="G2129">
        <v>1472</v>
      </c>
      <c r="H2129">
        <v>1</v>
      </c>
      <c r="I2129" t="s">
        <v>173</v>
      </c>
      <c r="J2129">
        <v>1</v>
      </c>
      <c r="K2129" s="6">
        <v>2.52</v>
      </c>
      <c r="L2129" t="s">
        <v>174</v>
      </c>
      <c r="M2129">
        <v>0</v>
      </c>
      <c r="N2129" t="s">
        <v>175</v>
      </c>
      <c r="O2129">
        <v>1</v>
      </c>
      <c r="P2129">
        <v>0</v>
      </c>
      <c r="Q2129" s="6">
        <v>29.6</v>
      </c>
      <c r="R2129">
        <v>0</v>
      </c>
      <c r="S2129" s="6">
        <v>0</v>
      </c>
      <c r="T2129">
        <v>0</v>
      </c>
      <c r="U2129" s="6">
        <v>1863</v>
      </c>
      <c r="V2129">
        <v>0</v>
      </c>
      <c r="W2129">
        <v>0</v>
      </c>
      <c r="X2129">
        <v>0</v>
      </c>
      <c r="Y2129" s="6">
        <v>40.700000000000003</v>
      </c>
      <c r="Z2129">
        <v>3.4000000000000002E-2</v>
      </c>
      <c r="AA2129">
        <v>5.8999999999999997E-2</v>
      </c>
      <c r="AB2129">
        <v>0.05</v>
      </c>
      <c r="AC2129">
        <v>6</v>
      </c>
      <c r="AD2129" s="6">
        <v>50</v>
      </c>
      <c r="AE2129" s="6">
        <v>0</v>
      </c>
      <c r="AF2129" s="6">
        <v>0</v>
      </c>
      <c r="AG2129" s="6">
        <v>48.54</v>
      </c>
      <c r="AH2129" s="6">
        <v>61.67</v>
      </c>
      <c r="AI2129" s="6">
        <f t="shared" si="66"/>
        <v>13.130000000000003</v>
      </c>
      <c r="AJ2129" s="5">
        <f t="shared" si="67"/>
        <v>0.21290741041024813</v>
      </c>
    </row>
    <row r="2130" spans="1:36">
      <c r="A2130" t="s">
        <v>251</v>
      </c>
      <c r="B2130" t="s">
        <v>2415</v>
      </c>
      <c r="C2130" t="s">
        <v>108</v>
      </c>
      <c r="D2130" t="s">
        <v>77</v>
      </c>
      <c r="E2130" t="s">
        <v>55</v>
      </c>
      <c r="F2130">
        <v>0</v>
      </c>
      <c r="G2130">
        <v>1472</v>
      </c>
      <c r="H2130">
        <v>1</v>
      </c>
      <c r="I2130" t="s">
        <v>181</v>
      </c>
      <c r="J2130">
        <v>3</v>
      </c>
      <c r="K2130" s="6">
        <v>8.44</v>
      </c>
      <c r="L2130" t="s">
        <v>174</v>
      </c>
      <c r="M2130">
        <v>0</v>
      </c>
      <c r="N2130" t="s">
        <v>182</v>
      </c>
      <c r="O2130">
        <v>3</v>
      </c>
      <c r="P2130">
        <v>0</v>
      </c>
      <c r="Q2130" s="6">
        <v>80.400000000000006</v>
      </c>
      <c r="R2130">
        <v>0</v>
      </c>
      <c r="S2130" s="6">
        <v>0</v>
      </c>
      <c r="T2130">
        <v>0</v>
      </c>
      <c r="U2130" s="6">
        <v>1312</v>
      </c>
      <c r="V2130">
        <v>0</v>
      </c>
      <c r="W2130">
        <v>0</v>
      </c>
      <c r="X2130">
        <v>0</v>
      </c>
      <c r="Y2130" s="6">
        <v>40.700000000000003</v>
      </c>
      <c r="Z2130">
        <v>3.4000000000000002E-2</v>
      </c>
      <c r="AA2130">
        <v>5.8999999999999997E-2</v>
      </c>
      <c r="AB2130">
        <v>0.05</v>
      </c>
      <c r="AC2130">
        <v>6</v>
      </c>
      <c r="AD2130" s="6">
        <v>60</v>
      </c>
      <c r="AE2130" s="6">
        <v>0</v>
      </c>
      <c r="AF2130" s="6">
        <v>0</v>
      </c>
      <c r="AG2130" s="6">
        <v>97.26</v>
      </c>
      <c r="AH2130" s="6">
        <v>125.67</v>
      </c>
      <c r="AI2130" s="6">
        <f t="shared" si="66"/>
        <v>28.409999999999997</v>
      </c>
      <c r="AJ2130" s="5">
        <f t="shared" si="67"/>
        <v>0.22606827405108615</v>
      </c>
    </row>
    <row r="2131" spans="1:36">
      <c r="A2131" t="s">
        <v>238</v>
      </c>
      <c r="B2131" t="s">
        <v>2416</v>
      </c>
      <c r="C2131" t="s">
        <v>108</v>
      </c>
      <c r="D2131" t="s">
        <v>77</v>
      </c>
      <c r="E2131" t="s">
        <v>55</v>
      </c>
      <c r="F2131">
        <v>0</v>
      </c>
      <c r="G2131">
        <v>1472</v>
      </c>
      <c r="H2131">
        <v>1</v>
      </c>
      <c r="I2131" t="s">
        <v>173</v>
      </c>
      <c r="J2131">
        <v>1</v>
      </c>
      <c r="K2131" s="6">
        <v>1.1299999999999999</v>
      </c>
      <c r="L2131" t="s">
        <v>174</v>
      </c>
      <c r="M2131">
        <v>0</v>
      </c>
      <c r="N2131" t="s">
        <v>182</v>
      </c>
      <c r="O2131">
        <v>3</v>
      </c>
      <c r="P2131">
        <v>0</v>
      </c>
      <c r="Q2131" s="6">
        <v>53.7</v>
      </c>
      <c r="R2131">
        <v>0</v>
      </c>
      <c r="S2131" s="6">
        <v>0</v>
      </c>
      <c r="T2131">
        <v>0</v>
      </c>
      <c r="U2131" s="6">
        <v>5817</v>
      </c>
      <c r="V2131">
        <v>1</v>
      </c>
      <c r="W2131">
        <v>0</v>
      </c>
      <c r="X2131">
        <v>0</v>
      </c>
      <c r="Y2131" s="6">
        <v>40.700000000000003</v>
      </c>
      <c r="Z2131">
        <v>3.4000000000000002E-2</v>
      </c>
      <c r="AA2131">
        <v>5.8999999999999997E-2</v>
      </c>
      <c r="AB2131">
        <v>0.05</v>
      </c>
      <c r="AC2131">
        <v>6</v>
      </c>
      <c r="AD2131" s="6">
        <v>50</v>
      </c>
      <c r="AE2131" s="6">
        <v>0</v>
      </c>
      <c r="AF2131" s="6">
        <v>0</v>
      </c>
      <c r="AG2131" s="6">
        <v>99.33</v>
      </c>
      <c r="AH2131" s="6">
        <v>125.4</v>
      </c>
      <c r="AI2131" s="6">
        <f t="shared" si="66"/>
        <v>26.070000000000007</v>
      </c>
      <c r="AJ2131" s="5">
        <f t="shared" si="67"/>
        <v>0.2078947368421053</v>
      </c>
    </row>
    <row r="2132" spans="1:36">
      <c r="A2132" t="s">
        <v>562</v>
      </c>
      <c r="B2132" t="s">
        <v>2417</v>
      </c>
      <c r="C2132" t="s">
        <v>108</v>
      </c>
      <c r="D2132" t="s">
        <v>77</v>
      </c>
      <c r="E2132" t="s">
        <v>55</v>
      </c>
      <c r="F2132">
        <v>0</v>
      </c>
      <c r="G2132">
        <v>1472</v>
      </c>
      <c r="H2132">
        <v>1</v>
      </c>
      <c r="I2132" t="s">
        <v>220</v>
      </c>
      <c r="J2132">
        <v>2</v>
      </c>
      <c r="K2132" s="6">
        <v>4.7300000000000004</v>
      </c>
      <c r="L2132" t="s">
        <v>174</v>
      </c>
      <c r="M2132">
        <v>0</v>
      </c>
      <c r="N2132" t="s">
        <v>217</v>
      </c>
      <c r="O2132">
        <v>4</v>
      </c>
      <c r="P2132">
        <v>1</v>
      </c>
      <c r="Q2132" s="6">
        <v>34.6</v>
      </c>
      <c r="R2132">
        <v>0</v>
      </c>
      <c r="S2132" s="6">
        <v>0</v>
      </c>
      <c r="T2132">
        <v>0</v>
      </c>
      <c r="U2132" s="6">
        <v>1122</v>
      </c>
      <c r="V2132">
        <v>0</v>
      </c>
      <c r="W2132">
        <v>0</v>
      </c>
      <c r="X2132">
        <v>0</v>
      </c>
      <c r="Y2132" s="6">
        <v>40.700000000000003</v>
      </c>
      <c r="Z2132">
        <v>3.4000000000000002E-2</v>
      </c>
      <c r="AA2132">
        <v>5.8999999999999997E-2</v>
      </c>
      <c r="AB2132">
        <v>0.05</v>
      </c>
      <c r="AC2132">
        <v>6</v>
      </c>
      <c r="AD2132" s="6">
        <v>50</v>
      </c>
      <c r="AE2132" s="6">
        <v>0</v>
      </c>
      <c r="AF2132" s="6">
        <v>0</v>
      </c>
      <c r="AG2132" s="6">
        <v>105.76</v>
      </c>
      <c r="AH2132" s="6">
        <v>132.46</v>
      </c>
      <c r="AI2132" s="6">
        <f t="shared" si="66"/>
        <v>26.700000000000003</v>
      </c>
      <c r="AJ2132" s="5">
        <f t="shared" si="67"/>
        <v>0.20157028536916807</v>
      </c>
    </row>
    <row r="2133" spans="1:36">
      <c r="A2133" t="s">
        <v>196</v>
      </c>
      <c r="B2133" t="s">
        <v>2418</v>
      </c>
      <c r="C2133" t="s">
        <v>108</v>
      </c>
      <c r="D2133" t="s">
        <v>77</v>
      </c>
      <c r="E2133" t="s">
        <v>55</v>
      </c>
      <c r="F2133">
        <v>0</v>
      </c>
      <c r="G2133">
        <v>1472</v>
      </c>
      <c r="H2133">
        <v>1</v>
      </c>
      <c r="I2133" t="s">
        <v>181</v>
      </c>
      <c r="J2133">
        <v>3</v>
      </c>
      <c r="K2133" s="6">
        <v>9.1</v>
      </c>
      <c r="L2133" t="s">
        <v>174</v>
      </c>
      <c r="M2133">
        <v>0</v>
      </c>
      <c r="N2133" t="s">
        <v>182</v>
      </c>
      <c r="O2133">
        <v>3</v>
      </c>
      <c r="P2133">
        <v>0</v>
      </c>
      <c r="Q2133" s="6">
        <v>97.5</v>
      </c>
      <c r="R2133">
        <v>0</v>
      </c>
      <c r="S2133" s="6">
        <v>0</v>
      </c>
      <c r="T2133">
        <v>0</v>
      </c>
      <c r="U2133" s="6">
        <v>2166</v>
      </c>
      <c r="V2133">
        <v>0</v>
      </c>
      <c r="W2133">
        <v>0</v>
      </c>
      <c r="X2133">
        <v>0</v>
      </c>
      <c r="Y2133" s="6">
        <v>40.700000000000003</v>
      </c>
      <c r="Z2133">
        <v>3.4000000000000002E-2</v>
      </c>
      <c r="AA2133">
        <v>5.8999999999999997E-2</v>
      </c>
      <c r="AB2133">
        <v>0.05</v>
      </c>
      <c r="AC2133">
        <v>6</v>
      </c>
      <c r="AD2133" s="6">
        <v>60</v>
      </c>
      <c r="AE2133" s="6">
        <v>0</v>
      </c>
      <c r="AF2133" s="6">
        <v>0</v>
      </c>
      <c r="AG2133" s="6">
        <v>101.66</v>
      </c>
      <c r="AH2133" s="6">
        <v>129.16</v>
      </c>
      <c r="AI2133" s="6">
        <f t="shared" si="66"/>
        <v>27.5</v>
      </c>
      <c r="AJ2133" s="5">
        <f t="shared" si="67"/>
        <v>0.21291421492722207</v>
      </c>
    </row>
    <row r="2134" spans="1:36">
      <c r="A2134" t="s">
        <v>277</v>
      </c>
      <c r="B2134" t="s">
        <v>2419</v>
      </c>
      <c r="C2134" t="s">
        <v>108</v>
      </c>
      <c r="D2134" t="s">
        <v>77</v>
      </c>
      <c r="E2134" t="s">
        <v>55</v>
      </c>
      <c r="F2134">
        <v>0</v>
      </c>
      <c r="G2134">
        <v>1472</v>
      </c>
      <c r="H2134">
        <v>1</v>
      </c>
      <c r="I2134" t="s">
        <v>173</v>
      </c>
      <c r="J2134">
        <v>1</v>
      </c>
      <c r="K2134" s="6">
        <v>2.0099999999999998</v>
      </c>
      <c r="L2134" t="s">
        <v>174</v>
      </c>
      <c r="M2134">
        <v>0</v>
      </c>
      <c r="N2134" t="s">
        <v>182</v>
      </c>
      <c r="O2134">
        <v>3</v>
      </c>
      <c r="P2134">
        <v>0</v>
      </c>
      <c r="Q2134" s="6">
        <v>86.5</v>
      </c>
      <c r="R2134">
        <v>1</v>
      </c>
      <c r="S2134" s="6">
        <v>556</v>
      </c>
      <c r="T2134">
        <v>0</v>
      </c>
      <c r="U2134" s="6">
        <v>727</v>
      </c>
      <c r="V2134">
        <v>0</v>
      </c>
      <c r="W2134">
        <v>0</v>
      </c>
      <c r="X2134">
        <v>0</v>
      </c>
      <c r="Y2134" s="6">
        <v>40.700000000000003</v>
      </c>
      <c r="Z2134">
        <v>3.4000000000000002E-2</v>
      </c>
      <c r="AA2134">
        <v>5.8999999999999997E-2</v>
      </c>
      <c r="AB2134">
        <v>0.05</v>
      </c>
      <c r="AC2134">
        <v>6</v>
      </c>
      <c r="AD2134" s="6">
        <v>50</v>
      </c>
      <c r="AE2134" s="6">
        <v>25</v>
      </c>
      <c r="AF2134" s="6">
        <v>0</v>
      </c>
      <c r="AG2134" s="6">
        <v>65.41</v>
      </c>
      <c r="AH2134" s="6">
        <v>85.15</v>
      </c>
      <c r="AI2134" s="6">
        <f t="shared" si="66"/>
        <v>19.740000000000009</v>
      </c>
      <c r="AJ2134" s="5">
        <f t="shared" si="67"/>
        <v>0.23182618907809757</v>
      </c>
    </row>
    <row r="2135" spans="1:36">
      <c r="A2135" t="s">
        <v>434</v>
      </c>
      <c r="B2135" t="s">
        <v>2420</v>
      </c>
      <c r="C2135" t="s">
        <v>108</v>
      </c>
      <c r="D2135" t="s">
        <v>77</v>
      </c>
      <c r="E2135" t="s">
        <v>55</v>
      </c>
      <c r="F2135">
        <v>0</v>
      </c>
      <c r="G2135">
        <v>1472</v>
      </c>
      <c r="H2135">
        <v>1</v>
      </c>
      <c r="I2135" t="s">
        <v>220</v>
      </c>
      <c r="J2135">
        <v>2</v>
      </c>
      <c r="K2135" s="6">
        <v>4</v>
      </c>
      <c r="L2135" t="s">
        <v>174</v>
      </c>
      <c r="M2135">
        <v>0</v>
      </c>
      <c r="N2135" t="s">
        <v>182</v>
      </c>
      <c r="O2135">
        <v>3</v>
      </c>
      <c r="P2135">
        <v>0</v>
      </c>
      <c r="Q2135" s="6">
        <v>81.2</v>
      </c>
      <c r="R2135">
        <v>1</v>
      </c>
      <c r="S2135" s="6">
        <v>4816</v>
      </c>
      <c r="T2135">
        <v>0</v>
      </c>
      <c r="U2135" s="6">
        <v>2693</v>
      </c>
      <c r="V2135">
        <v>0</v>
      </c>
      <c r="W2135">
        <v>0</v>
      </c>
      <c r="X2135">
        <v>0</v>
      </c>
      <c r="Y2135" s="6">
        <v>40.700000000000003</v>
      </c>
      <c r="Z2135">
        <v>3.4000000000000002E-2</v>
      </c>
      <c r="AA2135">
        <v>5.8999999999999997E-2</v>
      </c>
      <c r="AB2135">
        <v>0.05</v>
      </c>
      <c r="AC2135">
        <v>6</v>
      </c>
      <c r="AD2135" s="6">
        <v>50</v>
      </c>
      <c r="AE2135" s="6">
        <v>40</v>
      </c>
      <c r="AF2135" s="6">
        <v>0</v>
      </c>
      <c r="AG2135" s="6">
        <v>69.790000000000006</v>
      </c>
      <c r="AH2135" s="6">
        <v>88.91</v>
      </c>
      <c r="AI2135" s="6">
        <f t="shared" si="66"/>
        <v>19.11999999999999</v>
      </c>
      <c r="AJ2135" s="5">
        <f t="shared" si="67"/>
        <v>0.21504892588010338</v>
      </c>
    </row>
    <row r="2136" spans="1:36">
      <c r="A2136" t="s">
        <v>501</v>
      </c>
      <c r="B2136" t="s">
        <v>2421</v>
      </c>
      <c r="C2136" t="s">
        <v>108</v>
      </c>
      <c r="D2136" t="s">
        <v>77</v>
      </c>
      <c r="E2136" t="s">
        <v>55</v>
      </c>
      <c r="F2136">
        <v>0</v>
      </c>
      <c r="G2136">
        <v>1472</v>
      </c>
      <c r="H2136">
        <v>1</v>
      </c>
      <c r="I2136" t="s">
        <v>173</v>
      </c>
      <c r="J2136">
        <v>1</v>
      </c>
      <c r="K2136" s="6">
        <v>1.29</v>
      </c>
      <c r="L2136" t="s">
        <v>174</v>
      </c>
      <c r="M2136">
        <v>0</v>
      </c>
      <c r="N2136" t="s">
        <v>182</v>
      </c>
      <c r="O2136">
        <v>3</v>
      </c>
      <c r="P2136">
        <v>0</v>
      </c>
      <c r="Q2136" s="6">
        <v>97.8</v>
      </c>
      <c r="R2136">
        <v>0</v>
      </c>
      <c r="S2136" s="6">
        <v>0</v>
      </c>
      <c r="T2136">
        <v>0</v>
      </c>
      <c r="U2136" s="6">
        <v>1852</v>
      </c>
      <c r="V2136">
        <v>0</v>
      </c>
      <c r="W2136">
        <v>0</v>
      </c>
      <c r="X2136">
        <v>0</v>
      </c>
      <c r="Y2136" s="6">
        <v>40.700000000000003</v>
      </c>
      <c r="Z2136">
        <v>3.4000000000000002E-2</v>
      </c>
      <c r="AA2136">
        <v>5.8999999999999997E-2</v>
      </c>
      <c r="AB2136">
        <v>0.05</v>
      </c>
      <c r="AC2136">
        <v>6</v>
      </c>
      <c r="AD2136" s="6">
        <v>50</v>
      </c>
      <c r="AE2136" s="6">
        <v>0</v>
      </c>
      <c r="AF2136" s="6">
        <v>0</v>
      </c>
      <c r="AG2136" s="6">
        <v>59.7</v>
      </c>
      <c r="AH2136" s="6">
        <v>75.599999999999994</v>
      </c>
      <c r="AI2136" s="6">
        <f t="shared" si="66"/>
        <v>15.899999999999991</v>
      </c>
      <c r="AJ2136" s="5">
        <f t="shared" si="67"/>
        <v>0.21031746031746021</v>
      </c>
    </row>
    <row r="2137" spans="1:36">
      <c r="A2137" t="s">
        <v>348</v>
      </c>
      <c r="B2137" t="s">
        <v>2422</v>
      </c>
      <c r="C2137" t="s">
        <v>108</v>
      </c>
      <c r="D2137" t="s">
        <v>77</v>
      </c>
      <c r="E2137" t="s">
        <v>55</v>
      </c>
      <c r="F2137">
        <v>0</v>
      </c>
      <c r="G2137">
        <v>1472</v>
      </c>
      <c r="H2137">
        <v>1</v>
      </c>
      <c r="I2137" t="s">
        <v>173</v>
      </c>
      <c r="J2137">
        <v>1</v>
      </c>
      <c r="K2137" s="6">
        <v>1.73</v>
      </c>
      <c r="L2137" t="s">
        <v>174</v>
      </c>
      <c r="M2137">
        <v>0</v>
      </c>
      <c r="N2137" t="s">
        <v>187</v>
      </c>
      <c r="O2137">
        <v>2</v>
      </c>
      <c r="P2137">
        <v>0</v>
      </c>
      <c r="Q2137" s="6">
        <v>61.9</v>
      </c>
      <c r="R2137">
        <v>0</v>
      </c>
      <c r="S2137" s="6">
        <v>0</v>
      </c>
      <c r="T2137">
        <v>0</v>
      </c>
      <c r="U2137" s="6">
        <v>1215</v>
      </c>
      <c r="V2137">
        <v>0</v>
      </c>
      <c r="W2137">
        <v>0</v>
      </c>
      <c r="X2137">
        <v>0</v>
      </c>
      <c r="Y2137" s="6">
        <v>40.700000000000003</v>
      </c>
      <c r="Z2137">
        <v>3.4000000000000002E-2</v>
      </c>
      <c r="AA2137">
        <v>5.8999999999999997E-2</v>
      </c>
      <c r="AB2137">
        <v>0.05</v>
      </c>
      <c r="AC2137">
        <v>6</v>
      </c>
      <c r="AD2137" s="6">
        <v>50</v>
      </c>
      <c r="AE2137" s="6">
        <v>0</v>
      </c>
      <c r="AF2137" s="6">
        <v>0</v>
      </c>
      <c r="AG2137" s="6">
        <v>55.88</v>
      </c>
      <c r="AH2137" s="6">
        <v>73.25</v>
      </c>
      <c r="AI2137" s="6">
        <f t="shared" si="66"/>
        <v>17.369999999999997</v>
      </c>
      <c r="AJ2137" s="5">
        <f t="shared" si="67"/>
        <v>0.23713310580204774</v>
      </c>
    </row>
    <row r="2138" spans="1:36">
      <c r="A2138" t="s">
        <v>403</v>
      </c>
      <c r="B2138" t="s">
        <v>2423</v>
      </c>
      <c r="C2138" t="s">
        <v>108</v>
      </c>
      <c r="D2138" t="s">
        <v>77</v>
      </c>
      <c r="E2138" t="s">
        <v>55</v>
      </c>
      <c r="F2138">
        <v>0</v>
      </c>
      <c r="G2138">
        <v>1472</v>
      </c>
      <c r="H2138">
        <v>1</v>
      </c>
      <c r="I2138" t="s">
        <v>173</v>
      </c>
      <c r="J2138">
        <v>1</v>
      </c>
      <c r="K2138" s="6">
        <v>2.12</v>
      </c>
      <c r="L2138" t="s">
        <v>200</v>
      </c>
      <c r="M2138">
        <v>1</v>
      </c>
      <c r="N2138" t="s">
        <v>175</v>
      </c>
      <c r="O2138">
        <v>1</v>
      </c>
      <c r="P2138">
        <v>0</v>
      </c>
      <c r="Q2138" s="6">
        <v>33</v>
      </c>
      <c r="R2138">
        <v>0</v>
      </c>
      <c r="S2138" s="6">
        <v>0</v>
      </c>
      <c r="T2138">
        <v>0</v>
      </c>
      <c r="U2138" s="6">
        <v>3394</v>
      </c>
      <c r="V2138">
        <v>0</v>
      </c>
      <c r="W2138">
        <v>0</v>
      </c>
      <c r="X2138">
        <v>0</v>
      </c>
      <c r="Y2138" s="6">
        <v>40.700000000000003</v>
      </c>
      <c r="Z2138">
        <v>3.4000000000000002E-2</v>
      </c>
      <c r="AA2138">
        <v>5.8999999999999997E-2</v>
      </c>
      <c r="AB2138">
        <v>0.05</v>
      </c>
      <c r="AC2138">
        <v>6</v>
      </c>
      <c r="AD2138" s="6">
        <v>99</v>
      </c>
      <c r="AE2138" s="6">
        <v>0</v>
      </c>
      <c r="AF2138" s="6">
        <v>0</v>
      </c>
      <c r="AG2138" s="6">
        <v>81.47</v>
      </c>
      <c r="AH2138" s="6">
        <v>104.47</v>
      </c>
      <c r="AI2138" s="6">
        <f t="shared" si="66"/>
        <v>23</v>
      </c>
      <c r="AJ2138" s="5">
        <f t="shared" si="67"/>
        <v>0.22015889729108834</v>
      </c>
    </row>
    <row r="2139" spans="1:36">
      <c r="A2139" t="s">
        <v>411</v>
      </c>
      <c r="B2139" t="s">
        <v>2424</v>
      </c>
      <c r="C2139" t="s">
        <v>108</v>
      </c>
      <c r="D2139" t="s">
        <v>77</v>
      </c>
      <c r="E2139" t="s">
        <v>55</v>
      </c>
      <c r="F2139">
        <v>0</v>
      </c>
      <c r="G2139">
        <v>1472</v>
      </c>
      <c r="H2139">
        <v>1</v>
      </c>
      <c r="I2139" t="s">
        <v>220</v>
      </c>
      <c r="J2139">
        <v>2</v>
      </c>
      <c r="K2139" s="6">
        <v>2.93</v>
      </c>
      <c r="L2139" t="s">
        <v>174</v>
      </c>
      <c r="M2139">
        <v>0</v>
      </c>
      <c r="N2139" t="s">
        <v>175</v>
      </c>
      <c r="O2139">
        <v>1</v>
      </c>
      <c r="P2139">
        <v>0</v>
      </c>
      <c r="Q2139" s="6">
        <v>31.3</v>
      </c>
      <c r="R2139">
        <v>0</v>
      </c>
      <c r="S2139" s="6">
        <v>0</v>
      </c>
      <c r="T2139">
        <v>0</v>
      </c>
      <c r="U2139" s="6">
        <v>1979</v>
      </c>
      <c r="V2139">
        <v>0</v>
      </c>
      <c r="W2139">
        <v>0</v>
      </c>
      <c r="X2139">
        <v>0</v>
      </c>
      <c r="Y2139" s="6">
        <v>40.700000000000003</v>
      </c>
      <c r="Z2139">
        <v>3.4000000000000002E-2</v>
      </c>
      <c r="AA2139">
        <v>5.8999999999999997E-2</v>
      </c>
      <c r="AB2139">
        <v>0.05</v>
      </c>
      <c r="AC2139">
        <v>6</v>
      </c>
      <c r="AD2139" s="6">
        <v>50</v>
      </c>
      <c r="AE2139" s="6">
        <v>0</v>
      </c>
      <c r="AF2139" s="6">
        <v>0</v>
      </c>
      <c r="AG2139" s="6">
        <v>60.41</v>
      </c>
      <c r="AH2139" s="6">
        <v>79.47</v>
      </c>
      <c r="AI2139" s="6">
        <f t="shared" si="66"/>
        <v>19.060000000000002</v>
      </c>
      <c r="AJ2139" s="5">
        <f t="shared" si="67"/>
        <v>0.23983893293066569</v>
      </c>
    </row>
    <row r="2140" spans="1:36">
      <c r="A2140" t="s">
        <v>313</v>
      </c>
      <c r="B2140" t="s">
        <v>2425</v>
      </c>
      <c r="C2140" t="s">
        <v>108</v>
      </c>
      <c r="D2140" t="s">
        <v>77</v>
      </c>
      <c r="E2140" t="s">
        <v>55</v>
      </c>
      <c r="F2140">
        <v>0</v>
      </c>
      <c r="G2140">
        <v>1472</v>
      </c>
      <c r="H2140">
        <v>1</v>
      </c>
      <c r="I2140" t="s">
        <v>181</v>
      </c>
      <c r="J2140">
        <v>3</v>
      </c>
      <c r="K2140" s="6">
        <v>4.54</v>
      </c>
      <c r="L2140" t="s">
        <v>174</v>
      </c>
      <c r="M2140">
        <v>0</v>
      </c>
      <c r="N2140" t="s">
        <v>187</v>
      </c>
      <c r="O2140">
        <v>2</v>
      </c>
      <c r="P2140">
        <v>1</v>
      </c>
      <c r="Q2140" s="6">
        <v>56.9</v>
      </c>
      <c r="R2140">
        <v>0</v>
      </c>
      <c r="S2140" s="6">
        <v>0</v>
      </c>
      <c r="T2140">
        <v>0</v>
      </c>
      <c r="U2140" s="6">
        <v>1013</v>
      </c>
      <c r="V2140">
        <v>0</v>
      </c>
      <c r="W2140">
        <v>0</v>
      </c>
      <c r="X2140">
        <v>0</v>
      </c>
      <c r="Y2140" s="6">
        <v>40.700000000000003</v>
      </c>
      <c r="Z2140">
        <v>3.4000000000000002E-2</v>
      </c>
      <c r="AA2140">
        <v>5.8999999999999997E-2</v>
      </c>
      <c r="AB2140">
        <v>0.05</v>
      </c>
      <c r="AC2140">
        <v>6</v>
      </c>
      <c r="AD2140" s="6">
        <v>60</v>
      </c>
      <c r="AE2140" s="6">
        <v>0</v>
      </c>
      <c r="AF2140" s="6">
        <v>0</v>
      </c>
      <c r="AG2140" s="6">
        <v>100.87</v>
      </c>
      <c r="AH2140" s="6">
        <v>130.4</v>
      </c>
      <c r="AI2140" s="6">
        <f t="shared" si="66"/>
        <v>29.53</v>
      </c>
      <c r="AJ2140" s="5">
        <f t="shared" si="67"/>
        <v>0.22645705521472392</v>
      </c>
    </row>
    <row r="2141" spans="1:36">
      <c r="A2141" t="s">
        <v>261</v>
      </c>
      <c r="B2141" t="s">
        <v>2426</v>
      </c>
      <c r="C2141" t="s">
        <v>108</v>
      </c>
      <c r="D2141" t="s">
        <v>77</v>
      </c>
      <c r="E2141" t="s">
        <v>55</v>
      </c>
      <c r="F2141">
        <v>0</v>
      </c>
      <c r="G2141">
        <v>1472</v>
      </c>
      <c r="H2141">
        <v>1</v>
      </c>
      <c r="I2141" t="s">
        <v>173</v>
      </c>
      <c r="J2141">
        <v>1</v>
      </c>
      <c r="K2141" s="6">
        <v>1.0900000000000001</v>
      </c>
      <c r="L2141" t="s">
        <v>174</v>
      </c>
      <c r="M2141">
        <v>0</v>
      </c>
      <c r="N2141" t="s">
        <v>272</v>
      </c>
      <c r="O2141">
        <v>5</v>
      </c>
      <c r="P2141">
        <v>1</v>
      </c>
      <c r="Q2141" s="6">
        <v>187.5</v>
      </c>
      <c r="R2141">
        <v>0</v>
      </c>
      <c r="S2141" s="6">
        <v>0</v>
      </c>
      <c r="T2141">
        <v>0</v>
      </c>
      <c r="U2141" s="6">
        <v>1333</v>
      </c>
      <c r="V2141">
        <v>0</v>
      </c>
      <c r="W2141">
        <v>0</v>
      </c>
      <c r="X2141">
        <v>0</v>
      </c>
      <c r="Y2141" s="6">
        <v>40.700000000000003</v>
      </c>
      <c r="Z2141">
        <v>3.4000000000000002E-2</v>
      </c>
      <c r="AA2141">
        <v>5.8999999999999997E-2</v>
      </c>
      <c r="AB2141">
        <v>0.05</v>
      </c>
      <c r="AC2141">
        <v>6</v>
      </c>
      <c r="AD2141" s="6">
        <v>50</v>
      </c>
      <c r="AE2141" s="6">
        <v>0</v>
      </c>
      <c r="AF2141" s="6">
        <v>0</v>
      </c>
      <c r="AG2141" s="6">
        <v>145.85</v>
      </c>
      <c r="AH2141" s="6">
        <v>184.09</v>
      </c>
      <c r="AI2141" s="6">
        <f t="shared" si="66"/>
        <v>38.240000000000009</v>
      </c>
      <c r="AJ2141" s="5">
        <f t="shared" si="67"/>
        <v>0.20772448259003753</v>
      </c>
    </row>
    <row r="2142" spans="1:36">
      <c r="A2142" t="s">
        <v>316</v>
      </c>
      <c r="B2142" t="s">
        <v>2427</v>
      </c>
      <c r="C2142" t="s">
        <v>108</v>
      </c>
      <c r="D2142" t="s">
        <v>77</v>
      </c>
      <c r="E2142" t="s">
        <v>55</v>
      </c>
      <c r="F2142">
        <v>0</v>
      </c>
      <c r="G2142">
        <v>1472</v>
      </c>
      <c r="H2142">
        <v>1</v>
      </c>
      <c r="I2142" t="s">
        <v>173</v>
      </c>
      <c r="J2142">
        <v>1</v>
      </c>
      <c r="K2142" s="6">
        <v>2.0099999999999998</v>
      </c>
      <c r="L2142" t="s">
        <v>174</v>
      </c>
      <c r="M2142">
        <v>0</v>
      </c>
      <c r="N2142" t="s">
        <v>175</v>
      </c>
      <c r="O2142">
        <v>1</v>
      </c>
      <c r="P2142">
        <v>0</v>
      </c>
      <c r="Q2142" s="6">
        <v>40.6</v>
      </c>
      <c r="R2142">
        <v>0</v>
      </c>
      <c r="S2142" s="6">
        <v>0</v>
      </c>
      <c r="T2142">
        <v>0</v>
      </c>
      <c r="U2142" s="6">
        <v>3660</v>
      </c>
      <c r="V2142">
        <v>0</v>
      </c>
      <c r="W2142">
        <v>0</v>
      </c>
      <c r="X2142">
        <v>0</v>
      </c>
      <c r="Y2142" s="6">
        <v>40.700000000000003</v>
      </c>
      <c r="Z2142">
        <v>3.4000000000000002E-2</v>
      </c>
      <c r="AA2142">
        <v>5.8999999999999997E-2</v>
      </c>
      <c r="AB2142">
        <v>0.05</v>
      </c>
      <c r="AC2142">
        <v>6</v>
      </c>
      <c r="AD2142" s="6">
        <v>50</v>
      </c>
      <c r="AE2142" s="6">
        <v>0</v>
      </c>
      <c r="AF2142" s="6">
        <v>0</v>
      </c>
      <c r="AG2142" s="6">
        <v>45.98</v>
      </c>
      <c r="AH2142" s="6">
        <v>58.76</v>
      </c>
      <c r="AI2142" s="6">
        <f t="shared" si="66"/>
        <v>12.780000000000001</v>
      </c>
      <c r="AJ2142" s="5">
        <f t="shared" si="67"/>
        <v>0.21749489448604495</v>
      </c>
    </row>
    <row r="2143" spans="1:36">
      <c r="A2143" t="s">
        <v>635</v>
      </c>
      <c r="B2143" t="s">
        <v>2428</v>
      </c>
      <c r="C2143" t="s">
        <v>108</v>
      </c>
      <c r="D2143" t="s">
        <v>77</v>
      </c>
      <c r="E2143" t="s">
        <v>55</v>
      </c>
      <c r="F2143">
        <v>0</v>
      </c>
      <c r="G2143">
        <v>1472</v>
      </c>
      <c r="H2143">
        <v>1</v>
      </c>
      <c r="I2143" t="s">
        <v>173</v>
      </c>
      <c r="J2143">
        <v>1</v>
      </c>
      <c r="K2143" s="6">
        <v>1.1000000000000001</v>
      </c>
      <c r="L2143" t="s">
        <v>174</v>
      </c>
      <c r="M2143">
        <v>0</v>
      </c>
      <c r="N2143" t="s">
        <v>182</v>
      </c>
      <c r="O2143">
        <v>3</v>
      </c>
      <c r="P2143">
        <v>0</v>
      </c>
      <c r="Q2143" s="6">
        <v>123.3</v>
      </c>
      <c r="R2143">
        <v>0</v>
      </c>
      <c r="S2143" s="6">
        <v>0</v>
      </c>
      <c r="T2143">
        <v>0</v>
      </c>
      <c r="U2143" s="6">
        <v>494</v>
      </c>
      <c r="V2143">
        <v>0</v>
      </c>
      <c r="W2143">
        <v>0</v>
      </c>
      <c r="X2143">
        <v>0</v>
      </c>
      <c r="Y2143" s="6">
        <v>40.700000000000003</v>
      </c>
      <c r="Z2143">
        <v>3.4000000000000002E-2</v>
      </c>
      <c r="AA2143">
        <v>5.8999999999999997E-2</v>
      </c>
      <c r="AB2143">
        <v>0.05</v>
      </c>
      <c r="AC2143">
        <v>6</v>
      </c>
      <c r="AD2143" s="6">
        <v>50</v>
      </c>
      <c r="AE2143" s="6">
        <v>0</v>
      </c>
      <c r="AF2143" s="6">
        <v>0</v>
      </c>
      <c r="AG2143" s="6">
        <v>54.77</v>
      </c>
      <c r="AH2143" s="6">
        <v>71.44</v>
      </c>
      <c r="AI2143" s="6">
        <f t="shared" si="66"/>
        <v>16.669999999999995</v>
      </c>
      <c r="AJ2143" s="5">
        <f t="shared" si="67"/>
        <v>0.23334266517357216</v>
      </c>
    </row>
    <row r="2144" spans="1:36">
      <c r="A2144" t="s">
        <v>306</v>
      </c>
      <c r="B2144" t="s">
        <v>2429</v>
      </c>
      <c r="C2144" t="s">
        <v>108</v>
      </c>
      <c r="D2144" t="s">
        <v>77</v>
      </c>
      <c r="E2144" t="s">
        <v>55</v>
      </c>
      <c r="F2144">
        <v>0</v>
      </c>
      <c r="G2144">
        <v>1472</v>
      </c>
      <c r="H2144">
        <v>1</v>
      </c>
      <c r="I2144" t="s">
        <v>173</v>
      </c>
      <c r="J2144">
        <v>1</v>
      </c>
      <c r="K2144" s="6">
        <v>1.71</v>
      </c>
      <c r="L2144" t="s">
        <v>174</v>
      </c>
      <c r="M2144">
        <v>0</v>
      </c>
      <c r="N2144" t="s">
        <v>175</v>
      </c>
      <c r="O2144">
        <v>1</v>
      </c>
      <c r="P2144">
        <v>0</v>
      </c>
      <c r="Q2144" s="6">
        <v>28</v>
      </c>
      <c r="R2144">
        <v>0</v>
      </c>
      <c r="S2144" s="6">
        <v>0</v>
      </c>
      <c r="T2144">
        <v>0</v>
      </c>
      <c r="U2144" s="6">
        <v>2819</v>
      </c>
      <c r="V2144">
        <v>0</v>
      </c>
      <c r="W2144">
        <v>0</v>
      </c>
      <c r="X2144">
        <v>0</v>
      </c>
      <c r="Y2144" s="6">
        <v>40.700000000000003</v>
      </c>
      <c r="Z2144">
        <v>3.4000000000000002E-2</v>
      </c>
      <c r="AA2144">
        <v>5.8999999999999997E-2</v>
      </c>
      <c r="AB2144">
        <v>0.05</v>
      </c>
      <c r="AC2144">
        <v>6</v>
      </c>
      <c r="AD2144" s="6">
        <v>50</v>
      </c>
      <c r="AE2144" s="6">
        <v>0</v>
      </c>
      <c r="AF2144" s="6">
        <v>0</v>
      </c>
      <c r="AG2144" s="6">
        <v>48.08</v>
      </c>
      <c r="AH2144" s="6">
        <v>62.84</v>
      </c>
      <c r="AI2144" s="6">
        <f t="shared" si="66"/>
        <v>14.760000000000005</v>
      </c>
      <c r="AJ2144" s="5">
        <f t="shared" si="67"/>
        <v>0.23488224061107582</v>
      </c>
    </row>
    <row r="2145" spans="1:36">
      <c r="A2145" t="s">
        <v>245</v>
      </c>
      <c r="B2145" t="s">
        <v>2430</v>
      </c>
      <c r="C2145" t="s">
        <v>108</v>
      </c>
      <c r="D2145" t="s">
        <v>77</v>
      </c>
      <c r="E2145" t="s">
        <v>55</v>
      </c>
      <c r="F2145">
        <v>0</v>
      </c>
      <c r="G2145">
        <v>1472</v>
      </c>
      <c r="H2145">
        <v>1</v>
      </c>
      <c r="I2145" t="s">
        <v>220</v>
      </c>
      <c r="J2145">
        <v>2</v>
      </c>
      <c r="K2145" s="6">
        <v>2.79</v>
      </c>
      <c r="L2145" t="s">
        <v>174</v>
      </c>
      <c r="M2145">
        <v>0</v>
      </c>
      <c r="N2145" t="s">
        <v>182</v>
      </c>
      <c r="O2145">
        <v>3</v>
      </c>
      <c r="P2145">
        <v>0</v>
      </c>
      <c r="Q2145" s="6">
        <v>78.7</v>
      </c>
      <c r="R2145">
        <v>1</v>
      </c>
      <c r="S2145" s="6">
        <v>935</v>
      </c>
      <c r="T2145">
        <v>0</v>
      </c>
      <c r="U2145" s="6">
        <v>3143</v>
      </c>
      <c r="V2145">
        <v>0</v>
      </c>
      <c r="W2145">
        <v>0</v>
      </c>
      <c r="X2145">
        <v>0</v>
      </c>
      <c r="Y2145" s="6">
        <v>40.700000000000003</v>
      </c>
      <c r="Z2145">
        <v>3.4000000000000002E-2</v>
      </c>
      <c r="AA2145">
        <v>5.8999999999999997E-2</v>
      </c>
      <c r="AB2145">
        <v>0.05</v>
      </c>
      <c r="AC2145">
        <v>6</v>
      </c>
      <c r="AD2145" s="6">
        <v>50</v>
      </c>
      <c r="AE2145" s="6">
        <v>25</v>
      </c>
      <c r="AF2145" s="6">
        <v>0</v>
      </c>
      <c r="AG2145" s="6">
        <v>72.099999999999994</v>
      </c>
      <c r="AH2145" s="6">
        <v>90.47</v>
      </c>
      <c r="AI2145" s="6">
        <f t="shared" si="66"/>
        <v>18.370000000000005</v>
      </c>
      <c r="AJ2145" s="5">
        <f t="shared" si="67"/>
        <v>0.20305073505029297</v>
      </c>
    </row>
    <row r="2146" spans="1:36">
      <c r="A2146" t="s">
        <v>397</v>
      </c>
      <c r="B2146" t="s">
        <v>2431</v>
      </c>
      <c r="C2146" t="s">
        <v>108</v>
      </c>
      <c r="D2146" t="s">
        <v>77</v>
      </c>
      <c r="E2146" t="s">
        <v>55</v>
      </c>
      <c r="F2146">
        <v>0</v>
      </c>
      <c r="G2146">
        <v>1472</v>
      </c>
      <c r="H2146">
        <v>1</v>
      </c>
      <c r="I2146" t="s">
        <v>173</v>
      </c>
      <c r="J2146">
        <v>1</v>
      </c>
      <c r="K2146" s="6">
        <v>1.95</v>
      </c>
      <c r="L2146" t="s">
        <v>174</v>
      </c>
      <c r="M2146">
        <v>0</v>
      </c>
      <c r="N2146" t="s">
        <v>175</v>
      </c>
      <c r="O2146">
        <v>1</v>
      </c>
      <c r="P2146">
        <v>0</v>
      </c>
      <c r="Q2146" s="6">
        <v>35.4</v>
      </c>
      <c r="R2146">
        <v>0</v>
      </c>
      <c r="S2146" s="6">
        <v>0</v>
      </c>
      <c r="T2146">
        <v>0</v>
      </c>
      <c r="U2146" s="6">
        <v>2460</v>
      </c>
      <c r="V2146">
        <v>0</v>
      </c>
      <c r="W2146">
        <v>0</v>
      </c>
      <c r="X2146">
        <v>0</v>
      </c>
      <c r="Y2146" s="6">
        <v>40.700000000000003</v>
      </c>
      <c r="Z2146">
        <v>3.4000000000000002E-2</v>
      </c>
      <c r="AA2146">
        <v>5.8999999999999997E-2</v>
      </c>
      <c r="AB2146">
        <v>0.05</v>
      </c>
      <c r="AC2146">
        <v>6</v>
      </c>
      <c r="AD2146" s="6">
        <v>50</v>
      </c>
      <c r="AE2146" s="6">
        <v>0</v>
      </c>
      <c r="AF2146" s="6">
        <v>0</v>
      </c>
      <c r="AG2146" s="6">
        <v>51.64</v>
      </c>
      <c r="AH2146" s="6">
        <v>66.86</v>
      </c>
      <c r="AI2146" s="6">
        <f t="shared" si="66"/>
        <v>15.219999999999999</v>
      </c>
      <c r="AJ2146" s="5">
        <f t="shared" si="67"/>
        <v>0.22763984445109181</v>
      </c>
    </row>
    <row r="2147" spans="1:36">
      <c r="A2147" t="s">
        <v>266</v>
      </c>
      <c r="B2147" t="s">
        <v>2432</v>
      </c>
      <c r="C2147" t="s">
        <v>108</v>
      </c>
      <c r="D2147" t="s">
        <v>77</v>
      </c>
      <c r="E2147" t="s">
        <v>55</v>
      </c>
      <c r="F2147">
        <v>0</v>
      </c>
      <c r="G2147">
        <v>1472</v>
      </c>
      <c r="H2147">
        <v>1</v>
      </c>
      <c r="I2147" t="s">
        <v>173</v>
      </c>
      <c r="J2147">
        <v>1</v>
      </c>
      <c r="K2147" s="6">
        <v>1.66</v>
      </c>
      <c r="L2147" t="s">
        <v>174</v>
      </c>
      <c r="M2147">
        <v>0</v>
      </c>
      <c r="N2147" t="s">
        <v>182</v>
      </c>
      <c r="O2147">
        <v>3</v>
      </c>
      <c r="P2147">
        <v>0</v>
      </c>
      <c r="Q2147" s="6">
        <v>121.2</v>
      </c>
      <c r="R2147">
        <v>0</v>
      </c>
      <c r="S2147" s="6">
        <v>0</v>
      </c>
      <c r="T2147">
        <v>0</v>
      </c>
      <c r="U2147" s="6">
        <v>1429</v>
      </c>
      <c r="V2147">
        <v>0</v>
      </c>
      <c r="W2147">
        <v>0</v>
      </c>
      <c r="X2147">
        <v>0</v>
      </c>
      <c r="Y2147" s="6">
        <v>40.700000000000003</v>
      </c>
      <c r="Z2147">
        <v>3.4000000000000002E-2</v>
      </c>
      <c r="AA2147">
        <v>5.8999999999999997E-2</v>
      </c>
      <c r="AB2147">
        <v>0.05</v>
      </c>
      <c r="AC2147">
        <v>6</v>
      </c>
      <c r="AD2147" s="6">
        <v>50</v>
      </c>
      <c r="AE2147" s="6">
        <v>0</v>
      </c>
      <c r="AF2147" s="6">
        <v>0</v>
      </c>
      <c r="AG2147" s="6">
        <v>67.63</v>
      </c>
      <c r="AH2147" s="6">
        <v>86.55</v>
      </c>
      <c r="AI2147" s="6">
        <f t="shared" si="66"/>
        <v>18.920000000000002</v>
      </c>
      <c r="AJ2147" s="5">
        <f t="shared" si="67"/>
        <v>0.21860196418255345</v>
      </c>
    </row>
    <row r="2148" spans="1:36">
      <c r="A2148" t="s">
        <v>469</v>
      </c>
      <c r="B2148" t="s">
        <v>2433</v>
      </c>
      <c r="C2148" t="s">
        <v>108</v>
      </c>
      <c r="D2148" t="s">
        <v>77</v>
      </c>
      <c r="E2148" t="s">
        <v>55</v>
      </c>
      <c r="F2148">
        <v>0</v>
      </c>
      <c r="G2148">
        <v>1472</v>
      </c>
      <c r="H2148">
        <v>1</v>
      </c>
      <c r="I2148" t="s">
        <v>173</v>
      </c>
      <c r="J2148">
        <v>1</v>
      </c>
      <c r="K2148" s="6">
        <v>1.98</v>
      </c>
      <c r="L2148" t="s">
        <v>174</v>
      </c>
      <c r="M2148">
        <v>0</v>
      </c>
      <c r="N2148" t="s">
        <v>217</v>
      </c>
      <c r="O2148">
        <v>4</v>
      </c>
      <c r="P2148">
        <v>1</v>
      </c>
      <c r="Q2148" s="6">
        <v>124.6</v>
      </c>
      <c r="R2148">
        <v>1</v>
      </c>
      <c r="S2148" s="6">
        <v>2122</v>
      </c>
      <c r="T2148">
        <v>0</v>
      </c>
      <c r="U2148" s="6">
        <v>1033</v>
      </c>
      <c r="V2148">
        <v>0</v>
      </c>
      <c r="W2148">
        <v>0</v>
      </c>
      <c r="X2148">
        <v>0</v>
      </c>
      <c r="Y2148" s="6">
        <v>40.700000000000003</v>
      </c>
      <c r="Z2148">
        <v>3.4000000000000002E-2</v>
      </c>
      <c r="AA2148">
        <v>5.8999999999999997E-2</v>
      </c>
      <c r="AB2148">
        <v>0.05</v>
      </c>
      <c r="AC2148">
        <v>6</v>
      </c>
      <c r="AD2148" s="6">
        <v>50</v>
      </c>
      <c r="AE2148" s="6">
        <v>40</v>
      </c>
      <c r="AF2148" s="6">
        <v>0</v>
      </c>
      <c r="AG2148" s="6">
        <v>103.76</v>
      </c>
      <c r="AH2148" s="6">
        <v>132.12</v>
      </c>
      <c r="AI2148" s="6">
        <f t="shared" si="66"/>
        <v>28.36</v>
      </c>
      <c r="AJ2148" s="5">
        <f t="shared" si="67"/>
        <v>0.21465334544353618</v>
      </c>
    </row>
    <row r="2149" spans="1:36">
      <c r="A2149" t="s">
        <v>512</v>
      </c>
      <c r="B2149" t="s">
        <v>2434</v>
      </c>
      <c r="C2149" t="s">
        <v>108</v>
      </c>
      <c r="D2149" t="s">
        <v>77</v>
      </c>
      <c r="E2149" t="s">
        <v>55</v>
      </c>
      <c r="F2149">
        <v>0</v>
      </c>
      <c r="G2149">
        <v>1472</v>
      </c>
      <c r="H2149">
        <v>1</v>
      </c>
      <c r="I2149" t="s">
        <v>173</v>
      </c>
      <c r="J2149">
        <v>1</v>
      </c>
      <c r="K2149" s="6">
        <v>1.81</v>
      </c>
      <c r="L2149" t="s">
        <v>174</v>
      </c>
      <c r="M2149">
        <v>0</v>
      </c>
      <c r="N2149" t="s">
        <v>175</v>
      </c>
      <c r="O2149">
        <v>1</v>
      </c>
      <c r="P2149">
        <v>0</v>
      </c>
      <c r="Q2149" s="6">
        <v>33.299999999999997</v>
      </c>
      <c r="R2149">
        <v>0</v>
      </c>
      <c r="S2149" s="6">
        <v>0</v>
      </c>
      <c r="T2149">
        <v>0</v>
      </c>
      <c r="U2149" s="6">
        <v>1862</v>
      </c>
      <c r="V2149">
        <v>0</v>
      </c>
      <c r="W2149">
        <v>1</v>
      </c>
      <c r="X2149">
        <v>0</v>
      </c>
      <c r="Y2149" s="6">
        <v>40.700000000000003</v>
      </c>
      <c r="Z2149">
        <v>3.4000000000000002E-2</v>
      </c>
      <c r="AA2149">
        <v>5.8999999999999997E-2</v>
      </c>
      <c r="AB2149">
        <v>0.05</v>
      </c>
      <c r="AC2149">
        <v>6</v>
      </c>
      <c r="AD2149" s="6">
        <v>50</v>
      </c>
      <c r="AE2149" s="6">
        <v>0</v>
      </c>
      <c r="AF2149" s="6">
        <v>0</v>
      </c>
      <c r="AG2149" s="6">
        <v>74.92</v>
      </c>
      <c r="AH2149" s="6">
        <v>97.88</v>
      </c>
      <c r="AI2149" s="6">
        <f t="shared" si="66"/>
        <v>22.959999999999994</v>
      </c>
      <c r="AJ2149" s="5">
        <f t="shared" si="67"/>
        <v>0.23457294646505919</v>
      </c>
    </row>
    <row r="2150" spans="1:36">
      <c r="A2150" t="s">
        <v>221</v>
      </c>
      <c r="B2150" t="s">
        <v>2435</v>
      </c>
      <c r="C2150" t="s">
        <v>108</v>
      </c>
      <c r="D2150" t="s">
        <v>77</v>
      </c>
      <c r="E2150" t="s">
        <v>55</v>
      </c>
      <c r="F2150">
        <v>0</v>
      </c>
      <c r="G2150">
        <v>1472</v>
      </c>
      <c r="H2150">
        <v>1</v>
      </c>
      <c r="I2150" t="s">
        <v>220</v>
      </c>
      <c r="J2150">
        <v>2</v>
      </c>
      <c r="K2150" s="6">
        <v>3.65</v>
      </c>
      <c r="L2150" t="s">
        <v>200</v>
      </c>
      <c r="M2150">
        <v>1</v>
      </c>
      <c r="N2150" t="s">
        <v>217</v>
      </c>
      <c r="O2150">
        <v>4</v>
      </c>
      <c r="P2150">
        <v>1</v>
      </c>
      <c r="Q2150" s="6">
        <v>109.5</v>
      </c>
      <c r="R2150">
        <v>0</v>
      </c>
      <c r="S2150" s="6">
        <v>0</v>
      </c>
      <c r="T2150">
        <v>0</v>
      </c>
      <c r="U2150" s="6">
        <v>933</v>
      </c>
      <c r="V2150">
        <v>0</v>
      </c>
      <c r="W2150">
        <v>0</v>
      </c>
      <c r="X2150">
        <v>0</v>
      </c>
      <c r="Y2150" s="6">
        <v>40.700000000000003</v>
      </c>
      <c r="Z2150">
        <v>3.4000000000000002E-2</v>
      </c>
      <c r="AA2150">
        <v>5.8999999999999997E-2</v>
      </c>
      <c r="AB2150">
        <v>0.05</v>
      </c>
      <c r="AC2150">
        <v>6</v>
      </c>
      <c r="AD2150" s="6">
        <v>119</v>
      </c>
      <c r="AE2150" s="6">
        <v>0</v>
      </c>
      <c r="AF2150" s="6">
        <v>0</v>
      </c>
      <c r="AG2150" s="6">
        <v>151.47999999999999</v>
      </c>
      <c r="AH2150" s="6">
        <v>191.04</v>
      </c>
      <c r="AI2150" s="6">
        <f t="shared" si="66"/>
        <v>39.56</v>
      </c>
      <c r="AJ2150" s="5">
        <f t="shared" si="67"/>
        <v>0.20707705192629819</v>
      </c>
    </row>
    <row r="2151" spans="1:36">
      <c r="A2151" t="s">
        <v>303</v>
      </c>
      <c r="B2151" t="s">
        <v>2436</v>
      </c>
      <c r="C2151" t="s">
        <v>108</v>
      </c>
      <c r="D2151" t="s">
        <v>77</v>
      </c>
      <c r="E2151" t="s">
        <v>55</v>
      </c>
      <c r="F2151">
        <v>0</v>
      </c>
      <c r="G2151">
        <v>1472</v>
      </c>
      <c r="H2151">
        <v>1</v>
      </c>
      <c r="I2151" t="s">
        <v>173</v>
      </c>
      <c r="J2151">
        <v>1</v>
      </c>
      <c r="K2151" s="6">
        <v>1.52</v>
      </c>
      <c r="L2151" t="s">
        <v>174</v>
      </c>
      <c r="M2151">
        <v>0</v>
      </c>
      <c r="N2151" t="s">
        <v>175</v>
      </c>
      <c r="O2151">
        <v>1</v>
      </c>
      <c r="P2151">
        <v>0</v>
      </c>
      <c r="Q2151" s="6">
        <v>40.200000000000003</v>
      </c>
      <c r="R2151">
        <v>0</v>
      </c>
      <c r="S2151" s="6">
        <v>0</v>
      </c>
      <c r="T2151">
        <v>0</v>
      </c>
      <c r="U2151" s="6">
        <v>7422</v>
      </c>
      <c r="V2151">
        <v>0</v>
      </c>
      <c r="W2151">
        <v>0</v>
      </c>
      <c r="X2151">
        <v>0</v>
      </c>
      <c r="Y2151" s="6">
        <v>40.700000000000003</v>
      </c>
      <c r="Z2151">
        <v>3.4000000000000002E-2</v>
      </c>
      <c r="AA2151">
        <v>5.8999999999999997E-2</v>
      </c>
      <c r="AB2151">
        <v>0.05</v>
      </c>
      <c r="AC2151">
        <v>6</v>
      </c>
      <c r="AD2151" s="6">
        <v>50</v>
      </c>
      <c r="AE2151" s="6">
        <v>0</v>
      </c>
      <c r="AF2151" s="6">
        <v>0</v>
      </c>
      <c r="AG2151" s="6">
        <v>48.06</v>
      </c>
      <c r="AH2151" s="6">
        <v>62.71</v>
      </c>
      <c r="AI2151" s="6">
        <f t="shared" si="66"/>
        <v>14.649999999999999</v>
      </c>
      <c r="AJ2151" s="5">
        <f t="shared" si="67"/>
        <v>0.23361505342050706</v>
      </c>
    </row>
    <row r="2152" spans="1:36">
      <c r="A2152" t="s">
        <v>393</v>
      </c>
      <c r="B2152" t="s">
        <v>2437</v>
      </c>
      <c r="C2152" t="s">
        <v>108</v>
      </c>
      <c r="D2152" t="s">
        <v>77</v>
      </c>
      <c r="E2152" t="s">
        <v>55</v>
      </c>
      <c r="F2152">
        <v>0</v>
      </c>
      <c r="G2152">
        <v>1472</v>
      </c>
      <c r="H2152">
        <v>1</v>
      </c>
      <c r="I2152" t="s">
        <v>173</v>
      </c>
      <c r="J2152">
        <v>1</v>
      </c>
      <c r="K2152" s="6">
        <v>1.56</v>
      </c>
      <c r="L2152" t="s">
        <v>174</v>
      </c>
      <c r="M2152">
        <v>0</v>
      </c>
      <c r="N2152" t="s">
        <v>182</v>
      </c>
      <c r="O2152">
        <v>3</v>
      </c>
      <c r="P2152">
        <v>0</v>
      </c>
      <c r="Q2152" s="6">
        <v>92.6</v>
      </c>
      <c r="R2152">
        <v>0</v>
      </c>
      <c r="S2152" s="6">
        <v>0</v>
      </c>
      <c r="T2152">
        <v>0</v>
      </c>
      <c r="U2152" s="6">
        <v>1310</v>
      </c>
      <c r="V2152">
        <v>0</v>
      </c>
      <c r="W2152">
        <v>0</v>
      </c>
      <c r="X2152">
        <v>0</v>
      </c>
      <c r="Y2152" s="6">
        <v>40.700000000000003</v>
      </c>
      <c r="Z2152">
        <v>3.4000000000000002E-2</v>
      </c>
      <c r="AA2152">
        <v>5.8999999999999997E-2</v>
      </c>
      <c r="AB2152">
        <v>0.05</v>
      </c>
      <c r="AC2152">
        <v>6</v>
      </c>
      <c r="AD2152" s="6">
        <v>50</v>
      </c>
      <c r="AE2152" s="6">
        <v>0</v>
      </c>
      <c r="AF2152" s="6">
        <v>0</v>
      </c>
      <c r="AG2152" s="6">
        <v>57.87</v>
      </c>
      <c r="AH2152" s="6">
        <v>77.22</v>
      </c>
      <c r="AI2152" s="6">
        <f t="shared" si="66"/>
        <v>19.350000000000001</v>
      </c>
      <c r="AJ2152" s="5">
        <f t="shared" si="67"/>
        <v>0.25058275058275059</v>
      </c>
    </row>
    <row r="2153" spans="1:36">
      <c r="A2153" t="s">
        <v>528</v>
      </c>
      <c r="B2153" t="s">
        <v>2438</v>
      </c>
      <c r="C2153" t="s">
        <v>108</v>
      </c>
      <c r="D2153" t="s">
        <v>77</v>
      </c>
      <c r="E2153" t="s">
        <v>55</v>
      </c>
      <c r="F2153">
        <v>0</v>
      </c>
      <c r="G2153">
        <v>1472</v>
      </c>
      <c r="H2153">
        <v>1</v>
      </c>
      <c r="I2153" t="s">
        <v>220</v>
      </c>
      <c r="J2153">
        <v>2</v>
      </c>
      <c r="K2153" s="6">
        <v>5.42</v>
      </c>
      <c r="L2153" t="s">
        <v>174</v>
      </c>
      <c r="M2153">
        <v>0</v>
      </c>
      <c r="N2153" t="s">
        <v>175</v>
      </c>
      <c r="O2153">
        <v>1</v>
      </c>
      <c r="P2153">
        <v>0</v>
      </c>
      <c r="Q2153" s="6">
        <v>34.1</v>
      </c>
      <c r="R2153">
        <v>0</v>
      </c>
      <c r="S2153" s="6">
        <v>0</v>
      </c>
      <c r="T2153">
        <v>0</v>
      </c>
      <c r="U2153" s="6">
        <v>2039</v>
      </c>
      <c r="V2153">
        <v>0</v>
      </c>
      <c r="W2153">
        <v>0</v>
      </c>
      <c r="X2153">
        <v>0</v>
      </c>
      <c r="Y2153" s="6">
        <v>40.700000000000003</v>
      </c>
      <c r="Z2153">
        <v>3.4000000000000002E-2</v>
      </c>
      <c r="AA2153">
        <v>5.8999999999999997E-2</v>
      </c>
      <c r="AB2153">
        <v>0.05</v>
      </c>
      <c r="AC2153">
        <v>6</v>
      </c>
      <c r="AD2153" s="6">
        <v>50</v>
      </c>
      <c r="AE2153" s="6">
        <v>0</v>
      </c>
      <c r="AF2153" s="6">
        <v>0</v>
      </c>
      <c r="AG2153" s="6">
        <v>59.38</v>
      </c>
      <c r="AH2153" s="6">
        <v>78.17</v>
      </c>
      <c r="AI2153" s="6">
        <f t="shared" si="66"/>
        <v>18.79</v>
      </c>
      <c r="AJ2153" s="5">
        <f t="shared" si="67"/>
        <v>0.24037354483817319</v>
      </c>
    </row>
    <row r="2154" spans="1:36">
      <c r="A2154" t="s">
        <v>343</v>
      </c>
      <c r="B2154" t="s">
        <v>2439</v>
      </c>
      <c r="C2154" t="s">
        <v>108</v>
      </c>
      <c r="D2154" t="s">
        <v>77</v>
      </c>
      <c r="E2154" t="s">
        <v>55</v>
      </c>
      <c r="F2154">
        <v>0</v>
      </c>
      <c r="G2154">
        <v>1472</v>
      </c>
      <c r="H2154">
        <v>1</v>
      </c>
      <c r="I2154" t="s">
        <v>178</v>
      </c>
      <c r="J2154">
        <v>4</v>
      </c>
      <c r="K2154" s="6">
        <v>10.27</v>
      </c>
      <c r="L2154" t="s">
        <v>174</v>
      </c>
      <c r="M2154">
        <v>0</v>
      </c>
      <c r="N2154" t="s">
        <v>182</v>
      </c>
      <c r="O2154">
        <v>3</v>
      </c>
      <c r="P2154">
        <v>0</v>
      </c>
      <c r="Q2154" s="6">
        <v>96.2</v>
      </c>
      <c r="R2154">
        <v>0</v>
      </c>
      <c r="S2154" s="6">
        <v>0</v>
      </c>
      <c r="T2154">
        <v>0</v>
      </c>
      <c r="U2154" s="6">
        <v>1050</v>
      </c>
      <c r="V2154">
        <v>0</v>
      </c>
      <c r="W2154">
        <v>0</v>
      </c>
      <c r="X2154">
        <v>0</v>
      </c>
      <c r="Y2154" s="6">
        <v>40.700000000000003</v>
      </c>
      <c r="Z2154">
        <v>3.4000000000000002E-2</v>
      </c>
      <c r="AA2154">
        <v>5.8999999999999997E-2</v>
      </c>
      <c r="AB2154">
        <v>0.05</v>
      </c>
      <c r="AC2154">
        <v>6</v>
      </c>
      <c r="AD2154" s="6">
        <v>65</v>
      </c>
      <c r="AE2154" s="6">
        <v>0</v>
      </c>
      <c r="AF2154" s="6">
        <v>0</v>
      </c>
      <c r="AG2154" s="6">
        <v>131</v>
      </c>
      <c r="AH2154" s="6">
        <v>164.42</v>
      </c>
      <c r="AI2154" s="6">
        <f t="shared" si="66"/>
        <v>33.419999999999987</v>
      </c>
      <c r="AJ2154" s="5">
        <f t="shared" si="67"/>
        <v>0.20325994404573647</v>
      </c>
    </row>
    <row r="2155" spans="1:36">
      <c r="A2155" t="s">
        <v>457</v>
      </c>
      <c r="B2155" t="s">
        <v>2440</v>
      </c>
      <c r="C2155" t="s">
        <v>108</v>
      </c>
      <c r="D2155" t="s">
        <v>77</v>
      </c>
      <c r="E2155" t="s">
        <v>55</v>
      </c>
      <c r="F2155">
        <v>0</v>
      </c>
      <c r="G2155">
        <v>1472</v>
      </c>
      <c r="H2155">
        <v>1</v>
      </c>
      <c r="I2155" t="s">
        <v>220</v>
      </c>
      <c r="J2155">
        <v>2</v>
      </c>
      <c r="K2155" s="6">
        <v>2.8</v>
      </c>
      <c r="L2155" t="s">
        <v>174</v>
      </c>
      <c r="M2155">
        <v>0</v>
      </c>
      <c r="N2155" t="s">
        <v>187</v>
      </c>
      <c r="O2155">
        <v>2</v>
      </c>
      <c r="P2155">
        <v>0</v>
      </c>
      <c r="Q2155" s="6">
        <v>67</v>
      </c>
      <c r="R2155">
        <v>0</v>
      </c>
      <c r="S2155" s="6">
        <v>0</v>
      </c>
      <c r="T2155">
        <v>0</v>
      </c>
      <c r="U2155" s="6">
        <v>4515</v>
      </c>
      <c r="V2155">
        <v>0</v>
      </c>
      <c r="W2155">
        <v>0</v>
      </c>
      <c r="X2155">
        <v>0</v>
      </c>
      <c r="Y2155" s="6">
        <v>40.700000000000003</v>
      </c>
      <c r="Z2155">
        <v>3.4000000000000002E-2</v>
      </c>
      <c r="AA2155">
        <v>5.8999999999999997E-2</v>
      </c>
      <c r="AB2155">
        <v>0.05</v>
      </c>
      <c r="AC2155">
        <v>6</v>
      </c>
      <c r="AD2155" s="6">
        <v>50</v>
      </c>
      <c r="AE2155" s="6">
        <v>0</v>
      </c>
      <c r="AF2155" s="6">
        <v>0</v>
      </c>
      <c r="AG2155" s="6">
        <v>59.63</v>
      </c>
      <c r="AH2155" s="6">
        <v>78.09</v>
      </c>
      <c r="AI2155" s="6">
        <f t="shared" si="66"/>
        <v>18.46</v>
      </c>
      <c r="AJ2155" s="5">
        <f t="shared" si="67"/>
        <v>0.23639390446920219</v>
      </c>
    </row>
    <row r="2156" spans="1:36">
      <c r="A2156" t="s">
        <v>212</v>
      </c>
      <c r="B2156" t="s">
        <v>2441</v>
      </c>
      <c r="C2156" t="s">
        <v>108</v>
      </c>
      <c r="D2156" t="s">
        <v>77</v>
      </c>
      <c r="E2156" t="s">
        <v>55</v>
      </c>
      <c r="F2156">
        <v>0</v>
      </c>
      <c r="G2156">
        <v>1472</v>
      </c>
      <c r="H2156">
        <v>1</v>
      </c>
      <c r="I2156" t="s">
        <v>181</v>
      </c>
      <c r="J2156">
        <v>3</v>
      </c>
      <c r="K2156" s="6">
        <v>8.33</v>
      </c>
      <c r="L2156" t="s">
        <v>174</v>
      </c>
      <c r="M2156">
        <v>0</v>
      </c>
      <c r="N2156" t="s">
        <v>217</v>
      </c>
      <c r="O2156">
        <v>4</v>
      </c>
      <c r="P2156">
        <v>1</v>
      </c>
      <c r="Q2156" s="6">
        <v>149.30000000000001</v>
      </c>
      <c r="R2156">
        <v>1</v>
      </c>
      <c r="S2156" s="6">
        <v>1364</v>
      </c>
      <c r="T2156">
        <v>0</v>
      </c>
      <c r="U2156" s="6">
        <v>2391</v>
      </c>
      <c r="V2156">
        <v>0</v>
      </c>
      <c r="W2156">
        <v>0</v>
      </c>
      <c r="X2156">
        <v>0</v>
      </c>
      <c r="Y2156" s="6">
        <v>40.700000000000003</v>
      </c>
      <c r="Z2156">
        <v>3.4000000000000002E-2</v>
      </c>
      <c r="AA2156">
        <v>5.8999999999999997E-2</v>
      </c>
      <c r="AB2156">
        <v>0.05</v>
      </c>
      <c r="AC2156">
        <v>6</v>
      </c>
      <c r="AD2156" s="6">
        <v>60</v>
      </c>
      <c r="AE2156" s="6">
        <v>25</v>
      </c>
      <c r="AF2156" s="6">
        <v>0</v>
      </c>
      <c r="AG2156" s="6">
        <v>151.86000000000001</v>
      </c>
      <c r="AH2156" s="6">
        <v>193.89</v>
      </c>
      <c r="AI2156" s="6">
        <f t="shared" si="66"/>
        <v>42.029999999999973</v>
      </c>
      <c r="AJ2156" s="5">
        <f t="shared" si="67"/>
        <v>0.21677239671978946</v>
      </c>
    </row>
    <row r="2157" spans="1:36">
      <c r="A2157" t="s">
        <v>171</v>
      </c>
      <c r="B2157" t="s">
        <v>2442</v>
      </c>
      <c r="C2157" t="s">
        <v>108</v>
      </c>
      <c r="D2157" t="s">
        <v>77</v>
      </c>
      <c r="E2157" t="s">
        <v>55</v>
      </c>
      <c r="F2157">
        <v>0</v>
      </c>
      <c r="G2157">
        <v>1472</v>
      </c>
      <c r="H2157">
        <v>1</v>
      </c>
      <c r="I2157" t="s">
        <v>173</v>
      </c>
      <c r="J2157">
        <v>1</v>
      </c>
      <c r="K2157" s="6">
        <v>1.5</v>
      </c>
      <c r="L2157" t="s">
        <v>174</v>
      </c>
      <c r="M2157">
        <v>0</v>
      </c>
      <c r="N2157" t="s">
        <v>175</v>
      </c>
      <c r="O2157">
        <v>1</v>
      </c>
      <c r="P2157">
        <v>0</v>
      </c>
      <c r="Q2157" s="6">
        <v>42.6</v>
      </c>
      <c r="R2157">
        <v>0</v>
      </c>
      <c r="S2157" s="6">
        <v>0</v>
      </c>
      <c r="T2157">
        <v>0</v>
      </c>
      <c r="U2157" s="6">
        <v>1017</v>
      </c>
      <c r="V2157">
        <v>0</v>
      </c>
      <c r="W2157">
        <v>0</v>
      </c>
      <c r="X2157">
        <v>0</v>
      </c>
      <c r="Y2157" s="6">
        <v>40.700000000000003</v>
      </c>
      <c r="Z2157">
        <v>3.4000000000000002E-2</v>
      </c>
      <c r="AA2157">
        <v>5.8999999999999997E-2</v>
      </c>
      <c r="AB2157">
        <v>0.05</v>
      </c>
      <c r="AC2157">
        <v>6</v>
      </c>
      <c r="AD2157" s="6">
        <v>50</v>
      </c>
      <c r="AE2157" s="6">
        <v>0</v>
      </c>
      <c r="AF2157" s="6">
        <v>0</v>
      </c>
      <c r="AG2157" s="6">
        <v>49.02</v>
      </c>
      <c r="AH2157" s="6">
        <v>61.97</v>
      </c>
      <c r="AI2157" s="6">
        <f t="shared" si="66"/>
        <v>12.949999999999996</v>
      </c>
      <c r="AJ2157" s="5">
        <f t="shared" si="67"/>
        <v>0.20897208326609643</v>
      </c>
    </row>
    <row r="2158" spans="1:36">
      <c r="A2158" t="s">
        <v>194</v>
      </c>
      <c r="B2158" t="s">
        <v>2443</v>
      </c>
      <c r="C2158" t="s">
        <v>108</v>
      </c>
      <c r="D2158" t="s">
        <v>77</v>
      </c>
      <c r="E2158" t="s">
        <v>55</v>
      </c>
      <c r="F2158">
        <v>0</v>
      </c>
      <c r="G2158">
        <v>1472</v>
      </c>
      <c r="H2158">
        <v>1</v>
      </c>
      <c r="I2158" t="s">
        <v>173</v>
      </c>
      <c r="J2158">
        <v>1</v>
      </c>
      <c r="K2158" s="6">
        <v>1.32</v>
      </c>
      <c r="L2158" t="s">
        <v>174</v>
      </c>
      <c r="M2158">
        <v>0</v>
      </c>
      <c r="N2158" t="s">
        <v>187</v>
      </c>
      <c r="O2158">
        <v>2</v>
      </c>
      <c r="P2158">
        <v>1</v>
      </c>
      <c r="Q2158" s="6">
        <v>70.400000000000006</v>
      </c>
      <c r="R2158">
        <v>0</v>
      </c>
      <c r="S2158" s="6">
        <v>0</v>
      </c>
      <c r="T2158">
        <v>0</v>
      </c>
      <c r="U2158" s="6">
        <v>2269</v>
      </c>
      <c r="V2158">
        <v>0</v>
      </c>
      <c r="W2158">
        <v>0</v>
      </c>
      <c r="X2158">
        <v>0</v>
      </c>
      <c r="Y2158" s="6">
        <v>40.700000000000003</v>
      </c>
      <c r="Z2158">
        <v>3.4000000000000002E-2</v>
      </c>
      <c r="AA2158">
        <v>5.8999999999999997E-2</v>
      </c>
      <c r="AB2158">
        <v>0.05</v>
      </c>
      <c r="AC2158">
        <v>6</v>
      </c>
      <c r="AD2158" s="6">
        <v>50</v>
      </c>
      <c r="AE2158" s="6">
        <v>0</v>
      </c>
      <c r="AF2158" s="6">
        <v>0</v>
      </c>
      <c r="AG2158" s="6">
        <v>76.8</v>
      </c>
      <c r="AH2158" s="6">
        <v>98.44</v>
      </c>
      <c r="AI2158" s="6">
        <f t="shared" si="66"/>
        <v>21.64</v>
      </c>
      <c r="AJ2158" s="5">
        <f t="shared" si="67"/>
        <v>0.21982933766761481</v>
      </c>
    </row>
    <row r="2159" spans="1:36">
      <c r="A2159" t="s">
        <v>183</v>
      </c>
      <c r="B2159" t="s">
        <v>2444</v>
      </c>
      <c r="C2159" t="s">
        <v>108</v>
      </c>
      <c r="D2159" t="s">
        <v>77</v>
      </c>
      <c r="E2159" t="s">
        <v>55</v>
      </c>
      <c r="F2159">
        <v>0</v>
      </c>
      <c r="G2159">
        <v>1472</v>
      </c>
      <c r="H2159">
        <v>1</v>
      </c>
      <c r="I2159" t="s">
        <v>173</v>
      </c>
      <c r="J2159">
        <v>1</v>
      </c>
      <c r="K2159" s="6">
        <v>1.39</v>
      </c>
      <c r="L2159" t="s">
        <v>174</v>
      </c>
      <c r="M2159">
        <v>0</v>
      </c>
      <c r="N2159" t="s">
        <v>187</v>
      </c>
      <c r="O2159">
        <v>2</v>
      </c>
      <c r="P2159">
        <v>0</v>
      </c>
      <c r="Q2159" s="6">
        <v>28.5</v>
      </c>
      <c r="R2159">
        <v>0</v>
      </c>
      <c r="S2159" s="6">
        <v>0</v>
      </c>
      <c r="T2159">
        <v>0</v>
      </c>
      <c r="U2159" s="6">
        <v>4606</v>
      </c>
      <c r="V2159">
        <v>0</v>
      </c>
      <c r="W2159">
        <v>0</v>
      </c>
      <c r="X2159">
        <v>0</v>
      </c>
      <c r="Y2159" s="6">
        <v>40.700000000000003</v>
      </c>
      <c r="Z2159">
        <v>3.4000000000000002E-2</v>
      </c>
      <c r="AA2159">
        <v>5.8999999999999997E-2</v>
      </c>
      <c r="AB2159">
        <v>0.05</v>
      </c>
      <c r="AC2159">
        <v>6</v>
      </c>
      <c r="AD2159" s="6">
        <v>50</v>
      </c>
      <c r="AE2159" s="6">
        <v>0</v>
      </c>
      <c r="AF2159" s="6">
        <v>0</v>
      </c>
      <c r="AG2159" s="6">
        <v>52.89</v>
      </c>
      <c r="AH2159" s="6">
        <v>70.599999999999994</v>
      </c>
      <c r="AI2159" s="6">
        <f t="shared" si="66"/>
        <v>17.709999999999994</v>
      </c>
      <c r="AJ2159" s="5">
        <f t="shared" si="67"/>
        <v>0.25084985835694046</v>
      </c>
    </row>
    <row r="2160" spans="1:36">
      <c r="A2160" t="s">
        <v>306</v>
      </c>
      <c r="B2160" t="s">
        <v>2445</v>
      </c>
      <c r="C2160" t="s">
        <v>108</v>
      </c>
      <c r="D2160" t="s">
        <v>77</v>
      </c>
      <c r="E2160" t="s">
        <v>55</v>
      </c>
      <c r="F2160">
        <v>0</v>
      </c>
      <c r="G2160">
        <v>1472</v>
      </c>
      <c r="H2160">
        <v>1</v>
      </c>
      <c r="I2160" t="s">
        <v>173</v>
      </c>
      <c r="J2160">
        <v>1</v>
      </c>
      <c r="K2160" s="6">
        <v>2.2200000000000002</v>
      </c>
      <c r="L2160" t="s">
        <v>174</v>
      </c>
      <c r="M2160">
        <v>0</v>
      </c>
      <c r="N2160" t="s">
        <v>175</v>
      </c>
      <c r="O2160">
        <v>1</v>
      </c>
      <c r="P2160">
        <v>0</v>
      </c>
      <c r="Q2160" s="6">
        <v>38.799999999999997</v>
      </c>
      <c r="R2160">
        <v>1</v>
      </c>
      <c r="S2160" s="6">
        <v>2124</v>
      </c>
      <c r="T2160">
        <v>0</v>
      </c>
      <c r="U2160" s="6">
        <v>1553</v>
      </c>
      <c r="V2160">
        <v>0</v>
      </c>
      <c r="W2160">
        <v>0</v>
      </c>
      <c r="X2160">
        <v>1</v>
      </c>
      <c r="Y2160" s="6">
        <v>40.700000000000003</v>
      </c>
      <c r="Z2160">
        <v>3.4000000000000002E-2</v>
      </c>
      <c r="AA2160">
        <v>5.8999999999999997E-2</v>
      </c>
      <c r="AB2160">
        <v>0.05</v>
      </c>
      <c r="AC2160">
        <v>6</v>
      </c>
      <c r="AD2160" s="6">
        <v>50</v>
      </c>
      <c r="AE2160" s="6">
        <v>40</v>
      </c>
      <c r="AF2160" s="6">
        <v>0</v>
      </c>
      <c r="AG2160" s="6">
        <v>49.51</v>
      </c>
      <c r="AH2160" s="6">
        <v>65.19</v>
      </c>
      <c r="AI2160" s="6">
        <f t="shared" si="66"/>
        <v>15.68</v>
      </c>
      <c r="AJ2160" s="5">
        <f t="shared" si="67"/>
        <v>0.24052768829575089</v>
      </c>
    </row>
    <row r="2161" spans="1:36">
      <c r="A2161" t="s">
        <v>434</v>
      </c>
      <c r="B2161" t="s">
        <v>2446</v>
      </c>
      <c r="C2161" t="s">
        <v>108</v>
      </c>
      <c r="D2161" t="s">
        <v>77</v>
      </c>
      <c r="E2161" t="s">
        <v>55</v>
      </c>
      <c r="F2161">
        <v>0</v>
      </c>
      <c r="G2161">
        <v>1472</v>
      </c>
      <c r="H2161">
        <v>1</v>
      </c>
      <c r="I2161" t="s">
        <v>220</v>
      </c>
      <c r="J2161">
        <v>2</v>
      </c>
      <c r="K2161" s="6">
        <v>4.34</v>
      </c>
      <c r="L2161" t="s">
        <v>174</v>
      </c>
      <c r="M2161">
        <v>0</v>
      </c>
      <c r="N2161" t="s">
        <v>175</v>
      </c>
      <c r="O2161">
        <v>1</v>
      </c>
      <c r="P2161">
        <v>0</v>
      </c>
      <c r="Q2161" s="6">
        <v>27.9</v>
      </c>
      <c r="R2161">
        <v>0</v>
      </c>
      <c r="S2161" s="6">
        <v>0</v>
      </c>
      <c r="T2161">
        <v>0</v>
      </c>
      <c r="U2161" s="6">
        <v>2389</v>
      </c>
      <c r="V2161">
        <v>0</v>
      </c>
      <c r="W2161">
        <v>0</v>
      </c>
      <c r="X2161">
        <v>0</v>
      </c>
      <c r="Y2161" s="6">
        <v>40.700000000000003</v>
      </c>
      <c r="Z2161">
        <v>3.4000000000000002E-2</v>
      </c>
      <c r="AA2161">
        <v>5.8999999999999997E-2</v>
      </c>
      <c r="AB2161">
        <v>0.05</v>
      </c>
      <c r="AC2161">
        <v>6</v>
      </c>
      <c r="AD2161" s="6">
        <v>50</v>
      </c>
      <c r="AE2161" s="6">
        <v>0</v>
      </c>
      <c r="AF2161" s="6">
        <v>0</v>
      </c>
      <c r="AG2161" s="6">
        <v>63.4</v>
      </c>
      <c r="AH2161" s="6">
        <v>80.290000000000006</v>
      </c>
      <c r="AI2161" s="6">
        <f t="shared" si="66"/>
        <v>16.890000000000008</v>
      </c>
      <c r="AJ2161" s="5">
        <f t="shared" si="67"/>
        <v>0.21036243616888786</v>
      </c>
    </row>
    <row r="2162" spans="1:36">
      <c r="A2162" t="s">
        <v>401</v>
      </c>
      <c r="B2162" t="s">
        <v>2447</v>
      </c>
      <c r="C2162" t="s">
        <v>108</v>
      </c>
      <c r="D2162" t="s">
        <v>77</v>
      </c>
      <c r="E2162" t="s">
        <v>55</v>
      </c>
      <c r="F2162">
        <v>0</v>
      </c>
      <c r="G2162">
        <v>1472</v>
      </c>
      <c r="H2162">
        <v>1</v>
      </c>
      <c r="I2162" t="s">
        <v>173</v>
      </c>
      <c r="J2162">
        <v>1</v>
      </c>
      <c r="K2162" s="6">
        <v>2.4500000000000002</v>
      </c>
      <c r="L2162" t="s">
        <v>174</v>
      </c>
      <c r="M2162">
        <v>0</v>
      </c>
      <c r="N2162" t="s">
        <v>175</v>
      </c>
      <c r="O2162">
        <v>1</v>
      </c>
      <c r="P2162">
        <v>0</v>
      </c>
      <c r="Q2162" s="6">
        <v>29.2</v>
      </c>
      <c r="R2162">
        <v>1</v>
      </c>
      <c r="S2162" s="6">
        <v>6419</v>
      </c>
      <c r="T2162">
        <v>0</v>
      </c>
      <c r="U2162" s="6">
        <v>846</v>
      </c>
      <c r="V2162">
        <v>0</v>
      </c>
      <c r="W2162">
        <v>0</v>
      </c>
      <c r="X2162">
        <v>0</v>
      </c>
      <c r="Y2162" s="6">
        <v>40.700000000000003</v>
      </c>
      <c r="Z2162">
        <v>3.4000000000000002E-2</v>
      </c>
      <c r="AA2162">
        <v>5.8999999999999997E-2</v>
      </c>
      <c r="AB2162">
        <v>0.05</v>
      </c>
      <c r="AC2162">
        <v>6</v>
      </c>
      <c r="AD2162" s="6">
        <v>50</v>
      </c>
      <c r="AE2162" s="6">
        <v>50</v>
      </c>
      <c r="AF2162" s="6">
        <v>0</v>
      </c>
      <c r="AG2162" s="6">
        <v>55.78</v>
      </c>
      <c r="AH2162" s="6">
        <v>69.91</v>
      </c>
      <c r="AI2162" s="6">
        <f t="shared" si="66"/>
        <v>14.129999999999995</v>
      </c>
      <c r="AJ2162" s="5">
        <f t="shared" si="67"/>
        <v>0.20211700758117573</v>
      </c>
    </row>
    <row r="2163" spans="1:36">
      <c r="A2163" t="s">
        <v>277</v>
      </c>
      <c r="B2163" t="s">
        <v>2448</v>
      </c>
      <c r="C2163" t="s">
        <v>108</v>
      </c>
      <c r="D2163" t="s">
        <v>77</v>
      </c>
      <c r="E2163" t="s">
        <v>55</v>
      </c>
      <c r="F2163">
        <v>0</v>
      </c>
      <c r="G2163">
        <v>1472</v>
      </c>
      <c r="H2163">
        <v>1</v>
      </c>
      <c r="I2163" t="s">
        <v>173</v>
      </c>
      <c r="J2163">
        <v>1</v>
      </c>
      <c r="K2163" s="6">
        <v>1.03</v>
      </c>
      <c r="L2163" t="s">
        <v>174</v>
      </c>
      <c r="M2163">
        <v>0</v>
      </c>
      <c r="N2163" t="s">
        <v>182</v>
      </c>
      <c r="O2163">
        <v>3</v>
      </c>
      <c r="P2163">
        <v>0</v>
      </c>
      <c r="Q2163" s="6">
        <v>116.1</v>
      </c>
      <c r="R2163">
        <v>0</v>
      </c>
      <c r="S2163" s="6">
        <v>0</v>
      </c>
      <c r="T2163">
        <v>0</v>
      </c>
      <c r="U2163" s="6">
        <v>1390</v>
      </c>
      <c r="V2163">
        <v>0</v>
      </c>
      <c r="W2163">
        <v>0</v>
      </c>
      <c r="X2163">
        <v>0</v>
      </c>
      <c r="Y2163" s="6">
        <v>40.700000000000003</v>
      </c>
      <c r="Z2163">
        <v>3.4000000000000002E-2</v>
      </c>
      <c r="AA2163">
        <v>5.8999999999999997E-2</v>
      </c>
      <c r="AB2163">
        <v>0.05</v>
      </c>
      <c r="AC2163">
        <v>6</v>
      </c>
      <c r="AD2163" s="6">
        <v>50</v>
      </c>
      <c r="AE2163" s="6">
        <v>0</v>
      </c>
      <c r="AF2163" s="6">
        <v>0</v>
      </c>
      <c r="AG2163" s="6">
        <v>63.81</v>
      </c>
      <c r="AH2163" s="6">
        <v>81.78</v>
      </c>
      <c r="AI2163" s="6">
        <f t="shared" si="66"/>
        <v>17.97</v>
      </c>
      <c r="AJ2163" s="5">
        <f t="shared" si="67"/>
        <v>0.2197358767424798</v>
      </c>
    </row>
    <row r="2164" spans="1:36">
      <c r="A2164" t="s">
        <v>391</v>
      </c>
      <c r="B2164" t="s">
        <v>2449</v>
      </c>
      <c r="C2164" t="s">
        <v>108</v>
      </c>
      <c r="D2164" t="s">
        <v>77</v>
      </c>
      <c r="E2164" t="s">
        <v>55</v>
      </c>
      <c r="F2164">
        <v>0</v>
      </c>
      <c r="G2164">
        <v>1472</v>
      </c>
      <c r="H2164">
        <v>1</v>
      </c>
      <c r="I2164" t="s">
        <v>173</v>
      </c>
      <c r="J2164">
        <v>1</v>
      </c>
      <c r="K2164" s="6">
        <v>2.12</v>
      </c>
      <c r="L2164" t="s">
        <v>174</v>
      </c>
      <c r="M2164">
        <v>0</v>
      </c>
      <c r="N2164" t="s">
        <v>182</v>
      </c>
      <c r="O2164">
        <v>3</v>
      </c>
      <c r="P2164">
        <v>0</v>
      </c>
      <c r="Q2164" s="6">
        <v>120.6</v>
      </c>
      <c r="R2164">
        <v>0</v>
      </c>
      <c r="S2164" s="6">
        <v>0</v>
      </c>
      <c r="T2164">
        <v>0</v>
      </c>
      <c r="U2164" s="6">
        <v>1457</v>
      </c>
      <c r="V2164">
        <v>0</v>
      </c>
      <c r="W2164">
        <v>0</v>
      </c>
      <c r="X2164">
        <v>0</v>
      </c>
      <c r="Y2164" s="6">
        <v>40.700000000000003</v>
      </c>
      <c r="Z2164">
        <v>3.4000000000000002E-2</v>
      </c>
      <c r="AA2164">
        <v>5.8999999999999997E-2</v>
      </c>
      <c r="AB2164">
        <v>0.05</v>
      </c>
      <c r="AC2164">
        <v>6</v>
      </c>
      <c r="AD2164" s="6">
        <v>50</v>
      </c>
      <c r="AE2164" s="6">
        <v>0</v>
      </c>
      <c r="AF2164" s="6">
        <v>0</v>
      </c>
      <c r="AG2164" s="6">
        <v>60.69</v>
      </c>
      <c r="AH2164" s="6">
        <v>78.69</v>
      </c>
      <c r="AI2164" s="6">
        <f t="shared" si="66"/>
        <v>18</v>
      </c>
      <c r="AJ2164" s="5">
        <f t="shared" si="67"/>
        <v>0.22874571101791841</v>
      </c>
    </row>
    <row r="2165" spans="1:36">
      <c r="A2165" t="s">
        <v>198</v>
      </c>
      <c r="B2165" t="s">
        <v>2450</v>
      </c>
      <c r="C2165" t="s">
        <v>108</v>
      </c>
      <c r="D2165" t="s">
        <v>77</v>
      </c>
      <c r="E2165" t="s">
        <v>55</v>
      </c>
      <c r="F2165">
        <v>0</v>
      </c>
      <c r="G2165">
        <v>1472</v>
      </c>
      <c r="H2165">
        <v>1</v>
      </c>
      <c r="I2165" t="s">
        <v>173</v>
      </c>
      <c r="J2165">
        <v>1</v>
      </c>
      <c r="K2165" s="6">
        <v>2.4900000000000002</v>
      </c>
      <c r="L2165" t="s">
        <v>174</v>
      </c>
      <c r="M2165">
        <v>0</v>
      </c>
      <c r="N2165" t="s">
        <v>175</v>
      </c>
      <c r="O2165">
        <v>1</v>
      </c>
      <c r="P2165">
        <v>0</v>
      </c>
      <c r="Q2165" s="6">
        <v>27.6</v>
      </c>
      <c r="R2165">
        <v>0</v>
      </c>
      <c r="S2165" s="6">
        <v>0</v>
      </c>
      <c r="T2165">
        <v>0</v>
      </c>
      <c r="U2165" s="6">
        <v>660</v>
      </c>
      <c r="V2165">
        <v>0</v>
      </c>
      <c r="W2165">
        <v>0</v>
      </c>
      <c r="X2165">
        <v>0</v>
      </c>
      <c r="Y2165" s="6">
        <v>40.700000000000003</v>
      </c>
      <c r="Z2165">
        <v>3.4000000000000002E-2</v>
      </c>
      <c r="AA2165">
        <v>5.8999999999999997E-2</v>
      </c>
      <c r="AB2165">
        <v>0.05</v>
      </c>
      <c r="AC2165">
        <v>6</v>
      </c>
      <c r="AD2165" s="6">
        <v>50</v>
      </c>
      <c r="AE2165" s="6">
        <v>0</v>
      </c>
      <c r="AF2165" s="6">
        <v>0</v>
      </c>
      <c r="AG2165" s="6">
        <v>48.77</v>
      </c>
      <c r="AH2165" s="6">
        <v>64.64</v>
      </c>
      <c r="AI2165" s="6">
        <f t="shared" si="66"/>
        <v>15.869999999999997</v>
      </c>
      <c r="AJ2165" s="5">
        <f t="shared" si="67"/>
        <v>0.24551361386138609</v>
      </c>
    </row>
    <row r="2166" spans="1:36">
      <c r="A2166" t="s">
        <v>279</v>
      </c>
      <c r="B2166" t="s">
        <v>2451</v>
      </c>
      <c r="C2166" t="s">
        <v>108</v>
      </c>
      <c r="D2166" t="s">
        <v>77</v>
      </c>
      <c r="E2166" t="s">
        <v>55</v>
      </c>
      <c r="F2166">
        <v>0</v>
      </c>
      <c r="G2166">
        <v>1472</v>
      </c>
      <c r="H2166">
        <v>1</v>
      </c>
      <c r="I2166" t="s">
        <v>181</v>
      </c>
      <c r="J2166">
        <v>3</v>
      </c>
      <c r="K2166" s="6">
        <v>6.24</v>
      </c>
      <c r="L2166" t="s">
        <v>174</v>
      </c>
      <c r="M2166">
        <v>0</v>
      </c>
      <c r="N2166" t="s">
        <v>175</v>
      </c>
      <c r="O2166">
        <v>1</v>
      </c>
      <c r="P2166">
        <v>0</v>
      </c>
      <c r="Q2166" s="6">
        <v>36.299999999999997</v>
      </c>
      <c r="R2166">
        <v>0</v>
      </c>
      <c r="S2166" s="6">
        <v>0</v>
      </c>
      <c r="T2166">
        <v>0</v>
      </c>
      <c r="U2166" s="6">
        <v>2364</v>
      </c>
      <c r="V2166">
        <v>0</v>
      </c>
      <c r="W2166">
        <v>0</v>
      </c>
      <c r="X2166">
        <v>0</v>
      </c>
      <c r="Y2166" s="6">
        <v>40.700000000000003</v>
      </c>
      <c r="Z2166">
        <v>3.4000000000000002E-2</v>
      </c>
      <c r="AA2166">
        <v>5.8999999999999997E-2</v>
      </c>
      <c r="AB2166">
        <v>0.05</v>
      </c>
      <c r="AC2166">
        <v>6</v>
      </c>
      <c r="AD2166" s="6">
        <v>60</v>
      </c>
      <c r="AE2166" s="6">
        <v>0</v>
      </c>
      <c r="AF2166" s="6">
        <v>0</v>
      </c>
      <c r="AG2166" s="6">
        <v>76.13</v>
      </c>
      <c r="AH2166" s="6">
        <v>96.49</v>
      </c>
      <c r="AI2166" s="6">
        <f t="shared" si="66"/>
        <v>20.36</v>
      </c>
      <c r="AJ2166" s="5">
        <f t="shared" si="67"/>
        <v>0.21100632189864235</v>
      </c>
    </row>
    <row r="2167" spans="1:36">
      <c r="A2167" t="s">
        <v>230</v>
      </c>
      <c r="B2167" t="s">
        <v>2452</v>
      </c>
      <c r="C2167" t="s">
        <v>108</v>
      </c>
      <c r="D2167" t="s">
        <v>77</v>
      </c>
      <c r="E2167" t="s">
        <v>55</v>
      </c>
      <c r="F2167">
        <v>0</v>
      </c>
      <c r="G2167">
        <v>1472</v>
      </c>
      <c r="H2167">
        <v>1</v>
      </c>
      <c r="I2167" t="s">
        <v>173</v>
      </c>
      <c r="J2167">
        <v>1</v>
      </c>
      <c r="K2167" s="6">
        <v>2.31</v>
      </c>
      <c r="L2167" t="s">
        <v>174</v>
      </c>
      <c r="M2167">
        <v>0</v>
      </c>
      <c r="N2167" t="s">
        <v>175</v>
      </c>
      <c r="O2167">
        <v>1</v>
      </c>
      <c r="P2167">
        <v>0</v>
      </c>
      <c r="Q2167" s="6">
        <v>43.1</v>
      </c>
      <c r="R2167">
        <v>0</v>
      </c>
      <c r="S2167" s="6">
        <v>0</v>
      </c>
      <c r="T2167">
        <v>0</v>
      </c>
      <c r="U2167" s="6">
        <v>2372</v>
      </c>
      <c r="V2167">
        <v>0</v>
      </c>
      <c r="W2167">
        <v>0</v>
      </c>
      <c r="X2167">
        <v>0</v>
      </c>
      <c r="Y2167" s="6">
        <v>40.700000000000003</v>
      </c>
      <c r="Z2167">
        <v>3.4000000000000002E-2</v>
      </c>
      <c r="AA2167">
        <v>5.8999999999999997E-2</v>
      </c>
      <c r="AB2167">
        <v>0.05</v>
      </c>
      <c r="AC2167">
        <v>6</v>
      </c>
      <c r="AD2167" s="6">
        <v>50</v>
      </c>
      <c r="AE2167" s="6">
        <v>0</v>
      </c>
      <c r="AF2167" s="6">
        <v>0</v>
      </c>
      <c r="AG2167" s="6">
        <v>47.93</v>
      </c>
      <c r="AH2167" s="6">
        <v>60.58</v>
      </c>
      <c r="AI2167" s="6">
        <f t="shared" si="66"/>
        <v>12.649999999999999</v>
      </c>
      <c r="AJ2167" s="5">
        <f t="shared" si="67"/>
        <v>0.20881479035985473</v>
      </c>
    </row>
    <row r="2168" spans="1:36">
      <c r="A2168" t="s">
        <v>372</v>
      </c>
      <c r="B2168" t="s">
        <v>2453</v>
      </c>
      <c r="C2168" t="s">
        <v>108</v>
      </c>
      <c r="D2168" t="s">
        <v>77</v>
      </c>
      <c r="E2168" t="s">
        <v>55</v>
      </c>
      <c r="F2168">
        <v>0</v>
      </c>
      <c r="G2168">
        <v>1472</v>
      </c>
      <c r="H2168">
        <v>1</v>
      </c>
      <c r="I2168" t="s">
        <v>173</v>
      </c>
      <c r="J2168">
        <v>1</v>
      </c>
      <c r="K2168" s="6">
        <v>2.02</v>
      </c>
      <c r="L2168" t="s">
        <v>174</v>
      </c>
      <c r="M2168">
        <v>0</v>
      </c>
      <c r="N2168" t="s">
        <v>175</v>
      </c>
      <c r="O2168">
        <v>1</v>
      </c>
      <c r="P2168">
        <v>0</v>
      </c>
      <c r="Q2168" s="6">
        <v>38</v>
      </c>
      <c r="R2168">
        <v>0</v>
      </c>
      <c r="S2168" s="6">
        <v>0</v>
      </c>
      <c r="T2168">
        <v>0</v>
      </c>
      <c r="U2168" s="6">
        <v>2586</v>
      </c>
      <c r="V2168">
        <v>0</v>
      </c>
      <c r="W2168">
        <v>0</v>
      </c>
      <c r="X2168">
        <v>0</v>
      </c>
      <c r="Y2168" s="6">
        <v>40.700000000000003</v>
      </c>
      <c r="Z2168">
        <v>3.4000000000000002E-2</v>
      </c>
      <c r="AA2168">
        <v>5.8999999999999997E-2</v>
      </c>
      <c r="AB2168">
        <v>0.05</v>
      </c>
      <c r="AC2168">
        <v>6</v>
      </c>
      <c r="AD2168" s="6">
        <v>50</v>
      </c>
      <c r="AE2168" s="6">
        <v>0</v>
      </c>
      <c r="AF2168" s="6">
        <v>0</v>
      </c>
      <c r="AG2168" s="6">
        <v>47.45</v>
      </c>
      <c r="AH2168" s="6">
        <v>62.37</v>
      </c>
      <c r="AI2168" s="6">
        <f t="shared" si="66"/>
        <v>14.919999999999995</v>
      </c>
      <c r="AJ2168" s="5">
        <f t="shared" si="67"/>
        <v>0.23921757255090581</v>
      </c>
    </row>
    <row r="2169" spans="1:36">
      <c r="A2169" t="s">
        <v>190</v>
      </c>
      <c r="B2169" t="s">
        <v>2454</v>
      </c>
      <c r="C2169" t="s">
        <v>108</v>
      </c>
      <c r="D2169" t="s">
        <v>77</v>
      </c>
      <c r="E2169" t="s">
        <v>55</v>
      </c>
      <c r="F2169">
        <v>0</v>
      </c>
      <c r="G2169">
        <v>1472</v>
      </c>
      <c r="H2169">
        <v>1</v>
      </c>
      <c r="I2169" t="s">
        <v>220</v>
      </c>
      <c r="J2169">
        <v>2</v>
      </c>
      <c r="K2169" s="6">
        <v>6.32</v>
      </c>
      <c r="L2169" t="s">
        <v>174</v>
      </c>
      <c r="M2169">
        <v>0</v>
      </c>
      <c r="N2169" t="s">
        <v>187</v>
      </c>
      <c r="O2169">
        <v>2</v>
      </c>
      <c r="P2169">
        <v>0</v>
      </c>
      <c r="Q2169" s="6">
        <v>39.700000000000003</v>
      </c>
      <c r="R2169">
        <v>0</v>
      </c>
      <c r="S2169" s="6">
        <v>0</v>
      </c>
      <c r="T2169">
        <v>0</v>
      </c>
      <c r="U2169" s="6">
        <v>783</v>
      </c>
      <c r="V2169">
        <v>0</v>
      </c>
      <c r="W2169">
        <v>0</v>
      </c>
      <c r="X2169">
        <v>0</v>
      </c>
      <c r="Y2169" s="6">
        <v>40.700000000000003</v>
      </c>
      <c r="Z2169">
        <v>3.4000000000000002E-2</v>
      </c>
      <c r="AA2169">
        <v>5.8999999999999997E-2</v>
      </c>
      <c r="AB2169">
        <v>0.05</v>
      </c>
      <c r="AC2169">
        <v>6</v>
      </c>
      <c r="AD2169" s="6">
        <v>50</v>
      </c>
      <c r="AE2169" s="6">
        <v>0</v>
      </c>
      <c r="AF2169" s="6">
        <v>0</v>
      </c>
      <c r="AG2169" s="6">
        <v>60.8</v>
      </c>
      <c r="AH2169" s="6">
        <v>79.59</v>
      </c>
      <c r="AI2169" s="6">
        <f t="shared" si="66"/>
        <v>18.790000000000006</v>
      </c>
      <c r="AJ2169" s="5">
        <f t="shared" si="67"/>
        <v>0.23608493529337862</v>
      </c>
    </row>
    <row r="2170" spans="1:36">
      <c r="A2170" t="s">
        <v>481</v>
      </c>
      <c r="B2170" t="s">
        <v>2455</v>
      </c>
      <c r="C2170" t="s">
        <v>108</v>
      </c>
      <c r="D2170" t="s">
        <v>77</v>
      </c>
      <c r="E2170" t="s">
        <v>55</v>
      </c>
      <c r="F2170">
        <v>0</v>
      </c>
      <c r="G2170">
        <v>1472</v>
      </c>
      <c r="H2170">
        <v>1</v>
      </c>
      <c r="I2170" t="s">
        <v>220</v>
      </c>
      <c r="J2170">
        <v>2</v>
      </c>
      <c r="K2170" s="6">
        <v>2.94</v>
      </c>
      <c r="L2170" t="s">
        <v>174</v>
      </c>
      <c r="M2170">
        <v>0</v>
      </c>
      <c r="N2170" t="s">
        <v>187</v>
      </c>
      <c r="O2170">
        <v>2</v>
      </c>
      <c r="P2170">
        <v>1</v>
      </c>
      <c r="Q2170" s="6">
        <v>47.6</v>
      </c>
      <c r="R2170">
        <v>0</v>
      </c>
      <c r="S2170" s="6">
        <v>0</v>
      </c>
      <c r="T2170">
        <v>0</v>
      </c>
      <c r="U2170" s="6">
        <v>2836</v>
      </c>
      <c r="V2170">
        <v>0</v>
      </c>
      <c r="W2170">
        <v>0</v>
      </c>
      <c r="X2170">
        <v>0</v>
      </c>
      <c r="Y2170" s="6">
        <v>40.700000000000003</v>
      </c>
      <c r="Z2170">
        <v>3.4000000000000002E-2</v>
      </c>
      <c r="AA2170">
        <v>5.8999999999999997E-2</v>
      </c>
      <c r="AB2170">
        <v>0.05</v>
      </c>
      <c r="AC2170">
        <v>6</v>
      </c>
      <c r="AD2170" s="6">
        <v>50</v>
      </c>
      <c r="AE2170" s="6">
        <v>0</v>
      </c>
      <c r="AF2170" s="6">
        <v>0</v>
      </c>
      <c r="AG2170" s="6">
        <v>86.53</v>
      </c>
      <c r="AH2170" s="6">
        <v>111.69</v>
      </c>
      <c r="AI2170" s="6">
        <f t="shared" si="66"/>
        <v>25.159999999999997</v>
      </c>
      <c r="AJ2170" s="5">
        <f t="shared" si="67"/>
        <v>0.22526636225266361</v>
      </c>
    </row>
    <row r="2171" spans="1:36">
      <c r="A2171" t="s">
        <v>284</v>
      </c>
      <c r="B2171" t="s">
        <v>2456</v>
      </c>
      <c r="C2171" t="s">
        <v>108</v>
      </c>
      <c r="D2171" t="s">
        <v>77</v>
      </c>
      <c r="E2171" t="s">
        <v>55</v>
      </c>
      <c r="F2171">
        <v>0</v>
      </c>
      <c r="G2171">
        <v>1472</v>
      </c>
      <c r="H2171">
        <v>1</v>
      </c>
      <c r="I2171" t="s">
        <v>220</v>
      </c>
      <c r="J2171">
        <v>2</v>
      </c>
      <c r="K2171" s="6">
        <v>2.0299999999999998</v>
      </c>
      <c r="L2171" t="s">
        <v>174</v>
      </c>
      <c r="M2171">
        <v>0</v>
      </c>
      <c r="N2171" t="s">
        <v>272</v>
      </c>
      <c r="O2171">
        <v>5</v>
      </c>
      <c r="P2171">
        <v>1</v>
      </c>
      <c r="Q2171" s="6">
        <v>262.39999999999998</v>
      </c>
      <c r="R2171">
        <v>0</v>
      </c>
      <c r="S2171" s="6">
        <v>0</v>
      </c>
      <c r="T2171">
        <v>0</v>
      </c>
      <c r="U2171" s="6">
        <v>1853</v>
      </c>
      <c r="V2171">
        <v>0</v>
      </c>
      <c r="W2171">
        <v>0</v>
      </c>
      <c r="X2171">
        <v>0</v>
      </c>
      <c r="Y2171" s="6">
        <v>40.700000000000003</v>
      </c>
      <c r="Z2171">
        <v>3.4000000000000002E-2</v>
      </c>
      <c r="AA2171">
        <v>5.8999999999999997E-2</v>
      </c>
      <c r="AB2171">
        <v>0.05</v>
      </c>
      <c r="AC2171">
        <v>6</v>
      </c>
      <c r="AD2171" s="6">
        <v>50</v>
      </c>
      <c r="AE2171" s="6">
        <v>0</v>
      </c>
      <c r="AF2171" s="6">
        <v>0</v>
      </c>
      <c r="AG2171" s="6">
        <v>151.87</v>
      </c>
      <c r="AH2171" s="6">
        <v>193.36</v>
      </c>
      <c r="AI2171" s="6">
        <f t="shared" si="66"/>
        <v>41.490000000000009</v>
      </c>
      <c r="AJ2171" s="5">
        <f t="shared" si="67"/>
        <v>0.214573851882499</v>
      </c>
    </row>
    <row r="2172" spans="1:36">
      <c r="A2172" t="s">
        <v>393</v>
      </c>
      <c r="B2172" t="s">
        <v>2457</v>
      </c>
      <c r="C2172" t="s">
        <v>108</v>
      </c>
      <c r="D2172" t="s">
        <v>77</v>
      </c>
      <c r="E2172" t="s">
        <v>55</v>
      </c>
      <c r="F2172">
        <v>0</v>
      </c>
      <c r="G2172">
        <v>1472</v>
      </c>
      <c r="H2172">
        <v>1</v>
      </c>
      <c r="I2172" t="s">
        <v>173</v>
      </c>
      <c r="J2172">
        <v>1</v>
      </c>
      <c r="K2172" s="6">
        <v>1.1000000000000001</v>
      </c>
      <c r="L2172" t="s">
        <v>174</v>
      </c>
      <c r="M2172">
        <v>0</v>
      </c>
      <c r="N2172" t="s">
        <v>217</v>
      </c>
      <c r="O2172">
        <v>4</v>
      </c>
      <c r="P2172">
        <v>1</v>
      </c>
      <c r="Q2172" s="6">
        <v>168.2</v>
      </c>
      <c r="R2172">
        <v>0</v>
      </c>
      <c r="S2172" s="6">
        <v>0</v>
      </c>
      <c r="T2172">
        <v>0</v>
      </c>
      <c r="U2172" s="6">
        <v>1105</v>
      </c>
      <c r="V2172">
        <v>0</v>
      </c>
      <c r="W2172">
        <v>0</v>
      </c>
      <c r="X2172">
        <v>0</v>
      </c>
      <c r="Y2172" s="6">
        <v>40.700000000000003</v>
      </c>
      <c r="Z2172">
        <v>3.4000000000000002E-2</v>
      </c>
      <c r="AA2172">
        <v>5.8999999999999997E-2</v>
      </c>
      <c r="AB2172">
        <v>0.05</v>
      </c>
      <c r="AC2172">
        <v>6</v>
      </c>
      <c r="AD2172" s="6">
        <v>50</v>
      </c>
      <c r="AE2172" s="6">
        <v>0</v>
      </c>
      <c r="AF2172" s="6">
        <v>0</v>
      </c>
      <c r="AG2172" s="6">
        <v>94.55</v>
      </c>
      <c r="AH2172" s="6">
        <v>122.26</v>
      </c>
      <c r="AI2172" s="6">
        <f t="shared" si="66"/>
        <v>27.710000000000008</v>
      </c>
      <c r="AJ2172" s="5">
        <f t="shared" si="67"/>
        <v>0.22664812694258143</v>
      </c>
    </row>
    <row r="2173" spans="1:36">
      <c r="A2173" t="s">
        <v>431</v>
      </c>
      <c r="B2173" t="s">
        <v>2458</v>
      </c>
      <c r="C2173" t="s">
        <v>108</v>
      </c>
      <c r="D2173" t="s">
        <v>77</v>
      </c>
      <c r="E2173" t="s">
        <v>55</v>
      </c>
      <c r="F2173">
        <v>0</v>
      </c>
      <c r="G2173">
        <v>1472</v>
      </c>
      <c r="H2173">
        <v>1</v>
      </c>
      <c r="I2173" t="s">
        <v>173</v>
      </c>
      <c r="J2173">
        <v>1</v>
      </c>
      <c r="K2173" s="6">
        <v>1.91</v>
      </c>
      <c r="L2173" t="s">
        <v>174</v>
      </c>
      <c r="M2173">
        <v>0</v>
      </c>
      <c r="N2173" t="s">
        <v>175</v>
      </c>
      <c r="O2173">
        <v>1</v>
      </c>
      <c r="P2173">
        <v>0</v>
      </c>
      <c r="Q2173" s="6">
        <v>38.5</v>
      </c>
      <c r="R2173">
        <v>0</v>
      </c>
      <c r="S2173" s="6">
        <v>0</v>
      </c>
      <c r="T2173">
        <v>0</v>
      </c>
      <c r="U2173" s="6">
        <v>877</v>
      </c>
      <c r="V2173">
        <v>0</v>
      </c>
      <c r="W2173">
        <v>0</v>
      </c>
      <c r="X2173">
        <v>0</v>
      </c>
      <c r="Y2173" s="6">
        <v>40.700000000000003</v>
      </c>
      <c r="Z2173">
        <v>3.4000000000000002E-2</v>
      </c>
      <c r="AA2173">
        <v>5.8999999999999997E-2</v>
      </c>
      <c r="AB2173">
        <v>0.05</v>
      </c>
      <c r="AC2173">
        <v>6</v>
      </c>
      <c r="AD2173" s="6">
        <v>50</v>
      </c>
      <c r="AE2173" s="6">
        <v>0</v>
      </c>
      <c r="AF2173" s="6">
        <v>0</v>
      </c>
      <c r="AG2173" s="6">
        <v>46.35</v>
      </c>
      <c r="AH2173" s="6">
        <v>60.78</v>
      </c>
      <c r="AI2173" s="6">
        <f t="shared" si="66"/>
        <v>14.43</v>
      </c>
      <c r="AJ2173" s="5">
        <f t="shared" si="67"/>
        <v>0.23741362290227047</v>
      </c>
    </row>
    <row r="2174" spans="1:36">
      <c r="A2174" t="s">
        <v>319</v>
      </c>
      <c r="B2174" t="s">
        <v>2459</v>
      </c>
      <c r="C2174" t="s">
        <v>108</v>
      </c>
      <c r="D2174" t="s">
        <v>77</v>
      </c>
      <c r="E2174" t="s">
        <v>55</v>
      </c>
      <c r="F2174">
        <v>0</v>
      </c>
      <c r="G2174">
        <v>1472</v>
      </c>
      <c r="H2174">
        <v>1</v>
      </c>
      <c r="I2174" t="s">
        <v>181</v>
      </c>
      <c r="J2174">
        <v>3</v>
      </c>
      <c r="K2174" s="6">
        <v>7.09</v>
      </c>
      <c r="L2174" t="s">
        <v>174</v>
      </c>
      <c r="M2174">
        <v>0</v>
      </c>
      <c r="N2174" t="s">
        <v>187</v>
      </c>
      <c r="O2174">
        <v>2</v>
      </c>
      <c r="P2174">
        <v>0</v>
      </c>
      <c r="Q2174" s="6">
        <v>53.7</v>
      </c>
      <c r="R2174">
        <v>1</v>
      </c>
      <c r="S2174" s="6">
        <v>2881</v>
      </c>
      <c r="T2174">
        <v>0</v>
      </c>
      <c r="U2174" s="6">
        <v>912</v>
      </c>
      <c r="V2174">
        <v>0</v>
      </c>
      <c r="W2174">
        <v>0</v>
      </c>
      <c r="X2174">
        <v>0</v>
      </c>
      <c r="Y2174" s="6">
        <v>40.700000000000003</v>
      </c>
      <c r="Z2174">
        <v>3.4000000000000002E-2</v>
      </c>
      <c r="AA2174">
        <v>5.8999999999999997E-2</v>
      </c>
      <c r="AB2174">
        <v>0.05</v>
      </c>
      <c r="AC2174">
        <v>6</v>
      </c>
      <c r="AD2174" s="6">
        <v>60</v>
      </c>
      <c r="AE2174" s="6">
        <v>40</v>
      </c>
      <c r="AF2174" s="6">
        <v>0</v>
      </c>
      <c r="AG2174" s="6">
        <v>85.87</v>
      </c>
      <c r="AH2174" s="6">
        <v>110.59</v>
      </c>
      <c r="AI2174" s="6">
        <f t="shared" si="66"/>
        <v>24.72</v>
      </c>
      <c r="AJ2174" s="5">
        <f t="shared" si="67"/>
        <v>0.22352834795189436</v>
      </c>
    </row>
    <row r="2175" spans="1:36">
      <c r="A2175" t="s">
        <v>291</v>
      </c>
      <c r="B2175" t="s">
        <v>2460</v>
      </c>
      <c r="C2175" t="s">
        <v>108</v>
      </c>
      <c r="D2175" t="s">
        <v>77</v>
      </c>
      <c r="E2175" t="s">
        <v>55</v>
      </c>
      <c r="F2175">
        <v>0</v>
      </c>
      <c r="G2175">
        <v>1472</v>
      </c>
      <c r="H2175">
        <v>1</v>
      </c>
      <c r="I2175" t="s">
        <v>220</v>
      </c>
      <c r="J2175">
        <v>2</v>
      </c>
      <c r="K2175" s="6">
        <v>4.17</v>
      </c>
      <c r="L2175" t="s">
        <v>174</v>
      </c>
      <c r="M2175">
        <v>0</v>
      </c>
      <c r="N2175" t="s">
        <v>187</v>
      </c>
      <c r="O2175">
        <v>2</v>
      </c>
      <c r="P2175">
        <v>0</v>
      </c>
      <c r="Q2175" s="6">
        <v>80.900000000000006</v>
      </c>
      <c r="R2175">
        <v>0</v>
      </c>
      <c r="S2175" s="6">
        <v>0</v>
      </c>
      <c r="T2175">
        <v>0</v>
      </c>
      <c r="U2175" s="6">
        <v>3547</v>
      </c>
      <c r="V2175">
        <v>0</v>
      </c>
      <c r="W2175">
        <v>0</v>
      </c>
      <c r="X2175">
        <v>0</v>
      </c>
      <c r="Y2175" s="6">
        <v>40.700000000000003</v>
      </c>
      <c r="Z2175">
        <v>3.4000000000000002E-2</v>
      </c>
      <c r="AA2175">
        <v>5.8999999999999997E-2</v>
      </c>
      <c r="AB2175">
        <v>0.05</v>
      </c>
      <c r="AC2175">
        <v>6</v>
      </c>
      <c r="AD2175" s="6">
        <v>50</v>
      </c>
      <c r="AE2175" s="6">
        <v>0</v>
      </c>
      <c r="AF2175" s="6">
        <v>0</v>
      </c>
      <c r="AG2175" s="6">
        <v>66.48</v>
      </c>
      <c r="AH2175" s="6">
        <v>85.2</v>
      </c>
      <c r="AI2175" s="6">
        <f t="shared" si="66"/>
        <v>18.72</v>
      </c>
      <c r="AJ2175" s="5">
        <f t="shared" si="67"/>
        <v>0.21971830985915491</v>
      </c>
    </row>
    <row r="2176" spans="1:36">
      <c r="A2176" t="s">
        <v>269</v>
      </c>
      <c r="B2176" t="s">
        <v>2461</v>
      </c>
      <c r="C2176" t="s">
        <v>108</v>
      </c>
      <c r="D2176" t="s">
        <v>77</v>
      </c>
      <c r="E2176" t="s">
        <v>55</v>
      </c>
      <c r="F2176">
        <v>0</v>
      </c>
      <c r="G2176">
        <v>1472</v>
      </c>
      <c r="H2176">
        <v>1</v>
      </c>
      <c r="I2176" t="s">
        <v>220</v>
      </c>
      <c r="J2176">
        <v>2</v>
      </c>
      <c r="K2176" s="6">
        <v>5.82</v>
      </c>
      <c r="L2176" t="s">
        <v>174</v>
      </c>
      <c r="M2176">
        <v>0</v>
      </c>
      <c r="N2176" t="s">
        <v>175</v>
      </c>
      <c r="O2176">
        <v>1</v>
      </c>
      <c r="P2176">
        <v>0</v>
      </c>
      <c r="Q2176" s="6">
        <v>27.3</v>
      </c>
      <c r="R2176">
        <v>0</v>
      </c>
      <c r="S2176" s="6">
        <v>0</v>
      </c>
      <c r="T2176">
        <v>0</v>
      </c>
      <c r="U2176" s="6">
        <v>2686</v>
      </c>
      <c r="V2176">
        <v>1</v>
      </c>
      <c r="W2176">
        <v>0</v>
      </c>
      <c r="X2176">
        <v>0</v>
      </c>
      <c r="Y2176" s="6">
        <v>40.700000000000003</v>
      </c>
      <c r="Z2176">
        <v>3.4000000000000002E-2</v>
      </c>
      <c r="AA2176">
        <v>5.8999999999999997E-2</v>
      </c>
      <c r="AB2176">
        <v>0.05</v>
      </c>
      <c r="AC2176">
        <v>6</v>
      </c>
      <c r="AD2176" s="6">
        <v>50</v>
      </c>
      <c r="AE2176" s="6">
        <v>0</v>
      </c>
      <c r="AF2176" s="6">
        <v>0</v>
      </c>
      <c r="AG2176" s="6">
        <v>102.43</v>
      </c>
      <c r="AH2176" s="6">
        <v>131.58000000000001</v>
      </c>
      <c r="AI2176" s="6">
        <f t="shared" si="66"/>
        <v>29.150000000000006</v>
      </c>
      <c r="AJ2176" s="5">
        <f t="shared" si="67"/>
        <v>0.22153822769417847</v>
      </c>
    </row>
    <row r="2177" spans="1:36">
      <c r="A2177" t="s">
        <v>348</v>
      </c>
      <c r="B2177" t="s">
        <v>2462</v>
      </c>
      <c r="C2177" t="s">
        <v>108</v>
      </c>
      <c r="D2177" t="s">
        <v>77</v>
      </c>
      <c r="E2177" t="s">
        <v>55</v>
      </c>
      <c r="F2177">
        <v>0</v>
      </c>
      <c r="G2177">
        <v>1472</v>
      </c>
      <c r="H2177">
        <v>1</v>
      </c>
      <c r="I2177" t="s">
        <v>173</v>
      </c>
      <c r="J2177">
        <v>1</v>
      </c>
      <c r="K2177" s="6">
        <v>1.58</v>
      </c>
      <c r="L2177" t="s">
        <v>174</v>
      </c>
      <c r="M2177">
        <v>0</v>
      </c>
      <c r="N2177" t="s">
        <v>175</v>
      </c>
      <c r="O2177">
        <v>1</v>
      </c>
      <c r="P2177">
        <v>1</v>
      </c>
      <c r="Q2177" s="6">
        <v>35.4</v>
      </c>
      <c r="R2177">
        <v>0</v>
      </c>
      <c r="S2177" s="6">
        <v>0</v>
      </c>
      <c r="T2177">
        <v>0</v>
      </c>
      <c r="U2177" s="6">
        <v>513</v>
      </c>
      <c r="V2177">
        <v>0</v>
      </c>
      <c r="W2177">
        <v>1</v>
      </c>
      <c r="X2177">
        <v>0</v>
      </c>
      <c r="Y2177" s="6">
        <v>40.700000000000003</v>
      </c>
      <c r="Z2177">
        <v>3.4000000000000002E-2</v>
      </c>
      <c r="AA2177">
        <v>5.8999999999999997E-2</v>
      </c>
      <c r="AB2177">
        <v>0.05</v>
      </c>
      <c r="AC2177">
        <v>6</v>
      </c>
      <c r="AD2177" s="6">
        <v>50</v>
      </c>
      <c r="AE2177" s="6">
        <v>0</v>
      </c>
      <c r="AF2177" s="6">
        <v>0</v>
      </c>
      <c r="AG2177" s="6">
        <v>102.49</v>
      </c>
      <c r="AH2177" s="6">
        <v>129.66999999999999</v>
      </c>
      <c r="AI2177" s="6">
        <f t="shared" si="66"/>
        <v>27.179999999999993</v>
      </c>
      <c r="AJ2177" s="5">
        <f t="shared" si="67"/>
        <v>0.20960900748052747</v>
      </c>
    </row>
    <row r="2178" spans="1:36">
      <c r="A2178" t="s">
        <v>185</v>
      </c>
      <c r="B2178" t="s">
        <v>2463</v>
      </c>
      <c r="C2178" t="s">
        <v>108</v>
      </c>
      <c r="D2178" t="s">
        <v>77</v>
      </c>
      <c r="E2178" t="s">
        <v>55</v>
      </c>
      <c r="F2178">
        <v>0</v>
      </c>
      <c r="G2178">
        <v>1472</v>
      </c>
      <c r="H2178">
        <v>1</v>
      </c>
      <c r="I2178" t="s">
        <v>181</v>
      </c>
      <c r="J2178">
        <v>3</v>
      </c>
      <c r="K2178" s="6">
        <v>8.25</v>
      </c>
      <c r="L2178" t="s">
        <v>174</v>
      </c>
      <c r="M2178">
        <v>0</v>
      </c>
      <c r="N2178" t="s">
        <v>175</v>
      </c>
      <c r="O2178">
        <v>1</v>
      </c>
      <c r="P2178">
        <v>0</v>
      </c>
      <c r="Q2178" s="6">
        <v>36.799999999999997</v>
      </c>
      <c r="R2178">
        <v>0</v>
      </c>
      <c r="S2178" s="6">
        <v>0</v>
      </c>
      <c r="T2178">
        <v>0</v>
      </c>
      <c r="U2178" s="6">
        <v>662</v>
      </c>
      <c r="V2178">
        <v>0</v>
      </c>
      <c r="W2178">
        <v>0</v>
      </c>
      <c r="X2178">
        <v>0</v>
      </c>
      <c r="Y2178" s="6">
        <v>40.700000000000003</v>
      </c>
      <c r="Z2178">
        <v>3.4000000000000002E-2</v>
      </c>
      <c r="AA2178">
        <v>5.8999999999999997E-2</v>
      </c>
      <c r="AB2178">
        <v>0.05</v>
      </c>
      <c r="AC2178">
        <v>6</v>
      </c>
      <c r="AD2178" s="6">
        <v>60</v>
      </c>
      <c r="AE2178" s="6">
        <v>0</v>
      </c>
      <c r="AF2178" s="6">
        <v>0</v>
      </c>
      <c r="AG2178" s="6">
        <v>90.86</v>
      </c>
      <c r="AH2178" s="6">
        <v>113.8</v>
      </c>
      <c r="AI2178" s="6">
        <f t="shared" ref="AI2178:AI2241" si="68">AH2178-AG2178</f>
        <v>22.939999999999998</v>
      </c>
      <c r="AJ2178" s="5">
        <f t="shared" ref="AJ2178:AJ2241" si="69">IFERROR(AI2178/AH2178,0)</f>
        <v>0.20158172231985938</v>
      </c>
    </row>
    <row r="2179" spans="1:36">
      <c r="A2179" t="s">
        <v>481</v>
      </c>
      <c r="B2179" t="s">
        <v>2464</v>
      </c>
      <c r="C2179" t="s">
        <v>108</v>
      </c>
      <c r="D2179" t="s">
        <v>77</v>
      </c>
      <c r="E2179" t="s">
        <v>55</v>
      </c>
      <c r="F2179">
        <v>0</v>
      </c>
      <c r="G2179">
        <v>1472</v>
      </c>
      <c r="H2179">
        <v>1</v>
      </c>
      <c r="I2179" t="s">
        <v>173</v>
      </c>
      <c r="J2179">
        <v>1</v>
      </c>
      <c r="K2179" s="6">
        <v>2.54</v>
      </c>
      <c r="L2179" t="s">
        <v>174</v>
      </c>
      <c r="M2179">
        <v>0</v>
      </c>
      <c r="N2179" t="s">
        <v>217</v>
      </c>
      <c r="O2179">
        <v>4</v>
      </c>
      <c r="P2179">
        <v>1</v>
      </c>
      <c r="Q2179" s="6">
        <v>147.80000000000001</v>
      </c>
      <c r="R2179">
        <v>0</v>
      </c>
      <c r="S2179" s="6">
        <v>0</v>
      </c>
      <c r="T2179">
        <v>0</v>
      </c>
      <c r="U2179" s="6">
        <v>1567</v>
      </c>
      <c r="V2179">
        <v>0</v>
      </c>
      <c r="W2179">
        <v>0</v>
      </c>
      <c r="X2179">
        <v>1</v>
      </c>
      <c r="Y2179" s="6">
        <v>40.700000000000003</v>
      </c>
      <c r="Z2179">
        <v>3.4000000000000002E-2</v>
      </c>
      <c r="AA2179">
        <v>5.8999999999999997E-2</v>
      </c>
      <c r="AB2179">
        <v>0.05</v>
      </c>
      <c r="AC2179">
        <v>6</v>
      </c>
      <c r="AD2179" s="6">
        <v>50</v>
      </c>
      <c r="AE2179" s="6">
        <v>0</v>
      </c>
      <c r="AF2179" s="6">
        <v>0</v>
      </c>
      <c r="AG2179" s="6">
        <v>106.17</v>
      </c>
      <c r="AH2179" s="6">
        <v>137.4</v>
      </c>
      <c r="AI2179" s="6">
        <f t="shared" si="68"/>
        <v>31.230000000000004</v>
      </c>
      <c r="AJ2179" s="5">
        <f t="shared" si="69"/>
        <v>0.22729257641921399</v>
      </c>
    </row>
    <row r="2180" spans="1:36">
      <c r="A2180" t="s">
        <v>300</v>
      </c>
      <c r="B2180" t="s">
        <v>2465</v>
      </c>
      <c r="C2180" t="s">
        <v>108</v>
      </c>
      <c r="D2180" t="s">
        <v>77</v>
      </c>
      <c r="E2180" t="s">
        <v>55</v>
      </c>
      <c r="F2180">
        <v>0</v>
      </c>
      <c r="G2180">
        <v>1472</v>
      </c>
      <c r="H2180">
        <v>1</v>
      </c>
      <c r="I2180" t="s">
        <v>220</v>
      </c>
      <c r="J2180">
        <v>2</v>
      </c>
      <c r="K2180" s="6">
        <v>2.9</v>
      </c>
      <c r="L2180" t="s">
        <v>174</v>
      </c>
      <c r="M2180">
        <v>0</v>
      </c>
      <c r="N2180" t="s">
        <v>187</v>
      </c>
      <c r="O2180">
        <v>2</v>
      </c>
      <c r="P2180">
        <v>0</v>
      </c>
      <c r="Q2180" s="6">
        <v>62.6</v>
      </c>
      <c r="R2180">
        <v>0</v>
      </c>
      <c r="S2180" s="6">
        <v>0</v>
      </c>
      <c r="T2180">
        <v>0</v>
      </c>
      <c r="U2180" s="6">
        <v>3929</v>
      </c>
      <c r="V2180">
        <v>0</v>
      </c>
      <c r="W2180">
        <v>0</v>
      </c>
      <c r="X2180">
        <v>0</v>
      </c>
      <c r="Y2180" s="6">
        <v>40.700000000000003</v>
      </c>
      <c r="Z2180">
        <v>3.4000000000000002E-2</v>
      </c>
      <c r="AA2180">
        <v>5.8999999999999997E-2</v>
      </c>
      <c r="AB2180">
        <v>0.05</v>
      </c>
      <c r="AC2180">
        <v>6</v>
      </c>
      <c r="AD2180" s="6">
        <v>50</v>
      </c>
      <c r="AE2180" s="6">
        <v>0</v>
      </c>
      <c r="AF2180" s="6">
        <v>0</v>
      </c>
      <c r="AG2180" s="6">
        <v>61.13</v>
      </c>
      <c r="AH2180" s="6">
        <v>79.92</v>
      </c>
      <c r="AI2180" s="6">
        <f t="shared" si="68"/>
        <v>18.79</v>
      </c>
      <c r="AJ2180" s="5">
        <f t="shared" si="69"/>
        <v>0.2351101101101101</v>
      </c>
    </row>
    <row r="2181" spans="1:36">
      <c r="A2181" t="s">
        <v>258</v>
      </c>
      <c r="B2181" t="s">
        <v>2466</v>
      </c>
      <c r="C2181" t="s">
        <v>108</v>
      </c>
      <c r="D2181" t="s">
        <v>77</v>
      </c>
      <c r="E2181" t="s">
        <v>55</v>
      </c>
      <c r="F2181">
        <v>0</v>
      </c>
      <c r="G2181">
        <v>1472</v>
      </c>
      <c r="H2181">
        <v>1</v>
      </c>
      <c r="I2181" t="s">
        <v>173</v>
      </c>
      <c r="J2181">
        <v>1</v>
      </c>
      <c r="K2181" s="6">
        <v>1.95</v>
      </c>
      <c r="L2181" t="s">
        <v>174</v>
      </c>
      <c r="M2181">
        <v>0</v>
      </c>
      <c r="N2181" t="s">
        <v>175</v>
      </c>
      <c r="O2181">
        <v>1</v>
      </c>
      <c r="P2181">
        <v>0</v>
      </c>
      <c r="Q2181" s="6">
        <v>43.1</v>
      </c>
      <c r="R2181">
        <v>0</v>
      </c>
      <c r="S2181" s="6">
        <v>0</v>
      </c>
      <c r="T2181">
        <v>0</v>
      </c>
      <c r="U2181" s="6">
        <v>1895</v>
      </c>
      <c r="V2181">
        <v>0</v>
      </c>
      <c r="W2181">
        <v>0</v>
      </c>
      <c r="X2181">
        <v>0</v>
      </c>
      <c r="Y2181" s="6">
        <v>40.700000000000003</v>
      </c>
      <c r="Z2181">
        <v>3.4000000000000002E-2</v>
      </c>
      <c r="AA2181">
        <v>5.8999999999999997E-2</v>
      </c>
      <c r="AB2181">
        <v>0.05</v>
      </c>
      <c r="AC2181">
        <v>6</v>
      </c>
      <c r="AD2181" s="6">
        <v>50</v>
      </c>
      <c r="AE2181" s="6">
        <v>0</v>
      </c>
      <c r="AF2181" s="6">
        <v>0</v>
      </c>
      <c r="AG2181" s="6">
        <v>53.25</v>
      </c>
      <c r="AH2181" s="6">
        <v>70.16</v>
      </c>
      <c r="AI2181" s="6">
        <f t="shared" si="68"/>
        <v>16.909999999999997</v>
      </c>
      <c r="AJ2181" s="5">
        <f t="shared" si="69"/>
        <v>0.24102052451539335</v>
      </c>
    </row>
    <row r="2182" spans="1:36">
      <c r="A2182" t="s">
        <v>311</v>
      </c>
      <c r="B2182" t="s">
        <v>2467</v>
      </c>
      <c r="C2182" t="s">
        <v>108</v>
      </c>
      <c r="D2182" t="s">
        <v>77</v>
      </c>
      <c r="E2182" t="s">
        <v>55</v>
      </c>
      <c r="F2182">
        <v>0</v>
      </c>
      <c r="G2182">
        <v>1472</v>
      </c>
      <c r="H2182">
        <v>1</v>
      </c>
      <c r="I2182" t="s">
        <v>181</v>
      </c>
      <c r="J2182">
        <v>3</v>
      </c>
      <c r="K2182" s="6">
        <v>9.19</v>
      </c>
      <c r="L2182" t="s">
        <v>174</v>
      </c>
      <c r="M2182">
        <v>0</v>
      </c>
      <c r="N2182" t="s">
        <v>187</v>
      </c>
      <c r="O2182">
        <v>2</v>
      </c>
      <c r="P2182">
        <v>0</v>
      </c>
      <c r="Q2182" s="6">
        <v>58.9</v>
      </c>
      <c r="R2182">
        <v>1</v>
      </c>
      <c r="S2182" s="6">
        <v>687</v>
      </c>
      <c r="T2182">
        <v>0</v>
      </c>
      <c r="U2182" s="6">
        <v>2014</v>
      </c>
      <c r="V2182">
        <v>0</v>
      </c>
      <c r="W2182">
        <v>0</v>
      </c>
      <c r="X2182">
        <v>0</v>
      </c>
      <c r="Y2182" s="6">
        <v>40.700000000000003</v>
      </c>
      <c r="Z2182">
        <v>3.4000000000000002E-2</v>
      </c>
      <c r="AA2182">
        <v>5.8999999999999997E-2</v>
      </c>
      <c r="AB2182">
        <v>0.05</v>
      </c>
      <c r="AC2182">
        <v>6</v>
      </c>
      <c r="AD2182" s="6">
        <v>60</v>
      </c>
      <c r="AE2182" s="6">
        <v>25</v>
      </c>
      <c r="AF2182" s="6">
        <v>0</v>
      </c>
      <c r="AG2182" s="6">
        <v>96.3</v>
      </c>
      <c r="AH2182" s="6">
        <v>122.99</v>
      </c>
      <c r="AI2182" s="6">
        <f t="shared" si="68"/>
        <v>26.689999999999998</v>
      </c>
      <c r="AJ2182" s="5">
        <f t="shared" si="69"/>
        <v>0.21700951296853402</v>
      </c>
    </row>
    <row r="2183" spans="1:36">
      <c r="A2183" t="s">
        <v>300</v>
      </c>
      <c r="B2183" t="s">
        <v>2468</v>
      </c>
      <c r="C2183" t="s">
        <v>108</v>
      </c>
      <c r="D2183" t="s">
        <v>77</v>
      </c>
      <c r="E2183" t="s">
        <v>55</v>
      </c>
      <c r="F2183">
        <v>0</v>
      </c>
      <c r="G2183">
        <v>1472</v>
      </c>
      <c r="H2183">
        <v>1</v>
      </c>
      <c r="I2183" t="s">
        <v>173</v>
      </c>
      <c r="J2183">
        <v>1</v>
      </c>
      <c r="K2183" s="6">
        <v>1.37</v>
      </c>
      <c r="L2183" t="s">
        <v>174</v>
      </c>
      <c r="M2183">
        <v>0</v>
      </c>
      <c r="N2183" t="s">
        <v>175</v>
      </c>
      <c r="O2183">
        <v>1</v>
      </c>
      <c r="P2183">
        <v>0</v>
      </c>
      <c r="Q2183" s="6">
        <v>36.6</v>
      </c>
      <c r="R2183">
        <v>0</v>
      </c>
      <c r="S2183" s="6">
        <v>0</v>
      </c>
      <c r="T2183">
        <v>0</v>
      </c>
      <c r="U2183" s="6">
        <v>1547</v>
      </c>
      <c r="V2183">
        <v>0</v>
      </c>
      <c r="W2183">
        <v>0</v>
      </c>
      <c r="X2183">
        <v>0</v>
      </c>
      <c r="Y2183" s="6">
        <v>40.700000000000003</v>
      </c>
      <c r="Z2183">
        <v>3.4000000000000002E-2</v>
      </c>
      <c r="AA2183">
        <v>5.8999999999999997E-2</v>
      </c>
      <c r="AB2183">
        <v>0.05</v>
      </c>
      <c r="AC2183">
        <v>6</v>
      </c>
      <c r="AD2183" s="6">
        <v>50</v>
      </c>
      <c r="AE2183" s="6">
        <v>0</v>
      </c>
      <c r="AF2183" s="6">
        <v>0</v>
      </c>
      <c r="AG2183" s="6">
        <v>47.75</v>
      </c>
      <c r="AH2183" s="6">
        <v>63.02</v>
      </c>
      <c r="AI2183" s="6">
        <f t="shared" si="68"/>
        <v>15.270000000000003</v>
      </c>
      <c r="AJ2183" s="5">
        <f t="shared" si="69"/>
        <v>0.24230403046651861</v>
      </c>
    </row>
    <row r="2184" spans="1:36">
      <c r="A2184" t="s">
        <v>469</v>
      </c>
      <c r="B2184" t="s">
        <v>2469</v>
      </c>
      <c r="C2184" t="s">
        <v>108</v>
      </c>
      <c r="D2184" t="s">
        <v>77</v>
      </c>
      <c r="E2184" t="s">
        <v>55</v>
      </c>
      <c r="F2184">
        <v>0</v>
      </c>
      <c r="G2184">
        <v>1472</v>
      </c>
      <c r="H2184">
        <v>1</v>
      </c>
      <c r="I2184" t="s">
        <v>173</v>
      </c>
      <c r="J2184">
        <v>1</v>
      </c>
      <c r="K2184" s="6">
        <v>2.81</v>
      </c>
      <c r="L2184" t="s">
        <v>174</v>
      </c>
      <c r="M2184">
        <v>0</v>
      </c>
      <c r="N2184" t="s">
        <v>187</v>
      </c>
      <c r="O2184">
        <v>2</v>
      </c>
      <c r="P2184">
        <v>0</v>
      </c>
      <c r="Q2184" s="6">
        <v>44.5</v>
      </c>
      <c r="R2184">
        <v>0</v>
      </c>
      <c r="S2184" s="6">
        <v>0</v>
      </c>
      <c r="T2184">
        <v>0</v>
      </c>
      <c r="U2184" s="6">
        <v>5271</v>
      </c>
      <c r="V2184">
        <v>0</v>
      </c>
      <c r="W2184">
        <v>0</v>
      </c>
      <c r="X2184">
        <v>0</v>
      </c>
      <c r="Y2184" s="6">
        <v>40.700000000000003</v>
      </c>
      <c r="Z2184">
        <v>3.4000000000000002E-2</v>
      </c>
      <c r="AA2184">
        <v>5.8999999999999997E-2</v>
      </c>
      <c r="AB2184">
        <v>0.05</v>
      </c>
      <c r="AC2184">
        <v>6</v>
      </c>
      <c r="AD2184" s="6">
        <v>50</v>
      </c>
      <c r="AE2184" s="6">
        <v>0</v>
      </c>
      <c r="AF2184" s="6">
        <v>0</v>
      </c>
      <c r="AG2184" s="6">
        <v>59.6</v>
      </c>
      <c r="AH2184" s="6">
        <v>77.11</v>
      </c>
      <c r="AI2184" s="6">
        <f t="shared" si="68"/>
        <v>17.509999999999998</v>
      </c>
      <c r="AJ2184" s="5">
        <f t="shared" si="69"/>
        <v>0.22707819997406301</v>
      </c>
    </row>
    <row r="2185" spans="1:36">
      <c r="A2185" t="s">
        <v>230</v>
      </c>
      <c r="B2185" t="s">
        <v>2470</v>
      </c>
      <c r="C2185" t="s">
        <v>108</v>
      </c>
      <c r="D2185" t="s">
        <v>77</v>
      </c>
      <c r="E2185" t="s">
        <v>55</v>
      </c>
      <c r="F2185">
        <v>0</v>
      </c>
      <c r="G2185">
        <v>1472</v>
      </c>
      <c r="H2185">
        <v>1</v>
      </c>
      <c r="I2185" t="s">
        <v>181</v>
      </c>
      <c r="J2185">
        <v>3</v>
      </c>
      <c r="K2185" s="6">
        <v>6.85</v>
      </c>
      <c r="L2185" t="s">
        <v>174</v>
      </c>
      <c r="M2185">
        <v>0</v>
      </c>
      <c r="N2185" t="s">
        <v>182</v>
      </c>
      <c r="O2185">
        <v>3</v>
      </c>
      <c r="P2185">
        <v>0</v>
      </c>
      <c r="Q2185" s="6">
        <v>72.599999999999994</v>
      </c>
      <c r="R2185">
        <v>1</v>
      </c>
      <c r="S2185" s="6">
        <v>2033</v>
      </c>
      <c r="T2185">
        <v>0</v>
      </c>
      <c r="U2185" s="6">
        <v>1313</v>
      </c>
      <c r="V2185">
        <v>0</v>
      </c>
      <c r="W2185">
        <v>0</v>
      </c>
      <c r="X2185">
        <v>0</v>
      </c>
      <c r="Y2185" s="6">
        <v>40.700000000000003</v>
      </c>
      <c r="Z2185">
        <v>3.4000000000000002E-2</v>
      </c>
      <c r="AA2185">
        <v>5.8999999999999997E-2</v>
      </c>
      <c r="AB2185">
        <v>0.05</v>
      </c>
      <c r="AC2185">
        <v>6</v>
      </c>
      <c r="AD2185" s="6">
        <v>60</v>
      </c>
      <c r="AE2185" s="6">
        <v>40</v>
      </c>
      <c r="AF2185" s="6">
        <v>0</v>
      </c>
      <c r="AG2185" s="6">
        <v>93.98</v>
      </c>
      <c r="AH2185" s="6">
        <v>120.36</v>
      </c>
      <c r="AI2185" s="6">
        <f t="shared" si="68"/>
        <v>26.379999999999995</v>
      </c>
      <c r="AJ2185" s="5">
        <f t="shared" si="69"/>
        <v>0.21917580591558652</v>
      </c>
    </row>
    <row r="2186" spans="1:36">
      <c r="A2186" t="s">
        <v>348</v>
      </c>
      <c r="B2186" t="s">
        <v>2471</v>
      </c>
      <c r="C2186" t="s">
        <v>108</v>
      </c>
      <c r="D2186" t="s">
        <v>77</v>
      </c>
      <c r="E2186" t="s">
        <v>55</v>
      </c>
      <c r="F2186">
        <v>0</v>
      </c>
      <c r="G2186">
        <v>1472</v>
      </c>
      <c r="H2186">
        <v>1</v>
      </c>
      <c r="I2186" t="s">
        <v>173</v>
      </c>
      <c r="J2186">
        <v>1</v>
      </c>
      <c r="K2186" s="6">
        <v>1.74</v>
      </c>
      <c r="L2186" t="s">
        <v>174</v>
      </c>
      <c r="M2186">
        <v>0</v>
      </c>
      <c r="N2186" t="s">
        <v>175</v>
      </c>
      <c r="O2186">
        <v>1</v>
      </c>
      <c r="P2186">
        <v>0</v>
      </c>
      <c r="Q2186" s="6">
        <v>40.4</v>
      </c>
      <c r="R2186">
        <v>1</v>
      </c>
      <c r="S2186" s="6">
        <v>2033</v>
      </c>
      <c r="T2186">
        <v>0</v>
      </c>
      <c r="U2186" s="6">
        <v>2874</v>
      </c>
      <c r="V2186">
        <v>0</v>
      </c>
      <c r="W2186">
        <v>0</v>
      </c>
      <c r="X2186">
        <v>0</v>
      </c>
      <c r="Y2186" s="6">
        <v>40.700000000000003</v>
      </c>
      <c r="Z2186">
        <v>3.4000000000000002E-2</v>
      </c>
      <c r="AA2186">
        <v>5.8999999999999997E-2</v>
      </c>
      <c r="AB2186">
        <v>0.05</v>
      </c>
      <c r="AC2186">
        <v>6</v>
      </c>
      <c r="AD2186" s="6">
        <v>50</v>
      </c>
      <c r="AE2186" s="6">
        <v>40</v>
      </c>
      <c r="AF2186" s="6">
        <v>0</v>
      </c>
      <c r="AG2186" s="6">
        <v>57.71</v>
      </c>
      <c r="AH2186" s="6">
        <v>74.47</v>
      </c>
      <c r="AI2186" s="6">
        <f t="shared" si="68"/>
        <v>16.759999999999998</v>
      </c>
      <c r="AJ2186" s="5">
        <f t="shared" si="69"/>
        <v>0.22505706996105812</v>
      </c>
    </row>
    <row r="2187" spans="1:36">
      <c r="A2187" t="s">
        <v>306</v>
      </c>
      <c r="B2187" t="s">
        <v>2472</v>
      </c>
      <c r="C2187" t="s">
        <v>108</v>
      </c>
      <c r="D2187" t="s">
        <v>77</v>
      </c>
      <c r="E2187" t="s">
        <v>55</v>
      </c>
      <c r="F2187">
        <v>0</v>
      </c>
      <c r="G2187">
        <v>1472</v>
      </c>
      <c r="H2187">
        <v>1</v>
      </c>
      <c r="I2187" t="s">
        <v>173</v>
      </c>
      <c r="J2187">
        <v>1</v>
      </c>
      <c r="K2187" s="6">
        <v>1.61</v>
      </c>
      <c r="L2187" t="s">
        <v>174</v>
      </c>
      <c r="M2187">
        <v>0</v>
      </c>
      <c r="N2187" t="s">
        <v>187</v>
      </c>
      <c r="O2187">
        <v>2</v>
      </c>
      <c r="P2187">
        <v>0</v>
      </c>
      <c r="Q2187" s="6">
        <v>48.5</v>
      </c>
      <c r="R2187">
        <v>0</v>
      </c>
      <c r="S2187" s="6">
        <v>0</v>
      </c>
      <c r="T2187">
        <v>0</v>
      </c>
      <c r="U2187" s="6">
        <v>5798</v>
      </c>
      <c r="V2187">
        <v>0</v>
      </c>
      <c r="W2187">
        <v>0</v>
      </c>
      <c r="X2187">
        <v>0</v>
      </c>
      <c r="Y2187" s="6">
        <v>40.700000000000003</v>
      </c>
      <c r="Z2187">
        <v>3.4000000000000002E-2</v>
      </c>
      <c r="AA2187">
        <v>5.8999999999999997E-2</v>
      </c>
      <c r="AB2187">
        <v>0.05</v>
      </c>
      <c r="AC2187">
        <v>6</v>
      </c>
      <c r="AD2187" s="6">
        <v>50</v>
      </c>
      <c r="AE2187" s="6">
        <v>0</v>
      </c>
      <c r="AF2187" s="6">
        <v>0</v>
      </c>
      <c r="AG2187" s="6">
        <v>55.11</v>
      </c>
      <c r="AH2187" s="6">
        <v>69</v>
      </c>
      <c r="AI2187" s="6">
        <f t="shared" si="68"/>
        <v>13.89</v>
      </c>
      <c r="AJ2187" s="5">
        <f t="shared" si="69"/>
        <v>0.20130434782608697</v>
      </c>
    </row>
    <row r="2188" spans="1:36">
      <c r="A2188" t="s">
        <v>765</v>
      </c>
      <c r="B2188" t="s">
        <v>2473</v>
      </c>
      <c r="C2188" t="s">
        <v>108</v>
      </c>
      <c r="D2188" t="s">
        <v>77</v>
      </c>
      <c r="E2188" t="s">
        <v>55</v>
      </c>
      <c r="F2188">
        <v>0</v>
      </c>
      <c r="G2188">
        <v>1472</v>
      </c>
      <c r="H2188">
        <v>1</v>
      </c>
      <c r="I2188" t="s">
        <v>173</v>
      </c>
      <c r="J2188">
        <v>1</v>
      </c>
      <c r="K2188" s="6">
        <v>2.15</v>
      </c>
      <c r="L2188" t="s">
        <v>174</v>
      </c>
      <c r="M2188">
        <v>0</v>
      </c>
      <c r="N2188" t="s">
        <v>187</v>
      </c>
      <c r="O2188">
        <v>2</v>
      </c>
      <c r="P2188">
        <v>0</v>
      </c>
      <c r="Q2188" s="6">
        <v>70.8</v>
      </c>
      <c r="R2188">
        <v>0</v>
      </c>
      <c r="S2188" s="6">
        <v>0</v>
      </c>
      <c r="T2188">
        <v>0</v>
      </c>
      <c r="U2188" s="6">
        <v>1132</v>
      </c>
      <c r="V2188">
        <v>0</v>
      </c>
      <c r="W2188">
        <v>0</v>
      </c>
      <c r="X2188">
        <v>0</v>
      </c>
      <c r="Y2188" s="6">
        <v>40.700000000000003</v>
      </c>
      <c r="Z2188">
        <v>3.4000000000000002E-2</v>
      </c>
      <c r="AA2188">
        <v>5.8999999999999997E-2</v>
      </c>
      <c r="AB2188">
        <v>0.05</v>
      </c>
      <c r="AC2188">
        <v>6</v>
      </c>
      <c r="AD2188" s="6">
        <v>50</v>
      </c>
      <c r="AE2188" s="6">
        <v>0</v>
      </c>
      <c r="AF2188" s="6">
        <v>0</v>
      </c>
      <c r="AG2188" s="6">
        <v>58.36</v>
      </c>
      <c r="AH2188" s="6">
        <v>74.23</v>
      </c>
      <c r="AI2188" s="6">
        <f t="shared" si="68"/>
        <v>15.870000000000005</v>
      </c>
      <c r="AJ2188" s="5">
        <f t="shared" si="69"/>
        <v>0.21379496160581979</v>
      </c>
    </row>
    <row r="2189" spans="1:36">
      <c r="A2189" t="s">
        <v>521</v>
      </c>
      <c r="B2189" t="s">
        <v>2474</v>
      </c>
      <c r="C2189" t="s">
        <v>110</v>
      </c>
      <c r="D2189" t="s">
        <v>54</v>
      </c>
      <c r="E2189" t="s">
        <v>55</v>
      </c>
      <c r="F2189">
        <v>0</v>
      </c>
      <c r="G2189">
        <v>5631</v>
      </c>
      <c r="H2189">
        <v>1</v>
      </c>
      <c r="I2189" t="s">
        <v>173</v>
      </c>
      <c r="J2189">
        <v>1</v>
      </c>
      <c r="K2189" s="6">
        <v>1.6</v>
      </c>
      <c r="L2189" t="s">
        <v>174</v>
      </c>
      <c r="M2189">
        <v>0</v>
      </c>
      <c r="N2189" t="s">
        <v>182</v>
      </c>
      <c r="O2189">
        <v>3</v>
      </c>
      <c r="P2189">
        <v>0</v>
      </c>
      <c r="Q2189" s="6">
        <v>41.1</v>
      </c>
      <c r="R2189">
        <v>0</v>
      </c>
      <c r="S2189" s="6">
        <v>0</v>
      </c>
      <c r="T2189">
        <v>0</v>
      </c>
      <c r="U2189" s="6">
        <v>9946</v>
      </c>
      <c r="V2189">
        <v>0</v>
      </c>
      <c r="W2189">
        <v>0</v>
      </c>
      <c r="X2189">
        <v>0</v>
      </c>
      <c r="Y2189" s="6">
        <v>46.5</v>
      </c>
      <c r="Z2189">
        <v>0.105</v>
      </c>
      <c r="AA2189">
        <v>4.4999999999999998E-2</v>
      </c>
      <c r="AB2189">
        <v>9.0999999999999998E-2</v>
      </c>
      <c r="AC2189">
        <v>6</v>
      </c>
      <c r="AD2189" s="6">
        <v>50</v>
      </c>
      <c r="AE2189" s="6">
        <v>0</v>
      </c>
      <c r="AF2189" s="6">
        <v>0</v>
      </c>
      <c r="AG2189" s="6">
        <v>61.78</v>
      </c>
      <c r="AH2189" s="6">
        <v>78.38</v>
      </c>
      <c r="AI2189" s="6">
        <f t="shared" si="68"/>
        <v>16.599999999999994</v>
      </c>
      <c r="AJ2189" s="5">
        <f t="shared" si="69"/>
        <v>0.21178872161265622</v>
      </c>
    </row>
    <row r="2190" spans="1:36">
      <c r="A2190" t="s">
        <v>245</v>
      </c>
      <c r="B2190" t="s">
        <v>2475</v>
      </c>
      <c r="C2190" t="s">
        <v>110</v>
      </c>
      <c r="D2190" t="s">
        <v>54</v>
      </c>
      <c r="E2190" t="s">
        <v>55</v>
      </c>
      <c r="F2190">
        <v>0</v>
      </c>
      <c r="G2190">
        <v>5631</v>
      </c>
      <c r="H2190">
        <v>1</v>
      </c>
      <c r="I2190" t="s">
        <v>220</v>
      </c>
      <c r="J2190">
        <v>2</v>
      </c>
      <c r="K2190" s="6">
        <v>4.5599999999999996</v>
      </c>
      <c r="L2190" t="s">
        <v>174</v>
      </c>
      <c r="M2190">
        <v>0</v>
      </c>
      <c r="N2190" t="s">
        <v>217</v>
      </c>
      <c r="O2190">
        <v>4</v>
      </c>
      <c r="P2190">
        <v>1</v>
      </c>
      <c r="Q2190" s="6">
        <v>164.6</v>
      </c>
      <c r="R2190">
        <v>0</v>
      </c>
      <c r="S2190" s="6">
        <v>0</v>
      </c>
      <c r="T2190">
        <v>0</v>
      </c>
      <c r="U2190" s="6">
        <v>9037</v>
      </c>
      <c r="V2190">
        <v>0</v>
      </c>
      <c r="W2190">
        <v>0</v>
      </c>
      <c r="X2190">
        <v>0</v>
      </c>
      <c r="Y2190" s="6">
        <v>46.5</v>
      </c>
      <c r="Z2190">
        <v>0.105</v>
      </c>
      <c r="AA2190">
        <v>4.4999999999999998E-2</v>
      </c>
      <c r="AB2190">
        <v>9.0999999999999998E-2</v>
      </c>
      <c r="AC2190">
        <v>6</v>
      </c>
      <c r="AD2190" s="6">
        <v>50</v>
      </c>
      <c r="AE2190" s="6">
        <v>0</v>
      </c>
      <c r="AF2190" s="6">
        <v>0</v>
      </c>
      <c r="AG2190" s="6">
        <v>106.53</v>
      </c>
      <c r="AH2190" s="6">
        <v>129.47999999999999</v>
      </c>
      <c r="AI2190" s="6">
        <f t="shared" si="68"/>
        <v>22.949999999999989</v>
      </c>
      <c r="AJ2190" s="5">
        <f t="shared" si="69"/>
        <v>0.17724745134383682</v>
      </c>
    </row>
    <row r="2191" spans="1:36">
      <c r="A2191" t="s">
        <v>494</v>
      </c>
      <c r="B2191" t="s">
        <v>2476</v>
      </c>
      <c r="C2191" t="s">
        <v>110</v>
      </c>
      <c r="D2191" t="s">
        <v>54</v>
      </c>
      <c r="E2191" t="s">
        <v>55</v>
      </c>
      <c r="F2191">
        <v>0</v>
      </c>
      <c r="G2191">
        <v>5631</v>
      </c>
      <c r="H2191">
        <v>1</v>
      </c>
      <c r="I2191" t="s">
        <v>181</v>
      </c>
      <c r="J2191">
        <v>3</v>
      </c>
      <c r="K2191" s="6">
        <v>8.49</v>
      </c>
      <c r="L2191" t="s">
        <v>174</v>
      </c>
      <c r="M2191">
        <v>0</v>
      </c>
      <c r="N2191" t="s">
        <v>175</v>
      </c>
      <c r="O2191">
        <v>1</v>
      </c>
      <c r="P2191">
        <v>0</v>
      </c>
      <c r="Q2191" s="6">
        <v>32.9</v>
      </c>
      <c r="R2191">
        <v>1</v>
      </c>
      <c r="S2191" s="6">
        <v>1724</v>
      </c>
      <c r="T2191">
        <v>0</v>
      </c>
      <c r="U2191" s="6">
        <v>3464</v>
      </c>
      <c r="V2191">
        <v>0</v>
      </c>
      <c r="W2191">
        <v>0</v>
      </c>
      <c r="X2191">
        <v>0</v>
      </c>
      <c r="Y2191" s="6">
        <v>46.5</v>
      </c>
      <c r="Z2191">
        <v>0.105</v>
      </c>
      <c r="AA2191">
        <v>4.4999999999999998E-2</v>
      </c>
      <c r="AB2191">
        <v>9.0999999999999998E-2</v>
      </c>
      <c r="AC2191">
        <v>6</v>
      </c>
      <c r="AD2191" s="6">
        <v>60</v>
      </c>
      <c r="AE2191" s="6">
        <v>25</v>
      </c>
      <c r="AF2191" s="6">
        <v>0</v>
      </c>
      <c r="AG2191" s="6">
        <v>94.8</v>
      </c>
      <c r="AH2191" s="6">
        <v>114.67</v>
      </c>
      <c r="AI2191" s="6">
        <f t="shared" si="68"/>
        <v>19.870000000000005</v>
      </c>
      <c r="AJ2191" s="5">
        <f t="shared" si="69"/>
        <v>0.17327984651608969</v>
      </c>
    </row>
    <row r="2192" spans="1:36">
      <c r="A2192" t="s">
        <v>311</v>
      </c>
      <c r="B2192" t="s">
        <v>2477</v>
      </c>
      <c r="C2192" t="s">
        <v>110</v>
      </c>
      <c r="D2192" t="s">
        <v>54</v>
      </c>
      <c r="E2192" t="s">
        <v>55</v>
      </c>
      <c r="F2192">
        <v>0</v>
      </c>
      <c r="G2192">
        <v>5631</v>
      </c>
      <c r="H2192">
        <v>1</v>
      </c>
      <c r="I2192" t="s">
        <v>220</v>
      </c>
      <c r="J2192">
        <v>2</v>
      </c>
      <c r="K2192" s="6">
        <v>3.42</v>
      </c>
      <c r="L2192" t="s">
        <v>174</v>
      </c>
      <c r="M2192">
        <v>0</v>
      </c>
      <c r="N2192" t="s">
        <v>175</v>
      </c>
      <c r="O2192">
        <v>1</v>
      </c>
      <c r="P2192">
        <v>0</v>
      </c>
      <c r="Q2192" s="6">
        <v>40.4</v>
      </c>
      <c r="R2192">
        <v>1</v>
      </c>
      <c r="S2192" s="6">
        <v>6345</v>
      </c>
      <c r="T2192">
        <v>0</v>
      </c>
      <c r="U2192" s="6">
        <v>3544</v>
      </c>
      <c r="V2192">
        <v>0</v>
      </c>
      <c r="W2192">
        <v>0</v>
      </c>
      <c r="X2192">
        <v>0</v>
      </c>
      <c r="Y2192" s="6">
        <v>46.5</v>
      </c>
      <c r="Z2192">
        <v>0.105</v>
      </c>
      <c r="AA2192">
        <v>4.4999999999999998E-2</v>
      </c>
      <c r="AB2192">
        <v>9.0999999999999998E-2</v>
      </c>
      <c r="AC2192">
        <v>6</v>
      </c>
      <c r="AD2192" s="6">
        <v>50</v>
      </c>
      <c r="AE2192" s="6">
        <v>50</v>
      </c>
      <c r="AF2192" s="6">
        <v>0</v>
      </c>
      <c r="AG2192" s="6">
        <v>57.09</v>
      </c>
      <c r="AH2192" s="6">
        <v>69.430000000000007</v>
      </c>
      <c r="AI2192" s="6">
        <f t="shared" si="68"/>
        <v>12.340000000000003</v>
      </c>
      <c r="AJ2192" s="5">
        <f t="shared" si="69"/>
        <v>0.17773296845743919</v>
      </c>
    </row>
    <row r="2193" spans="1:36">
      <c r="A2193" t="s">
        <v>269</v>
      </c>
      <c r="B2193" t="s">
        <v>2478</v>
      </c>
      <c r="C2193" t="s">
        <v>110</v>
      </c>
      <c r="D2193" t="s">
        <v>54</v>
      </c>
      <c r="E2193" t="s">
        <v>55</v>
      </c>
      <c r="F2193">
        <v>0</v>
      </c>
      <c r="G2193">
        <v>5631</v>
      </c>
      <c r="H2193">
        <v>1</v>
      </c>
      <c r="I2193" t="s">
        <v>220</v>
      </c>
      <c r="J2193">
        <v>2</v>
      </c>
      <c r="K2193" s="6">
        <v>5.73</v>
      </c>
      <c r="L2193" t="s">
        <v>174</v>
      </c>
      <c r="M2193">
        <v>0</v>
      </c>
      <c r="N2193" t="s">
        <v>182</v>
      </c>
      <c r="O2193">
        <v>3</v>
      </c>
      <c r="P2193">
        <v>0</v>
      </c>
      <c r="Q2193" s="6">
        <v>94.8</v>
      </c>
      <c r="R2193">
        <v>1</v>
      </c>
      <c r="S2193" s="6">
        <v>809</v>
      </c>
      <c r="T2193">
        <v>0</v>
      </c>
      <c r="U2193" s="6">
        <v>6153</v>
      </c>
      <c r="V2193">
        <v>0</v>
      </c>
      <c r="W2193">
        <v>0</v>
      </c>
      <c r="X2193">
        <v>0</v>
      </c>
      <c r="Y2193" s="6">
        <v>46.5</v>
      </c>
      <c r="Z2193">
        <v>0.105</v>
      </c>
      <c r="AA2193">
        <v>4.4999999999999998E-2</v>
      </c>
      <c r="AB2193">
        <v>9.0999999999999998E-2</v>
      </c>
      <c r="AC2193">
        <v>6</v>
      </c>
      <c r="AD2193" s="6">
        <v>50</v>
      </c>
      <c r="AE2193" s="6">
        <v>25</v>
      </c>
      <c r="AF2193" s="6">
        <v>0</v>
      </c>
      <c r="AG2193" s="6">
        <v>73.900000000000006</v>
      </c>
      <c r="AH2193" s="6">
        <v>90.12</v>
      </c>
      <c r="AI2193" s="6">
        <f t="shared" si="68"/>
        <v>16.22</v>
      </c>
      <c r="AJ2193" s="5">
        <f t="shared" si="69"/>
        <v>0.17998224589436304</v>
      </c>
    </row>
    <row r="2194" spans="1:36">
      <c r="A2194" t="s">
        <v>230</v>
      </c>
      <c r="B2194" t="s">
        <v>2479</v>
      </c>
      <c r="C2194" t="s">
        <v>110</v>
      </c>
      <c r="D2194" t="s">
        <v>54</v>
      </c>
      <c r="E2194" t="s">
        <v>55</v>
      </c>
      <c r="F2194">
        <v>0</v>
      </c>
      <c r="G2194">
        <v>5631</v>
      </c>
      <c r="H2194">
        <v>1</v>
      </c>
      <c r="I2194" t="s">
        <v>220</v>
      </c>
      <c r="J2194">
        <v>2</v>
      </c>
      <c r="K2194" s="6">
        <v>2.99</v>
      </c>
      <c r="L2194" t="s">
        <v>174</v>
      </c>
      <c r="M2194">
        <v>0</v>
      </c>
      <c r="N2194" t="s">
        <v>182</v>
      </c>
      <c r="O2194">
        <v>3</v>
      </c>
      <c r="P2194">
        <v>1</v>
      </c>
      <c r="Q2194" s="6">
        <v>95.8</v>
      </c>
      <c r="R2194">
        <v>0</v>
      </c>
      <c r="S2194" s="6">
        <v>0</v>
      </c>
      <c r="T2194">
        <v>0</v>
      </c>
      <c r="U2194" s="6">
        <v>3188</v>
      </c>
      <c r="V2194">
        <v>0</v>
      </c>
      <c r="W2194">
        <v>0</v>
      </c>
      <c r="X2194">
        <v>0</v>
      </c>
      <c r="Y2194" s="6">
        <v>46.5</v>
      </c>
      <c r="Z2194">
        <v>0.105</v>
      </c>
      <c r="AA2194">
        <v>4.4999999999999998E-2</v>
      </c>
      <c r="AB2194">
        <v>9.0999999999999998E-2</v>
      </c>
      <c r="AC2194">
        <v>6</v>
      </c>
      <c r="AD2194" s="6">
        <v>50</v>
      </c>
      <c r="AE2194" s="6">
        <v>0</v>
      </c>
      <c r="AF2194" s="6">
        <v>0</v>
      </c>
      <c r="AG2194" s="6">
        <v>76.63</v>
      </c>
      <c r="AH2194" s="6">
        <v>94.93</v>
      </c>
      <c r="AI2194" s="6">
        <f t="shared" si="68"/>
        <v>18.300000000000011</v>
      </c>
      <c r="AJ2194" s="5">
        <f t="shared" si="69"/>
        <v>0.1927736226693354</v>
      </c>
    </row>
    <row r="2195" spans="1:36">
      <c r="A2195" t="s">
        <v>481</v>
      </c>
      <c r="B2195" t="s">
        <v>2480</v>
      </c>
      <c r="C2195" t="s">
        <v>110</v>
      </c>
      <c r="D2195" t="s">
        <v>54</v>
      </c>
      <c r="E2195" t="s">
        <v>55</v>
      </c>
      <c r="F2195">
        <v>0</v>
      </c>
      <c r="G2195">
        <v>5631</v>
      </c>
      <c r="H2195">
        <v>1</v>
      </c>
      <c r="I2195" t="s">
        <v>220</v>
      </c>
      <c r="J2195">
        <v>2</v>
      </c>
      <c r="K2195" s="6">
        <v>1.87</v>
      </c>
      <c r="L2195" t="s">
        <v>174</v>
      </c>
      <c r="M2195">
        <v>0</v>
      </c>
      <c r="N2195" t="s">
        <v>182</v>
      </c>
      <c r="O2195">
        <v>3</v>
      </c>
      <c r="P2195">
        <v>0</v>
      </c>
      <c r="Q2195" s="6">
        <v>49</v>
      </c>
      <c r="R2195">
        <v>1</v>
      </c>
      <c r="S2195" s="6">
        <v>2897</v>
      </c>
      <c r="T2195">
        <v>0</v>
      </c>
      <c r="U2195" s="6">
        <v>5727</v>
      </c>
      <c r="V2195">
        <v>0</v>
      </c>
      <c r="W2195">
        <v>0</v>
      </c>
      <c r="X2195">
        <v>0</v>
      </c>
      <c r="Y2195" s="6">
        <v>46.5</v>
      </c>
      <c r="Z2195">
        <v>0.105</v>
      </c>
      <c r="AA2195">
        <v>4.4999999999999998E-2</v>
      </c>
      <c r="AB2195">
        <v>9.0999999999999998E-2</v>
      </c>
      <c r="AC2195">
        <v>6</v>
      </c>
      <c r="AD2195" s="6">
        <v>50</v>
      </c>
      <c r="AE2195" s="6">
        <v>40</v>
      </c>
      <c r="AF2195" s="6">
        <v>0</v>
      </c>
      <c r="AG2195" s="6">
        <v>68.62</v>
      </c>
      <c r="AH2195" s="6">
        <v>83.94</v>
      </c>
      <c r="AI2195" s="6">
        <f t="shared" si="68"/>
        <v>15.319999999999993</v>
      </c>
      <c r="AJ2195" s="5">
        <f t="shared" si="69"/>
        <v>0.18251131760781503</v>
      </c>
    </row>
    <row r="2196" spans="1:36">
      <c r="A2196" t="s">
        <v>263</v>
      </c>
      <c r="B2196" t="s">
        <v>2481</v>
      </c>
      <c r="C2196" t="s">
        <v>110</v>
      </c>
      <c r="D2196" t="s">
        <v>54</v>
      </c>
      <c r="E2196" t="s">
        <v>55</v>
      </c>
      <c r="F2196">
        <v>0</v>
      </c>
      <c r="G2196">
        <v>5631</v>
      </c>
      <c r="H2196">
        <v>1</v>
      </c>
      <c r="I2196" t="s">
        <v>178</v>
      </c>
      <c r="J2196">
        <v>4</v>
      </c>
      <c r="K2196" s="6">
        <v>12.55</v>
      </c>
      <c r="L2196" t="s">
        <v>174</v>
      </c>
      <c r="M2196">
        <v>0</v>
      </c>
      <c r="N2196" t="s">
        <v>217</v>
      </c>
      <c r="O2196">
        <v>4</v>
      </c>
      <c r="P2196">
        <v>1</v>
      </c>
      <c r="Q2196" s="6">
        <v>119.3</v>
      </c>
      <c r="R2196">
        <v>1</v>
      </c>
      <c r="S2196" s="6">
        <v>510</v>
      </c>
      <c r="T2196">
        <v>0</v>
      </c>
      <c r="U2196" s="6">
        <v>1583</v>
      </c>
      <c r="V2196">
        <v>0</v>
      </c>
      <c r="W2196">
        <v>0</v>
      </c>
      <c r="X2196">
        <v>0</v>
      </c>
      <c r="Y2196" s="6">
        <v>46.5</v>
      </c>
      <c r="Z2196">
        <v>0.105</v>
      </c>
      <c r="AA2196">
        <v>4.4999999999999998E-2</v>
      </c>
      <c r="AB2196">
        <v>9.0999999999999998E-2</v>
      </c>
      <c r="AC2196">
        <v>6</v>
      </c>
      <c r="AD2196" s="6">
        <v>65</v>
      </c>
      <c r="AE2196" s="6">
        <v>25</v>
      </c>
      <c r="AF2196" s="6">
        <v>0</v>
      </c>
      <c r="AG2196" s="6">
        <v>164.26</v>
      </c>
      <c r="AH2196" s="6">
        <v>198.9</v>
      </c>
      <c r="AI2196" s="6">
        <f t="shared" si="68"/>
        <v>34.640000000000015</v>
      </c>
      <c r="AJ2196" s="5">
        <f t="shared" si="69"/>
        <v>0.17415786827551541</v>
      </c>
    </row>
    <row r="2197" spans="1:36">
      <c r="A2197" t="s">
        <v>298</v>
      </c>
      <c r="B2197" t="s">
        <v>2482</v>
      </c>
      <c r="C2197" t="s">
        <v>110</v>
      </c>
      <c r="D2197" t="s">
        <v>54</v>
      </c>
      <c r="E2197" t="s">
        <v>55</v>
      </c>
      <c r="F2197">
        <v>0</v>
      </c>
      <c r="G2197">
        <v>5631</v>
      </c>
      <c r="H2197">
        <v>1</v>
      </c>
      <c r="I2197" t="s">
        <v>173</v>
      </c>
      <c r="J2197">
        <v>1</v>
      </c>
      <c r="K2197" s="6">
        <v>1.85</v>
      </c>
      <c r="L2197" t="s">
        <v>174</v>
      </c>
      <c r="M2197">
        <v>0</v>
      </c>
      <c r="N2197" t="s">
        <v>187</v>
      </c>
      <c r="O2197">
        <v>2</v>
      </c>
      <c r="P2197">
        <v>0</v>
      </c>
      <c r="Q2197" s="6">
        <v>69.3</v>
      </c>
      <c r="R2197">
        <v>0</v>
      </c>
      <c r="S2197" s="6">
        <v>0</v>
      </c>
      <c r="T2197">
        <v>0</v>
      </c>
      <c r="U2197" s="6">
        <v>5835</v>
      </c>
      <c r="V2197">
        <v>0</v>
      </c>
      <c r="W2197">
        <v>0</v>
      </c>
      <c r="X2197">
        <v>0</v>
      </c>
      <c r="Y2197" s="6">
        <v>46.5</v>
      </c>
      <c r="Z2197">
        <v>0.105</v>
      </c>
      <c r="AA2197">
        <v>4.4999999999999998E-2</v>
      </c>
      <c r="AB2197">
        <v>9.0999999999999998E-2</v>
      </c>
      <c r="AC2197">
        <v>6</v>
      </c>
      <c r="AD2197" s="6">
        <v>50</v>
      </c>
      <c r="AE2197" s="6">
        <v>0</v>
      </c>
      <c r="AF2197" s="6">
        <v>0</v>
      </c>
      <c r="AG2197" s="6">
        <v>46.81</v>
      </c>
      <c r="AH2197" s="6">
        <v>58.11</v>
      </c>
      <c r="AI2197" s="6">
        <f t="shared" si="68"/>
        <v>11.299999999999997</v>
      </c>
      <c r="AJ2197" s="5">
        <f t="shared" si="69"/>
        <v>0.19445878506281186</v>
      </c>
    </row>
    <row r="2198" spans="1:36">
      <c r="A2198" t="s">
        <v>238</v>
      </c>
      <c r="B2198" t="s">
        <v>2483</v>
      </c>
      <c r="C2198" t="s">
        <v>110</v>
      </c>
      <c r="D2198" t="s">
        <v>54</v>
      </c>
      <c r="E2198" t="s">
        <v>55</v>
      </c>
      <c r="F2198">
        <v>0</v>
      </c>
      <c r="G2198">
        <v>5631</v>
      </c>
      <c r="H2198">
        <v>1</v>
      </c>
      <c r="I2198" t="s">
        <v>178</v>
      </c>
      <c r="J2198">
        <v>4</v>
      </c>
      <c r="K2198" s="6">
        <v>11.62</v>
      </c>
      <c r="L2198" t="s">
        <v>174</v>
      </c>
      <c r="M2198">
        <v>0</v>
      </c>
      <c r="N2198" t="s">
        <v>187</v>
      </c>
      <c r="O2198">
        <v>2</v>
      </c>
      <c r="P2198">
        <v>0</v>
      </c>
      <c r="Q2198" s="6">
        <v>66.2</v>
      </c>
      <c r="R2198">
        <v>1</v>
      </c>
      <c r="S2198" s="6">
        <v>6511</v>
      </c>
      <c r="T2198">
        <v>0</v>
      </c>
      <c r="U2198" s="6">
        <v>7289</v>
      </c>
      <c r="V2198">
        <v>1</v>
      </c>
      <c r="W2198">
        <v>0</v>
      </c>
      <c r="X2198">
        <v>0</v>
      </c>
      <c r="Y2198" s="6">
        <v>46.5</v>
      </c>
      <c r="Z2198">
        <v>0.105</v>
      </c>
      <c r="AA2198">
        <v>4.4999999999999998E-2</v>
      </c>
      <c r="AB2198">
        <v>9.0999999999999998E-2</v>
      </c>
      <c r="AC2198">
        <v>6</v>
      </c>
      <c r="AD2198" s="6">
        <v>65</v>
      </c>
      <c r="AE2198" s="6">
        <v>50</v>
      </c>
      <c r="AF2198" s="6">
        <v>0</v>
      </c>
      <c r="AG2198" s="6">
        <v>163.47999999999999</v>
      </c>
      <c r="AH2198" s="6">
        <v>196.91</v>
      </c>
      <c r="AI2198" s="6">
        <f t="shared" si="68"/>
        <v>33.430000000000007</v>
      </c>
      <c r="AJ2198" s="5">
        <f t="shared" si="69"/>
        <v>0.16977299273779903</v>
      </c>
    </row>
    <row r="2199" spans="1:36">
      <c r="A2199" t="s">
        <v>215</v>
      </c>
      <c r="B2199" t="s">
        <v>2484</v>
      </c>
      <c r="C2199" t="s">
        <v>110</v>
      </c>
      <c r="D2199" t="s">
        <v>54</v>
      </c>
      <c r="E2199" t="s">
        <v>55</v>
      </c>
      <c r="F2199">
        <v>0</v>
      </c>
      <c r="G2199">
        <v>5631</v>
      </c>
      <c r="H2199">
        <v>1</v>
      </c>
      <c r="I2199" t="s">
        <v>173</v>
      </c>
      <c r="J2199">
        <v>1</v>
      </c>
      <c r="K2199" s="6">
        <v>1.82</v>
      </c>
      <c r="L2199" t="s">
        <v>174</v>
      </c>
      <c r="M2199">
        <v>0</v>
      </c>
      <c r="N2199" t="s">
        <v>187</v>
      </c>
      <c r="O2199">
        <v>2</v>
      </c>
      <c r="P2199">
        <v>0</v>
      </c>
      <c r="Q2199" s="6">
        <v>66.5</v>
      </c>
      <c r="R2199">
        <v>0</v>
      </c>
      <c r="S2199" s="6">
        <v>0</v>
      </c>
      <c r="T2199">
        <v>0</v>
      </c>
      <c r="U2199" s="6">
        <v>3129</v>
      </c>
      <c r="V2199">
        <v>0</v>
      </c>
      <c r="W2199">
        <v>0</v>
      </c>
      <c r="X2199">
        <v>0</v>
      </c>
      <c r="Y2199" s="6">
        <v>46.5</v>
      </c>
      <c r="Z2199">
        <v>0.105</v>
      </c>
      <c r="AA2199">
        <v>4.4999999999999998E-2</v>
      </c>
      <c r="AB2199">
        <v>9.0999999999999998E-2</v>
      </c>
      <c r="AC2199">
        <v>6</v>
      </c>
      <c r="AD2199" s="6">
        <v>50</v>
      </c>
      <c r="AE2199" s="6">
        <v>0</v>
      </c>
      <c r="AF2199" s="6">
        <v>0</v>
      </c>
      <c r="AG2199" s="6">
        <v>42.5</v>
      </c>
      <c r="AH2199" s="6">
        <v>54.04</v>
      </c>
      <c r="AI2199" s="6">
        <f t="shared" si="68"/>
        <v>11.54</v>
      </c>
      <c r="AJ2199" s="5">
        <f t="shared" si="69"/>
        <v>0.21354552183567727</v>
      </c>
    </row>
    <row r="2200" spans="1:36">
      <c r="A2200" t="s">
        <v>423</v>
      </c>
      <c r="B2200" t="s">
        <v>2485</v>
      </c>
      <c r="C2200" t="s">
        <v>110</v>
      </c>
      <c r="D2200" t="s">
        <v>54</v>
      </c>
      <c r="E2200" t="s">
        <v>55</v>
      </c>
      <c r="F2200">
        <v>0</v>
      </c>
      <c r="G2200">
        <v>5631</v>
      </c>
      <c r="H2200">
        <v>1</v>
      </c>
      <c r="I2200" t="s">
        <v>173</v>
      </c>
      <c r="J2200">
        <v>1</v>
      </c>
      <c r="K2200" s="6">
        <v>1.9</v>
      </c>
      <c r="L2200" t="s">
        <v>200</v>
      </c>
      <c r="M2200">
        <v>1</v>
      </c>
      <c r="N2200" t="s">
        <v>175</v>
      </c>
      <c r="O2200">
        <v>1</v>
      </c>
      <c r="P2200">
        <v>0</v>
      </c>
      <c r="Q2200" s="6">
        <v>29.8</v>
      </c>
      <c r="R2200">
        <v>1</v>
      </c>
      <c r="S2200" s="6">
        <v>1507</v>
      </c>
      <c r="T2200">
        <v>0</v>
      </c>
      <c r="U2200" s="6">
        <v>4858</v>
      </c>
      <c r="V2200">
        <v>0</v>
      </c>
      <c r="W2200">
        <v>0</v>
      </c>
      <c r="X2200">
        <v>0</v>
      </c>
      <c r="Y2200" s="6">
        <v>46.5</v>
      </c>
      <c r="Z2200">
        <v>0.105</v>
      </c>
      <c r="AA2200">
        <v>4.4999999999999998E-2</v>
      </c>
      <c r="AB2200">
        <v>9.0999999999999998E-2</v>
      </c>
      <c r="AC2200">
        <v>6</v>
      </c>
      <c r="AD2200" s="6">
        <v>99</v>
      </c>
      <c r="AE2200" s="6">
        <v>25</v>
      </c>
      <c r="AF2200" s="6">
        <v>0</v>
      </c>
      <c r="AG2200" s="6">
        <v>74.290000000000006</v>
      </c>
      <c r="AH2200" s="6">
        <v>99.2</v>
      </c>
      <c r="AI2200" s="6">
        <f t="shared" si="68"/>
        <v>24.909999999999997</v>
      </c>
      <c r="AJ2200" s="5">
        <f t="shared" si="69"/>
        <v>0.25110887096774187</v>
      </c>
    </row>
    <row r="2201" spans="1:36">
      <c r="A2201" t="s">
        <v>198</v>
      </c>
      <c r="B2201" t="s">
        <v>2486</v>
      </c>
      <c r="C2201" t="s">
        <v>110</v>
      </c>
      <c r="D2201" t="s">
        <v>54</v>
      </c>
      <c r="E2201" t="s">
        <v>55</v>
      </c>
      <c r="F2201">
        <v>0</v>
      </c>
      <c r="G2201">
        <v>5631</v>
      </c>
      <c r="H2201">
        <v>1</v>
      </c>
      <c r="I2201" t="s">
        <v>173</v>
      </c>
      <c r="J2201">
        <v>1</v>
      </c>
      <c r="K2201" s="6">
        <v>1.9</v>
      </c>
      <c r="L2201" t="s">
        <v>174</v>
      </c>
      <c r="M2201">
        <v>0</v>
      </c>
      <c r="N2201" t="s">
        <v>175</v>
      </c>
      <c r="O2201">
        <v>1</v>
      </c>
      <c r="P2201">
        <v>0</v>
      </c>
      <c r="Q2201" s="6">
        <v>25.3</v>
      </c>
      <c r="R2201">
        <v>1</v>
      </c>
      <c r="S2201" s="6">
        <v>1859</v>
      </c>
      <c r="T2201">
        <v>0</v>
      </c>
      <c r="U2201" s="6">
        <v>6315</v>
      </c>
      <c r="V2201">
        <v>0</v>
      </c>
      <c r="W2201">
        <v>0</v>
      </c>
      <c r="X2201">
        <v>0</v>
      </c>
      <c r="Y2201" s="6">
        <v>46.5</v>
      </c>
      <c r="Z2201">
        <v>0.105</v>
      </c>
      <c r="AA2201">
        <v>4.4999999999999998E-2</v>
      </c>
      <c r="AB2201">
        <v>9.0999999999999998E-2</v>
      </c>
      <c r="AC2201">
        <v>6</v>
      </c>
      <c r="AD2201" s="6">
        <v>50</v>
      </c>
      <c r="AE2201" s="6">
        <v>25</v>
      </c>
      <c r="AF2201" s="6">
        <v>0</v>
      </c>
      <c r="AG2201" s="6">
        <v>48.15</v>
      </c>
      <c r="AH2201" s="6">
        <v>57.57</v>
      </c>
      <c r="AI2201" s="6">
        <f t="shared" si="68"/>
        <v>9.4200000000000017</v>
      </c>
      <c r="AJ2201" s="5">
        <f t="shared" si="69"/>
        <v>0.16362688900468997</v>
      </c>
    </row>
    <row r="2202" spans="1:36">
      <c r="A2202" t="s">
        <v>381</v>
      </c>
      <c r="B2202" t="s">
        <v>2487</v>
      </c>
      <c r="C2202" t="s">
        <v>110</v>
      </c>
      <c r="D2202" t="s">
        <v>54</v>
      </c>
      <c r="E2202" t="s">
        <v>55</v>
      </c>
      <c r="F2202">
        <v>0</v>
      </c>
      <c r="G2202">
        <v>5631</v>
      </c>
      <c r="H2202">
        <v>1</v>
      </c>
      <c r="I2202" t="s">
        <v>181</v>
      </c>
      <c r="J2202">
        <v>3</v>
      </c>
      <c r="K2202" s="6">
        <v>8.0500000000000007</v>
      </c>
      <c r="L2202" t="s">
        <v>200</v>
      </c>
      <c r="M2202">
        <v>1</v>
      </c>
      <c r="N2202" t="s">
        <v>217</v>
      </c>
      <c r="O2202">
        <v>4</v>
      </c>
      <c r="P2202">
        <v>1</v>
      </c>
      <c r="Q2202" s="6">
        <v>102.7</v>
      </c>
      <c r="R2202">
        <v>1</v>
      </c>
      <c r="S2202" s="6">
        <v>5436</v>
      </c>
      <c r="T2202">
        <v>0</v>
      </c>
      <c r="U2202" s="6">
        <v>2202</v>
      </c>
      <c r="V2202">
        <v>0</v>
      </c>
      <c r="W2202">
        <v>0</v>
      </c>
      <c r="X2202">
        <v>0</v>
      </c>
      <c r="Y2202" s="6">
        <v>46.5</v>
      </c>
      <c r="Z2202">
        <v>0.105</v>
      </c>
      <c r="AA2202">
        <v>4.4999999999999998E-2</v>
      </c>
      <c r="AB2202">
        <v>9.0999999999999998E-2</v>
      </c>
      <c r="AC2202">
        <v>6</v>
      </c>
      <c r="AD2202" s="6">
        <v>139</v>
      </c>
      <c r="AE2202" s="6">
        <v>50</v>
      </c>
      <c r="AF2202" s="6">
        <v>0</v>
      </c>
      <c r="AG2202" s="6">
        <v>187.45</v>
      </c>
      <c r="AH2202" s="6">
        <v>227.62</v>
      </c>
      <c r="AI2202" s="6">
        <f t="shared" si="68"/>
        <v>40.170000000000016</v>
      </c>
      <c r="AJ2202" s="5">
        <f t="shared" si="69"/>
        <v>0.1764783410948072</v>
      </c>
    </row>
    <row r="2203" spans="1:36">
      <c r="A2203" t="s">
        <v>253</v>
      </c>
      <c r="B2203" t="s">
        <v>2488</v>
      </c>
      <c r="C2203" t="s">
        <v>110</v>
      </c>
      <c r="D2203" t="s">
        <v>54</v>
      </c>
      <c r="E2203" t="s">
        <v>55</v>
      </c>
      <c r="F2203">
        <v>0</v>
      </c>
      <c r="G2203">
        <v>5631</v>
      </c>
      <c r="H2203">
        <v>1</v>
      </c>
      <c r="I2203" t="s">
        <v>220</v>
      </c>
      <c r="J2203">
        <v>2</v>
      </c>
      <c r="K2203" s="6">
        <v>4.33</v>
      </c>
      <c r="L2203" t="s">
        <v>174</v>
      </c>
      <c r="M2203">
        <v>0</v>
      </c>
      <c r="N2203" t="s">
        <v>175</v>
      </c>
      <c r="O2203">
        <v>1</v>
      </c>
      <c r="P2203">
        <v>0</v>
      </c>
      <c r="Q2203" s="6">
        <v>26.9</v>
      </c>
      <c r="R2203">
        <v>0</v>
      </c>
      <c r="S2203" s="6">
        <v>0</v>
      </c>
      <c r="T2203">
        <v>0</v>
      </c>
      <c r="U2203" s="6">
        <v>2313</v>
      </c>
      <c r="V2203">
        <v>0</v>
      </c>
      <c r="W2203">
        <v>0</v>
      </c>
      <c r="X2203">
        <v>0</v>
      </c>
      <c r="Y2203" s="6">
        <v>46.5</v>
      </c>
      <c r="Z2203">
        <v>0.105</v>
      </c>
      <c r="AA2203">
        <v>4.4999999999999998E-2</v>
      </c>
      <c r="AB2203">
        <v>9.0999999999999998E-2</v>
      </c>
      <c r="AC2203">
        <v>6</v>
      </c>
      <c r="AD2203" s="6">
        <v>50</v>
      </c>
      <c r="AE2203" s="6">
        <v>0</v>
      </c>
      <c r="AF2203" s="6">
        <v>0</v>
      </c>
      <c r="AG2203" s="6">
        <v>57.9</v>
      </c>
      <c r="AH2203" s="6">
        <v>70.430000000000007</v>
      </c>
      <c r="AI2203" s="6">
        <f t="shared" si="68"/>
        <v>12.530000000000008</v>
      </c>
      <c r="AJ2203" s="5">
        <f t="shared" si="69"/>
        <v>0.17790714184296474</v>
      </c>
    </row>
    <row r="2204" spans="1:36">
      <c r="A2204" t="s">
        <v>393</v>
      </c>
      <c r="B2204" t="s">
        <v>2489</v>
      </c>
      <c r="C2204" t="s">
        <v>110</v>
      </c>
      <c r="D2204" t="s">
        <v>54</v>
      </c>
      <c r="E2204" t="s">
        <v>55</v>
      </c>
      <c r="F2204">
        <v>0</v>
      </c>
      <c r="G2204">
        <v>5631</v>
      </c>
      <c r="H2204">
        <v>1</v>
      </c>
      <c r="I2204" t="s">
        <v>181</v>
      </c>
      <c r="J2204">
        <v>3</v>
      </c>
      <c r="K2204" s="6">
        <v>9.0399999999999991</v>
      </c>
      <c r="L2204" t="s">
        <v>174</v>
      </c>
      <c r="M2204">
        <v>0</v>
      </c>
      <c r="N2204" t="s">
        <v>175</v>
      </c>
      <c r="O2204">
        <v>1</v>
      </c>
      <c r="P2204">
        <v>0</v>
      </c>
      <c r="Q2204" s="6">
        <v>27.6</v>
      </c>
      <c r="R2204">
        <v>1</v>
      </c>
      <c r="S2204" s="6">
        <v>601</v>
      </c>
      <c r="T2204">
        <v>0</v>
      </c>
      <c r="U2204" s="6">
        <v>2363</v>
      </c>
      <c r="V2204">
        <v>0</v>
      </c>
      <c r="W2204">
        <v>0</v>
      </c>
      <c r="X2204">
        <v>0</v>
      </c>
      <c r="Y2204" s="6">
        <v>46.5</v>
      </c>
      <c r="Z2204">
        <v>0.105</v>
      </c>
      <c r="AA2204">
        <v>4.4999999999999998E-2</v>
      </c>
      <c r="AB2204">
        <v>9.0999999999999998E-2</v>
      </c>
      <c r="AC2204">
        <v>6</v>
      </c>
      <c r="AD2204" s="6">
        <v>60</v>
      </c>
      <c r="AE2204" s="6">
        <v>25</v>
      </c>
      <c r="AF2204" s="6">
        <v>0</v>
      </c>
      <c r="AG2204" s="6">
        <v>91.52</v>
      </c>
      <c r="AH2204" s="6">
        <v>111.64</v>
      </c>
      <c r="AI2204" s="6">
        <f t="shared" si="68"/>
        <v>20.120000000000005</v>
      </c>
      <c r="AJ2204" s="5">
        <f t="shared" si="69"/>
        <v>0.18022214260121824</v>
      </c>
    </row>
    <row r="2205" spans="1:36">
      <c r="A2205" t="s">
        <v>255</v>
      </c>
      <c r="B2205" t="s">
        <v>2490</v>
      </c>
      <c r="C2205" t="s">
        <v>110</v>
      </c>
      <c r="D2205" t="s">
        <v>54</v>
      </c>
      <c r="E2205" t="s">
        <v>55</v>
      </c>
      <c r="F2205">
        <v>0</v>
      </c>
      <c r="G2205">
        <v>5631</v>
      </c>
      <c r="H2205">
        <v>1</v>
      </c>
      <c r="I2205" t="s">
        <v>181</v>
      </c>
      <c r="J2205">
        <v>3</v>
      </c>
      <c r="K2205" s="6">
        <v>9.15</v>
      </c>
      <c r="L2205" t="s">
        <v>174</v>
      </c>
      <c r="M2205">
        <v>0</v>
      </c>
      <c r="N2205" t="s">
        <v>175</v>
      </c>
      <c r="O2205">
        <v>1</v>
      </c>
      <c r="P2205">
        <v>0</v>
      </c>
      <c r="Q2205" s="6">
        <v>29</v>
      </c>
      <c r="R2205">
        <v>0</v>
      </c>
      <c r="S2205" s="6">
        <v>0</v>
      </c>
      <c r="T2205">
        <v>0</v>
      </c>
      <c r="U2205" s="6">
        <v>1834</v>
      </c>
      <c r="V2205">
        <v>0</v>
      </c>
      <c r="W2205">
        <v>0</v>
      </c>
      <c r="X2205">
        <v>0</v>
      </c>
      <c r="Y2205" s="6">
        <v>46.5</v>
      </c>
      <c r="Z2205">
        <v>0.105</v>
      </c>
      <c r="AA2205">
        <v>4.4999999999999998E-2</v>
      </c>
      <c r="AB2205">
        <v>9.0999999999999998E-2</v>
      </c>
      <c r="AC2205">
        <v>6</v>
      </c>
      <c r="AD2205" s="6">
        <v>60</v>
      </c>
      <c r="AE2205" s="6">
        <v>0</v>
      </c>
      <c r="AF2205" s="6">
        <v>0</v>
      </c>
      <c r="AG2205" s="6">
        <v>88.98</v>
      </c>
      <c r="AH2205" s="6">
        <v>108.15</v>
      </c>
      <c r="AI2205" s="6">
        <f t="shared" si="68"/>
        <v>19.170000000000002</v>
      </c>
      <c r="AJ2205" s="5">
        <f t="shared" si="69"/>
        <v>0.17725381414701805</v>
      </c>
    </row>
    <row r="2206" spans="1:36">
      <c r="A2206" t="s">
        <v>204</v>
      </c>
      <c r="B2206" t="s">
        <v>2491</v>
      </c>
      <c r="C2206" t="s">
        <v>110</v>
      </c>
      <c r="D2206" t="s">
        <v>54</v>
      </c>
      <c r="E2206" t="s">
        <v>55</v>
      </c>
      <c r="F2206">
        <v>0</v>
      </c>
      <c r="G2206">
        <v>5631</v>
      </c>
      <c r="H2206">
        <v>1</v>
      </c>
      <c r="I2206" t="s">
        <v>181</v>
      </c>
      <c r="J2206">
        <v>3</v>
      </c>
      <c r="K2206" s="6">
        <v>10.79</v>
      </c>
      <c r="L2206" t="s">
        <v>174</v>
      </c>
      <c r="M2206">
        <v>0</v>
      </c>
      <c r="N2206" t="s">
        <v>217</v>
      </c>
      <c r="O2206">
        <v>4</v>
      </c>
      <c r="P2206">
        <v>1</v>
      </c>
      <c r="Q2206" s="6">
        <v>148.4</v>
      </c>
      <c r="R2206">
        <v>0</v>
      </c>
      <c r="S2206" s="6">
        <v>0</v>
      </c>
      <c r="T2206">
        <v>0</v>
      </c>
      <c r="U2206" s="6">
        <v>2162</v>
      </c>
      <c r="V2206">
        <v>0</v>
      </c>
      <c r="W2206">
        <v>0</v>
      </c>
      <c r="X2206">
        <v>0</v>
      </c>
      <c r="Y2206" s="6">
        <v>46.5</v>
      </c>
      <c r="Z2206">
        <v>0.105</v>
      </c>
      <c r="AA2206">
        <v>4.4999999999999998E-2</v>
      </c>
      <c r="AB2206">
        <v>9.0999999999999998E-2</v>
      </c>
      <c r="AC2206">
        <v>6</v>
      </c>
      <c r="AD2206" s="6">
        <v>60</v>
      </c>
      <c r="AE2206" s="6">
        <v>0</v>
      </c>
      <c r="AF2206" s="6">
        <v>0</v>
      </c>
      <c r="AG2206" s="6">
        <v>147.63999999999999</v>
      </c>
      <c r="AH2206" s="6">
        <v>177.39</v>
      </c>
      <c r="AI2206" s="6">
        <f t="shared" si="68"/>
        <v>29.75</v>
      </c>
      <c r="AJ2206" s="5">
        <f t="shared" si="69"/>
        <v>0.16770956649191049</v>
      </c>
    </row>
    <row r="2207" spans="1:36">
      <c r="A2207" t="s">
        <v>602</v>
      </c>
      <c r="B2207" t="s">
        <v>2492</v>
      </c>
      <c r="C2207" t="s">
        <v>110</v>
      </c>
      <c r="D2207" t="s">
        <v>54</v>
      </c>
      <c r="E2207" t="s">
        <v>55</v>
      </c>
      <c r="F2207">
        <v>0</v>
      </c>
      <c r="G2207">
        <v>5631</v>
      </c>
      <c r="H2207">
        <v>1</v>
      </c>
      <c r="I2207" t="s">
        <v>220</v>
      </c>
      <c r="J2207">
        <v>2</v>
      </c>
      <c r="K2207" s="6">
        <v>5.8</v>
      </c>
      <c r="L2207" t="s">
        <v>174</v>
      </c>
      <c r="M2207">
        <v>0</v>
      </c>
      <c r="N2207" t="s">
        <v>187</v>
      </c>
      <c r="O2207">
        <v>2</v>
      </c>
      <c r="P2207">
        <v>0</v>
      </c>
      <c r="Q2207" s="6">
        <v>58</v>
      </c>
      <c r="R2207">
        <v>1</v>
      </c>
      <c r="S2207" s="6">
        <v>808</v>
      </c>
      <c r="T2207">
        <v>0</v>
      </c>
      <c r="U2207" s="6">
        <v>6125</v>
      </c>
      <c r="V2207">
        <v>0</v>
      </c>
      <c r="W2207">
        <v>0</v>
      </c>
      <c r="X2207">
        <v>0</v>
      </c>
      <c r="Y2207" s="6">
        <v>46.5</v>
      </c>
      <c r="Z2207">
        <v>0.105</v>
      </c>
      <c r="AA2207">
        <v>4.4999999999999998E-2</v>
      </c>
      <c r="AB2207">
        <v>9.0999999999999998E-2</v>
      </c>
      <c r="AC2207">
        <v>6</v>
      </c>
      <c r="AD2207" s="6">
        <v>50</v>
      </c>
      <c r="AE2207" s="6">
        <v>25</v>
      </c>
      <c r="AF2207" s="6">
        <v>0</v>
      </c>
      <c r="AG2207" s="6">
        <v>67</v>
      </c>
      <c r="AH2207" s="6">
        <v>82.07</v>
      </c>
      <c r="AI2207" s="6">
        <f t="shared" si="68"/>
        <v>15.069999999999993</v>
      </c>
      <c r="AJ2207" s="5">
        <f t="shared" si="69"/>
        <v>0.18362373583526251</v>
      </c>
    </row>
    <row r="2208" spans="1:36">
      <c r="A2208" t="s">
        <v>263</v>
      </c>
      <c r="B2208" t="s">
        <v>2493</v>
      </c>
      <c r="C2208" t="s">
        <v>110</v>
      </c>
      <c r="D2208" t="s">
        <v>54</v>
      </c>
      <c r="E2208" t="s">
        <v>55</v>
      </c>
      <c r="F2208">
        <v>0</v>
      </c>
      <c r="G2208">
        <v>5631</v>
      </c>
      <c r="H2208">
        <v>1</v>
      </c>
      <c r="I2208" t="s">
        <v>173</v>
      </c>
      <c r="J2208">
        <v>1</v>
      </c>
      <c r="K2208" s="6">
        <v>1.27</v>
      </c>
      <c r="L2208" t="s">
        <v>174</v>
      </c>
      <c r="M2208">
        <v>0</v>
      </c>
      <c r="N2208" t="s">
        <v>175</v>
      </c>
      <c r="O2208">
        <v>1</v>
      </c>
      <c r="P2208">
        <v>0</v>
      </c>
      <c r="Q2208" s="6">
        <v>26.3</v>
      </c>
      <c r="R2208">
        <v>0</v>
      </c>
      <c r="S2208" s="6">
        <v>0</v>
      </c>
      <c r="T2208">
        <v>0</v>
      </c>
      <c r="U2208" s="6">
        <v>2372</v>
      </c>
      <c r="V2208">
        <v>0</v>
      </c>
      <c r="W2208">
        <v>0</v>
      </c>
      <c r="X2208">
        <v>0</v>
      </c>
      <c r="Y2208" s="6">
        <v>46.5</v>
      </c>
      <c r="Z2208">
        <v>0.105</v>
      </c>
      <c r="AA2208">
        <v>4.4999999999999998E-2</v>
      </c>
      <c r="AB2208">
        <v>9.0999999999999998E-2</v>
      </c>
      <c r="AC2208">
        <v>6</v>
      </c>
      <c r="AD2208" s="6">
        <v>50</v>
      </c>
      <c r="AE2208" s="6">
        <v>0</v>
      </c>
      <c r="AF2208" s="6">
        <v>0</v>
      </c>
      <c r="AG2208" s="6">
        <v>47.27</v>
      </c>
      <c r="AH2208" s="6">
        <v>58.99</v>
      </c>
      <c r="AI2208" s="6">
        <f t="shared" si="68"/>
        <v>11.719999999999999</v>
      </c>
      <c r="AJ2208" s="5">
        <f t="shared" si="69"/>
        <v>0.1986777419901678</v>
      </c>
    </row>
    <row r="2209" spans="1:36">
      <c r="A2209" t="s">
        <v>251</v>
      </c>
      <c r="B2209" t="s">
        <v>2494</v>
      </c>
      <c r="C2209" t="s">
        <v>110</v>
      </c>
      <c r="D2209" t="s">
        <v>54</v>
      </c>
      <c r="E2209" t="s">
        <v>55</v>
      </c>
      <c r="F2209">
        <v>0</v>
      </c>
      <c r="G2209">
        <v>5631</v>
      </c>
      <c r="H2209">
        <v>1</v>
      </c>
      <c r="I2209" t="s">
        <v>173</v>
      </c>
      <c r="J2209">
        <v>1</v>
      </c>
      <c r="K2209" s="6">
        <v>1.76</v>
      </c>
      <c r="L2209" t="s">
        <v>174</v>
      </c>
      <c r="M2209">
        <v>0</v>
      </c>
      <c r="N2209" t="s">
        <v>217</v>
      </c>
      <c r="O2209">
        <v>4</v>
      </c>
      <c r="P2209">
        <v>1</v>
      </c>
      <c r="Q2209" s="6">
        <v>54.4</v>
      </c>
      <c r="R2209">
        <v>0</v>
      </c>
      <c r="S2209" s="6">
        <v>0</v>
      </c>
      <c r="T2209">
        <v>0</v>
      </c>
      <c r="U2209" s="6">
        <v>8930</v>
      </c>
      <c r="V2209">
        <v>0</v>
      </c>
      <c r="W2209">
        <v>0</v>
      </c>
      <c r="X2209">
        <v>0</v>
      </c>
      <c r="Y2209" s="6">
        <v>46.5</v>
      </c>
      <c r="Z2209">
        <v>0.105</v>
      </c>
      <c r="AA2209">
        <v>4.4999999999999998E-2</v>
      </c>
      <c r="AB2209">
        <v>9.0999999999999998E-2</v>
      </c>
      <c r="AC2209">
        <v>6</v>
      </c>
      <c r="AD2209" s="6">
        <v>50</v>
      </c>
      <c r="AE2209" s="6">
        <v>0</v>
      </c>
      <c r="AF2209" s="6">
        <v>0</v>
      </c>
      <c r="AG2209" s="6">
        <v>89.22</v>
      </c>
      <c r="AH2209" s="6">
        <v>110.38</v>
      </c>
      <c r="AI2209" s="6">
        <f t="shared" si="68"/>
        <v>21.159999999999997</v>
      </c>
      <c r="AJ2209" s="5">
        <f t="shared" si="69"/>
        <v>0.19170139518028625</v>
      </c>
    </row>
    <row r="2210" spans="1:36">
      <c r="A2210" t="s">
        <v>579</v>
      </c>
      <c r="B2210" t="s">
        <v>2495</v>
      </c>
      <c r="C2210" t="s">
        <v>110</v>
      </c>
      <c r="D2210" t="s">
        <v>54</v>
      </c>
      <c r="E2210" t="s">
        <v>55</v>
      </c>
      <c r="F2210">
        <v>0</v>
      </c>
      <c r="G2210">
        <v>5631</v>
      </c>
      <c r="H2210">
        <v>1</v>
      </c>
      <c r="I2210" t="s">
        <v>178</v>
      </c>
      <c r="J2210">
        <v>4</v>
      </c>
      <c r="K2210" s="6">
        <v>18.440000000000001</v>
      </c>
      <c r="L2210" t="s">
        <v>174</v>
      </c>
      <c r="M2210">
        <v>0</v>
      </c>
      <c r="N2210" t="s">
        <v>182</v>
      </c>
      <c r="O2210">
        <v>3</v>
      </c>
      <c r="P2210">
        <v>0</v>
      </c>
      <c r="Q2210" s="6">
        <v>87.6</v>
      </c>
      <c r="R2210">
        <v>1</v>
      </c>
      <c r="S2210" s="6">
        <v>527</v>
      </c>
      <c r="T2210">
        <v>0</v>
      </c>
      <c r="U2210" s="6">
        <v>7518</v>
      </c>
      <c r="V2210">
        <v>0</v>
      </c>
      <c r="W2210">
        <v>0</v>
      </c>
      <c r="X2210">
        <v>0</v>
      </c>
      <c r="Y2210" s="6">
        <v>46.5</v>
      </c>
      <c r="Z2210">
        <v>0.105</v>
      </c>
      <c r="AA2210">
        <v>4.4999999999999998E-2</v>
      </c>
      <c r="AB2210">
        <v>9.0999999999999998E-2</v>
      </c>
      <c r="AC2210">
        <v>6</v>
      </c>
      <c r="AD2210" s="6">
        <v>65</v>
      </c>
      <c r="AE2210" s="6">
        <v>25</v>
      </c>
      <c r="AF2210" s="6">
        <v>0</v>
      </c>
      <c r="AG2210" s="6">
        <v>152.74</v>
      </c>
      <c r="AH2210" s="6">
        <v>183.41</v>
      </c>
      <c r="AI2210" s="6">
        <f t="shared" si="68"/>
        <v>30.669999999999987</v>
      </c>
      <c r="AJ2210" s="5">
        <f t="shared" si="69"/>
        <v>0.16722098031732177</v>
      </c>
    </row>
    <row r="2211" spans="1:36">
      <c r="A2211" t="s">
        <v>481</v>
      </c>
      <c r="B2211" t="s">
        <v>2496</v>
      </c>
      <c r="C2211" t="s">
        <v>110</v>
      </c>
      <c r="D2211" t="s">
        <v>54</v>
      </c>
      <c r="E2211" t="s">
        <v>55</v>
      </c>
      <c r="F2211">
        <v>0</v>
      </c>
      <c r="G2211">
        <v>5631</v>
      </c>
      <c r="H2211">
        <v>1</v>
      </c>
      <c r="I2211" t="s">
        <v>220</v>
      </c>
      <c r="J2211">
        <v>2</v>
      </c>
      <c r="K2211" s="6">
        <v>1.96</v>
      </c>
      <c r="L2211" t="s">
        <v>174</v>
      </c>
      <c r="M2211">
        <v>0</v>
      </c>
      <c r="N2211" t="s">
        <v>182</v>
      </c>
      <c r="O2211">
        <v>3</v>
      </c>
      <c r="P2211">
        <v>0</v>
      </c>
      <c r="Q2211" s="6">
        <v>61</v>
      </c>
      <c r="R2211">
        <v>1</v>
      </c>
      <c r="S2211" s="6">
        <v>2886</v>
      </c>
      <c r="T2211">
        <v>0</v>
      </c>
      <c r="U2211" s="6">
        <v>9119</v>
      </c>
      <c r="V2211">
        <v>0</v>
      </c>
      <c r="W2211">
        <v>0</v>
      </c>
      <c r="X2211">
        <v>0</v>
      </c>
      <c r="Y2211" s="6">
        <v>46.5</v>
      </c>
      <c r="Z2211">
        <v>0.105</v>
      </c>
      <c r="AA2211">
        <v>4.4999999999999998E-2</v>
      </c>
      <c r="AB2211">
        <v>9.0999999999999998E-2</v>
      </c>
      <c r="AC2211">
        <v>6</v>
      </c>
      <c r="AD2211" s="6">
        <v>50</v>
      </c>
      <c r="AE2211" s="6">
        <v>40</v>
      </c>
      <c r="AF2211" s="6">
        <v>0</v>
      </c>
      <c r="AG2211" s="6">
        <v>67.28</v>
      </c>
      <c r="AH2211" s="6">
        <v>81.489999999999995</v>
      </c>
      <c r="AI2211" s="6">
        <f t="shared" si="68"/>
        <v>14.209999999999994</v>
      </c>
      <c r="AJ2211" s="5">
        <f t="shared" si="69"/>
        <v>0.17437722419928819</v>
      </c>
    </row>
    <row r="2212" spans="1:36">
      <c r="A2212" t="s">
        <v>469</v>
      </c>
      <c r="B2212" t="s">
        <v>2497</v>
      </c>
      <c r="C2212" t="s">
        <v>110</v>
      </c>
      <c r="D2212" t="s">
        <v>54</v>
      </c>
      <c r="E2212" t="s">
        <v>55</v>
      </c>
      <c r="F2212">
        <v>0</v>
      </c>
      <c r="G2212">
        <v>5631</v>
      </c>
      <c r="H2212">
        <v>1</v>
      </c>
      <c r="I2212" t="s">
        <v>178</v>
      </c>
      <c r="J2212">
        <v>4</v>
      </c>
      <c r="K2212" s="6">
        <v>10.85</v>
      </c>
      <c r="L2212" t="s">
        <v>174</v>
      </c>
      <c r="M2212">
        <v>0</v>
      </c>
      <c r="N2212" t="s">
        <v>175</v>
      </c>
      <c r="O2212">
        <v>1</v>
      </c>
      <c r="P2212">
        <v>0</v>
      </c>
      <c r="Q2212" s="6">
        <v>36.6</v>
      </c>
      <c r="R2212">
        <v>1</v>
      </c>
      <c r="S2212" s="6">
        <v>418</v>
      </c>
      <c r="T2212">
        <v>0</v>
      </c>
      <c r="U2212" s="6">
        <v>2407</v>
      </c>
      <c r="V2212">
        <v>0</v>
      </c>
      <c r="W2212">
        <v>0</v>
      </c>
      <c r="X2212">
        <v>0</v>
      </c>
      <c r="Y2212" s="6">
        <v>46.5</v>
      </c>
      <c r="Z2212">
        <v>0.105</v>
      </c>
      <c r="AA2212">
        <v>4.4999999999999998E-2</v>
      </c>
      <c r="AB2212">
        <v>9.0999999999999998E-2</v>
      </c>
      <c r="AC2212">
        <v>6</v>
      </c>
      <c r="AD2212" s="6">
        <v>65</v>
      </c>
      <c r="AE2212" s="6">
        <v>25</v>
      </c>
      <c r="AF2212" s="6">
        <v>0</v>
      </c>
      <c r="AG2212" s="6">
        <v>117.96</v>
      </c>
      <c r="AH2212" s="6">
        <v>140.69</v>
      </c>
      <c r="AI2212" s="6">
        <f t="shared" si="68"/>
        <v>22.730000000000004</v>
      </c>
      <c r="AJ2212" s="5">
        <f t="shared" si="69"/>
        <v>0.16156087852725853</v>
      </c>
    </row>
    <row r="2213" spans="1:36">
      <c r="A2213" t="s">
        <v>185</v>
      </c>
      <c r="B2213" t="s">
        <v>2498</v>
      </c>
      <c r="C2213" t="s">
        <v>110</v>
      </c>
      <c r="D2213" t="s">
        <v>54</v>
      </c>
      <c r="E2213" t="s">
        <v>55</v>
      </c>
      <c r="F2213">
        <v>0</v>
      </c>
      <c r="G2213">
        <v>5631</v>
      </c>
      <c r="H2213">
        <v>1</v>
      </c>
      <c r="I2213" t="s">
        <v>181</v>
      </c>
      <c r="J2213">
        <v>3</v>
      </c>
      <c r="K2213" s="6">
        <v>5.78</v>
      </c>
      <c r="L2213" t="s">
        <v>174</v>
      </c>
      <c r="M2213">
        <v>0</v>
      </c>
      <c r="N2213" t="s">
        <v>217</v>
      </c>
      <c r="O2213">
        <v>4</v>
      </c>
      <c r="P2213">
        <v>1</v>
      </c>
      <c r="Q2213" s="6">
        <v>113.4</v>
      </c>
      <c r="R2213">
        <v>1</v>
      </c>
      <c r="S2213" s="6">
        <v>968</v>
      </c>
      <c r="T2213">
        <v>0</v>
      </c>
      <c r="U2213" s="6">
        <v>4343</v>
      </c>
      <c r="V2213">
        <v>0</v>
      </c>
      <c r="W2213">
        <v>0</v>
      </c>
      <c r="X2213">
        <v>0</v>
      </c>
      <c r="Y2213" s="6">
        <v>46.5</v>
      </c>
      <c r="Z2213">
        <v>0.105</v>
      </c>
      <c r="AA2213">
        <v>4.4999999999999998E-2</v>
      </c>
      <c r="AB2213">
        <v>9.0999999999999998E-2</v>
      </c>
      <c r="AC2213">
        <v>6</v>
      </c>
      <c r="AD2213" s="6">
        <v>60</v>
      </c>
      <c r="AE2213" s="6">
        <v>25</v>
      </c>
      <c r="AF2213" s="6">
        <v>0</v>
      </c>
      <c r="AG2213" s="6">
        <v>123.9</v>
      </c>
      <c r="AH2213" s="6">
        <v>151.99</v>
      </c>
      <c r="AI2213" s="6">
        <f t="shared" si="68"/>
        <v>28.090000000000003</v>
      </c>
      <c r="AJ2213" s="5">
        <f t="shared" si="69"/>
        <v>0.18481479044673993</v>
      </c>
    </row>
    <row r="2214" spans="1:36">
      <c r="A2214" t="s">
        <v>196</v>
      </c>
      <c r="B2214" t="s">
        <v>2499</v>
      </c>
      <c r="C2214" t="s">
        <v>110</v>
      </c>
      <c r="D2214" t="s">
        <v>54</v>
      </c>
      <c r="E2214" t="s">
        <v>55</v>
      </c>
      <c r="F2214">
        <v>0</v>
      </c>
      <c r="G2214">
        <v>5631</v>
      </c>
      <c r="H2214">
        <v>1</v>
      </c>
      <c r="I2214" t="s">
        <v>220</v>
      </c>
      <c r="J2214">
        <v>2</v>
      </c>
      <c r="K2214" s="6">
        <v>2.13</v>
      </c>
      <c r="L2214" t="s">
        <v>174</v>
      </c>
      <c r="M2214">
        <v>0</v>
      </c>
      <c r="N2214" t="s">
        <v>187</v>
      </c>
      <c r="O2214">
        <v>2</v>
      </c>
      <c r="P2214">
        <v>0</v>
      </c>
      <c r="Q2214" s="6">
        <v>51.6</v>
      </c>
      <c r="R2214">
        <v>1</v>
      </c>
      <c r="S2214" s="6">
        <v>1181</v>
      </c>
      <c r="T2214">
        <v>0</v>
      </c>
      <c r="U2214" s="6">
        <v>3953</v>
      </c>
      <c r="V2214">
        <v>0</v>
      </c>
      <c r="W2214">
        <v>0</v>
      </c>
      <c r="X2214">
        <v>0</v>
      </c>
      <c r="Y2214" s="6">
        <v>46.5</v>
      </c>
      <c r="Z2214">
        <v>0.105</v>
      </c>
      <c r="AA2214">
        <v>4.4999999999999998E-2</v>
      </c>
      <c r="AB2214">
        <v>9.0999999999999998E-2</v>
      </c>
      <c r="AC2214">
        <v>6</v>
      </c>
      <c r="AD2214" s="6">
        <v>50</v>
      </c>
      <c r="AE2214" s="6">
        <v>25</v>
      </c>
      <c r="AF2214" s="6">
        <v>0</v>
      </c>
      <c r="AG2214" s="6">
        <v>54.68</v>
      </c>
      <c r="AH2214" s="6">
        <v>66.209999999999994</v>
      </c>
      <c r="AI2214" s="6">
        <f t="shared" si="68"/>
        <v>11.529999999999994</v>
      </c>
      <c r="AJ2214" s="5">
        <f t="shared" si="69"/>
        <v>0.17414287871922662</v>
      </c>
    </row>
    <row r="2215" spans="1:36">
      <c r="A2215" t="s">
        <v>279</v>
      </c>
      <c r="B2215" t="s">
        <v>2500</v>
      </c>
      <c r="C2215" t="s">
        <v>110</v>
      </c>
      <c r="D2215" t="s">
        <v>54</v>
      </c>
      <c r="E2215" t="s">
        <v>55</v>
      </c>
      <c r="F2215">
        <v>0</v>
      </c>
      <c r="G2215">
        <v>5631</v>
      </c>
      <c r="H2215">
        <v>1</v>
      </c>
      <c r="I2215" t="s">
        <v>173</v>
      </c>
      <c r="J2215">
        <v>1</v>
      </c>
      <c r="K2215" s="6">
        <v>1.93</v>
      </c>
      <c r="L2215" t="s">
        <v>200</v>
      </c>
      <c r="M2215">
        <v>1</v>
      </c>
      <c r="N2215" t="s">
        <v>175</v>
      </c>
      <c r="O2215">
        <v>1</v>
      </c>
      <c r="P2215">
        <v>0</v>
      </c>
      <c r="Q2215" s="6">
        <v>40.700000000000003</v>
      </c>
      <c r="R2215">
        <v>0</v>
      </c>
      <c r="S2215" s="6">
        <v>0</v>
      </c>
      <c r="T2215">
        <v>0</v>
      </c>
      <c r="U2215" s="6">
        <v>6295</v>
      </c>
      <c r="V2215">
        <v>0</v>
      </c>
      <c r="W2215">
        <v>0</v>
      </c>
      <c r="X2215">
        <v>0</v>
      </c>
      <c r="Y2215" s="6">
        <v>46.5</v>
      </c>
      <c r="Z2215">
        <v>0.105</v>
      </c>
      <c r="AA2215">
        <v>4.4999999999999998E-2</v>
      </c>
      <c r="AB2215">
        <v>9.0999999999999998E-2</v>
      </c>
      <c r="AC2215">
        <v>6</v>
      </c>
      <c r="AD2215" s="6">
        <v>99</v>
      </c>
      <c r="AE2215" s="6">
        <v>0</v>
      </c>
      <c r="AF2215" s="6">
        <v>0</v>
      </c>
      <c r="AG2215" s="6">
        <v>77.28</v>
      </c>
      <c r="AH2215" s="6">
        <v>102.01</v>
      </c>
      <c r="AI2215" s="6">
        <f t="shared" si="68"/>
        <v>24.730000000000004</v>
      </c>
      <c r="AJ2215" s="5">
        <f t="shared" si="69"/>
        <v>0.24242721301833156</v>
      </c>
    </row>
    <row r="2216" spans="1:36">
      <c r="A2216" t="s">
        <v>350</v>
      </c>
      <c r="B2216" t="s">
        <v>2501</v>
      </c>
      <c r="C2216" t="s">
        <v>110</v>
      </c>
      <c r="D2216" t="s">
        <v>54</v>
      </c>
      <c r="E2216" t="s">
        <v>55</v>
      </c>
      <c r="F2216">
        <v>0</v>
      </c>
      <c r="G2216">
        <v>5631</v>
      </c>
      <c r="H2216">
        <v>1</v>
      </c>
      <c r="I2216" t="s">
        <v>178</v>
      </c>
      <c r="J2216">
        <v>4</v>
      </c>
      <c r="K2216" s="6">
        <v>14.03</v>
      </c>
      <c r="L2216" t="s">
        <v>174</v>
      </c>
      <c r="M2216">
        <v>0</v>
      </c>
      <c r="N2216" t="s">
        <v>175</v>
      </c>
      <c r="O2216">
        <v>1</v>
      </c>
      <c r="P2216">
        <v>0</v>
      </c>
      <c r="Q2216" s="6">
        <v>41.2</v>
      </c>
      <c r="R2216">
        <v>0</v>
      </c>
      <c r="S2216" s="6">
        <v>0</v>
      </c>
      <c r="T2216">
        <v>0</v>
      </c>
      <c r="U2216" s="6">
        <v>3544</v>
      </c>
      <c r="V2216">
        <v>0</v>
      </c>
      <c r="W2216">
        <v>0</v>
      </c>
      <c r="X2216">
        <v>0</v>
      </c>
      <c r="Y2216" s="6">
        <v>46.5</v>
      </c>
      <c r="Z2216">
        <v>0.105</v>
      </c>
      <c r="AA2216">
        <v>4.4999999999999998E-2</v>
      </c>
      <c r="AB2216">
        <v>9.0999999999999998E-2</v>
      </c>
      <c r="AC2216">
        <v>6</v>
      </c>
      <c r="AD2216" s="6">
        <v>65</v>
      </c>
      <c r="AE2216" s="6">
        <v>0</v>
      </c>
      <c r="AF2216" s="6">
        <v>0</v>
      </c>
      <c r="AG2216" s="6">
        <v>121.59</v>
      </c>
      <c r="AH2216" s="6">
        <v>149.47999999999999</v>
      </c>
      <c r="AI2216" s="6">
        <f t="shared" si="68"/>
        <v>27.889999999999986</v>
      </c>
      <c r="AJ2216" s="5">
        <f t="shared" si="69"/>
        <v>0.18658014450093649</v>
      </c>
    </row>
    <row r="2217" spans="1:36">
      <c r="A2217" t="s">
        <v>488</v>
      </c>
      <c r="B2217" t="s">
        <v>2502</v>
      </c>
      <c r="C2217" t="s">
        <v>110</v>
      </c>
      <c r="D2217" t="s">
        <v>54</v>
      </c>
      <c r="E2217" t="s">
        <v>55</v>
      </c>
      <c r="F2217">
        <v>0</v>
      </c>
      <c r="G2217">
        <v>5631</v>
      </c>
      <c r="H2217">
        <v>1</v>
      </c>
      <c r="I2217" t="s">
        <v>220</v>
      </c>
      <c r="J2217">
        <v>2</v>
      </c>
      <c r="K2217" s="6">
        <v>4.58</v>
      </c>
      <c r="L2217" t="s">
        <v>174</v>
      </c>
      <c r="M2217">
        <v>0</v>
      </c>
      <c r="N2217" t="s">
        <v>175</v>
      </c>
      <c r="O2217">
        <v>1</v>
      </c>
      <c r="P2217">
        <v>0</v>
      </c>
      <c r="Q2217" s="6">
        <v>30.4</v>
      </c>
      <c r="R2217">
        <v>0</v>
      </c>
      <c r="S2217" s="6">
        <v>0</v>
      </c>
      <c r="T2217">
        <v>0</v>
      </c>
      <c r="U2217" s="6">
        <v>1427</v>
      </c>
      <c r="V2217">
        <v>0</v>
      </c>
      <c r="W2217">
        <v>0</v>
      </c>
      <c r="X2217">
        <v>0</v>
      </c>
      <c r="Y2217" s="6">
        <v>46.5</v>
      </c>
      <c r="Z2217">
        <v>0.105</v>
      </c>
      <c r="AA2217">
        <v>4.4999999999999998E-2</v>
      </c>
      <c r="AB2217">
        <v>9.0999999999999998E-2</v>
      </c>
      <c r="AC2217">
        <v>6</v>
      </c>
      <c r="AD2217" s="6">
        <v>50</v>
      </c>
      <c r="AE2217" s="6">
        <v>0</v>
      </c>
      <c r="AF2217" s="6">
        <v>0</v>
      </c>
      <c r="AG2217" s="6">
        <v>55.45</v>
      </c>
      <c r="AH2217" s="6">
        <v>66.31</v>
      </c>
      <c r="AI2217" s="6">
        <f t="shared" si="68"/>
        <v>10.86</v>
      </c>
      <c r="AJ2217" s="5">
        <f t="shared" si="69"/>
        <v>0.16377620268436133</v>
      </c>
    </row>
    <row r="2218" spans="1:36">
      <c r="A2218" t="s">
        <v>350</v>
      </c>
      <c r="B2218" t="s">
        <v>2503</v>
      </c>
      <c r="C2218" t="s">
        <v>110</v>
      </c>
      <c r="D2218" t="s">
        <v>54</v>
      </c>
      <c r="E2218" t="s">
        <v>55</v>
      </c>
      <c r="F2218">
        <v>0</v>
      </c>
      <c r="G2218">
        <v>5631</v>
      </c>
      <c r="H2218">
        <v>1</v>
      </c>
      <c r="I2218" t="s">
        <v>173</v>
      </c>
      <c r="J2218">
        <v>1</v>
      </c>
      <c r="K2218" s="6">
        <v>1.58</v>
      </c>
      <c r="L2218" t="s">
        <v>174</v>
      </c>
      <c r="M2218">
        <v>0</v>
      </c>
      <c r="N2218" t="s">
        <v>182</v>
      </c>
      <c r="O2218">
        <v>3</v>
      </c>
      <c r="P2218">
        <v>0</v>
      </c>
      <c r="Q2218" s="6">
        <v>84.8</v>
      </c>
      <c r="R2218">
        <v>1</v>
      </c>
      <c r="S2218" s="6">
        <v>1235</v>
      </c>
      <c r="T2218">
        <v>0</v>
      </c>
      <c r="U2218" s="6">
        <v>4659</v>
      </c>
      <c r="V2218">
        <v>0</v>
      </c>
      <c r="W2218">
        <v>0</v>
      </c>
      <c r="X2218">
        <v>0</v>
      </c>
      <c r="Y2218" s="6">
        <v>46.5</v>
      </c>
      <c r="Z2218">
        <v>0.105</v>
      </c>
      <c r="AA2218">
        <v>4.4999999999999998E-2</v>
      </c>
      <c r="AB2218">
        <v>9.0999999999999998E-2</v>
      </c>
      <c r="AC2218">
        <v>6</v>
      </c>
      <c r="AD2218" s="6">
        <v>50</v>
      </c>
      <c r="AE2218" s="6">
        <v>25</v>
      </c>
      <c r="AF2218" s="6">
        <v>0</v>
      </c>
      <c r="AG2218" s="6">
        <v>66.91</v>
      </c>
      <c r="AH2218" s="6">
        <v>81.099999999999994</v>
      </c>
      <c r="AI2218" s="6">
        <f t="shared" si="68"/>
        <v>14.189999999999998</v>
      </c>
      <c r="AJ2218" s="5">
        <f t="shared" si="69"/>
        <v>0.17496917385943278</v>
      </c>
    </row>
    <row r="2219" spans="1:36">
      <c r="A2219" t="s">
        <v>286</v>
      </c>
      <c r="B2219" t="s">
        <v>2504</v>
      </c>
      <c r="C2219" t="s">
        <v>110</v>
      </c>
      <c r="D2219" t="s">
        <v>54</v>
      </c>
      <c r="E2219" t="s">
        <v>55</v>
      </c>
      <c r="F2219">
        <v>0</v>
      </c>
      <c r="G2219">
        <v>5631</v>
      </c>
      <c r="H2219">
        <v>1</v>
      </c>
      <c r="I2219" t="s">
        <v>220</v>
      </c>
      <c r="J2219">
        <v>2</v>
      </c>
      <c r="K2219" s="6">
        <v>4.3499999999999996</v>
      </c>
      <c r="L2219" t="s">
        <v>174</v>
      </c>
      <c r="M2219">
        <v>0</v>
      </c>
      <c r="N2219" t="s">
        <v>175</v>
      </c>
      <c r="O2219">
        <v>1</v>
      </c>
      <c r="P2219">
        <v>1</v>
      </c>
      <c r="Q2219" s="6">
        <v>16</v>
      </c>
      <c r="R2219">
        <v>1</v>
      </c>
      <c r="S2219" s="6">
        <v>4203</v>
      </c>
      <c r="T2219">
        <v>0</v>
      </c>
      <c r="U2219" s="6">
        <v>1252</v>
      </c>
      <c r="V2219">
        <v>0</v>
      </c>
      <c r="W2219">
        <v>0</v>
      </c>
      <c r="X2219">
        <v>0</v>
      </c>
      <c r="Y2219" s="6">
        <v>46.5</v>
      </c>
      <c r="Z2219">
        <v>0.105</v>
      </c>
      <c r="AA2219">
        <v>4.4999999999999998E-2</v>
      </c>
      <c r="AB2219">
        <v>9.0999999999999998E-2</v>
      </c>
      <c r="AC2219">
        <v>6</v>
      </c>
      <c r="AD2219" s="6">
        <v>50</v>
      </c>
      <c r="AE2219" s="6">
        <v>40</v>
      </c>
      <c r="AF2219" s="6">
        <v>0</v>
      </c>
      <c r="AG2219" s="6">
        <v>77.89</v>
      </c>
      <c r="AH2219" s="6">
        <v>94.1</v>
      </c>
      <c r="AI2219" s="6">
        <f t="shared" si="68"/>
        <v>16.209999999999994</v>
      </c>
      <c r="AJ2219" s="5">
        <f t="shared" si="69"/>
        <v>0.17226354941551536</v>
      </c>
    </row>
    <row r="2220" spans="1:36">
      <c r="A2220" t="s">
        <v>171</v>
      </c>
      <c r="B2220" t="s">
        <v>2505</v>
      </c>
      <c r="C2220" t="s">
        <v>110</v>
      </c>
      <c r="D2220" t="s">
        <v>54</v>
      </c>
      <c r="E2220" t="s">
        <v>55</v>
      </c>
      <c r="F2220">
        <v>0</v>
      </c>
      <c r="G2220">
        <v>5631</v>
      </c>
      <c r="H2220">
        <v>1</v>
      </c>
      <c r="I2220" t="s">
        <v>220</v>
      </c>
      <c r="J2220">
        <v>2</v>
      </c>
      <c r="K2220" s="6">
        <v>5.87</v>
      </c>
      <c r="L2220" t="s">
        <v>200</v>
      </c>
      <c r="M2220">
        <v>1</v>
      </c>
      <c r="N2220" t="s">
        <v>182</v>
      </c>
      <c r="O2220">
        <v>3</v>
      </c>
      <c r="P2220">
        <v>0</v>
      </c>
      <c r="Q2220" s="6">
        <v>81.400000000000006</v>
      </c>
      <c r="R2220">
        <v>1</v>
      </c>
      <c r="S2220" s="6">
        <v>1230</v>
      </c>
      <c r="T2220">
        <v>0</v>
      </c>
      <c r="U2220" s="6">
        <v>3066</v>
      </c>
      <c r="V2220">
        <v>0</v>
      </c>
      <c r="W2220">
        <v>0</v>
      </c>
      <c r="X2220">
        <v>0</v>
      </c>
      <c r="Y2220" s="6">
        <v>46.5</v>
      </c>
      <c r="Z2220">
        <v>0.105</v>
      </c>
      <c r="AA2220">
        <v>4.4999999999999998E-2</v>
      </c>
      <c r="AB2220">
        <v>9.0999999999999998E-2</v>
      </c>
      <c r="AC2220">
        <v>6</v>
      </c>
      <c r="AD2220" s="6">
        <v>119</v>
      </c>
      <c r="AE2220" s="6">
        <v>25</v>
      </c>
      <c r="AF2220" s="6">
        <v>0</v>
      </c>
      <c r="AG2220" s="6">
        <v>96.92</v>
      </c>
      <c r="AH2220" s="6">
        <v>120.75</v>
      </c>
      <c r="AI2220" s="6">
        <f t="shared" si="68"/>
        <v>23.83</v>
      </c>
      <c r="AJ2220" s="5">
        <f t="shared" si="69"/>
        <v>0.19734989648033124</v>
      </c>
    </row>
    <row r="2221" spans="1:36">
      <c r="A2221" t="s">
        <v>350</v>
      </c>
      <c r="B2221" t="s">
        <v>2506</v>
      </c>
      <c r="C2221" t="s">
        <v>110</v>
      </c>
      <c r="D2221" t="s">
        <v>54</v>
      </c>
      <c r="E2221" t="s">
        <v>55</v>
      </c>
      <c r="F2221">
        <v>0</v>
      </c>
      <c r="G2221">
        <v>5631</v>
      </c>
      <c r="H2221">
        <v>1</v>
      </c>
      <c r="I2221" t="s">
        <v>181</v>
      </c>
      <c r="J2221">
        <v>3</v>
      </c>
      <c r="K2221" s="6">
        <v>7.03</v>
      </c>
      <c r="L2221" t="s">
        <v>174</v>
      </c>
      <c r="M2221">
        <v>0</v>
      </c>
      <c r="N2221" t="s">
        <v>175</v>
      </c>
      <c r="O2221">
        <v>1</v>
      </c>
      <c r="P2221">
        <v>0</v>
      </c>
      <c r="Q2221" s="6">
        <v>35.200000000000003</v>
      </c>
      <c r="R2221">
        <v>1</v>
      </c>
      <c r="S2221" s="6">
        <v>1037</v>
      </c>
      <c r="T2221">
        <v>0</v>
      </c>
      <c r="U2221" s="6">
        <v>4525</v>
      </c>
      <c r="V2221">
        <v>1</v>
      </c>
      <c r="W2221">
        <v>0</v>
      </c>
      <c r="X2221">
        <v>0</v>
      </c>
      <c r="Y2221" s="6">
        <v>46.5</v>
      </c>
      <c r="Z2221">
        <v>0.105</v>
      </c>
      <c r="AA2221">
        <v>4.4999999999999998E-2</v>
      </c>
      <c r="AB2221">
        <v>9.0999999999999998E-2</v>
      </c>
      <c r="AC2221">
        <v>6</v>
      </c>
      <c r="AD2221" s="6">
        <v>60</v>
      </c>
      <c r="AE2221" s="6">
        <v>25</v>
      </c>
      <c r="AF2221" s="6">
        <v>0</v>
      </c>
      <c r="AG2221" s="6">
        <v>112.24</v>
      </c>
      <c r="AH2221" s="6">
        <v>134.13999999999999</v>
      </c>
      <c r="AI2221" s="6">
        <f t="shared" si="68"/>
        <v>21.899999999999991</v>
      </c>
      <c r="AJ2221" s="5">
        <f t="shared" si="69"/>
        <v>0.16326226330699264</v>
      </c>
    </row>
    <row r="2222" spans="1:36">
      <c r="A2222" t="s">
        <v>263</v>
      </c>
      <c r="B2222" t="s">
        <v>2507</v>
      </c>
      <c r="C2222" t="s">
        <v>110</v>
      </c>
      <c r="D2222" t="s">
        <v>54</v>
      </c>
      <c r="E2222" t="s">
        <v>55</v>
      </c>
      <c r="F2222">
        <v>0</v>
      </c>
      <c r="G2222">
        <v>5631</v>
      </c>
      <c r="H2222">
        <v>1</v>
      </c>
      <c r="I2222" t="s">
        <v>178</v>
      </c>
      <c r="J2222">
        <v>4</v>
      </c>
      <c r="K2222" s="6">
        <v>5.26</v>
      </c>
      <c r="L2222" t="s">
        <v>174</v>
      </c>
      <c r="M2222">
        <v>0</v>
      </c>
      <c r="N2222" t="s">
        <v>187</v>
      </c>
      <c r="O2222">
        <v>2</v>
      </c>
      <c r="P2222">
        <v>0</v>
      </c>
      <c r="Q2222" s="6">
        <v>42.3</v>
      </c>
      <c r="R2222">
        <v>1</v>
      </c>
      <c r="S2222" s="6">
        <v>1904</v>
      </c>
      <c r="T2222">
        <v>0</v>
      </c>
      <c r="U2222" s="6">
        <v>4955</v>
      </c>
      <c r="V2222">
        <v>0</v>
      </c>
      <c r="W2222">
        <v>0</v>
      </c>
      <c r="X2222">
        <v>0</v>
      </c>
      <c r="Y2222" s="6">
        <v>46.5</v>
      </c>
      <c r="Z2222">
        <v>0.105</v>
      </c>
      <c r="AA2222">
        <v>4.4999999999999998E-2</v>
      </c>
      <c r="AB2222">
        <v>9.0999999999999998E-2</v>
      </c>
      <c r="AC2222">
        <v>6</v>
      </c>
      <c r="AD2222" s="6">
        <v>65</v>
      </c>
      <c r="AE2222" s="6">
        <v>25</v>
      </c>
      <c r="AF2222" s="6">
        <v>0</v>
      </c>
      <c r="AG2222" s="6">
        <v>94.47</v>
      </c>
      <c r="AH2222" s="6">
        <v>115.19</v>
      </c>
      <c r="AI2222" s="6">
        <f t="shared" si="68"/>
        <v>20.72</v>
      </c>
      <c r="AJ2222" s="5">
        <f t="shared" si="69"/>
        <v>0.17987672541019184</v>
      </c>
    </row>
    <row r="2223" spans="1:36">
      <c r="A2223" t="s">
        <v>261</v>
      </c>
      <c r="B2223" t="s">
        <v>2508</v>
      </c>
      <c r="C2223" t="s">
        <v>110</v>
      </c>
      <c r="D2223" t="s">
        <v>54</v>
      </c>
      <c r="E2223" t="s">
        <v>55</v>
      </c>
      <c r="F2223">
        <v>0</v>
      </c>
      <c r="G2223">
        <v>5631</v>
      </c>
      <c r="H2223">
        <v>1</v>
      </c>
      <c r="I2223" t="s">
        <v>173</v>
      </c>
      <c r="J2223">
        <v>1</v>
      </c>
      <c r="K2223" s="6">
        <v>2.2999999999999998</v>
      </c>
      <c r="L2223" t="s">
        <v>200</v>
      </c>
      <c r="M2223">
        <v>1</v>
      </c>
      <c r="N2223" t="s">
        <v>175</v>
      </c>
      <c r="O2223">
        <v>1</v>
      </c>
      <c r="P2223">
        <v>0</v>
      </c>
      <c r="Q2223" s="6">
        <v>32.1</v>
      </c>
      <c r="R2223">
        <v>1</v>
      </c>
      <c r="S2223" s="6">
        <v>825</v>
      </c>
      <c r="T2223">
        <v>0</v>
      </c>
      <c r="U2223" s="6">
        <v>4581</v>
      </c>
      <c r="V2223">
        <v>0</v>
      </c>
      <c r="W2223">
        <v>0</v>
      </c>
      <c r="X2223">
        <v>0</v>
      </c>
      <c r="Y2223" s="6">
        <v>46.5</v>
      </c>
      <c r="Z2223">
        <v>0.105</v>
      </c>
      <c r="AA2223">
        <v>4.4999999999999998E-2</v>
      </c>
      <c r="AB2223">
        <v>9.0999999999999998E-2</v>
      </c>
      <c r="AC2223">
        <v>6</v>
      </c>
      <c r="AD2223" s="6">
        <v>99</v>
      </c>
      <c r="AE2223" s="6">
        <v>25</v>
      </c>
      <c r="AF2223" s="6">
        <v>0</v>
      </c>
      <c r="AG2223" s="6">
        <v>74.98</v>
      </c>
      <c r="AH2223" s="6">
        <v>103.74</v>
      </c>
      <c r="AI2223" s="6">
        <f t="shared" si="68"/>
        <v>28.759999999999991</v>
      </c>
      <c r="AJ2223" s="5">
        <f t="shared" si="69"/>
        <v>0.27723154038943504</v>
      </c>
    </row>
    <row r="2224" spans="1:36">
      <c r="A2224" t="s">
        <v>403</v>
      </c>
      <c r="B2224" t="s">
        <v>2509</v>
      </c>
      <c r="C2224" t="s">
        <v>110</v>
      </c>
      <c r="D2224" t="s">
        <v>54</v>
      </c>
      <c r="E2224" t="s">
        <v>55</v>
      </c>
      <c r="F2224">
        <v>0</v>
      </c>
      <c r="G2224">
        <v>5631</v>
      </c>
      <c r="H2224">
        <v>1</v>
      </c>
      <c r="I2224" t="s">
        <v>220</v>
      </c>
      <c r="J2224">
        <v>2</v>
      </c>
      <c r="K2224" s="6">
        <v>2.98</v>
      </c>
      <c r="L2224" t="s">
        <v>174</v>
      </c>
      <c r="M2224">
        <v>0</v>
      </c>
      <c r="N2224" t="s">
        <v>175</v>
      </c>
      <c r="O2224">
        <v>1</v>
      </c>
      <c r="P2224">
        <v>0</v>
      </c>
      <c r="Q2224" s="6">
        <v>43.7</v>
      </c>
      <c r="R2224">
        <v>1</v>
      </c>
      <c r="S2224" s="6">
        <v>781</v>
      </c>
      <c r="T2224">
        <v>0</v>
      </c>
      <c r="U2224" s="6">
        <v>6035</v>
      </c>
      <c r="V2224">
        <v>0</v>
      </c>
      <c r="W2224">
        <v>0</v>
      </c>
      <c r="X2224">
        <v>0</v>
      </c>
      <c r="Y2224" s="6">
        <v>46.5</v>
      </c>
      <c r="Z2224">
        <v>0.105</v>
      </c>
      <c r="AA2224">
        <v>4.4999999999999998E-2</v>
      </c>
      <c r="AB2224">
        <v>9.0999999999999998E-2</v>
      </c>
      <c r="AC2224">
        <v>6</v>
      </c>
      <c r="AD2224" s="6">
        <v>50</v>
      </c>
      <c r="AE2224" s="6">
        <v>25</v>
      </c>
      <c r="AF2224" s="6">
        <v>0</v>
      </c>
      <c r="AG2224" s="6">
        <v>54.64</v>
      </c>
      <c r="AH2224" s="6">
        <v>68.66</v>
      </c>
      <c r="AI2224" s="6">
        <f t="shared" si="68"/>
        <v>14.019999999999996</v>
      </c>
      <c r="AJ2224" s="5">
        <f t="shared" si="69"/>
        <v>0.20419458199825222</v>
      </c>
    </row>
    <row r="2225" spans="1:36">
      <c r="A2225" t="s">
        <v>218</v>
      </c>
      <c r="B2225" t="s">
        <v>2510</v>
      </c>
      <c r="C2225" t="s">
        <v>110</v>
      </c>
      <c r="D2225" t="s">
        <v>54</v>
      </c>
      <c r="E2225" t="s">
        <v>55</v>
      </c>
      <c r="F2225">
        <v>0</v>
      </c>
      <c r="G2225">
        <v>5631</v>
      </c>
      <c r="H2225">
        <v>1</v>
      </c>
      <c r="I2225" t="s">
        <v>173</v>
      </c>
      <c r="J2225">
        <v>1</v>
      </c>
      <c r="K2225" s="6">
        <v>1.34</v>
      </c>
      <c r="L2225" t="s">
        <v>174</v>
      </c>
      <c r="M2225">
        <v>0</v>
      </c>
      <c r="N2225" t="s">
        <v>175</v>
      </c>
      <c r="O2225">
        <v>1</v>
      </c>
      <c r="P2225">
        <v>0</v>
      </c>
      <c r="Q2225" s="6">
        <v>43.6</v>
      </c>
      <c r="R2225">
        <v>0</v>
      </c>
      <c r="S2225" s="6">
        <v>0</v>
      </c>
      <c r="T2225">
        <v>0</v>
      </c>
      <c r="U2225" s="6">
        <v>3262</v>
      </c>
      <c r="V2225">
        <v>0</v>
      </c>
      <c r="W2225">
        <v>0</v>
      </c>
      <c r="X2225">
        <v>0</v>
      </c>
      <c r="Y2225" s="6">
        <v>46.5</v>
      </c>
      <c r="Z2225">
        <v>0.105</v>
      </c>
      <c r="AA2225">
        <v>4.4999999999999998E-2</v>
      </c>
      <c r="AB2225">
        <v>9.0999999999999998E-2</v>
      </c>
      <c r="AC2225">
        <v>6</v>
      </c>
      <c r="AD2225" s="6">
        <v>50</v>
      </c>
      <c r="AE2225" s="6">
        <v>0</v>
      </c>
      <c r="AF2225" s="6">
        <v>0</v>
      </c>
      <c r="AG2225" s="6">
        <v>32.799999999999997</v>
      </c>
      <c r="AH2225" s="6">
        <v>53.49</v>
      </c>
      <c r="AI2225" s="6">
        <f t="shared" si="68"/>
        <v>20.690000000000005</v>
      </c>
      <c r="AJ2225" s="5">
        <f t="shared" si="69"/>
        <v>0.38680127126565722</v>
      </c>
    </row>
    <row r="2226" spans="1:36">
      <c r="A2226" t="s">
        <v>521</v>
      </c>
      <c r="B2226" t="s">
        <v>2511</v>
      </c>
      <c r="C2226" t="s">
        <v>110</v>
      </c>
      <c r="D2226" t="s">
        <v>54</v>
      </c>
      <c r="E2226" t="s">
        <v>55</v>
      </c>
      <c r="F2226">
        <v>0</v>
      </c>
      <c r="G2226">
        <v>5631</v>
      </c>
      <c r="H2226">
        <v>1</v>
      </c>
      <c r="I2226" t="s">
        <v>181</v>
      </c>
      <c r="J2226">
        <v>3</v>
      </c>
      <c r="K2226" s="6">
        <v>10.49</v>
      </c>
      <c r="L2226" t="s">
        <v>174</v>
      </c>
      <c r="M2226">
        <v>0</v>
      </c>
      <c r="N2226" t="s">
        <v>187</v>
      </c>
      <c r="O2226">
        <v>2</v>
      </c>
      <c r="P2226">
        <v>0</v>
      </c>
      <c r="Q2226" s="6">
        <v>60.2</v>
      </c>
      <c r="R2226">
        <v>1</v>
      </c>
      <c r="S2226" s="6">
        <v>1912</v>
      </c>
      <c r="T2226">
        <v>0</v>
      </c>
      <c r="U2226" s="6">
        <v>1970</v>
      </c>
      <c r="V2226">
        <v>0</v>
      </c>
      <c r="W2226">
        <v>0</v>
      </c>
      <c r="X2226">
        <v>0</v>
      </c>
      <c r="Y2226" s="6">
        <v>46.5</v>
      </c>
      <c r="Z2226">
        <v>0.105</v>
      </c>
      <c r="AA2226">
        <v>4.4999999999999998E-2</v>
      </c>
      <c r="AB2226">
        <v>9.0999999999999998E-2</v>
      </c>
      <c r="AC2226">
        <v>6</v>
      </c>
      <c r="AD2226" s="6">
        <v>60</v>
      </c>
      <c r="AE2226" s="6">
        <v>25</v>
      </c>
      <c r="AF2226" s="6">
        <v>0</v>
      </c>
      <c r="AG2226" s="6">
        <v>102.14</v>
      </c>
      <c r="AH2226" s="6">
        <v>123.97</v>
      </c>
      <c r="AI2226" s="6">
        <f t="shared" si="68"/>
        <v>21.83</v>
      </c>
      <c r="AJ2226" s="5">
        <f t="shared" si="69"/>
        <v>0.17609098975558601</v>
      </c>
    </row>
    <row r="2227" spans="1:36">
      <c r="A2227" t="s">
        <v>528</v>
      </c>
      <c r="B2227" t="s">
        <v>2512</v>
      </c>
      <c r="C2227" t="s">
        <v>110</v>
      </c>
      <c r="D2227" t="s">
        <v>54</v>
      </c>
      <c r="E2227" t="s">
        <v>55</v>
      </c>
      <c r="F2227">
        <v>0</v>
      </c>
      <c r="G2227">
        <v>5631</v>
      </c>
      <c r="H2227">
        <v>1</v>
      </c>
      <c r="I2227" t="s">
        <v>178</v>
      </c>
      <c r="J2227">
        <v>4</v>
      </c>
      <c r="K2227" s="6">
        <v>9.27</v>
      </c>
      <c r="L2227" t="s">
        <v>174</v>
      </c>
      <c r="M2227">
        <v>0</v>
      </c>
      <c r="N2227" t="s">
        <v>187</v>
      </c>
      <c r="O2227">
        <v>2</v>
      </c>
      <c r="P2227">
        <v>0</v>
      </c>
      <c r="Q2227" s="6">
        <v>52.8</v>
      </c>
      <c r="R2227">
        <v>1</v>
      </c>
      <c r="S2227" s="6">
        <v>3019</v>
      </c>
      <c r="T2227">
        <v>0</v>
      </c>
      <c r="U2227" s="6">
        <v>2445</v>
      </c>
      <c r="V2227">
        <v>0</v>
      </c>
      <c r="W2227">
        <v>0</v>
      </c>
      <c r="X2227">
        <v>0</v>
      </c>
      <c r="Y2227" s="6">
        <v>46.5</v>
      </c>
      <c r="Z2227">
        <v>0.105</v>
      </c>
      <c r="AA2227">
        <v>4.4999999999999998E-2</v>
      </c>
      <c r="AB2227">
        <v>9.0999999999999998E-2</v>
      </c>
      <c r="AC2227">
        <v>6</v>
      </c>
      <c r="AD2227" s="6">
        <v>65</v>
      </c>
      <c r="AE2227" s="6">
        <v>40</v>
      </c>
      <c r="AF2227" s="6">
        <v>0</v>
      </c>
      <c r="AG2227" s="6">
        <v>113.23</v>
      </c>
      <c r="AH2227" s="6">
        <v>135.87</v>
      </c>
      <c r="AI2227" s="6">
        <f t="shared" si="68"/>
        <v>22.64</v>
      </c>
      <c r="AJ2227" s="5">
        <f t="shared" si="69"/>
        <v>0.16662986678442629</v>
      </c>
    </row>
    <row r="2228" spans="1:36">
      <c r="A2228" t="s">
        <v>521</v>
      </c>
      <c r="B2228" t="s">
        <v>2513</v>
      </c>
      <c r="C2228" t="s">
        <v>110</v>
      </c>
      <c r="D2228" t="s">
        <v>54</v>
      </c>
      <c r="E2228" t="s">
        <v>55</v>
      </c>
      <c r="F2228">
        <v>0</v>
      </c>
      <c r="G2228">
        <v>5631</v>
      </c>
      <c r="H2228">
        <v>1</v>
      </c>
      <c r="I2228" t="s">
        <v>173</v>
      </c>
      <c r="J2228">
        <v>1</v>
      </c>
      <c r="K2228" s="6">
        <v>1.31</v>
      </c>
      <c r="L2228" t="s">
        <v>174</v>
      </c>
      <c r="M2228">
        <v>0</v>
      </c>
      <c r="N2228" t="s">
        <v>175</v>
      </c>
      <c r="O2228">
        <v>1</v>
      </c>
      <c r="P2228">
        <v>0</v>
      </c>
      <c r="Q2228" s="6">
        <v>24.9</v>
      </c>
      <c r="R2228">
        <v>1</v>
      </c>
      <c r="S2228" s="6">
        <v>1186</v>
      </c>
      <c r="T2228">
        <v>0</v>
      </c>
      <c r="U2228" s="6">
        <v>5376</v>
      </c>
      <c r="V2228">
        <v>0</v>
      </c>
      <c r="W2228">
        <v>0</v>
      </c>
      <c r="X2228">
        <v>0</v>
      </c>
      <c r="Y2228" s="6">
        <v>46.5</v>
      </c>
      <c r="Z2228">
        <v>0.105</v>
      </c>
      <c r="AA2228">
        <v>4.4999999999999998E-2</v>
      </c>
      <c r="AB2228">
        <v>9.0999999999999998E-2</v>
      </c>
      <c r="AC2228">
        <v>6</v>
      </c>
      <c r="AD2228" s="6">
        <v>50</v>
      </c>
      <c r="AE2228" s="6">
        <v>25</v>
      </c>
      <c r="AF2228" s="6">
        <v>0</v>
      </c>
      <c r="AG2228" s="6">
        <v>46.86</v>
      </c>
      <c r="AH2228" s="6">
        <v>58.06</v>
      </c>
      <c r="AI2228" s="6">
        <f t="shared" si="68"/>
        <v>11.200000000000003</v>
      </c>
      <c r="AJ2228" s="5">
        <f t="shared" si="69"/>
        <v>0.1929038925249742</v>
      </c>
    </row>
    <row r="2229" spans="1:36">
      <c r="A2229" t="s">
        <v>423</v>
      </c>
      <c r="B2229" t="s">
        <v>2514</v>
      </c>
      <c r="C2229" t="s">
        <v>110</v>
      </c>
      <c r="D2229" t="s">
        <v>54</v>
      </c>
      <c r="E2229" t="s">
        <v>55</v>
      </c>
      <c r="F2229">
        <v>0</v>
      </c>
      <c r="G2229">
        <v>5631</v>
      </c>
      <c r="H2229">
        <v>1</v>
      </c>
      <c r="I2229" t="s">
        <v>220</v>
      </c>
      <c r="J2229">
        <v>2</v>
      </c>
      <c r="K2229" s="6">
        <v>2.9</v>
      </c>
      <c r="L2229" t="s">
        <v>200</v>
      </c>
      <c r="M2229">
        <v>1</v>
      </c>
      <c r="N2229" t="s">
        <v>187</v>
      </c>
      <c r="O2229">
        <v>2</v>
      </c>
      <c r="P2229">
        <v>1</v>
      </c>
      <c r="Q2229" s="6">
        <v>59</v>
      </c>
      <c r="R2229">
        <v>1</v>
      </c>
      <c r="S2229" s="6">
        <v>3215</v>
      </c>
      <c r="T2229">
        <v>0</v>
      </c>
      <c r="U2229" s="6">
        <v>2873</v>
      </c>
      <c r="V2229">
        <v>1</v>
      </c>
      <c r="W2229">
        <v>0</v>
      </c>
      <c r="X2229">
        <v>0</v>
      </c>
      <c r="Y2229" s="6">
        <v>46.5</v>
      </c>
      <c r="Z2229">
        <v>0.105</v>
      </c>
      <c r="AA2229">
        <v>4.4999999999999998E-2</v>
      </c>
      <c r="AB2229">
        <v>9.0999999999999998E-2</v>
      </c>
      <c r="AC2229">
        <v>6</v>
      </c>
      <c r="AD2229" s="6">
        <v>119</v>
      </c>
      <c r="AE2229" s="6">
        <v>40</v>
      </c>
      <c r="AF2229" s="6">
        <v>0</v>
      </c>
      <c r="AG2229" s="6">
        <v>185.29</v>
      </c>
      <c r="AH2229" s="6">
        <v>224.48</v>
      </c>
      <c r="AI2229" s="6">
        <f t="shared" si="68"/>
        <v>39.19</v>
      </c>
      <c r="AJ2229" s="5">
        <f t="shared" si="69"/>
        <v>0.17458125445473985</v>
      </c>
    </row>
    <row r="2230" spans="1:36">
      <c r="A2230" t="s">
        <v>171</v>
      </c>
      <c r="B2230" t="s">
        <v>2515</v>
      </c>
      <c r="C2230" t="s">
        <v>110</v>
      </c>
      <c r="D2230" t="s">
        <v>54</v>
      </c>
      <c r="E2230" t="s">
        <v>55</v>
      </c>
      <c r="F2230">
        <v>0</v>
      </c>
      <c r="G2230">
        <v>5631</v>
      </c>
      <c r="H2230">
        <v>1</v>
      </c>
      <c r="I2230" t="s">
        <v>181</v>
      </c>
      <c r="J2230">
        <v>3</v>
      </c>
      <c r="K2230" s="6">
        <v>8.26</v>
      </c>
      <c r="L2230" t="s">
        <v>174</v>
      </c>
      <c r="M2230">
        <v>0</v>
      </c>
      <c r="N2230" t="s">
        <v>187</v>
      </c>
      <c r="O2230">
        <v>2</v>
      </c>
      <c r="P2230">
        <v>0</v>
      </c>
      <c r="Q2230" s="6">
        <v>60.4</v>
      </c>
      <c r="R2230">
        <v>1</v>
      </c>
      <c r="S2230" s="6">
        <v>5191</v>
      </c>
      <c r="T2230">
        <v>0</v>
      </c>
      <c r="U2230" s="6">
        <v>2652</v>
      </c>
      <c r="V2230">
        <v>0</v>
      </c>
      <c r="W2230">
        <v>0</v>
      </c>
      <c r="X2230">
        <v>0</v>
      </c>
      <c r="Y2230" s="6">
        <v>46.5</v>
      </c>
      <c r="Z2230">
        <v>0.105</v>
      </c>
      <c r="AA2230">
        <v>4.4999999999999998E-2</v>
      </c>
      <c r="AB2230">
        <v>9.0999999999999998E-2</v>
      </c>
      <c r="AC2230">
        <v>6</v>
      </c>
      <c r="AD2230" s="6">
        <v>60</v>
      </c>
      <c r="AE2230" s="6">
        <v>50</v>
      </c>
      <c r="AF2230" s="6">
        <v>0</v>
      </c>
      <c r="AG2230" s="6">
        <v>93.88</v>
      </c>
      <c r="AH2230" s="6">
        <v>113.78</v>
      </c>
      <c r="AI2230" s="6">
        <f t="shared" si="68"/>
        <v>19.900000000000006</v>
      </c>
      <c r="AJ2230" s="5">
        <f t="shared" si="69"/>
        <v>0.17489892775531732</v>
      </c>
    </row>
    <row r="2231" spans="1:36">
      <c r="A2231" t="s">
        <v>176</v>
      </c>
      <c r="B2231" t="s">
        <v>2516</v>
      </c>
      <c r="C2231" t="s">
        <v>110</v>
      </c>
      <c r="D2231" t="s">
        <v>54</v>
      </c>
      <c r="E2231" t="s">
        <v>55</v>
      </c>
      <c r="F2231">
        <v>0</v>
      </c>
      <c r="G2231">
        <v>5631</v>
      </c>
      <c r="H2231">
        <v>1</v>
      </c>
      <c r="I2231" t="s">
        <v>178</v>
      </c>
      <c r="J2231">
        <v>4</v>
      </c>
      <c r="K2231" s="6">
        <v>17.309999999999999</v>
      </c>
      <c r="L2231" t="s">
        <v>174</v>
      </c>
      <c r="M2231">
        <v>0</v>
      </c>
      <c r="N2231" t="s">
        <v>187</v>
      </c>
      <c r="O2231">
        <v>2</v>
      </c>
      <c r="P2231">
        <v>0</v>
      </c>
      <c r="Q2231" s="6">
        <v>56.1</v>
      </c>
      <c r="R2231">
        <v>0</v>
      </c>
      <c r="S2231" s="6">
        <v>0</v>
      </c>
      <c r="T2231">
        <v>0</v>
      </c>
      <c r="U2231" s="6">
        <v>3372</v>
      </c>
      <c r="V2231">
        <v>0</v>
      </c>
      <c r="W2231">
        <v>0</v>
      </c>
      <c r="X2231">
        <v>0</v>
      </c>
      <c r="Y2231" s="6">
        <v>46.5</v>
      </c>
      <c r="Z2231">
        <v>0.105</v>
      </c>
      <c r="AA2231">
        <v>4.4999999999999998E-2</v>
      </c>
      <c r="AB2231">
        <v>9.0999999999999998E-2</v>
      </c>
      <c r="AC2231">
        <v>6</v>
      </c>
      <c r="AD2231" s="6">
        <v>65</v>
      </c>
      <c r="AE2231" s="6">
        <v>0</v>
      </c>
      <c r="AF2231" s="6">
        <v>0</v>
      </c>
      <c r="AG2231" s="6">
        <v>135.5</v>
      </c>
      <c r="AH2231" s="6">
        <v>164.13</v>
      </c>
      <c r="AI2231" s="6">
        <f t="shared" si="68"/>
        <v>28.629999999999995</v>
      </c>
      <c r="AJ2231" s="5">
        <f t="shared" si="69"/>
        <v>0.17443489916529578</v>
      </c>
    </row>
    <row r="2232" spans="1:36">
      <c r="A2232" t="s">
        <v>512</v>
      </c>
      <c r="B2232" t="s">
        <v>2517</v>
      </c>
      <c r="C2232" t="s">
        <v>110</v>
      </c>
      <c r="D2232" t="s">
        <v>54</v>
      </c>
      <c r="E2232" t="s">
        <v>55</v>
      </c>
      <c r="F2232">
        <v>0</v>
      </c>
      <c r="G2232">
        <v>5631</v>
      </c>
      <c r="H2232">
        <v>1</v>
      </c>
      <c r="I2232" t="s">
        <v>220</v>
      </c>
      <c r="J2232">
        <v>2</v>
      </c>
      <c r="K2232" s="6">
        <v>2.46</v>
      </c>
      <c r="L2232" t="s">
        <v>174</v>
      </c>
      <c r="M2232">
        <v>0</v>
      </c>
      <c r="N2232" t="s">
        <v>182</v>
      </c>
      <c r="O2232">
        <v>3</v>
      </c>
      <c r="P2232">
        <v>0</v>
      </c>
      <c r="Q2232" s="6">
        <v>109.4</v>
      </c>
      <c r="R2232">
        <v>0</v>
      </c>
      <c r="S2232" s="6">
        <v>0</v>
      </c>
      <c r="T2232">
        <v>0</v>
      </c>
      <c r="U2232" s="6">
        <v>2059</v>
      </c>
      <c r="V2232">
        <v>0</v>
      </c>
      <c r="W2232">
        <v>0</v>
      </c>
      <c r="X2232">
        <v>0</v>
      </c>
      <c r="Y2232" s="6">
        <v>46.5</v>
      </c>
      <c r="Z2232">
        <v>0.105</v>
      </c>
      <c r="AA2232">
        <v>4.4999999999999998E-2</v>
      </c>
      <c r="AB2232">
        <v>9.0999999999999998E-2</v>
      </c>
      <c r="AC2232">
        <v>6</v>
      </c>
      <c r="AD2232" s="6">
        <v>50</v>
      </c>
      <c r="AE2232" s="6">
        <v>0</v>
      </c>
      <c r="AF2232" s="6">
        <v>0</v>
      </c>
      <c r="AG2232" s="6">
        <v>68.22</v>
      </c>
      <c r="AH2232" s="6">
        <v>84.32</v>
      </c>
      <c r="AI2232" s="6">
        <f t="shared" si="68"/>
        <v>16.099999999999994</v>
      </c>
      <c r="AJ2232" s="5">
        <f t="shared" si="69"/>
        <v>0.19093927893738136</v>
      </c>
    </row>
    <row r="2233" spans="1:36">
      <c r="A2233" t="s">
        <v>517</v>
      </c>
      <c r="B2233" t="s">
        <v>2518</v>
      </c>
      <c r="C2233" t="s">
        <v>110</v>
      </c>
      <c r="D2233" t="s">
        <v>54</v>
      </c>
      <c r="E2233" t="s">
        <v>55</v>
      </c>
      <c r="F2233">
        <v>0</v>
      </c>
      <c r="G2233">
        <v>5631</v>
      </c>
      <c r="H2233">
        <v>1</v>
      </c>
      <c r="I2233" t="s">
        <v>173</v>
      </c>
      <c r="J2233">
        <v>1</v>
      </c>
      <c r="K2233" s="6">
        <v>1.93</v>
      </c>
      <c r="L2233" t="s">
        <v>200</v>
      </c>
      <c r="M2233">
        <v>1</v>
      </c>
      <c r="N2233" t="s">
        <v>182</v>
      </c>
      <c r="O2233">
        <v>3</v>
      </c>
      <c r="P2233">
        <v>0</v>
      </c>
      <c r="Q2233" s="6">
        <v>71.7</v>
      </c>
      <c r="R2233">
        <v>1</v>
      </c>
      <c r="S2233" s="6">
        <v>2324</v>
      </c>
      <c r="T2233">
        <v>0</v>
      </c>
      <c r="U2233" s="6">
        <v>1838</v>
      </c>
      <c r="V2233">
        <v>0</v>
      </c>
      <c r="W2233">
        <v>0</v>
      </c>
      <c r="X2233">
        <v>0</v>
      </c>
      <c r="Y2233" s="6">
        <v>46.5</v>
      </c>
      <c r="Z2233">
        <v>0.105</v>
      </c>
      <c r="AA2233">
        <v>4.4999999999999998E-2</v>
      </c>
      <c r="AB2233">
        <v>9.0999999999999998E-2</v>
      </c>
      <c r="AC2233">
        <v>6</v>
      </c>
      <c r="AD2233" s="6">
        <v>99</v>
      </c>
      <c r="AE2233" s="6">
        <v>40</v>
      </c>
      <c r="AF2233" s="6">
        <v>0</v>
      </c>
      <c r="AG2233" s="6">
        <v>91.74</v>
      </c>
      <c r="AH2233" s="6">
        <v>110.78</v>
      </c>
      <c r="AI2233" s="6">
        <f t="shared" si="68"/>
        <v>19.040000000000006</v>
      </c>
      <c r="AJ2233" s="5">
        <f t="shared" si="69"/>
        <v>0.17187217909369928</v>
      </c>
    </row>
    <row r="2234" spans="1:36">
      <c r="A2234" t="s">
        <v>171</v>
      </c>
      <c r="B2234" t="s">
        <v>2519</v>
      </c>
      <c r="C2234" t="s">
        <v>110</v>
      </c>
      <c r="D2234" t="s">
        <v>54</v>
      </c>
      <c r="E2234" t="s">
        <v>55</v>
      </c>
      <c r="F2234">
        <v>0</v>
      </c>
      <c r="G2234">
        <v>5631</v>
      </c>
      <c r="H2234">
        <v>1</v>
      </c>
      <c r="I2234" t="s">
        <v>181</v>
      </c>
      <c r="J2234">
        <v>3</v>
      </c>
      <c r="K2234" s="6">
        <v>9.6</v>
      </c>
      <c r="L2234" t="s">
        <v>200</v>
      </c>
      <c r="M2234">
        <v>1</v>
      </c>
      <c r="N2234" t="s">
        <v>187</v>
      </c>
      <c r="O2234">
        <v>2</v>
      </c>
      <c r="P2234">
        <v>0</v>
      </c>
      <c r="Q2234" s="6">
        <v>81</v>
      </c>
      <c r="R2234">
        <v>1</v>
      </c>
      <c r="S2234" s="6">
        <v>1492</v>
      </c>
      <c r="T2234">
        <v>0</v>
      </c>
      <c r="U2234" s="6">
        <v>1513</v>
      </c>
      <c r="V2234">
        <v>0</v>
      </c>
      <c r="W2234">
        <v>0</v>
      </c>
      <c r="X2234">
        <v>0</v>
      </c>
      <c r="Y2234" s="6">
        <v>46.5</v>
      </c>
      <c r="Z2234">
        <v>0.105</v>
      </c>
      <c r="AA2234">
        <v>4.4999999999999998E-2</v>
      </c>
      <c r="AB2234">
        <v>9.0999999999999998E-2</v>
      </c>
      <c r="AC2234">
        <v>6</v>
      </c>
      <c r="AD2234" s="6">
        <v>139</v>
      </c>
      <c r="AE2234" s="6">
        <v>25</v>
      </c>
      <c r="AF2234" s="6">
        <v>0</v>
      </c>
      <c r="AG2234" s="6">
        <v>128.76</v>
      </c>
      <c r="AH2234" s="6">
        <v>156.47</v>
      </c>
      <c r="AI2234" s="6">
        <f t="shared" si="68"/>
        <v>27.710000000000008</v>
      </c>
      <c r="AJ2234" s="5">
        <f t="shared" si="69"/>
        <v>0.17709465073176972</v>
      </c>
    </row>
    <row r="2235" spans="1:36">
      <c r="A2235" t="s">
        <v>319</v>
      </c>
      <c r="B2235" t="s">
        <v>2520</v>
      </c>
      <c r="C2235" t="s">
        <v>110</v>
      </c>
      <c r="D2235" t="s">
        <v>54</v>
      </c>
      <c r="E2235" t="s">
        <v>55</v>
      </c>
      <c r="F2235">
        <v>0</v>
      </c>
      <c r="G2235">
        <v>5631</v>
      </c>
      <c r="H2235">
        <v>1</v>
      </c>
      <c r="I2235" t="s">
        <v>220</v>
      </c>
      <c r="J2235">
        <v>2</v>
      </c>
      <c r="K2235" s="6">
        <v>4.42</v>
      </c>
      <c r="L2235" t="s">
        <v>174</v>
      </c>
      <c r="M2235">
        <v>0</v>
      </c>
      <c r="N2235" t="s">
        <v>187</v>
      </c>
      <c r="O2235">
        <v>2</v>
      </c>
      <c r="P2235">
        <v>0</v>
      </c>
      <c r="Q2235" s="6">
        <v>51.4</v>
      </c>
      <c r="R2235">
        <v>0</v>
      </c>
      <c r="S2235" s="6">
        <v>0</v>
      </c>
      <c r="T2235">
        <v>0</v>
      </c>
      <c r="U2235" s="6">
        <v>4492</v>
      </c>
      <c r="V2235">
        <v>0</v>
      </c>
      <c r="W2235">
        <v>0</v>
      </c>
      <c r="X2235">
        <v>0</v>
      </c>
      <c r="Y2235" s="6">
        <v>46.5</v>
      </c>
      <c r="Z2235">
        <v>0.105</v>
      </c>
      <c r="AA2235">
        <v>4.4999999999999998E-2</v>
      </c>
      <c r="AB2235">
        <v>9.0999999999999998E-2</v>
      </c>
      <c r="AC2235">
        <v>6</v>
      </c>
      <c r="AD2235" s="6">
        <v>50</v>
      </c>
      <c r="AE2235" s="6">
        <v>0</v>
      </c>
      <c r="AF2235" s="6">
        <v>0</v>
      </c>
      <c r="AG2235" s="6">
        <v>61.38</v>
      </c>
      <c r="AH2235" s="6">
        <v>76.540000000000006</v>
      </c>
      <c r="AI2235" s="6">
        <f t="shared" si="68"/>
        <v>15.160000000000004</v>
      </c>
      <c r="AJ2235" s="5">
        <f t="shared" si="69"/>
        <v>0.19806637052521561</v>
      </c>
    </row>
    <row r="2236" spans="1:36">
      <c r="A2236" t="s">
        <v>635</v>
      </c>
      <c r="B2236" t="s">
        <v>2521</v>
      </c>
      <c r="C2236" t="s">
        <v>110</v>
      </c>
      <c r="D2236" t="s">
        <v>54</v>
      </c>
      <c r="E2236" t="s">
        <v>55</v>
      </c>
      <c r="F2236">
        <v>0</v>
      </c>
      <c r="G2236">
        <v>5631</v>
      </c>
      <c r="H2236">
        <v>1</v>
      </c>
      <c r="I2236" t="s">
        <v>220</v>
      </c>
      <c r="J2236">
        <v>2</v>
      </c>
      <c r="K2236" s="6">
        <v>4.83</v>
      </c>
      <c r="L2236" t="s">
        <v>174</v>
      </c>
      <c r="M2236">
        <v>0</v>
      </c>
      <c r="N2236" t="s">
        <v>182</v>
      </c>
      <c r="O2236">
        <v>3</v>
      </c>
      <c r="P2236">
        <v>0</v>
      </c>
      <c r="Q2236" s="6">
        <v>80.400000000000006</v>
      </c>
      <c r="R2236">
        <v>1</v>
      </c>
      <c r="S2236" s="6">
        <v>905</v>
      </c>
      <c r="T2236">
        <v>0</v>
      </c>
      <c r="U2236" s="6">
        <v>4599</v>
      </c>
      <c r="V2236">
        <v>0</v>
      </c>
      <c r="W2236">
        <v>0</v>
      </c>
      <c r="X2236">
        <v>0</v>
      </c>
      <c r="Y2236" s="6">
        <v>46.5</v>
      </c>
      <c r="Z2236">
        <v>0.105</v>
      </c>
      <c r="AA2236">
        <v>4.4999999999999998E-2</v>
      </c>
      <c r="AB2236">
        <v>9.0999999999999998E-2</v>
      </c>
      <c r="AC2236">
        <v>6</v>
      </c>
      <c r="AD2236" s="6">
        <v>50</v>
      </c>
      <c r="AE2236" s="6">
        <v>25</v>
      </c>
      <c r="AF2236" s="6">
        <v>0</v>
      </c>
      <c r="AG2236" s="6">
        <v>68.53</v>
      </c>
      <c r="AH2236" s="6">
        <v>84.45</v>
      </c>
      <c r="AI2236" s="6">
        <f t="shared" si="68"/>
        <v>15.920000000000002</v>
      </c>
      <c r="AJ2236" s="5">
        <f t="shared" si="69"/>
        <v>0.18851391355831854</v>
      </c>
    </row>
    <row r="2237" spans="1:36">
      <c r="A2237" t="s">
        <v>258</v>
      </c>
      <c r="B2237" t="s">
        <v>2522</v>
      </c>
      <c r="C2237" t="s">
        <v>110</v>
      </c>
      <c r="D2237" t="s">
        <v>54</v>
      </c>
      <c r="E2237" t="s">
        <v>55</v>
      </c>
      <c r="F2237">
        <v>0</v>
      </c>
      <c r="G2237">
        <v>5631</v>
      </c>
      <c r="H2237">
        <v>1</v>
      </c>
      <c r="I2237" t="s">
        <v>220</v>
      </c>
      <c r="J2237">
        <v>2</v>
      </c>
      <c r="K2237" s="6">
        <v>4.01</v>
      </c>
      <c r="L2237" t="s">
        <v>174</v>
      </c>
      <c r="M2237">
        <v>0</v>
      </c>
      <c r="N2237" t="s">
        <v>175</v>
      </c>
      <c r="O2237">
        <v>1</v>
      </c>
      <c r="P2237">
        <v>0</v>
      </c>
      <c r="Q2237" s="6">
        <v>42.9</v>
      </c>
      <c r="R2237">
        <v>0</v>
      </c>
      <c r="S2237" s="6">
        <v>0</v>
      </c>
      <c r="T2237">
        <v>0</v>
      </c>
      <c r="U2237" s="6">
        <v>4304</v>
      </c>
      <c r="V2237">
        <v>0</v>
      </c>
      <c r="W2237">
        <v>0</v>
      </c>
      <c r="X2237">
        <v>0</v>
      </c>
      <c r="Y2237" s="6">
        <v>46.5</v>
      </c>
      <c r="Z2237">
        <v>0.105</v>
      </c>
      <c r="AA2237">
        <v>4.4999999999999998E-2</v>
      </c>
      <c r="AB2237">
        <v>9.0999999999999998E-2</v>
      </c>
      <c r="AC2237">
        <v>6</v>
      </c>
      <c r="AD2237" s="6">
        <v>50</v>
      </c>
      <c r="AE2237" s="6">
        <v>0</v>
      </c>
      <c r="AF2237" s="6">
        <v>0</v>
      </c>
      <c r="AG2237" s="6">
        <v>50.47</v>
      </c>
      <c r="AH2237" s="6">
        <v>64.22</v>
      </c>
      <c r="AI2237" s="6">
        <f t="shared" si="68"/>
        <v>13.75</v>
      </c>
      <c r="AJ2237" s="5">
        <f t="shared" si="69"/>
        <v>0.21410775459358455</v>
      </c>
    </row>
    <row r="2238" spans="1:36">
      <c r="A2238" t="s">
        <v>343</v>
      </c>
      <c r="B2238" t="s">
        <v>2523</v>
      </c>
      <c r="C2238" t="s">
        <v>110</v>
      </c>
      <c r="D2238" t="s">
        <v>54</v>
      </c>
      <c r="E2238" t="s">
        <v>55</v>
      </c>
      <c r="F2238">
        <v>0</v>
      </c>
      <c r="G2238">
        <v>5631</v>
      </c>
      <c r="H2238">
        <v>1</v>
      </c>
      <c r="I2238" t="s">
        <v>220</v>
      </c>
      <c r="J2238">
        <v>2</v>
      </c>
      <c r="K2238" s="6">
        <v>4.01</v>
      </c>
      <c r="L2238" t="s">
        <v>174</v>
      </c>
      <c r="M2238">
        <v>0</v>
      </c>
      <c r="N2238" t="s">
        <v>175</v>
      </c>
      <c r="O2238">
        <v>1</v>
      </c>
      <c r="P2238">
        <v>0</v>
      </c>
      <c r="Q2238" s="6">
        <v>31</v>
      </c>
      <c r="R2238">
        <v>1</v>
      </c>
      <c r="S2238" s="6">
        <v>682</v>
      </c>
      <c r="T2238">
        <v>0</v>
      </c>
      <c r="U2238" s="6">
        <v>3050</v>
      </c>
      <c r="V2238">
        <v>0</v>
      </c>
      <c r="W2238">
        <v>0</v>
      </c>
      <c r="X2238">
        <v>0</v>
      </c>
      <c r="Y2238" s="6">
        <v>46.5</v>
      </c>
      <c r="Z2238">
        <v>0.105</v>
      </c>
      <c r="AA2238">
        <v>4.4999999999999998E-2</v>
      </c>
      <c r="AB2238">
        <v>9.0999999999999998E-2</v>
      </c>
      <c r="AC2238">
        <v>6</v>
      </c>
      <c r="AD2238" s="6">
        <v>50</v>
      </c>
      <c r="AE2238" s="6">
        <v>25</v>
      </c>
      <c r="AF2238" s="6">
        <v>0</v>
      </c>
      <c r="AG2238" s="6">
        <v>61.36</v>
      </c>
      <c r="AH2238" s="6">
        <v>75.94</v>
      </c>
      <c r="AI2238" s="6">
        <f t="shared" si="68"/>
        <v>14.579999999999998</v>
      </c>
      <c r="AJ2238" s="5">
        <f t="shared" si="69"/>
        <v>0.19199367922043717</v>
      </c>
    </row>
    <row r="2239" spans="1:36">
      <c r="A2239" t="s">
        <v>223</v>
      </c>
      <c r="B2239" t="s">
        <v>2524</v>
      </c>
      <c r="C2239" t="s">
        <v>110</v>
      </c>
      <c r="D2239" t="s">
        <v>54</v>
      </c>
      <c r="E2239" t="s">
        <v>55</v>
      </c>
      <c r="F2239">
        <v>0</v>
      </c>
      <c r="G2239">
        <v>5631</v>
      </c>
      <c r="H2239">
        <v>1</v>
      </c>
      <c r="I2239" t="s">
        <v>173</v>
      </c>
      <c r="J2239">
        <v>1</v>
      </c>
      <c r="K2239" s="6">
        <v>2.08</v>
      </c>
      <c r="L2239" t="s">
        <v>174</v>
      </c>
      <c r="M2239">
        <v>0</v>
      </c>
      <c r="N2239" t="s">
        <v>182</v>
      </c>
      <c r="O2239">
        <v>3</v>
      </c>
      <c r="P2239">
        <v>0</v>
      </c>
      <c r="Q2239" s="6">
        <v>66.7</v>
      </c>
      <c r="R2239">
        <v>1</v>
      </c>
      <c r="S2239" s="6">
        <v>805</v>
      </c>
      <c r="T2239">
        <v>0</v>
      </c>
      <c r="U2239" s="6">
        <v>5428</v>
      </c>
      <c r="V2239">
        <v>0</v>
      </c>
      <c r="W2239">
        <v>0</v>
      </c>
      <c r="X2239">
        <v>0</v>
      </c>
      <c r="Y2239" s="6">
        <v>46.5</v>
      </c>
      <c r="Z2239">
        <v>0.105</v>
      </c>
      <c r="AA2239">
        <v>4.4999999999999998E-2</v>
      </c>
      <c r="AB2239">
        <v>9.0999999999999998E-2</v>
      </c>
      <c r="AC2239">
        <v>6</v>
      </c>
      <c r="AD2239" s="6">
        <v>50</v>
      </c>
      <c r="AE2239" s="6">
        <v>25</v>
      </c>
      <c r="AF2239" s="6">
        <v>0</v>
      </c>
      <c r="AG2239" s="6">
        <v>53.8</v>
      </c>
      <c r="AH2239" s="6">
        <v>65.81</v>
      </c>
      <c r="AI2239" s="6">
        <f t="shared" si="68"/>
        <v>12.010000000000005</v>
      </c>
      <c r="AJ2239" s="5">
        <f t="shared" si="69"/>
        <v>0.18249506154079934</v>
      </c>
    </row>
    <row r="2240" spans="1:36">
      <c r="A2240" t="s">
        <v>481</v>
      </c>
      <c r="B2240" t="s">
        <v>2525</v>
      </c>
      <c r="C2240" t="s">
        <v>110</v>
      </c>
      <c r="D2240" t="s">
        <v>54</v>
      </c>
      <c r="E2240" t="s">
        <v>55</v>
      </c>
      <c r="F2240">
        <v>0</v>
      </c>
      <c r="G2240">
        <v>5631</v>
      </c>
      <c r="H2240">
        <v>1</v>
      </c>
      <c r="I2240" t="s">
        <v>173</v>
      </c>
      <c r="J2240">
        <v>1</v>
      </c>
      <c r="K2240" s="6">
        <v>1.96</v>
      </c>
      <c r="L2240" t="s">
        <v>174</v>
      </c>
      <c r="M2240">
        <v>0</v>
      </c>
      <c r="N2240" t="s">
        <v>182</v>
      </c>
      <c r="O2240">
        <v>3</v>
      </c>
      <c r="P2240">
        <v>0</v>
      </c>
      <c r="Q2240" s="6">
        <v>146.1</v>
      </c>
      <c r="R2240">
        <v>0</v>
      </c>
      <c r="S2240" s="6">
        <v>0</v>
      </c>
      <c r="T2240">
        <v>0</v>
      </c>
      <c r="U2240" s="6">
        <v>2635</v>
      </c>
      <c r="V2240">
        <v>0</v>
      </c>
      <c r="W2240">
        <v>0</v>
      </c>
      <c r="X2240">
        <v>0</v>
      </c>
      <c r="Y2240" s="6">
        <v>46.5</v>
      </c>
      <c r="Z2240">
        <v>0.105</v>
      </c>
      <c r="AA2240">
        <v>4.4999999999999998E-2</v>
      </c>
      <c r="AB2240">
        <v>9.0999999999999998E-2</v>
      </c>
      <c r="AC2240">
        <v>6</v>
      </c>
      <c r="AD2240" s="6">
        <v>50</v>
      </c>
      <c r="AE2240" s="6">
        <v>0</v>
      </c>
      <c r="AF2240" s="6">
        <v>0</v>
      </c>
      <c r="AG2240" s="6">
        <v>61.1</v>
      </c>
      <c r="AH2240" s="6">
        <v>73.040000000000006</v>
      </c>
      <c r="AI2240" s="6">
        <f t="shared" si="68"/>
        <v>11.940000000000005</v>
      </c>
      <c r="AJ2240" s="5">
        <f t="shared" si="69"/>
        <v>0.16347207009857617</v>
      </c>
    </row>
    <row r="2241" spans="1:36">
      <c r="A2241" t="s">
        <v>240</v>
      </c>
      <c r="B2241" t="s">
        <v>2526</v>
      </c>
      <c r="C2241" t="s">
        <v>110</v>
      </c>
      <c r="D2241" t="s">
        <v>54</v>
      </c>
      <c r="E2241" t="s">
        <v>55</v>
      </c>
      <c r="F2241">
        <v>0</v>
      </c>
      <c r="G2241">
        <v>5631</v>
      </c>
      <c r="H2241">
        <v>1</v>
      </c>
      <c r="I2241" t="s">
        <v>181</v>
      </c>
      <c r="J2241">
        <v>3</v>
      </c>
      <c r="K2241" s="6">
        <v>10.76</v>
      </c>
      <c r="L2241" t="s">
        <v>174</v>
      </c>
      <c r="M2241">
        <v>0</v>
      </c>
      <c r="N2241" t="s">
        <v>175</v>
      </c>
      <c r="O2241">
        <v>1</v>
      </c>
      <c r="P2241">
        <v>0</v>
      </c>
      <c r="Q2241" s="6">
        <v>32.1</v>
      </c>
      <c r="R2241">
        <v>1</v>
      </c>
      <c r="S2241" s="6">
        <v>650</v>
      </c>
      <c r="T2241">
        <v>0</v>
      </c>
      <c r="U2241" s="6">
        <v>3272</v>
      </c>
      <c r="V2241">
        <v>0</v>
      </c>
      <c r="W2241">
        <v>0</v>
      </c>
      <c r="X2241">
        <v>0</v>
      </c>
      <c r="Y2241" s="6">
        <v>46.5</v>
      </c>
      <c r="Z2241">
        <v>0.105</v>
      </c>
      <c r="AA2241">
        <v>4.4999999999999998E-2</v>
      </c>
      <c r="AB2241">
        <v>9.0999999999999998E-2</v>
      </c>
      <c r="AC2241">
        <v>6</v>
      </c>
      <c r="AD2241" s="6">
        <v>60</v>
      </c>
      <c r="AE2241" s="6">
        <v>25</v>
      </c>
      <c r="AF2241" s="6">
        <v>0</v>
      </c>
      <c r="AG2241" s="6">
        <v>94.03</v>
      </c>
      <c r="AH2241" s="6">
        <v>115.47</v>
      </c>
      <c r="AI2241" s="6">
        <f t="shared" si="68"/>
        <v>21.439999999999998</v>
      </c>
      <c r="AJ2241" s="5">
        <f t="shared" si="69"/>
        <v>0.18567593314280764</v>
      </c>
    </row>
    <row r="2242" spans="1:36">
      <c r="A2242" t="s">
        <v>323</v>
      </c>
      <c r="B2242" t="s">
        <v>2527</v>
      </c>
      <c r="C2242" t="s">
        <v>110</v>
      </c>
      <c r="D2242" t="s">
        <v>54</v>
      </c>
      <c r="E2242" t="s">
        <v>55</v>
      </c>
      <c r="F2242">
        <v>0</v>
      </c>
      <c r="G2242">
        <v>5631</v>
      </c>
      <c r="H2242">
        <v>1</v>
      </c>
      <c r="I2242" t="s">
        <v>181</v>
      </c>
      <c r="J2242">
        <v>3</v>
      </c>
      <c r="K2242" s="6">
        <v>6.58</v>
      </c>
      <c r="L2242" t="s">
        <v>174</v>
      </c>
      <c r="M2242">
        <v>0</v>
      </c>
      <c r="N2242" t="s">
        <v>175</v>
      </c>
      <c r="O2242">
        <v>1</v>
      </c>
      <c r="P2242">
        <v>0</v>
      </c>
      <c r="Q2242" s="6">
        <v>35.700000000000003</v>
      </c>
      <c r="R2242">
        <v>1</v>
      </c>
      <c r="S2242" s="6">
        <v>1459</v>
      </c>
      <c r="T2242">
        <v>0</v>
      </c>
      <c r="U2242" s="6">
        <v>7874</v>
      </c>
      <c r="V2242">
        <v>0</v>
      </c>
      <c r="W2242">
        <v>0</v>
      </c>
      <c r="X2242">
        <v>0</v>
      </c>
      <c r="Y2242" s="6">
        <v>46.5</v>
      </c>
      <c r="Z2242">
        <v>0.105</v>
      </c>
      <c r="AA2242">
        <v>4.4999999999999998E-2</v>
      </c>
      <c r="AB2242">
        <v>9.0999999999999998E-2</v>
      </c>
      <c r="AC2242">
        <v>6</v>
      </c>
      <c r="AD2242" s="6">
        <v>60</v>
      </c>
      <c r="AE2242" s="6">
        <v>25</v>
      </c>
      <c r="AF2242" s="6">
        <v>0</v>
      </c>
      <c r="AG2242" s="6">
        <v>79.209999999999994</v>
      </c>
      <c r="AH2242" s="6">
        <v>96.19</v>
      </c>
      <c r="AI2242" s="6">
        <f t="shared" ref="AI2242:AI2305" si="70">AH2242-AG2242</f>
        <v>16.980000000000004</v>
      </c>
      <c r="AJ2242" s="5">
        <f t="shared" ref="AJ2242:AJ2305" si="71">IFERROR(AI2242/AH2242,0)</f>
        <v>0.17652562636448699</v>
      </c>
    </row>
    <row r="2243" spans="1:36">
      <c r="A2243" t="s">
        <v>236</v>
      </c>
      <c r="B2243" t="s">
        <v>2528</v>
      </c>
      <c r="C2243" t="s">
        <v>110</v>
      </c>
      <c r="D2243" t="s">
        <v>54</v>
      </c>
      <c r="E2243" t="s">
        <v>55</v>
      </c>
      <c r="F2243">
        <v>0</v>
      </c>
      <c r="G2243">
        <v>5631</v>
      </c>
      <c r="H2243">
        <v>1</v>
      </c>
      <c r="I2243" t="s">
        <v>173</v>
      </c>
      <c r="J2243">
        <v>1</v>
      </c>
      <c r="K2243" s="6">
        <v>1.02</v>
      </c>
      <c r="L2243" t="s">
        <v>174</v>
      </c>
      <c r="M2243">
        <v>0</v>
      </c>
      <c r="N2243" t="s">
        <v>175</v>
      </c>
      <c r="O2243">
        <v>1</v>
      </c>
      <c r="P2243">
        <v>0</v>
      </c>
      <c r="Q2243" s="6">
        <v>47.3</v>
      </c>
      <c r="R2243">
        <v>0</v>
      </c>
      <c r="S2243" s="6">
        <v>0</v>
      </c>
      <c r="T2243">
        <v>0</v>
      </c>
      <c r="U2243" s="6">
        <v>6378</v>
      </c>
      <c r="V2243">
        <v>0</v>
      </c>
      <c r="W2243">
        <v>0</v>
      </c>
      <c r="X2243">
        <v>0</v>
      </c>
      <c r="Y2243" s="6">
        <v>46.5</v>
      </c>
      <c r="Z2243">
        <v>0.105</v>
      </c>
      <c r="AA2243">
        <v>4.4999999999999998E-2</v>
      </c>
      <c r="AB2243">
        <v>9.0999999999999998E-2</v>
      </c>
      <c r="AC2243">
        <v>6</v>
      </c>
      <c r="AD2243" s="6">
        <v>50</v>
      </c>
      <c r="AE2243" s="6">
        <v>0</v>
      </c>
      <c r="AF2243" s="6">
        <v>0</v>
      </c>
      <c r="AG2243" s="6">
        <v>51.44</v>
      </c>
      <c r="AH2243" s="6">
        <v>65</v>
      </c>
      <c r="AI2243" s="6">
        <f t="shared" si="70"/>
        <v>13.560000000000002</v>
      </c>
      <c r="AJ2243" s="5">
        <f t="shared" si="71"/>
        <v>0.20861538461538465</v>
      </c>
    </row>
    <row r="2244" spans="1:36">
      <c r="A2244" t="s">
        <v>469</v>
      </c>
      <c r="B2244" t="s">
        <v>2529</v>
      </c>
      <c r="C2244" t="s">
        <v>110</v>
      </c>
      <c r="D2244" t="s">
        <v>54</v>
      </c>
      <c r="E2244" t="s">
        <v>55</v>
      </c>
      <c r="F2244">
        <v>0</v>
      </c>
      <c r="G2244">
        <v>5631</v>
      </c>
      <c r="H2244">
        <v>1</v>
      </c>
      <c r="I2244" t="s">
        <v>181</v>
      </c>
      <c r="J2244">
        <v>3</v>
      </c>
      <c r="K2244" s="6">
        <v>4.04</v>
      </c>
      <c r="L2244" t="s">
        <v>174</v>
      </c>
      <c r="M2244">
        <v>0</v>
      </c>
      <c r="N2244" t="s">
        <v>217</v>
      </c>
      <c r="O2244">
        <v>4</v>
      </c>
      <c r="P2244">
        <v>1</v>
      </c>
      <c r="Q2244" s="6">
        <v>139.5</v>
      </c>
      <c r="R2244">
        <v>1</v>
      </c>
      <c r="S2244" s="6">
        <v>2837</v>
      </c>
      <c r="T2244">
        <v>0</v>
      </c>
      <c r="U2244" s="6">
        <v>4158</v>
      </c>
      <c r="V2244">
        <v>0</v>
      </c>
      <c r="W2244">
        <v>0</v>
      </c>
      <c r="X2244">
        <v>0</v>
      </c>
      <c r="Y2244" s="6">
        <v>46.5</v>
      </c>
      <c r="Z2244">
        <v>0.105</v>
      </c>
      <c r="AA2244">
        <v>4.4999999999999998E-2</v>
      </c>
      <c r="AB2244">
        <v>9.0999999999999998E-2</v>
      </c>
      <c r="AC2244">
        <v>6</v>
      </c>
      <c r="AD2244" s="6">
        <v>60</v>
      </c>
      <c r="AE2244" s="6">
        <v>40</v>
      </c>
      <c r="AF2244" s="6">
        <v>0</v>
      </c>
      <c r="AG2244" s="6">
        <v>122.63</v>
      </c>
      <c r="AH2244" s="6">
        <v>150.97999999999999</v>
      </c>
      <c r="AI2244" s="6">
        <f t="shared" si="70"/>
        <v>28.349999999999994</v>
      </c>
      <c r="AJ2244" s="5">
        <f t="shared" si="71"/>
        <v>0.18777321499536359</v>
      </c>
    </row>
    <row r="2245" spans="1:36">
      <c r="A2245" t="s">
        <v>238</v>
      </c>
      <c r="B2245" t="s">
        <v>2530</v>
      </c>
      <c r="C2245" t="s">
        <v>110</v>
      </c>
      <c r="D2245" t="s">
        <v>54</v>
      </c>
      <c r="E2245" t="s">
        <v>55</v>
      </c>
      <c r="F2245">
        <v>0</v>
      </c>
      <c r="G2245">
        <v>5631</v>
      </c>
      <c r="H2245">
        <v>1</v>
      </c>
      <c r="I2245" t="s">
        <v>181</v>
      </c>
      <c r="J2245">
        <v>3</v>
      </c>
      <c r="K2245" s="6">
        <v>7.92</v>
      </c>
      <c r="L2245" t="s">
        <v>174</v>
      </c>
      <c r="M2245">
        <v>0</v>
      </c>
      <c r="N2245" t="s">
        <v>272</v>
      </c>
      <c r="O2245">
        <v>5</v>
      </c>
      <c r="P2245">
        <v>1</v>
      </c>
      <c r="Q2245" s="6">
        <v>170</v>
      </c>
      <c r="R2245">
        <v>1</v>
      </c>
      <c r="S2245" s="6">
        <v>845</v>
      </c>
      <c r="T2245">
        <v>0</v>
      </c>
      <c r="U2245" s="6">
        <v>11191</v>
      </c>
      <c r="V2245">
        <v>0</v>
      </c>
      <c r="W2245">
        <v>0</v>
      </c>
      <c r="X2245">
        <v>0</v>
      </c>
      <c r="Y2245" s="6">
        <v>46.5</v>
      </c>
      <c r="Z2245">
        <v>0.105</v>
      </c>
      <c r="AA2245">
        <v>4.4999999999999998E-2</v>
      </c>
      <c r="AB2245">
        <v>9.0999999999999998E-2</v>
      </c>
      <c r="AC2245">
        <v>6</v>
      </c>
      <c r="AD2245" s="6">
        <v>60</v>
      </c>
      <c r="AE2245" s="6">
        <v>25</v>
      </c>
      <c r="AF2245" s="6">
        <v>0</v>
      </c>
      <c r="AG2245" s="6">
        <v>169.98</v>
      </c>
      <c r="AH2245" s="6">
        <v>206.88</v>
      </c>
      <c r="AI2245" s="6">
        <f t="shared" si="70"/>
        <v>36.900000000000006</v>
      </c>
      <c r="AJ2245" s="5">
        <f t="shared" si="71"/>
        <v>0.17836426914153136</v>
      </c>
    </row>
    <row r="2246" spans="1:36">
      <c r="A2246" t="s">
        <v>223</v>
      </c>
      <c r="B2246" t="s">
        <v>2531</v>
      </c>
      <c r="C2246" t="s">
        <v>110</v>
      </c>
      <c r="D2246" t="s">
        <v>54</v>
      </c>
      <c r="E2246" t="s">
        <v>55</v>
      </c>
      <c r="F2246">
        <v>0</v>
      </c>
      <c r="G2246">
        <v>5631</v>
      </c>
      <c r="H2246">
        <v>1</v>
      </c>
      <c r="I2246" t="s">
        <v>173</v>
      </c>
      <c r="J2246">
        <v>1</v>
      </c>
      <c r="K2246" s="6">
        <v>1.31</v>
      </c>
      <c r="L2246" t="s">
        <v>174</v>
      </c>
      <c r="M2246">
        <v>0</v>
      </c>
      <c r="N2246" t="s">
        <v>175</v>
      </c>
      <c r="O2246">
        <v>1</v>
      </c>
      <c r="P2246">
        <v>0</v>
      </c>
      <c r="Q2246" s="6">
        <v>45.4</v>
      </c>
      <c r="R2246">
        <v>0</v>
      </c>
      <c r="S2246" s="6">
        <v>0</v>
      </c>
      <c r="T2246">
        <v>0</v>
      </c>
      <c r="U2246" s="6">
        <v>3658</v>
      </c>
      <c r="V2246">
        <v>0</v>
      </c>
      <c r="W2246">
        <v>0</v>
      </c>
      <c r="X2246">
        <v>0</v>
      </c>
      <c r="Y2246" s="6">
        <v>46.5</v>
      </c>
      <c r="Z2246">
        <v>0.105</v>
      </c>
      <c r="AA2246">
        <v>4.4999999999999998E-2</v>
      </c>
      <c r="AB2246">
        <v>9.0999999999999998E-2</v>
      </c>
      <c r="AC2246">
        <v>6</v>
      </c>
      <c r="AD2246" s="6">
        <v>50</v>
      </c>
      <c r="AE2246" s="6">
        <v>0</v>
      </c>
      <c r="AF2246" s="6">
        <v>0</v>
      </c>
      <c r="AG2246" s="6">
        <v>37.11</v>
      </c>
      <c r="AH2246" s="6">
        <v>51.24</v>
      </c>
      <c r="AI2246" s="6">
        <f t="shared" si="70"/>
        <v>14.130000000000003</v>
      </c>
      <c r="AJ2246" s="5">
        <f t="shared" si="71"/>
        <v>0.27576112412177989</v>
      </c>
    </row>
    <row r="2247" spans="1:36">
      <c r="A2247" t="s">
        <v>469</v>
      </c>
      <c r="B2247" t="s">
        <v>2532</v>
      </c>
      <c r="C2247" t="s">
        <v>110</v>
      </c>
      <c r="D2247" t="s">
        <v>54</v>
      </c>
      <c r="E2247" t="s">
        <v>55</v>
      </c>
      <c r="F2247">
        <v>0</v>
      </c>
      <c r="G2247">
        <v>5631</v>
      </c>
      <c r="H2247">
        <v>1</v>
      </c>
      <c r="I2247" t="s">
        <v>178</v>
      </c>
      <c r="J2247">
        <v>4</v>
      </c>
      <c r="K2247" s="6">
        <v>13.21</v>
      </c>
      <c r="L2247" t="s">
        <v>174</v>
      </c>
      <c r="M2247">
        <v>0</v>
      </c>
      <c r="N2247" t="s">
        <v>175</v>
      </c>
      <c r="O2247">
        <v>1</v>
      </c>
      <c r="P2247">
        <v>0</v>
      </c>
      <c r="Q2247" s="6">
        <v>36.700000000000003</v>
      </c>
      <c r="R2247">
        <v>1</v>
      </c>
      <c r="S2247" s="6">
        <v>1863</v>
      </c>
      <c r="T2247">
        <v>0</v>
      </c>
      <c r="U2247" s="6">
        <v>3871</v>
      </c>
      <c r="V2247">
        <v>0</v>
      </c>
      <c r="W2247">
        <v>0</v>
      </c>
      <c r="X2247">
        <v>0</v>
      </c>
      <c r="Y2247" s="6">
        <v>46.5</v>
      </c>
      <c r="Z2247">
        <v>0.105</v>
      </c>
      <c r="AA2247">
        <v>4.4999999999999998E-2</v>
      </c>
      <c r="AB2247">
        <v>9.0999999999999998E-2</v>
      </c>
      <c r="AC2247">
        <v>6</v>
      </c>
      <c r="AD2247" s="6">
        <v>65</v>
      </c>
      <c r="AE2247" s="6">
        <v>25</v>
      </c>
      <c r="AF2247" s="6">
        <v>0</v>
      </c>
      <c r="AG2247" s="6">
        <v>120.72</v>
      </c>
      <c r="AH2247" s="6">
        <v>148.41</v>
      </c>
      <c r="AI2247" s="6">
        <f t="shared" si="70"/>
        <v>27.689999999999998</v>
      </c>
      <c r="AJ2247" s="5">
        <f t="shared" si="71"/>
        <v>0.18657772387305435</v>
      </c>
    </row>
    <row r="2248" spans="1:36">
      <c r="A2248" t="s">
        <v>284</v>
      </c>
      <c r="B2248" t="s">
        <v>2533</v>
      </c>
      <c r="C2248" t="s">
        <v>110</v>
      </c>
      <c r="D2248" t="s">
        <v>54</v>
      </c>
      <c r="E2248" t="s">
        <v>55</v>
      </c>
      <c r="F2248">
        <v>0</v>
      </c>
      <c r="G2248">
        <v>5631</v>
      </c>
      <c r="H2248">
        <v>1</v>
      </c>
      <c r="I2248" t="s">
        <v>220</v>
      </c>
      <c r="J2248">
        <v>2</v>
      </c>
      <c r="K2248" s="6">
        <v>3.03</v>
      </c>
      <c r="L2248" t="s">
        <v>200</v>
      </c>
      <c r="M2248">
        <v>1</v>
      </c>
      <c r="N2248" t="s">
        <v>175</v>
      </c>
      <c r="O2248">
        <v>1</v>
      </c>
      <c r="P2248">
        <v>0</v>
      </c>
      <c r="Q2248" s="6">
        <v>34.4</v>
      </c>
      <c r="R2248">
        <v>1</v>
      </c>
      <c r="S2248" s="6">
        <v>5299</v>
      </c>
      <c r="T2248">
        <v>0</v>
      </c>
      <c r="U2248" s="6">
        <v>8927</v>
      </c>
      <c r="V2248">
        <v>0</v>
      </c>
      <c r="W2248">
        <v>0</v>
      </c>
      <c r="X2248">
        <v>0</v>
      </c>
      <c r="Y2248" s="6">
        <v>46.5</v>
      </c>
      <c r="Z2248">
        <v>0.105</v>
      </c>
      <c r="AA2248">
        <v>4.4999999999999998E-2</v>
      </c>
      <c r="AB2248">
        <v>9.0999999999999998E-2</v>
      </c>
      <c r="AC2248">
        <v>6</v>
      </c>
      <c r="AD2248" s="6">
        <v>119</v>
      </c>
      <c r="AE2248" s="6">
        <v>50</v>
      </c>
      <c r="AF2248" s="6">
        <v>0</v>
      </c>
      <c r="AG2248" s="6">
        <v>83.77</v>
      </c>
      <c r="AH2248" s="6">
        <v>121.44</v>
      </c>
      <c r="AI2248" s="6">
        <f t="shared" si="70"/>
        <v>37.67</v>
      </c>
      <c r="AJ2248" s="5">
        <f t="shared" si="71"/>
        <v>0.31019433465085638</v>
      </c>
    </row>
    <row r="2249" spans="1:36">
      <c r="A2249" t="s">
        <v>328</v>
      </c>
      <c r="B2249" t="s">
        <v>2534</v>
      </c>
      <c r="C2249" t="s">
        <v>110</v>
      </c>
      <c r="D2249" t="s">
        <v>54</v>
      </c>
      <c r="E2249" t="s">
        <v>55</v>
      </c>
      <c r="F2249">
        <v>0</v>
      </c>
      <c r="G2249">
        <v>5631</v>
      </c>
      <c r="H2249">
        <v>1</v>
      </c>
      <c r="I2249" t="s">
        <v>173</v>
      </c>
      <c r="J2249">
        <v>1</v>
      </c>
      <c r="K2249" s="6">
        <v>2.62</v>
      </c>
      <c r="L2249" t="s">
        <v>174</v>
      </c>
      <c r="M2249">
        <v>0</v>
      </c>
      <c r="N2249" t="s">
        <v>187</v>
      </c>
      <c r="O2249">
        <v>2</v>
      </c>
      <c r="P2249">
        <v>0</v>
      </c>
      <c r="Q2249" s="6">
        <v>57.1</v>
      </c>
      <c r="R2249">
        <v>0</v>
      </c>
      <c r="S2249" s="6">
        <v>0</v>
      </c>
      <c r="T2249">
        <v>0</v>
      </c>
      <c r="U2249" s="6">
        <v>5440</v>
      </c>
      <c r="V2249">
        <v>0</v>
      </c>
      <c r="W2249">
        <v>0</v>
      </c>
      <c r="X2249">
        <v>0</v>
      </c>
      <c r="Y2249" s="6">
        <v>46.5</v>
      </c>
      <c r="Z2249">
        <v>0.105</v>
      </c>
      <c r="AA2249">
        <v>4.4999999999999998E-2</v>
      </c>
      <c r="AB2249">
        <v>9.0999999999999998E-2</v>
      </c>
      <c r="AC2249">
        <v>6</v>
      </c>
      <c r="AD2249" s="6">
        <v>50</v>
      </c>
      <c r="AE2249" s="6">
        <v>0</v>
      </c>
      <c r="AF2249" s="6">
        <v>0</v>
      </c>
      <c r="AG2249" s="6">
        <v>55.04</v>
      </c>
      <c r="AH2249" s="6">
        <v>68.77</v>
      </c>
      <c r="AI2249" s="6">
        <f t="shared" si="70"/>
        <v>13.729999999999997</v>
      </c>
      <c r="AJ2249" s="5">
        <f t="shared" si="71"/>
        <v>0.19965101061509374</v>
      </c>
    </row>
    <row r="2250" spans="1:36">
      <c r="A2250" t="s">
        <v>311</v>
      </c>
      <c r="B2250" t="s">
        <v>2535</v>
      </c>
      <c r="C2250" t="s">
        <v>110</v>
      </c>
      <c r="D2250" t="s">
        <v>54</v>
      </c>
      <c r="E2250" t="s">
        <v>55</v>
      </c>
      <c r="F2250">
        <v>0</v>
      </c>
      <c r="G2250">
        <v>5631</v>
      </c>
      <c r="H2250">
        <v>1</v>
      </c>
      <c r="I2250" t="s">
        <v>178</v>
      </c>
      <c r="J2250">
        <v>4</v>
      </c>
      <c r="K2250" s="6">
        <v>8.68</v>
      </c>
      <c r="L2250" t="s">
        <v>174</v>
      </c>
      <c r="M2250">
        <v>0</v>
      </c>
      <c r="N2250" t="s">
        <v>272</v>
      </c>
      <c r="O2250">
        <v>5</v>
      </c>
      <c r="P2250">
        <v>1</v>
      </c>
      <c r="Q2250" s="6">
        <v>197.2</v>
      </c>
      <c r="R2250">
        <v>1</v>
      </c>
      <c r="S2250" s="6">
        <v>2048</v>
      </c>
      <c r="T2250">
        <v>0</v>
      </c>
      <c r="U2250" s="6">
        <v>3649</v>
      </c>
      <c r="V2250">
        <v>0</v>
      </c>
      <c r="W2250">
        <v>0</v>
      </c>
      <c r="X2250">
        <v>0</v>
      </c>
      <c r="Y2250" s="6">
        <v>46.5</v>
      </c>
      <c r="Z2250">
        <v>0.105</v>
      </c>
      <c r="AA2250">
        <v>4.4999999999999998E-2</v>
      </c>
      <c r="AB2250">
        <v>9.0999999999999998E-2</v>
      </c>
      <c r="AC2250">
        <v>6</v>
      </c>
      <c r="AD2250" s="6">
        <v>65</v>
      </c>
      <c r="AE2250" s="6">
        <v>40</v>
      </c>
      <c r="AF2250" s="6">
        <v>0</v>
      </c>
      <c r="AG2250" s="6">
        <v>202.3</v>
      </c>
      <c r="AH2250" s="6">
        <v>244.48</v>
      </c>
      <c r="AI2250" s="6">
        <f t="shared" si="70"/>
        <v>42.179999999999978</v>
      </c>
      <c r="AJ2250" s="5">
        <f t="shared" si="71"/>
        <v>0.17252945026178002</v>
      </c>
    </row>
    <row r="2251" spans="1:36">
      <c r="A2251" t="s">
        <v>274</v>
      </c>
      <c r="B2251" t="s">
        <v>2536</v>
      </c>
      <c r="C2251" t="s">
        <v>110</v>
      </c>
      <c r="D2251" t="s">
        <v>54</v>
      </c>
      <c r="E2251" t="s">
        <v>55</v>
      </c>
      <c r="F2251">
        <v>0</v>
      </c>
      <c r="G2251">
        <v>5631</v>
      </c>
      <c r="H2251">
        <v>1</v>
      </c>
      <c r="I2251" t="s">
        <v>173</v>
      </c>
      <c r="J2251">
        <v>1</v>
      </c>
      <c r="K2251" s="6">
        <v>1.68</v>
      </c>
      <c r="L2251" t="s">
        <v>174</v>
      </c>
      <c r="M2251">
        <v>0</v>
      </c>
      <c r="N2251" t="s">
        <v>187</v>
      </c>
      <c r="O2251">
        <v>2</v>
      </c>
      <c r="P2251">
        <v>0</v>
      </c>
      <c r="Q2251" s="6">
        <v>53.9</v>
      </c>
      <c r="R2251">
        <v>1</v>
      </c>
      <c r="S2251" s="6">
        <v>2159</v>
      </c>
      <c r="T2251">
        <v>0</v>
      </c>
      <c r="U2251" s="6">
        <v>5694</v>
      </c>
      <c r="V2251">
        <v>1</v>
      </c>
      <c r="W2251">
        <v>0</v>
      </c>
      <c r="X2251">
        <v>0</v>
      </c>
      <c r="Y2251" s="6">
        <v>46.5</v>
      </c>
      <c r="Z2251">
        <v>0.105</v>
      </c>
      <c r="AA2251">
        <v>4.4999999999999998E-2</v>
      </c>
      <c r="AB2251">
        <v>9.0999999999999998E-2</v>
      </c>
      <c r="AC2251">
        <v>6</v>
      </c>
      <c r="AD2251" s="6">
        <v>50</v>
      </c>
      <c r="AE2251" s="6">
        <v>40</v>
      </c>
      <c r="AF2251" s="6">
        <v>0</v>
      </c>
      <c r="AG2251" s="6">
        <v>100.02</v>
      </c>
      <c r="AH2251" s="6">
        <v>121.91</v>
      </c>
      <c r="AI2251" s="6">
        <f t="shared" si="70"/>
        <v>21.89</v>
      </c>
      <c r="AJ2251" s="5">
        <f t="shared" si="71"/>
        <v>0.17955869083750309</v>
      </c>
    </row>
    <row r="2252" spans="1:36">
      <c r="A2252" t="s">
        <v>635</v>
      </c>
      <c r="B2252" t="s">
        <v>2537</v>
      </c>
      <c r="C2252" t="s">
        <v>110</v>
      </c>
      <c r="D2252" t="s">
        <v>54</v>
      </c>
      <c r="E2252" t="s">
        <v>55</v>
      </c>
      <c r="F2252">
        <v>0</v>
      </c>
      <c r="G2252">
        <v>5631</v>
      </c>
      <c r="H2252">
        <v>1</v>
      </c>
      <c r="I2252" t="s">
        <v>178</v>
      </c>
      <c r="J2252">
        <v>4</v>
      </c>
      <c r="K2252" s="6">
        <v>9.09</v>
      </c>
      <c r="L2252" t="s">
        <v>174</v>
      </c>
      <c r="M2252">
        <v>0</v>
      </c>
      <c r="N2252" t="s">
        <v>175</v>
      </c>
      <c r="O2252">
        <v>1</v>
      </c>
      <c r="P2252">
        <v>0</v>
      </c>
      <c r="Q2252" s="6">
        <v>26.8</v>
      </c>
      <c r="R2252">
        <v>0</v>
      </c>
      <c r="S2252" s="6">
        <v>0</v>
      </c>
      <c r="T2252">
        <v>0</v>
      </c>
      <c r="U2252" s="6">
        <v>3389</v>
      </c>
      <c r="V2252">
        <v>0</v>
      </c>
      <c r="W2252">
        <v>1</v>
      </c>
      <c r="X2252">
        <v>0</v>
      </c>
      <c r="Y2252" s="6">
        <v>46.5</v>
      </c>
      <c r="Z2252">
        <v>0.105</v>
      </c>
      <c r="AA2252">
        <v>4.4999999999999998E-2</v>
      </c>
      <c r="AB2252">
        <v>9.0999999999999998E-2</v>
      </c>
      <c r="AC2252">
        <v>6</v>
      </c>
      <c r="AD2252" s="6">
        <v>65</v>
      </c>
      <c r="AE2252" s="6">
        <v>0</v>
      </c>
      <c r="AF2252" s="6">
        <v>0</v>
      </c>
      <c r="AG2252" s="6">
        <v>128.69</v>
      </c>
      <c r="AH2252" s="6">
        <v>155.4</v>
      </c>
      <c r="AI2252" s="6">
        <f t="shared" si="70"/>
        <v>26.710000000000008</v>
      </c>
      <c r="AJ2252" s="5">
        <f t="shared" si="71"/>
        <v>0.17187902187902193</v>
      </c>
    </row>
    <row r="2253" spans="1:36">
      <c r="A2253" t="s">
        <v>469</v>
      </c>
      <c r="B2253" t="s">
        <v>2538</v>
      </c>
      <c r="C2253" t="s">
        <v>110</v>
      </c>
      <c r="D2253" t="s">
        <v>54</v>
      </c>
      <c r="E2253" t="s">
        <v>55</v>
      </c>
      <c r="F2253">
        <v>0</v>
      </c>
      <c r="G2253">
        <v>5631</v>
      </c>
      <c r="H2253">
        <v>1</v>
      </c>
      <c r="I2253" t="s">
        <v>220</v>
      </c>
      <c r="J2253">
        <v>2</v>
      </c>
      <c r="K2253" s="6">
        <v>3.06</v>
      </c>
      <c r="L2253" t="s">
        <v>174</v>
      </c>
      <c r="M2253">
        <v>0</v>
      </c>
      <c r="N2253" t="s">
        <v>175</v>
      </c>
      <c r="O2253">
        <v>1</v>
      </c>
      <c r="P2253">
        <v>0</v>
      </c>
      <c r="Q2253" s="6">
        <v>33.200000000000003</v>
      </c>
      <c r="R2253">
        <v>0</v>
      </c>
      <c r="S2253" s="6">
        <v>0</v>
      </c>
      <c r="T2253">
        <v>0</v>
      </c>
      <c r="U2253" s="6">
        <v>4251</v>
      </c>
      <c r="V2253">
        <v>0</v>
      </c>
      <c r="W2253">
        <v>0</v>
      </c>
      <c r="X2253">
        <v>1</v>
      </c>
      <c r="Y2253" s="6">
        <v>46.5</v>
      </c>
      <c r="Z2253">
        <v>0.105</v>
      </c>
      <c r="AA2253">
        <v>4.4999999999999998E-2</v>
      </c>
      <c r="AB2253">
        <v>9.0999999999999998E-2</v>
      </c>
      <c r="AC2253">
        <v>6</v>
      </c>
      <c r="AD2253" s="6">
        <v>50</v>
      </c>
      <c r="AE2253" s="6">
        <v>0</v>
      </c>
      <c r="AF2253" s="6">
        <v>0</v>
      </c>
      <c r="AG2253" s="6">
        <v>49.68</v>
      </c>
      <c r="AH2253" s="6">
        <v>60.21</v>
      </c>
      <c r="AI2253" s="6">
        <f t="shared" si="70"/>
        <v>10.530000000000001</v>
      </c>
      <c r="AJ2253" s="5">
        <f t="shared" si="71"/>
        <v>0.17488789237668162</v>
      </c>
    </row>
    <row r="2254" spans="1:36">
      <c r="A2254" t="s">
        <v>391</v>
      </c>
      <c r="B2254" t="s">
        <v>2539</v>
      </c>
      <c r="C2254" t="s">
        <v>110</v>
      </c>
      <c r="D2254" t="s">
        <v>54</v>
      </c>
      <c r="E2254" t="s">
        <v>55</v>
      </c>
      <c r="F2254">
        <v>0</v>
      </c>
      <c r="G2254">
        <v>5631</v>
      </c>
      <c r="H2254">
        <v>1</v>
      </c>
      <c r="I2254" t="s">
        <v>178</v>
      </c>
      <c r="J2254">
        <v>4</v>
      </c>
      <c r="K2254" s="6">
        <v>14.94</v>
      </c>
      <c r="L2254" t="s">
        <v>174</v>
      </c>
      <c r="M2254">
        <v>0</v>
      </c>
      <c r="N2254" t="s">
        <v>187</v>
      </c>
      <c r="O2254">
        <v>2</v>
      </c>
      <c r="P2254">
        <v>0</v>
      </c>
      <c r="Q2254" s="6">
        <v>68.099999999999994</v>
      </c>
      <c r="R2254">
        <v>0</v>
      </c>
      <c r="S2254" s="6">
        <v>0</v>
      </c>
      <c r="T2254">
        <v>0</v>
      </c>
      <c r="U2254" s="6">
        <v>3564</v>
      </c>
      <c r="V2254">
        <v>0</v>
      </c>
      <c r="W2254">
        <v>0</v>
      </c>
      <c r="X2254">
        <v>0</v>
      </c>
      <c r="Y2254" s="6">
        <v>46.5</v>
      </c>
      <c r="Z2254">
        <v>0.105</v>
      </c>
      <c r="AA2254">
        <v>4.4999999999999998E-2</v>
      </c>
      <c r="AB2254">
        <v>9.0999999999999998E-2</v>
      </c>
      <c r="AC2254">
        <v>6</v>
      </c>
      <c r="AD2254" s="6">
        <v>65</v>
      </c>
      <c r="AE2254" s="6">
        <v>0</v>
      </c>
      <c r="AF2254" s="6">
        <v>0</v>
      </c>
      <c r="AG2254" s="6">
        <v>120.21</v>
      </c>
      <c r="AH2254" s="6">
        <v>145.59</v>
      </c>
      <c r="AI2254" s="6">
        <f t="shared" si="70"/>
        <v>25.38000000000001</v>
      </c>
      <c r="AJ2254" s="5">
        <f t="shared" si="71"/>
        <v>0.17432515969503407</v>
      </c>
    </row>
    <row r="2255" spans="1:36">
      <c r="A2255" t="s">
        <v>323</v>
      </c>
      <c r="B2255" t="s">
        <v>2540</v>
      </c>
      <c r="C2255" t="s">
        <v>110</v>
      </c>
      <c r="D2255" t="s">
        <v>54</v>
      </c>
      <c r="E2255" t="s">
        <v>55</v>
      </c>
      <c r="F2255">
        <v>0</v>
      </c>
      <c r="G2255">
        <v>5631</v>
      </c>
      <c r="H2255">
        <v>1</v>
      </c>
      <c r="I2255" t="s">
        <v>173</v>
      </c>
      <c r="J2255">
        <v>1</v>
      </c>
      <c r="K2255" s="6">
        <v>2.77</v>
      </c>
      <c r="L2255" t="s">
        <v>174</v>
      </c>
      <c r="M2255">
        <v>0</v>
      </c>
      <c r="N2255" t="s">
        <v>175</v>
      </c>
      <c r="O2255">
        <v>1</v>
      </c>
      <c r="P2255">
        <v>0</v>
      </c>
      <c r="Q2255" s="6">
        <v>31.8</v>
      </c>
      <c r="R2255">
        <v>0</v>
      </c>
      <c r="S2255" s="6">
        <v>0</v>
      </c>
      <c r="T2255">
        <v>0</v>
      </c>
      <c r="U2255" s="6">
        <v>6241</v>
      </c>
      <c r="V2255">
        <v>0</v>
      </c>
      <c r="W2255">
        <v>0</v>
      </c>
      <c r="X2255">
        <v>0</v>
      </c>
      <c r="Y2255" s="6">
        <v>46.5</v>
      </c>
      <c r="Z2255">
        <v>0.105</v>
      </c>
      <c r="AA2255">
        <v>4.4999999999999998E-2</v>
      </c>
      <c r="AB2255">
        <v>9.0999999999999998E-2</v>
      </c>
      <c r="AC2255">
        <v>6</v>
      </c>
      <c r="AD2255" s="6">
        <v>50</v>
      </c>
      <c r="AE2255" s="6">
        <v>0</v>
      </c>
      <c r="AF2255" s="6">
        <v>0</v>
      </c>
      <c r="AG2255" s="6">
        <v>45.97</v>
      </c>
      <c r="AH2255" s="6">
        <v>59.36</v>
      </c>
      <c r="AI2255" s="6">
        <f t="shared" si="70"/>
        <v>13.39</v>
      </c>
      <c r="AJ2255" s="5">
        <f t="shared" si="71"/>
        <v>0.22557277628032346</v>
      </c>
    </row>
    <row r="2256" spans="1:36">
      <c r="A2256" t="s">
        <v>328</v>
      </c>
      <c r="B2256" t="s">
        <v>2541</v>
      </c>
      <c r="C2256" t="s">
        <v>110</v>
      </c>
      <c r="D2256" t="s">
        <v>54</v>
      </c>
      <c r="E2256" t="s">
        <v>55</v>
      </c>
      <c r="F2256">
        <v>0</v>
      </c>
      <c r="G2256">
        <v>5631</v>
      </c>
      <c r="H2256">
        <v>1</v>
      </c>
      <c r="I2256" t="s">
        <v>181</v>
      </c>
      <c r="J2256">
        <v>3</v>
      </c>
      <c r="K2256" s="6">
        <v>12.76</v>
      </c>
      <c r="L2256" t="s">
        <v>174</v>
      </c>
      <c r="M2256">
        <v>0</v>
      </c>
      <c r="N2256" t="s">
        <v>175</v>
      </c>
      <c r="O2256">
        <v>1</v>
      </c>
      <c r="P2256">
        <v>0</v>
      </c>
      <c r="Q2256" s="6">
        <v>41</v>
      </c>
      <c r="R2256">
        <v>1</v>
      </c>
      <c r="S2256" s="6">
        <v>1962</v>
      </c>
      <c r="T2256">
        <v>0</v>
      </c>
      <c r="U2256" s="6">
        <v>3401</v>
      </c>
      <c r="V2256">
        <v>0</v>
      </c>
      <c r="W2256">
        <v>0</v>
      </c>
      <c r="X2256">
        <v>0</v>
      </c>
      <c r="Y2256" s="6">
        <v>46.5</v>
      </c>
      <c r="Z2256">
        <v>0.105</v>
      </c>
      <c r="AA2256">
        <v>4.4999999999999998E-2</v>
      </c>
      <c r="AB2256">
        <v>9.0999999999999998E-2</v>
      </c>
      <c r="AC2256">
        <v>6</v>
      </c>
      <c r="AD2256" s="6">
        <v>60</v>
      </c>
      <c r="AE2256" s="6">
        <v>25</v>
      </c>
      <c r="AF2256" s="6">
        <v>0</v>
      </c>
      <c r="AG2256" s="6">
        <v>100.6</v>
      </c>
      <c r="AH2256" s="6">
        <v>124.34</v>
      </c>
      <c r="AI2256" s="6">
        <f t="shared" si="70"/>
        <v>23.740000000000009</v>
      </c>
      <c r="AJ2256" s="5">
        <f t="shared" si="71"/>
        <v>0.19092810036995342</v>
      </c>
    </row>
    <row r="2257" spans="1:36">
      <c r="A2257" t="s">
        <v>230</v>
      </c>
      <c r="B2257" t="s">
        <v>2542</v>
      </c>
      <c r="C2257" t="s">
        <v>110</v>
      </c>
      <c r="D2257" t="s">
        <v>54</v>
      </c>
      <c r="E2257" t="s">
        <v>55</v>
      </c>
      <c r="F2257">
        <v>0</v>
      </c>
      <c r="G2257">
        <v>5631</v>
      </c>
      <c r="H2257">
        <v>1</v>
      </c>
      <c r="I2257" t="s">
        <v>173</v>
      </c>
      <c r="J2257">
        <v>1</v>
      </c>
      <c r="K2257" s="6">
        <v>2.44</v>
      </c>
      <c r="L2257" t="s">
        <v>174</v>
      </c>
      <c r="M2257">
        <v>0</v>
      </c>
      <c r="N2257" t="s">
        <v>187</v>
      </c>
      <c r="O2257">
        <v>2</v>
      </c>
      <c r="P2257">
        <v>0</v>
      </c>
      <c r="Q2257" s="6">
        <v>54.2</v>
      </c>
      <c r="R2257">
        <v>1</v>
      </c>
      <c r="S2257" s="6">
        <v>661</v>
      </c>
      <c r="T2257">
        <v>0</v>
      </c>
      <c r="U2257" s="6">
        <v>2095</v>
      </c>
      <c r="V2257">
        <v>0</v>
      </c>
      <c r="W2257">
        <v>0</v>
      </c>
      <c r="X2257">
        <v>0</v>
      </c>
      <c r="Y2257" s="6">
        <v>46.5</v>
      </c>
      <c r="Z2257">
        <v>0.105</v>
      </c>
      <c r="AA2257">
        <v>4.4999999999999998E-2</v>
      </c>
      <c r="AB2257">
        <v>9.0999999999999998E-2</v>
      </c>
      <c r="AC2257">
        <v>6</v>
      </c>
      <c r="AD2257" s="6">
        <v>50</v>
      </c>
      <c r="AE2257" s="6">
        <v>25</v>
      </c>
      <c r="AF2257" s="6">
        <v>0</v>
      </c>
      <c r="AG2257" s="6">
        <v>55.26</v>
      </c>
      <c r="AH2257" s="6">
        <v>65.86</v>
      </c>
      <c r="AI2257" s="6">
        <f t="shared" si="70"/>
        <v>10.600000000000001</v>
      </c>
      <c r="AJ2257" s="5">
        <f t="shared" si="71"/>
        <v>0.16094746431825085</v>
      </c>
    </row>
    <row r="2258" spans="1:36">
      <c r="A2258" t="s">
        <v>298</v>
      </c>
      <c r="B2258" t="s">
        <v>2543</v>
      </c>
      <c r="C2258" t="s">
        <v>110</v>
      </c>
      <c r="D2258" t="s">
        <v>54</v>
      </c>
      <c r="E2258" t="s">
        <v>55</v>
      </c>
      <c r="F2258">
        <v>0</v>
      </c>
      <c r="G2258">
        <v>5631</v>
      </c>
      <c r="H2258">
        <v>1</v>
      </c>
      <c r="I2258" t="s">
        <v>220</v>
      </c>
      <c r="J2258">
        <v>2</v>
      </c>
      <c r="K2258" s="6">
        <v>4.57</v>
      </c>
      <c r="L2258" t="s">
        <v>174</v>
      </c>
      <c r="M2258">
        <v>0</v>
      </c>
      <c r="N2258" t="s">
        <v>175</v>
      </c>
      <c r="O2258">
        <v>1</v>
      </c>
      <c r="P2258">
        <v>0</v>
      </c>
      <c r="Q2258" s="6">
        <v>39.9</v>
      </c>
      <c r="R2258">
        <v>1</v>
      </c>
      <c r="S2258" s="6">
        <v>432</v>
      </c>
      <c r="T2258">
        <v>0</v>
      </c>
      <c r="U2258" s="6">
        <v>3938</v>
      </c>
      <c r="V2258">
        <v>0</v>
      </c>
      <c r="W2258">
        <v>0</v>
      </c>
      <c r="X2258">
        <v>0</v>
      </c>
      <c r="Y2258" s="6">
        <v>46.5</v>
      </c>
      <c r="Z2258">
        <v>0.105</v>
      </c>
      <c r="AA2258">
        <v>4.4999999999999998E-2</v>
      </c>
      <c r="AB2258">
        <v>9.0999999999999998E-2</v>
      </c>
      <c r="AC2258">
        <v>6</v>
      </c>
      <c r="AD2258" s="6">
        <v>50</v>
      </c>
      <c r="AE2258" s="6">
        <v>25</v>
      </c>
      <c r="AF2258" s="6">
        <v>0</v>
      </c>
      <c r="AG2258" s="6">
        <v>51.77</v>
      </c>
      <c r="AH2258" s="6">
        <v>66.25</v>
      </c>
      <c r="AI2258" s="6">
        <f t="shared" si="70"/>
        <v>14.479999999999997</v>
      </c>
      <c r="AJ2258" s="5">
        <f t="shared" si="71"/>
        <v>0.21856603773584901</v>
      </c>
    </row>
    <row r="2259" spans="1:36">
      <c r="A2259" t="s">
        <v>190</v>
      </c>
      <c r="B2259" t="s">
        <v>2544</v>
      </c>
      <c r="C2259" t="s">
        <v>110</v>
      </c>
      <c r="D2259" t="s">
        <v>54</v>
      </c>
      <c r="E2259" t="s">
        <v>55</v>
      </c>
      <c r="F2259">
        <v>0</v>
      </c>
      <c r="G2259">
        <v>5631</v>
      </c>
      <c r="H2259">
        <v>1</v>
      </c>
      <c r="I2259" t="s">
        <v>220</v>
      </c>
      <c r="J2259">
        <v>2</v>
      </c>
      <c r="K2259" s="6">
        <v>4.5599999999999996</v>
      </c>
      <c r="L2259" t="s">
        <v>200</v>
      </c>
      <c r="M2259">
        <v>1</v>
      </c>
      <c r="N2259" t="s">
        <v>182</v>
      </c>
      <c r="O2259">
        <v>3</v>
      </c>
      <c r="P2259">
        <v>0</v>
      </c>
      <c r="Q2259" s="6">
        <v>72.900000000000006</v>
      </c>
      <c r="R2259">
        <v>1</v>
      </c>
      <c r="S2259" s="6">
        <v>1207</v>
      </c>
      <c r="T2259">
        <v>0</v>
      </c>
      <c r="U2259" s="6">
        <v>2510</v>
      </c>
      <c r="V2259">
        <v>0</v>
      </c>
      <c r="W2259">
        <v>0</v>
      </c>
      <c r="X2259">
        <v>0</v>
      </c>
      <c r="Y2259" s="6">
        <v>46.5</v>
      </c>
      <c r="Z2259">
        <v>0.105</v>
      </c>
      <c r="AA2259">
        <v>4.4999999999999998E-2</v>
      </c>
      <c r="AB2259">
        <v>9.0999999999999998E-2</v>
      </c>
      <c r="AC2259">
        <v>6</v>
      </c>
      <c r="AD2259" s="6">
        <v>119</v>
      </c>
      <c r="AE2259" s="6">
        <v>25</v>
      </c>
      <c r="AF2259" s="6">
        <v>0</v>
      </c>
      <c r="AG2259" s="6">
        <v>95.27</v>
      </c>
      <c r="AH2259" s="6">
        <v>120.63</v>
      </c>
      <c r="AI2259" s="6">
        <f t="shared" si="70"/>
        <v>25.36</v>
      </c>
      <c r="AJ2259" s="5">
        <f t="shared" si="71"/>
        <v>0.21022962778744922</v>
      </c>
    </row>
    <row r="2260" spans="1:36">
      <c r="A2260" t="s">
        <v>562</v>
      </c>
      <c r="B2260" t="s">
        <v>2545</v>
      </c>
      <c r="C2260" t="s">
        <v>110</v>
      </c>
      <c r="D2260" t="s">
        <v>54</v>
      </c>
      <c r="E2260" t="s">
        <v>55</v>
      </c>
      <c r="F2260">
        <v>0</v>
      </c>
      <c r="G2260">
        <v>5631</v>
      </c>
      <c r="H2260">
        <v>1</v>
      </c>
      <c r="I2260" t="s">
        <v>181</v>
      </c>
      <c r="J2260">
        <v>3</v>
      </c>
      <c r="K2260" s="6">
        <v>9.02</v>
      </c>
      <c r="L2260" t="s">
        <v>174</v>
      </c>
      <c r="M2260">
        <v>0</v>
      </c>
      <c r="N2260" t="s">
        <v>187</v>
      </c>
      <c r="O2260">
        <v>2</v>
      </c>
      <c r="P2260">
        <v>0</v>
      </c>
      <c r="Q2260" s="6">
        <v>38.9</v>
      </c>
      <c r="R2260">
        <v>0</v>
      </c>
      <c r="S2260" s="6">
        <v>0</v>
      </c>
      <c r="T2260">
        <v>0</v>
      </c>
      <c r="U2260" s="6">
        <v>4481</v>
      </c>
      <c r="V2260">
        <v>0</v>
      </c>
      <c r="W2260">
        <v>0</v>
      </c>
      <c r="X2260">
        <v>0</v>
      </c>
      <c r="Y2260" s="6">
        <v>46.5</v>
      </c>
      <c r="Z2260">
        <v>0.105</v>
      </c>
      <c r="AA2260">
        <v>4.4999999999999998E-2</v>
      </c>
      <c r="AB2260">
        <v>9.0999999999999998E-2</v>
      </c>
      <c r="AC2260">
        <v>6</v>
      </c>
      <c r="AD2260" s="6">
        <v>60</v>
      </c>
      <c r="AE2260" s="6">
        <v>0</v>
      </c>
      <c r="AF2260" s="6">
        <v>0</v>
      </c>
      <c r="AG2260" s="6">
        <v>90.92</v>
      </c>
      <c r="AH2260" s="6">
        <v>109.35</v>
      </c>
      <c r="AI2260" s="6">
        <f t="shared" si="70"/>
        <v>18.429999999999993</v>
      </c>
      <c r="AJ2260" s="5">
        <f t="shared" si="71"/>
        <v>0.16854138088705983</v>
      </c>
    </row>
    <row r="2261" spans="1:36">
      <c r="A2261" t="s">
        <v>258</v>
      </c>
      <c r="B2261" t="s">
        <v>2546</v>
      </c>
      <c r="C2261" t="s">
        <v>110</v>
      </c>
      <c r="D2261" t="s">
        <v>54</v>
      </c>
      <c r="E2261" t="s">
        <v>55</v>
      </c>
      <c r="F2261">
        <v>0</v>
      </c>
      <c r="G2261">
        <v>5631</v>
      </c>
      <c r="H2261">
        <v>1</v>
      </c>
      <c r="I2261" t="s">
        <v>181</v>
      </c>
      <c r="J2261">
        <v>3</v>
      </c>
      <c r="K2261" s="6">
        <v>11.62</v>
      </c>
      <c r="L2261" t="s">
        <v>174</v>
      </c>
      <c r="M2261">
        <v>0</v>
      </c>
      <c r="N2261" t="s">
        <v>175</v>
      </c>
      <c r="O2261">
        <v>1</v>
      </c>
      <c r="P2261">
        <v>0</v>
      </c>
      <c r="Q2261" s="6">
        <v>36.6</v>
      </c>
      <c r="R2261">
        <v>0</v>
      </c>
      <c r="S2261" s="6">
        <v>0</v>
      </c>
      <c r="T2261">
        <v>0</v>
      </c>
      <c r="U2261" s="6">
        <v>4552</v>
      </c>
      <c r="V2261">
        <v>0</v>
      </c>
      <c r="W2261">
        <v>0</v>
      </c>
      <c r="X2261">
        <v>0</v>
      </c>
      <c r="Y2261" s="6">
        <v>46.5</v>
      </c>
      <c r="Z2261">
        <v>0.105</v>
      </c>
      <c r="AA2261">
        <v>4.4999999999999998E-2</v>
      </c>
      <c r="AB2261">
        <v>9.0999999999999998E-2</v>
      </c>
      <c r="AC2261">
        <v>6</v>
      </c>
      <c r="AD2261" s="6">
        <v>60</v>
      </c>
      <c r="AE2261" s="6">
        <v>0</v>
      </c>
      <c r="AF2261" s="6">
        <v>0</v>
      </c>
      <c r="AG2261" s="6">
        <v>96.88</v>
      </c>
      <c r="AH2261" s="6">
        <v>118.42</v>
      </c>
      <c r="AI2261" s="6">
        <f t="shared" si="70"/>
        <v>21.540000000000006</v>
      </c>
      <c r="AJ2261" s="5">
        <f t="shared" si="71"/>
        <v>0.18189495017733495</v>
      </c>
    </row>
    <row r="2262" spans="1:36">
      <c r="A2262" t="s">
        <v>183</v>
      </c>
      <c r="B2262" t="s">
        <v>2547</v>
      </c>
      <c r="C2262" t="s">
        <v>110</v>
      </c>
      <c r="D2262" t="s">
        <v>54</v>
      </c>
      <c r="E2262" t="s">
        <v>55</v>
      </c>
      <c r="F2262">
        <v>0</v>
      </c>
      <c r="G2262">
        <v>5631</v>
      </c>
      <c r="H2262">
        <v>1</v>
      </c>
      <c r="I2262" t="s">
        <v>178</v>
      </c>
      <c r="J2262">
        <v>4</v>
      </c>
      <c r="K2262" s="6">
        <v>8.5500000000000007</v>
      </c>
      <c r="L2262" t="s">
        <v>174</v>
      </c>
      <c r="M2262">
        <v>0</v>
      </c>
      <c r="N2262" t="s">
        <v>187</v>
      </c>
      <c r="O2262">
        <v>2</v>
      </c>
      <c r="P2262">
        <v>0</v>
      </c>
      <c r="Q2262" s="6">
        <v>56.6</v>
      </c>
      <c r="R2262">
        <v>1</v>
      </c>
      <c r="S2262" s="6">
        <v>2057</v>
      </c>
      <c r="T2262">
        <v>0</v>
      </c>
      <c r="U2262" s="6">
        <v>1511</v>
      </c>
      <c r="V2262">
        <v>0</v>
      </c>
      <c r="W2262">
        <v>0</v>
      </c>
      <c r="X2262">
        <v>0</v>
      </c>
      <c r="Y2262" s="6">
        <v>46.5</v>
      </c>
      <c r="Z2262">
        <v>0.105</v>
      </c>
      <c r="AA2262">
        <v>4.4999999999999998E-2</v>
      </c>
      <c r="AB2262">
        <v>9.0999999999999998E-2</v>
      </c>
      <c r="AC2262">
        <v>6</v>
      </c>
      <c r="AD2262" s="6">
        <v>65</v>
      </c>
      <c r="AE2262" s="6">
        <v>40</v>
      </c>
      <c r="AF2262" s="6">
        <v>0</v>
      </c>
      <c r="AG2262" s="6">
        <v>108.14</v>
      </c>
      <c r="AH2262" s="6">
        <v>132.03</v>
      </c>
      <c r="AI2262" s="6">
        <f t="shared" si="70"/>
        <v>23.89</v>
      </c>
      <c r="AJ2262" s="5">
        <f t="shared" si="71"/>
        <v>0.18094372491100508</v>
      </c>
    </row>
    <row r="2263" spans="1:36">
      <c r="A2263" t="s">
        <v>228</v>
      </c>
      <c r="B2263" t="s">
        <v>2548</v>
      </c>
      <c r="C2263" t="s">
        <v>110</v>
      </c>
      <c r="D2263" t="s">
        <v>54</v>
      </c>
      <c r="E2263" t="s">
        <v>55</v>
      </c>
      <c r="F2263">
        <v>0</v>
      </c>
      <c r="G2263">
        <v>5631</v>
      </c>
      <c r="H2263">
        <v>1</v>
      </c>
      <c r="I2263" t="s">
        <v>220</v>
      </c>
      <c r="J2263">
        <v>2</v>
      </c>
      <c r="K2263" s="6">
        <v>4.62</v>
      </c>
      <c r="L2263" t="s">
        <v>174</v>
      </c>
      <c r="M2263">
        <v>0</v>
      </c>
      <c r="N2263" t="s">
        <v>182</v>
      </c>
      <c r="O2263">
        <v>3</v>
      </c>
      <c r="P2263">
        <v>0</v>
      </c>
      <c r="Q2263" s="6">
        <v>125.8</v>
      </c>
      <c r="R2263">
        <v>1</v>
      </c>
      <c r="S2263" s="6">
        <v>1992</v>
      </c>
      <c r="T2263">
        <v>0</v>
      </c>
      <c r="U2263" s="6">
        <v>2687</v>
      </c>
      <c r="V2263">
        <v>0</v>
      </c>
      <c r="W2263">
        <v>0</v>
      </c>
      <c r="X2263">
        <v>0</v>
      </c>
      <c r="Y2263" s="6">
        <v>46.5</v>
      </c>
      <c r="Z2263">
        <v>0.105</v>
      </c>
      <c r="AA2263">
        <v>4.4999999999999998E-2</v>
      </c>
      <c r="AB2263">
        <v>9.0999999999999998E-2</v>
      </c>
      <c r="AC2263">
        <v>6</v>
      </c>
      <c r="AD2263" s="6">
        <v>50</v>
      </c>
      <c r="AE2263" s="6">
        <v>25</v>
      </c>
      <c r="AF2263" s="6">
        <v>0</v>
      </c>
      <c r="AG2263" s="6">
        <v>70.92</v>
      </c>
      <c r="AH2263" s="6">
        <v>87.33</v>
      </c>
      <c r="AI2263" s="6">
        <f t="shared" si="70"/>
        <v>16.409999999999997</v>
      </c>
      <c r="AJ2263" s="5">
        <f t="shared" si="71"/>
        <v>0.18790793541738232</v>
      </c>
    </row>
    <row r="2264" spans="1:36">
      <c r="A2264" t="s">
        <v>401</v>
      </c>
      <c r="B2264" t="s">
        <v>2549</v>
      </c>
      <c r="C2264" t="s">
        <v>110</v>
      </c>
      <c r="D2264" t="s">
        <v>54</v>
      </c>
      <c r="E2264" t="s">
        <v>55</v>
      </c>
      <c r="F2264">
        <v>0</v>
      </c>
      <c r="G2264">
        <v>5631</v>
      </c>
      <c r="H2264">
        <v>1</v>
      </c>
      <c r="I2264" t="s">
        <v>173</v>
      </c>
      <c r="J2264">
        <v>1</v>
      </c>
      <c r="K2264" s="6">
        <v>1.72</v>
      </c>
      <c r="L2264" t="s">
        <v>174</v>
      </c>
      <c r="M2264">
        <v>0</v>
      </c>
      <c r="N2264" t="s">
        <v>175</v>
      </c>
      <c r="O2264">
        <v>1</v>
      </c>
      <c r="P2264">
        <v>0</v>
      </c>
      <c r="Q2264" s="6">
        <v>35.700000000000003</v>
      </c>
      <c r="R2264">
        <v>1</v>
      </c>
      <c r="S2264" s="6">
        <v>689</v>
      </c>
      <c r="T2264">
        <v>0</v>
      </c>
      <c r="U2264" s="6">
        <v>2025</v>
      </c>
      <c r="V2264">
        <v>0</v>
      </c>
      <c r="W2264">
        <v>0</v>
      </c>
      <c r="X2264">
        <v>0</v>
      </c>
      <c r="Y2264" s="6">
        <v>46.5</v>
      </c>
      <c r="Z2264">
        <v>0.105</v>
      </c>
      <c r="AA2264">
        <v>4.4999999999999998E-2</v>
      </c>
      <c r="AB2264">
        <v>9.0999999999999998E-2</v>
      </c>
      <c r="AC2264">
        <v>6</v>
      </c>
      <c r="AD2264" s="6">
        <v>50</v>
      </c>
      <c r="AE2264" s="6">
        <v>25</v>
      </c>
      <c r="AF2264" s="6">
        <v>0</v>
      </c>
      <c r="AG2264" s="6">
        <v>41.86</v>
      </c>
      <c r="AH2264" s="6">
        <v>50.83</v>
      </c>
      <c r="AI2264" s="6">
        <f t="shared" si="70"/>
        <v>8.9699999999999989</v>
      </c>
      <c r="AJ2264" s="5">
        <f t="shared" si="71"/>
        <v>0.1764705882352941</v>
      </c>
    </row>
    <row r="2265" spans="1:36">
      <c r="A2265" t="s">
        <v>423</v>
      </c>
      <c r="B2265" t="s">
        <v>2550</v>
      </c>
      <c r="C2265" t="s">
        <v>110</v>
      </c>
      <c r="D2265" t="s">
        <v>54</v>
      </c>
      <c r="E2265" t="s">
        <v>55</v>
      </c>
      <c r="F2265">
        <v>0</v>
      </c>
      <c r="G2265">
        <v>5631</v>
      </c>
      <c r="H2265">
        <v>1</v>
      </c>
      <c r="I2265" t="s">
        <v>178</v>
      </c>
      <c r="J2265">
        <v>4</v>
      </c>
      <c r="K2265" s="6">
        <v>18.14</v>
      </c>
      <c r="L2265" t="s">
        <v>174</v>
      </c>
      <c r="M2265">
        <v>0</v>
      </c>
      <c r="N2265" t="s">
        <v>175</v>
      </c>
      <c r="O2265">
        <v>1</v>
      </c>
      <c r="P2265">
        <v>0</v>
      </c>
      <c r="Q2265" s="6">
        <v>31.2</v>
      </c>
      <c r="R2265">
        <v>1</v>
      </c>
      <c r="S2265" s="6">
        <v>2710</v>
      </c>
      <c r="T2265">
        <v>0</v>
      </c>
      <c r="U2265" s="6">
        <v>4844</v>
      </c>
      <c r="V2265">
        <v>0</v>
      </c>
      <c r="W2265">
        <v>0</v>
      </c>
      <c r="X2265">
        <v>0</v>
      </c>
      <c r="Y2265" s="6">
        <v>46.5</v>
      </c>
      <c r="Z2265">
        <v>0.105</v>
      </c>
      <c r="AA2265">
        <v>4.4999999999999998E-2</v>
      </c>
      <c r="AB2265">
        <v>9.0999999999999998E-2</v>
      </c>
      <c r="AC2265">
        <v>6</v>
      </c>
      <c r="AD2265" s="6">
        <v>65</v>
      </c>
      <c r="AE2265" s="6">
        <v>40</v>
      </c>
      <c r="AF2265" s="6">
        <v>0</v>
      </c>
      <c r="AG2265" s="6">
        <v>130.21</v>
      </c>
      <c r="AH2265" s="6">
        <v>156.57</v>
      </c>
      <c r="AI2265" s="6">
        <f t="shared" si="70"/>
        <v>26.359999999999985</v>
      </c>
      <c r="AJ2265" s="5">
        <f t="shared" si="71"/>
        <v>0.16835920035766741</v>
      </c>
    </row>
    <row r="2266" spans="1:36">
      <c r="A2266" t="s">
        <v>196</v>
      </c>
      <c r="B2266" t="s">
        <v>2551</v>
      </c>
      <c r="C2266" t="s">
        <v>110</v>
      </c>
      <c r="D2266" t="s">
        <v>54</v>
      </c>
      <c r="E2266" t="s">
        <v>55</v>
      </c>
      <c r="F2266">
        <v>0</v>
      </c>
      <c r="G2266">
        <v>5631</v>
      </c>
      <c r="H2266">
        <v>1</v>
      </c>
      <c r="I2266" t="s">
        <v>181</v>
      </c>
      <c r="J2266">
        <v>3</v>
      </c>
      <c r="K2266" s="6">
        <v>9.75</v>
      </c>
      <c r="L2266" t="s">
        <v>174</v>
      </c>
      <c r="M2266">
        <v>0</v>
      </c>
      <c r="N2266" t="s">
        <v>175</v>
      </c>
      <c r="O2266">
        <v>1</v>
      </c>
      <c r="P2266">
        <v>0</v>
      </c>
      <c r="Q2266" s="6">
        <v>43</v>
      </c>
      <c r="R2266">
        <v>0</v>
      </c>
      <c r="S2266" s="6">
        <v>0</v>
      </c>
      <c r="T2266">
        <v>0</v>
      </c>
      <c r="U2266" s="6">
        <v>4428</v>
      </c>
      <c r="V2266">
        <v>0</v>
      </c>
      <c r="W2266">
        <v>0</v>
      </c>
      <c r="X2266">
        <v>0</v>
      </c>
      <c r="Y2266" s="6">
        <v>46.5</v>
      </c>
      <c r="Z2266">
        <v>0.105</v>
      </c>
      <c r="AA2266">
        <v>4.4999999999999998E-2</v>
      </c>
      <c r="AB2266">
        <v>9.0999999999999998E-2</v>
      </c>
      <c r="AC2266">
        <v>6</v>
      </c>
      <c r="AD2266" s="6">
        <v>60</v>
      </c>
      <c r="AE2266" s="6">
        <v>0</v>
      </c>
      <c r="AF2266" s="6">
        <v>0</v>
      </c>
      <c r="AG2266" s="6">
        <v>87.77</v>
      </c>
      <c r="AH2266" s="6">
        <v>109.48</v>
      </c>
      <c r="AI2266" s="6">
        <f t="shared" si="70"/>
        <v>21.710000000000008</v>
      </c>
      <c r="AJ2266" s="5">
        <f t="shared" si="71"/>
        <v>0.19830105955425656</v>
      </c>
    </row>
    <row r="2267" spans="1:36">
      <c r="A2267" t="s">
        <v>362</v>
      </c>
      <c r="B2267" t="s">
        <v>2552</v>
      </c>
      <c r="C2267" t="s">
        <v>110</v>
      </c>
      <c r="D2267" t="s">
        <v>54</v>
      </c>
      <c r="E2267" t="s">
        <v>55</v>
      </c>
      <c r="F2267">
        <v>0</v>
      </c>
      <c r="G2267">
        <v>5631</v>
      </c>
      <c r="H2267">
        <v>1</v>
      </c>
      <c r="I2267" t="s">
        <v>220</v>
      </c>
      <c r="J2267">
        <v>2</v>
      </c>
      <c r="K2267" s="6">
        <v>2.72</v>
      </c>
      <c r="L2267" t="s">
        <v>174</v>
      </c>
      <c r="M2267">
        <v>0</v>
      </c>
      <c r="N2267" t="s">
        <v>175</v>
      </c>
      <c r="O2267">
        <v>1</v>
      </c>
      <c r="P2267">
        <v>0</v>
      </c>
      <c r="Q2267" s="6">
        <v>37.5</v>
      </c>
      <c r="R2267">
        <v>1</v>
      </c>
      <c r="S2267" s="6">
        <v>3672</v>
      </c>
      <c r="T2267">
        <v>0</v>
      </c>
      <c r="U2267" s="6">
        <v>5731</v>
      </c>
      <c r="V2267">
        <v>0</v>
      </c>
      <c r="W2267">
        <v>0</v>
      </c>
      <c r="X2267">
        <v>0</v>
      </c>
      <c r="Y2267" s="6">
        <v>46.5</v>
      </c>
      <c r="Z2267">
        <v>0.105</v>
      </c>
      <c r="AA2267">
        <v>4.4999999999999998E-2</v>
      </c>
      <c r="AB2267">
        <v>9.0999999999999998E-2</v>
      </c>
      <c r="AC2267">
        <v>6</v>
      </c>
      <c r="AD2267" s="6">
        <v>50</v>
      </c>
      <c r="AE2267" s="6">
        <v>40</v>
      </c>
      <c r="AF2267" s="6">
        <v>0</v>
      </c>
      <c r="AG2267" s="6">
        <v>52.54</v>
      </c>
      <c r="AH2267" s="6">
        <v>64.760000000000005</v>
      </c>
      <c r="AI2267" s="6">
        <f t="shared" si="70"/>
        <v>12.220000000000006</v>
      </c>
      <c r="AJ2267" s="5">
        <f t="shared" si="71"/>
        <v>0.18869672637430521</v>
      </c>
    </row>
    <row r="2268" spans="1:36">
      <c r="A2268" t="s">
        <v>328</v>
      </c>
      <c r="B2268" t="s">
        <v>2553</v>
      </c>
      <c r="C2268" t="s">
        <v>110</v>
      </c>
      <c r="D2268" t="s">
        <v>54</v>
      </c>
      <c r="E2268" t="s">
        <v>55</v>
      </c>
      <c r="F2268">
        <v>0</v>
      </c>
      <c r="G2268">
        <v>5631</v>
      </c>
      <c r="H2268">
        <v>1</v>
      </c>
      <c r="I2268" t="s">
        <v>173</v>
      </c>
      <c r="J2268">
        <v>1</v>
      </c>
      <c r="K2268" s="6">
        <v>1.77</v>
      </c>
      <c r="L2268" t="s">
        <v>174</v>
      </c>
      <c r="M2268">
        <v>0</v>
      </c>
      <c r="N2268" t="s">
        <v>182</v>
      </c>
      <c r="O2268">
        <v>3</v>
      </c>
      <c r="P2268">
        <v>0</v>
      </c>
      <c r="Q2268" s="6">
        <v>72</v>
      </c>
      <c r="R2268">
        <v>1</v>
      </c>
      <c r="S2268" s="6">
        <v>539</v>
      </c>
      <c r="T2268">
        <v>0</v>
      </c>
      <c r="U2268" s="6">
        <v>9060</v>
      </c>
      <c r="V2268">
        <v>0</v>
      </c>
      <c r="W2268">
        <v>0</v>
      </c>
      <c r="X2268">
        <v>0</v>
      </c>
      <c r="Y2268" s="6">
        <v>46.5</v>
      </c>
      <c r="Z2268">
        <v>0.105</v>
      </c>
      <c r="AA2268">
        <v>4.4999999999999998E-2</v>
      </c>
      <c r="AB2268">
        <v>9.0999999999999998E-2</v>
      </c>
      <c r="AC2268">
        <v>6</v>
      </c>
      <c r="AD2268" s="6">
        <v>50</v>
      </c>
      <c r="AE2268" s="6">
        <v>25</v>
      </c>
      <c r="AF2268" s="6">
        <v>0</v>
      </c>
      <c r="AG2268" s="6">
        <v>61.42</v>
      </c>
      <c r="AH2268" s="6">
        <v>77.489999999999995</v>
      </c>
      <c r="AI2268" s="6">
        <f t="shared" si="70"/>
        <v>16.069999999999993</v>
      </c>
      <c r="AJ2268" s="5">
        <f t="shared" si="71"/>
        <v>0.20738159762549999</v>
      </c>
    </row>
    <row r="2269" spans="1:36">
      <c r="A2269" t="s">
        <v>245</v>
      </c>
      <c r="B2269" t="s">
        <v>2554</v>
      </c>
      <c r="C2269" t="s">
        <v>110</v>
      </c>
      <c r="D2269" t="s">
        <v>54</v>
      </c>
      <c r="E2269" t="s">
        <v>55</v>
      </c>
      <c r="F2269">
        <v>0</v>
      </c>
      <c r="G2269">
        <v>5631</v>
      </c>
      <c r="H2269">
        <v>1</v>
      </c>
      <c r="I2269" t="s">
        <v>178</v>
      </c>
      <c r="J2269">
        <v>4</v>
      </c>
      <c r="K2269" s="6">
        <v>17.489999999999998</v>
      </c>
      <c r="L2269" t="s">
        <v>174</v>
      </c>
      <c r="M2269">
        <v>0</v>
      </c>
      <c r="N2269" t="s">
        <v>182</v>
      </c>
      <c r="O2269">
        <v>3</v>
      </c>
      <c r="P2269">
        <v>1</v>
      </c>
      <c r="Q2269" s="6">
        <v>106.1</v>
      </c>
      <c r="R2269">
        <v>1</v>
      </c>
      <c r="S2269" s="6">
        <v>1479</v>
      </c>
      <c r="T2269">
        <v>0</v>
      </c>
      <c r="U2269" s="6">
        <v>3956</v>
      </c>
      <c r="V2269">
        <v>0</v>
      </c>
      <c r="W2269">
        <v>0</v>
      </c>
      <c r="X2269">
        <v>0</v>
      </c>
      <c r="Y2269" s="6">
        <v>46.5</v>
      </c>
      <c r="Z2269">
        <v>0.105</v>
      </c>
      <c r="AA2269">
        <v>4.4999999999999998E-2</v>
      </c>
      <c r="AB2269">
        <v>9.0999999999999998E-2</v>
      </c>
      <c r="AC2269">
        <v>6</v>
      </c>
      <c r="AD2269" s="6">
        <v>65</v>
      </c>
      <c r="AE2269" s="6">
        <v>25</v>
      </c>
      <c r="AF2269" s="6">
        <v>0</v>
      </c>
      <c r="AG2269" s="6">
        <v>164.14</v>
      </c>
      <c r="AH2269" s="6">
        <v>197.79</v>
      </c>
      <c r="AI2269" s="6">
        <f t="shared" si="70"/>
        <v>33.650000000000006</v>
      </c>
      <c r="AJ2269" s="5">
        <f t="shared" si="71"/>
        <v>0.17012993579048488</v>
      </c>
    </row>
    <row r="2270" spans="1:36">
      <c r="A2270" t="s">
        <v>230</v>
      </c>
      <c r="B2270" t="s">
        <v>2555</v>
      </c>
      <c r="C2270" t="s">
        <v>110</v>
      </c>
      <c r="D2270" t="s">
        <v>54</v>
      </c>
      <c r="E2270" t="s">
        <v>55</v>
      </c>
      <c r="F2270">
        <v>0</v>
      </c>
      <c r="G2270">
        <v>5631</v>
      </c>
      <c r="H2270">
        <v>1</v>
      </c>
      <c r="I2270" t="s">
        <v>181</v>
      </c>
      <c r="J2270">
        <v>3</v>
      </c>
      <c r="K2270" s="6">
        <v>6.76</v>
      </c>
      <c r="L2270" t="s">
        <v>174</v>
      </c>
      <c r="M2270">
        <v>0</v>
      </c>
      <c r="N2270" t="s">
        <v>175</v>
      </c>
      <c r="O2270">
        <v>1</v>
      </c>
      <c r="P2270">
        <v>0</v>
      </c>
      <c r="Q2270" s="6">
        <v>33.700000000000003</v>
      </c>
      <c r="R2270">
        <v>1</v>
      </c>
      <c r="S2270" s="6">
        <v>1042</v>
      </c>
      <c r="T2270">
        <v>0</v>
      </c>
      <c r="U2270" s="6">
        <v>3805</v>
      </c>
      <c r="V2270">
        <v>0</v>
      </c>
      <c r="W2270">
        <v>0</v>
      </c>
      <c r="X2270">
        <v>0</v>
      </c>
      <c r="Y2270" s="6">
        <v>46.5</v>
      </c>
      <c r="Z2270">
        <v>0.105</v>
      </c>
      <c r="AA2270">
        <v>4.4999999999999998E-2</v>
      </c>
      <c r="AB2270">
        <v>9.0999999999999998E-2</v>
      </c>
      <c r="AC2270">
        <v>6</v>
      </c>
      <c r="AD2270" s="6">
        <v>60</v>
      </c>
      <c r="AE2270" s="6">
        <v>25</v>
      </c>
      <c r="AF2270" s="6">
        <v>0</v>
      </c>
      <c r="AG2270" s="6">
        <v>75.69</v>
      </c>
      <c r="AH2270" s="6">
        <v>94.58</v>
      </c>
      <c r="AI2270" s="6">
        <f t="shared" si="70"/>
        <v>18.89</v>
      </c>
      <c r="AJ2270" s="5">
        <f t="shared" si="71"/>
        <v>0.19972510044406852</v>
      </c>
    </row>
    <row r="2271" spans="1:36">
      <c r="A2271" t="s">
        <v>188</v>
      </c>
      <c r="B2271" t="s">
        <v>2556</v>
      </c>
      <c r="C2271" t="s">
        <v>110</v>
      </c>
      <c r="D2271" t="s">
        <v>54</v>
      </c>
      <c r="E2271" t="s">
        <v>55</v>
      </c>
      <c r="F2271">
        <v>0</v>
      </c>
      <c r="G2271">
        <v>5631</v>
      </c>
      <c r="H2271">
        <v>1</v>
      </c>
      <c r="I2271" t="s">
        <v>173</v>
      </c>
      <c r="J2271">
        <v>1</v>
      </c>
      <c r="K2271" s="6">
        <v>2.46</v>
      </c>
      <c r="L2271" t="s">
        <v>174</v>
      </c>
      <c r="M2271">
        <v>0</v>
      </c>
      <c r="N2271" t="s">
        <v>182</v>
      </c>
      <c r="O2271">
        <v>3</v>
      </c>
      <c r="P2271">
        <v>0</v>
      </c>
      <c r="Q2271" s="6">
        <v>117.3</v>
      </c>
      <c r="R2271">
        <v>0</v>
      </c>
      <c r="S2271" s="6">
        <v>0</v>
      </c>
      <c r="T2271">
        <v>0</v>
      </c>
      <c r="U2271" s="6">
        <v>7308</v>
      </c>
      <c r="V2271">
        <v>0</v>
      </c>
      <c r="W2271">
        <v>0</v>
      </c>
      <c r="X2271">
        <v>0</v>
      </c>
      <c r="Y2271" s="6">
        <v>46.5</v>
      </c>
      <c r="Z2271">
        <v>0.105</v>
      </c>
      <c r="AA2271">
        <v>4.4999999999999998E-2</v>
      </c>
      <c r="AB2271">
        <v>9.0999999999999998E-2</v>
      </c>
      <c r="AC2271">
        <v>6</v>
      </c>
      <c r="AD2271" s="6">
        <v>50</v>
      </c>
      <c r="AE2271" s="6">
        <v>0</v>
      </c>
      <c r="AF2271" s="6">
        <v>0</v>
      </c>
      <c r="AG2271" s="6">
        <v>56.23</v>
      </c>
      <c r="AH2271" s="6">
        <v>70.12</v>
      </c>
      <c r="AI2271" s="6">
        <f t="shared" si="70"/>
        <v>13.890000000000008</v>
      </c>
      <c r="AJ2271" s="5">
        <f t="shared" si="71"/>
        <v>0.19808899030233895</v>
      </c>
    </row>
    <row r="2272" spans="1:36">
      <c r="A2272" t="s">
        <v>350</v>
      </c>
      <c r="B2272" t="s">
        <v>2557</v>
      </c>
      <c r="C2272" t="s">
        <v>110</v>
      </c>
      <c r="D2272" t="s">
        <v>54</v>
      </c>
      <c r="E2272" t="s">
        <v>55</v>
      </c>
      <c r="F2272">
        <v>0</v>
      </c>
      <c r="G2272">
        <v>5631</v>
      </c>
      <c r="H2272">
        <v>1</v>
      </c>
      <c r="I2272" t="s">
        <v>173</v>
      </c>
      <c r="J2272">
        <v>1</v>
      </c>
      <c r="K2272" s="6">
        <v>2.2000000000000002</v>
      </c>
      <c r="L2272" t="s">
        <v>174</v>
      </c>
      <c r="M2272">
        <v>0</v>
      </c>
      <c r="N2272" t="s">
        <v>175</v>
      </c>
      <c r="O2272">
        <v>1</v>
      </c>
      <c r="P2272">
        <v>0</v>
      </c>
      <c r="Q2272" s="6">
        <v>36.200000000000003</v>
      </c>
      <c r="R2272">
        <v>1</v>
      </c>
      <c r="S2272" s="6">
        <v>1486</v>
      </c>
      <c r="T2272">
        <v>0</v>
      </c>
      <c r="U2272" s="6">
        <v>2948</v>
      </c>
      <c r="V2272">
        <v>0</v>
      </c>
      <c r="W2272">
        <v>0</v>
      </c>
      <c r="X2272">
        <v>0</v>
      </c>
      <c r="Y2272" s="6">
        <v>46.5</v>
      </c>
      <c r="Z2272">
        <v>0.105</v>
      </c>
      <c r="AA2272">
        <v>4.4999999999999998E-2</v>
      </c>
      <c r="AB2272">
        <v>9.0999999999999998E-2</v>
      </c>
      <c r="AC2272">
        <v>6</v>
      </c>
      <c r="AD2272" s="6">
        <v>50</v>
      </c>
      <c r="AE2272" s="6">
        <v>25</v>
      </c>
      <c r="AF2272" s="6">
        <v>0</v>
      </c>
      <c r="AG2272" s="6">
        <v>55.49</v>
      </c>
      <c r="AH2272" s="6">
        <v>68.930000000000007</v>
      </c>
      <c r="AI2272" s="6">
        <f t="shared" si="70"/>
        <v>13.440000000000005</v>
      </c>
      <c r="AJ2272" s="5">
        <f t="shared" si="71"/>
        <v>0.19498041491368059</v>
      </c>
    </row>
    <row r="2273" spans="1:36">
      <c r="A2273" t="s">
        <v>602</v>
      </c>
      <c r="B2273" t="s">
        <v>2558</v>
      </c>
      <c r="C2273" t="s">
        <v>110</v>
      </c>
      <c r="D2273" t="s">
        <v>54</v>
      </c>
      <c r="E2273" t="s">
        <v>55</v>
      </c>
      <c r="F2273">
        <v>0</v>
      </c>
      <c r="G2273">
        <v>5631</v>
      </c>
      <c r="H2273">
        <v>1</v>
      </c>
      <c r="I2273" t="s">
        <v>181</v>
      </c>
      <c r="J2273">
        <v>3</v>
      </c>
      <c r="K2273" s="6">
        <v>8.7100000000000009</v>
      </c>
      <c r="L2273" t="s">
        <v>174</v>
      </c>
      <c r="M2273">
        <v>0</v>
      </c>
      <c r="N2273" t="s">
        <v>182</v>
      </c>
      <c r="O2273">
        <v>3</v>
      </c>
      <c r="P2273">
        <v>0</v>
      </c>
      <c r="Q2273" s="6">
        <v>58.9</v>
      </c>
      <c r="R2273">
        <v>1</v>
      </c>
      <c r="S2273" s="6">
        <v>477</v>
      </c>
      <c r="T2273">
        <v>0</v>
      </c>
      <c r="U2273" s="6">
        <v>3746</v>
      </c>
      <c r="V2273">
        <v>0</v>
      </c>
      <c r="W2273">
        <v>0</v>
      </c>
      <c r="X2273">
        <v>0</v>
      </c>
      <c r="Y2273" s="6">
        <v>46.5</v>
      </c>
      <c r="Z2273">
        <v>0.105</v>
      </c>
      <c r="AA2273">
        <v>4.4999999999999998E-2</v>
      </c>
      <c r="AB2273">
        <v>9.0999999999999998E-2</v>
      </c>
      <c r="AC2273">
        <v>6</v>
      </c>
      <c r="AD2273" s="6">
        <v>60</v>
      </c>
      <c r="AE2273" s="6">
        <v>25</v>
      </c>
      <c r="AF2273" s="6">
        <v>0</v>
      </c>
      <c r="AG2273" s="6">
        <v>100.38</v>
      </c>
      <c r="AH2273" s="6">
        <v>120.29</v>
      </c>
      <c r="AI2273" s="6">
        <f t="shared" si="70"/>
        <v>19.910000000000011</v>
      </c>
      <c r="AJ2273" s="5">
        <f t="shared" si="71"/>
        <v>0.16551666805220724</v>
      </c>
    </row>
    <row r="2274" spans="1:36">
      <c r="A2274" t="s">
        <v>284</v>
      </c>
      <c r="B2274" t="s">
        <v>2559</v>
      </c>
      <c r="C2274" t="s">
        <v>110</v>
      </c>
      <c r="D2274" t="s">
        <v>54</v>
      </c>
      <c r="E2274" t="s">
        <v>55</v>
      </c>
      <c r="F2274">
        <v>0</v>
      </c>
      <c r="G2274">
        <v>5631</v>
      </c>
      <c r="H2274">
        <v>1</v>
      </c>
      <c r="I2274" t="s">
        <v>173</v>
      </c>
      <c r="J2274">
        <v>1</v>
      </c>
      <c r="K2274" s="6">
        <v>1.63</v>
      </c>
      <c r="L2274" t="s">
        <v>174</v>
      </c>
      <c r="M2274">
        <v>0</v>
      </c>
      <c r="N2274" t="s">
        <v>217</v>
      </c>
      <c r="O2274">
        <v>4</v>
      </c>
      <c r="P2274">
        <v>1</v>
      </c>
      <c r="Q2274" s="6">
        <v>81.400000000000006</v>
      </c>
      <c r="R2274">
        <v>1</v>
      </c>
      <c r="S2274" s="6">
        <v>2011</v>
      </c>
      <c r="T2274">
        <v>0</v>
      </c>
      <c r="U2274" s="6">
        <v>1618</v>
      </c>
      <c r="V2274">
        <v>1</v>
      </c>
      <c r="W2274">
        <v>0</v>
      </c>
      <c r="X2274">
        <v>0</v>
      </c>
      <c r="Y2274" s="6">
        <v>46.5</v>
      </c>
      <c r="Z2274">
        <v>0.105</v>
      </c>
      <c r="AA2274">
        <v>4.4999999999999998E-2</v>
      </c>
      <c r="AB2274">
        <v>9.0999999999999998E-2</v>
      </c>
      <c r="AC2274">
        <v>6</v>
      </c>
      <c r="AD2274" s="6">
        <v>50</v>
      </c>
      <c r="AE2274" s="6">
        <v>40</v>
      </c>
      <c r="AF2274" s="6">
        <v>0</v>
      </c>
      <c r="AG2274" s="6">
        <v>144.11000000000001</v>
      </c>
      <c r="AH2274" s="6">
        <v>174.36</v>
      </c>
      <c r="AI2274" s="6">
        <f t="shared" si="70"/>
        <v>30.25</v>
      </c>
      <c r="AJ2274" s="5">
        <f t="shared" si="71"/>
        <v>0.17349162651984398</v>
      </c>
    </row>
    <row r="2275" spans="1:36">
      <c r="A2275" t="s">
        <v>765</v>
      </c>
      <c r="B2275" t="s">
        <v>2560</v>
      </c>
      <c r="C2275" t="s">
        <v>110</v>
      </c>
      <c r="D2275" t="s">
        <v>54</v>
      </c>
      <c r="E2275" t="s">
        <v>55</v>
      </c>
      <c r="F2275">
        <v>0</v>
      </c>
      <c r="G2275">
        <v>5631</v>
      </c>
      <c r="H2275">
        <v>1</v>
      </c>
      <c r="I2275" t="s">
        <v>220</v>
      </c>
      <c r="J2275">
        <v>2</v>
      </c>
      <c r="K2275" s="6">
        <v>4.18</v>
      </c>
      <c r="L2275" t="s">
        <v>174</v>
      </c>
      <c r="M2275">
        <v>0</v>
      </c>
      <c r="N2275" t="s">
        <v>217</v>
      </c>
      <c r="O2275">
        <v>4</v>
      </c>
      <c r="P2275">
        <v>1</v>
      </c>
      <c r="Q2275" s="6">
        <v>175.2</v>
      </c>
      <c r="R2275">
        <v>1</v>
      </c>
      <c r="S2275" s="6">
        <v>3861</v>
      </c>
      <c r="T2275">
        <v>0</v>
      </c>
      <c r="U2275" s="6">
        <v>2944</v>
      </c>
      <c r="V2275">
        <v>0</v>
      </c>
      <c r="W2275">
        <v>0</v>
      </c>
      <c r="X2275">
        <v>0</v>
      </c>
      <c r="Y2275" s="6">
        <v>46.5</v>
      </c>
      <c r="Z2275">
        <v>0.105</v>
      </c>
      <c r="AA2275">
        <v>4.4999999999999998E-2</v>
      </c>
      <c r="AB2275">
        <v>9.0999999999999998E-2</v>
      </c>
      <c r="AC2275">
        <v>6</v>
      </c>
      <c r="AD2275" s="6">
        <v>50</v>
      </c>
      <c r="AE2275" s="6">
        <v>40</v>
      </c>
      <c r="AF2275" s="6">
        <v>0</v>
      </c>
      <c r="AG2275" s="6">
        <v>109.81</v>
      </c>
      <c r="AH2275" s="6">
        <v>131.33000000000001</v>
      </c>
      <c r="AI2275" s="6">
        <f t="shared" si="70"/>
        <v>21.52000000000001</v>
      </c>
      <c r="AJ2275" s="5">
        <f t="shared" si="71"/>
        <v>0.16386202695499891</v>
      </c>
    </row>
    <row r="2276" spans="1:36">
      <c r="A2276" t="s">
        <v>274</v>
      </c>
      <c r="B2276" t="s">
        <v>2561</v>
      </c>
      <c r="C2276" t="s">
        <v>110</v>
      </c>
      <c r="D2276" t="s">
        <v>54</v>
      </c>
      <c r="E2276" t="s">
        <v>55</v>
      </c>
      <c r="F2276">
        <v>0</v>
      </c>
      <c r="G2276">
        <v>5631</v>
      </c>
      <c r="H2276">
        <v>1</v>
      </c>
      <c r="I2276" t="s">
        <v>220</v>
      </c>
      <c r="J2276">
        <v>2</v>
      </c>
      <c r="K2276" s="6">
        <v>3.63</v>
      </c>
      <c r="L2276" t="s">
        <v>174</v>
      </c>
      <c r="M2276">
        <v>0</v>
      </c>
      <c r="N2276" t="s">
        <v>175</v>
      </c>
      <c r="O2276">
        <v>1</v>
      </c>
      <c r="P2276">
        <v>0</v>
      </c>
      <c r="Q2276" s="6">
        <v>47</v>
      </c>
      <c r="R2276">
        <v>1</v>
      </c>
      <c r="S2276" s="6">
        <v>1482</v>
      </c>
      <c r="T2276">
        <v>0</v>
      </c>
      <c r="U2276" s="6">
        <v>7754</v>
      </c>
      <c r="V2276">
        <v>0</v>
      </c>
      <c r="W2276">
        <v>0</v>
      </c>
      <c r="X2276">
        <v>0</v>
      </c>
      <c r="Y2276" s="6">
        <v>46.5</v>
      </c>
      <c r="Z2276">
        <v>0.105</v>
      </c>
      <c r="AA2276">
        <v>4.4999999999999998E-2</v>
      </c>
      <c r="AB2276">
        <v>9.0999999999999998E-2</v>
      </c>
      <c r="AC2276">
        <v>6</v>
      </c>
      <c r="AD2276" s="6">
        <v>50</v>
      </c>
      <c r="AE2276" s="6">
        <v>25</v>
      </c>
      <c r="AF2276" s="6">
        <v>0</v>
      </c>
      <c r="AG2276" s="6">
        <v>64.62</v>
      </c>
      <c r="AH2276" s="6">
        <v>81.099999999999994</v>
      </c>
      <c r="AI2276" s="6">
        <f t="shared" si="70"/>
        <v>16.47999999999999</v>
      </c>
      <c r="AJ2276" s="5">
        <f t="shared" si="71"/>
        <v>0.20320591861898879</v>
      </c>
    </row>
    <row r="2277" spans="1:36">
      <c r="A2277" t="s">
        <v>240</v>
      </c>
      <c r="B2277" t="s">
        <v>2562</v>
      </c>
      <c r="C2277" t="s">
        <v>110</v>
      </c>
      <c r="D2277" t="s">
        <v>54</v>
      </c>
      <c r="E2277" t="s">
        <v>55</v>
      </c>
      <c r="F2277">
        <v>0</v>
      </c>
      <c r="G2277">
        <v>5631</v>
      </c>
      <c r="H2277">
        <v>1</v>
      </c>
      <c r="I2277" t="s">
        <v>181</v>
      </c>
      <c r="J2277">
        <v>3</v>
      </c>
      <c r="K2277" s="6">
        <v>9.15</v>
      </c>
      <c r="L2277" t="s">
        <v>174</v>
      </c>
      <c r="M2277">
        <v>0</v>
      </c>
      <c r="N2277" t="s">
        <v>175</v>
      </c>
      <c r="O2277">
        <v>1</v>
      </c>
      <c r="P2277">
        <v>0</v>
      </c>
      <c r="Q2277" s="6">
        <v>38.799999999999997</v>
      </c>
      <c r="R2277">
        <v>1</v>
      </c>
      <c r="S2277" s="6">
        <v>1038</v>
      </c>
      <c r="T2277">
        <v>0</v>
      </c>
      <c r="U2277" s="6">
        <v>3540</v>
      </c>
      <c r="V2277">
        <v>0</v>
      </c>
      <c r="W2277">
        <v>0</v>
      </c>
      <c r="X2277">
        <v>0</v>
      </c>
      <c r="Y2277" s="6">
        <v>46.5</v>
      </c>
      <c r="Z2277">
        <v>0.105</v>
      </c>
      <c r="AA2277">
        <v>4.4999999999999998E-2</v>
      </c>
      <c r="AB2277">
        <v>9.0999999999999998E-2</v>
      </c>
      <c r="AC2277">
        <v>6</v>
      </c>
      <c r="AD2277" s="6">
        <v>60</v>
      </c>
      <c r="AE2277" s="6">
        <v>25</v>
      </c>
      <c r="AF2277" s="6">
        <v>0</v>
      </c>
      <c r="AG2277" s="6">
        <v>88.25</v>
      </c>
      <c r="AH2277" s="6">
        <v>108.54</v>
      </c>
      <c r="AI2277" s="6">
        <f t="shared" si="70"/>
        <v>20.290000000000006</v>
      </c>
      <c r="AJ2277" s="5">
        <f t="shared" si="71"/>
        <v>0.18693569191081633</v>
      </c>
    </row>
    <row r="2278" spans="1:36">
      <c r="A2278" t="s">
        <v>481</v>
      </c>
      <c r="B2278" t="s">
        <v>2563</v>
      </c>
      <c r="C2278" t="s">
        <v>110</v>
      </c>
      <c r="D2278" t="s">
        <v>54</v>
      </c>
      <c r="E2278" t="s">
        <v>55</v>
      </c>
      <c r="F2278">
        <v>0</v>
      </c>
      <c r="G2278">
        <v>5631</v>
      </c>
      <c r="H2278">
        <v>1</v>
      </c>
      <c r="I2278" t="s">
        <v>173</v>
      </c>
      <c r="J2278">
        <v>1</v>
      </c>
      <c r="K2278" s="6">
        <v>2.16</v>
      </c>
      <c r="L2278" t="s">
        <v>174</v>
      </c>
      <c r="M2278">
        <v>0</v>
      </c>
      <c r="N2278" t="s">
        <v>175</v>
      </c>
      <c r="O2278">
        <v>1</v>
      </c>
      <c r="P2278">
        <v>0</v>
      </c>
      <c r="Q2278" s="6">
        <v>28.8</v>
      </c>
      <c r="R2278">
        <v>0</v>
      </c>
      <c r="S2278" s="6">
        <v>0</v>
      </c>
      <c r="T2278">
        <v>0</v>
      </c>
      <c r="U2278" s="6">
        <v>9804</v>
      </c>
      <c r="V2278">
        <v>0</v>
      </c>
      <c r="W2278">
        <v>0</v>
      </c>
      <c r="X2278">
        <v>0</v>
      </c>
      <c r="Y2278" s="6">
        <v>46.5</v>
      </c>
      <c r="Z2278">
        <v>0.105</v>
      </c>
      <c r="AA2278">
        <v>4.4999999999999998E-2</v>
      </c>
      <c r="AB2278">
        <v>9.0999999999999998E-2</v>
      </c>
      <c r="AC2278">
        <v>6</v>
      </c>
      <c r="AD2278" s="6">
        <v>50</v>
      </c>
      <c r="AE2278" s="6">
        <v>0</v>
      </c>
      <c r="AF2278" s="6">
        <v>0</v>
      </c>
      <c r="AG2278" s="6">
        <v>46.18</v>
      </c>
      <c r="AH2278" s="6">
        <v>59.61</v>
      </c>
      <c r="AI2278" s="6">
        <f t="shared" si="70"/>
        <v>13.43</v>
      </c>
      <c r="AJ2278" s="5">
        <f t="shared" si="71"/>
        <v>0.2252977688307331</v>
      </c>
    </row>
    <row r="2279" spans="1:36">
      <c r="A2279" t="s">
        <v>494</v>
      </c>
      <c r="B2279" t="s">
        <v>2564</v>
      </c>
      <c r="C2279" t="s">
        <v>110</v>
      </c>
      <c r="D2279" t="s">
        <v>54</v>
      </c>
      <c r="E2279" t="s">
        <v>55</v>
      </c>
      <c r="F2279">
        <v>0</v>
      </c>
      <c r="G2279">
        <v>5631</v>
      </c>
      <c r="H2279">
        <v>1</v>
      </c>
      <c r="I2279" t="s">
        <v>173</v>
      </c>
      <c r="J2279">
        <v>1</v>
      </c>
      <c r="K2279" s="6">
        <v>1.81</v>
      </c>
      <c r="L2279" t="s">
        <v>174</v>
      </c>
      <c r="M2279">
        <v>0</v>
      </c>
      <c r="N2279" t="s">
        <v>182</v>
      </c>
      <c r="O2279">
        <v>3</v>
      </c>
      <c r="P2279">
        <v>0</v>
      </c>
      <c r="Q2279" s="6">
        <v>101</v>
      </c>
      <c r="R2279">
        <v>1</v>
      </c>
      <c r="S2279" s="6">
        <v>674</v>
      </c>
      <c r="T2279">
        <v>0</v>
      </c>
      <c r="U2279" s="6">
        <v>2655</v>
      </c>
      <c r="V2279">
        <v>0</v>
      </c>
      <c r="W2279">
        <v>0</v>
      </c>
      <c r="X2279">
        <v>0</v>
      </c>
      <c r="Y2279" s="6">
        <v>46.5</v>
      </c>
      <c r="Z2279">
        <v>0.105</v>
      </c>
      <c r="AA2279">
        <v>4.4999999999999998E-2</v>
      </c>
      <c r="AB2279">
        <v>9.0999999999999998E-2</v>
      </c>
      <c r="AC2279">
        <v>6</v>
      </c>
      <c r="AD2279" s="6">
        <v>50</v>
      </c>
      <c r="AE2279" s="6">
        <v>25</v>
      </c>
      <c r="AF2279" s="6">
        <v>0</v>
      </c>
      <c r="AG2279" s="6">
        <v>58.93</v>
      </c>
      <c r="AH2279" s="6">
        <v>74.81</v>
      </c>
      <c r="AI2279" s="6">
        <f t="shared" si="70"/>
        <v>15.880000000000003</v>
      </c>
      <c r="AJ2279" s="5">
        <f t="shared" si="71"/>
        <v>0.21227108675310791</v>
      </c>
    </row>
    <row r="2280" spans="1:36">
      <c r="A2280" t="s">
        <v>517</v>
      </c>
      <c r="B2280" t="s">
        <v>2565</v>
      </c>
      <c r="C2280" t="s">
        <v>110</v>
      </c>
      <c r="D2280" t="s">
        <v>54</v>
      </c>
      <c r="E2280" t="s">
        <v>55</v>
      </c>
      <c r="F2280">
        <v>0</v>
      </c>
      <c r="G2280">
        <v>5631</v>
      </c>
      <c r="H2280">
        <v>1</v>
      </c>
      <c r="I2280" t="s">
        <v>173</v>
      </c>
      <c r="J2280">
        <v>1</v>
      </c>
      <c r="K2280" s="6">
        <v>1.86</v>
      </c>
      <c r="L2280" t="s">
        <v>174</v>
      </c>
      <c r="M2280">
        <v>0</v>
      </c>
      <c r="N2280" t="s">
        <v>175</v>
      </c>
      <c r="O2280">
        <v>1</v>
      </c>
      <c r="P2280">
        <v>0</v>
      </c>
      <c r="Q2280" s="6">
        <v>39.799999999999997</v>
      </c>
      <c r="R2280">
        <v>1</v>
      </c>
      <c r="S2280" s="6">
        <v>1185</v>
      </c>
      <c r="T2280">
        <v>0</v>
      </c>
      <c r="U2280" s="6">
        <v>1997</v>
      </c>
      <c r="V2280">
        <v>0</v>
      </c>
      <c r="W2280">
        <v>0</v>
      </c>
      <c r="X2280">
        <v>0</v>
      </c>
      <c r="Y2280" s="6">
        <v>46.5</v>
      </c>
      <c r="Z2280">
        <v>0.105</v>
      </c>
      <c r="AA2280">
        <v>4.4999999999999998E-2</v>
      </c>
      <c r="AB2280">
        <v>9.0999999999999998E-2</v>
      </c>
      <c r="AC2280">
        <v>6</v>
      </c>
      <c r="AD2280" s="6">
        <v>50</v>
      </c>
      <c r="AE2280" s="6">
        <v>25</v>
      </c>
      <c r="AF2280" s="6">
        <v>0</v>
      </c>
      <c r="AG2280" s="6">
        <v>43.45</v>
      </c>
      <c r="AH2280" s="6">
        <v>54.4</v>
      </c>
      <c r="AI2280" s="6">
        <f t="shared" si="70"/>
        <v>10.949999999999996</v>
      </c>
      <c r="AJ2280" s="5">
        <f t="shared" si="71"/>
        <v>0.20128676470588228</v>
      </c>
    </row>
    <row r="2281" spans="1:36">
      <c r="A2281" t="s">
        <v>343</v>
      </c>
      <c r="B2281" t="s">
        <v>2566</v>
      </c>
      <c r="C2281" t="s">
        <v>110</v>
      </c>
      <c r="D2281" t="s">
        <v>54</v>
      </c>
      <c r="E2281" t="s">
        <v>55</v>
      </c>
      <c r="F2281">
        <v>0</v>
      </c>
      <c r="G2281">
        <v>5631</v>
      </c>
      <c r="H2281">
        <v>1</v>
      </c>
      <c r="I2281" t="s">
        <v>220</v>
      </c>
      <c r="J2281">
        <v>2</v>
      </c>
      <c r="K2281" s="6">
        <v>3.85</v>
      </c>
      <c r="L2281" t="s">
        <v>174</v>
      </c>
      <c r="M2281">
        <v>0</v>
      </c>
      <c r="N2281" t="s">
        <v>217</v>
      </c>
      <c r="O2281">
        <v>4</v>
      </c>
      <c r="P2281">
        <v>1</v>
      </c>
      <c r="Q2281" s="6">
        <v>116.1</v>
      </c>
      <c r="R2281">
        <v>1</v>
      </c>
      <c r="S2281" s="6">
        <v>627</v>
      </c>
      <c r="T2281">
        <v>0</v>
      </c>
      <c r="U2281" s="6">
        <v>2392</v>
      </c>
      <c r="V2281">
        <v>0</v>
      </c>
      <c r="W2281">
        <v>0</v>
      </c>
      <c r="X2281">
        <v>0</v>
      </c>
      <c r="Y2281" s="6">
        <v>46.5</v>
      </c>
      <c r="Z2281">
        <v>0.105</v>
      </c>
      <c r="AA2281">
        <v>4.4999999999999998E-2</v>
      </c>
      <c r="AB2281">
        <v>9.0999999999999998E-2</v>
      </c>
      <c r="AC2281">
        <v>6</v>
      </c>
      <c r="AD2281" s="6">
        <v>50</v>
      </c>
      <c r="AE2281" s="6">
        <v>25</v>
      </c>
      <c r="AF2281" s="6">
        <v>0</v>
      </c>
      <c r="AG2281" s="6">
        <v>111.21</v>
      </c>
      <c r="AH2281" s="6">
        <v>133.22</v>
      </c>
      <c r="AI2281" s="6">
        <f t="shared" si="70"/>
        <v>22.010000000000005</v>
      </c>
      <c r="AJ2281" s="5">
        <f t="shared" si="71"/>
        <v>0.16521543311815046</v>
      </c>
    </row>
    <row r="2282" spans="1:36">
      <c r="A2282" t="s">
        <v>512</v>
      </c>
      <c r="B2282" t="s">
        <v>2567</v>
      </c>
      <c r="C2282" t="s">
        <v>110</v>
      </c>
      <c r="D2282" t="s">
        <v>54</v>
      </c>
      <c r="E2282" t="s">
        <v>55</v>
      </c>
      <c r="F2282">
        <v>0</v>
      </c>
      <c r="G2282">
        <v>5631</v>
      </c>
      <c r="H2282">
        <v>1</v>
      </c>
      <c r="I2282" t="s">
        <v>181</v>
      </c>
      <c r="J2282">
        <v>3</v>
      </c>
      <c r="K2282" s="6">
        <v>7.66</v>
      </c>
      <c r="L2282" t="s">
        <v>174</v>
      </c>
      <c r="M2282">
        <v>0</v>
      </c>
      <c r="N2282" t="s">
        <v>182</v>
      </c>
      <c r="O2282">
        <v>3</v>
      </c>
      <c r="P2282">
        <v>0</v>
      </c>
      <c r="Q2282" s="6">
        <v>92.8</v>
      </c>
      <c r="R2282">
        <v>1</v>
      </c>
      <c r="S2282" s="6">
        <v>1279</v>
      </c>
      <c r="T2282">
        <v>0</v>
      </c>
      <c r="U2282" s="6">
        <v>4677</v>
      </c>
      <c r="V2282">
        <v>0</v>
      </c>
      <c r="W2282">
        <v>0</v>
      </c>
      <c r="X2282">
        <v>0</v>
      </c>
      <c r="Y2282" s="6">
        <v>46.5</v>
      </c>
      <c r="Z2282">
        <v>0.105</v>
      </c>
      <c r="AA2282">
        <v>4.4999999999999998E-2</v>
      </c>
      <c r="AB2282">
        <v>9.0999999999999998E-2</v>
      </c>
      <c r="AC2282">
        <v>6</v>
      </c>
      <c r="AD2282" s="6">
        <v>60</v>
      </c>
      <c r="AE2282" s="6">
        <v>25</v>
      </c>
      <c r="AF2282" s="6">
        <v>0</v>
      </c>
      <c r="AG2282" s="6">
        <v>83.24</v>
      </c>
      <c r="AH2282" s="6">
        <v>103.61</v>
      </c>
      <c r="AI2282" s="6">
        <f t="shared" si="70"/>
        <v>20.370000000000005</v>
      </c>
      <c r="AJ2282" s="5">
        <f t="shared" si="71"/>
        <v>0.19660264453238108</v>
      </c>
    </row>
    <row r="2283" spans="1:36">
      <c r="A2283" t="s">
        <v>277</v>
      </c>
      <c r="B2283" t="s">
        <v>2568</v>
      </c>
      <c r="C2283" t="s">
        <v>110</v>
      </c>
      <c r="D2283" t="s">
        <v>54</v>
      </c>
      <c r="E2283" t="s">
        <v>55</v>
      </c>
      <c r="F2283">
        <v>0</v>
      </c>
      <c r="G2283">
        <v>5631</v>
      </c>
      <c r="H2283">
        <v>1</v>
      </c>
      <c r="I2283" t="s">
        <v>220</v>
      </c>
      <c r="J2283">
        <v>2</v>
      </c>
      <c r="K2283" s="6">
        <v>2.95</v>
      </c>
      <c r="L2283" t="s">
        <v>174</v>
      </c>
      <c r="M2283">
        <v>0</v>
      </c>
      <c r="N2283" t="s">
        <v>217</v>
      </c>
      <c r="O2283">
        <v>4</v>
      </c>
      <c r="P2283">
        <v>1</v>
      </c>
      <c r="Q2283" s="6">
        <v>149.19999999999999</v>
      </c>
      <c r="R2283">
        <v>1</v>
      </c>
      <c r="S2283" s="6">
        <v>614</v>
      </c>
      <c r="T2283">
        <v>0</v>
      </c>
      <c r="U2283" s="6">
        <v>5257</v>
      </c>
      <c r="V2283">
        <v>0</v>
      </c>
      <c r="W2283">
        <v>0</v>
      </c>
      <c r="X2283">
        <v>0</v>
      </c>
      <c r="Y2283" s="6">
        <v>46.5</v>
      </c>
      <c r="Z2283">
        <v>0.105</v>
      </c>
      <c r="AA2283">
        <v>4.4999999999999998E-2</v>
      </c>
      <c r="AB2283">
        <v>9.0999999999999998E-2</v>
      </c>
      <c r="AC2283">
        <v>6</v>
      </c>
      <c r="AD2283" s="6">
        <v>50</v>
      </c>
      <c r="AE2283" s="6">
        <v>25</v>
      </c>
      <c r="AF2283" s="6">
        <v>0</v>
      </c>
      <c r="AG2283" s="6">
        <v>102.4</v>
      </c>
      <c r="AH2283" s="6">
        <v>125.46</v>
      </c>
      <c r="AI2283" s="6">
        <f t="shared" si="70"/>
        <v>23.059999999999988</v>
      </c>
      <c r="AJ2283" s="5">
        <f t="shared" si="71"/>
        <v>0.18380360274190968</v>
      </c>
    </row>
    <row r="2284" spans="1:36">
      <c r="A2284" t="s">
        <v>521</v>
      </c>
      <c r="B2284" t="s">
        <v>2569</v>
      </c>
      <c r="C2284" t="s">
        <v>110</v>
      </c>
      <c r="D2284" t="s">
        <v>54</v>
      </c>
      <c r="E2284" t="s">
        <v>55</v>
      </c>
      <c r="F2284">
        <v>0</v>
      </c>
      <c r="G2284">
        <v>5631</v>
      </c>
      <c r="H2284">
        <v>1</v>
      </c>
      <c r="I2284" t="s">
        <v>173</v>
      </c>
      <c r="J2284">
        <v>1</v>
      </c>
      <c r="K2284" s="6">
        <v>0.94</v>
      </c>
      <c r="L2284" t="s">
        <v>174</v>
      </c>
      <c r="M2284">
        <v>0</v>
      </c>
      <c r="N2284" t="s">
        <v>187</v>
      </c>
      <c r="O2284">
        <v>2</v>
      </c>
      <c r="P2284">
        <v>0</v>
      </c>
      <c r="Q2284" s="6">
        <v>67.3</v>
      </c>
      <c r="R2284">
        <v>0</v>
      </c>
      <c r="S2284" s="6">
        <v>0</v>
      </c>
      <c r="T2284">
        <v>0</v>
      </c>
      <c r="U2284" s="6">
        <v>2294</v>
      </c>
      <c r="V2284">
        <v>0</v>
      </c>
      <c r="W2284">
        <v>0</v>
      </c>
      <c r="X2284">
        <v>0</v>
      </c>
      <c r="Y2284" s="6">
        <v>46.5</v>
      </c>
      <c r="Z2284">
        <v>0.105</v>
      </c>
      <c r="AA2284">
        <v>4.4999999999999998E-2</v>
      </c>
      <c r="AB2284">
        <v>9.0999999999999998E-2</v>
      </c>
      <c r="AC2284">
        <v>6</v>
      </c>
      <c r="AD2284" s="6">
        <v>50</v>
      </c>
      <c r="AE2284" s="6">
        <v>0</v>
      </c>
      <c r="AF2284" s="6">
        <v>0</v>
      </c>
      <c r="AG2284" s="6">
        <v>48.52</v>
      </c>
      <c r="AH2284" s="6">
        <v>61.29</v>
      </c>
      <c r="AI2284" s="6">
        <f t="shared" si="70"/>
        <v>12.769999999999996</v>
      </c>
      <c r="AJ2284" s="5">
        <f t="shared" si="71"/>
        <v>0.20835372817751666</v>
      </c>
    </row>
    <row r="2285" spans="1:36">
      <c r="A2285" t="s">
        <v>765</v>
      </c>
      <c r="B2285" t="s">
        <v>2570</v>
      </c>
      <c r="C2285" t="s">
        <v>110</v>
      </c>
      <c r="D2285" t="s">
        <v>54</v>
      </c>
      <c r="E2285" t="s">
        <v>55</v>
      </c>
      <c r="F2285">
        <v>0</v>
      </c>
      <c r="G2285">
        <v>5631</v>
      </c>
      <c r="H2285">
        <v>1</v>
      </c>
      <c r="I2285" t="s">
        <v>220</v>
      </c>
      <c r="J2285">
        <v>2</v>
      </c>
      <c r="K2285" s="6">
        <v>4.6500000000000004</v>
      </c>
      <c r="L2285" t="s">
        <v>174</v>
      </c>
      <c r="M2285">
        <v>0</v>
      </c>
      <c r="N2285" t="s">
        <v>182</v>
      </c>
      <c r="O2285">
        <v>3</v>
      </c>
      <c r="P2285">
        <v>0</v>
      </c>
      <c r="Q2285" s="6">
        <v>89.9</v>
      </c>
      <c r="R2285">
        <v>0</v>
      </c>
      <c r="S2285" s="6">
        <v>0</v>
      </c>
      <c r="T2285">
        <v>0</v>
      </c>
      <c r="U2285" s="6">
        <v>3060</v>
      </c>
      <c r="V2285">
        <v>0</v>
      </c>
      <c r="W2285">
        <v>0</v>
      </c>
      <c r="X2285">
        <v>0</v>
      </c>
      <c r="Y2285" s="6">
        <v>46.5</v>
      </c>
      <c r="Z2285">
        <v>0.105</v>
      </c>
      <c r="AA2285">
        <v>4.4999999999999998E-2</v>
      </c>
      <c r="AB2285">
        <v>9.0999999999999998E-2</v>
      </c>
      <c r="AC2285">
        <v>6</v>
      </c>
      <c r="AD2285" s="6">
        <v>50</v>
      </c>
      <c r="AE2285" s="6">
        <v>0</v>
      </c>
      <c r="AF2285" s="6">
        <v>0</v>
      </c>
      <c r="AG2285" s="6">
        <v>66.36</v>
      </c>
      <c r="AH2285" s="6">
        <v>82.52</v>
      </c>
      <c r="AI2285" s="6">
        <f t="shared" si="70"/>
        <v>16.159999999999997</v>
      </c>
      <c r="AJ2285" s="5">
        <f t="shared" si="71"/>
        <v>0.19583131362094033</v>
      </c>
    </row>
    <row r="2286" spans="1:36">
      <c r="A2286" t="s">
        <v>194</v>
      </c>
      <c r="B2286" t="s">
        <v>2571</v>
      </c>
      <c r="C2286" t="s">
        <v>110</v>
      </c>
      <c r="D2286" t="s">
        <v>54</v>
      </c>
      <c r="E2286" t="s">
        <v>55</v>
      </c>
      <c r="F2286">
        <v>0</v>
      </c>
      <c r="G2286">
        <v>5631</v>
      </c>
      <c r="H2286">
        <v>1</v>
      </c>
      <c r="I2286" t="s">
        <v>220</v>
      </c>
      <c r="J2286">
        <v>2</v>
      </c>
      <c r="K2286" s="6">
        <v>3.9</v>
      </c>
      <c r="L2286" t="s">
        <v>174</v>
      </c>
      <c r="M2286">
        <v>0</v>
      </c>
      <c r="N2286" t="s">
        <v>175</v>
      </c>
      <c r="O2286">
        <v>1</v>
      </c>
      <c r="P2286">
        <v>0</v>
      </c>
      <c r="Q2286" s="6">
        <v>32.299999999999997</v>
      </c>
      <c r="R2286">
        <v>1</v>
      </c>
      <c r="S2286" s="6">
        <v>2734</v>
      </c>
      <c r="T2286">
        <v>0</v>
      </c>
      <c r="U2286" s="6">
        <v>6077</v>
      </c>
      <c r="V2286">
        <v>1</v>
      </c>
      <c r="W2286">
        <v>0</v>
      </c>
      <c r="X2286">
        <v>0</v>
      </c>
      <c r="Y2286" s="6">
        <v>46.5</v>
      </c>
      <c r="Z2286">
        <v>0.105</v>
      </c>
      <c r="AA2286">
        <v>4.4999999999999998E-2</v>
      </c>
      <c r="AB2286">
        <v>9.0999999999999998E-2</v>
      </c>
      <c r="AC2286">
        <v>6</v>
      </c>
      <c r="AD2286" s="6">
        <v>50</v>
      </c>
      <c r="AE2286" s="6">
        <v>40</v>
      </c>
      <c r="AF2286" s="6">
        <v>0</v>
      </c>
      <c r="AG2286" s="6">
        <v>98.13</v>
      </c>
      <c r="AH2286" s="6">
        <v>120.74</v>
      </c>
      <c r="AI2286" s="6">
        <f t="shared" si="70"/>
        <v>22.61</v>
      </c>
      <c r="AJ2286" s="5">
        <f t="shared" si="71"/>
        <v>0.18726188504223953</v>
      </c>
    </row>
    <row r="2287" spans="1:36">
      <c r="A2287" t="s">
        <v>602</v>
      </c>
      <c r="B2287" t="s">
        <v>2572</v>
      </c>
      <c r="C2287" t="s">
        <v>110</v>
      </c>
      <c r="D2287" t="s">
        <v>54</v>
      </c>
      <c r="E2287" t="s">
        <v>55</v>
      </c>
      <c r="F2287">
        <v>0</v>
      </c>
      <c r="G2287">
        <v>5631</v>
      </c>
      <c r="H2287">
        <v>1</v>
      </c>
      <c r="I2287" t="s">
        <v>220</v>
      </c>
      <c r="J2287">
        <v>2</v>
      </c>
      <c r="K2287" s="6">
        <v>5.33</v>
      </c>
      <c r="L2287" t="s">
        <v>174</v>
      </c>
      <c r="M2287">
        <v>0</v>
      </c>
      <c r="N2287" t="s">
        <v>187</v>
      </c>
      <c r="O2287">
        <v>2</v>
      </c>
      <c r="P2287">
        <v>0</v>
      </c>
      <c r="Q2287" s="6">
        <v>35.4</v>
      </c>
      <c r="R2287">
        <v>1</v>
      </c>
      <c r="S2287" s="6">
        <v>549</v>
      </c>
      <c r="T2287">
        <v>0</v>
      </c>
      <c r="U2287" s="6">
        <v>3884</v>
      </c>
      <c r="V2287">
        <v>0</v>
      </c>
      <c r="W2287">
        <v>0</v>
      </c>
      <c r="X2287">
        <v>0</v>
      </c>
      <c r="Y2287" s="6">
        <v>46.5</v>
      </c>
      <c r="Z2287">
        <v>0.105</v>
      </c>
      <c r="AA2287">
        <v>4.4999999999999998E-2</v>
      </c>
      <c r="AB2287">
        <v>9.0999999999999998E-2</v>
      </c>
      <c r="AC2287">
        <v>6</v>
      </c>
      <c r="AD2287" s="6">
        <v>50</v>
      </c>
      <c r="AE2287" s="6">
        <v>25</v>
      </c>
      <c r="AF2287" s="6">
        <v>0</v>
      </c>
      <c r="AG2287" s="6">
        <v>59.97</v>
      </c>
      <c r="AH2287" s="6">
        <v>76.040000000000006</v>
      </c>
      <c r="AI2287" s="6">
        <f t="shared" si="70"/>
        <v>16.070000000000007</v>
      </c>
      <c r="AJ2287" s="5">
        <f t="shared" si="71"/>
        <v>0.21133613887427677</v>
      </c>
    </row>
    <row r="2288" spans="1:36">
      <c r="A2288" t="s">
        <v>223</v>
      </c>
      <c r="B2288" t="s">
        <v>2573</v>
      </c>
      <c r="C2288" t="s">
        <v>110</v>
      </c>
      <c r="D2288" t="s">
        <v>54</v>
      </c>
      <c r="E2288" t="s">
        <v>55</v>
      </c>
      <c r="F2288">
        <v>0</v>
      </c>
      <c r="G2288">
        <v>5631</v>
      </c>
      <c r="H2288">
        <v>1</v>
      </c>
      <c r="I2288" t="s">
        <v>178</v>
      </c>
      <c r="J2288">
        <v>4</v>
      </c>
      <c r="K2288" s="6">
        <v>15.15</v>
      </c>
      <c r="L2288" t="s">
        <v>174</v>
      </c>
      <c r="M2288">
        <v>0</v>
      </c>
      <c r="N2288" t="s">
        <v>272</v>
      </c>
      <c r="O2288">
        <v>5</v>
      </c>
      <c r="P2288">
        <v>1</v>
      </c>
      <c r="Q2288" s="6">
        <v>163</v>
      </c>
      <c r="R2288">
        <v>1</v>
      </c>
      <c r="S2288" s="6">
        <v>3828</v>
      </c>
      <c r="T2288">
        <v>0</v>
      </c>
      <c r="U2288" s="6">
        <v>3291</v>
      </c>
      <c r="V2288">
        <v>1</v>
      </c>
      <c r="W2288">
        <v>0</v>
      </c>
      <c r="X2288">
        <v>0</v>
      </c>
      <c r="Y2288" s="6">
        <v>46.5</v>
      </c>
      <c r="Z2288">
        <v>0.105</v>
      </c>
      <c r="AA2288">
        <v>4.4999999999999998E-2</v>
      </c>
      <c r="AB2288">
        <v>9.0999999999999998E-2</v>
      </c>
      <c r="AC2288">
        <v>6</v>
      </c>
      <c r="AD2288" s="6">
        <v>65</v>
      </c>
      <c r="AE2288" s="6">
        <v>40</v>
      </c>
      <c r="AF2288" s="6">
        <v>0</v>
      </c>
      <c r="AG2288" s="6">
        <v>274.57</v>
      </c>
      <c r="AH2288" s="6">
        <v>327.85</v>
      </c>
      <c r="AI2288" s="6">
        <f t="shared" si="70"/>
        <v>53.28000000000003</v>
      </c>
      <c r="AJ2288" s="5">
        <f t="shared" si="71"/>
        <v>0.16251334451730984</v>
      </c>
    </row>
    <row r="2289" spans="1:36">
      <c r="A2289" t="s">
        <v>306</v>
      </c>
      <c r="B2289" t="s">
        <v>2574</v>
      </c>
      <c r="C2289" t="s">
        <v>110</v>
      </c>
      <c r="D2289" t="s">
        <v>54</v>
      </c>
      <c r="E2289" t="s">
        <v>55</v>
      </c>
      <c r="F2289">
        <v>0</v>
      </c>
      <c r="G2289">
        <v>5631</v>
      </c>
      <c r="H2289">
        <v>1</v>
      </c>
      <c r="I2289" t="s">
        <v>220</v>
      </c>
      <c r="J2289">
        <v>2</v>
      </c>
      <c r="K2289" s="6">
        <v>3.48</v>
      </c>
      <c r="L2289" t="s">
        <v>200</v>
      </c>
      <c r="M2289">
        <v>1</v>
      </c>
      <c r="N2289" t="s">
        <v>217</v>
      </c>
      <c r="O2289">
        <v>4</v>
      </c>
      <c r="P2289">
        <v>1</v>
      </c>
      <c r="Q2289" s="6">
        <v>190.4</v>
      </c>
      <c r="R2289">
        <v>1</v>
      </c>
      <c r="S2289" s="6">
        <v>2353</v>
      </c>
      <c r="T2289">
        <v>0</v>
      </c>
      <c r="U2289" s="6">
        <v>8740</v>
      </c>
      <c r="V2289">
        <v>0</v>
      </c>
      <c r="W2289">
        <v>0</v>
      </c>
      <c r="X2289">
        <v>0</v>
      </c>
      <c r="Y2289" s="6">
        <v>46.5</v>
      </c>
      <c r="Z2289">
        <v>0.105</v>
      </c>
      <c r="AA2289">
        <v>4.4999999999999998E-2</v>
      </c>
      <c r="AB2289">
        <v>9.0999999999999998E-2</v>
      </c>
      <c r="AC2289">
        <v>6</v>
      </c>
      <c r="AD2289" s="6">
        <v>119</v>
      </c>
      <c r="AE2289" s="6">
        <v>40</v>
      </c>
      <c r="AF2289" s="6">
        <v>0</v>
      </c>
      <c r="AG2289" s="6">
        <v>151.26</v>
      </c>
      <c r="AH2289" s="6">
        <v>183.68</v>
      </c>
      <c r="AI2289" s="6">
        <f t="shared" si="70"/>
        <v>32.420000000000016</v>
      </c>
      <c r="AJ2289" s="5">
        <f t="shared" si="71"/>
        <v>0.17650261324041819</v>
      </c>
    </row>
    <row r="2290" spans="1:36">
      <c r="A2290" t="s">
        <v>494</v>
      </c>
      <c r="B2290" t="s">
        <v>2575</v>
      </c>
      <c r="C2290" t="s">
        <v>110</v>
      </c>
      <c r="D2290" t="s">
        <v>54</v>
      </c>
      <c r="E2290" t="s">
        <v>55</v>
      </c>
      <c r="F2290">
        <v>0</v>
      </c>
      <c r="G2290">
        <v>5631</v>
      </c>
      <c r="H2290">
        <v>1</v>
      </c>
      <c r="I2290" t="s">
        <v>220</v>
      </c>
      <c r="J2290">
        <v>2</v>
      </c>
      <c r="K2290" s="6">
        <v>6.36</v>
      </c>
      <c r="L2290" t="s">
        <v>174</v>
      </c>
      <c r="M2290">
        <v>0</v>
      </c>
      <c r="N2290" t="s">
        <v>187</v>
      </c>
      <c r="O2290">
        <v>2</v>
      </c>
      <c r="P2290">
        <v>0</v>
      </c>
      <c r="Q2290" s="6">
        <v>51.8</v>
      </c>
      <c r="R2290">
        <v>1</v>
      </c>
      <c r="S2290" s="6">
        <v>1286</v>
      </c>
      <c r="T2290">
        <v>0</v>
      </c>
      <c r="U2290" s="6">
        <v>5326</v>
      </c>
      <c r="V2290">
        <v>1</v>
      </c>
      <c r="W2290">
        <v>0</v>
      </c>
      <c r="X2290">
        <v>0</v>
      </c>
      <c r="Y2290" s="6">
        <v>46.5</v>
      </c>
      <c r="Z2290">
        <v>0.105</v>
      </c>
      <c r="AA2290">
        <v>4.4999999999999998E-2</v>
      </c>
      <c r="AB2290">
        <v>9.0999999999999998E-2</v>
      </c>
      <c r="AC2290">
        <v>6</v>
      </c>
      <c r="AD2290" s="6">
        <v>50</v>
      </c>
      <c r="AE2290" s="6">
        <v>25</v>
      </c>
      <c r="AF2290" s="6">
        <v>0</v>
      </c>
      <c r="AG2290" s="6">
        <v>106.56</v>
      </c>
      <c r="AH2290" s="6">
        <v>127.84</v>
      </c>
      <c r="AI2290" s="6">
        <f t="shared" si="70"/>
        <v>21.28</v>
      </c>
      <c r="AJ2290" s="5">
        <f t="shared" si="71"/>
        <v>0.16645807259073842</v>
      </c>
    </row>
    <row r="2291" spans="1:36">
      <c r="A2291" t="s">
        <v>501</v>
      </c>
      <c r="B2291" t="s">
        <v>2576</v>
      </c>
      <c r="C2291" t="s">
        <v>110</v>
      </c>
      <c r="D2291" t="s">
        <v>54</v>
      </c>
      <c r="E2291" t="s">
        <v>55</v>
      </c>
      <c r="F2291">
        <v>0</v>
      </c>
      <c r="G2291">
        <v>5631</v>
      </c>
      <c r="H2291">
        <v>1</v>
      </c>
      <c r="I2291" t="s">
        <v>220</v>
      </c>
      <c r="J2291">
        <v>2</v>
      </c>
      <c r="K2291" s="6">
        <v>4.3499999999999996</v>
      </c>
      <c r="L2291" t="s">
        <v>174</v>
      </c>
      <c r="M2291">
        <v>0</v>
      </c>
      <c r="N2291" t="s">
        <v>187</v>
      </c>
      <c r="O2291">
        <v>2</v>
      </c>
      <c r="P2291">
        <v>0</v>
      </c>
      <c r="Q2291" s="6">
        <v>43.3</v>
      </c>
      <c r="R2291">
        <v>1</v>
      </c>
      <c r="S2291" s="6">
        <v>418</v>
      </c>
      <c r="T2291">
        <v>0</v>
      </c>
      <c r="U2291" s="6">
        <v>6556</v>
      </c>
      <c r="V2291">
        <v>0</v>
      </c>
      <c r="W2291">
        <v>0</v>
      </c>
      <c r="X2291">
        <v>0</v>
      </c>
      <c r="Y2291" s="6">
        <v>46.5</v>
      </c>
      <c r="Z2291">
        <v>0.105</v>
      </c>
      <c r="AA2291">
        <v>4.4999999999999998E-2</v>
      </c>
      <c r="AB2291">
        <v>9.0999999999999998E-2</v>
      </c>
      <c r="AC2291">
        <v>6</v>
      </c>
      <c r="AD2291" s="6">
        <v>50</v>
      </c>
      <c r="AE2291" s="6">
        <v>25</v>
      </c>
      <c r="AF2291" s="6">
        <v>0</v>
      </c>
      <c r="AG2291" s="6">
        <v>64.25</v>
      </c>
      <c r="AH2291" s="6">
        <v>79.400000000000006</v>
      </c>
      <c r="AI2291" s="6">
        <f t="shared" si="70"/>
        <v>15.150000000000006</v>
      </c>
      <c r="AJ2291" s="5">
        <f t="shared" si="71"/>
        <v>0.19080604534005044</v>
      </c>
    </row>
    <row r="2292" spans="1:36">
      <c r="A2292" t="s">
        <v>176</v>
      </c>
      <c r="B2292" t="s">
        <v>2577</v>
      </c>
      <c r="C2292" t="s">
        <v>110</v>
      </c>
      <c r="D2292" t="s">
        <v>54</v>
      </c>
      <c r="E2292" t="s">
        <v>55</v>
      </c>
      <c r="F2292">
        <v>0</v>
      </c>
      <c r="G2292">
        <v>5631</v>
      </c>
      <c r="H2292">
        <v>1</v>
      </c>
      <c r="I2292" t="s">
        <v>173</v>
      </c>
      <c r="J2292">
        <v>1</v>
      </c>
      <c r="K2292" s="6">
        <v>1.76</v>
      </c>
      <c r="L2292" t="s">
        <v>200</v>
      </c>
      <c r="M2292">
        <v>1</v>
      </c>
      <c r="N2292" t="s">
        <v>217</v>
      </c>
      <c r="O2292">
        <v>4</v>
      </c>
      <c r="P2292">
        <v>1</v>
      </c>
      <c r="Q2292" s="6">
        <v>195.6</v>
      </c>
      <c r="R2292">
        <v>0</v>
      </c>
      <c r="S2292" s="6">
        <v>0</v>
      </c>
      <c r="T2292">
        <v>0</v>
      </c>
      <c r="U2292" s="6">
        <v>4938</v>
      </c>
      <c r="V2292">
        <v>0</v>
      </c>
      <c r="W2292">
        <v>0</v>
      </c>
      <c r="X2292">
        <v>0</v>
      </c>
      <c r="Y2292" s="6">
        <v>46.5</v>
      </c>
      <c r="Z2292">
        <v>0.105</v>
      </c>
      <c r="AA2292">
        <v>4.4999999999999998E-2</v>
      </c>
      <c r="AB2292">
        <v>9.0999999999999998E-2</v>
      </c>
      <c r="AC2292">
        <v>6</v>
      </c>
      <c r="AD2292" s="6">
        <v>99</v>
      </c>
      <c r="AE2292" s="6">
        <v>0</v>
      </c>
      <c r="AF2292" s="6">
        <v>0</v>
      </c>
      <c r="AG2292" s="6">
        <v>139.88999999999999</v>
      </c>
      <c r="AH2292" s="6">
        <v>168.86</v>
      </c>
      <c r="AI2292" s="6">
        <f t="shared" si="70"/>
        <v>28.970000000000027</v>
      </c>
      <c r="AJ2292" s="5">
        <f t="shared" si="71"/>
        <v>0.17156224090962943</v>
      </c>
    </row>
    <row r="2293" spans="1:36">
      <c r="A2293" t="s">
        <v>263</v>
      </c>
      <c r="B2293" t="s">
        <v>2578</v>
      </c>
      <c r="C2293" t="s">
        <v>110</v>
      </c>
      <c r="D2293" t="s">
        <v>54</v>
      </c>
      <c r="E2293" t="s">
        <v>55</v>
      </c>
      <c r="F2293">
        <v>0</v>
      </c>
      <c r="G2293">
        <v>5631</v>
      </c>
      <c r="H2293">
        <v>1</v>
      </c>
      <c r="I2293" t="s">
        <v>220</v>
      </c>
      <c r="J2293">
        <v>2</v>
      </c>
      <c r="K2293" s="6">
        <v>4.0599999999999996</v>
      </c>
      <c r="L2293" t="s">
        <v>174</v>
      </c>
      <c r="M2293">
        <v>0</v>
      </c>
      <c r="N2293" t="s">
        <v>175</v>
      </c>
      <c r="O2293">
        <v>1</v>
      </c>
      <c r="P2293">
        <v>0</v>
      </c>
      <c r="Q2293" s="6">
        <v>35.200000000000003</v>
      </c>
      <c r="R2293">
        <v>1</v>
      </c>
      <c r="S2293" s="6">
        <v>1365</v>
      </c>
      <c r="T2293">
        <v>0</v>
      </c>
      <c r="U2293" s="6">
        <v>8852</v>
      </c>
      <c r="V2293">
        <v>0</v>
      </c>
      <c r="W2293">
        <v>0</v>
      </c>
      <c r="X2293">
        <v>0</v>
      </c>
      <c r="Y2293" s="6">
        <v>46.5</v>
      </c>
      <c r="Z2293">
        <v>0.105</v>
      </c>
      <c r="AA2293">
        <v>4.4999999999999998E-2</v>
      </c>
      <c r="AB2293">
        <v>9.0999999999999998E-2</v>
      </c>
      <c r="AC2293">
        <v>6</v>
      </c>
      <c r="AD2293" s="6">
        <v>50</v>
      </c>
      <c r="AE2293" s="6">
        <v>25</v>
      </c>
      <c r="AF2293" s="6">
        <v>0</v>
      </c>
      <c r="AG2293" s="6">
        <v>52.9</v>
      </c>
      <c r="AH2293" s="6">
        <v>65.13</v>
      </c>
      <c r="AI2293" s="6">
        <f t="shared" si="70"/>
        <v>12.229999999999997</v>
      </c>
      <c r="AJ2293" s="5">
        <f t="shared" si="71"/>
        <v>0.18777828957469672</v>
      </c>
    </row>
    <row r="2294" spans="1:36">
      <c r="A2294" t="s">
        <v>240</v>
      </c>
      <c r="B2294" t="s">
        <v>2579</v>
      </c>
      <c r="C2294" t="s">
        <v>112</v>
      </c>
      <c r="D2294" t="s">
        <v>105</v>
      </c>
      <c r="E2294" t="s">
        <v>55</v>
      </c>
      <c r="F2294">
        <v>0</v>
      </c>
      <c r="G2294">
        <v>1694</v>
      </c>
      <c r="H2294">
        <v>1</v>
      </c>
      <c r="I2294" t="s">
        <v>178</v>
      </c>
      <c r="J2294">
        <v>4</v>
      </c>
      <c r="K2294" s="6">
        <v>6.13</v>
      </c>
      <c r="L2294" t="s">
        <v>174</v>
      </c>
      <c r="M2294">
        <v>0</v>
      </c>
      <c r="N2294" t="s">
        <v>175</v>
      </c>
      <c r="O2294">
        <v>1</v>
      </c>
      <c r="P2294">
        <v>0</v>
      </c>
      <c r="Q2294" s="6">
        <v>40.700000000000003</v>
      </c>
      <c r="R2294">
        <v>0</v>
      </c>
      <c r="S2294" s="6">
        <v>0</v>
      </c>
      <c r="T2294">
        <v>0</v>
      </c>
      <c r="U2294" s="6">
        <v>9521</v>
      </c>
      <c r="V2294">
        <v>0</v>
      </c>
      <c r="W2294">
        <v>0</v>
      </c>
      <c r="X2294">
        <v>0</v>
      </c>
      <c r="Y2294" s="6">
        <v>48.7</v>
      </c>
      <c r="Z2294">
        <v>8.0000000000000002E-3</v>
      </c>
      <c r="AA2294">
        <v>0.106</v>
      </c>
      <c r="AB2294">
        <v>8.3000000000000004E-2</v>
      </c>
      <c r="AC2294">
        <v>6</v>
      </c>
      <c r="AD2294" s="6">
        <v>65</v>
      </c>
      <c r="AE2294" s="6">
        <v>0</v>
      </c>
      <c r="AF2294" s="6">
        <v>0</v>
      </c>
      <c r="AG2294" s="6">
        <v>95.02</v>
      </c>
      <c r="AH2294" s="6">
        <v>123.13</v>
      </c>
      <c r="AI2294" s="6">
        <f t="shared" si="70"/>
        <v>28.11</v>
      </c>
      <c r="AJ2294" s="5">
        <f t="shared" si="71"/>
        <v>0.2282952976528872</v>
      </c>
    </row>
    <row r="2295" spans="1:36">
      <c r="A2295" t="s">
        <v>434</v>
      </c>
      <c r="B2295" t="s">
        <v>2580</v>
      </c>
      <c r="C2295" t="s">
        <v>112</v>
      </c>
      <c r="D2295" t="s">
        <v>105</v>
      </c>
      <c r="E2295" t="s">
        <v>55</v>
      </c>
      <c r="F2295">
        <v>0</v>
      </c>
      <c r="G2295">
        <v>1694</v>
      </c>
      <c r="H2295">
        <v>1</v>
      </c>
      <c r="I2295" t="s">
        <v>181</v>
      </c>
      <c r="J2295">
        <v>3</v>
      </c>
      <c r="K2295" s="6">
        <v>9.61</v>
      </c>
      <c r="L2295" t="s">
        <v>174</v>
      </c>
      <c r="M2295">
        <v>0</v>
      </c>
      <c r="N2295" t="s">
        <v>182</v>
      </c>
      <c r="O2295">
        <v>3</v>
      </c>
      <c r="P2295">
        <v>0</v>
      </c>
      <c r="Q2295" s="6">
        <v>91.2</v>
      </c>
      <c r="R2295">
        <v>1</v>
      </c>
      <c r="S2295" s="6">
        <v>863</v>
      </c>
      <c r="T2295">
        <v>0</v>
      </c>
      <c r="U2295" s="6">
        <v>9360</v>
      </c>
      <c r="V2295">
        <v>0</v>
      </c>
      <c r="W2295">
        <v>0</v>
      </c>
      <c r="X2295">
        <v>0</v>
      </c>
      <c r="Y2295" s="6">
        <v>48.7</v>
      </c>
      <c r="Z2295">
        <v>8.0000000000000002E-3</v>
      </c>
      <c r="AA2295">
        <v>0.106</v>
      </c>
      <c r="AB2295">
        <v>8.3000000000000004E-2</v>
      </c>
      <c r="AC2295">
        <v>6</v>
      </c>
      <c r="AD2295" s="6">
        <v>60</v>
      </c>
      <c r="AE2295" s="6">
        <v>25</v>
      </c>
      <c r="AF2295" s="6">
        <v>0</v>
      </c>
      <c r="AG2295" s="6">
        <v>108</v>
      </c>
      <c r="AH2295" s="6">
        <v>139.54</v>
      </c>
      <c r="AI2295" s="6">
        <f t="shared" si="70"/>
        <v>31.539999999999992</v>
      </c>
      <c r="AJ2295" s="5">
        <f t="shared" si="71"/>
        <v>0.22602837895943811</v>
      </c>
    </row>
    <row r="2296" spans="1:36">
      <c r="A2296" t="s">
        <v>192</v>
      </c>
      <c r="B2296" t="s">
        <v>2581</v>
      </c>
      <c r="C2296" t="s">
        <v>112</v>
      </c>
      <c r="D2296" t="s">
        <v>105</v>
      </c>
      <c r="E2296" t="s">
        <v>55</v>
      </c>
      <c r="F2296">
        <v>0</v>
      </c>
      <c r="G2296">
        <v>1694</v>
      </c>
      <c r="H2296">
        <v>1</v>
      </c>
      <c r="I2296" t="s">
        <v>181</v>
      </c>
      <c r="J2296">
        <v>3</v>
      </c>
      <c r="K2296" s="6">
        <v>7.53</v>
      </c>
      <c r="L2296" t="s">
        <v>174</v>
      </c>
      <c r="M2296">
        <v>0</v>
      </c>
      <c r="N2296" t="s">
        <v>182</v>
      </c>
      <c r="O2296">
        <v>3</v>
      </c>
      <c r="P2296">
        <v>0</v>
      </c>
      <c r="Q2296" s="6">
        <v>115.5</v>
      </c>
      <c r="R2296">
        <v>0</v>
      </c>
      <c r="S2296" s="6">
        <v>0</v>
      </c>
      <c r="T2296">
        <v>0</v>
      </c>
      <c r="U2296" s="6">
        <v>6841</v>
      </c>
      <c r="V2296">
        <v>0</v>
      </c>
      <c r="W2296">
        <v>0</v>
      </c>
      <c r="X2296">
        <v>0</v>
      </c>
      <c r="Y2296" s="6">
        <v>48.7</v>
      </c>
      <c r="Z2296">
        <v>8.0000000000000002E-3</v>
      </c>
      <c r="AA2296">
        <v>0.106</v>
      </c>
      <c r="AB2296">
        <v>8.3000000000000004E-2</v>
      </c>
      <c r="AC2296">
        <v>6</v>
      </c>
      <c r="AD2296" s="6">
        <v>60</v>
      </c>
      <c r="AE2296" s="6">
        <v>0</v>
      </c>
      <c r="AF2296" s="6">
        <v>0</v>
      </c>
      <c r="AG2296" s="6">
        <v>86.63</v>
      </c>
      <c r="AH2296" s="6">
        <v>110.65</v>
      </c>
      <c r="AI2296" s="6">
        <f t="shared" si="70"/>
        <v>24.02000000000001</v>
      </c>
      <c r="AJ2296" s="5">
        <f t="shared" si="71"/>
        <v>0.21708088567555364</v>
      </c>
    </row>
    <row r="2297" spans="1:36">
      <c r="A2297" t="s">
        <v>434</v>
      </c>
      <c r="B2297" t="s">
        <v>2582</v>
      </c>
      <c r="C2297" t="s">
        <v>112</v>
      </c>
      <c r="D2297" t="s">
        <v>105</v>
      </c>
      <c r="E2297" t="s">
        <v>55</v>
      </c>
      <c r="F2297">
        <v>0</v>
      </c>
      <c r="G2297">
        <v>1694</v>
      </c>
      <c r="H2297">
        <v>1</v>
      </c>
      <c r="I2297" t="s">
        <v>173</v>
      </c>
      <c r="J2297">
        <v>1</v>
      </c>
      <c r="K2297" s="6">
        <v>1.61</v>
      </c>
      <c r="L2297" t="s">
        <v>174</v>
      </c>
      <c r="M2297">
        <v>0</v>
      </c>
      <c r="N2297" t="s">
        <v>187</v>
      </c>
      <c r="O2297">
        <v>2</v>
      </c>
      <c r="P2297">
        <v>0</v>
      </c>
      <c r="Q2297" s="6">
        <v>72.599999999999994</v>
      </c>
      <c r="R2297">
        <v>0</v>
      </c>
      <c r="S2297" s="6">
        <v>0</v>
      </c>
      <c r="T2297">
        <v>0</v>
      </c>
      <c r="U2297" s="6">
        <v>9941</v>
      </c>
      <c r="V2297">
        <v>0</v>
      </c>
      <c r="W2297">
        <v>0</v>
      </c>
      <c r="X2297">
        <v>0</v>
      </c>
      <c r="Y2297" s="6">
        <v>48.7</v>
      </c>
      <c r="Z2297">
        <v>8.0000000000000002E-3</v>
      </c>
      <c r="AA2297">
        <v>0.106</v>
      </c>
      <c r="AB2297">
        <v>8.3000000000000004E-2</v>
      </c>
      <c r="AC2297">
        <v>6</v>
      </c>
      <c r="AD2297" s="6">
        <v>50</v>
      </c>
      <c r="AE2297" s="6">
        <v>0</v>
      </c>
      <c r="AF2297" s="6">
        <v>0</v>
      </c>
      <c r="AG2297" s="6">
        <v>49.18</v>
      </c>
      <c r="AH2297" s="6">
        <v>61.84</v>
      </c>
      <c r="AI2297" s="6">
        <f t="shared" si="70"/>
        <v>12.660000000000004</v>
      </c>
      <c r="AJ2297" s="5">
        <f t="shared" si="71"/>
        <v>0.20472186287192759</v>
      </c>
    </row>
    <row r="2298" spans="1:36">
      <c r="A2298" t="s">
        <v>375</v>
      </c>
      <c r="B2298" t="s">
        <v>2583</v>
      </c>
      <c r="C2298" t="s">
        <v>112</v>
      </c>
      <c r="D2298" t="s">
        <v>105</v>
      </c>
      <c r="E2298" t="s">
        <v>55</v>
      </c>
      <c r="F2298">
        <v>0</v>
      </c>
      <c r="G2298">
        <v>1694</v>
      </c>
      <c r="H2298">
        <v>1</v>
      </c>
      <c r="I2298" t="s">
        <v>181</v>
      </c>
      <c r="J2298">
        <v>3</v>
      </c>
      <c r="K2298" s="6">
        <v>6.57</v>
      </c>
      <c r="L2298" t="s">
        <v>174</v>
      </c>
      <c r="M2298">
        <v>0</v>
      </c>
      <c r="N2298" t="s">
        <v>182</v>
      </c>
      <c r="O2298">
        <v>3</v>
      </c>
      <c r="P2298">
        <v>0</v>
      </c>
      <c r="Q2298" s="6">
        <v>110.7</v>
      </c>
      <c r="R2298">
        <v>0</v>
      </c>
      <c r="S2298" s="6">
        <v>0</v>
      </c>
      <c r="T2298">
        <v>0</v>
      </c>
      <c r="U2298" s="6">
        <v>4415</v>
      </c>
      <c r="V2298">
        <v>0</v>
      </c>
      <c r="W2298">
        <v>0</v>
      </c>
      <c r="X2298">
        <v>0</v>
      </c>
      <c r="Y2298" s="6">
        <v>48.7</v>
      </c>
      <c r="Z2298">
        <v>8.0000000000000002E-3</v>
      </c>
      <c r="AA2298">
        <v>0.106</v>
      </c>
      <c r="AB2298">
        <v>8.3000000000000004E-2</v>
      </c>
      <c r="AC2298">
        <v>6</v>
      </c>
      <c r="AD2298" s="6">
        <v>60</v>
      </c>
      <c r="AE2298" s="6">
        <v>0</v>
      </c>
      <c r="AF2298" s="6">
        <v>0</v>
      </c>
      <c r="AG2298" s="6">
        <v>87.86</v>
      </c>
      <c r="AH2298" s="6">
        <v>112.29</v>
      </c>
      <c r="AI2298" s="6">
        <f t="shared" si="70"/>
        <v>24.430000000000007</v>
      </c>
      <c r="AJ2298" s="5">
        <f t="shared" si="71"/>
        <v>0.21756167067414733</v>
      </c>
    </row>
    <row r="2299" spans="1:36">
      <c r="A2299" t="s">
        <v>198</v>
      </c>
      <c r="B2299" t="s">
        <v>2584</v>
      </c>
      <c r="C2299" t="s">
        <v>112</v>
      </c>
      <c r="D2299" t="s">
        <v>105</v>
      </c>
      <c r="E2299" t="s">
        <v>55</v>
      </c>
      <c r="F2299">
        <v>0</v>
      </c>
      <c r="G2299">
        <v>1694</v>
      </c>
      <c r="H2299">
        <v>1</v>
      </c>
      <c r="I2299" t="s">
        <v>181</v>
      </c>
      <c r="J2299">
        <v>3</v>
      </c>
      <c r="K2299" s="6">
        <v>4.99</v>
      </c>
      <c r="L2299" t="s">
        <v>174</v>
      </c>
      <c r="M2299">
        <v>0</v>
      </c>
      <c r="N2299" t="s">
        <v>187</v>
      </c>
      <c r="O2299">
        <v>2</v>
      </c>
      <c r="P2299">
        <v>0</v>
      </c>
      <c r="Q2299" s="6">
        <v>57.4</v>
      </c>
      <c r="R2299">
        <v>0</v>
      </c>
      <c r="S2299" s="6">
        <v>0</v>
      </c>
      <c r="T2299">
        <v>0</v>
      </c>
      <c r="U2299" s="6">
        <v>7180</v>
      </c>
      <c r="V2299">
        <v>0</v>
      </c>
      <c r="W2299">
        <v>0</v>
      </c>
      <c r="X2299">
        <v>0</v>
      </c>
      <c r="Y2299" s="6">
        <v>48.7</v>
      </c>
      <c r="Z2299">
        <v>8.0000000000000002E-3</v>
      </c>
      <c r="AA2299">
        <v>0.106</v>
      </c>
      <c r="AB2299">
        <v>8.3000000000000004E-2</v>
      </c>
      <c r="AC2299">
        <v>6</v>
      </c>
      <c r="AD2299" s="6">
        <v>60</v>
      </c>
      <c r="AE2299" s="6">
        <v>0</v>
      </c>
      <c r="AF2299" s="6">
        <v>0</v>
      </c>
      <c r="AG2299" s="6">
        <v>77.3</v>
      </c>
      <c r="AH2299" s="6">
        <v>97.01</v>
      </c>
      <c r="AI2299" s="6">
        <f t="shared" si="70"/>
        <v>19.710000000000008</v>
      </c>
      <c r="AJ2299" s="5">
        <f t="shared" si="71"/>
        <v>0.20317493041954446</v>
      </c>
    </row>
    <row r="2300" spans="1:36">
      <c r="A2300" t="s">
        <v>494</v>
      </c>
      <c r="B2300" t="s">
        <v>2585</v>
      </c>
      <c r="C2300" t="s">
        <v>112</v>
      </c>
      <c r="D2300" t="s">
        <v>105</v>
      </c>
      <c r="E2300" t="s">
        <v>55</v>
      </c>
      <c r="F2300">
        <v>0</v>
      </c>
      <c r="G2300">
        <v>1694</v>
      </c>
      <c r="H2300">
        <v>1</v>
      </c>
      <c r="I2300" t="s">
        <v>181</v>
      </c>
      <c r="J2300">
        <v>3</v>
      </c>
      <c r="K2300" s="6">
        <v>10.96</v>
      </c>
      <c r="L2300" t="s">
        <v>174</v>
      </c>
      <c r="M2300">
        <v>0</v>
      </c>
      <c r="N2300" t="s">
        <v>187</v>
      </c>
      <c r="O2300">
        <v>2</v>
      </c>
      <c r="P2300">
        <v>0</v>
      </c>
      <c r="Q2300" s="6">
        <v>34.299999999999997</v>
      </c>
      <c r="R2300">
        <v>0</v>
      </c>
      <c r="S2300" s="6">
        <v>0</v>
      </c>
      <c r="T2300">
        <v>0</v>
      </c>
      <c r="U2300" s="6">
        <v>11992</v>
      </c>
      <c r="V2300">
        <v>1</v>
      </c>
      <c r="W2300">
        <v>0</v>
      </c>
      <c r="X2300">
        <v>0</v>
      </c>
      <c r="Y2300" s="6">
        <v>48.7</v>
      </c>
      <c r="Z2300">
        <v>8.0000000000000002E-3</v>
      </c>
      <c r="AA2300">
        <v>0.106</v>
      </c>
      <c r="AB2300">
        <v>8.3000000000000004E-2</v>
      </c>
      <c r="AC2300">
        <v>6</v>
      </c>
      <c r="AD2300" s="6">
        <v>60</v>
      </c>
      <c r="AE2300" s="6">
        <v>0</v>
      </c>
      <c r="AF2300" s="6">
        <v>0</v>
      </c>
      <c r="AG2300" s="6">
        <v>146.16</v>
      </c>
      <c r="AH2300" s="6">
        <v>187.57</v>
      </c>
      <c r="AI2300" s="6">
        <f t="shared" si="70"/>
        <v>41.41</v>
      </c>
      <c r="AJ2300" s="5">
        <f t="shared" si="71"/>
        <v>0.22077091219278136</v>
      </c>
    </row>
    <row r="2301" spans="1:36">
      <c r="A2301" t="s">
        <v>210</v>
      </c>
      <c r="B2301" t="s">
        <v>2586</v>
      </c>
      <c r="C2301" t="s">
        <v>112</v>
      </c>
      <c r="D2301" t="s">
        <v>105</v>
      </c>
      <c r="E2301" t="s">
        <v>55</v>
      </c>
      <c r="F2301">
        <v>0</v>
      </c>
      <c r="G2301">
        <v>1694</v>
      </c>
      <c r="H2301">
        <v>1</v>
      </c>
      <c r="I2301" t="s">
        <v>173</v>
      </c>
      <c r="J2301">
        <v>1</v>
      </c>
      <c r="K2301" s="6">
        <v>1.91</v>
      </c>
      <c r="L2301" t="s">
        <v>174</v>
      </c>
      <c r="M2301">
        <v>0</v>
      </c>
      <c r="N2301" t="s">
        <v>187</v>
      </c>
      <c r="O2301">
        <v>2</v>
      </c>
      <c r="P2301">
        <v>0</v>
      </c>
      <c r="Q2301" s="6">
        <v>76.2</v>
      </c>
      <c r="R2301">
        <v>0</v>
      </c>
      <c r="S2301" s="6">
        <v>0</v>
      </c>
      <c r="T2301">
        <v>0</v>
      </c>
      <c r="U2301" s="6">
        <v>7135</v>
      </c>
      <c r="V2301">
        <v>0</v>
      </c>
      <c r="W2301">
        <v>0</v>
      </c>
      <c r="X2301">
        <v>0</v>
      </c>
      <c r="Y2301" s="6">
        <v>48.7</v>
      </c>
      <c r="Z2301">
        <v>8.0000000000000002E-3</v>
      </c>
      <c r="AA2301">
        <v>0.106</v>
      </c>
      <c r="AB2301">
        <v>8.3000000000000004E-2</v>
      </c>
      <c r="AC2301">
        <v>6</v>
      </c>
      <c r="AD2301" s="6">
        <v>50</v>
      </c>
      <c r="AE2301" s="6">
        <v>0</v>
      </c>
      <c r="AF2301" s="6">
        <v>0</v>
      </c>
      <c r="AG2301" s="6">
        <v>55.92</v>
      </c>
      <c r="AH2301" s="6">
        <v>73.94</v>
      </c>
      <c r="AI2301" s="6">
        <f t="shared" si="70"/>
        <v>18.019999999999996</v>
      </c>
      <c r="AJ2301" s="5">
        <f t="shared" si="71"/>
        <v>0.24371111712199076</v>
      </c>
    </row>
    <row r="2302" spans="1:36">
      <c r="A2302" t="s">
        <v>284</v>
      </c>
      <c r="B2302" t="s">
        <v>2587</v>
      </c>
      <c r="C2302" t="s">
        <v>112</v>
      </c>
      <c r="D2302" t="s">
        <v>105</v>
      </c>
      <c r="E2302" t="s">
        <v>55</v>
      </c>
      <c r="F2302">
        <v>0</v>
      </c>
      <c r="G2302">
        <v>1694</v>
      </c>
      <c r="H2302">
        <v>1</v>
      </c>
      <c r="I2302" t="s">
        <v>173</v>
      </c>
      <c r="J2302">
        <v>1</v>
      </c>
      <c r="K2302" s="6">
        <v>2.73</v>
      </c>
      <c r="L2302" t="s">
        <v>174</v>
      </c>
      <c r="M2302">
        <v>0</v>
      </c>
      <c r="N2302" t="s">
        <v>175</v>
      </c>
      <c r="O2302">
        <v>1</v>
      </c>
      <c r="P2302">
        <v>0</v>
      </c>
      <c r="Q2302" s="6">
        <v>14.2</v>
      </c>
      <c r="R2302">
        <v>0</v>
      </c>
      <c r="S2302" s="6">
        <v>0</v>
      </c>
      <c r="T2302">
        <v>0</v>
      </c>
      <c r="U2302" s="6">
        <v>28769</v>
      </c>
      <c r="V2302">
        <v>0</v>
      </c>
      <c r="W2302">
        <v>0</v>
      </c>
      <c r="X2302">
        <v>0</v>
      </c>
      <c r="Y2302" s="6">
        <v>48.7</v>
      </c>
      <c r="Z2302">
        <v>8.0000000000000002E-3</v>
      </c>
      <c r="AA2302">
        <v>0.106</v>
      </c>
      <c r="AB2302">
        <v>8.3000000000000004E-2</v>
      </c>
      <c r="AC2302">
        <v>6</v>
      </c>
      <c r="AD2302" s="6">
        <v>50</v>
      </c>
      <c r="AE2302" s="6">
        <v>0</v>
      </c>
      <c r="AF2302" s="6">
        <v>0</v>
      </c>
      <c r="AG2302" s="6">
        <v>52.33</v>
      </c>
      <c r="AH2302" s="6">
        <v>67.459999999999994</v>
      </c>
      <c r="AI2302" s="6">
        <f t="shared" si="70"/>
        <v>15.129999999999995</v>
      </c>
      <c r="AJ2302" s="5">
        <f t="shared" si="71"/>
        <v>0.22428105544026086</v>
      </c>
    </row>
    <row r="2303" spans="1:36">
      <c r="A2303" t="s">
        <v>208</v>
      </c>
      <c r="B2303" t="s">
        <v>2588</v>
      </c>
      <c r="C2303" t="s">
        <v>112</v>
      </c>
      <c r="D2303" t="s">
        <v>105</v>
      </c>
      <c r="E2303" t="s">
        <v>55</v>
      </c>
      <c r="F2303">
        <v>0</v>
      </c>
      <c r="G2303">
        <v>1694</v>
      </c>
      <c r="H2303">
        <v>1</v>
      </c>
      <c r="I2303" t="s">
        <v>181</v>
      </c>
      <c r="J2303">
        <v>3</v>
      </c>
      <c r="K2303" s="6">
        <v>5.43</v>
      </c>
      <c r="L2303" t="s">
        <v>174</v>
      </c>
      <c r="M2303">
        <v>0</v>
      </c>
      <c r="N2303" t="s">
        <v>175</v>
      </c>
      <c r="O2303">
        <v>1</v>
      </c>
      <c r="P2303">
        <v>0</v>
      </c>
      <c r="Q2303" s="6">
        <v>37.299999999999997</v>
      </c>
      <c r="R2303">
        <v>0</v>
      </c>
      <c r="S2303" s="6">
        <v>0</v>
      </c>
      <c r="T2303">
        <v>0</v>
      </c>
      <c r="U2303" s="6">
        <v>5620</v>
      </c>
      <c r="V2303">
        <v>0</v>
      </c>
      <c r="W2303">
        <v>0</v>
      </c>
      <c r="X2303">
        <v>0</v>
      </c>
      <c r="Y2303" s="6">
        <v>48.7</v>
      </c>
      <c r="Z2303">
        <v>8.0000000000000002E-3</v>
      </c>
      <c r="AA2303">
        <v>0.106</v>
      </c>
      <c r="AB2303">
        <v>8.3000000000000004E-2</v>
      </c>
      <c r="AC2303">
        <v>6</v>
      </c>
      <c r="AD2303" s="6">
        <v>60</v>
      </c>
      <c r="AE2303" s="6">
        <v>0</v>
      </c>
      <c r="AF2303" s="6">
        <v>0</v>
      </c>
      <c r="AG2303" s="6">
        <v>74.150000000000006</v>
      </c>
      <c r="AH2303" s="6">
        <v>95.76</v>
      </c>
      <c r="AI2303" s="6">
        <f t="shared" si="70"/>
        <v>21.61</v>
      </c>
      <c r="AJ2303" s="5">
        <f t="shared" si="71"/>
        <v>0.22566833751044277</v>
      </c>
    </row>
    <row r="2304" spans="1:36">
      <c r="A2304" t="s">
        <v>381</v>
      </c>
      <c r="B2304" t="s">
        <v>2589</v>
      </c>
      <c r="C2304" t="s">
        <v>112</v>
      </c>
      <c r="D2304" t="s">
        <v>105</v>
      </c>
      <c r="E2304" t="s">
        <v>55</v>
      </c>
      <c r="F2304">
        <v>0</v>
      </c>
      <c r="G2304">
        <v>1694</v>
      </c>
      <c r="H2304">
        <v>1</v>
      </c>
      <c r="I2304" t="s">
        <v>181</v>
      </c>
      <c r="J2304">
        <v>3</v>
      </c>
      <c r="K2304" s="6">
        <v>8.1999999999999993</v>
      </c>
      <c r="L2304" t="s">
        <v>174</v>
      </c>
      <c r="M2304">
        <v>0</v>
      </c>
      <c r="N2304" t="s">
        <v>182</v>
      </c>
      <c r="O2304">
        <v>3</v>
      </c>
      <c r="P2304">
        <v>0</v>
      </c>
      <c r="Q2304" s="6">
        <v>60.8</v>
      </c>
      <c r="R2304">
        <v>1</v>
      </c>
      <c r="S2304" s="6">
        <v>2998</v>
      </c>
      <c r="T2304">
        <v>0</v>
      </c>
      <c r="U2304" s="6">
        <v>7011</v>
      </c>
      <c r="V2304">
        <v>0</v>
      </c>
      <c r="W2304">
        <v>0</v>
      </c>
      <c r="X2304">
        <v>0</v>
      </c>
      <c r="Y2304" s="6">
        <v>48.7</v>
      </c>
      <c r="Z2304">
        <v>8.0000000000000002E-3</v>
      </c>
      <c r="AA2304">
        <v>0.106</v>
      </c>
      <c r="AB2304">
        <v>8.3000000000000004E-2</v>
      </c>
      <c r="AC2304">
        <v>6</v>
      </c>
      <c r="AD2304" s="6">
        <v>60</v>
      </c>
      <c r="AE2304" s="6">
        <v>40</v>
      </c>
      <c r="AF2304" s="6">
        <v>0</v>
      </c>
      <c r="AG2304" s="6">
        <v>102.2</v>
      </c>
      <c r="AH2304" s="6">
        <v>131.87</v>
      </c>
      <c r="AI2304" s="6">
        <f t="shared" si="70"/>
        <v>29.67</v>
      </c>
      <c r="AJ2304" s="5">
        <f t="shared" si="71"/>
        <v>0.22499431258057179</v>
      </c>
    </row>
    <row r="2305" spans="1:36">
      <c r="A2305" t="s">
        <v>253</v>
      </c>
      <c r="B2305" t="s">
        <v>2590</v>
      </c>
      <c r="C2305" t="s">
        <v>112</v>
      </c>
      <c r="D2305" t="s">
        <v>105</v>
      </c>
      <c r="E2305" t="s">
        <v>55</v>
      </c>
      <c r="F2305">
        <v>0</v>
      </c>
      <c r="G2305">
        <v>1694</v>
      </c>
      <c r="H2305">
        <v>1</v>
      </c>
      <c r="I2305" t="s">
        <v>181</v>
      </c>
      <c r="J2305">
        <v>3</v>
      </c>
      <c r="K2305" s="6">
        <v>6.03</v>
      </c>
      <c r="L2305" t="s">
        <v>174</v>
      </c>
      <c r="M2305">
        <v>0</v>
      </c>
      <c r="N2305" t="s">
        <v>182</v>
      </c>
      <c r="O2305">
        <v>3</v>
      </c>
      <c r="P2305">
        <v>0</v>
      </c>
      <c r="Q2305" s="6">
        <v>69.099999999999994</v>
      </c>
      <c r="R2305">
        <v>1</v>
      </c>
      <c r="S2305" s="6">
        <v>993</v>
      </c>
      <c r="T2305">
        <v>0</v>
      </c>
      <c r="U2305" s="6">
        <v>7151</v>
      </c>
      <c r="V2305">
        <v>0</v>
      </c>
      <c r="W2305">
        <v>0</v>
      </c>
      <c r="X2305">
        <v>0</v>
      </c>
      <c r="Y2305" s="6">
        <v>48.7</v>
      </c>
      <c r="Z2305">
        <v>8.0000000000000002E-3</v>
      </c>
      <c r="AA2305">
        <v>0.106</v>
      </c>
      <c r="AB2305">
        <v>8.3000000000000004E-2</v>
      </c>
      <c r="AC2305">
        <v>6</v>
      </c>
      <c r="AD2305" s="6">
        <v>60</v>
      </c>
      <c r="AE2305" s="6">
        <v>25</v>
      </c>
      <c r="AF2305" s="6">
        <v>0</v>
      </c>
      <c r="AG2305" s="6">
        <v>87.39</v>
      </c>
      <c r="AH2305" s="6">
        <v>111.52</v>
      </c>
      <c r="AI2305" s="6">
        <f t="shared" si="70"/>
        <v>24.129999999999995</v>
      </c>
      <c r="AJ2305" s="5">
        <f t="shared" si="71"/>
        <v>0.21637374461979911</v>
      </c>
    </row>
    <row r="2306" spans="1:36">
      <c r="A2306" t="s">
        <v>602</v>
      </c>
      <c r="B2306" t="s">
        <v>2591</v>
      </c>
      <c r="C2306" t="s">
        <v>112</v>
      </c>
      <c r="D2306" t="s">
        <v>105</v>
      </c>
      <c r="E2306" t="s">
        <v>55</v>
      </c>
      <c r="F2306">
        <v>0</v>
      </c>
      <c r="G2306">
        <v>1694</v>
      </c>
      <c r="H2306">
        <v>1</v>
      </c>
      <c r="I2306" t="s">
        <v>181</v>
      </c>
      <c r="J2306">
        <v>3</v>
      </c>
      <c r="K2306" s="6">
        <v>6.71</v>
      </c>
      <c r="L2306" t="s">
        <v>174</v>
      </c>
      <c r="M2306">
        <v>0</v>
      </c>
      <c r="N2306" t="s">
        <v>187</v>
      </c>
      <c r="O2306">
        <v>2</v>
      </c>
      <c r="P2306">
        <v>0</v>
      </c>
      <c r="Q2306" s="6">
        <v>35.6</v>
      </c>
      <c r="R2306">
        <v>1</v>
      </c>
      <c r="S2306" s="6">
        <v>1644</v>
      </c>
      <c r="T2306">
        <v>0</v>
      </c>
      <c r="U2306" s="6">
        <v>3791</v>
      </c>
      <c r="V2306">
        <v>0</v>
      </c>
      <c r="W2306">
        <v>0</v>
      </c>
      <c r="X2306">
        <v>0</v>
      </c>
      <c r="Y2306" s="6">
        <v>48.7</v>
      </c>
      <c r="Z2306">
        <v>8.0000000000000002E-3</v>
      </c>
      <c r="AA2306">
        <v>0.106</v>
      </c>
      <c r="AB2306">
        <v>8.3000000000000004E-2</v>
      </c>
      <c r="AC2306">
        <v>6</v>
      </c>
      <c r="AD2306" s="6">
        <v>60</v>
      </c>
      <c r="AE2306" s="6">
        <v>25</v>
      </c>
      <c r="AF2306" s="6">
        <v>0</v>
      </c>
      <c r="AG2306" s="6">
        <v>86.56</v>
      </c>
      <c r="AH2306" s="6">
        <v>109.81</v>
      </c>
      <c r="AI2306" s="6">
        <f t="shared" ref="AI2306:AI2369" si="72">AH2306-AG2306</f>
        <v>23.25</v>
      </c>
      <c r="AJ2306" s="5">
        <f t="shared" ref="AJ2306:AJ2369" si="73">IFERROR(AI2306/AH2306,0)</f>
        <v>0.21172935069665785</v>
      </c>
    </row>
    <row r="2307" spans="1:36">
      <c r="A2307" t="s">
        <v>306</v>
      </c>
      <c r="B2307" t="s">
        <v>2592</v>
      </c>
      <c r="C2307" t="s">
        <v>112</v>
      </c>
      <c r="D2307" t="s">
        <v>105</v>
      </c>
      <c r="E2307" t="s">
        <v>55</v>
      </c>
      <c r="F2307">
        <v>0</v>
      </c>
      <c r="G2307">
        <v>1694</v>
      </c>
      <c r="H2307">
        <v>1</v>
      </c>
      <c r="I2307" t="s">
        <v>181</v>
      </c>
      <c r="J2307">
        <v>3</v>
      </c>
      <c r="K2307" s="6">
        <v>8.51</v>
      </c>
      <c r="L2307" t="s">
        <v>174</v>
      </c>
      <c r="M2307">
        <v>0</v>
      </c>
      <c r="N2307" t="s">
        <v>175</v>
      </c>
      <c r="O2307">
        <v>1</v>
      </c>
      <c r="P2307">
        <v>0</v>
      </c>
      <c r="Q2307" s="6">
        <v>36.700000000000003</v>
      </c>
      <c r="R2307">
        <v>1</v>
      </c>
      <c r="S2307" s="6">
        <v>746</v>
      </c>
      <c r="T2307">
        <v>0</v>
      </c>
      <c r="U2307" s="6">
        <v>10851</v>
      </c>
      <c r="V2307">
        <v>1</v>
      </c>
      <c r="W2307">
        <v>0</v>
      </c>
      <c r="X2307">
        <v>0</v>
      </c>
      <c r="Y2307" s="6">
        <v>48.7</v>
      </c>
      <c r="Z2307">
        <v>8.0000000000000002E-3</v>
      </c>
      <c r="AA2307">
        <v>0.106</v>
      </c>
      <c r="AB2307">
        <v>8.3000000000000004E-2</v>
      </c>
      <c r="AC2307">
        <v>6</v>
      </c>
      <c r="AD2307" s="6">
        <v>60</v>
      </c>
      <c r="AE2307" s="6">
        <v>25</v>
      </c>
      <c r="AF2307" s="6">
        <v>0</v>
      </c>
      <c r="AG2307" s="6">
        <v>132.32</v>
      </c>
      <c r="AH2307" s="6">
        <v>167.29</v>
      </c>
      <c r="AI2307" s="6">
        <f t="shared" si="72"/>
        <v>34.97</v>
      </c>
      <c r="AJ2307" s="5">
        <f t="shared" si="73"/>
        <v>0.20903819714268634</v>
      </c>
    </row>
    <row r="2308" spans="1:36">
      <c r="A2308" t="s">
        <v>206</v>
      </c>
      <c r="B2308" t="s">
        <v>2593</v>
      </c>
      <c r="C2308" t="s">
        <v>112</v>
      </c>
      <c r="D2308" t="s">
        <v>105</v>
      </c>
      <c r="E2308" t="s">
        <v>55</v>
      </c>
      <c r="F2308">
        <v>0</v>
      </c>
      <c r="G2308">
        <v>1694</v>
      </c>
      <c r="H2308">
        <v>1</v>
      </c>
      <c r="I2308" t="s">
        <v>181</v>
      </c>
      <c r="J2308">
        <v>3</v>
      </c>
      <c r="K2308" s="6">
        <v>3.61</v>
      </c>
      <c r="L2308" t="s">
        <v>174</v>
      </c>
      <c r="M2308">
        <v>0</v>
      </c>
      <c r="N2308" t="s">
        <v>175</v>
      </c>
      <c r="O2308">
        <v>1</v>
      </c>
      <c r="P2308">
        <v>0</v>
      </c>
      <c r="Q2308" s="6">
        <v>45.9</v>
      </c>
      <c r="R2308">
        <v>0</v>
      </c>
      <c r="S2308" s="6">
        <v>0</v>
      </c>
      <c r="T2308">
        <v>0</v>
      </c>
      <c r="U2308" s="6">
        <v>10250</v>
      </c>
      <c r="V2308">
        <v>0</v>
      </c>
      <c r="W2308">
        <v>0</v>
      </c>
      <c r="X2308">
        <v>0</v>
      </c>
      <c r="Y2308" s="6">
        <v>48.7</v>
      </c>
      <c r="Z2308">
        <v>8.0000000000000002E-3</v>
      </c>
      <c r="AA2308">
        <v>0.106</v>
      </c>
      <c r="AB2308">
        <v>8.3000000000000004E-2</v>
      </c>
      <c r="AC2308">
        <v>6</v>
      </c>
      <c r="AD2308" s="6">
        <v>60</v>
      </c>
      <c r="AE2308" s="6">
        <v>0</v>
      </c>
      <c r="AF2308" s="6">
        <v>0</v>
      </c>
      <c r="AG2308" s="6">
        <v>76.760000000000005</v>
      </c>
      <c r="AH2308" s="6">
        <v>99.22</v>
      </c>
      <c r="AI2308" s="6">
        <f t="shared" si="72"/>
        <v>22.459999999999994</v>
      </c>
      <c r="AJ2308" s="5">
        <f t="shared" si="73"/>
        <v>0.22636565208627288</v>
      </c>
    </row>
    <row r="2309" spans="1:36">
      <c r="A2309" t="s">
        <v>196</v>
      </c>
      <c r="B2309" t="s">
        <v>2594</v>
      </c>
      <c r="C2309" t="s">
        <v>112</v>
      </c>
      <c r="D2309" t="s">
        <v>105</v>
      </c>
      <c r="E2309" t="s">
        <v>55</v>
      </c>
      <c r="F2309">
        <v>0</v>
      </c>
      <c r="G2309">
        <v>1694</v>
      </c>
      <c r="H2309">
        <v>1</v>
      </c>
      <c r="I2309" t="s">
        <v>181</v>
      </c>
      <c r="J2309">
        <v>3</v>
      </c>
      <c r="K2309" s="6">
        <v>11.22</v>
      </c>
      <c r="L2309" t="s">
        <v>174</v>
      </c>
      <c r="M2309">
        <v>0</v>
      </c>
      <c r="N2309" t="s">
        <v>217</v>
      </c>
      <c r="O2309">
        <v>4</v>
      </c>
      <c r="P2309">
        <v>1</v>
      </c>
      <c r="Q2309" s="6">
        <v>151.69999999999999</v>
      </c>
      <c r="R2309">
        <v>0</v>
      </c>
      <c r="S2309" s="6">
        <v>0</v>
      </c>
      <c r="T2309">
        <v>0</v>
      </c>
      <c r="U2309" s="6">
        <v>7346</v>
      </c>
      <c r="V2309">
        <v>0</v>
      </c>
      <c r="W2309">
        <v>0</v>
      </c>
      <c r="X2309">
        <v>0</v>
      </c>
      <c r="Y2309" s="6">
        <v>48.7</v>
      </c>
      <c r="Z2309">
        <v>8.0000000000000002E-3</v>
      </c>
      <c r="AA2309">
        <v>0.106</v>
      </c>
      <c r="AB2309">
        <v>8.3000000000000004E-2</v>
      </c>
      <c r="AC2309">
        <v>6</v>
      </c>
      <c r="AD2309" s="6">
        <v>60</v>
      </c>
      <c r="AE2309" s="6">
        <v>0</v>
      </c>
      <c r="AF2309" s="6">
        <v>0</v>
      </c>
      <c r="AG2309" s="6">
        <v>148.54</v>
      </c>
      <c r="AH2309" s="6">
        <v>188.76</v>
      </c>
      <c r="AI2309" s="6">
        <f t="shared" si="72"/>
        <v>40.22</v>
      </c>
      <c r="AJ2309" s="5">
        <f t="shared" si="73"/>
        <v>0.21307480398389489</v>
      </c>
    </row>
    <row r="2310" spans="1:36">
      <c r="A2310" t="s">
        <v>194</v>
      </c>
      <c r="B2310" t="s">
        <v>2595</v>
      </c>
      <c r="C2310" t="s">
        <v>112</v>
      </c>
      <c r="D2310" t="s">
        <v>105</v>
      </c>
      <c r="E2310" t="s">
        <v>55</v>
      </c>
      <c r="F2310">
        <v>0</v>
      </c>
      <c r="G2310">
        <v>1694</v>
      </c>
      <c r="H2310">
        <v>1</v>
      </c>
      <c r="I2310" t="s">
        <v>181</v>
      </c>
      <c r="J2310">
        <v>3</v>
      </c>
      <c r="K2310" s="6">
        <v>6.14</v>
      </c>
      <c r="L2310" t="s">
        <v>174</v>
      </c>
      <c r="M2310">
        <v>0</v>
      </c>
      <c r="N2310" t="s">
        <v>175</v>
      </c>
      <c r="O2310">
        <v>1</v>
      </c>
      <c r="P2310">
        <v>0</v>
      </c>
      <c r="Q2310" s="6">
        <v>34.799999999999997</v>
      </c>
      <c r="R2310">
        <v>0</v>
      </c>
      <c r="S2310" s="6">
        <v>0</v>
      </c>
      <c r="T2310">
        <v>0</v>
      </c>
      <c r="U2310" s="6">
        <v>20167</v>
      </c>
      <c r="V2310">
        <v>0</v>
      </c>
      <c r="W2310">
        <v>0</v>
      </c>
      <c r="X2310">
        <v>0</v>
      </c>
      <c r="Y2310" s="6">
        <v>48.7</v>
      </c>
      <c r="Z2310">
        <v>8.0000000000000002E-3</v>
      </c>
      <c r="AA2310">
        <v>0.106</v>
      </c>
      <c r="AB2310">
        <v>8.3000000000000004E-2</v>
      </c>
      <c r="AC2310">
        <v>6</v>
      </c>
      <c r="AD2310" s="6">
        <v>60</v>
      </c>
      <c r="AE2310" s="6">
        <v>0</v>
      </c>
      <c r="AF2310" s="6">
        <v>0</v>
      </c>
      <c r="AG2310" s="6">
        <v>71.45</v>
      </c>
      <c r="AH2310" s="6">
        <v>89.65</v>
      </c>
      <c r="AI2310" s="6">
        <f t="shared" si="72"/>
        <v>18.200000000000003</v>
      </c>
      <c r="AJ2310" s="5">
        <f t="shared" si="73"/>
        <v>0.20301171221416622</v>
      </c>
    </row>
    <row r="2311" spans="1:36">
      <c r="A2311" t="s">
        <v>411</v>
      </c>
      <c r="B2311" t="s">
        <v>2596</v>
      </c>
      <c r="C2311" t="s">
        <v>112</v>
      </c>
      <c r="D2311" t="s">
        <v>105</v>
      </c>
      <c r="E2311" t="s">
        <v>55</v>
      </c>
      <c r="F2311">
        <v>0</v>
      </c>
      <c r="G2311">
        <v>1694</v>
      </c>
      <c r="H2311">
        <v>1</v>
      </c>
      <c r="I2311" t="s">
        <v>181</v>
      </c>
      <c r="J2311">
        <v>3</v>
      </c>
      <c r="K2311" s="6">
        <v>6.44</v>
      </c>
      <c r="L2311" t="s">
        <v>174</v>
      </c>
      <c r="M2311">
        <v>0</v>
      </c>
      <c r="N2311" t="s">
        <v>175</v>
      </c>
      <c r="O2311">
        <v>1</v>
      </c>
      <c r="P2311">
        <v>0</v>
      </c>
      <c r="Q2311" s="6">
        <v>38</v>
      </c>
      <c r="R2311">
        <v>0</v>
      </c>
      <c r="S2311" s="6">
        <v>0</v>
      </c>
      <c r="T2311">
        <v>0</v>
      </c>
      <c r="U2311" s="6">
        <v>4500</v>
      </c>
      <c r="V2311">
        <v>0</v>
      </c>
      <c r="W2311">
        <v>0</v>
      </c>
      <c r="X2311">
        <v>0</v>
      </c>
      <c r="Y2311" s="6">
        <v>48.7</v>
      </c>
      <c r="Z2311">
        <v>8.0000000000000002E-3</v>
      </c>
      <c r="AA2311">
        <v>0.106</v>
      </c>
      <c r="AB2311">
        <v>8.3000000000000004E-2</v>
      </c>
      <c r="AC2311">
        <v>6</v>
      </c>
      <c r="AD2311" s="6">
        <v>60</v>
      </c>
      <c r="AE2311" s="6">
        <v>0</v>
      </c>
      <c r="AF2311" s="6">
        <v>0</v>
      </c>
      <c r="AG2311" s="6">
        <v>70.41</v>
      </c>
      <c r="AH2311" s="6">
        <v>89.96</v>
      </c>
      <c r="AI2311" s="6">
        <f t="shared" si="72"/>
        <v>19.549999999999997</v>
      </c>
      <c r="AJ2311" s="5">
        <f t="shared" si="73"/>
        <v>0.21731880835927078</v>
      </c>
    </row>
    <row r="2312" spans="1:36">
      <c r="A2312" t="s">
        <v>375</v>
      </c>
      <c r="B2312" t="s">
        <v>2597</v>
      </c>
      <c r="C2312" t="s">
        <v>112</v>
      </c>
      <c r="D2312" t="s">
        <v>105</v>
      </c>
      <c r="E2312" t="s">
        <v>55</v>
      </c>
      <c r="F2312">
        <v>0</v>
      </c>
      <c r="G2312">
        <v>1694</v>
      </c>
      <c r="H2312">
        <v>1</v>
      </c>
      <c r="I2312" t="s">
        <v>173</v>
      </c>
      <c r="J2312">
        <v>1</v>
      </c>
      <c r="K2312" s="6">
        <v>2.23</v>
      </c>
      <c r="L2312" t="s">
        <v>174</v>
      </c>
      <c r="M2312">
        <v>0</v>
      </c>
      <c r="N2312" t="s">
        <v>175</v>
      </c>
      <c r="O2312">
        <v>1</v>
      </c>
      <c r="P2312">
        <v>0</v>
      </c>
      <c r="Q2312" s="6">
        <v>39.1</v>
      </c>
      <c r="R2312">
        <v>1</v>
      </c>
      <c r="S2312" s="6">
        <v>2584</v>
      </c>
      <c r="T2312">
        <v>0</v>
      </c>
      <c r="U2312" s="6">
        <v>9735</v>
      </c>
      <c r="V2312">
        <v>0</v>
      </c>
      <c r="W2312">
        <v>0</v>
      </c>
      <c r="X2312">
        <v>0</v>
      </c>
      <c r="Y2312" s="6">
        <v>48.7</v>
      </c>
      <c r="Z2312">
        <v>8.0000000000000002E-3</v>
      </c>
      <c r="AA2312">
        <v>0.106</v>
      </c>
      <c r="AB2312">
        <v>8.3000000000000004E-2</v>
      </c>
      <c r="AC2312">
        <v>6</v>
      </c>
      <c r="AD2312" s="6">
        <v>50</v>
      </c>
      <c r="AE2312" s="6">
        <v>40</v>
      </c>
      <c r="AF2312" s="6">
        <v>0</v>
      </c>
      <c r="AG2312" s="6">
        <v>61.05</v>
      </c>
      <c r="AH2312" s="6">
        <v>79.13</v>
      </c>
      <c r="AI2312" s="6">
        <f t="shared" si="72"/>
        <v>18.079999999999998</v>
      </c>
      <c r="AJ2312" s="5">
        <f t="shared" si="73"/>
        <v>0.22848477189435107</v>
      </c>
    </row>
    <row r="2313" spans="1:36">
      <c r="A2313" t="s">
        <v>201</v>
      </c>
      <c r="B2313" t="s">
        <v>2598</v>
      </c>
      <c r="C2313" t="s">
        <v>112</v>
      </c>
      <c r="D2313" t="s">
        <v>105</v>
      </c>
      <c r="E2313" t="s">
        <v>55</v>
      </c>
      <c r="F2313">
        <v>0</v>
      </c>
      <c r="G2313">
        <v>1694</v>
      </c>
      <c r="H2313">
        <v>1</v>
      </c>
      <c r="I2313" t="s">
        <v>181</v>
      </c>
      <c r="J2313">
        <v>3</v>
      </c>
      <c r="K2313" s="6">
        <v>5.63</v>
      </c>
      <c r="L2313" t="s">
        <v>174</v>
      </c>
      <c r="M2313">
        <v>0</v>
      </c>
      <c r="N2313" t="s">
        <v>175</v>
      </c>
      <c r="O2313">
        <v>1</v>
      </c>
      <c r="P2313">
        <v>0</v>
      </c>
      <c r="Q2313" s="6">
        <v>39.700000000000003</v>
      </c>
      <c r="R2313">
        <v>1</v>
      </c>
      <c r="S2313" s="6">
        <v>476</v>
      </c>
      <c r="T2313">
        <v>0</v>
      </c>
      <c r="U2313" s="6">
        <v>10315</v>
      </c>
      <c r="V2313">
        <v>0</v>
      </c>
      <c r="W2313">
        <v>0</v>
      </c>
      <c r="X2313">
        <v>0</v>
      </c>
      <c r="Y2313" s="6">
        <v>48.7</v>
      </c>
      <c r="Z2313">
        <v>8.0000000000000002E-3</v>
      </c>
      <c r="AA2313">
        <v>0.106</v>
      </c>
      <c r="AB2313">
        <v>8.3000000000000004E-2</v>
      </c>
      <c r="AC2313">
        <v>6</v>
      </c>
      <c r="AD2313" s="6">
        <v>60</v>
      </c>
      <c r="AE2313" s="6">
        <v>25</v>
      </c>
      <c r="AF2313" s="6">
        <v>0</v>
      </c>
      <c r="AG2313" s="6">
        <v>75.97</v>
      </c>
      <c r="AH2313" s="6">
        <v>99.63</v>
      </c>
      <c r="AI2313" s="6">
        <f t="shared" si="72"/>
        <v>23.659999999999997</v>
      </c>
      <c r="AJ2313" s="5">
        <f t="shared" si="73"/>
        <v>0.2374786710830071</v>
      </c>
    </row>
    <row r="2314" spans="1:36">
      <c r="A2314" t="s">
        <v>579</v>
      </c>
      <c r="B2314" t="s">
        <v>2599</v>
      </c>
      <c r="C2314" t="s">
        <v>112</v>
      </c>
      <c r="D2314" t="s">
        <v>105</v>
      </c>
      <c r="E2314" t="s">
        <v>55</v>
      </c>
      <c r="F2314">
        <v>0</v>
      </c>
      <c r="G2314">
        <v>1694</v>
      </c>
      <c r="H2314">
        <v>1</v>
      </c>
      <c r="I2314" t="s">
        <v>173</v>
      </c>
      <c r="J2314">
        <v>1</v>
      </c>
      <c r="K2314" s="6">
        <v>2.76</v>
      </c>
      <c r="L2314" t="s">
        <v>174</v>
      </c>
      <c r="M2314">
        <v>0</v>
      </c>
      <c r="N2314" t="s">
        <v>187</v>
      </c>
      <c r="O2314">
        <v>2</v>
      </c>
      <c r="P2314">
        <v>0</v>
      </c>
      <c r="Q2314" s="6">
        <v>39</v>
      </c>
      <c r="R2314">
        <v>1</v>
      </c>
      <c r="S2314" s="6">
        <v>5149</v>
      </c>
      <c r="T2314">
        <v>0</v>
      </c>
      <c r="U2314" s="6">
        <v>7235</v>
      </c>
      <c r="V2314">
        <v>0</v>
      </c>
      <c r="W2314">
        <v>0</v>
      </c>
      <c r="X2314">
        <v>0</v>
      </c>
      <c r="Y2314" s="6">
        <v>48.7</v>
      </c>
      <c r="Z2314">
        <v>8.0000000000000002E-3</v>
      </c>
      <c r="AA2314">
        <v>0.106</v>
      </c>
      <c r="AB2314">
        <v>8.3000000000000004E-2</v>
      </c>
      <c r="AC2314">
        <v>6</v>
      </c>
      <c r="AD2314" s="6">
        <v>50</v>
      </c>
      <c r="AE2314" s="6">
        <v>50</v>
      </c>
      <c r="AF2314" s="6">
        <v>0</v>
      </c>
      <c r="AG2314" s="6">
        <v>55.69</v>
      </c>
      <c r="AH2314" s="6">
        <v>72.86</v>
      </c>
      <c r="AI2314" s="6">
        <f t="shared" si="72"/>
        <v>17.170000000000002</v>
      </c>
      <c r="AJ2314" s="5">
        <f t="shared" si="73"/>
        <v>0.23565742519901184</v>
      </c>
    </row>
    <row r="2315" spans="1:36">
      <c r="A2315" t="s">
        <v>251</v>
      </c>
      <c r="B2315" t="s">
        <v>2600</v>
      </c>
      <c r="C2315" t="s">
        <v>112</v>
      </c>
      <c r="D2315" t="s">
        <v>105</v>
      </c>
      <c r="E2315" t="s">
        <v>55</v>
      </c>
      <c r="F2315">
        <v>0</v>
      </c>
      <c r="G2315">
        <v>1694</v>
      </c>
      <c r="H2315">
        <v>1</v>
      </c>
      <c r="I2315" t="s">
        <v>173</v>
      </c>
      <c r="J2315">
        <v>1</v>
      </c>
      <c r="K2315" s="6">
        <v>1.58</v>
      </c>
      <c r="L2315" t="s">
        <v>174</v>
      </c>
      <c r="M2315">
        <v>0</v>
      </c>
      <c r="N2315" t="s">
        <v>175</v>
      </c>
      <c r="O2315">
        <v>1</v>
      </c>
      <c r="P2315">
        <v>0</v>
      </c>
      <c r="Q2315" s="6">
        <v>27.4</v>
      </c>
      <c r="R2315">
        <v>0</v>
      </c>
      <c r="S2315" s="6">
        <v>0</v>
      </c>
      <c r="T2315">
        <v>0</v>
      </c>
      <c r="U2315" s="6">
        <v>24393</v>
      </c>
      <c r="V2315">
        <v>0</v>
      </c>
      <c r="W2315">
        <v>0</v>
      </c>
      <c r="X2315">
        <v>0</v>
      </c>
      <c r="Y2315" s="6">
        <v>48.7</v>
      </c>
      <c r="Z2315">
        <v>8.0000000000000002E-3</v>
      </c>
      <c r="AA2315">
        <v>0.106</v>
      </c>
      <c r="AB2315">
        <v>8.3000000000000004E-2</v>
      </c>
      <c r="AC2315">
        <v>6</v>
      </c>
      <c r="AD2315" s="6">
        <v>50</v>
      </c>
      <c r="AE2315" s="6">
        <v>0</v>
      </c>
      <c r="AF2315" s="6">
        <v>0</v>
      </c>
      <c r="AG2315" s="6">
        <v>51.19</v>
      </c>
      <c r="AH2315" s="6">
        <v>66.86</v>
      </c>
      <c r="AI2315" s="6">
        <f t="shared" si="72"/>
        <v>15.670000000000002</v>
      </c>
      <c r="AJ2315" s="5">
        <f t="shared" si="73"/>
        <v>0.23437032605444214</v>
      </c>
    </row>
    <row r="2316" spans="1:36">
      <c r="A2316" t="s">
        <v>300</v>
      </c>
      <c r="B2316" t="s">
        <v>2601</v>
      </c>
      <c r="C2316" t="s">
        <v>112</v>
      </c>
      <c r="D2316" t="s">
        <v>105</v>
      </c>
      <c r="E2316" t="s">
        <v>55</v>
      </c>
      <c r="F2316">
        <v>0</v>
      </c>
      <c r="G2316">
        <v>1694</v>
      </c>
      <c r="H2316">
        <v>1</v>
      </c>
      <c r="I2316" t="s">
        <v>173</v>
      </c>
      <c r="J2316">
        <v>1</v>
      </c>
      <c r="K2316" s="6">
        <v>1.21</v>
      </c>
      <c r="L2316" t="s">
        <v>174</v>
      </c>
      <c r="M2316">
        <v>0</v>
      </c>
      <c r="N2316" t="s">
        <v>175</v>
      </c>
      <c r="O2316">
        <v>1</v>
      </c>
      <c r="P2316">
        <v>0</v>
      </c>
      <c r="Q2316" s="6">
        <v>42</v>
      </c>
      <c r="R2316">
        <v>0</v>
      </c>
      <c r="S2316" s="6">
        <v>0</v>
      </c>
      <c r="T2316">
        <v>0</v>
      </c>
      <c r="U2316" s="6">
        <v>35136</v>
      </c>
      <c r="V2316">
        <v>0</v>
      </c>
      <c r="W2316">
        <v>0</v>
      </c>
      <c r="X2316">
        <v>0</v>
      </c>
      <c r="Y2316" s="6">
        <v>48.7</v>
      </c>
      <c r="Z2316">
        <v>8.0000000000000002E-3</v>
      </c>
      <c r="AA2316">
        <v>0.106</v>
      </c>
      <c r="AB2316">
        <v>8.3000000000000004E-2</v>
      </c>
      <c r="AC2316">
        <v>6</v>
      </c>
      <c r="AD2316" s="6">
        <v>50</v>
      </c>
      <c r="AE2316" s="6">
        <v>0</v>
      </c>
      <c r="AF2316" s="6">
        <v>0</v>
      </c>
      <c r="AG2316" s="6">
        <v>48.53</v>
      </c>
      <c r="AH2316" s="6">
        <v>63.13</v>
      </c>
      <c r="AI2316" s="6">
        <f t="shared" si="72"/>
        <v>14.600000000000001</v>
      </c>
      <c r="AJ2316" s="5">
        <f t="shared" si="73"/>
        <v>0.23126881039125616</v>
      </c>
    </row>
    <row r="2317" spans="1:36">
      <c r="A2317" t="s">
        <v>457</v>
      </c>
      <c r="B2317" t="s">
        <v>2602</v>
      </c>
      <c r="C2317" t="s">
        <v>112</v>
      </c>
      <c r="D2317" t="s">
        <v>105</v>
      </c>
      <c r="E2317" t="s">
        <v>55</v>
      </c>
      <c r="F2317">
        <v>0</v>
      </c>
      <c r="G2317">
        <v>1694</v>
      </c>
      <c r="H2317">
        <v>1</v>
      </c>
      <c r="I2317" t="s">
        <v>181</v>
      </c>
      <c r="J2317">
        <v>3</v>
      </c>
      <c r="K2317" s="6">
        <v>11.43</v>
      </c>
      <c r="L2317" t="s">
        <v>174</v>
      </c>
      <c r="M2317">
        <v>0</v>
      </c>
      <c r="N2317" t="s">
        <v>175</v>
      </c>
      <c r="O2317">
        <v>1</v>
      </c>
      <c r="P2317">
        <v>0</v>
      </c>
      <c r="Q2317" s="6">
        <v>36.200000000000003</v>
      </c>
      <c r="R2317">
        <v>0</v>
      </c>
      <c r="S2317" s="6">
        <v>0</v>
      </c>
      <c r="T2317">
        <v>0</v>
      </c>
      <c r="U2317" s="6">
        <v>12701</v>
      </c>
      <c r="V2317">
        <v>0</v>
      </c>
      <c r="W2317">
        <v>0</v>
      </c>
      <c r="X2317">
        <v>0</v>
      </c>
      <c r="Y2317" s="6">
        <v>48.7</v>
      </c>
      <c r="Z2317">
        <v>8.0000000000000002E-3</v>
      </c>
      <c r="AA2317">
        <v>0.106</v>
      </c>
      <c r="AB2317">
        <v>8.3000000000000004E-2</v>
      </c>
      <c r="AC2317">
        <v>6</v>
      </c>
      <c r="AD2317" s="6">
        <v>60</v>
      </c>
      <c r="AE2317" s="6">
        <v>0</v>
      </c>
      <c r="AF2317" s="6">
        <v>0</v>
      </c>
      <c r="AG2317" s="6">
        <v>99.7</v>
      </c>
      <c r="AH2317" s="6">
        <v>125.15</v>
      </c>
      <c r="AI2317" s="6">
        <f t="shared" si="72"/>
        <v>25.450000000000003</v>
      </c>
      <c r="AJ2317" s="5">
        <f t="shared" si="73"/>
        <v>0.2033559728326009</v>
      </c>
    </row>
    <row r="2318" spans="1:36">
      <c r="A2318" t="s">
        <v>353</v>
      </c>
      <c r="B2318" t="s">
        <v>2603</v>
      </c>
      <c r="C2318" t="s">
        <v>112</v>
      </c>
      <c r="D2318" t="s">
        <v>105</v>
      </c>
      <c r="E2318" t="s">
        <v>55</v>
      </c>
      <c r="F2318">
        <v>0</v>
      </c>
      <c r="G2318">
        <v>1694</v>
      </c>
      <c r="H2318">
        <v>1</v>
      </c>
      <c r="I2318" t="s">
        <v>181</v>
      </c>
      <c r="J2318">
        <v>3</v>
      </c>
      <c r="K2318" s="6">
        <v>6.66</v>
      </c>
      <c r="L2318" t="s">
        <v>174</v>
      </c>
      <c r="M2318">
        <v>0</v>
      </c>
      <c r="N2318" t="s">
        <v>182</v>
      </c>
      <c r="O2318">
        <v>3</v>
      </c>
      <c r="P2318">
        <v>0</v>
      </c>
      <c r="Q2318" s="6">
        <v>94.3</v>
      </c>
      <c r="R2318">
        <v>0</v>
      </c>
      <c r="S2318" s="6">
        <v>0</v>
      </c>
      <c r="T2318">
        <v>0</v>
      </c>
      <c r="U2318" s="6">
        <v>7349</v>
      </c>
      <c r="V2318">
        <v>0</v>
      </c>
      <c r="W2318">
        <v>0</v>
      </c>
      <c r="X2318">
        <v>0</v>
      </c>
      <c r="Y2318" s="6">
        <v>48.7</v>
      </c>
      <c r="Z2318">
        <v>8.0000000000000002E-3</v>
      </c>
      <c r="AA2318">
        <v>0.106</v>
      </c>
      <c r="AB2318">
        <v>8.3000000000000004E-2</v>
      </c>
      <c r="AC2318">
        <v>6</v>
      </c>
      <c r="AD2318" s="6">
        <v>60</v>
      </c>
      <c r="AE2318" s="6">
        <v>0</v>
      </c>
      <c r="AF2318" s="6">
        <v>0</v>
      </c>
      <c r="AG2318" s="6">
        <v>85.14</v>
      </c>
      <c r="AH2318" s="6">
        <v>110.12</v>
      </c>
      <c r="AI2318" s="6">
        <f t="shared" si="72"/>
        <v>24.980000000000004</v>
      </c>
      <c r="AJ2318" s="5">
        <f t="shared" si="73"/>
        <v>0.2268434435161642</v>
      </c>
    </row>
    <row r="2319" spans="1:36">
      <c r="A2319" t="s">
        <v>221</v>
      </c>
      <c r="B2319" t="s">
        <v>2604</v>
      </c>
      <c r="C2319" t="s">
        <v>112</v>
      </c>
      <c r="D2319" t="s">
        <v>105</v>
      </c>
      <c r="E2319" t="s">
        <v>55</v>
      </c>
      <c r="F2319">
        <v>0</v>
      </c>
      <c r="G2319">
        <v>1694</v>
      </c>
      <c r="H2319">
        <v>1</v>
      </c>
      <c r="I2319" t="s">
        <v>173</v>
      </c>
      <c r="J2319">
        <v>1</v>
      </c>
      <c r="K2319" s="6">
        <v>2.41</v>
      </c>
      <c r="L2319" t="s">
        <v>174</v>
      </c>
      <c r="M2319">
        <v>0</v>
      </c>
      <c r="N2319" t="s">
        <v>182</v>
      </c>
      <c r="O2319">
        <v>3</v>
      </c>
      <c r="P2319">
        <v>0</v>
      </c>
      <c r="Q2319" s="6">
        <v>93.4</v>
      </c>
      <c r="R2319">
        <v>0</v>
      </c>
      <c r="S2319" s="6">
        <v>0</v>
      </c>
      <c r="T2319">
        <v>0</v>
      </c>
      <c r="U2319" s="6">
        <v>4744</v>
      </c>
      <c r="V2319">
        <v>0</v>
      </c>
      <c r="W2319">
        <v>0</v>
      </c>
      <c r="X2319">
        <v>0</v>
      </c>
      <c r="Y2319" s="6">
        <v>48.7</v>
      </c>
      <c r="Z2319">
        <v>8.0000000000000002E-3</v>
      </c>
      <c r="AA2319">
        <v>0.106</v>
      </c>
      <c r="AB2319">
        <v>8.3000000000000004E-2</v>
      </c>
      <c r="AC2319">
        <v>6</v>
      </c>
      <c r="AD2319" s="6">
        <v>50</v>
      </c>
      <c r="AE2319" s="6">
        <v>0</v>
      </c>
      <c r="AF2319" s="6">
        <v>0</v>
      </c>
      <c r="AG2319" s="6">
        <v>62.61</v>
      </c>
      <c r="AH2319" s="6">
        <v>82.13</v>
      </c>
      <c r="AI2319" s="6">
        <f t="shared" si="72"/>
        <v>19.519999999999996</v>
      </c>
      <c r="AJ2319" s="5">
        <f t="shared" si="73"/>
        <v>0.23767198344088636</v>
      </c>
    </row>
    <row r="2320" spans="1:36">
      <c r="A2320" t="s">
        <v>185</v>
      </c>
      <c r="B2320" t="s">
        <v>2605</v>
      </c>
      <c r="C2320" t="s">
        <v>112</v>
      </c>
      <c r="D2320" t="s">
        <v>105</v>
      </c>
      <c r="E2320" t="s">
        <v>55</v>
      </c>
      <c r="F2320">
        <v>0</v>
      </c>
      <c r="G2320">
        <v>1694</v>
      </c>
      <c r="H2320">
        <v>1</v>
      </c>
      <c r="I2320" t="s">
        <v>178</v>
      </c>
      <c r="J2320">
        <v>4</v>
      </c>
      <c r="K2320" s="6">
        <v>9.91</v>
      </c>
      <c r="L2320" t="s">
        <v>174</v>
      </c>
      <c r="M2320">
        <v>0</v>
      </c>
      <c r="N2320" t="s">
        <v>175</v>
      </c>
      <c r="O2320">
        <v>1</v>
      </c>
      <c r="P2320">
        <v>0</v>
      </c>
      <c r="Q2320" s="6">
        <v>25.4</v>
      </c>
      <c r="R2320">
        <v>0</v>
      </c>
      <c r="S2320" s="6">
        <v>0</v>
      </c>
      <c r="T2320">
        <v>0</v>
      </c>
      <c r="U2320" s="6">
        <v>2600</v>
      </c>
      <c r="V2320">
        <v>0</v>
      </c>
      <c r="W2320">
        <v>0</v>
      </c>
      <c r="X2320">
        <v>0</v>
      </c>
      <c r="Y2320" s="6">
        <v>48.7</v>
      </c>
      <c r="Z2320">
        <v>8.0000000000000002E-3</v>
      </c>
      <c r="AA2320">
        <v>0.106</v>
      </c>
      <c r="AB2320">
        <v>8.3000000000000004E-2</v>
      </c>
      <c r="AC2320">
        <v>6</v>
      </c>
      <c r="AD2320" s="6">
        <v>65</v>
      </c>
      <c r="AE2320" s="6">
        <v>0</v>
      </c>
      <c r="AF2320" s="6">
        <v>0</v>
      </c>
      <c r="AG2320" s="6">
        <v>115.22</v>
      </c>
      <c r="AH2320" s="6">
        <v>147.72999999999999</v>
      </c>
      <c r="AI2320" s="6">
        <f t="shared" si="72"/>
        <v>32.509999999999991</v>
      </c>
      <c r="AJ2320" s="5">
        <f t="shared" si="73"/>
        <v>0.22006362959453052</v>
      </c>
    </row>
    <row r="2321" spans="1:36">
      <c r="A2321" t="s">
        <v>228</v>
      </c>
      <c r="B2321" t="s">
        <v>2606</v>
      </c>
      <c r="C2321" t="s">
        <v>112</v>
      </c>
      <c r="D2321" t="s">
        <v>105</v>
      </c>
      <c r="E2321" t="s">
        <v>55</v>
      </c>
      <c r="F2321">
        <v>0</v>
      </c>
      <c r="G2321">
        <v>1694</v>
      </c>
      <c r="H2321">
        <v>1</v>
      </c>
      <c r="I2321" t="s">
        <v>181</v>
      </c>
      <c r="J2321">
        <v>3</v>
      </c>
      <c r="K2321" s="6">
        <v>5.01</v>
      </c>
      <c r="L2321" t="s">
        <v>174</v>
      </c>
      <c r="M2321">
        <v>0</v>
      </c>
      <c r="N2321" t="s">
        <v>187</v>
      </c>
      <c r="O2321">
        <v>2</v>
      </c>
      <c r="P2321">
        <v>0</v>
      </c>
      <c r="Q2321" s="6">
        <v>65.2</v>
      </c>
      <c r="R2321">
        <v>1</v>
      </c>
      <c r="S2321" s="6">
        <v>1398</v>
      </c>
      <c r="T2321">
        <v>0</v>
      </c>
      <c r="U2321" s="6">
        <v>10512</v>
      </c>
      <c r="V2321">
        <v>0</v>
      </c>
      <c r="W2321">
        <v>0</v>
      </c>
      <c r="X2321">
        <v>0</v>
      </c>
      <c r="Y2321" s="6">
        <v>48.7</v>
      </c>
      <c r="Z2321">
        <v>8.0000000000000002E-3</v>
      </c>
      <c r="AA2321">
        <v>0.106</v>
      </c>
      <c r="AB2321">
        <v>8.3000000000000004E-2</v>
      </c>
      <c r="AC2321">
        <v>6</v>
      </c>
      <c r="AD2321" s="6">
        <v>60</v>
      </c>
      <c r="AE2321" s="6">
        <v>25</v>
      </c>
      <c r="AF2321" s="6">
        <v>0</v>
      </c>
      <c r="AG2321" s="6">
        <v>79.27</v>
      </c>
      <c r="AH2321" s="6">
        <v>103.88</v>
      </c>
      <c r="AI2321" s="6">
        <f t="shared" si="72"/>
        <v>24.61</v>
      </c>
      <c r="AJ2321" s="5">
        <f t="shared" si="73"/>
        <v>0.23690797073546399</v>
      </c>
    </row>
    <row r="2322" spans="1:36">
      <c r="A2322" t="s">
        <v>208</v>
      </c>
      <c r="B2322" t="s">
        <v>2607</v>
      </c>
      <c r="C2322" t="s">
        <v>112</v>
      </c>
      <c r="D2322" t="s">
        <v>105</v>
      </c>
      <c r="E2322" t="s">
        <v>55</v>
      </c>
      <c r="F2322">
        <v>0</v>
      </c>
      <c r="G2322">
        <v>1694</v>
      </c>
      <c r="H2322">
        <v>1</v>
      </c>
      <c r="I2322" t="s">
        <v>178</v>
      </c>
      <c r="J2322">
        <v>4</v>
      </c>
      <c r="K2322" s="6">
        <v>14.95</v>
      </c>
      <c r="L2322" t="s">
        <v>174</v>
      </c>
      <c r="M2322">
        <v>0</v>
      </c>
      <c r="N2322" t="s">
        <v>187</v>
      </c>
      <c r="O2322">
        <v>2</v>
      </c>
      <c r="P2322">
        <v>0</v>
      </c>
      <c r="Q2322" s="6">
        <v>30.9</v>
      </c>
      <c r="R2322">
        <v>1</v>
      </c>
      <c r="S2322" s="6">
        <v>2828</v>
      </c>
      <c r="T2322">
        <v>0</v>
      </c>
      <c r="U2322" s="6">
        <v>7265</v>
      </c>
      <c r="V2322">
        <v>0</v>
      </c>
      <c r="W2322">
        <v>0</v>
      </c>
      <c r="X2322">
        <v>0</v>
      </c>
      <c r="Y2322" s="6">
        <v>48.7</v>
      </c>
      <c r="Z2322">
        <v>8.0000000000000002E-3</v>
      </c>
      <c r="AA2322">
        <v>0.106</v>
      </c>
      <c r="AB2322">
        <v>8.3000000000000004E-2</v>
      </c>
      <c r="AC2322">
        <v>6</v>
      </c>
      <c r="AD2322" s="6">
        <v>65</v>
      </c>
      <c r="AE2322" s="6">
        <v>40</v>
      </c>
      <c r="AF2322" s="6">
        <v>0</v>
      </c>
      <c r="AG2322" s="6">
        <v>136.43</v>
      </c>
      <c r="AH2322" s="6">
        <v>171.91</v>
      </c>
      <c r="AI2322" s="6">
        <f t="shared" si="72"/>
        <v>35.47999999999999</v>
      </c>
      <c r="AJ2322" s="5">
        <f t="shared" si="73"/>
        <v>0.20638706299808032</v>
      </c>
    </row>
    <row r="2323" spans="1:36">
      <c r="A2323" t="s">
        <v>323</v>
      </c>
      <c r="B2323" t="s">
        <v>2608</v>
      </c>
      <c r="C2323" t="s">
        <v>112</v>
      </c>
      <c r="D2323" t="s">
        <v>105</v>
      </c>
      <c r="E2323" t="s">
        <v>55</v>
      </c>
      <c r="F2323">
        <v>0</v>
      </c>
      <c r="G2323">
        <v>1694</v>
      </c>
      <c r="H2323">
        <v>1</v>
      </c>
      <c r="I2323" t="s">
        <v>181</v>
      </c>
      <c r="J2323">
        <v>3</v>
      </c>
      <c r="K2323" s="6">
        <v>5.47</v>
      </c>
      <c r="L2323" t="s">
        <v>174</v>
      </c>
      <c r="M2323">
        <v>0</v>
      </c>
      <c r="N2323" t="s">
        <v>187</v>
      </c>
      <c r="O2323">
        <v>2</v>
      </c>
      <c r="P2323">
        <v>0</v>
      </c>
      <c r="Q2323" s="6">
        <v>41.1</v>
      </c>
      <c r="R2323">
        <v>0</v>
      </c>
      <c r="S2323" s="6">
        <v>0</v>
      </c>
      <c r="T2323">
        <v>0</v>
      </c>
      <c r="U2323" s="6">
        <v>3868</v>
      </c>
      <c r="V2323">
        <v>0</v>
      </c>
      <c r="W2323">
        <v>0</v>
      </c>
      <c r="X2323">
        <v>0</v>
      </c>
      <c r="Y2323" s="6">
        <v>48.7</v>
      </c>
      <c r="Z2323">
        <v>8.0000000000000002E-3</v>
      </c>
      <c r="AA2323">
        <v>0.106</v>
      </c>
      <c r="AB2323">
        <v>8.3000000000000004E-2</v>
      </c>
      <c r="AC2323">
        <v>6</v>
      </c>
      <c r="AD2323" s="6">
        <v>60</v>
      </c>
      <c r="AE2323" s="6">
        <v>0</v>
      </c>
      <c r="AF2323" s="6">
        <v>0</v>
      </c>
      <c r="AG2323" s="6">
        <v>80.92</v>
      </c>
      <c r="AH2323" s="6">
        <v>102.02</v>
      </c>
      <c r="AI2323" s="6">
        <f t="shared" si="72"/>
        <v>21.099999999999994</v>
      </c>
      <c r="AJ2323" s="5">
        <f t="shared" si="73"/>
        <v>0.20682219172711228</v>
      </c>
    </row>
    <row r="2324" spans="1:36">
      <c r="A2324" t="s">
        <v>411</v>
      </c>
      <c r="B2324" t="s">
        <v>2609</v>
      </c>
      <c r="C2324" t="s">
        <v>112</v>
      </c>
      <c r="D2324" t="s">
        <v>105</v>
      </c>
      <c r="E2324" t="s">
        <v>55</v>
      </c>
      <c r="F2324">
        <v>0</v>
      </c>
      <c r="G2324">
        <v>1694</v>
      </c>
      <c r="H2324">
        <v>1</v>
      </c>
      <c r="I2324" t="s">
        <v>173</v>
      </c>
      <c r="J2324">
        <v>1</v>
      </c>
      <c r="K2324" s="6">
        <v>2.3199999999999998</v>
      </c>
      <c r="L2324" t="s">
        <v>174</v>
      </c>
      <c r="M2324">
        <v>0</v>
      </c>
      <c r="N2324" t="s">
        <v>187</v>
      </c>
      <c r="O2324">
        <v>2</v>
      </c>
      <c r="P2324">
        <v>0</v>
      </c>
      <c r="Q2324" s="6">
        <v>54.6</v>
      </c>
      <c r="R2324">
        <v>0</v>
      </c>
      <c r="S2324" s="6">
        <v>0</v>
      </c>
      <c r="T2324">
        <v>0</v>
      </c>
      <c r="U2324" s="6">
        <v>17331</v>
      </c>
      <c r="V2324">
        <v>0</v>
      </c>
      <c r="W2324">
        <v>0</v>
      </c>
      <c r="X2324">
        <v>0</v>
      </c>
      <c r="Y2324" s="6">
        <v>48.7</v>
      </c>
      <c r="Z2324">
        <v>8.0000000000000002E-3</v>
      </c>
      <c r="AA2324">
        <v>0.106</v>
      </c>
      <c r="AB2324">
        <v>8.3000000000000004E-2</v>
      </c>
      <c r="AC2324">
        <v>6</v>
      </c>
      <c r="AD2324" s="6">
        <v>50</v>
      </c>
      <c r="AE2324" s="6">
        <v>0</v>
      </c>
      <c r="AF2324" s="6">
        <v>0</v>
      </c>
      <c r="AG2324" s="6">
        <v>58.18</v>
      </c>
      <c r="AH2324" s="6">
        <v>76.05</v>
      </c>
      <c r="AI2324" s="6">
        <f t="shared" si="72"/>
        <v>17.869999999999997</v>
      </c>
      <c r="AJ2324" s="5">
        <f t="shared" si="73"/>
        <v>0.23497698882314264</v>
      </c>
    </row>
    <row r="2325" spans="1:36">
      <c r="A2325" t="s">
        <v>362</v>
      </c>
      <c r="B2325" t="s">
        <v>2610</v>
      </c>
      <c r="C2325" t="s">
        <v>112</v>
      </c>
      <c r="D2325" t="s">
        <v>105</v>
      </c>
      <c r="E2325" t="s">
        <v>55</v>
      </c>
      <c r="F2325">
        <v>0</v>
      </c>
      <c r="G2325">
        <v>1694</v>
      </c>
      <c r="H2325">
        <v>1</v>
      </c>
      <c r="I2325" t="s">
        <v>181</v>
      </c>
      <c r="J2325">
        <v>3</v>
      </c>
      <c r="K2325" s="6">
        <v>12.01</v>
      </c>
      <c r="L2325" t="s">
        <v>174</v>
      </c>
      <c r="M2325">
        <v>0</v>
      </c>
      <c r="N2325" t="s">
        <v>175</v>
      </c>
      <c r="O2325">
        <v>1</v>
      </c>
      <c r="P2325">
        <v>1</v>
      </c>
      <c r="Q2325" s="6">
        <v>37.4</v>
      </c>
      <c r="R2325">
        <v>1</v>
      </c>
      <c r="S2325" s="6">
        <v>3254</v>
      </c>
      <c r="T2325">
        <v>0</v>
      </c>
      <c r="U2325" s="6">
        <v>9991</v>
      </c>
      <c r="V2325">
        <v>0</v>
      </c>
      <c r="W2325">
        <v>0</v>
      </c>
      <c r="X2325">
        <v>0</v>
      </c>
      <c r="Y2325" s="6">
        <v>48.7</v>
      </c>
      <c r="Z2325">
        <v>8.0000000000000002E-3</v>
      </c>
      <c r="AA2325">
        <v>0.106</v>
      </c>
      <c r="AB2325">
        <v>8.3000000000000004E-2</v>
      </c>
      <c r="AC2325">
        <v>6</v>
      </c>
      <c r="AD2325" s="6">
        <v>60</v>
      </c>
      <c r="AE2325" s="6">
        <v>40</v>
      </c>
      <c r="AF2325" s="6">
        <v>0</v>
      </c>
      <c r="AG2325" s="6">
        <v>127.98</v>
      </c>
      <c r="AH2325" s="6">
        <v>164.75</v>
      </c>
      <c r="AI2325" s="6">
        <f t="shared" si="72"/>
        <v>36.769999999999996</v>
      </c>
      <c r="AJ2325" s="5">
        <f t="shared" si="73"/>
        <v>0.22318664643399086</v>
      </c>
    </row>
    <row r="2326" spans="1:36">
      <c r="A2326" t="s">
        <v>284</v>
      </c>
      <c r="B2326" t="s">
        <v>2611</v>
      </c>
      <c r="C2326" t="s">
        <v>112</v>
      </c>
      <c r="D2326" t="s">
        <v>105</v>
      </c>
      <c r="E2326" t="s">
        <v>55</v>
      </c>
      <c r="F2326">
        <v>0</v>
      </c>
      <c r="G2326">
        <v>1694</v>
      </c>
      <c r="H2326">
        <v>1</v>
      </c>
      <c r="I2326" t="s">
        <v>181</v>
      </c>
      <c r="J2326">
        <v>3</v>
      </c>
      <c r="K2326" s="6">
        <v>6.91</v>
      </c>
      <c r="L2326" t="s">
        <v>174</v>
      </c>
      <c r="M2326">
        <v>0</v>
      </c>
      <c r="N2326" t="s">
        <v>175</v>
      </c>
      <c r="O2326">
        <v>1</v>
      </c>
      <c r="P2326">
        <v>0</v>
      </c>
      <c r="Q2326" s="6">
        <v>31.9</v>
      </c>
      <c r="R2326">
        <v>1</v>
      </c>
      <c r="S2326" s="6">
        <v>934</v>
      </c>
      <c r="T2326">
        <v>0</v>
      </c>
      <c r="U2326" s="6">
        <v>11210</v>
      </c>
      <c r="V2326">
        <v>0</v>
      </c>
      <c r="W2326">
        <v>0</v>
      </c>
      <c r="X2326">
        <v>0</v>
      </c>
      <c r="Y2326" s="6">
        <v>48.7</v>
      </c>
      <c r="Z2326">
        <v>8.0000000000000002E-3</v>
      </c>
      <c r="AA2326">
        <v>0.106</v>
      </c>
      <c r="AB2326">
        <v>8.3000000000000004E-2</v>
      </c>
      <c r="AC2326">
        <v>6</v>
      </c>
      <c r="AD2326" s="6">
        <v>60</v>
      </c>
      <c r="AE2326" s="6">
        <v>25</v>
      </c>
      <c r="AF2326" s="6">
        <v>0</v>
      </c>
      <c r="AG2326" s="6">
        <v>76.760000000000005</v>
      </c>
      <c r="AH2326" s="6">
        <v>96.23</v>
      </c>
      <c r="AI2326" s="6">
        <f t="shared" si="72"/>
        <v>19.47</v>
      </c>
      <c r="AJ2326" s="5">
        <f t="shared" si="73"/>
        <v>0.20232775641691778</v>
      </c>
    </row>
    <row r="2327" spans="1:36">
      <c r="A2327" t="s">
        <v>521</v>
      </c>
      <c r="B2327" t="s">
        <v>2612</v>
      </c>
      <c r="C2327" t="s">
        <v>112</v>
      </c>
      <c r="D2327" t="s">
        <v>105</v>
      </c>
      <c r="E2327" t="s">
        <v>55</v>
      </c>
      <c r="F2327">
        <v>0</v>
      </c>
      <c r="G2327">
        <v>1694</v>
      </c>
      <c r="H2327">
        <v>1</v>
      </c>
      <c r="I2327" t="s">
        <v>181</v>
      </c>
      <c r="J2327">
        <v>3</v>
      </c>
      <c r="K2327" s="6">
        <v>6.46</v>
      </c>
      <c r="L2327" t="s">
        <v>174</v>
      </c>
      <c r="M2327">
        <v>0</v>
      </c>
      <c r="N2327" t="s">
        <v>175</v>
      </c>
      <c r="O2327">
        <v>1</v>
      </c>
      <c r="P2327">
        <v>0</v>
      </c>
      <c r="Q2327" s="6">
        <v>36</v>
      </c>
      <c r="R2327">
        <v>1</v>
      </c>
      <c r="S2327" s="6">
        <v>1824</v>
      </c>
      <c r="T2327">
        <v>0</v>
      </c>
      <c r="U2327" s="6">
        <v>6668</v>
      </c>
      <c r="V2327">
        <v>0</v>
      </c>
      <c r="W2327">
        <v>0</v>
      </c>
      <c r="X2327">
        <v>0</v>
      </c>
      <c r="Y2327" s="6">
        <v>48.7</v>
      </c>
      <c r="Z2327">
        <v>8.0000000000000002E-3</v>
      </c>
      <c r="AA2327">
        <v>0.106</v>
      </c>
      <c r="AB2327">
        <v>8.3000000000000004E-2</v>
      </c>
      <c r="AC2327">
        <v>6</v>
      </c>
      <c r="AD2327" s="6">
        <v>60</v>
      </c>
      <c r="AE2327" s="6">
        <v>25</v>
      </c>
      <c r="AF2327" s="6">
        <v>0</v>
      </c>
      <c r="AG2327" s="6">
        <v>82.29</v>
      </c>
      <c r="AH2327" s="6">
        <v>105.76</v>
      </c>
      <c r="AI2327" s="6">
        <f t="shared" si="72"/>
        <v>23.47</v>
      </c>
      <c r="AJ2327" s="5">
        <f t="shared" si="73"/>
        <v>0.22191754916792736</v>
      </c>
    </row>
    <row r="2328" spans="1:36">
      <c r="A2328" t="s">
        <v>215</v>
      </c>
      <c r="B2328" t="s">
        <v>2613</v>
      </c>
      <c r="C2328" t="s">
        <v>112</v>
      </c>
      <c r="D2328" t="s">
        <v>105</v>
      </c>
      <c r="E2328" t="s">
        <v>55</v>
      </c>
      <c r="F2328">
        <v>0</v>
      </c>
      <c r="G2328">
        <v>1694</v>
      </c>
      <c r="H2328">
        <v>1</v>
      </c>
      <c r="I2328" t="s">
        <v>181</v>
      </c>
      <c r="J2328">
        <v>3</v>
      </c>
      <c r="K2328" s="6">
        <v>5.03</v>
      </c>
      <c r="L2328" t="s">
        <v>174</v>
      </c>
      <c r="M2328">
        <v>0</v>
      </c>
      <c r="N2328" t="s">
        <v>187</v>
      </c>
      <c r="O2328">
        <v>2</v>
      </c>
      <c r="P2328">
        <v>0</v>
      </c>
      <c r="Q2328" s="6">
        <v>53.3</v>
      </c>
      <c r="R2328">
        <v>1</v>
      </c>
      <c r="S2328" s="6">
        <v>1650</v>
      </c>
      <c r="T2328">
        <v>0</v>
      </c>
      <c r="U2328" s="6">
        <v>10422</v>
      </c>
      <c r="V2328">
        <v>0</v>
      </c>
      <c r="W2328">
        <v>0</v>
      </c>
      <c r="X2328">
        <v>0</v>
      </c>
      <c r="Y2328" s="6">
        <v>48.7</v>
      </c>
      <c r="Z2328">
        <v>8.0000000000000002E-3</v>
      </c>
      <c r="AA2328">
        <v>0.106</v>
      </c>
      <c r="AB2328">
        <v>8.3000000000000004E-2</v>
      </c>
      <c r="AC2328">
        <v>6</v>
      </c>
      <c r="AD2328" s="6">
        <v>60</v>
      </c>
      <c r="AE2328" s="6">
        <v>25</v>
      </c>
      <c r="AF2328" s="6">
        <v>0</v>
      </c>
      <c r="AG2328" s="6">
        <v>85.87</v>
      </c>
      <c r="AH2328" s="6">
        <v>112.33</v>
      </c>
      <c r="AI2328" s="6">
        <f t="shared" si="72"/>
        <v>26.459999999999994</v>
      </c>
      <c r="AJ2328" s="5">
        <f t="shared" si="73"/>
        <v>0.23555595121516953</v>
      </c>
    </row>
    <row r="2329" spans="1:36">
      <c r="A2329" t="s">
        <v>562</v>
      </c>
      <c r="B2329" t="s">
        <v>2614</v>
      </c>
      <c r="C2329" t="s">
        <v>112</v>
      </c>
      <c r="D2329" t="s">
        <v>105</v>
      </c>
      <c r="E2329" t="s">
        <v>55</v>
      </c>
      <c r="F2329">
        <v>0</v>
      </c>
      <c r="G2329">
        <v>1694</v>
      </c>
      <c r="H2329">
        <v>1</v>
      </c>
      <c r="I2329" t="s">
        <v>178</v>
      </c>
      <c r="J2329">
        <v>4</v>
      </c>
      <c r="K2329" s="6">
        <v>15.85</v>
      </c>
      <c r="L2329" t="s">
        <v>174</v>
      </c>
      <c r="M2329">
        <v>0</v>
      </c>
      <c r="N2329" t="s">
        <v>182</v>
      </c>
      <c r="O2329">
        <v>3</v>
      </c>
      <c r="P2329">
        <v>0</v>
      </c>
      <c r="Q2329" s="6">
        <v>119.6</v>
      </c>
      <c r="R2329">
        <v>0</v>
      </c>
      <c r="S2329" s="6">
        <v>0</v>
      </c>
      <c r="T2329">
        <v>0</v>
      </c>
      <c r="U2329" s="6">
        <v>2793</v>
      </c>
      <c r="V2329">
        <v>0</v>
      </c>
      <c r="W2329">
        <v>0</v>
      </c>
      <c r="X2329">
        <v>0</v>
      </c>
      <c r="Y2329" s="6">
        <v>48.7</v>
      </c>
      <c r="Z2329">
        <v>8.0000000000000002E-3</v>
      </c>
      <c r="AA2329">
        <v>0.106</v>
      </c>
      <c r="AB2329">
        <v>8.3000000000000004E-2</v>
      </c>
      <c r="AC2329">
        <v>6</v>
      </c>
      <c r="AD2329" s="6">
        <v>65</v>
      </c>
      <c r="AE2329" s="6">
        <v>0</v>
      </c>
      <c r="AF2329" s="6">
        <v>0</v>
      </c>
      <c r="AG2329" s="6">
        <v>146.34</v>
      </c>
      <c r="AH2329" s="6">
        <v>187.76</v>
      </c>
      <c r="AI2329" s="6">
        <f t="shared" si="72"/>
        <v>41.419999999999987</v>
      </c>
      <c r="AJ2329" s="5">
        <f t="shared" si="73"/>
        <v>0.22060076693651465</v>
      </c>
    </row>
    <row r="2330" spans="1:36">
      <c r="A2330" t="s">
        <v>196</v>
      </c>
      <c r="B2330" t="s">
        <v>2615</v>
      </c>
      <c r="C2330" t="s">
        <v>112</v>
      </c>
      <c r="D2330" t="s">
        <v>105</v>
      </c>
      <c r="E2330" t="s">
        <v>55</v>
      </c>
      <c r="F2330">
        <v>0</v>
      </c>
      <c r="G2330">
        <v>1694</v>
      </c>
      <c r="H2330">
        <v>1</v>
      </c>
      <c r="I2330" t="s">
        <v>181</v>
      </c>
      <c r="J2330">
        <v>3</v>
      </c>
      <c r="K2330" s="6">
        <v>7.45</v>
      </c>
      <c r="L2330" t="s">
        <v>174</v>
      </c>
      <c r="M2330">
        <v>0</v>
      </c>
      <c r="N2330" t="s">
        <v>182</v>
      </c>
      <c r="O2330">
        <v>3</v>
      </c>
      <c r="P2330">
        <v>0</v>
      </c>
      <c r="Q2330" s="6">
        <v>99.9</v>
      </c>
      <c r="R2330">
        <v>0</v>
      </c>
      <c r="S2330" s="6">
        <v>0</v>
      </c>
      <c r="T2330">
        <v>0</v>
      </c>
      <c r="U2330" s="6">
        <v>20260</v>
      </c>
      <c r="V2330">
        <v>0</v>
      </c>
      <c r="W2330">
        <v>0</v>
      </c>
      <c r="X2330">
        <v>0</v>
      </c>
      <c r="Y2330" s="6">
        <v>48.7</v>
      </c>
      <c r="Z2330">
        <v>8.0000000000000002E-3</v>
      </c>
      <c r="AA2330">
        <v>0.106</v>
      </c>
      <c r="AB2330">
        <v>8.3000000000000004E-2</v>
      </c>
      <c r="AC2330">
        <v>6</v>
      </c>
      <c r="AD2330" s="6">
        <v>60</v>
      </c>
      <c r="AE2330" s="6">
        <v>0</v>
      </c>
      <c r="AF2330" s="6">
        <v>0</v>
      </c>
      <c r="AG2330" s="6">
        <v>83.01</v>
      </c>
      <c r="AH2330" s="6">
        <v>105.52</v>
      </c>
      <c r="AI2330" s="6">
        <f t="shared" si="72"/>
        <v>22.509999999999991</v>
      </c>
      <c r="AJ2330" s="5">
        <f t="shared" si="73"/>
        <v>0.21332448824867317</v>
      </c>
    </row>
    <row r="2331" spans="1:36">
      <c r="A2331" t="s">
        <v>365</v>
      </c>
      <c r="B2331" t="s">
        <v>2616</v>
      </c>
      <c r="C2331" t="s">
        <v>112</v>
      </c>
      <c r="D2331" t="s">
        <v>105</v>
      </c>
      <c r="E2331" t="s">
        <v>55</v>
      </c>
      <c r="F2331">
        <v>0</v>
      </c>
      <c r="G2331">
        <v>1694</v>
      </c>
      <c r="H2331">
        <v>1</v>
      </c>
      <c r="I2331" t="s">
        <v>181</v>
      </c>
      <c r="J2331">
        <v>3</v>
      </c>
      <c r="K2331" s="6">
        <v>5.74</v>
      </c>
      <c r="L2331" t="s">
        <v>174</v>
      </c>
      <c r="M2331">
        <v>0</v>
      </c>
      <c r="N2331" t="s">
        <v>217</v>
      </c>
      <c r="O2331">
        <v>4</v>
      </c>
      <c r="P2331">
        <v>1</v>
      </c>
      <c r="Q2331" s="6">
        <v>177.6</v>
      </c>
      <c r="R2331">
        <v>1</v>
      </c>
      <c r="S2331" s="6">
        <v>632</v>
      </c>
      <c r="T2331">
        <v>0</v>
      </c>
      <c r="U2331" s="6">
        <v>5423</v>
      </c>
      <c r="V2331">
        <v>0</v>
      </c>
      <c r="W2331">
        <v>0</v>
      </c>
      <c r="X2331">
        <v>0</v>
      </c>
      <c r="Y2331" s="6">
        <v>48.7</v>
      </c>
      <c r="Z2331">
        <v>8.0000000000000002E-3</v>
      </c>
      <c r="AA2331">
        <v>0.106</v>
      </c>
      <c r="AB2331">
        <v>8.3000000000000004E-2</v>
      </c>
      <c r="AC2331">
        <v>6</v>
      </c>
      <c r="AD2331" s="6">
        <v>60</v>
      </c>
      <c r="AE2331" s="6">
        <v>25</v>
      </c>
      <c r="AF2331" s="6">
        <v>0</v>
      </c>
      <c r="AG2331" s="6">
        <v>120.83</v>
      </c>
      <c r="AH2331" s="6">
        <v>151.38999999999999</v>
      </c>
      <c r="AI2331" s="6">
        <f t="shared" si="72"/>
        <v>30.559999999999988</v>
      </c>
      <c r="AJ2331" s="5">
        <f t="shared" si="73"/>
        <v>0.2018627386221018</v>
      </c>
    </row>
    <row r="2332" spans="1:36">
      <c r="A2332" t="s">
        <v>323</v>
      </c>
      <c r="B2332" t="s">
        <v>2617</v>
      </c>
      <c r="C2332" t="s">
        <v>112</v>
      </c>
      <c r="D2332" t="s">
        <v>105</v>
      </c>
      <c r="E2332" t="s">
        <v>55</v>
      </c>
      <c r="F2332">
        <v>0</v>
      </c>
      <c r="G2332">
        <v>1694</v>
      </c>
      <c r="H2332">
        <v>1</v>
      </c>
      <c r="I2332" t="s">
        <v>181</v>
      </c>
      <c r="J2332">
        <v>3</v>
      </c>
      <c r="K2332" s="6">
        <v>8.09</v>
      </c>
      <c r="L2332" t="s">
        <v>174</v>
      </c>
      <c r="M2332">
        <v>0</v>
      </c>
      <c r="N2332" t="s">
        <v>175</v>
      </c>
      <c r="O2332">
        <v>1</v>
      </c>
      <c r="P2332">
        <v>0</v>
      </c>
      <c r="Q2332" s="6">
        <v>44.9</v>
      </c>
      <c r="R2332">
        <v>1</v>
      </c>
      <c r="S2332" s="6">
        <v>1251</v>
      </c>
      <c r="T2332">
        <v>0</v>
      </c>
      <c r="U2332" s="6">
        <v>14855</v>
      </c>
      <c r="V2332">
        <v>1</v>
      </c>
      <c r="W2332">
        <v>0</v>
      </c>
      <c r="X2332">
        <v>0</v>
      </c>
      <c r="Y2332" s="6">
        <v>48.7</v>
      </c>
      <c r="Z2332">
        <v>8.0000000000000002E-3</v>
      </c>
      <c r="AA2332">
        <v>0.106</v>
      </c>
      <c r="AB2332">
        <v>8.3000000000000004E-2</v>
      </c>
      <c r="AC2332">
        <v>6</v>
      </c>
      <c r="AD2332" s="6">
        <v>60</v>
      </c>
      <c r="AE2332" s="6">
        <v>25</v>
      </c>
      <c r="AF2332" s="6">
        <v>0</v>
      </c>
      <c r="AG2332" s="6">
        <v>133.05000000000001</v>
      </c>
      <c r="AH2332" s="6">
        <v>168.6</v>
      </c>
      <c r="AI2332" s="6">
        <f t="shared" si="72"/>
        <v>35.549999999999983</v>
      </c>
      <c r="AJ2332" s="5">
        <f t="shared" si="73"/>
        <v>0.2108540925266903</v>
      </c>
    </row>
    <row r="2333" spans="1:36">
      <c r="A2333" t="s">
        <v>230</v>
      </c>
      <c r="B2333" t="s">
        <v>2618</v>
      </c>
      <c r="C2333" t="s">
        <v>112</v>
      </c>
      <c r="D2333" t="s">
        <v>105</v>
      </c>
      <c r="E2333" t="s">
        <v>55</v>
      </c>
      <c r="F2333">
        <v>0</v>
      </c>
      <c r="G2333">
        <v>1694</v>
      </c>
      <c r="H2333">
        <v>1</v>
      </c>
      <c r="I2333" t="s">
        <v>173</v>
      </c>
      <c r="J2333">
        <v>1</v>
      </c>
      <c r="K2333" s="6">
        <v>0.99</v>
      </c>
      <c r="L2333" t="s">
        <v>174</v>
      </c>
      <c r="M2333">
        <v>0</v>
      </c>
      <c r="N2333" t="s">
        <v>175</v>
      </c>
      <c r="O2333">
        <v>1</v>
      </c>
      <c r="P2333">
        <v>1</v>
      </c>
      <c r="Q2333" s="6">
        <v>42.8</v>
      </c>
      <c r="R2333">
        <v>0</v>
      </c>
      <c r="S2333" s="6">
        <v>0</v>
      </c>
      <c r="T2333">
        <v>0</v>
      </c>
      <c r="U2333" s="6">
        <v>3789</v>
      </c>
      <c r="V2333">
        <v>0</v>
      </c>
      <c r="W2333">
        <v>0</v>
      </c>
      <c r="X2333">
        <v>0</v>
      </c>
      <c r="Y2333" s="6">
        <v>48.7</v>
      </c>
      <c r="Z2333">
        <v>8.0000000000000002E-3</v>
      </c>
      <c r="AA2333">
        <v>0.106</v>
      </c>
      <c r="AB2333">
        <v>8.3000000000000004E-2</v>
      </c>
      <c r="AC2333">
        <v>6</v>
      </c>
      <c r="AD2333" s="6">
        <v>50</v>
      </c>
      <c r="AE2333" s="6">
        <v>0</v>
      </c>
      <c r="AF2333" s="6">
        <v>0</v>
      </c>
      <c r="AG2333" s="6">
        <v>69.25</v>
      </c>
      <c r="AH2333" s="6">
        <v>86.74</v>
      </c>
      <c r="AI2333" s="6">
        <f t="shared" si="72"/>
        <v>17.489999999999995</v>
      </c>
      <c r="AJ2333" s="5">
        <f t="shared" si="73"/>
        <v>0.20163707632003686</v>
      </c>
    </row>
    <row r="2334" spans="1:36">
      <c r="A2334" t="s">
        <v>355</v>
      </c>
      <c r="B2334" t="s">
        <v>2619</v>
      </c>
      <c r="C2334" t="s">
        <v>112</v>
      </c>
      <c r="D2334" t="s">
        <v>105</v>
      </c>
      <c r="E2334" t="s">
        <v>55</v>
      </c>
      <c r="F2334">
        <v>0</v>
      </c>
      <c r="G2334">
        <v>1694</v>
      </c>
      <c r="H2334">
        <v>1</v>
      </c>
      <c r="I2334" t="s">
        <v>181</v>
      </c>
      <c r="J2334">
        <v>3</v>
      </c>
      <c r="K2334" s="6">
        <v>10.45</v>
      </c>
      <c r="L2334" t="s">
        <v>174</v>
      </c>
      <c r="M2334">
        <v>0</v>
      </c>
      <c r="N2334" t="s">
        <v>182</v>
      </c>
      <c r="O2334">
        <v>3</v>
      </c>
      <c r="P2334">
        <v>0</v>
      </c>
      <c r="Q2334" s="6">
        <v>105.8</v>
      </c>
      <c r="R2334">
        <v>0</v>
      </c>
      <c r="S2334" s="6">
        <v>0</v>
      </c>
      <c r="T2334">
        <v>0</v>
      </c>
      <c r="U2334" s="6">
        <v>5530</v>
      </c>
      <c r="V2334">
        <v>0</v>
      </c>
      <c r="W2334">
        <v>0</v>
      </c>
      <c r="X2334">
        <v>0</v>
      </c>
      <c r="Y2334" s="6">
        <v>48.7</v>
      </c>
      <c r="Z2334">
        <v>8.0000000000000002E-3</v>
      </c>
      <c r="AA2334">
        <v>0.106</v>
      </c>
      <c r="AB2334">
        <v>8.3000000000000004E-2</v>
      </c>
      <c r="AC2334">
        <v>6</v>
      </c>
      <c r="AD2334" s="6">
        <v>60</v>
      </c>
      <c r="AE2334" s="6">
        <v>0</v>
      </c>
      <c r="AF2334" s="6">
        <v>0</v>
      </c>
      <c r="AG2334" s="6">
        <v>104.61</v>
      </c>
      <c r="AH2334" s="6">
        <v>134.21</v>
      </c>
      <c r="AI2334" s="6">
        <f t="shared" si="72"/>
        <v>29.600000000000009</v>
      </c>
      <c r="AJ2334" s="5">
        <f t="shared" si="73"/>
        <v>0.22054988450935106</v>
      </c>
    </row>
    <row r="2335" spans="1:36">
      <c r="A2335" t="s">
        <v>348</v>
      </c>
      <c r="B2335" t="s">
        <v>2620</v>
      </c>
      <c r="C2335" t="s">
        <v>112</v>
      </c>
      <c r="D2335" t="s">
        <v>105</v>
      </c>
      <c r="E2335" t="s">
        <v>55</v>
      </c>
      <c r="F2335">
        <v>0</v>
      </c>
      <c r="G2335">
        <v>1694</v>
      </c>
      <c r="H2335">
        <v>1</v>
      </c>
      <c r="I2335" t="s">
        <v>181</v>
      </c>
      <c r="J2335">
        <v>3</v>
      </c>
      <c r="K2335" s="6">
        <v>6.38</v>
      </c>
      <c r="L2335" t="s">
        <v>174</v>
      </c>
      <c r="M2335">
        <v>0</v>
      </c>
      <c r="N2335" t="s">
        <v>182</v>
      </c>
      <c r="O2335">
        <v>3</v>
      </c>
      <c r="P2335">
        <v>0</v>
      </c>
      <c r="Q2335" s="6">
        <v>96.1</v>
      </c>
      <c r="R2335">
        <v>1</v>
      </c>
      <c r="S2335" s="6">
        <v>9125</v>
      </c>
      <c r="T2335">
        <v>0</v>
      </c>
      <c r="U2335" s="6">
        <v>9852</v>
      </c>
      <c r="V2335">
        <v>0</v>
      </c>
      <c r="W2335">
        <v>0</v>
      </c>
      <c r="X2335">
        <v>0</v>
      </c>
      <c r="Y2335" s="6">
        <v>48.7</v>
      </c>
      <c r="Z2335">
        <v>8.0000000000000002E-3</v>
      </c>
      <c r="AA2335">
        <v>0.106</v>
      </c>
      <c r="AB2335">
        <v>8.3000000000000004E-2</v>
      </c>
      <c r="AC2335">
        <v>6</v>
      </c>
      <c r="AD2335" s="6">
        <v>60</v>
      </c>
      <c r="AE2335" s="6">
        <v>50</v>
      </c>
      <c r="AF2335" s="6">
        <v>0</v>
      </c>
      <c r="AG2335" s="6">
        <v>87.12</v>
      </c>
      <c r="AH2335" s="6">
        <v>110.68</v>
      </c>
      <c r="AI2335" s="6">
        <f t="shared" si="72"/>
        <v>23.560000000000002</v>
      </c>
      <c r="AJ2335" s="5">
        <f t="shared" si="73"/>
        <v>0.21286591976870256</v>
      </c>
    </row>
    <row r="2336" spans="1:36">
      <c r="A2336" t="s">
        <v>635</v>
      </c>
      <c r="B2336" t="s">
        <v>2621</v>
      </c>
      <c r="C2336" t="s">
        <v>112</v>
      </c>
      <c r="D2336" t="s">
        <v>105</v>
      </c>
      <c r="E2336" t="s">
        <v>55</v>
      </c>
      <c r="F2336">
        <v>0</v>
      </c>
      <c r="G2336">
        <v>1694</v>
      </c>
      <c r="H2336">
        <v>1</v>
      </c>
      <c r="I2336" t="s">
        <v>181</v>
      </c>
      <c r="J2336">
        <v>3</v>
      </c>
      <c r="K2336" s="6">
        <v>9.4700000000000006</v>
      </c>
      <c r="L2336" t="s">
        <v>174</v>
      </c>
      <c r="M2336">
        <v>0</v>
      </c>
      <c r="N2336" t="s">
        <v>272</v>
      </c>
      <c r="O2336">
        <v>5</v>
      </c>
      <c r="P2336">
        <v>1</v>
      </c>
      <c r="Q2336" s="6">
        <v>201.4</v>
      </c>
      <c r="R2336">
        <v>1</v>
      </c>
      <c r="S2336" s="6">
        <v>1111</v>
      </c>
      <c r="T2336">
        <v>0</v>
      </c>
      <c r="U2336" s="6">
        <v>14280</v>
      </c>
      <c r="V2336">
        <v>0</v>
      </c>
      <c r="W2336">
        <v>0</v>
      </c>
      <c r="X2336">
        <v>0</v>
      </c>
      <c r="Y2336" s="6">
        <v>48.7</v>
      </c>
      <c r="Z2336">
        <v>8.0000000000000002E-3</v>
      </c>
      <c r="AA2336">
        <v>0.106</v>
      </c>
      <c r="AB2336">
        <v>8.3000000000000004E-2</v>
      </c>
      <c r="AC2336">
        <v>6</v>
      </c>
      <c r="AD2336" s="6">
        <v>60</v>
      </c>
      <c r="AE2336" s="6">
        <v>25</v>
      </c>
      <c r="AF2336" s="6">
        <v>0</v>
      </c>
      <c r="AG2336" s="6">
        <v>191.51</v>
      </c>
      <c r="AH2336" s="6">
        <v>239.9</v>
      </c>
      <c r="AI2336" s="6">
        <f t="shared" si="72"/>
        <v>48.390000000000015</v>
      </c>
      <c r="AJ2336" s="5">
        <f t="shared" si="73"/>
        <v>0.20170904543559823</v>
      </c>
    </row>
    <row r="2337" spans="1:36">
      <c r="A2337" t="s">
        <v>223</v>
      </c>
      <c r="B2337" t="s">
        <v>2622</v>
      </c>
      <c r="C2337" t="s">
        <v>112</v>
      </c>
      <c r="D2337" t="s">
        <v>105</v>
      </c>
      <c r="E2337" t="s">
        <v>55</v>
      </c>
      <c r="F2337">
        <v>0</v>
      </c>
      <c r="G2337">
        <v>1694</v>
      </c>
      <c r="H2337">
        <v>1</v>
      </c>
      <c r="I2337" t="s">
        <v>181</v>
      </c>
      <c r="J2337">
        <v>3</v>
      </c>
      <c r="K2337" s="6">
        <v>11.6</v>
      </c>
      <c r="L2337" t="s">
        <v>174</v>
      </c>
      <c r="M2337">
        <v>0</v>
      </c>
      <c r="N2337" t="s">
        <v>175</v>
      </c>
      <c r="O2337">
        <v>1</v>
      </c>
      <c r="P2337">
        <v>0</v>
      </c>
      <c r="Q2337" s="6">
        <v>40.700000000000003</v>
      </c>
      <c r="R2337">
        <v>1</v>
      </c>
      <c r="S2337" s="6">
        <v>3340</v>
      </c>
      <c r="T2337">
        <v>0</v>
      </c>
      <c r="U2337" s="6">
        <v>4213</v>
      </c>
      <c r="V2337">
        <v>0</v>
      </c>
      <c r="W2337">
        <v>0</v>
      </c>
      <c r="X2337">
        <v>0</v>
      </c>
      <c r="Y2337" s="6">
        <v>48.7</v>
      </c>
      <c r="Z2337">
        <v>8.0000000000000002E-3</v>
      </c>
      <c r="AA2337">
        <v>0.106</v>
      </c>
      <c r="AB2337">
        <v>8.3000000000000004E-2</v>
      </c>
      <c r="AC2337">
        <v>6</v>
      </c>
      <c r="AD2337" s="6">
        <v>60</v>
      </c>
      <c r="AE2337" s="6">
        <v>40</v>
      </c>
      <c r="AF2337" s="6">
        <v>0</v>
      </c>
      <c r="AG2337" s="6">
        <v>103.18</v>
      </c>
      <c r="AH2337" s="6">
        <v>129.62</v>
      </c>
      <c r="AI2337" s="6">
        <f t="shared" si="72"/>
        <v>26.439999999999998</v>
      </c>
      <c r="AJ2337" s="5">
        <f t="shared" si="73"/>
        <v>0.20398086715013114</v>
      </c>
    </row>
    <row r="2338" spans="1:36">
      <c r="A2338" t="s">
        <v>406</v>
      </c>
      <c r="B2338" t="s">
        <v>2623</v>
      </c>
      <c r="C2338" t="s">
        <v>112</v>
      </c>
      <c r="D2338" t="s">
        <v>105</v>
      </c>
      <c r="E2338" t="s">
        <v>55</v>
      </c>
      <c r="F2338">
        <v>0</v>
      </c>
      <c r="G2338">
        <v>1694</v>
      </c>
      <c r="H2338">
        <v>1</v>
      </c>
      <c r="I2338" t="s">
        <v>181</v>
      </c>
      <c r="J2338">
        <v>3</v>
      </c>
      <c r="K2338" s="6">
        <v>8.17</v>
      </c>
      <c r="L2338" t="s">
        <v>174</v>
      </c>
      <c r="M2338">
        <v>0</v>
      </c>
      <c r="N2338" t="s">
        <v>182</v>
      </c>
      <c r="O2338">
        <v>3</v>
      </c>
      <c r="P2338">
        <v>0</v>
      </c>
      <c r="Q2338" s="6">
        <v>124.4</v>
      </c>
      <c r="R2338">
        <v>0</v>
      </c>
      <c r="S2338" s="6">
        <v>0</v>
      </c>
      <c r="T2338">
        <v>0</v>
      </c>
      <c r="U2338" s="6">
        <v>12483</v>
      </c>
      <c r="V2338">
        <v>0</v>
      </c>
      <c r="W2338">
        <v>0</v>
      </c>
      <c r="X2338">
        <v>0</v>
      </c>
      <c r="Y2338" s="6">
        <v>48.7</v>
      </c>
      <c r="Z2338">
        <v>8.0000000000000002E-3</v>
      </c>
      <c r="AA2338">
        <v>0.106</v>
      </c>
      <c r="AB2338">
        <v>8.3000000000000004E-2</v>
      </c>
      <c r="AC2338">
        <v>6</v>
      </c>
      <c r="AD2338" s="6">
        <v>60</v>
      </c>
      <c r="AE2338" s="6">
        <v>0</v>
      </c>
      <c r="AF2338" s="6">
        <v>0</v>
      </c>
      <c r="AG2338" s="6">
        <v>102.06</v>
      </c>
      <c r="AH2338" s="6">
        <v>132.34</v>
      </c>
      <c r="AI2338" s="6">
        <f t="shared" si="72"/>
        <v>30.28</v>
      </c>
      <c r="AJ2338" s="5">
        <f t="shared" si="73"/>
        <v>0.22880459422699109</v>
      </c>
    </row>
    <row r="2339" spans="1:36">
      <c r="A2339" t="s">
        <v>311</v>
      </c>
      <c r="B2339" t="s">
        <v>2624</v>
      </c>
      <c r="C2339" t="s">
        <v>112</v>
      </c>
      <c r="D2339" t="s">
        <v>105</v>
      </c>
      <c r="E2339" t="s">
        <v>55</v>
      </c>
      <c r="F2339">
        <v>0</v>
      </c>
      <c r="G2339">
        <v>1694</v>
      </c>
      <c r="H2339">
        <v>1</v>
      </c>
      <c r="I2339" t="s">
        <v>181</v>
      </c>
      <c r="J2339">
        <v>3</v>
      </c>
      <c r="K2339" s="6">
        <v>7.65</v>
      </c>
      <c r="L2339" t="s">
        <v>174</v>
      </c>
      <c r="M2339">
        <v>0</v>
      </c>
      <c r="N2339" t="s">
        <v>175</v>
      </c>
      <c r="O2339">
        <v>1</v>
      </c>
      <c r="P2339">
        <v>1</v>
      </c>
      <c r="Q2339" s="6">
        <v>34.299999999999997</v>
      </c>
      <c r="R2339">
        <v>0</v>
      </c>
      <c r="S2339" s="6">
        <v>0</v>
      </c>
      <c r="T2339">
        <v>0</v>
      </c>
      <c r="U2339" s="6">
        <v>4163</v>
      </c>
      <c r="V2339">
        <v>0</v>
      </c>
      <c r="W2339">
        <v>0</v>
      </c>
      <c r="X2339">
        <v>0</v>
      </c>
      <c r="Y2339" s="6">
        <v>48.7</v>
      </c>
      <c r="Z2339">
        <v>8.0000000000000002E-3</v>
      </c>
      <c r="AA2339">
        <v>0.106</v>
      </c>
      <c r="AB2339">
        <v>8.3000000000000004E-2</v>
      </c>
      <c r="AC2339">
        <v>6</v>
      </c>
      <c r="AD2339" s="6">
        <v>60</v>
      </c>
      <c r="AE2339" s="6">
        <v>0</v>
      </c>
      <c r="AF2339" s="6">
        <v>0</v>
      </c>
      <c r="AG2339" s="6">
        <v>102.17</v>
      </c>
      <c r="AH2339" s="6">
        <v>132.11000000000001</v>
      </c>
      <c r="AI2339" s="6">
        <f t="shared" si="72"/>
        <v>29.940000000000012</v>
      </c>
      <c r="AJ2339" s="5">
        <f t="shared" si="73"/>
        <v>0.22662932404814176</v>
      </c>
    </row>
    <row r="2340" spans="1:36">
      <c r="A2340" t="s">
        <v>253</v>
      </c>
      <c r="B2340" t="s">
        <v>2625</v>
      </c>
      <c r="C2340" t="s">
        <v>112</v>
      </c>
      <c r="D2340" t="s">
        <v>105</v>
      </c>
      <c r="E2340" t="s">
        <v>55</v>
      </c>
      <c r="F2340">
        <v>0</v>
      </c>
      <c r="G2340">
        <v>1694</v>
      </c>
      <c r="H2340">
        <v>1</v>
      </c>
      <c r="I2340" t="s">
        <v>181</v>
      </c>
      <c r="J2340">
        <v>3</v>
      </c>
      <c r="K2340" s="6">
        <v>8.42</v>
      </c>
      <c r="L2340" t="s">
        <v>174</v>
      </c>
      <c r="M2340">
        <v>0</v>
      </c>
      <c r="N2340" t="s">
        <v>217</v>
      </c>
      <c r="O2340">
        <v>4</v>
      </c>
      <c r="P2340">
        <v>1</v>
      </c>
      <c r="Q2340" s="6">
        <v>155.19999999999999</v>
      </c>
      <c r="R2340">
        <v>0</v>
      </c>
      <c r="S2340" s="6">
        <v>0</v>
      </c>
      <c r="T2340">
        <v>0</v>
      </c>
      <c r="U2340" s="6">
        <v>13524</v>
      </c>
      <c r="V2340">
        <v>0</v>
      </c>
      <c r="W2340">
        <v>0</v>
      </c>
      <c r="X2340">
        <v>0</v>
      </c>
      <c r="Y2340" s="6">
        <v>48.7</v>
      </c>
      <c r="Z2340">
        <v>8.0000000000000002E-3</v>
      </c>
      <c r="AA2340">
        <v>0.106</v>
      </c>
      <c r="AB2340">
        <v>8.3000000000000004E-2</v>
      </c>
      <c r="AC2340">
        <v>6</v>
      </c>
      <c r="AD2340" s="6">
        <v>60</v>
      </c>
      <c r="AE2340" s="6">
        <v>0</v>
      </c>
      <c r="AF2340" s="6">
        <v>0</v>
      </c>
      <c r="AG2340" s="6">
        <v>143.68</v>
      </c>
      <c r="AH2340" s="6">
        <v>180.91</v>
      </c>
      <c r="AI2340" s="6">
        <f t="shared" si="72"/>
        <v>37.22999999999999</v>
      </c>
      <c r="AJ2340" s="5">
        <f t="shared" si="73"/>
        <v>0.20579293571389085</v>
      </c>
    </row>
    <row r="2341" spans="1:36">
      <c r="A2341" t="s">
        <v>288</v>
      </c>
      <c r="B2341" t="s">
        <v>2626</v>
      </c>
      <c r="C2341" t="s">
        <v>112</v>
      </c>
      <c r="D2341" t="s">
        <v>105</v>
      </c>
      <c r="E2341" t="s">
        <v>55</v>
      </c>
      <c r="F2341">
        <v>0</v>
      </c>
      <c r="G2341">
        <v>1694</v>
      </c>
      <c r="H2341">
        <v>1</v>
      </c>
      <c r="I2341" t="s">
        <v>173</v>
      </c>
      <c r="J2341">
        <v>1</v>
      </c>
      <c r="K2341" s="6">
        <v>1.47</v>
      </c>
      <c r="L2341" t="s">
        <v>174</v>
      </c>
      <c r="M2341">
        <v>0</v>
      </c>
      <c r="N2341" t="s">
        <v>175</v>
      </c>
      <c r="O2341">
        <v>1</v>
      </c>
      <c r="P2341">
        <v>0</v>
      </c>
      <c r="Q2341" s="6">
        <v>52.3</v>
      </c>
      <c r="R2341">
        <v>0</v>
      </c>
      <c r="S2341" s="6">
        <v>0</v>
      </c>
      <c r="T2341">
        <v>0</v>
      </c>
      <c r="U2341" s="6">
        <v>3553</v>
      </c>
      <c r="V2341">
        <v>0</v>
      </c>
      <c r="W2341">
        <v>0</v>
      </c>
      <c r="X2341">
        <v>0</v>
      </c>
      <c r="Y2341" s="6">
        <v>48.7</v>
      </c>
      <c r="Z2341">
        <v>8.0000000000000002E-3</v>
      </c>
      <c r="AA2341">
        <v>0.106</v>
      </c>
      <c r="AB2341">
        <v>8.3000000000000004E-2</v>
      </c>
      <c r="AC2341">
        <v>6</v>
      </c>
      <c r="AD2341" s="6">
        <v>50</v>
      </c>
      <c r="AE2341" s="6">
        <v>0</v>
      </c>
      <c r="AF2341" s="6">
        <v>0</v>
      </c>
      <c r="AG2341" s="6">
        <v>50.77</v>
      </c>
      <c r="AH2341" s="6">
        <v>67.83</v>
      </c>
      <c r="AI2341" s="6">
        <f t="shared" si="72"/>
        <v>17.059999999999995</v>
      </c>
      <c r="AJ2341" s="5">
        <f t="shared" si="73"/>
        <v>0.25151113076809667</v>
      </c>
    </row>
    <row r="2342" spans="1:36">
      <c r="A2342" t="s">
        <v>263</v>
      </c>
      <c r="B2342" t="s">
        <v>2627</v>
      </c>
      <c r="C2342" t="s">
        <v>112</v>
      </c>
      <c r="D2342" t="s">
        <v>105</v>
      </c>
      <c r="E2342" t="s">
        <v>55</v>
      </c>
      <c r="F2342">
        <v>0</v>
      </c>
      <c r="G2342">
        <v>1694</v>
      </c>
      <c r="H2342">
        <v>1</v>
      </c>
      <c r="I2342" t="s">
        <v>181</v>
      </c>
      <c r="J2342">
        <v>3</v>
      </c>
      <c r="K2342" s="6">
        <v>10.14</v>
      </c>
      <c r="L2342" t="s">
        <v>174</v>
      </c>
      <c r="M2342">
        <v>0</v>
      </c>
      <c r="N2342" t="s">
        <v>182</v>
      </c>
      <c r="O2342">
        <v>3</v>
      </c>
      <c r="P2342">
        <v>0</v>
      </c>
      <c r="Q2342" s="6">
        <v>87</v>
      </c>
      <c r="R2342">
        <v>0</v>
      </c>
      <c r="S2342" s="6">
        <v>0</v>
      </c>
      <c r="T2342">
        <v>0</v>
      </c>
      <c r="U2342" s="6">
        <v>9084</v>
      </c>
      <c r="V2342">
        <v>0</v>
      </c>
      <c r="W2342">
        <v>0</v>
      </c>
      <c r="X2342">
        <v>0</v>
      </c>
      <c r="Y2342" s="6">
        <v>48.7</v>
      </c>
      <c r="Z2342">
        <v>8.0000000000000002E-3</v>
      </c>
      <c r="AA2342">
        <v>0.106</v>
      </c>
      <c r="AB2342">
        <v>8.3000000000000004E-2</v>
      </c>
      <c r="AC2342">
        <v>6</v>
      </c>
      <c r="AD2342" s="6">
        <v>60</v>
      </c>
      <c r="AE2342" s="6">
        <v>0</v>
      </c>
      <c r="AF2342" s="6">
        <v>0</v>
      </c>
      <c r="AG2342" s="6">
        <v>104.51</v>
      </c>
      <c r="AH2342" s="6">
        <v>134.38999999999999</v>
      </c>
      <c r="AI2342" s="6">
        <f t="shared" si="72"/>
        <v>29.879999999999981</v>
      </c>
      <c r="AJ2342" s="5">
        <f t="shared" si="73"/>
        <v>0.22233797157526591</v>
      </c>
    </row>
    <row r="2343" spans="1:36">
      <c r="A2343" t="s">
        <v>528</v>
      </c>
      <c r="B2343" t="s">
        <v>2628</v>
      </c>
      <c r="C2343" t="s">
        <v>112</v>
      </c>
      <c r="D2343" t="s">
        <v>105</v>
      </c>
      <c r="E2343" t="s">
        <v>55</v>
      </c>
      <c r="F2343">
        <v>0</v>
      </c>
      <c r="G2343">
        <v>1694</v>
      </c>
      <c r="H2343">
        <v>1</v>
      </c>
      <c r="I2343" t="s">
        <v>181</v>
      </c>
      <c r="J2343">
        <v>3</v>
      </c>
      <c r="K2343" s="6">
        <v>9.2899999999999991</v>
      </c>
      <c r="L2343" t="s">
        <v>174</v>
      </c>
      <c r="M2343">
        <v>0</v>
      </c>
      <c r="N2343" t="s">
        <v>187</v>
      </c>
      <c r="O2343">
        <v>2</v>
      </c>
      <c r="P2343">
        <v>0</v>
      </c>
      <c r="Q2343" s="6">
        <v>62.2</v>
      </c>
      <c r="R2343">
        <v>1</v>
      </c>
      <c r="S2343" s="6">
        <v>962</v>
      </c>
      <c r="T2343">
        <v>0</v>
      </c>
      <c r="U2343" s="6">
        <v>10973</v>
      </c>
      <c r="V2343">
        <v>0</v>
      </c>
      <c r="W2343">
        <v>0</v>
      </c>
      <c r="X2343">
        <v>0</v>
      </c>
      <c r="Y2343" s="6">
        <v>48.7</v>
      </c>
      <c r="Z2343">
        <v>8.0000000000000002E-3</v>
      </c>
      <c r="AA2343">
        <v>0.106</v>
      </c>
      <c r="AB2343">
        <v>8.3000000000000004E-2</v>
      </c>
      <c r="AC2343">
        <v>6</v>
      </c>
      <c r="AD2343" s="6">
        <v>60</v>
      </c>
      <c r="AE2343" s="6">
        <v>25</v>
      </c>
      <c r="AF2343" s="6">
        <v>0</v>
      </c>
      <c r="AG2343" s="6">
        <v>98.49</v>
      </c>
      <c r="AH2343" s="6">
        <v>126.35</v>
      </c>
      <c r="AI2343" s="6">
        <f t="shared" si="72"/>
        <v>27.86</v>
      </c>
      <c r="AJ2343" s="5">
        <f t="shared" si="73"/>
        <v>0.22049861495844875</v>
      </c>
    </row>
    <row r="2344" spans="1:36">
      <c r="A2344" t="s">
        <v>360</v>
      </c>
      <c r="B2344" t="s">
        <v>2629</v>
      </c>
      <c r="C2344" t="s">
        <v>112</v>
      </c>
      <c r="D2344" t="s">
        <v>105</v>
      </c>
      <c r="E2344" t="s">
        <v>55</v>
      </c>
      <c r="F2344">
        <v>0</v>
      </c>
      <c r="G2344">
        <v>1694</v>
      </c>
      <c r="H2344">
        <v>1</v>
      </c>
      <c r="I2344" t="s">
        <v>181</v>
      </c>
      <c r="J2344">
        <v>3</v>
      </c>
      <c r="K2344" s="6">
        <v>9.7799999999999994</v>
      </c>
      <c r="L2344" t="s">
        <v>174</v>
      </c>
      <c r="M2344">
        <v>0</v>
      </c>
      <c r="N2344" t="s">
        <v>182</v>
      </c>
      <c r="O2344">
        <v>3</v>
      </c>
      <c r="P2344">
        <v>1</v>
      </c>
      <c r="Q2344" s="6">
        <v>104.8</v>
      </c>
      <c r="R2344">
        <v>1</v>
      </c>
      <c r="S2344" s="6">
        <v>1521</v>
      </c>
      <c r="T2344">
        <v>0</v>
      </c>
      <c r="U2344" s="6">
        <v>6101</v>
      </c>
      <c r="V2344">
        <v>0</v>
      </c>
      <c r="W2344">
        <v>0</v>
      </c>
      <c r="X2344">
        <v>0</v>
      </c>
      <c r="Y2344" s="6">
        <v>48.7</v>
      </c>
      <c r="Z2344">
        <v>8.0000000000000002E-3</v>
      </c>
      <c r="AA2344">
        <v>0.106</v>
      </c>
      <c r="AB2344">
        <v>8.3000000000000004E-2</v>
      </c>
      <c r="AC2344">
        <v>6</v>
      </c>
      <c r="AD2344" s="6">
        <v>60</v>
      </c>
      <c r="AE2344" s="6">
        <v>25</v>
      </c>
      <c r="AF2344" s="6">
        <v>0</v>
      </c>
      <c r="AG2344" s="6">
        <v>128.78</v>
      </c>
      <c r="AH2344" s="6">
        <v>164.43</v>
      </c>
      <c r="AI2344" s="6">
        <f t="shared" si="72"/>
        <v>35.650000000000006</v>
      </c>
      <c r="AJ2344" s="5">
        <f t="shared" si="73"/>
        <v>0.21680958462567659</v>
      </c>
    </row>
    <row r="2345" spans="1:36">
      <c r="A2345" t="s">
        <v>343</v>
      </c>
      <c r="B2345" t="s">
        <v>2630</v>
      </c>
      <c r="C2345" t="s">
        <v>112</v>
      </c>
      <c r="D2345" t="s">
        <v>105</v>
      </c>
      <c r="E2345" t="s">
        <v>55</v>
      </c>
      <c r="F2345">
        <v>0</v>
      </c>
      <c r="G2345">
        <v>1694</v>
      </c>
      <c r="H2345">
        <v>1</v>
      </c>
      <c r="I2345" t="s">
        <v>178</v>
      </c>
      <c r="J2345">
        <v>4</v>
      </c>
      <c r="K2345" s="6">
        <v>14.91</v>
      </c>
      <c r="L2345" t="s">
        <v>174</v>
      </c>
      <c r="M2345">
        <v>0</v>
      </c>
      <c r="N2345" t="s">
        <v>175</v>
      </c>
      <c r="O2345">
        <v>1</v>
      </c>
      <c r="P2345">
        <v>0</v>
      </c>
      <c r="Q2345" s="6">
        <v>15.7</v>
      </c>
      <c r="R2345">
        <v>1</v>
      </c>
      <c r="S2345" s="6">
        <v>1307</v>
      </c>
      <c r="T2345">
        <v>0</v>
      </c>
      <c r="U2345" s="6">
        <v>12418</v>
      </c>
      <c r="V2345">
        <v>0</v>
      </c>
      <c r="W2345">
        <v>0</v>
      </c>
      <c r="X2345">
        <v>0</v>
      </c>
      <c r="Y2345" s="6">
        <v>48.7</v>
      </c>
      <c r="Z2345">
        <v>8.0000000000000002E-3</v>
      </c>
      <c r="AA2345">
        <v>0.106</v>
      </c>
      <c r="AB2345">
        <v>8.3000000000000004E-2</v>
      </c>
      <c r="AC2345">
        <v>6</v>
      </c>
      <c r="AD2345" s="6">
        <v>65</v>
      </c>
      <c r="AE2345" s="6">
        <v>25</v>
      </c>
      <c r="AF2345" s="6">
        <v>0</v>
      </c>
      <c r="AG2345" s="6">
        <v>126.33</v>
      </c>
      <c r="AH2345" s="6">
        <v>160.99</v>
      </c>
      <c r="AI2345" s="6">
        <f t="shared" si="72"/>
        <v>34.660000000000011</v>
      </c>
      <c r="AJ2345" s="5">
        <f t="shared" si="73"/>
        <v>0.21529287533387173</v>
      </c>
    </row>
    <row r="2346" spans="1:36">
      <c r="A2346" t="s">
        <v>494</v>
      </c>
      <c r="B2346" t="s">
        <v>2631</v>
      </c>
      <c r="C2346" t="s">
        <v>112</v>
      </c>
      <c r="D2346" t="s">
        <v>105</v>
      </c>
      <c r="E2346" t="s">
        <v>55</v>
      </c>
      <c r="F2346">
        <v>0</v>
      </c>
      <c r="G2346">
        <v>1694</v>
      </c>
      <c r="H2346">
        <v>1</v>
      </c>
      <c r="I2346" t="s">
        <v>220</v>
      </c>
      <c r="J2346">
        <v>2</v>
      </c>
      <c r="K2346" s="6">
        <v>3.68</v>
      </c>
      <c r="L2346" t="s">
        <v>174</v>
      </c>
      <c r="M2346">
        <v>0</v>
      </c>
      <c r="N2346" t="s">
        <v>175</v>
      </c>
      <c r="O2346">
        <v>1</v>
      </c>
      <c r="P2346">
        <v>0</v>
      </c>
      <c r="Q2346" s="6">
        <v>20.8</v>
      </c>
      <c r="R2346">
        <v>0</v>
      </c>
      <c r="S2346" s="6">
        <v>0</v>
      </c>
      <c r="T2346">
        <v>0</v>
      </c>
      <c r="U2346" s="6">
        <v>9147</v>
      </c>
      <c r="V2346">
        <v>0</v>
      </c>
      <c r="W2346">
        <v>0</v>
      </c>
      <c r="X2346">
        <v>0</v>
      </c>
      <c r="Y2346" s="6">
        <v>48.7</v>
      </c>
      <c r="Z2346">
        <v>8.0000000000000002E-3</v>
      </c>
      <c r="AA2346">
        <v>0.106</v>
      </c>
      <c r="AB2346">
        <v>8.3000000000000004E-2</v>
      </c>
      <c r="AC2346">
        <v>6</v>
      </c>
      <c r="AD2346" s="6">
        <v>50</v>
      </c>
      <c r="AE2346" s="6">
        <v>0</v>
      </c>
      <c r="AF2346" s="6">
        <v>0</v>
      </c>
      <c r="AG2346" s="6">
        <v>56.66</v>
      </c>
      <c r="AH2346" s="6">
        <v>73.709999999999994</v>
      </c>
      <c r="AI2346" s="6">
        <f t="shared" si="72"/>
        <v>17.049999999999997</v>
      </c>
      <c r="AJ2346" s="5">
        <f t="shared" si="73"/>
        <v>0.23131189797856463</v>
      </c>
    </row>
    <row r="2347" spans="1:36">
      <c r="A2347" t="s">
        <v>188</v>
      </c>
      <c r="B2347" t="s">
        <v>2632</v>
      </c>
      <c r="C2347" t="s">
        <v>112</v>
      </c>
      <c r="D2347" t="s">
        <v>105</v>
      </c>
      <c r="E2347" t="s">
        <v>55</v>
      </c>
      <c r="F2347">
        <v>0</v>
      </c>
      <c r="G2347">
        <v>1694</v>
      </c>
      <c r="H2347">
        <v>1</v>
      </c>
      <c r="I2347" t="s">
        <v>181</v>
      </c>
      <c r="J2347">
        <v>3</v>
      </c>
      <c r="K2347" s="6">
        <v>5.64</v>
      </c>
      <c r="L2347" t="s">
        <v>174</v>
      </c>
      <c r="M2347">
        <v>0</v>
      </c>
      <c r="N2347" t="s">
        <v>175</v>
      </c>
      <c r="O2347">
        <v>1</v>
      </c>
      <c r="P2347">
        <v>0</v>
      </c>
      <c r="Q2347" s="6">
        <v>35.700000000000003</v>
      </c>
      <c r="R2347">
        <v>0</v>
      </c>
      <c r="S2347" s="6">
        <v>0</v>
      </c>
      <c r="T2347">
        <v>0</v>
      </c>
      <c r="U2347" s="6">
        <v>15280</v>
      </c>
      <c r="V2347">
        <v>0</v>
      </c>
      <c r="W2347">
        <v>0</v>
      </c>
      <c r="X2347">
        <v>0</v>
      </c>
      <c r="Y2347" s="6">
        <v>48.7</v>
      </c>
      <c r="Z2347">
        <v>8.0000000000000002E-3</v>
      </c>
      <c r="AA2347">
        <v>0.106</v>
      </c>
      <c r="AB2347">
        <v>8.3000000000000004E-2</v>
      </c>
      <c r="AC2347">
        <v>6</v>
      </c>
      <c r="AD2347" s="6">
        <v>60</v>
      </c>
      <c r="AE2347" s="6">
        <v>0</v>
      </c>
      <c r="AF2347" s="6">
        <v>0</v>
      </c>
      <c r="AG2347" s="6">
        <v>81.61</v>
      </c>
      <c r="AH2347" s="6">
        <v>102.85</v>
      </c>
      <c r="AI2347" s="6">
        <f t="shared" si="72"/>
        <v>21.239999999999995</v>
      </c>
      <c r="AJ2347" s="5">
        <f t="shared" si="73"/>
        <v>0.20651434127369953</v>
      </c>
    </row>
    <row r="2348" spans="1:36">
      <c r="A2348" t="s">
        <v>691</v>
      </c>
      <c r="B2348" t="s">
        <v>2633</v>
      </c>
      <c r="C2348" t="s">
        <v>112</v>
      </c>
      <c r="D2348" t="s">
        <v>105</v>
      </c>
      <c r="E2348" t="s">
        <v>55</v>
      </c>
      <c r="F2348">
        <v>0</v>
      </c>
      <c r="G2348">
        <v>1694</v>
      </c>
      <c r="H2348">
        <v>1</v>
      </c>
      <c r="I2348" t="s">
        <v>173</v>
      </c>
      <c r="J2348">
        <v>1</v>
      </c>
      <c r="K2348" s="6">
        <v>1.51</v>
      </c>
      <c r="L2348" t="s">
        <v>174</v>
      </c>
      <c r="M2348">
        <v>0</v>
      </c>
      <c r="N2348" t="s">
        <v>175</v>
      </c>
      <c r="O2348">
        <v>1</v>
      </c>
      <c r="P2348">
        <v>0</v>
      </c>
      <c r="Q2348" s="6">
        <v>33.6</v>
      </c>
      <c r="R2348">
        <v>0</v>
      </c>
      <c r="S2348" s="6">
        <v>0</v>
      </c>
      <c r="T2348">
        <v>0</v>
      </c>
      <c r="U2348" s="6">
        <v>7637</v>
      </c>
      <c r="V2348">
        <v>0</v>
      </c>
      <c r="W2348">
        <v>0</v>
      </c>
      <c r="X2348">
        <v>0</v>
      </c>
      <c r="Y2348" s="6">
        <v>48.7</v>
      </c>
      <c r="Z2348">
        <v>8.0000000000000002E-3</v>
      </c>
      <c r="AA2348">
        <v>0.106</v>
      </c>
      <c r="AB2348">
        <v>8.3000000000000004E-2</v>
      </c>
      <c r="AC2348">
        <v>6</v>
      </c>
      <c r="AD2348" s="6">
        <v>50</v>
      </c>
      <c r="AE2348" s="6">
        <v>0</v>
      </c>
      <c r="AF2348" s="6">
        <v>0</v>
      </c>
      <c r="AG2348" s="6">
        <v>47.84</v>
      </c>
      <c r="AH2348" s="6">
        <v>63.52</v>
      </c>
      <c r="AI2348" s="6">
        <f t="shared" si="72"/>
        <v>15.68</v>
      </c>
      <c r="AJ2348" s="5">
        <f t="shared" si="73"/>
        <v>0.2468513853904282</v>
      </c>
    </row>
    <row r="2349" spans="1:36">
      <c r="A2349" t="s">
        <v>488</v>
      </c>
      <c r="B2349" t="s">
        <v>2634</v>
      </c>
      <c r="C2349" t="s">
        <v>112</v>
      </c>
      <c r="D2349" t="s">
        <v>105</v>
      </c>
      <c r="E2349" t="s">
        <v>55</v>
      </c>
      <c r="F2349">
        <v>0</v>
      </c>
      <c r="G2349">
        <v>1694</v>
      </c>
      <c r="H2349">
        <v>1</v>
      </c>
      <c r="I2349" t="s">
        <v>181</v>
      </c>
      <c r="J2349">
        <v>3</v>
      </c>
      <c r="K2349" s="6">
        <v>9.6300000000000008</v>
      </c>
      <c r="L2349" t="s">
        <v>174</v>
      </c>
      <c r="M2349">
        <v>0</v>
      </c>
      <c r="N2349" t="s">
        <v>187</v>
      </c>
      <c r="O2349">
        <v>2</v>
      </c>
      <c r="P2349">
        <v>0</v>
      </c>
      <c r="Q2349" s="6">
        <v>56.1</v>
      </c>
      <c r="R2349">
        <v>1</v>
      </c>
      <c r="S2349" s="6">
        <v>20782</v>
      </c>
      <c r="T2349">
        <v>0</v>
      </c>
      <c r="U2349" s="6">
        <v>10469</v>
      </c>
      <c r="V2349">
        <v>0</v>
      </c>
      <c r="W2349">
        <v>0</v>
      </c>
      <c r="X2349">
        <v>0</v>
      </c>
      <c r="Y2349" s="6">
        <v>48.7</v>
      </c>
      <c r="Z2349">
        <v>8.0000000000000002E-3</v>
      </c>
      <c r="AA2349">
        <v>0.106</v>
      </c>
      <c r="AB2349">
        <v>8.3000000000000004E-2</v>
      </c>
      <c r="AC2349">
        <v>6</v>
      </c>
      <c r="AD2349" s="6">
        <v>60</v>
      </c>
      <c r="AE2349" s="6">
        <v>100</v>
      </c>
      <c r="AF2349" s="6">
        <v>0</v>
      </c>
      <c r="AG2349" s="6">
        <v>102.71</v>
      </c>
      <c r="AH2349" s="6">
        <v>132.66</v>
      </c>
      <c r="AI2349" s="6">
        <f t="shared" si="72"/>
        <v>29.950000000000003</v>
      </c>
      <c r="AJ2349" s="5">
        <f t="shared" si="73"/>
        <v>0.22576511382481534</v>
      </c>
    </row>
    <row r="2350" spans="1:36">
      <c r="A2350" t="s">
        <v>266</v>
      </c>
      <c r="B2350" t="s">
        <v>2635</v>
      </c>
      <c r="C2350" t="s">
        <v>112</v>
      </c>
      <c r="D2350" t="s">
        <v>105</v>
      </c>
      <c r="E2350" t="s">
        <v>55</v>
      </c>
      <c r="F2350">
        <v>0</v>
      </c>
      <c r="G2350">
        <v>1694</v>
      </c>
      <c r="H2350">
        <v>1</v>
      </c>
      <c r="I2350" t="s">
        <v>178</v>
      </c>
      <c r="J2350">
        <v>4</v>
      </c>
      <c r="K2350" s="6">
        <v>15.4</v>
      </c>
      <c r="L2350" t="s">
        <v>174</v>
      </c>
      <c r="M2350">
        <v>0</v>
      </c>
      <c r="N2350" t="s">
        <v>182</v>
      </c>
      <c r="O2350">
        <v>3</v>
      </c>
      <c r="P2350">
        <v>0</v>
      </c>
      <c r="Q2350" s="6">
        <v>89.9</v>
      </c>
      <c r="R2350">
        <v>0</v>
      </c>
      <c r="S2350" s="6">
        <v>0</v>
      </c>
      <c r="T2350">
        <v>0</v>
      </c>
      <c r="U2350" s="6">
        <v>9738</v>
      </c>
      <c r="V2350">
        <v>0</v>
      </c>
      <c r="W2350">
        <v>0</v>
      </c>
      <c r="X2350">
        <v>0</v>
      </c>
      <c r="Y2350" s="6">
        <v>48.7</v>
      </c>
      <c r="Z2350">
        <v>8.0000000000000002E-3</v>
      </c>
      <c r="AA2350">
        <v>0.106</v>
      </c>
      <c r="AB2350">
        <v>8.3000000000000004E-2</v>
      </c>
      <c r="AC2350">
        <v>6</v>
      </c>
      <c r="AD2350" s="6">
        <v>65</v>
      </c>
      <c r="AE2350" s="6">
        <v>0</v>
      </c>
      <c r="AF2350" s="6">
        <v>0</v>
      </c>
      <c r="AG2350" s="6">
        <v>141.44</v>
      </c>
      <c r="AH2350" s="6">
        <v>179.31</v>
      </c>
      <c r="AI2350" s="6">
        <f t="shared" si="72"/>
        <v>37.870000000000005</v>
      </c>
      <c r="AJ2350" s="5">
        <f t="shared" si="73"/>
        <v>0.21119848307400593</v>
      </c>
    </row>
    <row r="2351" spans="1:36">
      <c r="A2351" t="s">
        <v>221</v>
      </c>
      <c r="B2351" t="s">
        <v>2636</v>
      </c>
      <c r="C2351" t="s">
        <v>112</v>
      </c>
      <c r="D2351" t="s">
        <v>105</v>
      </c>
      <c r="E2351" t="s">
        <v>55</v>
      </c>
      <c r="F2351">
        <v>0</v>
      </c>
      <c r="G2351">
        <v>1694</v>
      </c>
      <c r="H2351">
        <v>1</v>
      </c>
      <c r="I2351" t="s">
        <v>181</v>
      </c>
      <c r="J2351">
        <v>3</v>
      </c>
      <c r="K2351" s="6">
        <v>5.19</v>
      </c>
      <c r="L2351" t="s">
        <v>174</v>
      </c>
      <c r="M2351">
        <v>0</v>
      </c>
      <c r="N2351" t="s">
        <v>217</v>
      </c>
      <c r="O2351">
        <v>4</v>
      </c>
      <c r="P2351">
        <v>1</v>
      </c>
      <c r="Q2351" s="6">
        <v>126.4</v>
      </c>
      <c r="R2351">
        <v>1</v>
      </c>
      <c r="S2351" s="6">
        <v>1280</v>
      </c>
      <c r="T2351">
        <v>0</v>
      </c>
      <c r="U2351" s="6">
        <v>25601</v>
      </c>
      <c r="V2351">
        <v>1</v>
      </c>
      <c r="W2351">
        <v>0</v>
      </c>
      <c r="X2351">
        <v>0</v>
      </c>
      <c r="Y2351" s="6">
        <v>48.7</v>
      </c>
      <c r="Z2351">
        <v>8.0000000000000002E-3</v>
      </c>
      <c r="AA2351">
        <v>0.106</v>
      </c>
      <c r="AB2351">
        <v>8.3000000000000004E-2</v>
      </c>
      <c r="AC2351">
        <v>6</v>
      </c>
      <c r="AD2351" s="6">
        <v>60</v>
      </c>
      <c r="AE2351" s="6">
        <v>25</v>
      </c>
      <c r="AF2351" s="6">
        <v>0</v>
      </c>
      <c r="AG2351" s="6">
        <v>178.33</v>
      </c>
      <c r="AH2351" s="6">
        <v>224.2</v>
      </c>
      <c r="AI2351" s="6">
        <f t="shared" si="72"/>
        <v>45.869999999999976</v>
      </c>
      <c r="AJ2351" s="5">
        <f t="shared" si="73"/>
        <v>0.20459411239964309</v>
      </c>
    </row>
    <row r="2352" spans="1:36">
      <c r="A2352" t="s">
        <v>372</v>
      </c>
      <c r="B2352" t="s">
        <v>2637</v>
      </c>
      <c r="C2352" t="s">
        <v>112</v>
      </c>
      <c r="D2352" t="s">
        <v>105</v>
      </c>
      <c r="E2352" t="s">
        <v>55</v>
      </c>
      <c r="F2352">
        <v>0</v>
      </c>
      <c r="G2352">
        <v>1694</v>
      </c>
      <c r="H2352">
        <v>1</v>
      </c>
      <c r="I2352" t="s">
        <v>181</v>
      </c>
      <c r="J2352">
        <v>3</v>
      </c>
      <c r="K2352" s="6">
        <v>9.9499999999999993</v>
      </c>
      <c r="L2352" t="s">
        <v>174</v>
      </c>
      <c r="M2352">
        <v>0</v>
      </c>
      <c r="N2352" t="s">
        <v>182</v>
      </c>
      <c r="O2352">
        <v>3</v>
      </c>
      <c r="P2352">
        <v>0</v>
      </c>
      <c r="Q2352" s="6">
        <v>100.6</v>
      </c>
      <c r="R2352">
        <v>1</v>
      </c>
      <c r="S2352" s="6">
        <v>5980</v>
      </c>
      <c r="T2352">
        <v>0</v>
      </c>
      <c r="U2352" s="6">
        <v>6665</v>
      </c>
      <c r="V2352">
        <v>0</v>
      </c>
      <c r="W2352">
        <v>0</v>
      </c>
      <c r="X2352">
        <v>0</v>
      </c>
      <c r="Y2352" s="6">
        <v>48.7</v>
      </c>
      <c r="Z2352">
        <v>8.0000000000000002E-3</v>
      </c>
      <c r="AA2352">
        <v>0.106</v>
      </c>
      <c r="AB2352">
        <v>8.3000000000000004E-2</v>
      </c>
      <c r="AC2352">
        <v>6</v>
      </c>
      <c r="AD2352" s="6">
        <v>60</v>
      </c>
      <c r="AE2352" s="6">
        <v>50</v>
      </c>
      <c r="AF2352" s="6">
        <v>0</v>
      </c>
      <c r="AG2352" s="6">
        <v>107.81</v>
      </c>
      <c r="AH2352" s="6">
        <v>139.57</v>
      </c>
      <c r="AI2352" s="6">
        <f t="shared" si="72"/>
        <v>31.759999999999991</v>
      </c>
      <c r="AJ2352" s="5">
        <f t="shared" si="73"/>
        <v>0.2275560650569606</v>
      </c>
    </row>
    <row r="2353" spans="1:36">
      <c r="A2353" t="s">
        <v>478</v>
      </c>
      <c r="B2353" t="s">
        <v>2638</v>
      </c>
      <c r="C2353" t="s">
        <v>112</v>
      </c>
      <c r="D2353" t="s">
        <v>105</v>
      </c>
      <c r="E2353" t="s">
        <v>55</v>
      </c>
      <c r="F2353">
        <v>0</v>
      </c>
      <c r="G2353">
        <v>1694</v>
      </c>
      <c r="H2353">
        <v>1</v>
      </c>
      <c r="I2353" t="s">
        <v>178</v>
      </c>
      <c r="J2353">
        <v>4</v>
      </c>
      <c r="K2353" s="6">
        <v>14.94</v>
      </c>
      <c r="L2353" t="s">
        <v>174</v>
      </c>
      <c r="M2353">
        <v>0</v>
      </c>
      <c r="N2353" t="s">
        <v>182</v>
      </c>
      <c r="O2353">
        <v>3</v>
      </c>
      <c r="P2353">
        <v>0</v>
      </c>
      <c r="Q2353" s="6">
        <v>120.4</v>
      </c>
      <c r="R2353">
        <v>0</v>
      </c>
      <c r="S2353" s="6">
        <v>0</v>
      </c>
      <c r="T2353">
        <v>0</v>
      </c>
      <c r="U2353" s="6">
        <v>9224</v>
      </c>
      <c r="V2353">
        <v>0</v>
      </c>
      <c r="W2353">
        <v>0</v>
      </c>
      <c r="X2353">
        <v>0</v>
      </c>
      <c r="Y2353" s="6">
        <v>48.7</v>
      </c>
      <c r="Z2353">
        <v>8.0000000000000002E-3</v>
      </c>
      <c r="AA2353">
        <v>0.106</v>
      </c>
      <c r="AB2353">
        <v>8.3000000000000004E-2</v>
      </c>
      <c r="AC2353">
        <v>6</v>
      </c>
      <c r="AD2353" s="6">
        <v>65</v>
      </c>
      <c r="AE2353" s="6">
        <v>0</v>
      </c>
      <c r="AF2353" s="6">
        <v>0</v>
      </c>
      <c r="AG2353" s="6">
        <v>144.58000000000001</v>
      </c>
      <c r="AH2353" s="6">
        <v>182.66</v>
      </c>
      <c r="AI2353" s="6">
        <f t="shared" si="72"/>
        <v>38.079999999999984</v>
      </c>
      <c r="AJ2353" s="5">
        <f t="shared" si="73"/>
        <v>0.20847476185262229</v>
      </c>
    </row>
    <row r="2354" spans="1:36">
      <c r="A2354" t="s">
        <v>269</v>
      </c>
      <c r="B2354" t="s">
        <v>2639</v>
      </c>
      <c r="C2354" t="s">
        <v>112</v>
      </c>
      <c r="D2354" t="s">
        <v>105</v>
      </c>
      <c r="E2354" t="s">
        <v>55</v>
      </c>
      <c r="F2354">
        <v>0</v>
      </c>
      <c r="G2354">
        <v>1694</v>
      </c>
      <c r="H2354">
        <v>1</v>
      </c>
      <c r="I2354" t="s">
        <v>220</v>
      </c>
      <c r="J2354">
        <v>2</v>
      </c>
      <c r="K2354" s="6">
        <v>2.76</v>
      </c>
      <c r="L2354" t="s">
        <v>174</v>
      </c>
      <c r="M2354">
        <v>0</v>
      </c>
      <c r="N2354" t="s">
        <v>175</v>
      </c>
      <c r="O2354">
        <v>1</v>
      </c>
      <c r="P2354">
        <v>0</v>
      </c>
      <c r="Q2354" s="6">
        <v>25.6</v>
      </c>
      <c r="R2354">
        <v>0</v>
      </c>
      <c r="S2354" s="6">
        <v>0</v>
      </c>
      <c r="T2354">
        <v>0</v>
      </c>
      <c r="U2354" s="6">
        <v>9457</v>
      </c>
      <c r="V2354">
        <v>0</v>
      </c>
      <c r="W2354">
        <v>0</v>
      </c>
      <c r="X2354">
        <v>0</v>
      </c>
      <c r="Y2354" s="6">
        <v>48.7</v>
      </c>
      <c r="Z2354">
        <v>8.0000000000000002E-3</v>
      </c>
      <c r="AA2354">
        <v>0.106</v>
      </c>
      <c r="AB2354">
        <v>8.3000000000000004E-2</v>
      </c>
      <c r="AC2354">
        <v>6</v>
      </c>
      <c r="AD2354" s="6">
        <v>50</v>
      </c>
      <c r="AE2354" s="6">
        <v>0</v>
      </c>
      <c r="AF2354" s="6">
        <v>0</v>
      </c>
      <c r="AG2354" s="6">
        <v>59.2</v>
      </c>
      <c r="AH2354" s="6">
        <v>78.39</v>
      </c>
      <c r="AI2354" s="6">
        <f t="shared" si="72"/>
        <v>19.189999999999998</v>
      </c>
      <c r="AJ2354" s="5">
        <f t="shared" si="73"/>
        <v>0.24480163286133433</v>
      </c>
    </row>
    <row r="2355" spans="1:36">
      <c r="A2355" t="s">
        <v>277</v>
      </c>
      <c r="B2355" t="s">
        <v>2640</v>
      </c>
      <c r="C2355" t="s">
        <v>112</v>
      </c>
      <c r="D2355" t="s">
        <v>105</v>
      </c>
      <c r="E2355" t="s">
        <v>55</v>
      </c>
      <c r="F2355">
        <v>0</v>
      </c>
      <c r="G2355">
        <v>1694</v>
      </c>
      <c r="H2355">
        <v>1</v>
      </c>
      <c r="I2355" t="s">
        <v>181</v>
      </c>
      <c r="J2355">
        <v>3</v>
      </c>
      <c r="K2355" s="6">
        <v>7.56</v>
      </c>
      <c r="L2355" t="s">
        <v>174</v>
      </c>
      <c r="M2355">
        <v>0</v>
      </c>
      <c r="N2355" t="s">
        <v>182</v>
      </c>
      <c r="O2355">
        <v>3</v>
      </c>
      <c r="P2355">
        <v>1</v>
      </c>
      <c r="Q2355" s="6">
        <v>77.099999999999994</v>
      </c>
      <c r="R2355">
        <v>0</v>
      </c>
      <c r="S2355" s="6">
        <v>0</v>
      </c>
      <c r="T2355">
        <v>0</v>
      </c>
      <c r="U2355" s="6">
        <v>11007</v>
      </c>
      <c r="V2355">
        <v>0</v>
      </c>
      <c r="W2355">
        <v>0</v>
      </c>
      <c r="X2355">
        <v>0</v>
      </c>
      <c r="Y2355" s="6">
        <v>48.7</v>
      </c>
      <c r="Z2355">
        <v>8.0000000000000002E-3</v>
      </c>
      <c r="AA2355">
        <v>0.106</v>
      </c>
      <c r="AB2355">
        <v>8.3000000000000004E-2</v>
      </c>
      <c r="AC2355">
        <v>6</v>
      </c>
      <c r="AD2355" s="6">
        <v>60</v>
      </c>
      <c r="AE2355" s="6">
        <v>0</v>
      </c>
      <c r="AF2355" s="6">
        <v>0</v>
      </c>
      <c r="AG2355" s="6">
        <v>101.41</v>
      </c>
      <c r="AH2355" s="6">
        <v>127.93</v>
      </c>
      <c r="AI2355" s="6">
        <f t="shared" si="72"/>
        <v>26.52000000000001</v>
      </c>
      <c r="AJ2355" s="5">
        <f t="shared" si="73"/>
        <v>0.20730086766200273</v>
      </c>
    </row>
    <row r="2356" spans="1:36">
      <c r="A2356" t="s">
        <v>277</v>
      </c>
      <c r="B2356" t="s">
        <v>2641</v>
      </c>
      <c r="C2356" t="s">
        <v>112</v>
      </c>
      <c r="D2356" t="s">
        <v>105</v>
      </c>
      <c r="E2356" t="s">
        <v>55</v>
      </c>
      <c r="F2356">
        <v>0</v>
      </c>
      <c r="G2356">
        <v>1694</v>
      </c>
      <c r="H2356">
        <v>1</v>
      </c>
      <c r="I2356" t="s">
        <v>173</v>
      </c>
      <c r="J2356">
        <v>1</v>
      </c>
      <c r="K2356" s="6">
        <v>1.7</v>
      </c>
      <c r="L2356" t="s">
        <v>174</v>
      </c>
      <c r="M2356">
        <v>0</v>
      </c>
      <c r="N2356" t="s">
        <v>175</v>
      </c>
      <c r="O2356">
        <v>1</v>
      </c>
      <c r="P2356">
        <v>0</v>
      </c>
      <c r="Q2356" s="6">
        <v>29.1</v>
      </c>
      <c r="R2356">
        <v>1</v>
      </c>
      <c r="S2356" s="6">
        <v>2272</v>
      </c>
      <c r="T2356">
        <v>0</v>
      </c>
      <c r="U2356" s="6">
        <v>7134</v>
      </c>
      <c r="V2356">
        <v>0</v>
      </c>
      <c r="W2356">
        <v>0</v>
      </c>
      <c r="X2356">
        <v>0</v>
      </c>
      <c r="Y2356" s="6">
        <v>48.7</v>
      </c>
      <c r="Z2356">
        <v>8.0000000000000002E-3</v>
      </c>
      <c r="AA2356">
        <v>0.106</v>
      </c>
      <c r="AB2356">
        <v>8.3000000000000004E-2</v>
      </c>
      <c r="AC2356">
        <v>6</v>
      </c>
      <c r="AD2356" s="6">
        <v>50</v>
      </c>
      <c r="AE2356" s="6">
        <v>40</v>
      </c>
      <c r="AF2356" s="6">
        <v>0</v>
      </c>
      <c r="AG2356" s="6">
        <v>51.13</v>
      </c>
      <c r="AH2356" s="6">
        <v>65.02</v>
      </c>
      <c r="AI2356" s="6">
        <f t="shared" si="72"/>
        <v>13.889999999999993</v>
      </c>
      <c r="AJ2356" s="5">
        <f t="shared" si="73"/>
        <v>0.21362657643801899</v>
      </c>
    </row>
    <row r="2357" spans="1:36">
      <c r="A2357" t="s">
        <v>190</v>
      </c>
      <c r="B2357" t="s">
        <v>2642</v>
      </c>
      <c r="C2357" t="s">
        <v>112</v>
      </c>
      <c r="D2357" t="s">
        <v>105</v>
      </c>
      <c r="E2357" t="s">
        <v>55</v>
      </c>
      <c r="F2357">
        <v>0</v>
      </c>
      <c r="G2357">
        <v>1694</v>
      </c>
      <c r="H2357">
        <v>1</v>
      </c>
      <c r="I2357" t="s">
        <v>173</v>
      </c>
      <c r="J2357">
        <v>1</v>
      </c>
      <c r="K2357" s="6">
        <v>1.86</v>
      </c>
      <c r="L2357" t="s">
        <v>174</v>
      </c>
      <c r="M2357">
        <v>0</v>
      </c>
      <c r="N2357" t="s">
        <v>182</v>
      </c>
      <c r="O2357">
        <v>3</v>
      </c>
      <c r="P2357">
        <v>0</v>
      </c>
      <c r="Q2357" s="6">
        <v>102.1</v>
      </c>
      <c r="R2357">
        <v>0</v>
      </c>
      <c r="S2357" s="6">
        <v>0</v>
      </c>
      <c r="T2357">
        <v>0</v>
      </c>
      <c r="U2357" s="6">
        <v>13752</v>
      </c>
      <c r="V2357">
        <v>0</v>
      </c>
      <c r="W2357">
        <v>0</v>
      </c>
      <c r="X2357">
        <v>0</v>
      </c>
      <c r="Y2357" s="6">
        <v>48.7</v>
      </c>
      <c r="Z2357">
        <v>8.0000000000000002E-3</v>
      </c>
      <c r="AA2357">
        <v>0.106</v>
      </c>
      <c r="AB2357">
        <v>8.3000000000000004E-2</v>
      </c>
      <c r="AC2357">
        <v>6</v>
      </c>
      <c r="AD2357" s="6">
        <v>50</v>
      </c>
      <c r="AE2357" s="6">
        <v>0</v>
      </c>
      <c r="AF2357" s="6">
        <v>0</v>
      </c>
      <c r="AG2357" s="6">
        <v>59.35</v>
      </c>
      <c r="AH2357" s="6">
        <v>76.13</v>
      </c>
      <c r="AI2357" s="6">
        <f t="shared" si="72"/>
        <v>16.779999999999994</v>
      </c>
      <c r="AJ2357" s="5">
        <f t="shared" si="73"/>
        <v>0.2204124523840798</v>
      </c>
    </row>
    <row r="2358" spans="1:36">
      <c r="A2358" t="s">
        <v>360</v>
      </c>
      <c r="B2358" t="s">
        <v>2643</v>
      </c>
      <c r="C2358" t="s">
        <v>112</v>
      </c>
      <c r="D2358" t="s">
        <v>105</v>
      </c>
      <c r="E2358" t="s">
        <v>55</v>
      </c>
      <c r="F2358">
        <v>0</v>
      </c>
      <c r="G2358">
        <v>1694</v>
      </c>
      <c r="H2358">
        <v>1</v>
      </c>
      <c r="I2358" t="s">
        <v>181</v>
      </c>
      <c r="J2358">
        <v>3</v>
      </c>
      <c r="K2358" s="6">
        <v>8.18</v>
      </c>
      <c r="L2358" t="s">
        <v>174</v>
      </c>
      <c r="M2358">
        <v>0</v>
      </c>
      <c r="N2358" t="s">
        <v>182</v>
      </c>
      <c r="O2358">
        <v>3</v>
      </c>
      <c r="P2358">
        <v>0</v>
      </c>
      <c r="Q2358" s="6">
        <v>50.6</v>
      </c>
      <c r="R2358">
        <v>0</v>
      </c>
      <c r="S2358" s="6">
        <v>0</v>
      </c>
      <c r="T2358">
        <v>0</v>
      </c>
      <c r="U2358" s="6">
        <v>29493</v>
      </c>
      <c r="V2358">
        <v>0</v>
      </c>
      <c r="W2358">
        <v>0</v>
      </c>
      <c r="X2358">
        <v>0</v>
      </c>
      <c r="Y2358" s="6">
        <v>48.7</v>
      </c>
      <c r="Z2358">
        <v>8.0000000000000002E-3</v>
      </c>
      <c r="AA2358">
        <v>0.106</v>
      </c>
      <c r="AB2358">
        <v>8.3000000000000004E-2</v>
      </c>
      <c r="AC2358">
        <v>6</v>
      </c>
      <c r="AD2358" s="6">
        <v>60</v>
      </c>
      <c r="AE2358" s="6">
        <v>0</v>
      </c>
      <c r="AF2358" s="6">
        <v>0</v>
      </c>
      <c r="AG2358" s="6">
        <v>99.35</v>
      </c>
      <c r="AH2358" s="6">
        <v>125.89</v>
      </c>
      <c r="AI2358" s="6">
        <f t="shared" si="72"/>
        <v>26.540000000000006</v>
      </c>
      <c r="AJ2358" s="5">
        <f t="shared" si="73"/>
        <v>0.21081896894113913</v>
      </c>
    </row>
    <row r="2359" spans="1:36">
      <c r="A2359" t="s">
        <v>434</v>
      </c>
      <c r="B2359" t="s">
        <v>2644</v>
      </c>
      <c r="C2359" t="s">
        <v>112</v>
      </c>
      <c r="D2359" t="s">
        <v>105</v>
      </c>
      <c r="E2359" t="s">
        <v>55</v>
      </c>
      <c r="F2359">
        <v>0</v>
      </c>
      <c r="G2359">
        <v>1694</v>
      </c>
      <c r="H2359">
        <v>1</v>
      </c>
      <c r="I2359" t="s">
        <v>178</v>
      </c>
      <c r="J2359">
        <v>4</v>
      </c>
      <c r="K2359" s="6">
        <v>15.4</v>
      </c>
      <c r="L2359" t="s">
        <v>174</v>
      </c>
      <c r="M2359">
        <v>0</v>
      </c>
      <c r="N2359" t="s">
        <v>187</v>
      </c>
      <c r="O2359">
        <v>2</v>
      </c>
      <c r="P2359">
        <v>0</v>
      </c>
      <c r="Q2359" s="6">
        <v>46.3</v>
      </c>
      <c r="R2359">
        <v>1</v>
      </c>
      <c r="S2359" s="6">
        <v>3820</v>
      </c>
      <c r="T2359">
        <v>0</v>
      </c>
      <c r="U2359" s="6">
        <v>13622</v>
      </c>
      <c r="V2359">
        <v>0</v>
      </c>
      <c r="W2359">
        <v>0</v>
      </c>
      <c r="X2359">
        <v>0</v>
      </c>
      <c r="Y2359" s="6">
        <v>48.7</v>
      </c>
      <c r="Z2359">
        <v>8.0000000000000002E-3</v>
      </c>
      <c r="AA2359">
        <v>0.106</v>
      </c>
      <c r="AB2359">
        <v>8.3000000000000004E-2</v>
      </c>
      <c r="AC2359">
        <v>6</v>
      </c>
      <c r="AD2359" s="6">
        <v>65</v>
      </c>
      <c r="AE2359" s="6">
        <v>40</v>
      </c>
      <c r="AF2359" s="6">
        <v>0</v>
      </c>
      <c r="AG2359" s="6">
        <v>137.79</v>
      </c>
      <c r="AH2359" s="6">
        <v>175.28</v>
      </c>
      <c r="AI2359" s="6">
        <f t="shared" si="72"/>
        <v>37.490000000000009</v>
      </c>
      <c r="AJ2359" s="5">
        <f t="shared" si="73"/>
        <v>0.21388635326335012</v>
      </c>
    </row>
    <row r="2360" spans="1:36">
      <c r="A2360" t="s">
        <v>208</v>
      </c>
      <c r="B2360" t="s">
        <v>2645</v>
      </c>
      <c r="C2360" t="s">
        <v>112</v>
      </c>
      <c r="D2360" t="s">
        <v>105</v>
      </c>
      <c r="E2360" t="s">
        <v>55</v>
      </c>
      <c r="F2360">
        <v>0</v>
      </c>
      <c r="G2360">
        <v>1694</v>
      </c>
      <c r="H2360">
        <v>1</v>
      </c>
      <c r="I2360" t="s">
        <v>181</v>
      </c>
      <c r="J2360">
        <v>3</v>
      </c>
      <c r="K2360" s="6">
        <v>7.25</v>
      </c>
      <c r="L2360" t="s">
        <v>174</v>
      </c>
      <c r="M2360">
        <v>0</v>
      </c>
      <c r="N2360" t="s">
        <v>175</v>
      </c>
      <c r="O2360">
        <v>1</v>
      </c>
      <c r="P2360">
        <v>1</v>
      </c>
      <c r="Q2360" s="6">
        <v>28.2</v>
      </c>
      <c r="R2360">
        <v>0</v>
      </c>
      <c r="S2360" s="6">
        <v>0</v>
      </c>
      <c r="T2360">
        <v>0</v>
      </c>
      <c r="U2360" s="6">
        <v>8966</v>
      </c>
      <c r="V2360">
        <v>0</v>
      </c>
      <c r="W2360">
        <v>0</v>
      </c>
      <c r="X2360">
        <v>0</v>
      </c>
      <c r="Y2360" s="6">
        <v>48.7</v>
      </c>
      <c r="Z2360">
        <v>8.0000000000000002E-3</v>
      </c>
      <c r="AA2360">
        <v>0.106</v>
      </c>
      <c r="AB2360">
        <v>8.3000000000000004E-2</v>
      </c>
      <c r="AC2360">
        <v>6</v>
      </c>
      <c r="AD2360" s="6">
        <v>60</v>
      </c>
      <c r="AE2360" s="6">
        <v>0</v>
      </c>
      <c r="AF2360" s="6">
        <v>0</v>
      </c>
      <c r="AG2360" s="6">
        <v>102.17</v>
      </c>
      <c r="AH2360" s="6">
        <v>132.31</v>
      </c>
      <c r="AI2360" s="6">
        <f t="shared" si="72"/>
        <v>30.14</v>
      </c>
      <c r="AJ2360" s="5">
        <f t="shared" si="73"/>
        <v>0.22779835235431939</v>
      </c>
    </row>
    <row r="2361" spans="1:36">
      <c r="A2361" t="s">
        <v>423</v>
      </c>
      <c r="B2361" t="s">
        <v>2646</v>
      </c>
      <c r="C2361" t="s">
        <v>112</v>
      </c>
      <c r="D2361" t="s">
        <v>105</v>
      </c>
      <c r="E2361" t="s">
        <v>55</v>
      </c>
      <c r="F2361">
        <v>0</v>
      </c>
      <c r="G2361">
        <v>1694</v>
      </c>
      <c r="H2361">
        <v>1</v>
      </c>
      <c r="I2361" t="s">
        <v>181</v>
      </c>
      <c r="J2361">
        <v>3</v>
      </c>
      <c r="K2361" s="6">
        <v>5.61</v>
      </c>
      <c r="L2361" t="s">
        <v>174</v>
      </c>
      <c r="M2361">
        <v>0</v>
      </c>
      <c r="N2361" t="s">
        <v>175</v>
      </c>
      <c r="O2361">
        <v>1</v>
      </c>
      <c r="P2361">
        <v>0</v>
      </c>
      <c r="Q2361" s="6">
        <v>46</v>
      </c>
      <c r="R2361">
        <v>0</v>
      </c>
      <c r="S2361" s="6">
        <v>0</v>
      </c>
      <c r="T2361">
        <v>0</v>
      </c>
      <c r="U2361" s="6">
        <v>7379</v>
      </c>
      <c r="V2361">
        <v>0</v>
      </c>
      <c r="W2361">
        <v>0</v>
      </c>
      <c r="X2361">
        <v>0</v>
      </c>
      <c r="Y2361" s="6">
        <v>48.7</v>
      </c>
      <c r="Z2361">
        <v>8.0000000000000002E-3</v>
      </c>
      <c r="AA2361">
        <v>0.106</v>
      </c>
      <c r="AB2361">
        <v>8.3000000000000004E-2</v>
      </c>
      <c r="AC2361">
        <v>6</v>
      </c>
      <c r="AD2361" s="6">
        <v>60</v>
      </c>
      <c r="AE2361" s="6">
        <v>0</v>
      </c>
      <c r="AF2361" s="6">
        <v>0</v>
      </c>
      <c r="AG2361" s="6">
        <v>74.31</v>
      </c>
      <c r="AH2361" s="6">
        <v>93.57</v>
      </c>
      <c r="AI2361" s="6">
        <f t="shared" si="72"/>
        <v>19.259999999999991</v>
      </c>
      <c r="AJ2361" s="5">
        <f t="shared" si="73"/>
        <v>0.20583520359089444</v>
      </c>
    </row>
    <row r="2362" spans="1:36">
      <c r="A2362" t="s">
        <v>201</v>
      </c>
      <c r="B2362" t="s">
        <v>2647</v>
      </c>
      <c r="C2362" t="s">
        <v>112</v>
      </c>
      <c r="D2362" t="s">
        <v>105</v>
      </c>
      <c r="E2362" t="s">
        <v>55</v>
      </c>
      <c r="F2362">
        <v>0</v>
      </c>
      <c r="G2362">
        <v>1694</v>
      </c>
      <c r="H2362">
        <v>1</v>
      </c>
      <c r="I2362" t="s">
        <v>181</v>
      </c>
      <c r="J2362">
        <v>3</v>
      </c>
      <c r="K2362" s="6">
        <v>6.52</v>
      </c>
      <c r="L2362" t="s">
        <v>174</v>
      </c>
      <c r="M2362">
        <v>0</v>
      </c>
      <c r="N2362" t="s">
        <v>175</v>
      </c>
      <c r="O2362">
        <v>1</v>
      </c>
      <c r="P2362">
        <v>0</v>
      </c>
      <c r="Q2362" s="6">
        <v>25.6</v>
      </c>
      <c r="R2362">
        <v>0</v>
      </c>
      <c r="S2362" s="6">
        <v>0</v>
      </c>
      <c r="T2362">
        <v>0</v>
      </c>
      <c r="U2362" s="6">
        <v>14039</v>
      </c>
      <c r="V2362">
        <v>1</v>
      </c>
      <c r="W2362">
        <v>0</v>
      </c>
      <c r="X2362">
        <v>0</v>
      </c>
      <c r="Y2362" s="6">
        <v>48.7</v>
      </c>
      <c r="Z2362">
        <v>8.0000000000000002E-3</v>
      </c>
      <c r="AA2362">
        <v>0.106</v>
      </c>
      <c r="AB2362">
        <v>8.3000000000000004E-2</v>
      </c>
      <c r="AC2362">
        <v>6</v>
      </c>
      <c r="AD2362" s="6">
        <v>60</v>
      </c>
      <c r="AE2362" s="6">
        <v>0</v>
      </c>
      <c r="AF2362" s="6">
        <v>0</v>
      </c>
      <c r="AG2362" s="6">
        <v>108.29</v>
      </c>
      <c r="AH2362" s="6">
        <v>137.9</v>
      </c>
      <c r="AI2362" s="6">
        <f t="shared" si="72"/>
        <v>29.61</v>
      </c>
      <c r="AJ2362" s="5">
        <f t="shared" si="73"/>
        <v>0.21472081218274111</v>
      </c>
    </row>
    <row r="2363" spans="1:36">
      <c r="A2363" t="s">
        <v>269</v>
      </c>
      <c r="B2363" t="s">
        <v>2648</v>
      </c>
      <c r="C2363" t="s">
        <v>112</v>
      </c>
      <c r="D2363" t="s">
        <v>105</v>
      </c>
      <c r="E2363" t="s">
        <v>55</v>
      </c>
      <c r="F2363">
        <v>0</v>
      </c>
      <c r="G2363">
        <v>1694</v>
      </c>
      <c r="H2363">
        <v>1</v>
      </c>
      <c r="I2363" t="s">
        <v>181</v>
      </c>
      <c r="J2363">
        <v>3</v>
      </c>
      <c r="K2363" s="6">
        <v>5.44</v>
      </c>
      <c r="L2363" t="s">
        <v>174</v>
      </c>
      <c r="M2363">
        <v>0</v>
      </c>
      <c r="N2363" t="s">
        <v>187</v>
      </c>
      <c r="O2363">
        <v>2</v>
      </c>
      <c r="P2363">
        <v>0</v>
      </c>
      <c r="Q2363" s="6">
        <v>75.3</v>
      </c>
      <c r="R2363">
        <v>0</v>
      </c>
      <c r="S2363" s="6">
        <v>0</v>
      </c>
      <c r="T2363">
        <v>0</v>
      </c>
      <c r="U2363" s="6">
        <v>5053</v>
      </c>
      <c r="V2363">
        <v>0</v>
      </c>
      <c r="W2363">
        <v>0</v>
      </c>
      <c r="X2363">
        <v>0</v>
      </c>
      <c r="Y2363" s="6">
        <v>48.7</v>
      </c>
      <c r="Z2363">
        <v>8.0000000000000002E-3</v>
      </c>
      <c r="AA2363">
        <v>0.106</v>
      </c>
      <c r="AB2363">
        <v>8.3000000000000004E-2</v>
      </c>
      <c r="AC2363">
        <v>6</v>
      </c>
      <c r="AD2363" s="6">
        <v>60</v>
      </c>
      <c r="AE2363" s="6">
        <v>0</v>
      </c>
      <c r="AF2363" s="6">
        <v>0</v>
      </c>
      <c r="AG2363" s="6">
        <v>78.819999999999993</v>
      </c>
      <c r="AH2363" s="6">
        <v>98.56</v>
      </c>
      <c r="AI2363" s="6">
        <f t="shared" si="72"/>
        <v>19.740000000000009</v>
      </c>
      <c r="AJ2363" s="5">
        <f t="shared" si="73"/>
        <v>0.20028409090909099</v>
      </c>
    </row>
    <row r="2364" spans="1:36">
      <c r="A2364" t="s">
        <v>691</v>
      </c>
      <c r="B2364" t="s">
        <v>2649</v>
      </c>
      <c r="C2364" t="s">
        <v>112</v>
      </c>
      <c r="D2364" t="s">
        <v>105</v>
      </c>
      <c r="E2364" t="s">
        <v>55</v>
      </c>
      <c r="F2364">
        <v>0</v>
      </c>
      <c r="G2364">
        <v>1694</v>
      </c>
      <c r="H2364">
        <v>1</v>
      </c>
      <c r="I2364" t="s">
        <v>181</v>
      </c>
      <c r="J2364">
        <v>3</v>
      </c>
      <c r="K2364" s="6">
        <v>4.8600000000000003</v>
      </c>
      <c r="L2364" t="s">
        <v>174</v>
      </c>
      <c r="M2364">
        <v>0</v>
      </c>
      <c r="N2364" t="s">
        <v>175</v>
      </c>
      <c r="O2364">
        <v>1</v>
      </c>
      <c r="P2364">
        <v>0</v>
      </c>
      <c r="Q2364" s="6">
        <v>12.8</v>
      </c>
      <c r="R2364">
        <v>0</v>
      </c>
      <c r="S2364" s="6">
        <v>0</v>
      </c>
      <c r="T2364">
        <v>0</v>
      </c>
      <c r="U2364" s="6">
        <v>6615</v>
      </c>
      <c r="V2364">
        <v>0</v>
      </c>
      <c r="W2364">
        <v>0</v>
      </c>
      <c r="X2364">
        <v>0</v>
      </c>
      <c r="Y2364" s="6">
        <v>48.7</v>
      </c>
      <c r="Z2364">
        <v>8.0000000000000002E-3</v>
      </c>
      <c r="AA2364">
        <v>0.106</v>
      </c>
      <c r="AB2364">
        <v>8.3000000000000004E-2</v>
      </c>
      <c r="AC2364">
        <v>6</v>
      </c>
      <c r="AD2364" s="6">
        <v>60</v>
      </c>
      <c r="AE2364" s="6">
        <v>0</v>
      </c>
      <c r="AF2364" s="6">
        <v>0</v>
      </c>
      <c r="AG2364" s="6">
        <v>70.59</v>
      </c>
      <c r="AH2364" s="6">
        <v>92.05</v>
      </c>
      <c r="AI2364" s="6">
        <f t="shared" si="72"/>
        <v>21.459999999999994</v>
      </c>
      <c r="AJ2364" s="5">
        <f t="shared" si="73"/>
        <v>0.23313416621401406</v>
      </c>
    </row>
    <row r="2365" spans="1:36">
      <c r="A2365" t="s">
        <v>298</v>
      </c>
      <c r="B2365" t="s">
        <v>2650</v>
      </c>
      <c r="C2365" t="s">
        <v>112</v>
      </c>
      <c r="D2365" t="s">
        <v>105</v>
      </c>
      <c r="E2365" t="s">
        <v>55</v>
      </c>
      <c r="F2365">
        <v>0</v>
      </c>
      <c r="G2365">
        <v>1694</v>
      </c>
      <c r="H2365">
        <v>1</v>
      </c>
      <c r="I2365" t="s">
        <v>178</v>
      </c>
      <c r="J2365">
        <v>4</v>
      </c>
      <c r="K2365" s="6">
        <v>6.36</v>
      </c>
      <c r="L2365" t="s">
        <v>174</v>
      </c>
      <c r="M2365">
        <v>0</v>
      </c>
      <c r="N2365" t="s">
        <v>175</v>
      </c>
      <c r="O2365">
        <v>1</v>
      </c>
      <c r="P2365">
        <v>0</v>
      </c>
      <c r="Q2365" s="6">
        <v>34.700000000000003</v>
      </c>
      <c r="R2365">
        <v>0</v>
      </c>
      <c r="S2365" s="6">
        <v>0</v>
      </c>
      <c r="T2365">
        <v>0</v>
      </c>
      <c r="U2365" s="6">
        <v>4418</v>
      </c>
      <c r="V2365">
        <v>0</v>
      </c>
      <c r="W2365">
        <v>0</v>
      </c>
      <c r="X2365">
        <v>0</v>
      </c>
      <c r="Y2365" s="6">
        <v>48.7</v>
      </c>
      <c r="Z2365">
        <v>8.0000000000000002E-3</v>
      </c>
      <c r="AA2365">
        <v>0.106</v>
      </c>
      <c r="AB2365">
        <v>8.3000000000000004E-2</v>
      </c>
      <c r="AC2365">
        <v>6</v>
      </c>
      <c r="AD2365" s="6">
        <v>65</v>
      </c>
      <c r="AE2365" s="6">
        <v>0</v>
      </c>
      <c r="AF2365" s="6">
        <v>0</v>
      </c>
      <c r="AG2365" s="6">
        <v>100.48</v>
      </c>
      <c r="AH2365" s="6">
        <v>127.5</v>
      </c>
      <c r="AI2365" s="6">
        <f t="shared" si="72"/>
        <v>27.019999999999996</v>
      </c>
      <c r="AJ2365" s="5">
        <f t="shared" si="73"/>
        <v>0.21192156862745096</v>
      </c>
    </row>
    <row r="2366" spans="1:36">
      <c r="A2366" t="s">
        <v>406</v>
      </c>
      <c r="B2366" t="s">
        <v>2651</v>
      </c>
      <c r="C2366" t="s">
        <v>112</v>
      </c>
      <c r="D2366" t="s">
        <v>105</v>
      </c>
      <c r="E2366" t="s">
        <v>55</v>
      </c>
      <c r="F2366">
        <v>0</v>
      </c>
      <c r="G2366">
        <v>1694</v>
      </c>
      <c r="H2366">
        <v>1</v>
      </c>
      <c r="I2366" t="s">
        <v>178</v>
      </c>
      <c r="J2366">
        <v>4</v>
      </c>
      <c r="K2366" s="6">
        <v>17.63</v>
      </c>
      <c r="L2366" t="s">
        <v>174</v>
      </c>
      <c r="M2366">
        <v>0</v>
      </c>
      <c r="N2366" t="s">
        <v>182</v>
      </c>
      <c r="O2366">
        <v>3</v>
      </c>
      <c r="P2366">
        <v>0</v>
      </c>
      <c r="Q2366" s="6">
        <v>55.4</v>
      </c>
      <c r="R2366">
        <v>0</v>
      </c>
      <c r="S2366" s="6">
        <v>0</v>
      </c>
      <c r="T2366">
        <v>0</v>
      </c>
      <c r="U2366" s="6">
        <v>13370</v>
      </c>
      <c r="V2366">
        <v>0</v>
      </c>
      <c r="W2366">
        <v>0</v>
      </c>
      <c r="X2366">
        <v>0</v>
      </c>
      <c r="Y2366" s="6">
        <v>48.7</v>
      </c>
      <c r="Z2366">
        <v>8.0000000000000002E-3</v>
      </c>
      <c r="AA2366">
        <v>0.106</v>
      </c>
      <c r="AB2366">
        <v>8.3000000000000004E-2</v>
      </c>
      <c r="AC2366">
        <v>6</v>
      </c>
      <c r="AD2366" s="6">
        <v>65</v>
      </c>
      <c r="AE2366" s="6">
        <v>0</v>
      </c>
      <c r="AF2366" s="6">
        <v>0</v>
      </c>
      <c r="AG2366" s="6">
        <v>150.83000000000001</v>
      </c>
      <c r="AH2366" s="6">
        <v>190.17</v>
      </c>
      <c r="AI2366" s="6">
        <f t="shared" si="72"/>
        <v>39.339999999999975</v>
      </c>
      <c r="AJ2366" s="5">
        <f t="shared" si="73"/>
        <v>0.20686753956985843</v>
      </c>
    </row>
    <row r="2367" spans="1:36">
      <c r="A2367" t="s">
        <v>198</v>
      </c>
      <c r="B2367" t="s">
        <v>2652</v>
      </c>
      <c r="C2367" t="s">
        <v>112</v>
      </c>
      <c r="D2367" t="s">
        <v>105</v>
      </c>
      <c r="E2367" t="s">
        <v>55</v>
      </c>
      <c r="F2367">
        <v>0</v>
      </c>
      <c r="G2367">
        <v>1694</v>
      </c>
      <c r="H2367">
        <v>1</v>
      </c>
      <c r="I2367" t="s">
        <v>181</v>
      </c>
      <c r="J2367">
        <v>3</v>
      </c>
      <c r="K2367" s="6">
        <v>9.11</v>
      </c>
      <c r="L2367" t="s">
        <v>174</v>
      </c>
      <c r="M2367">
        <v>0</v>
      </c>
      <c r="N2367" t="s">
        <v>182</v>
      </c>
      <c r="O2367">
        <v>3</v>
      </c>
      <c r="P2367">
        <v>0</v>
      </c>
      <c r="Q2367" s="6">
        <v>72</v>
      </c>
      <c r="R2367">
        <v>1</v>
      </c>
      <c r="S2367" s="6">
        <v>1105</v>
      </c>
      <c r="T2367">
        <v>0</v>
      </c>
      <c r="U2367" s="6">
        <v>11287</v>
      </c>
      <c r="V2367">
        <v>0</v>
      </c>
      <c r="W2367">
        <v>0</v>
      </c>
      <c r="X2367">
        <v>0</v>
      </c>
      <c r="Y2367" s="6">
        <v>48.7</v>
      </c>
      <c r="Z2367">
        <v>8.0000000000000002E-3</v>
      </c>
      <c r="AA2367">
        <v>0.106</v>
      </c>
      <c r="AB2367">
        <v>8.3000000000000004E-2</v>
      </c>
      <c r="AC2367">
        <v>6</v>
      </c>
      <c r="AD2367" s="6">
        <v>60</v>
      </c>
      <c r="AE2367" s="6">
        <v>25</v>
      </c>
      <c r="AF2367" s="6">
        <v>0</v>
      </c>
      <c r="AG2367" s="6">
        <v>115.48</v>
      </c>
      <c r="AH2367" s="6">
        <v>145.36000000000001</v>
      </c>
      <c r="AI2367" s="6">
        <f t="shared" si="72"/>
        <v>29.88000000000001</v>
      </c>
      <c r="AJ2367" s="5">
        <f t="shared" si="73"/>
        <v>0.20555861309851409</v>
      </c>
    </row>
    <row r="2368" spans="1:36">
      <c r="A2368" t="s">
        <v>298</v>
      </c>
      <c r="B2368" t="s">
        <v>2653</v>
      </c>
      <c r="C2368" t="s">
        <v>112</v>
      </c>
      <c r="D2368" t="s">
        <v>105</v>
      </c>
      <c r="E2368" t="s">
        <v>55</v>
      </c>
      <c r="F2368">
        <v>0</v>
      </c>
      <c r="G2368">
        <v>1694</v>
      </c>
      <c r="H2368">
        <v>1</v>
      </c>
      <c r="I2368" t="s">
        <v>181</v>
      </c>
      <c r="J2368">
        <v>3</v>
      </c>
      <c r="K2368" s="6">
        <v>8.8000000000000007</v>
      </c>
      <c r="L2368" t="s">
        <v>174</v>
      </c>
      <c r="M2368">
        <v>0</v>
      </c>
      <c r="N2368" t="s">
        <v>175</v>
      </c>
      <c r="O2368">
        <v>1</v>
      </c>
      <c r="P2368">
        <v>0</v>
      </c>
      <c r="Q2368" s="6">
        <v>47.6</v>
      </c>
      <c r="R2368">
        <v>1</v>
      </c>
      <c r="S2368" s="6">
        <v>4957</v>
      </c>
      <c r="T2368">
        <v>0</v>
      </c>
      <c r="U2368" s="6">
        <v>9054</v>
      </c>
      <c r="V2368">
        <v>0</v>
      </c>
      <c r="W2368">
        <v>0</v>
      </c>
      <c r="X2368">
        <v>0</v>
      </c>
      <c r="Y2368" s="6">
        <v>48.7</v>
      </c>
      <c r="Z2368">
        <v>8.0000000000000002E-3</v>
      </c>
      <c r="AA2368">
        <v>0.106</v>
      </c>
      <c r="AB2368">
        <v>8.3000000000000004E-2</v>
      </c>
      <c r="AC2368">
        <v>6</v>
      </c>
      <c r="AD2368" s="6">
        <v>60</v>
      </c>
      <c r="AE2368" s="6">
        <v>40</v>
      </c>
      <c r="AF2368" s="6">
        <v>0</v>
      </c>
      <c r="AG2368" s="6">
        <v>91.92</v>
      </c>
      <c r="AH2368" s="6">
        <v>115.6</v>
      </c>
      <c r="AI2368" s="6">
        <f t="shared" si="72"/>
        <v>23.679999999999993</v>
      </c>
      <c r="AJ2368" s="5">
        <f t="shared" si="73"/>
        <v>0.20484429065743939</v>
      </c>
    </row>
    <row r="2369" spans="1:36">
      <c r="A2369" t="s">
        <v>230</v>
      </c>
      <c r="B2369" t="s">
        <v>2654</v>
      </c>
      <c r="C2369" t="s">
        <v>112</v>
      </c>
      <c r="D2369" t="s">
        <v>105</v>
      </c>
      <c r="E2369" t="s">
        <v>55</v>
      </c>
      <c r="F2369">
        <v>0</v>
      </c>
      <c r="G2369">
        <v>1694</v>
      </c>
      <c r="H2369">
        <v>1</v>
      </c>
      <c r="I2369" t="s">
        <v>178</v>
      </c>
      <c r="J2369">
        <v>4</v>
      </c>
      <c r="K2369" s="6">
        <v>11.85</v>
      </c>
      <c r="L2369" t="s">
        <v>174</v>
      </c>
      <c r="M2369">
        <v>0</v>
      </c>
      <c r="N2369" t="s">
        <v>217</v>
      </c>
      <c r="O2369">
        <v>4</v>
      </c>
      <c r="P2369">
        <v>1</v>
      </c>
      <c r="Q2369" s="6">
        <v>114</v>
      </c>
      <c r="R2369">
        <v>0</v>
      </c>
      <c r="S2369" s="6">
        <v>0</v>
      </c>
      <c r="T2369">
        <v>0</v>
      </c>
      <c r="U2369" s="6">
        <v>10968</v>
      </c>
      <c r="V2369">
        <v>0</v>
      </c>
      <c r="W2369">
        <v>0</v>
      </c>
      <c r="X2369">
        <v>0</v>
      </c>
      <c r="Y2369" s="6">
        <v>48.7</v>
      </c>
      <c r="Z2369">
        <v>8.0000000000000002E-3</v>
      </c>
      <c r="AA2369">
        <v>0.106</v>
      </c>
      <c r="AB2369">
        <v>8.3000000000000004E-2</v>
      </c>
      <c r="AC2369">
        <v>6</v>
      </c>
      <c r="AD2369" s="6">
        <v>65</v>
      </c>
      <c r="AE2369" s="6">
        <v>0</v>
      </c>
      <c r="AF2369" s="6">
        <v>0</v>
      </c>
      <c r="AG2369" s="6">
        <v>164.23</v>
      </c>
      <c r="AH2369" s="6">
        <v>210.24</v>
      </c>
      <c r="AI2369" s="6">
        <f t="shared" si="72"/>
        <v>46.010000000000019</v>
      </c>
      <c r="AJ2369" s="5">
        <f t="shared" si="73"/>
        <v>0.21884512937595138</v>
      </c>
    </row>
    <row r="2370" spans="1:36">
      <c r="A2370" t="s">
        <v>201</v>
      </c>
      <c r="B2370" t="s">
        <v>2655</v>
      </c>
      <c r="C2370" t="s">
        <v>112</v>
      </c>
      <c r="D2370" t="s">
        <v>105</v>
      </c>
      <c r="E2370" t="s">
        <v>55</v>
      </c>
      <c r="F2370">
        <v>0</v>
      </c>
      <c r="G2370">
        <v>1694</v>
      </c>
      <c r="H2370">
        <v>1</v>
      </c>
      <c r="I2370" t="s">
        <v>178</v>
      </c>
      <c r="J2370">
        <v>4</v>
      </c>
      <c r="K2370" s="6">
        <v>15.78</v>
      </c>
      <c r="L2370" t="s">
        <v>174</v>
      </c>
      <c r="M2370">
        <v>0</v>
      </c>
      <c r="N2370" t="s">
        <v>182</v>
      </c>
      <c r="O2370">
        <v>3</v>
      </c>
      <c r="P2370">
        <v>0</v>
      </c>
      <c r="Q2370" s="6">
        <v>123.7</v>
      </c>
      <c r="R2370">
        <v>0</v>
      </c>
      <c r="S2370" s="6">
        <v>0</v>
      </c>
      <c r="T2370">
        <v>0</v>
      </c>
      <c r="U2370" s="6">
        <v>10422</v>
      </c>
      <c r="V2370">
        <v>0</v>
      </c>
      <c r="W2370">
        <v>0</v>
      </c>
      <c r="X2370">
        <v>0</v>
      </c>
      <c r="Y2370" s="6">
        <v>48.7</v>
      </c>
      <c r="Z2370">
        <v>8.0000000000000002E-3</v>
      </c>
      <c r="AA2370">
        <v>0.106</v>
      </c>
      <c r="AB2370">
        <v>8.3000000000000004E-2</v>
      </c>
      <c r="AC2370">
        <v>6</v>
      </c>
      <c r="AD2370" s="6">
        <v>65</v>
      </c>
      <c r="AE2370" s="6">
        <v>0</v>
      </c>
      <c r="AF2370" s="6">
        <v>0</v>
      </c>
      <c r="AG2370" s="6">
        <v>143.9</v>
      </c>
      <c r="AH2370" s="6">
        <v>180.88</v>
      </c>
      <c r="AI2370" s="6">
        <f t="shared" ref="AI2370:AI2433" si="74">AH2370-AG2370</f>
        <v>36.97999999999999</v>
      </c>
      <c r="AJ2370" s="5">
        <f t="shared" ref="AJ2370:AJ2433" si="75">IFERROR(AI2370/AH2370,0)</f>
        <v>0.20444493586908444</v>
      </c>
    </row>
    <row r="2371" spans="1:36">
      <c r="A2371" t="s">
        <v>245</v>
      </c>
      <c r="B2371" t="s">
        <v>2656</v>
      </c>
      <c r="C2371" t="s">
        <v>112</v>
      </c>
      <c r="D2371" t="s">
        <v>105</v>
      </c>
      <c r="E2371" t="s">
        <v>55</v>
      </c>
      <c r="F2371">
        <v>0</v>
      </c>
      <c r="G2371">
        <v>1694</v>
      </c>
      <c r="H2371">
        <v>1</v>
      </c>
      <c r="I2371" t="s">
        <v>181</v>
      </c>
      <c r="J2371">
        <v>3</v>
      </c>
      <c r="K2371" s="6">
        <v>7.73</v>
      </c>
      <c r="L2371" t="s">
        <v>174</v>
      </c>
      <c r="M2371">
        <v>0</v>
      </c>
      <c r="N2371" t="s">
        <v>175</v>
      </c>
      <c r="O2371">
        <v>1</v>
      </c>
      <c r="P2371">
        <v>0</v>
      </c>
      <c r="Q2371" s="6">
        <v>20.8</v>
      </c>
      <c r="R2371">
        <v>0</v>
      </c>
      <c r="S2371" s="6">
        <v>0</v>
      </c>
      <c r="T2371">
        <v>0</v>
      </c>
      <c r="U2371" s="6">
        <v>15597</v>
      </c>
      <c r="V2371">
        <v>0</v>
      </c>
      <c r="W2371">
        <v>0</v>
      </c>
      <c r="X2371">
        <v>0</v>
      </c>
      <c r="Y2371" s="6">
        <v>48.7</v>
      </c>
      <c r="Z2371">
        <v>8.0000000000000002E-3</v>
      </c>
      <c r="AA2371">
        <v>0.106</v>
      </c>
      <c r="AB2371">
        <v>8.3000000000000004E-2</v>
      </c>
      <c r="AC2371">
        <v>6</v>
      </c>
      <c r="AD2371" s="6">
        <v>60</v>
      </c>
      <c r="AE2371" s="6">
        <v>0</v>
      </c>
      <c r="AF2371" s="6">
        <v>0</v>
      </c>
      <c r="AG2371" s="6">
        <v>74.31</v>
      </c>
      <c r="AH2371" s="6">
        <v>95.02</v>
      </c>
      <c r="AI2371" s="6">
        <f t="shared" si="74"/>
        <v>20.709999999999994</v>
      </c>
      <c r="AJ2371" s="5">
        <f t="shared" si="75"/>
        <v>0.21795411492317401</v>
      </c>
    </row>
    <row r="2372" spans="1:36">
      <c r="A2372" t="s">
        <v>298</v>
      </c>
      <c r="B2372" t="s">
        <v>2657</v>
      </c>
      <c r="C2372" t="s">
        <v>112</v>
      </c>
      <c r="D2372" t="s">
        <v>105</v>
      </c>
      <c r="E2372" t="s">
        <v>55</v>
      </c>
      <c r="F2372">
        <v>0</v>
      </c>
      <c r="G2372">
        <v>1694</v>
      </c>
      <c r="H2372">
        <v>1</v>
      </c>
      <c r="I2372" t="s">
        <v>181</v>
      </c>
      <c r="J2372">
        <v>3</v>
      </c>
      <c r="K2372" s="6">
        <v>11.12</v>
      </c>
      <c r="L2372" t="s">
        <v>174</v>
      </c>
      <c r="M2372">
        <v>0</v>
      </c>
      <c r="N2372" t="s">
        <v>175</v>
      </c>
      <c r="O2372">
        <v>1</v>
      </c>
      <c r="P2372">
        <v>0</v>
      </c>
      <c r="Q2372" s="6">
        <v>39.1</v>
      </c>
      <c r="R2372">
        <v>0</v>
      </c>
      <c r="S2372" s="6">
        <v>0</v>
      </c>
      <c r="T2372">
        <v>0</v>
      </c>
      <c r="U2372" s="6">
        <v>14086</v>
      </c>
      <c r="V2372">
        <v>0</v>
      </c>
      <c r="W2372">
        <v>0</v>
      </c>
      <c r="X2372">
        <v>0</v>
      </c>
      <c r="Y2372" s="6">
        <v>48.7</v>
      </c>
      <c r="Z2372">
        <v>8.0000000000000002E-3</v>
      </c>
      <c r="AA2372">
        <v>0.106</v>
      </c>
      <c r="AB2372">
        <v>8.3000000000000004E-2</v>
      </c>
      <c r="AC2372">
        <v>6</v>
      </c>
      <c r="AD2372" s="6">
        <v>60</v>
      </c>
      <c r="AE2372" s="6">
        <v>0</v>
      </c>
      <c r="AF2372" s="6">
        <v>0</v>
      </c>
      <c r="AG2372" s="6">
        <v>99.66</v>
      </c>
      <c r="AH2372" s="6">
        <v>127.65</v>
      </c>
      <c r="AI2372" s="6">
        <f t="shared" si="74"/>
        <v>27.990000000000009</v>
      </c>
      <c r="AJ2372" s="5">
        <f t="shared" si="75"/>
        <v>0.21927144535840193</v>
      </c>
    </row>
    <row r="2373" spans="1:36">
      <c r="A2373" t="s">
        <v>353</v>
      </c>
      <c r="B2373" t="s">
        <v>2658</v>
      </c>
      <c r="C2373" t="s">
        <v>112</v>
      </c>
      <c r="D2373" t="s">
        <v>105</v>
      </c>
      <c r="E2373" t="s">
        <v>55</v>
      </c>
      <c r="F2373">
        <v>0</v>
      </c>
      <c r="G2373">
        <v>1694</v>
      </c>
      <c r="H2373">
        <v>1</v>
      </c>
      <c r="I2373" t="s">
        <v>178</v>
      </c>
      <c r="J2373">
        <v>4</v>
      </c>
      <c r="K2373" s="6">
        <v>20.45</v>
      </c>
      <c r="L2373" t="s">
        <v>174</v>
      </c>
      <c r="M2373">
        <v>0</v>
      </c>
      <c r="N2373" t="s">
        <v>175</v>
      </c>
      <c r="O2373">
        <v>1</v>
      </c>
      <c r="P2373">
        <v>0</v>
      </c>
      <c r="Q2373" s="6">
        <v>28.3</v>
      </c>
      <c r="R2373">
        <v>1</v>
      </c>
      <c r="S2373" s="6">
        <v>3797</v>
      </c>
      <c r="T2373">
        <v>0</v>
      </c>
      <c r="U2373" s="6">
        <v>11026</v>
      </c>
      <c r="V2373">
        <v>0</v>
      </c>
      <c r="W2373">
        <v>0</v>
      </c>
      <c r="X2373">
        <v>0</v>
      </c>
      <c r="Y2373" s="6">
        <v>48.7</v>
      </c>
      <c r="Z2373">
        <v>8.0000000000000002E-3</v>
      </c>
      <c r="AA2373">
        <v>0.106</v>
      </c>
      <c r="AB2373">
        <v>8.3000000000000004E-2</v>
      </c>
      <c r="AC2373">
        <v>6</v>
      </c>
      <c r="AD2373" s="6">
        <v>65</v>
      </c>
      <c r="AE2373" s="6">
        <v>40</v>
      </c>
      <c r="AF2373" s="6">
        <v>0</v>
      </c>
      <c r="AG2373" s="6">
        <v>151.38</v>
      </c>
      <c r="AH2373" s="6">
        <v>189.84</v>
      </c>
      <c r="AI2373" s="6">
        <f t="shared" si="74"/>
        <v>38.460000000000008</v>
      </c>
      <c r="AJ2373" s="5">
        <f t="shared" si="75"/>
        <v>0.20259165613147917</v>
      </c>
    </row>
    <row r="2374" spans="1:36">
      <c r="A2374" t="s">
        <v>393</v>
      </c>
      <c r="B2374" t="s">
        <v>2659</v>
      </c>
      <c r="C2374" t="s">
        <v>112</v>
      </c>
      <c r="D2374" t="s">
        <v>105</v>
      </c>
      <c r="E2374" t="s">
        <v>55</v>
      </c>
      <c r="F2374">
        <v>0</v>
      </c>
      <c r="G2374">
        <v>1694</v>
      </c>
      <c r="H2374">
        <v>1</v>
      </c>
      <c r="I2374" t="s">
        <v>173</v>
      </c>
      <c r="J2374">
        <v>1</v>
      </c>
      <c r="K2374" s="6">
        <v>2.29</v>
      </c>
      <c r="L2374" t="s">
        <v>174</v>
      </c>
      <c r="M2374">
        <v>0</v>
      </c>
      <c r="N2374" t="s">
        <v>175</v>
      </c>
      <c r="O2374">
        <v>1</v>
      </c>
      <c r="P2374">
        <v>0</v>
      </c>
      <c r="Q2374" s="6">
        <v>36.5</v>
      </c>
      <c r="R2374">
        <v>0</v>
      </c>
      <c r="S2374" s="6">
        <v>0</v>
      </c>
      <c r="T2374">
        <v>0</v>
      </c>
      <c r="U2374" s="6">
        <v>11898</v>
      </c>
      <c r="V2374">
        <v>0</v>
      </c>
      <c r="W2374">
        <v>0</v>
      </c>
      <c r="X2374">
        <v>0</v>
      </c>
      <c r="Y2374" s="6">
        <v>48.7</v>
      </c>
      <c r="Z2374">
        <v>8.0000000000000002E-3</v>
      </c>
      <c r="AA2374">
        <v>0.106</v>
      </c>
      <c r="AB2374">
        <v>8.3000000000000004E-2</v>
      </c>
      <c r="AC2374">
        <v>6</v>
      </c>
      <c r="AD2374" s="6">
        <v>50</v>
      </c>
      <c r="AE2374" s="6">
        <v>0</v>
      </c>
      <c r="AF2374" s="6">
        <v>0</v>
      </c>
      <c r="AG2374" s="6">
        <v>49.63</v>
      </c>
      <c r="AH2374" s="6">
        <v>62.67</v>
      </c>
      <c r="AI2374" s="6">
        <f t="shared" si="74"/>
        <v>13.04</v>
      </c>
      <c r="AJ2374" s="5">
        <f t="shared" si="75"/>
        <v>0.20807403861496726</v>
      </c>
    </row>
    <row r="2375" spans="1:36">
      <c r="A2375" t="s">
        <v>350</v>
      </c>
      <c r="B2375" t="s">
        <v>2660</v>
      </c>
      <c r="C2375" t="s">
        <v>112</v>
      </c>
      <c r="D2375" t="s">
        <v>105</v>
      </c>
      <c r="E2375" t="s">
        <v>55</v>
      </c>
      <c r="F2375">
        <v>0</v>
      </c>
      <c r="G2375">
        <v>1694</v>
      </c>
      <c r="H2375">
        <v>1</v>
      </c>
      <c r="I2375" t="s">
        <v>181</v>
      </c>
      <c r="J2375">
        <v>3</v>
      </c>
      <c r="K2375" s="6">
        <v>10.44</v>
      </c>
      <c r="L2375" t="s">
        <v>174</v>
      </c>
      <c r="M2375">
        <v>0</v>
      </c>
      <c r="N2375" t="s">
        <v>182</v>
      </c>
      <c r="O2375">
        <v>3</v>
      </c>
      <c r="P2375">
        <v>1</v>
      </c>
      <c r="Q2375" s="6">
        <v>85.2</v>
      </c>
      <c r="R2375">
        <v>0</v>
      </c>
      <c r="S2375" s="6">
        <v>0</v>
      </c>
      <c r="T2375">
        <v>0</v>
      </c>
      <c r="U2375" s="6">
        <v>12442</v>
      </c>
      <c r="V2375">
        <v>0</v>
      </c>
      <c r="W2375">
        <v>0</v>
      </c>
      <c r="X2375">
        <v>0</v>
      </c>
      <c r="Y2375" s="6">
        <v>48.7</v>
      </c>
      <c r="Z2375">
        <v>8.0000000000000002E-3</v>
      </c>
      <c r="AA2375">
        <v>0.106</v>
      </c>
      <c r="AB2375">
        <v>8.3000000000000004E-2</v>
      </c>
      <c r="AC2375">
        <v>6</v>
      </c>
      <c r="AD2375" s="6">
        <v>60</v>
      </c>
      <c r="AE2375" s="6">
        <v>0</v>
      </c>
      <c r="AF2375" s="6">
        <v>0</v>
      </c>
      <c r="AG2375" s="6">
        <v>134.18</v>
      </c>
      <c r="AH2375" s="6">
        <v>168.96</v>
      </c>
      <c r="AI2375" s="6">
        <f t="shared" si="74"/>
        <v>34.78</v>
      </c>
      <c r="AJ2375" s="5">
        <f t="shared" si="75"/>
        <v>0.20584753787878787</v>
      </c>
    </row>
    <row r="2376" spans="1:36">
      <c r="A2376" t="s">
        <v>494</v>
      </c>
      <c r="B2376" t="s">
        <v>2661</v>
      </c>
      <c r="C2376" t="s">
        <v>112</v>
      </c>
      <c r="D2376" t="s">
        <v>105</v>
      </c>
      <c r="E2376" t="s">
        <v>55</v>
      </c>
      <c r="F2376">
        <v>0</v>
      </c>
      <c r="G2376">
        <v>1694</v>
      </c>
      <c r="H2376">
        <v>1</v>
      </c>
      <c r="I2376" t="s">
        <v>181</v>
      </c>
      <c r="J2376">
        <v>3</v>
      </c>
      <c r="K2376" s="6">
        <v>9.6300000000000008</v>
      </c>
      <c r="L2376" t="s">
        <v>174</v>
      </c>
      <c r="M2376">
        <v>0</v>
      </c>
      <c r="N2376" t="s">
        <v>182</v>
      </c>
      <c r="O2376">
        <v>3</v>
      </c>
      <c r="P2376">
        <v>1</v>
      </c>
      <c r="Q2376" s="6">
        <v>86.5</v>
      </c>
      <c r="R2376">
        <v>1</v>
      </c>
      <c r="S2376" s="6">
        <v>541</v>
      </c>
      <c r="T2376">
        <v>0</v>
      </c>
      <c r="U2376" s="6">
        <v>3731</v>
      </c>
      <c r="V2376">
        <v>1</v>
      </c>
      <c r="W2376">
        <v>0</v>
      </c>
      <c r="X2376">
        <v>0</v>
      </c>
      <c r="Y2376" s="6">
        <v>48.7</v>
      </c>
      <c r="Z2376">
        <v>8.0000000000000002E-3</v>
      </c>
      <c r="AA2376">
        <v>0.106</v>
      </c>
      <c r="AB2376">
        <v>8.3000000000000004E-2</v>
      </c>
      <c r="AC2376">
        <v>6</v>
      </c>
      <c r="AD2376" s="6">
        <v>60</v>
      </c>
      <c r="AE2376" s="6">
        <v>25</v>
      </c>
      <c r="AF2376" s="6">
        <v>0</v>
      </c>
      <c r="AG2376" s="6">
        <v>188.78</v>
      </c>
      <c r="AH2376" s="6">
        <v>238.45</v>
      </c>
      <c r="AI2376" s="6">
        <f t="shared" si="74"/>
        <v>49.669999999999987</v>
      </c>
      <c r="AJ2376" s="5">
        <f t="shared" si="75"/>
        <v>0.20830362759488358</v>
      </c>
    </row>
    <row r="2377" spans="1:36">
      <c r="A2377" t="s">
        <v>279</v>
      </c>
      <c r="B2377" t="s">
        <v>2662</v>
      </c>
      <c r="C2377" t="s">
        <v>112</v>
      </c>
      <c r="D2377" t="s">
        <v>105</v>
      </c>
      <c r="E2377" t="s">
        <v>55</v>
      </c>
      <c r="F2377">
        <v>0</v>
      </c>
      <c r="G2377">
        <v>1694</v>
      </c>
      <c r="H2377">
        <v>1</v>
      </c>
      <c r="I2377" t="s">
        <v>181</v>
      </c>
      <c r="J2377">
        <v>3</v>
      </c>
      <c r="K2377" s="6">
        <v>8.5</v>
      </c>
      <c r="L2377" t="s">
        <v>174</v>
      </c>
      <c r="M2377">
        <v>0</v>
      </c>
      <c r="N2377" t="s">
        <v>175</v>
      </c>
      <c r="O2377">
        <v>1</v>
      </c>
      <c r="P2377">
        <v>0</v>
      </c>
      <c r="Q2377" s="6">
        <v>33.5</v>
      </c>
      <c r="R2377">
        <v>0</v>
      </c>
      <c r="S2377" s="6">
        <v>0</v>
      </c>
      <c r="T2377">
        <v>0</v>
      </c>
      <c r="U2377" s="6">
        <v>5392</v>
      </c>
      <c r="V2377">
        <v>0</v>
      </c>
      <c r="W2377">
        <v>0</v>
      </c>
      <c r="X2377">
        <v>0</v>
      </c>
      <c r="Y2377" s="6">
        <v>48.7</v>
      </c>
      <c r="Z2377">
        <v>8.0000000000000002E-3</v>
      </c>
      <c r="AA2377">
        <v>0.106</v>
      </c>
      <c r="AB2377">
        <v>8.3000000000000004E-2</v>
      </c>
      <c r="AC2377">
        <v>6</v>
      </c>
      <c r="AD2377" s="6">
        <v>60</v>
      </c>
      <c r="AE2377" s="6">
        <v>0</v>
      </c>
      <c r="AF2377" s="6">
        <v>0</v>
      </c>
      <c r="AG2377" s="6">
        <v>93.54</v>
      </c>
      <c r="AH2377" s="6">
        <v>118.34</v>
      </c>
      <c r="AI2377" s="6">
        <f t="shared" si="74"/>
        <v>24.799999999999997</v>
      </c>
      <c r="AJ2377" s="5">
        <f t="shared" si="75"/>
        <v>0.20956565827277335</v>
      </c>
    </row>
    <row r="2378" spans="1:36">
      <c r="A2378" t="s">
        <v>562</v>
      </c>
      <c r="B2378" t="s">
        <v>2663</v>
      </c>
      <c r="C2378" t="s">
        <v>112</v>
      </c>
      <c r="D2378" t="s">
        <v>105</v>
      </c>
      <c r="E2378" t="s">
        <v>55</v>
      </c>
      <c r="F2378">
        <v>0</v>
      </c>
      <c r="G2378">
        <v>1694</v>
      </c>
      <c r="H2378">
        <v>1</v>
      </c>
      <c r="I2378" t="s">
        <v>173</v>
      </c>
      <c r="J2378">
        <v>1</v>
      </c>
      <c r="K2378" s="6">
        <v>2.62</v>
      </c>
      <c r="L2378" t="s">
        <v>174</v>
      </c>
      <c r="M2378">
        <v>0</v>
      </c>
      <c r="N2378" t="s">
        <v>175</v>
      </c>
      <c r="O2378">
        <v>1</v>
      </c>
      <c r="P2378">
        <v>0</v>
      </c>
      <c r="Q2378" s="6">
        <v>40.5</v>
      </c>
      <c r="R2378">
        <v>0</v>
      </c>
      <c r="S2378" s="6">
        <v>0</v>
      </c>
      <c r="T2378">
        <v>0</v>
      </c>
      <c r="U2378" s="6">
        <v>12403</v>
      </c>
      <c r="V2378">
        <v>0</v>
      </c>
      <c r="W2378">
        <v>0</v>
      </c>
      <c r="X2378">
        <v>0</v>
      </c>
      <c r="Y2378" s="6">
        <v>48.7</v>
      </c>
      <c r="Z2378">
        <v>8.0000000000000002E-3</v>
      </c>
      <c r="AA2378">
        <v>0.106</v>
      </c>
      <c r="AB2378">
        <v>8.3000000000000004E-2</v>
      </c>
      <c r="AC2378">
        <v>6</v>
      </c>
      <c r="AD2378" s="6">
        <v>50</v>
      </c>
      <c r="AE2378" s="6">
        <v>0</v>
      </c>
      <c r="AF2378" s="6">
        <v>0</v>
      </c>
      <c r="AG2378" s="6">
        <v>42.93</v>
      </c>
      <c r="AH2378" s="6">
        <v>55.17</v>
      </c>
      <c r="AI2378" s="6">
        <f t="shared" si="74"/>
        <v>12.240000000000002</v>
      </c>
      <c r="AJ2378" s="5">
        <f t="shared" si="75"/>
        <v>0.22185970636215338</v>
      </c>
    </row>
    <row r="2379" spans="1:36">
      <c r="A2379" t="s">
        <v>345</v>
      </c>
      <c r="B2379" t="s">
        <v>2664</v>
      </c>
      <c r="C2379" t="s">
        <v>112</v>
      </c>
      <c r="D2379" t="s">
        <v>105</v>
      </c>
      <c r="E2379" t="s">
        <v>55</v>
      </c>
      <c r="F2379">
        <v>0</v>
      </c>
      <c r="G2379">
        <v>1694</v>
      </c>
      <c r="H2379">
        <v>1</v>
      </c>
      <c r="I2379" t="s">
        <v>173</v>
      </c>
      <c r="J2379">
        <v>1</v>
      </c>
      <c r="K2379" s="6">
        <v>1.52</v>
      </c>
      <c r="L2379" t="s">
        <v>174</v>
      </c>
      <c r="M2379">
        <v>0</v>
      </c>
      <c r="N2379" t="s">
        <v>182</v>
      </c>
      <c r="O2379">
        <v>3</v>
      </c>
      <c r="P2379">
        <v>0</v>
      </c>
      <c r="Q2379" s="6">
        <v>75.5</v>
      </c>
      <c r="R2379">
        <v>0</v>
      </c>
      <c r="S2379" s="6">
        <v>0</v>
      </c>
      <c r="T2379">
        <v>0</v>
      </c>
      <c r="U2379" s="6">
        <v>4172</v>
      </c>
      <c r="V2379">
        <v>0</v>
      </c>
      <c r="W2379">
        <v>0</v>
      </c>
      <c r="X2379">
        <v>0</v>
      </c>
      <c r="Y2379" s="6">
        <v>48.7</v>
      </c>
      <c r="Z2379">
        <v>8.0000000000000002E-3</v>
      </c>
      <c r="AA2379">
        <v>0.106</v>
      </c>
      <c r="AB2379">
        <v>8.3000000000000004E-2</v>
      </c>
      <c r="AC2379">
        <v>6</v>
      </c>
      <c r="AD2379" s="6">
        <v>50</v>
      </c>
      <c r="AE2379" s="6">
        <v>0</v>
      </c>
      <c r="AF2379" s="6">
        <v>0</v>
      </c>
      <c r="AG2379" s="6">
        <v>59.26</v>
      </c>
      <c r="AH2379" s="6">
        <v>74.69</v>
      </c>
      <c r="AI2379" s="6">
        <f t="shared" si="74"/>
        <v>15.43</v>
      </c>
      <c r="AJ2379" s="5">
        <f t="shared" si="75"/>
        <v>0.2065872272057839</v>
      </c>
    </row>
    <row r="2380" spans="1:36">
      <c r="A2380" t="s">
        <v>602</v>
      </c>
      <c r="B2380" t="s">
        <v>2665</v>
      </c>
      <c r="C2380" t="s">
        <v>112</v>
      </c>
      <c r="D2380" t="s">
        <v>105</v>
      </c>
      <c r="E2380" t="s">
        <v>55</v>
      </c>
      <c r="F2380">
        <v>0</v>
      </c>
      <c r="G2380">
        <v>1694</v>
      </c>
      <c r="H2380">
        <v>1</v>
      </c>
      <c r="I2380" t="s">
        <v>181</v>
      </c>
      <c r="J2380">
        <v>3</v>
      </c>
      <c r="K2380" s="6">
        <v>7.27</v>
      </c>
      <c r="L2380" t="s">
        <v>174</v>
      </c>
      <c r="M2380">
        <v>0</v>
      </c>
      <c r="N2380" t="s">
        <v>175</v>
      </c>
      <c r="O2380">
        <v>1</v>
      </c>
      <c r="P2380">
        <v>0</v>
      </c>
      <c r="Q2380" s="6">
        <v>40.799999999999997</v>
      </c>
      <c r="R2380">
        <v>0</v>
      </c>
      <c r="S2380" s="6">
        <v>0</v>
      </c>
      <c r="T2380">
        <v>0</v>
      </c>
      <c r="U2380" s="6">
        <v>8731</v>
      </c>
      <c r="V2380">
        <v>0</v>
      </c>
      <c r="W2380">
        <v>1</v>
      </c>
      <c r="X2380">
        <v>0</v>
      </c>
      <c r="Y2380" s="6">
        <v>48.7</v>
      </c>
      <c r="Z2380">
        <v>8.0000000000000002E-3</v>
      </c>
      <c r="AA2380">
        <v>0.106</v>
      </c>
      <c r="AB2380">
        <v>8.3000000000000004E-2</v>
      </c>
      <c r="AC2380">
        <v>6</v>
      </c>
      <c r="AD2380" s="6">
        <v>60</v>
      </c>
      <c r="AE2380" s="6">
        <v>0</v>
      </c>
      <c r="AF2380" s="6">
        <v>0</v>
      </c>
      <c r="AG2380" s="6">
        <v>104.81</v>
      </c>
      <c r="AH2380" s="6">
        <v>132.83000000000001</v>
      </c>
      <c r="AI2380" s="6">
        <f t="shared" si="74"/>
        <v>28.02000000000001</v>
      </c>
      <c r="AJ2380" s="5">
        <f t="shared" si="75"/>
        <v>0.21094632236693522</v>
      </c>
    </row>
    <row r="2381" spans="1:36">
      <c r="A2381" t="s">
        <v>274</v>
      </c>
      <c r="B2381" t="s">
        <v>2666</v>
      </c>
      <c r="C2381" t="s">
        <v>112</v>
      </c>
      <c r="D2381" t="s">
        <v>105</v>
      </c>
      <c r="E2381" t="s">
        <v>55</v>
      </c>
      <c r="F2381">
        <v>0</v>
      </c>
      <c r="G2381">
        <v>1694</v>
      </c>
      <c r="H2381">
        <v>1</v>
      </c>
      <c r="I2381" t="s">
        <v>181</v>
      </c>
      <c r="J2381">
        <v>3</v>
      </c>
      <c r="K2381" s="6">
        <v>6.35</v>
      </c>
      <c r="L2381" t="s">
        <v>174</v>
      </c>
      <c r="M2381">
        <v>0</v>
      </c>
      <c r="N2381" t="s">
        <v>272</v>
      </c>
      <c r="O2381">
        <v>5</v>
      </c>
      <c r="P2381">
        <v>1</v>
      </c>
      <c r="Q2381" s="6">
        <v>153.4</v>
      </c>
      <c r="R2381">
        <v>1</v>
      </c>
      <c r="S2381" s="6">
        <v>258</v>
      </c>
      <c r="T2381">
        <v>0</v>
      </c>
      <c r="U2381" s="6">
        <v>5432</v>
      </c>
      <c r="V2381">
        <v>0</v>
      </c>
      <c r="W2381">
        <v>0</v>
      </c>
      <c r="X2381">
        <v>0</v>
      </c>
      <c r="Y2381" s="6">
        <v>48.7</v>
      </c>
      <c r="Z2381">
        <v>8.0000000000000002E-3</v>
      </c>
      <c r="AA2381">
        <v>0.106</v>
      </c>
      <c r="AB2381">
        <v>8.3000000000000004E-2</v>
      </c>
      <c r="AC2381">
        <v>6</v>
      </c>
      <c r="AD2381" s="6">
        <v>60</v>
      </c>
      <c r="AE2381" s="6">
        <v>25</v>
      </c>
      <c r="AF2381" s="6">
        <v>0</v>
      </c>
      <c r="AG2381" s="6">
        <v>170.59</v>
      </c>
      <c r="AH2381" s="6">
        <v>213.84</v>
      </c>
      <c r="AI2381" s="6">
        <f t="shared" si="74"/>
        <v>43.25</v>
      </c>
      <c r="AJ2381" s="5">
        <f t="shared" si="75"/>
        <v>0.20225402169846615</v>
      </c>
    </row>
    <row r="2382" spans="1:36">
      <c r="A2382" t="s">
        <v>192</v>
      </c>
      <c r="B2382" t="s">
        <v>2667</v>
      </c>
      <c r="C2382" t="s">
        <v>114</v>
      </c>
      <c r="D2382" t="s">
        <v>68</v>
      </c>
      <c r="E2382" t="s">
        <v>55</v>
      </c>
      <c r="F2382">
        <v>0</v>
      </c>
      <c r="G2382">
        <v>998</v>
      </c>
      <c r="H2382">
        <v>1</v>
      </c>
      <c r="I2382" t="s">
        <v>178</v>
      </c>
      <c r="J2382">
        <v>4</v>
      </c>
      <c r="K2382" s="6">
        <v>15.52</v>
      </c>
      <c r="L2382" t="s">
        <v>174</v>
      </c>
      <c r="M2382">
        <v>0</v>
      </c>
      <c r="N2382" t="s">
        <v>175</v>
      </c>
      <c r="O2382">
        <v>1</v>
      </c>
      <c r="P2382">
        <v>0</v>
      </c>
      <c r="Q2382" s="6">
        <v>38.799999999999997</v>
      </c>
      <c r="R2382">
        <v>0</v>
      </c>
      <c r="S2382" s="6">
        <v>0</v>
      </c>
      <c r="T2382">
        <v>0</v>
      </c>
      <c r="U2382" s="6">
        <v>3682</v>
      </c>
      <c r="V2382">
        <v>0</v>
      </c>
      <c r="W2382">
        <v>0</v>
      </c>
      <c r="X2382">
        <v>0</v>
      </c>
      <c r="Y2382" s="6">
        <v>36.6</v>
      </c>
      <c r="Z2382">
        <v>1.2E-2</v>
      </c>
      <c r="AA2382">
        <v>3.9E-2</v>
      </c>
      <c r="AB2382">
        <v>4.4999999999999998E-2</v>
      </c>
      <c r="AC2382">
        <v>5</v>
      </c>
      <c r="AD2382" s="6">
        <v>66</v>
      </c>
      <c r="AE2382" s="6">
        <v>0</v>
      </c>
      <c r="AF2382" s="6">
        <v>0</v>
      </c>
      <c r="AG2382" s="6">
        <v>124.37</v>
      </c>
      <c r="AH2382" s="6">
        <v>160.16</v>
      </c>
      <c r="AI2382" s="6">
        <f t="shared" si="74"/>
        <v>35.789999999999992</v>
      </c>
      <c r="AJ2382" s="5">
        <f t="shared" si="75"/>
        <v>0.22346403596403591</v>
      </c>
    </row>
    <row r="2383" spans="1:36">
      <c r="A2383" t="s">
        <v>311</v>
      </c>
      <c r="B2383" t="s">
        <v>2668</v>
      </c>
      <c r="C2383" t="s">
        <v>114</v>
      </c>
      <c r="D2383" t="s">
        <v>68</v>
      </c>
      <c r="E2383" t="s">
        <v>55</v>
      </c>
      <c r="F2383">
        <v>0</v>
      </c>
      <c r="G2383">
        <v>998</v>
      </c>
      <c r="H2383">
        <v>1</v>
      </c>
      <c r="I2383" t="s">
        <v>181</v>
      </c>
      <c r="J2383">
        <v>3</v>
      </c>
      <c r="K2383" s="6">
        <v>6.89</v>
      </c>
      <c r="L2383" t="s">
        <v>174</v>
      </c>
      <c r="M2383">
        <v>0</v>
      </c>
      <c r="N2383" t="s">
        <v>187</v>
      </c>
      <c r="O2383">
        <v>2</v>
      </c>
      <c r="P2383">
        <v>0</v>
      </c>
      <c r="Q2383" s="6">
        <v>55.5</v>
      </c>
      <c r="R2383">
        <v>0</v>
      </c>
      <c r="S2383" s="6">
        <v>0</v>
      </c>
      <c r="T2383">
        <v>0</v>
      </c>
      <c r="U2383" s="6">
        <v>3301</v>
      </c>
      <c r="V2383">
        <v>0</v>
      </c>
      <c r="W2383">
        <v>0</v>
      </c>
      <c r="X2383">
        <v>0</v>
      </c>
      <c r="Y2383" s="6">
        <v>36.6</v>
      </c>
      <c r="Z2383">
        <v>1.2E-2</v>
      </c>
      <c r="AA2383">
        <v>3.9E-2</v>
      </c>
      <c r="AB2383">
        <v>4.4999999999999998E-2</v>
      </c>
      <c r="AC2383">
        <v>5</v>
      </c>
      <c r="AD2383" s="6">
        <v>61</v>
      </c>
      <c r="AE2383" s="6">
        <v>0</v>
      </c>
      <c r="AF2383" s="6">
        <v>0</v>
      </c>
      <c r="AG2383" s="6">
        <v>76.47</v>
      </c>
      <c r="AH2383" s="6">
        <v>98.23</v>
      </c>
      <c r="AI2383" s="6">
        <f t="shared" si="74"/>
        <v>21.760000000000005</v>
      </c>
      <c r="AJ2383" s="5">
        <f t="shared" si="75"/>
        <v>0.22152092028911743</v>
      </c>
    </row>
    <row r="2384" spans="1:36">
      <c r="A2384" t="s">
        <v>185</v>
      </c>
      <c r="B2384" t="s">
        <v>2669</v>
      </c>
      <c r="C2384" t="s">
        <v>114</v>
      </c>
      <c r="D2384" t="s">
        <v>68</v>
      </c>
      <c r="E2384" t="s">
        <v>55</v>
      </c>
      <c r="F2384">
        <v>0</v>
      </c>
      <c r="G2384">
        <v>998</v>
      </c>
      <c r="H2384">
        <v>1</v>
      </c>
      <c r="I2384" t="s">
        <v>181</v>
      </c>
      <c r="J2384">
        <v>3</v>
      </c>
      <c r="K2384" s="6">
        <v>9.0299999999999994</v>
      </c>
      <c r="L2384" t="s">
        <v>174</v>
      </c>
      <c r="M2384">
        <v>0</v>
      </c>
      <c r="N2384" t="s">
        <v>175</v>
      </c>
      <c r="O2384">
        <v>1</v>
      </c>
      <c r="P2384">
        <v>0</v>
      </c>
      <c r="Q2384" s="6">
        <v>50.4</v>
      </c>
      <c r="R2384">
        <v>0</v>
      </c>
      <c r="S2384" s="6">
        <v>0</v>
      </c>
      <c r="T2384">
        <v>0</v>
      </c>
      <c r="U2384" s="6">
        <v>5880</v>
      </c>
      <c r="V2384">
        <v>1</v>
      </c>
      <c r="W2384">
        <v>0</v>
      </c>
      <c r="X2384">
        <v>0</v>
      </c>
      <c r="Y2384" s="6">
        <v>36.6</v>
      </c>
      <c r="Z2384">
        <v>1.2E-2</v>
      </c>
      <c r="AA2384">
        <v>3.9E-2</v>
      </c>
      <c r="AB2384">
        <v>4.4999999999999998E-2</v>
      </c>
      <c r="AC2384">
        <v>5</v>
      </c>
      <c r="AD2384" s="6">
        <v>61</v>
      </c>
      <c r="AE2384" s="6">
        <v>0</v>
      </c>
      <c r="AF2384" s="6">
        <v>0</v>
      </c>
      <c r="AG2384" s="6">
        <v>129.29</v>
      </c>
      <c r="AH2384" s="6">
        <v>165.69</v>
      </c>
      <c r="AI2384" s="6">
        <f t="shared" si="74"/>
        <v>36.400000000000006</v>
      </c>
      <c r="AJ2384" s="5">
        <f t="shared" si="75"/>
        <v>0.21968736797634139</v>
      </c>
    </row>
    <row r="2385" spans="1:36">
      <c r="A2385" t="s">
        <v>233</v>
      </c>
      <c r="B2385" t="s">
        <v>2670</v>
      </c>
      <c r="C2385" t="s">
        <v>114</v>
      </c>
      <c r="D2385" t="s">
        <v>68</v>
      </c>
      <c r="E2385" t="s">
        <v>55</v>
      </c>
      <c r="F2385">
        <v>0</v>
      </c>
      <c r="G2385">
        <v>998</v>
      </c>
      <c r="H2385">
        <v>1</v>
      </c>
      <c r="I2385" t="s">
        <v>173</v>
      </c>
      <c r="J2385">
        <v>1</v>
      </c>
      <c r="K2385" s="6">
        <v>1.97</v>
      </c>
      <c r="L2385" t="s">
        <v>174</v>
      </c>
      <c r="M2385">
        <v>0</v>
      </c>
      <c r="N2385" t="s">
        <v>175</v>
      </c>
      <c r="O2385">
        <v>1</v>
      </c>
      <c r="P2385">
        <v>0</v>
      </c>
      <c r="Q2385" s="6">
        <v>48.8</v>
      </c>
      <c r="R2385">
        <v>0</v>
      </c>
      <c r="S2385" s="6">
        <v>0</v>
      </c>
      <c r="T2385">
        <v>0</v>
      </c>
      <c r="U2385" s="6">
        <v>5080</v>
      </c>
      <c r="V2385">
        <v>0</v>
      </c>
      <c r="W2385">
        <v>0</v>
      </c>
      <c r="X2385">
        <v>1</v>
      </c>
      <c r="Y2385" s="6">
        <v>36.6</v>
      </c>
      <c r="Z2385">
        <v>1.2E-2</v>
      </c>
      <c r="AA2385">
        <v>3.9E-2</v>
      </c>
      <c r="AB2385">
        <v>4.4999999999999998E-2</v>
      </c>
      <c r="AC2385">
        <v>5</v>
      </c>
      <c r="AD2385" s="6">
        <v>51</v>
      </c>
      <c r="AE2385" s="6">
        <v>0</v>
      </c>
      <c r="AF2385" s="6">
        <v>0</v>
      </c>
      <c r="AG2385" s="6">
        <v>54.32</v>
      </c>
      <c r="AH2385" s="6">
        <v>70.86</v>
      </c>
      <c r="AI2385" s="6">
        <f t="shared" si="74"/>
        <v>16.54</v>
      </c>
      <c r="AJ2385" s="5">
        <f t="shared" si="75"/>
        <v>0.23341800733841375</v>
      </c>
    </row>
    <row r="2386" spans="1:36">
      <c r="A2386" t="s">
        <v>196</v>
      </c>
      <c r="B2386" t="s">
        <v>2671</v>
      </c>
      <c r="C2386" t="s">
        <v>114</v>
      </c>
      <c r="D2386" t="s">
        <v>68</v>
      </c>
      <c r="E2386" t="s">
        <v>55</v>
      </c>
      <c r="F2386">
        <v>0</v>
      </c>
      <c r="G2386">
        <v>998</v>
      </c>
      <c r="H2386">
        <v>1</v>
      </c>
      <c r="I2386" t="s">
        <v>181</v>
      </c>
      <c r="J2386">
        <v>3</v>
      </c>
      <c r="K2386" s="6">
        <v>8.39</v>
      </c>
      <c r="L2386" t="s">
        <v>174</v>
      </c>
      <c r="M2386">
        <v>0</v>
      </c>
      <c r="N2386" t="s">
        <v>182</v>
      </c>
      <c r="O2386">
        <v>3</v>
      </c>
      <c r="P2386">
        <v>0</v>
      </c>
      <c r="Q2386" s="6">
        <v>88.7</v>
      </c>
      <c r="R2386">
        <v>0</v>
      </c>
      <c r="S2386" s="6">
        <v>0</v>
      </c>
      <c r="T2386">
        <v>0</v>
      </c>
      <c r="U2386" s="6">
        <v>3354</v>
      </c>
      <c r="V2386">
        <v>0</v>
      </c>
      <c r="W2386">
        <v>0</v>
      </c>
      <c r="X2386">
        <v>0</v>
      </c>
      <c r="Y2386" s="6">
        <v>36.6</v>
      </c>
      <c r="Z2386">
        <v>1.2E-2</v>
      </c>
      <c r="AA2386">
        <v>3.9E-2</v>
      </c>
      <c r="AB2386">
        <v>4.4999999999999998E-2</v>
      </c>
      <c r="AC2386">
        <v>5</v>
      </c>
      <c r="AD2386" s="6">
        <v>61</v>
      </c>
      <c r="AE2386" s="6">
        <v>0</v>
      </c>
      <c r="AF2386" s="6">
        <v>0</v>
      </c>
      <c r="AG2386" s="6">
        <v>99.34</v>
      </c>
      <c r="AH2386" s="6">
        <v>125.59</v>
      </c>
      <c r="AI2386" s="6">
        <f t="shared" si="74"/>
        <v>26.25</v>
      </c>
      <c r="AJ2386" s="5">
        <f t="shared" si="75"/>
        <v>0.20901345648538897</v>
      </c>
    </row>
    <row r="2387" spans="1:36">
      <c r="A2387" t="s">
        <v>183</v>
      </c>
      <c r="B2387" t="s">
        <v>2672</v>
      </c>
      <c r="C2387" t="s">
        <v>114</v>
      </c>
      <c r="D2387" t="s">
        <v>68</v>
      </c>
      <c r="E2387" t="s">
        <v>55</v>
      </c>
      <c r="F2387">
        <v>0</v>
      </c>
      <c r="G2387">
        <v>998</v>
      </c>
      <c r="H2387">
        <v>1</v>
      </c>
      <c r="I2387" t="s">
        <v>181</v>
      </c>
      <c r="J2387">
        <v>3</v>
      </c>
      <c r="K2387" s="6">
        <v>10.71</v>
      </c>
      <c r="L2387" t="s">
        <v>174</v>
      </c>
      <c r="M2387">
        <v>0</v>
      </c>
      <c r="N2387" t="s">
        <v>182</v>
      </c>
      <c r="O2387">
        <v>3</v>
      </c>
      <c r="P2387">
        <v>0</v>
      </c>
      <c r="Q2387" s="6">
        <v>125</v>
      </c>
      <c r="R2387">
        <v>0</v>
      </c>
      <c r="S2387" s="6">
        <v>0</v>
      </c>
      <c r="T2387">
        <v>0</v>
      </c>
      <c r="U2387" s="6">
        <v>4847</v>
      </c>
      <c r="V2387">
        <v>0</v>
      </c>
      <c r="W2387">
        <v>0</v>
      </c>
      <c r="X2387">
        <v>0</v>
      </c>
      <c r="Y2387" s="6">
        <v>36.6</v>
      </c>
      <c r="Z2387">
        <v>1.2E-2</v>
      </c>
      <c r="AA2387">
        <v>3.9E-2</v>
      </c>
      <c r="AB2387">
        <v>4.4999999999999998E-2</v>
      </c>
      <c r="AC2387">
        <v>5</v>
      </c>
      <c r="AD2387" s="6">
        <v>61</v>
      </c>
      <c r="AE2387" s="6">
        <v>0</v>
      </c>
      <c r="AF2387" s="6">
        <v>0</v>
      </c>
      <c r="AG2387" s="6">
        <v>112.52</v>
      </c>
      <c r="AH2387" s="6">
        <v>142.21</v>
      </c>
      <c r="AI2387" s="6">
        <f t="shared" si="74"/>
        <v>29.690000000000012</v>
      </c>
      <c r="AJ2387" s="5">
        <f t="shared" si="75"/>
        <v>0.20877575416637376</v>
      </c>
    </row>
    <row r="2388" spans="1:36">
      <c r="A2388" t="s">
        <v>300</v>
      </c>
      <c r="B2388" t="s">
        <v>2673</v>
      </c>
      <c r="C2388" t="s">
        <v>114</v>
      </c>
      <c r="D2388" t="s">
        <v>68</v>
      </c>
      <c r="E2388" t="s">
        <v>55</v>
      </c>
      <c r="F2388">
        <v>0</v>
      </c>
      <c r="G2388">
        <v>998</v>
      </c>
      <c r="H2388">
        <v>1</v>
      </c>
      <c r="I2388" t="s">
        <v>173</v>
      </c>
      <c r="J2388">
        <v>1</v>
      </c>
      <c r="K2388" s="6">
        <v>2.0299999999999998</v>
      </c>
      <c r="L2388" t="s">
        <v>174</v>
      </c>
      <c r="M2388">
        <v>0</v>
      </c>
      <c r="N2388" t="s">
        <v>187</v>
      </c>
      <c r="O2388">
        <v>2</v>
      </c>
      <c r="P2388">
        <v>0</v>
      </c>
      <c r="Q2388" s="6">
        <v>55.9</v>
      </c>
      <c r="R2388">
        <v>1</v>
      </c>
      <c r="S2388" s="6">
        <v>1611</v>
      </c>
      <c r="T2388">
        <v>0</v>
      </c>
      <c r="U2388" s="6">
        <v>5561</v>
      </c>
      <c r="V2388">
        <v>0</v>
      </c>
      <c r="W2388">
        <v>0</v>
      </c>
      <c r="X2388">
        <v>0</v>
      </c>
      <c r="Y2388" s="6">
        <v>36.6</v>
      </c>
      <c r="Z2388">
        <v>1.2E-2</v>
      </c>
      <c r="AA2388">
        <v>3.9E-2</v>
      </c>
      <c r="AB2388">
        <v>4.4999999999999998E-2</v>
      </c>
      <c r="AC2388">
        <v>5</v>
      </c>
      <c r="AD2388" s="6">
        <v>51</v>
      </c>
      <c r="AE2388" s="6">
        <v>25</v>
      </c>
      <c r="AF2388" s="6">
        <v>0</v>
      </c>
      <c r="AG2388" s="6">
        <v>52.9</v>
      </c>
      <c r="AH2388" s="6">
        <v>70.099999999999994</v>
      </c>
      <c r="AI2388" s="6">
        <f t="shared" si="74"/>
        <v>17.199999999999996</v>
      </c>
      <c r="AJ2388" s="5">
        <f t="shared" si="75"/>
        <v>0.2453637660485021</v>
      </c>
    </row>
    <row r="2389" spans="1:36">
      <c r="A2389" t="s">
        <v>210</v>
      </c>
      <c r="B2389" t="s">
        <v>2674</v>
      </c>
      <c r="C2389" t="s">
        <v>114</v>
      </c>
      <c r="D2389" t="s">
        <v>68</v>
      </c>
      <c r="E2389" t="s">
        <v>55</v>
      </c>
      <c r="F2389">
        <v>0</v>
      </c>
      <c r="G2389">
        <v>998</v>
      </c>
      <c r="H2389">
        <v>1</v>
      </c>
      <c r="I2389" t="s">
        <v>173</v>
      </c>
      <c r="J2389">
        <v>1</v>
      </c>
      <c r="K2389" s="6">
        <v>0.75</v>
      </c>
      <c r="L2389" t="s">
        <v>174</v>
      </c>
      <c r="M2389">
        <v>0</v>
      </c>
      <c r="N2389" t="s">
        <v>187</v>
      </c>
      <c r="O2389">
        <v>2</v>
      </c>
      <c r="P2389">
        <v>0</v>
      </c>
      <c r="Q2389" s="6">
        <v>69.5</v>
      </c>
      <c r="R2389">
        <v>0</v>
      </c>
      <c r="S2389" s="6">
        <v>0</v>
      </c>
      <c r="T2389">
        <v>0</v>
      </c>
      <c r="U2389" s="6">
        <v>3739</v>
      </c>
      <c r="V2389">
        <v>0</v>
      </c>
      <c r="W2389">
        <v>0</v>
      </c>
      <c r="X2389">
        <v>0</v>
      </c>
      <c r="Y2389" s="6">
        <v>36.6</v>
      </c>
      <c r="Z2389">
        <v>1.2E-2</v>
      </c>
      <c r="AA2389">
        <v>3.9E-2</v>
      </c>
      <c r="AB2389">
        <v>4.4999999999999998E-2</v>
      </c>
      <c r="AC2389">
        <v>5</v>
      </c>
      <c r="AD2389" s="6">
        <v>51</v>
      </c>
      <c r="AE2389" s="6">
        <v>0</v>
      </c>
      <c r="AF2389" s="6">
        <v>0</v>
      </c>
      <c r="AG2389" s="6">
        <v>50.7</v>
      </c>
      <c r="AH2389" s="6">
        <v>64.540000000000006</v>
      </c>
      <c r="AI2389" s="6">
        <f t="shared" si="74"/>
        <v>13.840000000000003</v>
      </c>
      <c r="AJ2389" s="5">
        <f t="shared" si="75"/>
        <v>0.21444065695692596</v>
      </c>
    </row>
    <row r="2390" spans="1:36">
      <c r="A2390" t="s">
        <v>251</v>
      </c>
      <c r="B2390" t="s">
        <v>2675</v>
      </c>
      <c r="C2390" t="s">
        <v>114</v>
      </c>
      <c r="D2390" t="s">
        <v>68</v>
      </c>
      <c r="E2390" t="s">
        <v>55</v>
      </c>
      <c r="F2390">
        <v>0</v>
      </c>
      <c r="G2390">
        <v>998</v>
      </c>
      <c r="H2390">
        <v>1</v>
      </c>
      <c r="I2390" t="s">
        <v>181</v>
      </c>
      <c r="J2390">
        <v>3</v>
      </c>
      <c r="K2390" s="6">
        <v>2.91</v>
      </c>
      <c r="L2390" t="s">
        <v>174</v>
      </c>
      <c r="M2390">
        <v>0</v>
      </c>
      <c r="N2390" t="s">
        <v>187</v>
      </c>
      <c r="O2390">
        <v>2</v>
      </c>
      <c r="P2390">
        <v>0</v>
      </c>
      <c r="Q2390" s="6">
        <v>45.7</v>
      </c>
      <c r="R2390">
        <v>0</v>
      </c>
      <c r="S2390" s="6">
        <v>0</v>
      </c>
      <c r="T2390">
        <v>0</v>
      </c>
      <c r="U2390" s="6">
        <v>5894</v>
      </c>
      <c r="V2390">
        <v>0</v>
      </c>
      <c r="W2390">
        <v>0</v>
      </c>
      <c r="X2390">
        <v>0</v>
      </c>
      <c r="Y2390" s="6">
        <v>36.6</v>
      </c>
      <c r="Z2390">
        <v>1.2E-2</v>
      </c>
      <c r="AA2390">
        <v>3.9E-2</v>
      </c>
      <c r="AB2390">
        <v>4.4999999999999998E-2</v>
      </c>
      <c r="AC2390">
        <v>5</v>
      </c>
      <c r="AD2390" s="6">
        <v>61</v>
      </c>
      <c r="AE2390" s="6">
        <v>0</v>
      </c>
      <c r="AF2390" s="6">
        <v>0</v>
      </c>
      <c r="AG2390" s="6">
        <v>72.459999999999994</v>
      </c>
      <c r="AH2390" s="6">
        <v>93.71</v>
      </c>
      <c r="AI2390" s="6">
        <f t="shared" si="74"/>
        <v>21.25</v>
      </c>
      <c r="AJ2390" s="5">
        <f t="shared" si="75"/>
        <v>0.22676341905879843</v>
      </c>
    </row>
    <row r="2391" spans="1:36">
      <c r="A2391" t="s">
        <v>319</v>
      </c>
      <c r="B2391" t="s">
        <v>2676</v>
      </c>
      <c r="C2391" t="s">
        <v>114</v>
      </c>
      <c r="D2391" t="s">
        <v>68</v>
      </c>
      <c r="E2391" t="s">
        <v>55</v>
      </c>
      <c r="F2391">
        <v>0</v>
      </c>
      <c r="G2391">
        <v>998</v>
      </c>
      <c r="H2391">
        <v>1</v>
      </c>
      <c r="I2391" t="s">
        <v>173</v>
      </c>
      <c r="J2391">
        <v>1</v>
      </c>
      <c r="K2391" s="6">
        <v>1.6</v>
      </c>
      <c r="L2391" t="s">
        <v>174</v>
      </c>
      <c r="M2391">
        <v>0</v>
      </c>
      <c r="N2391" t="s">
        <v>175</v>
      </c>
      <c r="O2391">
        <v>1</v>
      </c>
      <c r="P2391">
        <v>0</v>
      </c>
      <c r="Q2391" s="6">
        <v>35</v>
      </c>
      <c r="R2391">
        <v>0</v>
      </c>
      <c r="S2391" s="6">
        <v>0</v>
      </c>
      <c r="T2391">
        <v>0</v>
      </c>
      <c r="U2391" s="6">
        <v>1120</v>
      </c>
      <c r="V2391">
        <v>0</v>
      </c>
      <c r="W2391">
        <v>0</v>
      </c>
      <c r="X2391">
        <v>0</v>
      </c>
      <c r="Y2391" s="6">
        <v>36.6</v>
      </c>
      <c r="Z2391">
        <v>1.2E-2</v>
      </c>
      <c r="AA2391">
        <v>3.9E-2</v>
      </c>
      <c r="AB2391">
        <v>4.4999999999999998E-2</v>
      </c>
      <c r="AC2391">
        <v>5</v>
      </c>
      <c r="AD2391" s="6">
        <v>51</v>
      </c>
      <c r="AE2391" s="6">
        <v>0</v>
      </c>
      <c r="AF2391" s="6">
        <v>0</v>
      </c>
      <c r="AG2391" s="6">
        <v>46.27</v>
      </c>
      <c r="AH2391" s="6">
        <v>62.19</v>
      </c>
      <c r="AI2391" s="6">
        <f t="shared" si="74"/>
        <v>15.919999999999995</v>
      </c>
      <c r="AJ2391" s="5">
        <f t="shared" si="75"/>
        <v>0.25598970895642381</v>
      </c>
    </row>
    <row r="2392" spans="1:36">
      <c r="A2392" t="s">
        <v>279</v>
      </c>
      <c r="B2392" t="s">
        <v>2677</v>
      </c>
      <c r="C2392" t="s">
        <v>114</v>
      </c>
      <c r="D2392" t="s">
        <v>68</v>
      </c>
      <c r="E2392" t="s">
        <v>55</v>
      </c>
      <c r="F2392">
        <v>0</v>
      </c>
      <c r="G2392">
        <v>998</v>
      </c>
      <c r="H2392">
        <v>1</v>
      </c>
      <c r="I2392" t="s">
        <v>178</v>
      </c>
      <c r="J2392">
        <v>4</v>
      </c>
      <c r="K2392" s="6">
        <v>14.55</v>
      </c>
      <c r="L2392" t="s">
        <v>174</v>
      </c>
      <c r="M2392">
        <v>0</v>
      </c>
      <c r="N2392" t="s">
        <v>187</v>
      </c>
      <c r="O2392">
        <v>2</v>
      </c>
      <c r="P2392">
        <v>0</v>
      </c>
      <c r="Q2392" s="6">
        <v>53.3</v>
      </c>
      <c r="R2392">
        <v>0</v>
      </c>
      <c r="S2392" s="6">
        <v>0</v>
      </c>
      <c r="T2392">
        <v>0</v>
      </c>
      <c r="U2392" s="6">
        <v>2404</v>
      </c>
      <c r="V2392">
        <v>0</v>
      </c>
      <c r="W2392">
        <v>0</v>
      </c>
      <c r="X2392">
        <v>0</v>
      </c>
      <c r="Y2392" s="6">
        <v>36.6</v>
      </c>
      <c r="Z2392">
        <v>1.2E-2</v>
      </c>
      <c r="AA2392">
        <v>3.9E-2</v>
      </c>
      <c r="AB2392">
        <v>4.4999999999999998E-2</v>
      </c>
      <c r="AC2392">
        <v>5</v>
      </c>
      <c r="AD2392" s="6">
        <v>66</v>
      </c>
      <c r="AE2392" s="6">
        <v>0</v>
      </c>
      <c r="AF2392" s="6">
        <v>0</v>
      </c>
      <c r="AG2392" s="6">
        <v>128.24</v>
      </c>
      <c r="AH2392" s="6">
        <v>161.59</v>
      </c>
      <c r="AI2392" s="6">
        <f t="shared" si="74"/>
        <v>33.349999999999994</v>
      </c>
      <c r="AJ2392" s="5">
        <f t="shared" si="75"/>
        <v>0.20638653382016209</v>
      </c>
    </row>
    <row r="2393" spans="1:36">
      <c r="A2393" t="s">
        <v>296</v>
      </c>
      <c r="B2393" t="s">
        <v>2678</v>
      </c>
      <c r="C2393" t="s">
        <v>114</v>
      </c>
      <c r="D2393" t="s">
        <v>68</v>
      </c>
      <c r="E2393" t="s">
        <v>55</v>
      </c>
      <c r="F2393">
        <v>0</v>
      </c>
      <c r="G2393">
        <v>998</v>
      </c>
      <c r="H2393">
        <v>1</v>
      </c>
      <c r="I2393" t="s">
        <v>178</v>
      </c>
      <c r="J2393">
        <v>4</v>
      </c>
      <c r="K2393" s="6">
        <v>13.65</v>
      </c>
      <c r="L2393" t="s">
        <v>174</v>
      </c>
      <c r="M2393">
        <v>0</v>
      </c>
      <c r="N2393" t="s">
        <v>217</v>
      </c>
      <c r="O2393">
        <v>4</v>
      </c>
      <c r="P2393">
        <v>1</v>
      </c>
      <c r="Q2393" s="6">
        <v>157.5</v>
      </c>
      <c r="R2393">
        <v>0</v>
      </c>
      <c r="S2393" s="6">
        <v>0</v>
      </c>
      <c r="T2393">
        <v>0</v>
      </c>
      <c r="U2393" s="6">
        <v>6450</v>
      </c>
      <c r="V2393">
        <v>0</v>
      </c>
      <c r="W2393">
        <v>0</v>
      </c>
      <c r="X2393">
        <v>0</v>
      </c>
      <c r="Y2393" s="6">
        <v>36.6</v>
      </c>
      <c r="Z2393">
        <v>1.2E-2</v>
      </c>
      <c r="AA2393">
        <v>3.9E-2</v>
      </c>
      <c r="AB2393">
        <v>4.4999999999999998E-2</v>
      </c>
      <c r="AC2393">
        <v>5</v>
      </c>
      <c r="AD2393" s="6">
        <v>66</v>
      </c>
      <c r="AE2393" s="6">
        <v>0</v>
      </c>
      <c r="AF2393" s="6">
        <v>0</v>
      </c>
      <c r="AG2393" s="6">
        <v>184</v>
      </c>
      <c r="AH2393" s="6">
        <v>234.04</v>
      </c>
      <c r="AI2393" s="6">
        <f t="shared" si="74"/>
        <v>50.039999999999992</v>
      </c>
      <c r="AJ2393" s="5">
        <f t="shared" si="75"/>
        <v>0.21380960519569303</v>
      </c>
    </row>
    <row r="2394" spans="1:36">
      <c r="A2394" t="s">
        <v>201</v>
      </c>
      <c r="B2394" t="s">
        <v>2679</v>
      </c>
      <c r="C2394" t="s">
        <v>114</v>
      </c>
      <c r="D2394" t="s">
        <v>68</v>
      </c>
      <c r="E2394" t="s">
        <v>55</v>
      </c>
      <c r="F2394">
        <v>0</v>
      </c>
      <c r="G2394">
        <v>998</v>
      </c>
      <c r="H2394">
        <v>1</v>
      </c>
      <c r="I2394" t="s">
        <v>181</v>
      </c>
      <c r="J2394">
        <v>3</v>
      </c>
      <c r="K2394" s="6">
        <v>9.26</v>
      </c>
      <c r="L2394" t="s">
        <v>174</v>
      </c>
      <c r="M2394">
        <v>0</v>
      </c>
      <c r="N2394" t="s">
        <v>182</v>
      </c>
      <c r="O2394">
        <v>3</v>
      </c>
      <c r="P2394">
        <v>0</v>
      </c>
      <c r="Q2394" s="6">
        <v>95.3</v>
      </c>
      <c r="R2394">
        <v>0</v>
      </c>
      <c r="S2394" s="6">
        <v>0</v>
      </c>
      <c r="T2394">
        <v>0</v>
      </c>
      <c r="U2394" s="6">
        <v>4223</v>
      </c>
      <c r="V2394">
        <v>0</v>
      </c>
      <c r="W2394">
        <v>0</v>
      </c>
      <c r="X2394">
        <v>0</v>
      </c>
      <c r="Y2394" s="6">
        <v>36.6</v>
      </c>
      <c r="Z2394">
        <v>1.2E-2</v>
      </c>
      <c r="AA2394">
        <v>3.9E-2</v>
      </c>
      <c r="AB2394">
        <v>4.4999999999999998E-2</v>
      </c>
      <c r="AC2394">
        <v>5</v>
      </c>
      <c r="AD2394" s="6">
        <v>61</v>
      </c>
      <c r="AE2394" s="6">
        <v>0</v>
      </c>
      <c r="AF2394" s="6">
        <v>0</v>
      </c>
      <c r="AG2394" s="6">
        <v>102.27</v>
      </c>
      <c r="AH2394" s="6">
        <v>129.22</v>
      </c>
      <c r="AI2394" s="6">
        <f t="shared" si="74"/>
        <v>26.950000000000003</v>
      </c>
      <c r="AJ2394" s="5">
        <f t="shared" si="75"/>
        <v>0.20855904658721564</v>
      </c>
    </row>
    <row r="2395" spans="1:36">
      <c r="A2395" t="s">
        <v>171</v>
      </c>
      <c r="B2395" t="s">
        <v>2680</v>
      </c>
      <c r="C2395" t="s">
        <v>114</v>
      </c>
      <c r="D2395" t="s">
        <v>68</v>
      </c>
      <c r="E2395" t="s">
        <v>55</v>
      </c>
      <c r="F2395">
        <v>0</v>
      </c>
      <c r="G2395">
        <v>998</v>
      </c>
      <c r="H2395">
        <v>1</v>
      </c>
      <c r="I2395" t="s">
        <v>220</v>
      </c>
      <c r="J2395">
        <v>2</v>
      </c>
      <c r="K2395" s="6">
        <v>3.59</v>
      </c>
      <c r="L2395" t="s">
        <v>174</v>
      </c>
      <c r="M2395">
        <v>0</v>
      </c>
      <c r="N2395" t="s">
        <v>175</v>
      </c>
      <c r="O2395">
        <v>1</v>
      </c>
      <c r="P2395">
        <v>0</v>
      </c>
      <c r="Q2395" s="6">
        <v>45.9</v>
      </c>
      <c r="R2395">
        <v>0</v>
      </c>
      <c r="S2395" s="6">
        <v>0</v>
      </c>
      <c r="T2395">
        <v>0</v>
      </c>
      <c r="U2395" s="6">
        <v>6157</v>
      </c>
      <c r="V2395">
        <v>0</v>
      </c>
      <c r="W2395">
        <v>0</v>
      </c>
      <c r="X2395">
        <v>0</v>
      </c>
      <c r="Y2395" s="6">
        <v>36.6</v>
      </c>
      <c r="Z2395">
        <v>1.2E-2</v>
      </c>
      <c r="AA2395">
        <v>3.9E-2</v>
      </c>
      <c r="AB2395">
        <v>4.4999999999999998E-2</v>
      </c>
      <c r="AC2395">
        <v>5</v>
      </c>
      <c r="AD2395" s="6">
        <v>51</v>
      </c>
      <c r="AE2395" s="6">
        <v>0</v>
      </c>
      <c r="AF2395" s="6">
        <v>0</v>
      </c>
      <c r="AG2395" s="6">
        <v>59.32</v>
      </c>
      <c r="AH2395" s="6">
        <v>79.05</v>
      </c>
      <c r="AI2395" s="6">
        <f t="shared" si="74"/>
        <v>19.729999999999997</v>
      </c>
      <c r="AJ2395" s="5">
        <f t="shared" si="75"/>
        <v>0.24958886780518655</v>
      </c>
    </row>
    <row r="2396" spans="1:36">
      <c r="A2396" t="s">
        <v>330</v>
      </c>
      <c r="B2396" t="s">
        <v>2681</v>
      </c>
      <c r="C2396" t="s">
        <v>114</v>
      </c>
      <c r="D2396" t="s">
        <v>68</v>
      </c>
      <c r="E2396" t="s">
        <v>55</v>
      </c>
      <c r="F2396">
        <v>0</v>
      </c>
      <c r="G2396">
        <v>998</v>
      </c>
      <c r="H2396">
        <v>1</v>
      </c>
      <c r="I2396" t="s">
        <v>173</v>
      </c>
      <c r="J2396">
        <v>1</v>
      </c>
      <c r="K2396" s="6">
        <v>2.13</v>
      </c>
      <c r="L2396" t="s">
        <v>174</v>
      </c>
      <c r="M2396">
        <v>0</v>
      </c>
      <c r="N2396" t="s">
        <v>175</v>
      </c>
      <c r="O2396">
        <v>1</v>
      </c>
      <c r="P2396">
        <v>0</v>
      </c>
      <c r="Q2396" s="6">
        <v>19.600000000000001</v>
      </c>
      <c r="R2396">
        <v>0</v>
      </c>
      <c r="S2396" s="6">
        <v>0</v>
      </c>
      <c r="T2396">
        <v>0</v>
      </c>
      <c r="U2396" s="6">
        <v>3829</v>
      </c>
      <c r="V2396">
        <v>0</v>
      </c>
      <c r="W2396">
        <v>0</v>
      </c>
      <c r="X2396">
        <v>0</v>
      </c>
      <c r="Y2396" s="6">
        <v>36.6</v>
      </c>
      <c r="Z2396">
        <v>1.2E-2</v>
      </c>
      <c r="AA2396">
        <v>3.9E-2</v>
      </c>
      <c r="AB2396">
        <v>4.4999999999999998E-2</v>
      </c>
      <c r="AC2396">
        <v>5</v>
      </c>
      <c r="AD2396" s="6">
        <v>51</v>
      </c>
      <c r="AE2396" s="6">
        <v>0</v>
      </c>
      <c r="AF2396" s="6">
        <v>0</v>
      </c>
      <c r="AG2396" s="6">
        <v>47.39</v>
      </c>
      <c r="AH2396" s="6">
        <v>59.25</v>
      </c>
      <c r="AI2396" s="6">
        <f t="shared" si="74"/>
        <v>11.86</v>
      </c>
      <c r="AJ2396" s="5">
        <f t="shared" si="75"/>
        <v>0.200168776371308</v>
      </c>
    </row>
    <row r="2397" spans="1:36">
      <c r="A2397" t="s">
        <v>263</v>
      </c>
      <c r="B2397" t="s">
        <v>2682</v>
      </c>
      <c r="C2397" t="s">
        <v>114</v>
      </c>
      <c r="D2397" t="s">
        <v>68</v>
      </c>
      <c r="E2397" t="s">
        <v>55</v>
      </c>
      <c r="F2397">
        <v>0</v>
      </c>
      <c r="G2397">
        <v>998</v>
      </c>
      <c r="H2397">
        <v>1</v>
      </c>
      <c r="I2397" t="s">
        <v>181</v>
      </c>
      <c r="J2397">
        <v>3</v>
      </c>
      <c r="K2397" s="6">
        <v>9.1199999999999992</v>
      </c>
      <c r="L2397" t="s">
        <v>174</v>
      </c>
      <c r="M2397">
        <v>0</v>
      </c>
      <c r="N2397" t="s">
        <v>175</v>
      </c>
      <c r="O2397">
        <v>1</v>
      </c>
      <c r="P2397">
        <v>0</v>
      </c>
      <c r="Q2397" s="6">
        <v>25.9</v>
      </c>
      <c r="R2397">
        <v>1</v>
      </c>
      <c r="S2397" s="6">
        <v>2701</v>
      </c>
      <c r="T2397">
        <v>0</v>
      </c>
      <c r="U2397" s="6">
        <v>3122</v>
      </c>
      <c r="V2397">
        <v>0</v>
      </c>
      <c r="W2397">
        <v>0</v>
      </c>
      <c r="X2397">
        <v>0</v>
      </c>
      <c r="Y2397" s="6">
        <v>36.6</v>
      </c>
      <c r="Z2397">
        <v>1.2E-2</v>
      </c>
      <c r="AA2397">
        <v>3.9E-2</v>
      </c>
      <c r="AB2397">
        <v>4.4999999999999998E-2</v>
      </c>
      <c r="AC2397">
        <v>5</v>
      </c>
      <c r="AD2397" s="6">
        <v>61</v>
      </c>
      <c r="AE2397" s="6">
        <v>40</v>
      </c>
      <c r="AF2397" s="6">
        <v>0</v>
      </c>
      <c r="AG2397" s="6">
        <v>96.29</v>
      </c>
      <c r="AH2397" s="6">
        <v>120.57</v>
      </c>
      <c r="AI2397" s="6">
        <f t="shared" si="74"/>
        <v>24.279999999999987</v>
      </c>
      <c r="AJ2397" s="5">
        <f t="shared" si="75"/>
        <v>0.2013767935639047</v>
      </c>
    </row>
    <row r="2398" spans="1:36">
      <c r="A2398" t="s">
        <v>190</v>
      </c>
      <c r="B2398" t="s">
        <v>2683</v>
      </c>
      <c r="C2398" t="s">
        <v>114</v>
      </c>
      <c r="D2398" t="s">
        <v>68</v>
      </c>
      <c r="E2398" t="s">
        <v>55</v>
      </c>
      <c r="F2398">
        <v>0</v>
      </c>
      <c r="G2398">
        <v>998</v>
      </c>
      <c r="H2398">
        <v>1</v>
      </c>
      <c r="I2398" t="s">
        <v>178</v>
      </c>
      <c r="J2398">
        <v>4</v>
      </c>
      <c r="K2398" s="6">
        <v>13.6</v>
      </c>
      <c r="L2398" t="s">
        <v>174</v>
      </c>
      <c r="M2398">
        <v>0</v>
      </c>
      <c r="N2398" t="s">
        <v>175</v>
      </c>
      <c r="O2398">
        <v>1</v>
      </c>
      <c r="P2398">
        <v>0</v>
      </c>
      <c r="Q2398" s="6">
        <v>31.1</v>
      </c>
      <c r="R2398">
        <v>1</v>
      </c>
      <c r="S2398" s="6">
        <v>1876</v>
      </c>
      <c r="T2398">
        <v>0</v>
      </c>
      <c r="U2398" s="6">
        <v>10731</v>
      </c>
      <c r="V2398">
        <v>0</v>
      </c>
      <c r="W2398">
        <v>0</v>
      </c>
      <c r="X2398">
        <v>0</v>
      </c>
      <c r="Y2398" s="6">
        <v>36.6</v>
      </c>
      <c r="Z2398">
        <v>1.2E-2</v>
      </c>
      <c r="AA2398">
        <v>3.9E-2</v>
      </c>
      <c r="AB2398">
        <v>4.4999999999999998E-2</v>
      </c>
      <c r="AC2398">
        <v>5</v>
      </c>
      <c r="AD2398" s="6">
        <v>66</v>
      </c>
      <c r="AE2398" s="6">
        <v>25</v>
      </c>
      <c r="AF2398" s="6">
        <v>0</v>
      </c>
      <c r="AG2398" s="6">
        <v>128.9</v>
      </c>
      <c r="AH2398" s="6">
        <v>165.83</v>
      </c>
      <c r="AI2398" s="6">
        <f t="shared" si="74"/>
        <v>36.930000000000007</v>
      </c>
      <c r="AJ2398" s="5">
        <f t="shared" si="75"/>
        <v>0.22269794367725987</v>
      </c>
    </row>
    <row r="2399" spans="1:36">
      <c r="A2399" t="s">
        <v>249</v>
      </c>
      <c r="B2399" t="s">
        <v>2684</v>
      </c>
      <c r="C2399" t="s">
        <v>114</v>
      </c>
      <c r="D2399" t="s">
        <v>68</v>
      </c>
      <c r="E2399" t="s">
        <v>55</v>
      </c>
      <c r="F2399">
        <v>0</v>
      </c>
      <c r="G2399">
        <v>998</v>
      </c>
      <c r="H2399">
        <v>1</v>
      </c>
      <c r="I2399" t="s">
        <v>181</v>
      </c>
      <c r="J2399">
        <v>3</v>
      </c>
      <c r="K2399" s="6">
        <v>6.37</v>
      </c>
      <c r="L2399" t="s">
        <v>174</v>
      </c>
      <c r="M2399">
        <v>0</v>
      </c>
      <c r="N2399" t="s">
        <v>187</v>
      </c>
      <c r="O2399">
        <v>2</v>
      </c>
      <c r="P2399">
        <v>0</v>
      </c>
      <c r="Q2399" s="6">
        <v>49.2</v>
      </c>
      <c r="R2399">
        <v>0</v>
      </c>
      <c r="S2399" s="6">
        <v>0</v>
      </c>
      <c r="T2399">
        <v>0</v>
      </c>
      <c r="U2399" s="6">
        <v>3431</v>
      </c>
      <c r="V2399">
        <v>1</v>
      </c>
      <c r="W2399">
        <v>0</v>
      </c>
      <c r="X2399">
        <v>0</v>
      </c>
      <c r="Y2399" s="6">
        <v>36.6</v>
      </c>
      <c r="Z2399">
        <v>1.2E-2</v>
      </c>
      <c r="AA2399">
        <v>3.9E-2</v>
      </c>
      <c r="AB2399">
        <v>4.4999999999999998E-2</v>
      </c>
      <c r="AC2399">
        <v>5</v>
      </c>
      <c r="AD2399" s="6">
        <v>61</v>
      </c>
      <c r="AE2399" s="6">
        <v>0</v>
      </c>
      <c r="AF2399" s="6">
        <v>0</v>
      </c>
      <c r="AG2399" s="6">
        <v>115.62</v>
      </c>
      <c r="AH2399" s="6">
        <v>144.56</v>
      </c>
      <c r="AI2399" s="6">
        <f t="shared" si="74"/>
        <v>28.939999999999998</v>
      </c>
      <c r="AJ2399" s="5">
        <f t="shared" si="75"/>
        <v>0.20019369120088543</v>
      </c>
    </row>
    <row r="2400" spans="1:36">
      <c r="A2400" t="s">
        <v>375</v>
      </c>
      <c r="B2400" t="s">
        <v>2685</v>
      </c>
      <c r="C2400" t="s">
        <v>114</v>
      </c>
      <c r="D2400" t="s">
        <v>68</v>
      </c>
      <c r="E2400" t="s">
        <v>55</v>
      </c>
      <c r="F2400">
        <v>0</v>
      </c>
      <c r="G2400">
        <v>998</v>
      </c>
      <c r="H2400">
        <v>1</v>
      </c>
      <c r="I2400" t="s">
        <v>178</v>
      </c>
      <c r="J2400">
        <v>4</v>
      </c>
      <c r="K2400" s="6">
        <v>18.32</v>
      </c>
      <c r="L2400" t="s">
        <v>174</v>
      </c>
      <c r="M2400">
        <v>0</v>
      </c>
      <c r="N2400" t="s">
        <v>182</v>
      </c>
      <c r="O2400">
        <v>3</v>
      </c>
      <c r="P2400">
        <v>0</v>
      </c>
      <c r="Q2400" s="6">
        <v>115.3</v>
      </c>
      <c r="R2400">
        <v>0</v>
      </c>
      <c r="S2400" s="6">
        <v>0</v>
      </c>
      <c r="T2400">
        <v>0</v>
      </c>
      <c r="U2400" s="6">
        <v>2729</v>
      </c>
      <c r="V2400">
        <v>1</v>
      </c>
      <c r="W2400">
        <v>0</v>
      </c>
      <c r="X2400">
        <v>0</v>
      </c>
      <c r="Y2400" s="6">
        <v>36.6</v>
      </c>
      <c r="Z2400">
        <v>1.2E-2</v>
      </c>
      <c r="AA2400">
        <v>3.9E-2</v>
      </c>
      <c r="AB2400">
        <v>4.4999999999999998E-2</v>
      </c>
      <c r="AC2400">
        <v>5</v>
      </c>
      <c r="AD2400" s="6">
        <v>66</v>
      </c>
      <c r="AE2400" s="6">
        <v>0</v>
      </c>
      <c r="AF2400" s="6">
        <v>0</v>
      </c>
      <c r="AG2400" s="6">
        <v>199.55</v>
      </c>
      <c r="AH2400" s="6">
        <v>250.32</v>
      </c>
      <c r="AI2400" s="6">
        <f t="shared" si="74"/>
        <v>50.769999999999982</v>
      </c>
      <c r="AJ2400" s="5">
        <f t="shared" si="75"/>
        <v>0.20282038990092674</v>
      </c>
    </row>
    <row r="2401" spans="1:36">
      <c r="A2401" t="s">
        <v>215</v>
      </c>
      <c r="B2401" t="s">
        <v>2686</v>
      </c>
      <c r="C2401" t="s">
        <v>114</v>
      </c>
      <c r="D2401" t="s">
        <v>68</v>
      </c>
      <c r="E2401" t="s">
        <v>55</v>
      </c>
      <c r="F2401">
        <v>0</v>
      </c>
      <c r="G2401">
        <v>998</v>
      </c>
      <c r="H2401">
        <v>1</v>
      </c>
      <c r="I2401" t="s">
        <v>220</v>
      </c>
      <c r="J2401">
        <v>2</v>
      </c>
      <c r="K2401" s="6">
        <v>4.8899999999999997</v>
      </c>
      <c r="L2401" t="s">
        <v>174</v>
      </c>
      <c r="M2401">
        <v>0</v>
      </c>
      <c r="N2401" t="s">
        <v>175</v>
      </c>
      <c r="O2401">
        <v>1</v>
      </c>
      <c r="P2401">
        <v>0</v>
      </c>
      <c r="Q2401" s="6">
        <v>49.6</v>
      </c>
      <c r="R2401">
        <v>0</v>
      </c>
      <c r="S2401" s="6">
        <v>0</v>
      </c>
      <c r="T2401">
        <v>0</v>
      </c>
      <c r="U2401" s="6">
        <v>1987</v>
      </c>
      <c r="V2401">
        <v>0</v>
      </c>
      <c r="W2401">
        <v>0</v>
      </c>
      <c r="X2401">
        <v>0</v>
      </c>
      <c r="Y2401" s="6">
        <v>36.6</v>
      </c>
      <c r="Z2401">
        <v>1.2E-2</v>
      </c>
      <c r="AA2401">
        <v>3.9E-2</v>
      </c>
      <c r="AB2401">
        <v>4.4999999999999998E-2</v>
      </c>
      <c r="AC2401">
        <v>5</v>
      </c>
      <c r="AD2401" s="6">
        <v>51</v>
      </c>
      <c r="AE2401" s="6">
        <v>0</v>
      </c>
      <c r="AF2401" s="6">
        <v>0</v>
      </c>
      <c r="AG2401" s="6">
        <v>59.77</v>
      </c>
      <c r="AH2401" s="6">
        <v>74.900000000000006</v>
      </c>
      <c r="AI2401" s="6">
        <f t="shared" si="74"/>
        <v>15.130000000000003</v>
      </c>
      <c r="AJ2401" s="5">
        <f t="shared" si="75"/>
        <v>0.2020026702269693</v>
      </c>
    </row>
    <row r="2402" spans="1:36">
      <c r="A2402" t="s">
        <v>330</v>
      </c>
      <c r="B2402" t="s">
        <v>2687</v>
      </c>
      <c r="C2402" t="s">
        <v>114</v>
      </c>
      <c r="D2402" t="s">
        <v>68</v>
      </c>
      <c r="E2402" t="s">
        <v>55</v>
      </c>
      <c r="F2402">
        <v>0</v>
      </c>
      <c r="G2402">
        <v>998</v>
      </c>
      <c r="H2402">
        <v>1</v>
      </c>
      <c r="I2402" t="s">
        <v>181</v>
      </c>
      <c r="J2402">
        <v>3</v>
      </c>
      <c r="K2402" s="6">
        <v>9.26</v>
      </c>
      <c r="L2402" t="s">
        <v>174</v>
      </c>
      <c r="M2402">
        <v>0</v>
      </c>
      <c r="N2402" t="s">
        <v>182</v>
      </c>
      <c r="O2402">
        <v>3</v>
      </c>
      <c r="P2402">
        <v>0</v>
      </c>
      <c r="Q2402" s="6">
        <v>81.599999999999994</v>
      </c>
      <c r="R2402">
        <v>0</v>
      </c>
      <c r="S2402" s="6">
        <v>0</v>
      </c>
      <c r="T2402">
        <v>0</v>
      </c>
      <c r="U2402" s="6">
        <v>3274</v>
      </c>
      <c r="V2402">
        <v>0</v>
      </c>
      <c r="W2402">
        <v>0</v>
      </c>
      <c r="X2402">
        <v>0</v>
      </c>
      <c r="Y2402" s="6">
        <v>36.6</v>
      </c>
      <c r="Z2402">
        <v>1.2E-2</v>
      </c>
      <c r="AA2402">
        <v>3.9E-2</v>
      </c>
      <c r="AB2402">
        <v>4.4999999999999998E-2</v>
      </c>
      <c r="AC2402">
        <v>5</v>
      </c>
      <c r="AD2402" s="6">
        <v>61</v>
      </c>
      <c r="AE2402" s="6">
        <v>0</v>
      </c>
      <c r="AF2402" s="6">
        <v>0</v>
      </c>
      <c r="AG2402" s="6">
        <v>109.51</v>
      </c>
      <c r="AH2402" s="6">
        <v>137.22</v>
      </c>
      <c r="AI2402" s="6">
        <f t="shared" si="74"/>
        <v>27.709999999999994</v>
      </c>
      <c r="AJ2402" s="5">
        <f t="shared" si="75"/>
        <v>0.20193849293105956</v>
      </c>
    </row>
    <row r="2403" spans="1:36">
      <c r="A2403" t="s">
        <v>236</v>
      </c>
      <c r="B2403" t="s">
        <v>2688</v>
      </c>
      <c r="C2403" t="s">
        <v>114</v>
      </c>
      <c r="D2403" t="s">
        <v>68</v>
      </c>
      <c r="E2403" t="s">
        <v>55</v>
      </c>
      <c r="F2403">
        <v>0</v>
      </c>
      <c r="G2403">
        <v>998</v>
      </c>
      <c r="H2403">
        <v>1</v>
      </c>
      <c r="I2403" t="s">
        <v>178</v>
      </c>
      <c r="J2403">
        <v>4</v>
      </c>
      <c r="K2403" s="6">
        <v>17.579999999999998</v>
      </c>
      <c r="L2403" t="s">
        <v>174</v>
      </c>
      <c r="M2403">
        <v>0</v>
      </c>
      <c r="N2403" t="s">
        <v>187</v>
      </c>
      <c r="O2403">
        <v>2</v>
      </c>
      <c r="P2403">
        <v>0</v>
      </c>
      <c r="Q2403" s="6">
        <v>47.3</v>
      </c>
      <c r="R2403">
        <v>0</v>
      </c>
      <c r="S2403" s="6">
        <v>0</v>
      </c>
      <c r="T2403">
        <v>0</v>
      </c>
      <c r="U2403" s="6">
        <v>5809</v>
      </c>
      <c r="V2403">
        <v>0</v>
      </c>
      <c r="W2403">
        <v>0</v>
      </c>
      <c r="X2403">
        <v>0</v>
      </c>
      <c r="Y2403" s="6">
        <v>36.6</v>
      </c>
      <c r="Z2403">
        <v>1.2E-2</v>
      </c>
      <c r="AA2403">
        <v>3.9E-2</v>
      </c>
      <c r="AB2403">
        <v>4.4999999999999998E-2</v>
      </c>
      <c r="AC2403">
        <v>5</v>
      </c>
      <c r="AD2403" s="6">
        <v>66</v>
      </c>
      <c r="AE2403" s="6">
        <v>0</v>
      </c>
      <c r="AF2403" s="6">
        <v>0</v>
      </c>
      <c r="AG2403" s="6">
        <v>141.47999999999999</v>
      </c>
      <c r="AH2403" s="6">
        <v>178.9</v>
      </c>
      <c r="AI2403" s="6">
        <f t="shared" si="74"/>
        <v>37.420000000000016</v>
      </c>
      <c r="AJ2403" s="5">
        <f t="shared" si="75"/>
        <v>0.2091671324762438</v>
      </c>
    </row>
    <row r="2404" spans="1:36">
      <c r="A2404" t="s">
        <v>478</v>
      </c>
      <c r="B2404" t="s">
        <v>2689</v>
      </c>
      <c r="C2404" t="s">
        <v>114</v>
      </c>
      <c r="D2404" t="s">
        <v>68</v>
      </c>
      <c r="E2404" t="s">
        <v>55</v>
      </c>
      <c r="F2404">
        <v>0</v>
      </c>
      <c r="G2404">
        <v>998</v>
      </c>
      <c r="H2404">
        <v>1</v>
      </c>
      <c r="I2404" t="s">
        <v>220</v>
      </c>
      <c r="J2404">
        <v>2</v>
      </c>
      <c r="K2404" s="6">
        <v>3.67</v>
      </c>
      <c r="L2404" t="s">
        <v>174</v>
      </c>
      <c r="M2404">
        <v>0</v>
      </c>
      <c r="N2404" t="s">
        <v>182</v>
      </c>
      <c r="O2404">
        <v>3</v>
      </c>
      <c r="P2404">
        <v>0</v>
      </c>
      <c r="Q2404" s="6">
        <v>53.3</v>
      </c>
      <c r="R2404">
        <v>0</v>
      </c>
      <c r="S2404" s="6">
        <v>0</v>
      </c>
      <c r="T2404">
        <v>0</v>
      </c>
      <c r="U2404" s="6">
        <v>3346</v>
      </c>
      <c r="V2404">
        <v>0</v>
      </c>
      <c r="W2404">
        <v>0</v>
      </c>
      <c r="X2404">
        <v>0</v>
      </c>
      <c r="Y2404" s="6">
        <v>36.6</v>
      </c>
      <c r="Z2404">
        <v>1.2E-2</v>
      </c>
      <c r="AA2404">
        <v>3.9E-2</v>
      </c>
      <c r="AB2404">
        <v>4.4999999999999998E-2</v>
      </c>
      <c r="AC2404">
        <v>5</v>
      </c>
      <c r="AD2404" s="6">
        <v>51</v>
      </c>
      <c r="AE2404" s="6">
        <v>0</v>
      </c>
      <c r="AF2404" s="6">
        <v>0</v>
      </c>
      <c r="AG2404" s="6">
        <v>70.47</v>
      </c>
      <c r="AH2404" s="6">
        <v>92.54</v>
      </c>
      <c r="AI2404" s="6">
        <f t="shared" si="74"/>
        <v>22.070000000000007</v>
      </c>
      <c r="AJ2404" s="5">
        <f t="shared" si="75"/>
        <v>0.23849146315106987</v>
      </c>
    </row>
    <row r="2405" spans="1:36">
      <c r="A2405" t="s">
        <v>353</v>
      </c>
      <c r="B2405" t="s">
        <v>2690</v>
      </c>
      <c r="C2405" t="s">
        <v>114</v>
      </c>
      <c r="D2405" t="s">
        <v>68</v>
      </c>
      <c r="E2405" t="s">
        <v>55</v>
      </c>
      <c r="F2405">
        <v>0</v>
      </c>
      <c r="G2405">
        <v>998</v>
      </c>
      <c r="H2405">
        <v>1</v>
      </c>
      <c r="I2405" t="s">
        <v>178</v>
      </c>
      <c r="J2405">
        <v>4</v>
      </c>
      <c r="K2405" s="6">
        <v>12.05</v>
      </c>
      <c r="L2405" t="s">
        <v>174</v>
      </c>
      <c r="M2405">
        <v>0</v>
      </c>
      <c r="N2405" t="s">
        <v>217</v>
      </c>
      <c r="O2405">
        <v>4</v>
      </c>
      <c r="P2405">
        <v>1</v>
      </c>
      <c r="Q2405" s="6">
        <v>40.200000000000003</v>
      </c>
      <c r="R2405">
        <v>0</v>
      </c>
      <c r="S2405" s="6">
        <v>0</v>
      </c>
      <c r="T2405">
        <v>0</v>
      </c>
      <c r="U2405" s="6">
        <v>3697</v>
      </c>
      <c r="V2405">
        <v>0</v>
      </c>
      <c r="W2405">
        <v>0</v>
      </c>
      <c r="X2405">
        <v>0</v>
      </c>
      <c r="Y2405" s="6">
        <v>36.6</v>
      </c>
      <c r="Z2405">
        <v>1.2E-2</v>
      </c>
      <c r="AA2405">
        <v>3.9E-2</v>
      </c>
      <c r="AB2405">
        <v>4.4999999999999998E-2</v>
      </c>
      <c r="AC2405">
        <v>5</v>
      </c>
      <c r="AD2405" s="6">
        <v>66</v>
      </c>
      <c r="AE2405" s="6">
        <v>0</v>
      </c>
      <c r="AF2405" s="6">
        <v>0</v>
      </c>
      <c r="AG2405" s="6">
        <v>165.6</v>
      </c>
      <c r="AH2405" s="6">
        <v>207.66</v>
      </c>
      <c r="AI2405" s="6">
        <f t="shared" si="74"/>
        <v>42.06</v>
      </c>
      <c r="AJ2405" s="5">
        <f t="shared" si="75"/>
        <v>0.20254261774053745</v>
      </c>
    </row>
    <row r="2406" spans="1:36">
      <c r="A2406" t="s">
        <v>328</v>
      </c>
      <c r="B2406" t="s">
        <v>2691</v>
      </c>
      <c r="C2406" t="s">
        <v>114</v>
      </c>
      <c r="D2406" t="s">
        <v>68</v>
      </c>
      <c r="E2406" t="s">
        <v>55</v>
      </c>
      <c r="F2406">
        <v>0</v>
      </c>
      <c r="G2406">
        <v>998</v>
      </c>
      <c r="H2406">
        <v>1</v>
      </c>
      <c r="I2406" t="s">
        <v>220</v>
      </c>
      <c r="J2406">
        <v>2</v>
      </c>
      <c r="K2406" s="6">
        <v>3.54</v>
      </c>
      <c r="L2406" t="s">
        <v>174</v>
      </c>
      <c r="M2406">
        <v>0</v>
      </c>
      <c r="N2406" t="s">
        <v>182</v>
      </c>
      <c r="O2406">
        <v>3</v>
      </c>
      <c r="P2406">
        <v>0</v>
      </c>
      <c r="Q2406" s="6">
        <v>118.8</v>
      </c>
      <c r="R2406">
        <v>0</v>
      </c>
      <c r="S2406" s="6">
        <v>0</v>
      </c>
      <c r="T2406">
        <v>0</v>
      </c>
      <c r="U2406" s="6">
        <v>2406</v>
      </c>
      <c r="V2406">
        <v>0</v>
      </c>
      <c r="W2406">
        <v>0</v>
      </c>
      <c r="X2406">
        <v>0</v>
      </c>
      <c r="Y2406" s="6">
        <v>36.6</v>
      </c>
      <c r="Z2406">
        <v>1.2E-2</v>
      </c>
      <c r="AA2406">
        <v>3.9E-2</v>
      </c>
      <c r="AB2406">
        <v>4.4999999999999998E-2</v>
      </c>
      <c r="AC2406">
        <v>5</v>
      </c>
      <c r="AD2406" s="6">
        <v>51</v>
      </c>
      <c r="AE2406" s="6">
        <v>0</v>
      </c>
      <c r="AF2406" s="6">
        <v>0</v>
      </c>
      <c r="AG2406" s="6">
        <v>66.84</v>
      </c>
      <c r="AH2406" s="6">
        <v>87.65</v>
      </c>
      <c r="AI2406" s="6">
        <f t="shared" si="74"/>
        <v>20.810000000000002</v>
      </c>
      <c r="AJ2406" s="5">
        <f t="shared" si="75"/>
        <v>0.2374215630347975</v>
      </c>
    </row>
    <row r="2407" spans="1:36">
      <c r="A2407" t="s">
        <v>274</v>
      </c>
      <c r="B2407" t="s">
        <v>2692</v>
      </c>
      <c r="C2407" t="s">
        <v>114</v>
      </c>
      <c r="D2407" t="s">
        <v>68</v>
      </c>
      <c r="E2407" t="s">
        <v>55</v>
      </c>
      <c r="F2407">
        <v>0</v>
      </c>
      <c r="G2407">
        <v>998</v>
      </c>
      <c r="H2407">
        <v>1</v>
      </c>
      <c r="I2407" t="s">
        <v>173</v>
      </c>
      <c r="J2407">
        <v>1</v>
      </c>
      <c r="K2407" s="6">
        <v>1.24</v>
      </c>
      <c r="L2407" t="s">
        <v>174</v>
      </c>
      <c r="M2407">
        <v>0</v>
      </c>
      <c r="N2407" t="s">
        <v>175</v>
      </c>
      <c r="O2407">
        <v>1</v>
      </c>
      <c r="P2407">
        <v>0</v>
      </c>
      <c r="Q2407" s="6">
        <v>30.8</v>
      </c>
      <c r="R2407">
        <v>1</v>
      </c>
      <c r="S2407" s="6">
        <v>1127</v>
      </c>
      <c r="T2407">
        <v>0</v>
      </c>
      <c r="U2407" s="6">
        <v>1211</v>
      </c>
      <c r="V2407">
        <v>0</v>
      </c>
      <c r="W2407">
        <v>0</v>
      </c>
      <c r="X2407">
        <v>0</v>
      </c>
      <c r="Y2407" s="6">
        <v>36.6</v>
      </c>
      <c r="Z2407">
        <v>1.2E-2</v>
      </c>
      <c r="AA2407">
        <v>3.9E-2</v>
      </c>
      <c r="AB2407">
        <v>4.4999999999999998E-2</v>
      </c>
      <c r="AC2407">
        <v>5</v>
      </c>
      <c r="AD2407" s="6">
        <v>51</v>
      </c>
      <c r="AE2407" s="6">
        <v>25</v>
      </c>
      <c r="AF2407" s="6">
        <v>0</v>
      </c>
      <c r="AG2407" s="6">
        <v>49.44</v>
      </c>
      <c r="AH2407" s="6">
        <v>64.900000000000006</v>
      </c>
      <c r="AI2407" s="6">
        <f t="shared" si="74"/>
        <v>15.460000000000008</v>
      </c>
      <c r="AJ2407" s="5">
        <f t="shared" si="75"/>
        <v>0.23821263482280441</v>
      </c>
    </row>
    <row r="2408" spans="1:36">
      <c r="A2408" t="s">
        <v>602</v>
      </c>
      <c r="B2408" t="s">
        <v>2693</v>
      </c>
      <c r="C2408" t="s">
        <v>114</v>
      </c>
      <c r="D2408" t="s">
        <v>68</v>
      </c>
      <c r="E2408" t="s">
        <v>55</v>
      </c>
      <c r="F2408">
        <v>0</v>
      </c>
      <c r="G2408">
        <v>998</v>
      </c>
      <c r="H2408">
        <v>1</v>
      </c>
      <c r="I2408" t="s">
        <v>220</v>
      </c>
      <c r="J2408">
        <v>2</v>
      </c>
      <c r="K2408" s="6">
        <v>5.28</v>
      </c>
      <c r="L2408" t="s">
        <v>174</v>
      </c>
      <c r="M2408">
        <v>0</v>
      </c>
      <c r="N2408" t="s">
        <v>187</v>
      </c>
      <c r="O2408">
        <v>2</v>
      </c>
      <c r="P2408">
        <v>0</v>
      </c>
      <c r="Q2408" s="6">
        <v>52</v>
      </c>
      <c r="R2408">
        <v>0</v>
      </c>
      <c r="S2408" s="6">
        <v>0</v>
      </c>
      <c r="T2408">
        <v>0</v>
      </c>
      <c r="U2408" s="6">
        <v>8734</v>
      </c>
      <c r="V2408">
        <v>0</v>
      </c>
      <c r="W2408">
        <v>0</v>
      </c>
      <c r="X2408">
        <v>0</v>
      </c>
      <c r="Y2408" s="6">
        <v>36.6</v>
      </c>
      <c r="Z2408">
        <v>1.2E-2</v>
      </c>
      <c r="AA2408">
        <v>3.9E-2</v>
      </c>
      <c r="AB2408">
        <v>4.4999999999999998E-2</v>
      </c>
      <c r="AC2408">
        <v>5</v>
      </c>
      <c r="AD2408" s="6">
        <v>51</v>
      </c>
      <c r="AE2408" s="6">
        <v>0</v>
      </c>
      <c r="AF2408" s="6">
        <v>0</v>
      </c>
      <c r="AG2408" s="6">
        <v>61.17</v>
      </c>
      <c r="AH2408" s="6">
        <v>80.05</v>
      </c>
      <c r="AI2408" s="6">
        <f t="shared" si="74"/>
        <v>18.879999999999995</v>
      </c>
      <c r="AJ2408" s="5">
        <f t="shared" si="75"/>
        <v>0.23585259212991874</v>
      </c>
    </row>
    <row r="2409" spans="1:36">
      <c r="A2409" t="s">
        <v>537</v>
      </c>
      <c r="B2409" t="s">
        <v>2694</v>
      </c>
      <c r="C2409" t="s">
        <v>114</v>
      </c>
      <c r="D2409" t="s">
        <v>68</v>
      </c>
      <c r="E2409" t="s">
        <v>55</v>
      </c>
      <c r="F2409">
        <v>0</v>
      </c>
      <c r="G2409">
        <v>998</v>
      </c>
      <c r="H2409">
        <v>1</v>
      </c>
      <c r="I2409" t="s">
        <v>173</v>
      </c>
      <c r="J2409">
        <v>1</v>
      </c>
      <c r="K2409" s="6">
        <v>2.41</v>
      </c>
      <c r="L2409" t="s">
        <v>174</v>
      </c>
      <c r="M2409">
        <v>0</v>
      </c>
      <c r="N2409" t="s">
        <v>182</v>
      </c>
      <c r="O2409">
        <v>3</v>
      </c>
      <c r="P2409">
        <v>0</v>
      </c>
      <c r="Q2409" s="6">
        <v>100.4</v>
      </c>
      <c r="R2409">
        <v>0</v>
      </c>
      <c r="S2409" s="6">
        <v>0</v>
      </c>
      <c r="T2409">
        <v>0</v>
      </c>
      <c r="U2409" s="6">
        <v>3020</v>
      </c>
      <c r="V2409">
        <v>0</v>
      </c>
      <c r="W2409">
        <v>0</v>
      </c>
      <c r="X2409">
        <v>0</v>
      </c>
      <c r="Y2409" s="6">
        <v>36.6</v>
      </c>
      <c r="Z2409">
        <v>1.2E-2</v>
      </c>
      <c r="AA2409">
        <v>3.9E-2</v>
      </c>
      <c r="AB2409">
        <v>4.4999999999999998E-2</v>
      </c>
      <c r="AC2409">
        <v>5</v>
      </c>
      <c r="AD2409" s="6">
        <v>51</v>
      </c>
      <c r="AE2409" s="6">
        <v>0</v>
      </c>
      <c r="AF2409" s="6">
        <v>0</v>
      </c>
      <c r="AG2409" s="6">
        <v>58.03</v>
      </c>
      <c r="AH2409" s="6">
        <v>72.98</v>
      </c>
      <c r="AI2409" s="6">
        <f t="shared" si="74"/>
        <v>14.950000000000003</v>
      </c>
      <c r="AJ2409" s="5">
        <f t="shared" si="75"/>
        <v>0.20485064401205813</v>
      </c>
    </row>
    <row r="2410" spans="1:36">
      <c r="A2410" t="s">
        <v>286</v>
      </c>
      <c r="B2410" t="s">
        <v>2695</v>
      </c>
      <c r="C2410" t="s">
        <v>114</v>
      </c>
      <c r="D2410" t="s">
        <v>68</v>
      </c>
      <c r="E2410" t="s">
        <v>55</v>
      </c>
      <c r="F2410">
        <v>0</v>
      </c>
      <c r="G2410">
        <v>998</v>
      </c>
      <c r="H2410">
        <v>1</v>
      </c>
      <c r="I2410" t="s">
        <v>173</v>
      </c>
      <c r="J2410">
        <v>1</v>
      </c>
      <c r="K2410" s="6">
        <v>0.89</v>
      </c>
      <c r="L2410" t="s">
        <v>174</v>
      </c>
      <c r="M2410">
        <v>0</v>
      </c>
      <c r="N2410" t="s">
        <v>175</v>
      </c>
      <c r="O2410">
        <v>1</v>
      </c>
      <c r="P2410">
        <v>0</v>
      </c>
      <c r="Q2410" s="6">
        <v>28.4</v>
      </c>
      <c r="R2410">
        <v>0</v>
      </c>
      <c r="S2410" s="6">
        <v>0</v>
      </c>
      <c r="T2410">
        <v>0</v>
      </c>
      <c r="U2410" s="6">
        <v>1982</v>
      </c>
      <c r="V2410">
        <v>0</v>
      </c>
      <c r="W2410">
        <v>0</v>
      </c>
      <c r="X2410">
        <v>0</v>
      </c>
      <c r="Y2410" s="6">
        <v>36.6</v>
      </c>
      <c r="Z2410">
        <v>1.2E-2</v>
      </c>
      <c r="AA2410">
        <v>3.9E-2</v>
      </c>
      <c r="AB2410">
        <v>4.4999999999999998E-2</v>
      </c>
      <c r="AC2410">
        <v>5</v>
      </c>
      <c r="AD2410" s="6">
        <v>51</v>
      </c>
      <c r="AE2410" s="6">
        <v>0</v>
      </c>
      <c r="AF2410" s="6">
        <v>0</v>
      </c>
      <c r="AG2410" s="6">
        <v>50.95</v>
      </c>
      <c r="AH2410" s="6">
        <v>66.52</v>
      </c>
      <c r="AI2410" s="6">
        <f t="shared" si="74"/>
        <v>15.569999999999993</v>
      </c>
      <c r="AJ2410" s="5">
        <f t="shared" si="75"/>
        <v>0.23406494287432342</v>
      </c>
    </row>
    <row r="2411" spans="1:36">
      <c r="A2411" t="s">
        <v>247</v>
      </c>
      <c r="B2411" t="s">
        <v>2696</v>
      </c>
      <c r="C2411" t="s">
        <v>114</v>
      </c>
      <c r="D2411" t="s">
        <v>68</v>
      </c>
      <c r="E2411" t="s">
        <v>55</v>
      </c>
      <c r="F2411">
        <v>0</v>
      </c>
      <c r="G2411">
        <v>998</v>
      </c>
      <c r="H2411">
        <v>1</v>
      </c>
      <c r="I2411" t="s">
        <v>181</v>
      </c>
      <c r="J2411">
        <v>3</v>
      </c>
      <c r="K2411" s="6">
        <v>11.57</v>
      </c>
      <c r="L2411" t="s">
        <v>174</v>
      </c>
      <c r="M2411">
        <v>0</v>
      </c>
      <c r="N2411" t="s">
        <v>187</v>
      </c>
      <c r="O2411">
        <v>2</v>
      </c>
      <c r="P2411">
        <v>0</v>
      </c>
      <c r="Q2411" s="6">
        <v>68.099999999999994</v>
      </c>
      <c r="R2411">
        <v>0</v>
      </c>
      <c r="S2411" s="6">
        <v>0</v>
      </c>
      <c r="T2411">
        <v>0</v>
      </c>
      <c r="U2411" s="6">
        <v>4041</v>
      </c>
      <c r="V2411">
        <v>0</v>
      </c>
      <c r="W2411">
        <v>0</v>
      </c>
      <c r="X2411">
        <v>0</v>
      </c>
      <c r="Y2411" s="6">
        <v>36.6</v>
      </c>
      <c r="Z2411">
        <v>1.2E-2</v>
      </c>
      <c r="AA2411">
        <v>3.9E-2</v>
      </c>
      <c r="AB2411">
        <v>4.4999999999999998E-2</v>
      </c>
      <c r="AC2411">
        <v>5</v>
      </c>
      <c r="AD2411" s="6">
        <v>61</v>
      </c>
      <c r="AE2411" s="6">
        <v>0</v>
      </c>
      <c r="AF2411" s="6">
        <v>0</v>
      </c>
      <c r="AG2411" s="6">
        <v>105.89</v>
      </c>
      <c r="AH2411" s="6">
        <v>132.53</v>
      </c>
      <c r="AI2411" s="6">
        <f t="shared" si="74"/>
        <v>26.64</v>
      </c>
      <c r="AJ2411" s="5">
        <f t="shared" si="75"/>
        <v>0.20101109182826529</v>
      </c>
    </row>
    <row r="2412" spans="1:36">
      <c r="A2412" t="s">
        <v>238</v>
      </c>
      <c r="B2412" t="s">
        <v>2697</v>
      </c>
      <c r="C2412" t="s">
        <v>114</v>
      </c>
      <c r="D2412" t="s">
        <v>68</v>
      </c>
      <c r="E2412" t="s">
        <v>55</v>
      </c>
      <c r="F2412">
        <v>0</v>
      </c>
      <c r="G2412">
        <v>998</v>
      </c>
      <c r="H2412">
        <v>1</v>
      </c>
      <c r="I2412" t="s">
        <v>181</v>
      </c>
      <c r="J2412">
        <v>3</v>
      </c>
      <c r="K2412" s="6">
        <v>9.06</v>
      </c>
      <c r="L2412" t="s">
        <v>174</v>
      </c>
      <c r="M2412">
        <v>0</v>
      </c>
      <c r="N2412" t="s">
        <v>217</v>
      </c>
      <c r="O2412">
        <v>4</v>
      </c>
      <c r="P2412">
        <v>1</v>
      </c>
      <c r="Q2412" s="6">
        <v>126.2</v>
      </c>
      <c r="R2412">
        <v>0</v>
      </c>
      <c r="S2412" s="6">
        <v>0</v>
      </c>
      <c r="T2412">
        <v>0</v>
      </c>
      <c r="U2412" s="6">
        <v>3087</v>
      </c>
      <c r="V2412">
        <v>0</v>
      </c>
      <c r="W2412">
        <v>0</v>
      </c>
      <c r="X2412">
        <v>0</v>
      </c>
      <c r="Y2412" s="6">
        <v>36.6</v>
      </c>
      <c r="Z2412">
        <v>1.2E-2</v>
      </c>
      <c r="AA2412">
        <v>3.9E-2</v>
      </c>
      <c r="AB2412">
        <v>4.4999999999999998E-2</v>
      </c>
      <c r="AC2412">
        <v>5</v>
      </c>
      <c r="AD2412" s="6">
        <v>61</v>
      </c>
      <c r="AE2412" s="6">
        <v>0</v>
      </c>
      <c r="AF2412" s="6">
        <v>0</v>
      </c>
      <c r="AG2412" s="6">
        <v>141.74</v>
      </c>
      <c r="AH2412" s="6">
        <v>181.74</v>
      </c>
      <c r="AI2412" s="6">
        <f t="shared" si="74"/>
        <v>40</v>
      </c>
      <c r="AJ2412" s="5">
        <f t="shared" si="75"/>
        <v>0.22009464069549906</v>
      </c>
    </row>
    <row r="2413" spans="1:36">
      <c r="A2413" t="s">
        <v>176</v>
      </c>
      <c r="B2413" t="s">
        <v>2698</v>
      </c>
      <c r="C2413" t="s">
        <v>114</v>
      </c>
      <c r="D2413" t="s">
        <v>68</v>
      </c>
      <c r="E2413" t="s">
        <v>55</v>
      </c>
      <c r="F2413">
        <v>0</v>
      </c>
      <c r="G2413">
        <v>998</v>
      </c>
      <c r="H2413">
        <v>1</v>
      </c>
      <c r="I2413" t="s">
        <v>220</v>
      </c>
      <c r="J2413">
        <v>2</v>
      </c>
      <c r="K2413" s="6">
        <v>5.34</v>
      </c>
      <c r="L2413" t="s">
        <v>174</v>
      </c>
      <c r="M2413">
        <v>0</v>
      </c>
      <c r="N2413" t="s">
        <v>187</v>
      </c>
      <c r="O2413">
        <v>2</v>
      </c>
      <c r="P2413">
        <v>0</v>
      </c>
      <c r="Q2413" s="6">
        <v>54.1</v>
      </c>
      <c r="R2413">
        <v>0</v>
      </c>
      <c r="S2413" s="6">
        <v>0</v>
      </c>
      <c r="T2413">
        <v>0</v>
      </c>
      <c r="U2413" s="6">
        <v>9435</v>
      </c>
      <c r="V2413">
        <v>0</v>
      </c>
      <c r="W2413">
        <v>0</v>
      </c>
      <c r="X2413">
        <v>0</v>
      </c>
      <c r="Y2413" s="6">
        <v>36.6</v>
      </c>
      <c r="Z2413">
        <v>1.2E-2</v>
      </c>
      <c r="AA2413">
        <v>3.9E-2</v>
      </c>
      <c r="AB2413">
        <v>4.4999999999999998E-2</v>
      </c>
      <c r="AC2413">
        <v>5</v>
      </c>
      <c r="AD2413" s="6">
        <v>51</v>
      </c>
      <c r="AE2413" s="6">
        <v>0</v>
      </c>
      <c r="AF2413" s="6">
        <v>0</v>
      </c>
      <c r="AG2413" s="6">
        <v>62.5</v>
      </c>
      <c r="AH2413" s="6">
        <v>82.82</v>
      </c>
      <c r="AI2413" s="6">
        <f t="shared" si="74"/>
        <v>20.319999999999993</v>
      </c>
      <c r="AJ2413" s="5">
        <f t="shared" si="75"/>
        <v>0.2453513644047331</v>
      </c>
    </row>
    <row r="2414" spans="1:36">
      <c r="A2414" t="s">
        <v>469</v>
      </c>
      <c r="B2414" t="s">
        <v>2699</v>
      </c>
      <c r="C2414" t="s">
        <v>114</v>
      </c>
      <c r="D2414" t="s">
        <v>68</v>
      </c>
      <c r="E2414" t="s">
        <v>55</v>
      </c>
      <c r="F2414">
        <v>0</v>
      </c>
      <c r="G2414">
        <v>998</v>
      </c>
      <c r="H2414">
        <v>1</v>
      </c>
      <c r="I2414" t="s">
        <v>173</v>
      </c>
      <c r="J2414">
        <v>1</v>
      </c>
      <c r="K2414" s="6">
        <v>1.56</v>
      </c>
      <c r="L2414" t="s">
        <v>174</v>
      </c>
      <c r="M2414">
        <v>0</v>
      </c>
      <c r="N2414" t="s">
        <v>272</v>
      </c>
      <c r="O2414">
        <v>5</v>
      </c>
      <c r="P2414">
        <v>1</v>
      </c>
      <c r="Q2414" s="6">
        <v>193.9</v>
      </c>
      <c r="R2414">
        <v>0</v>
      </c>
      <c r="S2414" s="6">
        <v>0</v>
      </c>
      <c r="T2414">
        <v>0</v>
      </c>
      <c r="U2414" s="6">
        <v>3754</v>
      </c>
      <c r="V2414">
        <v>0</v>
      </c>
      <c r="W2414">
        <v>0</v>
      </c>
      <c r="X2414">
        <v>0</v>
      </c>
      <c r="Y2414" s="6">
        <v>36.6</v>
      </c>
      <c r="Z2414">
        <v>1.2E-2</v>
      </c>
      <c r="AA2414">
        <v>3.9E-2</v>
      </c>
      <c r="AB2414">
        <v>4.4999999999999998E-2</v>
      </c>
      <c r="AC2414">
        <v>5</v>
      </c>
      <c r="AD2414" s="6">
        <v>51</v>
      </c>
      <c r="AE2414" s="6">
        <v>0</v>
      </c>
      <c r="AF2414" s="6">
        <v>0</v>
      </c>
      <c r="AG2414" s="6">
        <v>149.54</v>
      </c>
      <c r="AH2414" s="6">
        <v>190.89</v>
      </c>
      <c r="AI2414" s="6">
        <f t="shared" si="74"/>
        <v>41.349999999999994</v>
      </c>
      <c r="AJ2414" s="5">
        <f t="shared" si="75"/>
        <v>0.21661689978521662</v>
      </c>
    </row>
    <row r="2415" spans="1:36">
      <c r="A2415" t="s">
        <v>223</v>
      </c>
      <c r="B2415" t="s">
        <v>2700</v>
      </c>
      <c r="C2415" t="s">
        <v>114</v>
      </c>
      <c r="D2415" t="s">
        <v>68</v>
      </c>
      <c r="E2415" t="s">
        <v>55</v>
      </c>
      <c r="F2415">
        <v>0</v>
      </c>
      <c r="G2415">
        <v>998</v>
      </c>
      <c r="H2415">
        <v>1</v>
      </c>
      <c r="I2415" t="s">
        <v>181</v>
      </c>
      <c r="J2415">
        <v>3</v>
      </c>
      <c r="K2415" s="6">
        <v>9.65</v>
      </c>
      <c r="L2415" t="s">
        <v>174</v>
      </c>
      <c r="M2415">
        <v>0</v>
      </c>
      <c r="N2415" t="s">
        <v>187</v>
      </c>
      <c r="O2415">
        <v>2</v>
      </c>
      <c r="P2415">
        <v>0</v>
      </c>
      <c r="Q2415" s="6">
        <v>48.3</v>
      </c>
      <c r="R2415">
        <v>0</v>
      </c>
      <c r="S2415" s="6">
        <v>0</v>
      </c>
      <c r="T2415">
        <v>0</v>
      </c>
      <c r="U2415" s="6">
        <v>5211</v>
      </c>
      <c r="V2415">
        <v>0</v>
      </c>
      <c r="W2415">
        <v>0</v>
      </c>
      <c r="X2415">
        <v>0</v>
      </c>
      <c r="Y2415" s="6">
        <v>36.6</v>
      </c>
      <c r="Z2415">
        <v>1.2E-2</v>
      </c>
      <c r="AA2415">
        <v>3.9E-2</v>
      </c>
      <c r="AB2415">
        <v>4.4999999999999998E-2</v>
      </c>
      <c r="AC2415">
        <v>5</v>
      </c>
      <c r="AD2415" s="6">
        <v>61</v>
      </c>
      <c r="AE2415" s="6">
        <v>0</v>
      </c>
      <c r="AF2415" s="6">
        <v>0</v>
      </c>
      <c r="AG2415" s="6">
        <v>100.4</v>
      </c>
      <c r="AH2415" s="6">
        <v>128.41999999999999</v>
      </c>
      <c r="AI2415" s="6">
        <f t="shared" si="74"/>
        <v>28.019999999999982</v>
      </c>
      <c r="AJ2415" s="5">
        <f t="shared" si="75"/>
        <v>0.21819031303535263</v>
      </c>
    </row>
    <row r="2416" spans="1:36">
      <c r="A2416" t="s">
        <v>176</v>
      </c>
      <c r="B2416" t="s">
        <v>2701</v>
      </c>
      <c r="C2416" t="s">
        <v>114</v>
      </c>
      <c r="D2416" t="s">
        <v>68</v>
      </c>
      <c r="E2416" t="s">
        <v>55</v>
      </c>
      <c r="F2416">
        <v>0</v>
      </c>
      <c r="G2416">
        <v>998</v>
      </c>
      <c r="H2416">
        <v>1</v>
      </c>
      <c r="I2416" t="s">
        <v>173</v>
      </c>
      <c r="J2416">
        <v>1</v>
      </c>
      <c r="K2416" s="6">
        <v>1.29</v>
      </c>
      <c r="L2416" t="s">
        <v>174</v>
      </c>
      <c r="M2416">
        <v>0</v>
      </c>
      <c r="N2416" t="s">
        <v>182</v>
      </c>
      <c r="O2416">
        <v>3</v>
      </c>
      <c r="P2416">
        <v>0</v>
      </c>
      <c r="Q2416" s="6">
        <v>105.9</v>
      </c>
      <c r="R2416">
        <v>0</v>
      </c>
      <c r="S2416" s="6">
        <v>0</v>
      </c>
      <c r="T2416">
        <v>0</v>
      </c>
      <c r="U2416" s="6">
        <v>3478</v>
      </c>
      <c r="V2416">
        <v>0</v>
      </c>
      <c r="W2416">
        <v>0</v>
      </c>
      <c r="X2416">
        <v>0</v>
      </c>
      <c r="Y2416" s="6">
        <v>36.6</v>
      </c>
      <c r="Z2416">
        <v>1.2E-2</v>
      </c>
      <c r="AA2416">
        <v>3.9E-2</v>
      </c>
      <c r="AB2416">
        <v>4.4999999999999998E-2</v>
      </c>
      <c r="AC2416">
        <v>5</v>
      </c>
      <c r="AD2416" s="6">
        <v>51</v>
      </c>
      <c r="AE2416" s="6">
        <v>0</v>
      </c>
      <c r="AF2416" s="6">
        <v>0</v>
      </c>
      <c r="AG2416" s="6">
        <v>66.28</v>
      </c>
      <c r="AH2416" s="6">
        <v>86.63</v>
      </c>
      <c r="AI2416" s="6">
        <f t="shared" si="74"/>
        <v>20.349999999999994</v>
      </c>
      <c r="AJ2416" s="5">
        <f t="shared" si="75"/>
        <v>0.23490707607064523</v>
      </c>
    </row>
    <row r="2417" spans="1:36">
      <c r="A2417" t="s">
        <v>517</v>
      </c>
      <c r="B2417" t="s">
        <v>2702</v>
      </c>
      <c r="C2417" t="s">
        <v>114</v>
      </c>
      <c r="D2417" t="s">
        <v>68</v>
      </c>
      <c r="E2417" t="s">
        <v>55</v>
      </c>
      <c r="F2417">
        <v>0</v>
      </c>
      <c r="G2417">
        <v>998</v>
      </c>
      <c r="H2417">
        <v>1</v>
      </c>
      <c r="I2417" t="s">
        <v>181</v>
      </c>
      <c r="J2417">
        <v>3</v>
      </c>
      <c r="K2417" s="6">
        <v>10.210000000000001</v>
      </c>
      <c r="L2417" t="s">
        <v>200</v>
      </c>
      <c r="M2417">
        <v>1</v>
      </c>
      <c r="N2417" t="s">
        <v>187</v>
      </c>
      <c r="O2417">
        <v>2</v>
      </c>
      <c r="P2417">
        <v>0</v>
      </c>
      <c r="Q2417" s="6">
        <v>50.2</v>
      </c>
      <c r="R2417">
        <v>0</v>
      </c>
      <c r="S2417" s="6">
        <v>0</v>
      </c>
      <c r="T2417">
        <v>0</v>
      </c>
      <c r="U2417" s="6">
        <v>6991</v>
      </c>
      <c r="V2417">
        <v>0</v>
      </c>
      <c r="W2417">
        <v>0</v>
      </c>
      <c r="X2417">
        <v>0</v>
      </c>
      <c r="Y2417" s="6">
        <v>36.6</v>
      </c>
      <c r="Z2417">
        <v>1.2E-2</v>
      </c>
      <c r="AA2417">
        <v>3.9E-2</v>
      </c>
      <c r="AB2417">
        <v>4.4999999999999998E-2</v>
      </c>
      <c r="AC2417">
        <v>5</v>
      </c>
      <c r="AD2417" s="6">
        <v>140</v>
      </c>
      <c r="AE2417" s="6">
        <v>0</v>
      </c>
      <c r="AF2417" s="6">
        <v>0</v>
      </c>
      <c r="AG2417" s="6">
        <v>130.77000000000001</v>
      </c>
      <c r="AH2417" s="6">
        <v>167.79</v>
      </c>
      <c r="AI2417" s="6">
        <f t="shared" si="74"/>
        <v>37.019999999999982</v>
      </c>
      <c r="AJ2417" s="5">
        <f t="shared" si="75"/>
        <v>0.2206329340246736</v>
      </c>
    </row>
    <row r="2418" spans="1:36">
      <c r="A2418" t="s">
        <v>343</v>
      </c>
      <c r="B2418" t="s">
        <v>2703</v>
      </c>
      <c r="C2418" t="s">
        <v>114</v>
      </c>
      <c r="D2418" t="s">
        <v>68</v>
      </c>
      <c r="E2418" t="s">
        <v>55</v>
      </c>
      <c r="F2418">
        <v>0</v>
      </c>
      <c r="G2418">
        <v>998</v>
      </c>
      <c r="H2418">
        <v>1</v>
      </c>
      <c r="I2418" t="s">
        <v>173</v>
      </c>
      <c r="J2418">
        <v>1</v>
      </c>
      <c r="K2418" s="6">
        <v>1.7</v>
      </c>
      <c r="L2418" t="s">
        <v>174</v>
      </c>
      <c r="M2418">
        <v>0</v>
      </c>
      <c r="N2418" t="s">
        <v>175</v>
      </c>
      <c r="O2418">
        <v>1</v>
      </c>
      <c r="P2418">
        <v>0</v>
      </c>
      <c r="Q2418" s="6">
        <v>43.6</v>
      </c>
      <c r="R2418">
        <v>0</v>
      </c>
      <c r="S2418" s="6">
        <v>0</v>
      </c>
      <c r="T2418">
        <v>0</v>
      </c>
      <c r="U2418" s="6">
        <v>6365</v>
      </c>
      <c r="V2418">
        <v>0</v>
      </c>
      <c r="W2418">
        <v>0</v>
      </c>
      <c r="X2418">
        <v>0</v>
      </c>
      <c r="Y2418" s="6">
        <v>36.6</v>
      </c>
      <c r="Z2418">
        <v>1.2E-2</v>
      </c>
      <c r="AA2418">
        <v>3.9E-2</v>
      </c>
      <c r="AB2418">
        <v>4.4999999999999998E-2</v>
      </c>
      <c r="AC2418">
        <v>5</v>
      </c>
      <c r="AD2418" s="6">
        <v>51</v>
      </c>
      <c r="AE2418" s="6">
        <v>0</v>
      </c>
      <c r="AF2418" s="6">
        <v>0</v>
      </c>
      <c r="AG2418" s="6">
        <v>48.89</v>
      </c>
      <c r="AH2418" s="6">
        <v>65.58</v>
      </c>
      <c r="AI2418" s="6">
        <f t="shared" si="74"/>
        <v>16.689999999999998</v>
      </c>
      <c r="AJ2418" s="5">
        <f t="shared" si="75"/>
        <v>0.25449832265934735</v>
      </c>
    </row>
    <row r="2419" spans="1:36">
      <c r="A2419" t="s">
        <v>185</v>
      </c>
      <c r="B2419" t="s">
        <v>2704</v>
      </c>
      <c r="C2419" t="s">
        <v>114</v>
      </c>
      <c r="D2419" t="s">
        <v>68</v>
      </c>
      <c r="E2419" t="s">
        <v>55</v>
      </c>
      <c r="F2419">
        <v>0</v>
      </c>
      <c r="G2419">
        <v>998</v>
      </c>
      <c r="H2419">
        <v>1</v>
      </c>
      <c r="I2419" t="s">
        <v>181</v>
      </c>
      <c r="J2419">
        <v>3</v>
      </c>
      <c r="K2419" s="6">
        <v>10.49</v>
      </c>
      <c r="L2419" t="s">
        <v>174</v>
      </c>
      <c r="M2419">
        <v>0</v>
      </c>
      <c r="N2419" t="s">
        <v>182</v>
      </c>
      <c r="O2419">
        <v>3</v>
      </c>
      <c r="P2419">
        <v>0</v>
      </c>
      <c r="Q2419" s="6">
        <v>112</v>
      </c>
      <c r="R2419">
        <v>0</v>
      </c>
      <c r="S2419" s="6">
        <v>0</v>
      </c>
      <c r="T2419">
        <v>0</v>
      </c>
      <c r="U2419" s="6">
        <v>3442</v>
      </c>
      <c r="V2419">
        <v>0</v>
      </c>
      <c r="W2419">
        <v>0</v>
      </c>
      <c r="X2419">
        <v>0</v>
      </c>
      <c r="Y2419" s="6">
        <v>36.6</v>
      </c>
      <c r="Z2419">
        <v>1.2E-2</v>
      </c>
      <c r="AA2419">
        <v>3.9E-2</v>
      </c>
      <c r="AB2419">
        <v>4.4999999999999998E-2</v>
      </c>
      <c r="AC2419">
        <v>5</v>
      </c>
      <c r="AD2419" s="6">
        <v>61</v>
      </c>
      <c r="AE2419" s="6">
        <v>0</v>
      </c>
      <c r="AF2419" s="6">
        <v>0</v>
      </c>
      <c r="AG2419" s="6">
        <v>107.21</v>
      </c>
      <c r="AH2419" s="6">
        <v>136.88999999999999</v>
      </c>
      <c r="AI2419" s="6">
        <f t="shared" si="74"/>
        <v>29.679999999999993</v>
      </c>
      <c r="AJ2419" s="5">
        <f t="shared" si="75"/>
        <v>0.21681642194462705</v>
      </c>
    </row>
    <row r="2420" spans="1:36">
      <c r="A2420" t="s">
        <v>236</v>
      </c>
      <c r="B2420" t="s">
        <v>2705</v>
      </c>
      <c r="C2420" t="s">
        <v>114</v>
      </c>
      <c r="D2420" t="s">
        <v>68</v>
      </c>
      <c r="E2420" t="s">
        <v>55</v>
      </c>
      <c r="F2420">
        <v>0</v>
      </c>
      <c r="G2420">
        <v>998</v>
      </c>
      <c r="H2420">
        <v>1</v>
      </c>
      <c r="I2420" t="s">
        <v>181</v>
      </c>
      <c r="J2420">
        <v>3</v>
      </c>
      <c r="K2420" s="6">
        <v>6.31</v>
      </c>
      <c r="L2420" t="s">
        <v>174</v>
      </c>
      <c r="M2420">
        <v>0</v>
      </c>
      <c r="N2420" t="s">
        <v>175</v>
      </c>
      <c r="O2420">
        <v>1</v>
      </c>
      <c r="P2420">
        <v>0</v>
      </c>
      <c r="Q2420" s="6">
        <v>35.1</v>
      </c>
      <c r="R2420">
        <v>0</v>
      </c>
      <c r="S2420" s="6">
        <v>0</v>
      </c>
      <c r="T2420">
        <v>0</v>
      </c>
      <c r="U2420" s="6">
        <v>6719</v>
      </c>
      <c r="V2420">
        <v>0</v>
      </c>
      <c r="W2420">
        <v>0</v>
      </c>
      <c r="X2420">
        <v>0</v>
      </c>
      <c r="Y2420" s="6">
        <v>36.6</v>
      </c>
      <c r="Z2420">
        <v>1.2E-2</v>
      </c>
      <c r="AA2420">
        <v>3.9E-2</v>
      </c>
      <c r="AB2420">
        <v>4.4999999999999998E-2</v>
      </c>
      <c r="AC2420">
        <v>5</v>
      </c>
      <c r="AD2420" s="6">
        <v>61</v>
      </c>
      <c r="AE2420" s="6">
        <v>0</v>
      </c>
      <c r="AF2420" s="6">
        <v>0</v>
      </c>
      <c r="AG2420" s="6">
        <v>77.31</v>
      </c>
      <c r="AH2420" s="6">
        <v>99.89</v>
      </c>
      <c r="AI2420" s="6">
        <f t="shared" si="74"/>
        <v>22.58</v>
      </c>
      <c r="AJ2420" s="5">
        <f t="shared" si="75"/>
        <v>0.22604865351887074</v>
      </c>
    </row>
    <row r="2421" spans="1:36">
      <c r="A2421" t="s">
        <v>481</v>
      </c>
      <c r="B2421" t="s">
        <v>2706</v>
      </c>
      <c r="C2421" t="s">
        <v>114</v>
      </c>
      <c r="D2421" t="s">
        <v>68</v>
      </c>
      <c r="E2421" t="s">
        <v>55</v>
      </c>
      <c r="F2421">
        <v>0</v>
      </c>
      <c r="G2421">
        <v>998</v>
      </c>
      <c r="H2421">
        <v>1</v>
      </c>
      <c r="I2421" t="s">
        <v>173</v>
      </c>
      <c r="J2421">
        <v>1</v>
      </c>
      <c r="K2421" s="6">
        <v>1.62</v>
      </c>
      <c r="L2421" t="s">
        <v>174</v>
      </c>
      <c r="M2421">
        <v>0</v>
      </c>
      <c r="N2421" t="s">
        <v>182</v>
      </c>
      <c r="O2421">
        <v>3</v>
      </c>
      <c r="P2421">
        <v>0</v>
      </c>
      <c r="Q2421" s="6">
        <v>100.3</v>
      </c>
      <c r="R2421">
        <v>0</v>
      </c>
      <c r="S2421" s="6">
        <v>0</v>
      </c>
      <c r="T2421">
        <v>0</v>
      </c>
      <c r="U2421" s="6">
        <v>7040</v>
      </c>
      <c r="V2421">
        <v>1</v>
      </c>
      <c r="W2421">
        <v>0</v>
      </c>
      <c r="X2421">
        <v>0</v>
      </c>
      <c r="Y2421" s="6">
        <v>36.6</v>
      </c>
      <c r="Z2421">
        <v>1.2E-2</v>
      </c>
      <c r="AA2421">
        <v>3.9E-2</v>
      </c>
      <c r="AB2421">
        <v>4.4999999999999998E-2</v>
      </c>
      <c r="AC2421">
        <v>5</v>
      </c>
      <c r="AD2421" s="6">
        <v>51</v>
      </c>
      <c r="AE2421" s="6">
        <v>0</v>
      </c>
      <c r="AF2421" s="6">
        <v>0</v>
      </c>
      <c r="AG2421" s="6">
        <v>100.37</v>
      </c>
      <c r="AH2421" s="6">
        <v>127.08</v>
      </c>
      <c r="AI2421" s="6">
        <f t="shared" si="74"/>
        <v>26.709999999999994</v>
      </c>
      <c r="AJ2421" s="5">
        <f t="shared" si="75"/>
        <v>0.21018256216556494</v>
      </c>
    </row>
    <row r="2422" spans="1:36">
      <c r="A2422" t="s">
        <v>258</v>
      </c>
      <c r="B2422" t="s">
        <v>2707</v>
      </c>
      <c r="C2422" t="s">
        <v>114</v>
      </c>
      <c r="D2422" t="s">
        <v>68</v>
      </c>
      <c r="E2422" t="s">
        <v>55</v>
      </c>
      <c r="F2422">
        <v>0</v>
      </c>
      <c r="G2422">
        <v>998</v>
      </c>
      <c r="H2422">
        <v>1</v>
      </c>
      <c r="I2422" t="s">
        <v>181</v>
      </c>
      <c r="J2422">
        <v>3</v>
      </c>
      <c r="K2422" s="6">
        <v>6.01</v>
      </c>
      <c r="L2422" t="s">
        <v>174</v>
      </c>
      <c r="M2422">
        <v>0</v>
      </c>
      <c r="N2422" t="s">
        <v>182</v>
      </c>
      <c r="O2422">
        <v>3</v>
      </c>
      <c r="P2422">
        <v>0</v>
      </c>
      <c r="Q2422" s="6">
        <v>92.1</v>
      </c>
      <c r="R2422">
        <v>0</v>
      </c>
      <c r="S2422" s="6">
        <v>0</v>
      </c>
      <c r="T2422">
        <v>0</v>
      </c>
      <c r="U2422" s="6">
        <v>1798</v>
      </c>
      <c r="V2422">
        <v>0</v>
      </c>
      <c r="W2422">
        <v>0</v>
      </c>
      <c r="X2422">
        <v>0</v>
      </c>
      <c r="Y2422" s="6">
        <v>36.6</v>
      </c>
      <c r="Z2422">
        <v>1.2E-2</v>
      </c>
      <c r="AA2422">
        <v>3.9E-2</v>
      </c>
      <c r="AB2422">
        <v>4.4999999999999998E-2</v>
      </c>
      <c r="AC2422">
        <v>5</v>
      </c>
      <c r="AD2422" s="6">
        <v>61</v>
      </c>
      <c r="AE2422" s="6">
        <v>0</v>
      </c>
      <c r="AF2422" s="6">
        <v>0</v>
      </c>
      <c r="AG2422" s="6">
        <v>75.61</v>
      </c>
      <c r="AH2422" s="6">
        <v>97.5</v>
      </c>
      <c r="AI2422" s="6">
        <f t="shared" si="74"/>
        <v>21.89</v>
      </c>
      <c r="AJ2422" s="5">
        <f t="shared" si="75"/>
        <v>0.22451282051282051</v>
      </c>
    </row>
    <row r="2423" spans="1:36">
      <c r="A2423" t="s">
        <v>579</v>
      </c>
      <c r="B2423" t="s">
        <v>2708</v>
      </c>
      <c r="C2423" t="s">
        <v>114</v>
      </c>
      <c r="D2423" t="s">
        <v>68</v>
      </c>
      <c r="E2423" t="s">
        <v>55</v>
      </c>
      <c r="F2423">
        <v>0</v>
      </c>
      <c r="G2423">
        <v>998</v>
      </c>
      <c r="H2423">
        <v>1</v>
      </c>
      <c r="I2423" t="s">
        <v>173</v>
      </c>
      <c r="J2423">
        <v>1</v>
      </c>
      <c r="K2423" s="6">
        <v>1.96</v>
      </c>
      <c r="L2423" t="s">
        <v>174</v>
      </c>
      <c r="M2423">
        <v>0</v>
      </c>
      <c r="N2423" t="s">
        <v>187</v>
      </c>
      <c r="O2423">
        <v>2</v>
      </c>
      <c r="P2423">
        <v>0</v>
      </c>
      <c r="Q2423" s="6">
        <v>44.7</v>
      </c>
      <c r="R2423">
        <v>0</v>
      </c>
      <c r="S2423" s="6">
        <v>0</v>
      </c>
      <c r="T2423">
        <v>0</v>
      </c>
      <c r="U2423" s="6">
        <v>1668</v>
      </c>
      <c r="V2423">
        <v>1</v>
      </c>
      <c r="W2423">
        <v>0</v>
      </c>
      <c r="X2423">
        <v>0</v>
      </c>
      <c r="Y2423" s="6">
        <v>36.6</v>
      </c>
      <c r="Z2423">
        <v>1.2E-2</v>
      </c>
      <c r="AA2423">
        <v>3.9E-2</v>
      </c>
      <c r="AB2423">
        <v>4.4999999999999998E-2</v>
      </c>
      <c r="AC2423">
        <v>5</v>
      </c>
      <c r="AD2423" s="6">
        <v>51</v>
      </c>
      <c r="AE2423" s="6">
        <v>0</v>
      </c>
      <c r="AF2423" s="6">
        <v>0</v>
      </c>
      <c r="AG2423" s="6">
        <v>94.71</v>
      </c>
      <c r="AH2423" s="6">
        <v>120.07</v>
      </c>
      <c r="AI2423" s="6">
        <f t="shared" si="74"/>
        <v>25.36</v>
      </c>
      <c r="AJ2423" s="5">
        <f t="shared" si="75"/>
        <v>0.21121012742566836</v>
      </c>
    </row>
    <row r="2424" spans="1:36">
      <c r="A2424" t="s">
        <v>431</v>
      </c>
      <c r="B2424" t="s">
        <v>2709</v>
      </c>
      <c r="C2424" t="s">
        <v>114</v>
      </c>
      <c r="D2424" t="s">
        <v>68</v>
      </c>
      <c r="E2424" t="s">
        <v>55</v>
      </c>
      <c r="F2424">
        <v>0</v>
      </c>
      <c r="G2424">
        <v>998</v>
      </c>
      <c r="H2424">
        <v>1</v>
      </c>
      <c r="I2424" t="s">
        <v>220</v>
      </c>
      <c r="J2424">
        <v>2</v>
      </c>
      <c r="K2424" s="6">
        <v>3.47</v>
      </c>
      <c r="L2424" t="s">
        <v>174</v>
      </c>
      <c r="M2424">
        <v>0</v>
      </c>
      <c r="N2424" t="s">
        <v>182</v>
      </c>
      <c r="O2424">
        <v>3</v>
      </c>
      <c r="P2424">
        <v>0</v>
      </c>
      <c r="Q2424" s="6">
        <v>129.69999999999999</v>
      </c>
      <c r="R2424">
        <v>0</v>
      </c>
      <c r="S2424" s="6">
        <v>0</v>
      </c>
      <c r="T2424">
        <v>0</v>
      </c>
      <c r="U2424" s="6">
        <v>7127</v>
      </c>
      <c r="V2424">
        <v>1</v>
      </c>
      <c r="W2424">
        <v>0</v>
      </c>
      <c r="X2424">
        <v>0</v>
      </c>
      <c r="Y2424" s="6">
        <v>36.6</v>
      </c>
      <c r="Z2424">
        <v>1.2E-2</v>
      </c>
      <c r="AA2424">
        <v>3.9E-2</v>
      </c>
      <c r="AB2424">
        <v>4.4999999999999998E-2</v>
      </c>
      <c r="AC2424">
        <v>5</v>
      </c>
      <c r="AD2424" s="6">
        <v>51</v>
      </c>
      <c r="AE2424" s="6">
        <v>0</v>
      </c>
      <c r="AF2424" s="6">
        <v>0</v>
      </c>
      <c r="AG2424" s="6">
        <v>112.68</v>
      </c>
      <c r="AH2424" s="6">
        <v>145.4</v>
      </c>
      <c r="AI2424" s="6">
        <f t="shared" si="74"/>
        <v>32.72</v>
      </c>
      <c r="AJ2424" s="5">
        <f t="shared" si="75"/>
        <v>0.22503438789546079</v>
      </c>
    </row>
    <row r="2425" spans="1:36">
      <c r="A2425" t="s">
        <v>249</v>
      </c>
      <c r="B2425" t="s">
        <v>2710</v>
      </c>
      <c r="C2425" t="s">
        <v>114</v>
      </c>
      <c r="D2425" t="s">
        <v>68</v>
      </c>
      <c r="E2425" t="s">
        <v>55</v>
      </c>
      <c r="F2425">
        <v>0</v>
      </c>
      <c r="G2425">
        <v>998</v>
      </c>
      <c r="H2425">
        <v>1</v>
      </c>
      <c r="I2425" t="s">
        <v>181</v>
      </c>
      <c r="J2425">
        <v>3</v>
      </c>
      <c r="K2425" s="6">
        <v>10.94</v>
      </c>
      <c r="L2425" t="s">
        <v>174</v>
      </c>
      <c r="M2425">
        <v>0</v>
      </c>
      <c r="N2425" t="s">
        <v>217</v>
      </c>
      <c r="O2425">
        <v>4</v>
      </c>
      <c r="P2425">
        <v>1</v>
      </c>
      <c r="Q2425" s="6">
        <v>86.4</v>
      </c>
      <c r="R2425">
        <v>0</v>
      </c>
      <c r="S2425" s="6">
        <v>0</v>
      </c>
      <c r="T2425">
        <v>0</v>
      </c>
      <c r="U2425" s="6">
        <v>2302</v>
      </c>
      <c r="V2425">
        <v>1</v>
      </c>
      <c r="W2425">
        <v>0</v>
      </c>
      <c r="X2425">
        <v>0</v>
      </c>
      <c r="Y2425" s="6">
        <v>36.6</v>
      </c>
      <c r="Z2425">
        <v>1.2E-2</v>
      </c>
      <c r="AA2425">
        <v>3.9E-2</v>
      </c>
      <c r="AB2425">
        <v>4.4999999999999998E-2</v>
      </c>
      <c r="AC2425">
        <v>5</v>
      </c>
      <c r="AD2425" s="6">
        <v>61</v>
      </c>
      <c r="AE2425" s="6">
        <v>0</v>
      </c>
      <c r="AF2425" s="6">
        <v>0</v>
      </c>
      <c r="AG2425" s="6">
        <v>200.22</v>
      </c>
      <c r="AH2425" s="6">
        <v>250.59</v>
      </c>
      <c r="AI2425" s="6">
        <f t="shared" si="74"/>
        <v>50.370000000000005</v>
      </c>
      <c r="AJ2425" s="5">
        <f t="shared" si="75"/>
        <v>0.20100562672093861</v>
      </c>
    </row>
    <row r="2426" spans="1:36">
      <c r="A2426" t="s">
        <v>397</v>
      </c>
      <c r="B2426" t="s">
        <v>2711</v>
      </c>
      <c r="C2426" t="s">
        <v>114</v>
      </c>
      <c r="D2426" t="s">
        <v>68</v>
      </c>
      <c r="E2426" t="s">
        <v>55</v>
      </c>
      <c r="F2426">
        <v>0</v>
      </c>
      <c r="G2426">
        <v>998</v>
      </c>
      <c r="H2426">
        <v>1</v>
      </c>
      <c r="I2426" t="s">
        <v>181</v>
      </c>
      <c r="J2426">
        <v>3</v>
      </c>
      <c r="K2426" s="6">
        <v>4.6100000000000003</v>
      </c>
      <c r="L2426" t="s">
        <v>174</v>
      </c>
      <c r="M2426">
        <v>0</v>
      </c>
      <c r="N2426" t="s">
        <v>187</v>
      </c>
      <c r="O2426">
        <v>2</v>
      </c>
      <c r="P2426">
        <v>0</v>
      </c>
      <c r="Q2426" s="6">
        <v>59.7</v>
      </c>
      <c r="R2426">
        <v>1</v>
      </c>
      <c r="S2426" s="6">
        <v>647</v>
      </c>
      <c r="T2426">
        <v>0</v>
      </c>
      <c r="U2426" s="6">
        <v>5104</v>
      </c>
      <c r="V2426">
        <v>0</v>
      </c>
      <c r="W2426">
        <v>0</v>
      </c>
      <c r="X2426">
        <v>0</v>
      </c>
      <c r="Y2426" s="6">
        <v>36.6</v>
      </c>
      <c r="Z2426">
        <v>1.2E-2</v>
      </c>
      <c r="AA2426">
        <v>3.9E-2</v>
      </c>
      <c r="AB2426">
        <v>4.4999999999999998E-2</v>
      </c>
      <c r="AC2426">
        <v>5</v>
      </c>
      <c r="AD2426" s="6">
        <v>61</v>
      </c>
      <c r="AE2426" s="6">
        <v>25</v>
      </c>
      <c r="AF2426" s="6">
        <v>0</v>
      </c>
      <c r="AG2426" s="6">
        <v>83.28</v>
      </c>
      <c r="AH2426" s="6">
        <v>104.23</v>
      </c>
      <c r="AI2426" s="6">
        <f t="shared" si="74"/>
        <v>20.950000000000003</v>
      </c>
      <c r="AJ2426" s="5">
        <f t="shared" si="75"/>
        <v>0.2009977933416483</v>
      </c>
    </row>
    <row r="2427" spans="1:36">
      <c r="A2427" t="s">
        <v>225</v>
      </c>
      <c r="B2427" t="s">
        <v>2712</v>
      </c>
      <c r="C2427" t="s">
        <v>114</v>
      </c>
      <c r="D2427" t="s">
        <v>68</v>
      </c>
      <c r="E2427" t="s">
        <v>55</v>
      </c>
      <c r="F2427">
        <v>0</v>
      </c>
      <c r="G2427">
        <v>998</v>
      </c>
      <c r="H2427">
        <v>1</v>
      </c>
      <c r="I2427" t="s">
        <v>181</v>
      </c>
      <c r="J2427">
        <v>3</v>
      </c>
      <c r="K2427" s="6">
        <v>9.27</v>
      </c>
      <c r="L2427" t="s">
        <v>174</v>
      </c>
      <c r="M2427">
        <v>0</v>
      </c>
      <c r="N2427" t="s">
        <v>187</v>
      </c>
      <c r="O2427">
        <v>2</v>
      </c>
      <c r="P2427">
        <v>0</v>
      </c>
      <c r="Q2427" s="6">
        <v>44</v>
      </c>
      <c r="R2427">
        <v>0</v>
      </c>
      <c r="S2427" s="6">
        <v>0</v>
      </c>
      <c r="T2427">
        <v>0</v>
      </c>
      <c r="U2427" s="6">
        <v>7593</v>
      </c>
      <c r="V2427">
        <v>0</v>
      </c>
      <c r="W2427">
        <v>0</v>
      </c>
      <c r="X2427">
        <v>0</v>
      </c>
      <c r="Y2427" s="6">
        <v>36.6</v>
      </c>
      <c r="Z2427">
        <v>1.2E-2</v>
      </c>
      <c r="AA2427">
        <v>3.9E-2</v>
      </c>
      <c r="AB2427">
        <v>4.4999999999999998E-2</v>
      </c>
      <c r="AC2427">
        <v>5</v>
      </c>
      <c r="AD2427" s="6">
        <v>61</v>
      </c>
      <c r="AE2427" s="6">
        <v>0</v>
      </c>
      <c r="AF2427" s="6">
        <v>0</v>
      </c>
      <c r="AG2427" s="6">
        <v>98.74</v>
      </c>
      <c r="AH2427" s="6">
        <v>128.43</v>
      </c>
      <c r="AI2427" s="6">
        <f t="shared" si="74"/>
        <v>29.690000000000012</v>
      </c>
      <c r="AJ2427" s="5">
        <f t="shared" si="75"/>
        <v>0.23117651639025158</v>
      </c>
    </row>
    <row r="2428" spans="1:36">
      <c r="A2428" t="s">
        <v>478</v>
      </c>
      <c r="B2428" t="s">
        <v>2713</v>
      </c>
      <c r="C2428" t="s">
        <v>114</v>
      </c>
      <c r="D2428" t="s">
        <v>68</v>
      </c>
      <c r="E2428" t="s">
        <v>55</v>
      </c>
      <c r="F2428">
        <v>0</v>
      </c>
      <c r="G2428">
        <v>998</v>
      </c>
      <c r="H2428">
        <v>1</v>
      </c>
      <c r="I2428" t="s">
        <v>173</v>
      </c>
      <c r="J2428">
        <v>1</v>
      </c>
      <c r="K2428" s="6">
        <v>2.5499999999999998</v>
      </c>
      <c r="L2428" t="s">
        <v>174</v>
      </c>
      <c r="M2428">
        <v>0</v>
      </c>
      <c r="N2428" t="s">
        <v>272</v>
      </c>
      <c r="O2428">
        <v>5</v>
      </c>
      <c r="P2428">
        <v>1</v>
      </c>
      <c r="Q2428" s="6">
        <v>276.89999999999998</v>
      </c>
      <c r="R2428">
        <v>0</v>
      </c>
      <c r="S2428" s="6">
        <v>0</v>
      </c>
      <c r="T2428">
        <v>0</v>
      </c>
      <c r="U2428" s="6">
        <v>7341</v>
      </c>
      <c r="V2428">
        <v>0</v>
      </c>
      <c r="W2428">
        <v>0</v>
      </c>
      <c r="X2428">
        <v>0</v>
      </c>
      <c r="Y2428" s="6">
        <v>36.6</v>
      </c>
      <c r="Z2428">
        <v>1.2E-2</v>
      </c>
      <c r="AA2428">
        <v>3.9E-2</v>
      </c>
      <c r="AB2428">
        <v>4.4999999999999998E-2</v>
      </c>
      <c r="AC2428">
        <v>5</v>
      </c>
      <c r="AD2428" s="6">
        <v>51</v>
      </c>
      <c r="AE2428" s="6">
        <v>0</v>
      </c>
      <c r="AF2428" s="6">
        <v>0</v>
      </c>
      <c r="AG2428" s="6">
        <v>149.32</v>
      </c>
      <c r="AH2428" s="6">
        <v>190.51</v>
      </c>
      <c r="AI2428" s="6">
        <f t="shared" si="74"/>
        <v>41.19</v>
      </c>
      <c r="AJ2428" s="5">
        <f t="shared" si="75"/>
        <v>0.21620912288068866</v>
      </c>
    </row>
    <row r="2429" spans="1:36">
      <c r="A2429" t="s">
        <v>362</v>
      </c>
      <c r="B2429" t="s">
        <v>2714</v>
      </c>
      <c r="C2429" t="s">
        <v>114</v>
      </c>
      <c r="D2429" t="s">
        <v>68</v>
      </c>
      <c r="E2429" t="s">
        <v>55</v>
      </c>
      <c r="F2429">
        <v>0</v>
      </c>
      <c r="G2429">
        <v>998</v>
      </c>
      <c r="H2429">
        <v>1</v>
      </c>
      <c r="I2429" t="s">
        <v>181</v>
      </c>
      <c r="J2429">
        <v>3</v>
      </c>
      <c r="K2429" s="6">
        <v>8.42</v>
      </c>
      <c r="L2429" t="s">
        <v>174</v>
      </c>
      <c r="M2429">
        <v>0</v>
      </c>
      <c r="N2429" t="s">
        <v>175</v>
      </c>
      <c r="O2429">
        <v>1</v>
      </c>
      <c r="P2429">
        <v>0</v>
      </c>
      <c r="Q2429" s="6">
        <v>32</v>
      </c>
      <c r="R2429">
        <v>0</v>
      </c>
      <c r="S2429" s="6">
        <v>0</v>
      </c>
      <c r="T2429">
        <v>0</v>
      </c>
      <c r="U2429" s="6">
        <v>7726</v>
      </c>
      <c r="V2429">
        <v>0</v>
      </c>
      <c r="W2429">
        <v>0</v>
      </c>
      <c r="X2429">
        <v>0</v>
      </c>
      <c r="Y2429" s="6">
        <v>36.6</v>
      </c>
      <c r="Z2429">
        <v>1.2E-2</v>
      </c>
      <c r="AA2429">
        <v>3.9E-2</v>
      </c>
      <c r="AB2429">
        <v>4.4999999999999998E-2</v>
      </c>
      <c r="AC2429">
        <v>5</v>
      </c>
      <c r="AD2429" s="6">
        <v>61</v>
      </c>
      <c r="AE2429" s="6">
        <v>0</v>
      </c>
      <c r="AF2429" s="6">
        <v>0</v>
      </c>
      <c r="AG2429" s="6">
        <v>89.64</v>
      </c>
      <c r="AH2429" s="6">
        <v>113.18</v>
      </c>
      <c r="AI2429" s="6">
        <f t="shared" si="74"/>
        <v>23.540000000000006</v>
      </c>
      <c r="AJ2429" s="5">
        <f t="shared" si="75"/>
        <v>0.2079872769040467</v>
      </c>
    </row>
    <row r="2430" spans="1:36">
      <c r="A2430" t="s">
        <v>238</v>
      </c>
      <c r="B2430" t="s">
        <v>2715</v>
      </c>
      <c r="C2430" t="s">
        <v>114</v>
      </c>
      <c r="D2430" t="s">
        <v>68</v>
      </c>
      <c r="E2430" t="s">
        <v>55</v>
      </c>
      <c r="F2430">
        <v>0</v>
      </c>
      <c r="G2430">
        <v>998</v>
      </c>
      <c r="H2430">
        <v>1</v>
      </c>
      <c r="I2430" t="s">
        <v>181</v>
      </c>
      <c r="J2430">
        <v>3</v>
      </c>
      <c r="K2430" s="6">
        <v>10.06</v>
      </c>
      <c r="L2430" t="s">
        <v>174</v>
      </c>
      <c r="M2430">
        <v>0</v>
      </c>
      <c r="N2430" t="s">
        <v>182</v>
      </c>
      <c r="O2430">
        <v>3</v>
      </c>
      <c r="P2430">
        <v>0</v>
      </c>
      <c r="Q2430" s="6">
        <v>120.6</v>
      </c>
      <c r="R2430">
        <v>0</v>
      </c>
      <c r="S2430" s="6">
        <v>0</v>
      </c>
      <c r="T2430">
        <v>0</v>
      </c>
      <c r="U2430" s="6">
        <v>4527</v>
      </c>
      <c r="V2430">
        <v>0</v>
      </c>
      <c r="W2430">
        <v>0</v>
      </c>
      <c r="X2430">
        <v>0</v>
      </c>
      <c r="Y2430" s="6">
        <v>36.6</v>
      </c>
      <c r="Z2430">
        <v>1.2E-2</v>
      </c>
      <c r="AA2430">
        <v>3.9E-2</v>
      </c>
      <c r="AB2430">
        <v>4.4999999999999998E-2</v>
      </c>
      <c r="AC2430">
        <v>5</v>
      </c>
      <c r="AD2430" s="6">
        <v>61</v>
      </c>
      <c r="AE2430" s="6">
        <v>0</v>
      </c>
      <c r="AF2430" s="6">
        <v>0</v>
      </c>
      <c r="AG2430" s="6">
        <v>111.2</v>
      </c>
      <c r="AH2430" s="6">
        <v>140.65</v>
      </c>
      <c r="AI2430" s="6">
        <f t="shared" si="74"/>
        <v>29.450000000000003</v>
      </c>
      <c r="AJ2430" s="5">
        <f t="shared" si="75"/>
        <v>0.20938499822253823</v>
      </c>
    </row>
    <row r="2431" spans="1:36">
      <c r="A2431" t="s">
        <v>319</v>
      </c>
      <c r="B2431" t="s">
        <v>2716</v>
      </c>
      <c r="C2431" t="s">
        <v>114</v>
      </c>
      <c r="D2431" t="s">
        <v>68</v>
      </c>
      <c r="E2431" t="s">
        <v>55</v>
      </c>
      <c r="F2431">
        <v>0</v>
      </c>
      <c r="G2431">
        <v>998</v>
      </c>
      <c r="H2431">
        <v>1</v>
      </c>
      <c r="I2431" t="s">
        <v>220</v>
      </c>
      <c r="J2431">
        <v>2</v>
      </c>
      <c r="K2431" s="6">
        <v>5.12</v>
      </c>
      <c r="L2431" t="s">
        <v>174</v>
      </c>
      <c r="M2431">
        <v>0</v>
      </c>
      <c r="N2431" t="s">
        <v>175</v>
      </c>
      <c r="O2431">
        <v>1</v>
      </c>
      <c r="P2431">
        <v>0</v>
      </c>
      <c r="Q2431" s="6">
        <v>37</v>
      </c>
      <c r="R2431">
        <v>0</v>
      </c>
      <c r="S2431" s="6">
        <v>0</v>
      </c>
      <c r="T2431">
        <v>0</v>
      </c>
      <c r="U2431" s="6">
        <v>4203</v>
      </c>
      <c r="V2431">
        <v>0</v>
      </c>
      <c r="W2431">
        <v>0</v>
      </c>
      <c r="X2431">
        <v>0</v>
      </c>
      <c r="Y2431" s="6">
        <v>36.6</v>
      </c>
      <c r="Z2431">
        <v>1.2E-2</v>
      </c>
      <c r="AA2431">
        <v>3.9E-2</v>
      </c>
      <c r="AB2431">
        <v>4.4999999999999998E-2</v>
      </c>
      <c r="AC2431">
        <v>5</v>
      </c>
      <c r="AD2431" s="6">
        <v>51</v>
      </c>
      <c r="AE2431" s="6">
        <v>0</v>
      </c>
      <c r="AF2431" s="6">
        <v>0</v>
      </c>
      <c r="AG2431" s="6">
        <v>58.17</v>
      </c>
      <c r="AH2431" s="6">
        <v>75.319999999999993</v>
      </c>
      <c r="AI2431" s="6">
        <f t="shared" si="74"/>
        <v>17.149999999999991</v>
      </c>
      <c r="AJ2431" s="5">
        <f t="shared" si="75"/>
        <v>0.22769516728624525</v>
      </c>
    </row>
    <row r="2432" spans="1:36">
      <c r="A2432" t="s">
        <v>481</v>
      </c>
      <c r="B2432" t="s">
        <v>2717</v>
      </c>
      <c r="C2432" t="s">
        <v>114</v>
      </c>
      <c r="D2432" t="s">
        <v>68</v>
      </c>
      <c r="E2432" t="s">
        <v>55</v>
      </c>
      <c r="F2432">
        <v>0</v>
      </c>
      <c r="G2432">
        <v>998</v>
      </c>
      <c r="H2432">
        <v>1</v>
      </c>
      <c r="I2432" t="s">
        <v>220</v>
      </c>
      <c r="J2432">
        <v>2</v>
      </c>
      <c r="K2432" s="6">
        <v>4.59</v>
      </c>
      <c r="L2432" t="s">
        <v>174</v>
      </c>
      <c r="M2432">
        <v>0</v>
      </c>
      <c r="N2432" t="s">
        <v>187</v>
      </c>
      <c r="O2432">
        <v>2</v>
      </c>
      <c r="P2432">
        <v>0</v>
      </c>
      <c r="Q2432" s="6">
        <v>45.4</v>
      </c>
      <c r="R2432">
        <v>1</v>
      </c>
      <c r="S2432" s="6">
        <v>1861</v>
      </c>
      <c r="T2432">
        <v>0</v>
      </c>
      <c r="U2432" s="6">
        <v>2907</v>
      </c>
      <c r="V2432">
        <v>0</v>
      </c>
      <c r="W2432">
        <v>0</v>
      </c>
      <c r="X2432">
        <v>0</v>
      </c>
      <c r="Y2432" s="6">
        <v>36.6</v>
      </c>
      <c r="Z2432">
        <v>1.2E-2</v>
      </c>
      <c r="AA2432">
        <v>3.9E-2</v>
      </c>
      <c r="AB2432">
        <v>4.4999999999999998E-2</v>
      </c>
      <c r="AC2432">
        <v>5</v>
      </c>
      <c r="AD2432" s="6">
        <v>51</v>
      </c>
      <c r="AE2432" s="6">
        <v>25</v>
      </c>
      <c r="AF2432" s="6">
        <v>0</v>
      </c>
      <c r="AG2432" s="6">
        <v>69.760000000000005</v>
      </c>
      <c r="AH2432" s="6">
        <v>91.95</v>
      </c>
      <c r="AI2432" s="6">
        <f t="shared" si="74"/>
        <v>22.189999999999998</v>
      </c>
      <c r="AJ2432" s="5">
        <f t="shared" si="75"/>
        <v>0.24132680804785206</v>
      </c>
    </row>
    <row r="2433" spans="1:36">
      <c r="A2433" t="s">
        <v>286</v>
      </c>
      <c r="B2433" t="s">
        <v>2718</v>
      </c>
      <c r="C2433" t="s">
        <v>114</v>
      </c>
      <c r="D2433" t="s">
        <v>68</v>
      </c>
      <c r="E2433" t="s">
        <v>55</v>
      </c>
      <c r="F2433">
        <v>0</v>
      </c>
      <c r="G2433">
        <v>998</v>
      </c>
      <c r="H2433">
        <v>1</v>
      </c>
      <c r="I2433" t="s">
        <v>173</v>
      </c>
      <c r="J2433">
        <v>1</v>
      </c>
      <c r="K2433" s="6">
        <v>2.33</v>
      </c>
      <c r="L2433" t="s">
        <v>174</v>
      </c>
      <c r="M2433">
        <v>0</v>
      </c>
      <c r="N2433" t="s">
        <v>175</v>
      </c>
      <c r="O2433">
        <v>1</v>
      </c>
      <c r="P2433">
        <v>0</v>
      </c>
      <c r="Q2433" s="6">
        <v>34.6</v>
      </c>
      <c r="R2433">
        <v>0</v>
      </c>
      <c r="S2433" s="6">
        <v>0</v>
      </c>
      <c r="T2433">
        <v>0</v>
      </c>
      <c r="U2433" s="6">
        <v>4711</v>
      </c>
      <c r="V2433">
        <v>0</v>
      </c>
      <c r="W2433">
        <v>0</v>
      </c>
      <c r="X2433">
        <v>0</v>
      </c>
      <c r="Y2433" s="6">
        <v>36.6</v>
      </c>
      <c r="Z2433">
        <v>1.2E-2</v>
      </c>
      <c r="AA2433">
        <v>3.9E-2</v>
      </c>
      <c r="AB2433">
        <v>4.4999999999999998E-2</v>
      </c>
      <c r="AC2433">
        <v>5</v>
      </c>
      <c r="AD2433" s="6">
        <v>51</v>
      </c>
      <c r="AE2433" s="6">
        <v>0</v>
      </c>
      <c r="AF2433" s="6">
        <v>0</v>
      </c>
      <c r="AG2433" s="6">
        <v>51.03</v>
      </c>
      <c r="AH2433" s="6">
        <v>66.67</v>
      </c>
      <c r="AI2433" s="6">
        <f t="shared" si="74"/>
        <v>15.64</v>
      </c>
      <c r="AJ2433" s="5">
        <f t="shared" si="75"/>
        <v>0.23458827058647067</v>
      </c>
    </row>
    <row r="2434" spans="1:36">
      <c r="A2434" t="s">
        <v>355</v>
      </c>
      <c r="B2434" t="s">
        <v>2719</v>
      </c>
      <c r="C2434" t="s">
        <v>114</v>
      </c>
      <c r="D2434" t="s">
        <v>68</v>
      </c>
      <c r="E2434" t="s">
        <v>55</v>
      </c>
      <c r="F2434">
        <v>0</v>
      </c>
      <c r="G2434">
        <v>998</v>
      </c>
      <c r="H2434">
        <v>1</v>
      </c>
      <c r="I2434" t="s">
        <v>173</v>
      </c>
      <c r="J2434">
        <v>1</v>
      </c>
      <c r="K2434" s="6">
        <v>1.62</v>
      </c>
      <c r="L2434" t="s">
        <v>174</v>
      </c>
      <c r="M2434">
        <v>0</v>
      </c>
      <c r="N2434" t="s">
        <v>187</v>
      </c>
      <c r="O2434">
        <v>2</v>
      </c>
      <c r="P2434">
        <v>0</v>
      </c>
      <c r="Q2434" s="6">
        <v>61.4</v>
      </c>
      <c r="R2434">
        <v>0</v>
      </c>
      <c r="S2434" s="6">
        <v>0</v>
      </c>
      <c r="T2434">
        <v>0</v>
      </c>
      <c r="U2434" s="6">
        <v>3002</v>
      </c>
      <c r="V2434">
        <v>0</v>
      </c>
      <c r="W2434">
        <v>0</v>
      </c>
      <c r="X2434">
        <v>0</v>
      </c>
      <c r="Y2434" s="6">
        <v>36.6</v>
      </c>
      <c r="Z2434">
        <v>1.2E-2</v>
      </c>
      <c r="AA2434">
        <v>3.9E-2</v>
      </c>
      <c r="AB2434">
        <v>4.4999999999999998E-2</v>
      </c>
      <c r="AC2434">
        <v>5</v>
      </c>
      <c r="AD2434" s="6">
        <v>51</v>
      </c>
      <c r="AE2434" s="6">
        <v>0</v>
      </c>
      <c r="AF2434" s="6">
        <v>0</v>
      </c>
      <c r="AG2434" s="6">
        <v>58.06</v>
      </c>
      <c r="AH2434" s="6">
        <v>72.92</v>
      </c>
      <c r="AI2434" s="6">
        <f t="shared" ref="AI2434:AI2497" si="76">AH2434-AG2434</f>
        <v>14.86</v>
      </c>
      <c r="AJ2434" s="5">
        <f t="shared" ref="AJ2434:AJ2497" si="77">IFERROR(AI2434/AH2434,0)</f>
        <v>0.20378496982995062</v>
      </c>
    </row>
    <row r="2435" spans="1:36">
      <c r="A2435" t="s">
        <v>218</v>
      </c>
      <c r="B2435" t="s">
        <v>2720</v>
      </c>
      <c r="C2435" t="s">
        <v>114</v>
      </c>
      <c r="D2435" t="s">
        <v>68</v>
      </c>
      <c r="E2435" t="s">
        <v>55</v>
      </c>
      <c r="F2435">
        <v>0</v>
      </c>
      <c r="G2435">
        <v>998</v>
      </c>
      <c r="H2435">
        <v>1</v>
      </c>
      <c r="I2435" t="s">
        <v>178</v>
      </c>
      <c r="J2435">
        <v>4</v>
      </c>
      <c r="K2435" s="6">
        <v>13.64</v>
      </c>
      <c r="L2435" t="s">
        <v>174</v>
      </c>
      <c r="M2435">
        <v>0</v>
      </c>
      <c r="N2435" t="s">
        <v>217</v>
      </c>
      <c r="O2435">
        <v>4</v>
      </c>
      <c r="P2435">
        <v>1</v>
      </c>
      <c r="Q2435" s="6">
        <v>110.7</v>
      </c>
      <c r="R2435">
        <v>0</v>
      </c>
      <c r="S2435" s="6">
        <v>0</v>
      </c>
      <c r="T2435">
        <v>0</v>
      </c>
      <c r="U2435" s="6">
        <v>4604</v>
      </c>
      <c r="V2435">
        <v>0</v>
      </c>
      <c r="W2435">
        <v>0</v>
      </c>
      <c r="X2435">
        <v>0</v>
      </c>
      <c r="Y2435" s="6">
        <v>36.6</v>
      </c>
      <c r="Z2435">
        <v>1.2E-2</v>
      </c>
      <c r="AA2435">
        <v>3.9E-2</v>
      </c>
      <c r="AB2435">
        <v>4.4999999999999998E-2</v>
      </c>
      <c r="AC2435">
        <v>5</v>
      </c>
      <c r="AD2435" s="6">
        <v>66</v>
      </c>
      <c r="AE2435" s="6">
        <v>0</v>
      </c>
      <c r="AF2435" s="6">
        <v>0</v>
      </c>
      <c r="AG2435" s="6">
        <v>173.4</v>
      </c>
      <c r="AH2435" s="6">
        <v>220.18</v>
      </c>
      <c r="AI2435" s="6">
        <f t="shared" si="76"/>
        <v>46.78</v>
      </c>
      <c r="AJ2435" s="5">
        <f t="shared" si="77"/>
        <v>0.2124625306567354</v>
      </c>
    </row>
    <row r="2436" spans="1:36">
      <c r="A2436" t="s">
        <v>223</v>
      </c>
      <c r="B2436" t="s">
        <v>2721</v>
      </c>
      <c r="C2436" t="s">
        <v>114</v>
      </c>
      <c r="D2436" t="s">
        <v>68</v>
      </c>
      <c r="E2436" t="s">
        <v>55</v>
      </c>
      <c r="F2436">
        <v>0</v>
      </c>
      <c r="G2436">
        <v>998</v>
      </c>
      <c r="H2436">
        <v>1</v>
      </c>
      <c r="I2436" t="s">
        <v>181</v>
      </c>
      <c r="J2436">
        <v>3</v>
      </c>
      <c r="K2436" s="6">
        <v>9.61</v>
      </c>
      <c r="L2436" t="s">
        <v>174</v>
      </c>
      <c r="M2436">
        <v>0</v>
      </c>
      <c r="N2436" t="s">
        <v>175</v>
      </c>
      <c r="O2436">
        <v>1</v>
      </c>
      <c r="P2436">
        <v>0</v>
      </c>
      <c r="Q2436" s="6">
        <v>46.5</v>
      </c>
      <c r="R2436">
        <v>0</v>
      </c>
      <c r="S2436" s="6">
        <v>0</v>
      </c>
      <c r="T2436">
        <v>0</v>
      </c>
      <c r="U2436" s="6">
        <v>1979</v>
      </c>
      <c r="V2436">
        <v>0</v>
      </c>
      <c r="W2436">
        <v>0</v>
      </c>
      <c r="X2436">
        <v>0</v>
      </c>
      <c r="Y2436" s="6">
        <v>36.6</v>
      </c>
      <c r="Z2436">
        <v>1.2E-2</v>
      </c>
      <c r="AA2436">
        <v>3.9E-2</v>
      </c>
      <c r="AB2436">
        <v>4.4999999999999998E-2</v>
      </c>
      <c r="AC2436">
        <v>5</v>
      </c>
      <c r="AD2436" s="6">
        <v>61</v>
      </c>
      <c r="AE2436" s="6">
        <v>0</v>
      </c>
      <c r="AF2436" s="6">
        <v>0</v>
      </c>
      <c r="AG2436" s="6">
        <v>97.45</v>
      </c>
      <c r="AH2436" s="6">
        <v>122.33</v>
      </c>
      <c r="AI2436" s="6">
        <f t="shared" si="76"/>
        <v>24.879999999999995</v>
      </c>
      <c r="AJ2436" s="5">
        <f t="shared" si="77"/>
        <v>0.20338428840022885</v>
      </c>
    </row>
    <row r="2437" spans="1:36">
      <c r="A2437" t="s">
        <v>183</v>
      </c>
      <c r="B2437" t="s">
        <v>2722</v>
      </c>
      <c r="C2437" t="s">
        <v>114</v>
      </c>
      <c r="D2437" t="s">
        <v>68</v>
      </c>
      <c r="E2437" t="s">
        <v>55</v>
      </c>
      <c r="F2437">
        <v>0</v>
      </c>
      <c r="G2437">
        <v>998</v>
      </c>
      <c r="H2437">
        <v>1</v>
      </c>
      <c r="I2437" t="s">
        <v>181</v>
      </c>
      <c r="J2437">
        <v>3</v>
      </c>
      <c r="K2437" s="6">
        <v>7.96</v>
      </c>
      <c r="L2437" t="s">
        <v>174</v>
      </c>
      <c r="M2437">
        <v>0</v>
      </c>
      <c r="N2437" t="s">
        <v>187</v>
      </c>
      <c r="O2437">
        <v>2</v>
      </c>
      <c r="P2437">
        <v>0</v>
      </c>
      <c r="Q2437" s="6">
        <v>69.5</v>
      </c>
      <c r="R2437">
        <v>0</v>
      </c>
      <c r="S2437" s="6">
        <v>0</v>
      </c>
      <c r="T2437">
        <v>0</v>
      </c>
      <c r="U2437" s="6">
        <v>17276</v>
      </c>
      <c r="V2437">
        <v>0</v>
      </c>
      <c r="W2437">
        <v>0</v>
      </c>
      <c r="X2437">
        <v>0</v>
      </c>
      <c r="Y2437" s="6">
        <v>36.6</v>
      </c>
      <c r="Z2437">
        <v>1.2E-2</v>
      </c>
      <c r="AA2437">
        <v>3.9E-2</v>
      </c>
      <c r="AB2437">
        <v>4.4999999999999998E-2</v>
      </c>
      <c r="AC2437">
        <v>5</v>
      </c>
      <c r="AD2437" s="6">
        <v>61</v>
      </c>
      <c r="AE2437" s="6">
        <v>0</v>
      </c>
      <c r="AF2437" s="6">
        <v>0</v>
      </c>
      <c r="AG2437" s="6">
        <v>83.86</v>
      </c>
      <c r="AH2437" s="6">
        <v>104.9</v>
      </c>
      <c r="AI2437" s="6">
        <f t="shared" si="76"/>
        <v>21.040000000000006</v>
      </c>
      <c r="AJ2437" s="5">
        <f t="shared" si="77"/>
        <v>0.20057197330791235</v>
      </c>
    </row>
    <row r="2438" spans="1:36">
      <c r="A2438" t="s">
        <v>501</v>
      </c>
      <c r="B2438" t="s">
        <v>2723</v>
      </c>
      <c r="C2438" t="s">
        <v>114</v>
      </c>
      <c r="D2438" t="s">
        <v>68</v>
      </c>
      <c r="E2438" t="s">
        <v>55</v>
      </c>
      <c r="F2438">
        <v>0</v>
      </c>
      <c r="G2438">
        <v>998</v>
      </c>
      <c r="H2438">
        <v>1</v>
      </c>
      <c r="I2438" t="s">
        <v>220</v>
      </c>
      <c r="J2438">
        <v>2</v>
      </c>
      <c r="K2438" s="6">
        <v>7.02</v>
      </c>
      <c r="L2438" t="s">
        <v>174</v>
      </c>
      <c r="M2438">
        <v>0</v>
      </c>
      <c r="N2438" t="s">
        <v>175</v>
      </c>
      <c r="O2438">
        <v>1</v>
      </c>
      <c r="P2438">
        <v>0</v>
      </c>
      <c r="Q2438" s="6">
        <v>44.3</v>
      </c>
      <c r="R2438">
        <v>0</v>
      </c>
      <c r="S2438" s="6">
        <v>0</v>
      </c>
      <c r="T2438">
        <v>0</v>
      </c>
      <c r="U2438" s="6">
        <v>8230</v>
      </c>
      <c r="V2438">
        <v>0</v>
      </c>
      <c r="W2438">
        <v>0</v>
      </c>
      <c r="X2438">
        <v>0</v>
      </c>
      <c r="Y2438" s="6">
        <v>36.6</v>
      </c>
      <c r="Z2438">
        <v>1.2E-2</v>
      </c>
      <c r="AA2438">
        <v>3.9E-2</v>
      </c>
      <c r="AB2438">
        <v>4.4999999999999998E-2</v>
      </c>
      <c r="AC2438">
        <v>5</v>
      </c>
      <c r="AD2438" s="6">
        <v>51</v>
      </c>
      <c r="AE2438" s="6">
        <v>0</v>
      </c>
      <c r="AF2438" s="6">
        <v>0</v>
      </c>
      <c r="AG2438" s="6">
        <v>57.41</v>
      </c>
      <c r="AH2438" s="6">
        <v>73.72</v>
      </c>
      <c r="AI2438" s="6">
        <f t="shared" si="76"/>
        <v>16.310000000000002</v>
      </c>
      <c r="AJ2438" s="5">
        <f t="shared" si="77"/>
        <v>0.22124253933803584</v>
      </c>
    </row>
    <row r="2439" spans="1:36">
      <c r="A2439" t="s">
        <v>198</v>
      </c>
      <c r="B2439" t="s">
        <v>2724</v>
      </c>
      <c r="C2439" t="s">
        <v>114</v>
      </c>
      <c r="D2439" t="s">
        <v>68</v>
      </c>
      <c r="E2439" t="s">
        <v>55</v>
      </c>
      <c r="F2439">
        <v>0</v>
      </c>
      <c r="G2439">
        <v>998</v>
      </c>
      <c r="H2439">
        <v>1</v>
      </c>
      <c r="I2439" t="s">
        <v>181</v>
      </c>
      <c r="J2439">
        <v>3</v>
      </c>
      <c r="K2439" s="6">
        <v>10.39</v>
      </c>
      <c r="L2439" t="s">
        <v>174</v>
      </c>
      <c r="M2439">
        <v>0</v>
      </c>
      <c r="N2439" t="s">
        <v>182</v>
      </c>
      <c r="O2439">
        <v>3</v>
      </c>
      <c r="P2439">
        <v>0</v>
      </c>
      <c r="Q2439" s="6">
        <v>62.9</v>
      </c>
      <c r="R2439">
        <v>0</v>
      </c>
      <c r="S2439" s="6">
        <v>0</v>
      </c>
      <c r="T2439">
        <v>0</v>
      </c>
      <c r="U2439" s="6">
        <v>2595</v>
      </c>
      <c r="V2439">
        <v>0</v>
      </c>
      <c r="W2439">
        <v>0</v>
      </c>
      <c r="X2439">
        <v>0</v>
      </c>
      <c r="Y2439" s="6">
        <v>36.6</v>
      </c>
      <c r="Z2439">
        <v>1.2E-2</v>
      </c>
      <c r="AA2439">
        <v>3.9E-2</v>
      </c>
      <c r="AB2439">
        <v>4.4999999999999998E-2</v>
      </c>
      <c r="AC2439">
        <v>5</v>
      </c>
      <c r="AD2439" s="6">
        <v>61</v>
      </c>
      <c r="AE2439" s="6">
        <v>0</v>
      </c>
      <c r="AF2439" s="6">
        <v>0</v>
      </c>
      <c r="AG2439" s="6">
        <v>105.2</v>
      </c>
      <c r="AH2439" s="6">
        <v>135.12</v>
      </c>
      <c r="AI2439" s="6">
        <f t="shared" si="76"/>
        <v>29.92</v>
      </c>
      <c r="AJ2439" s="5">
        <f t="shared" si="77"/>
        <v>0.22143280047365305</v>
      </c>
    </row>
    <row r="2440" spans="1:36">
      <c r="A2440" t="s">
        <v>488</v>
      </c>
      <c r="B2440" t="s">
        <v>2725</v>
      </c>
      <c r="C2440" t="s">
        <v>114</v>
      </c>
      <c r="D2440" t="s">
        <v>68</v>
      </c>
      <c r="E2440" t="s">
        <v>55</v>
      </c>
      <c r="F2440">
        <v>0</v>
      </c>
      <c r="G2440">
        <v>998</v>
      </c>
      <c r="H2440">
        <v>1</v>
      </c>
      <c r="I2440" t="s">
        <v>173</v>
      </c>
      <c r="J2440">
        <v>1</v>
      </c>
      <c r="K2440" s="6">
        <v>2.13</v>
      </c>
      <c r="L2440" t="s">
        <v>174</v>
      </c>
      <c r="M2440">
        <v>0</v>
      </c>
      <c r="N2440" t="s">
        <v>175</v>
      </c>
      <c r="O2440">
        <v>1</v>
      </c>
      <c r="P2440">
        <v>0</v>
      </c>
      <c r="Q2440" s="6">
        <v>32.1</v>
      </c>
      <c r="R2440">
        <v>0</v>
      </c>
      <c r="S2440" s="6">
        <v>0</v>
      </c>
      <c r="T2440">
        <v>0</v>
      </c>
      <c r="U2440" s="6">
        <v>5913</v>
      </c>
      <c r="V2440">
        <v>0</v>
      </c>
      <c r="W2440">
        <v>0</v>
      </c>
      <c r="X2440">
        <v>0</v>
      </c>
      <c r="Y2440" s="6">
        <v>36.6</v>
      </c>
      <c r="Z2440">
        <v>1.2E-2</v>
      </c>
      <c r="AA2440">
        <v>3.9E-2</v>
      </c>
      <c r="AB2440">
        <v>4.4999999999999998E-2</v>
      </c>
      <c r="AC2440">
        <v>5</v>
      </c>
      <c r="AD2440" s="6">
        <v>51</v>
      </c>
      <c r="AE2440" s="6">
        <v>0</v>
      </c>
      <c r="AF2440" s="6">
        <v>0</v>
      </c>
      <c r="AG2440" s="6">
        <v>47.43</v>
      </c>
      <c r="AH2440" s="6">
        <v>62.49</v>
      </c>
      <c r="AI2440" s="6">
        <f t="shared" si="76"/>
        <v>15.060000000000002</v>
      </c>
      <c r="AJ2440" s="5">
        <f t="shared" si="77"/>
        <v>0.24099855976956316</v>
      </c>
    </row>
    <row r="2441" spans="1:36">
      <c r="A2441" t="s">
        <v>537</v>
      </c>
      <c r="B2441" t="s">
        <v>2726</v>
      </c>
      <c r="C2441" t="s">
        <v>114</v>
      </c>
      <c r="D2441" t="s">
        <v>68</v>
      </c>
      <c r="E2441" t="s">
        <v>55</v>
      </c>
      <c r="F2441">
        <v>0</v>
      </c>
      <c r="G2441">
        <v>998</v>
      </c>
      <c r="H2441">
        <v>1</v>
      </c>
      <c r="I2441" t="s">
        <v>220</v>
      </c>
      <c r="J2441">
        <v>2</v>
      </c>
      <c r="K2441" s="6">
        <v>3.74</v>
      </c>
      <c r="L2441" t="s">
        <v>174</v>
      </c>
      <c r="M2441">
        <v>0</v>
      </c>
      <c r="N2441" t="s">
        <v>182</v>
      </c>
      <c r="O2441">
        <v>3</v>
      </c>
      <c r="P2441">
        <v>0</v>
      </c>
      <c r="Q2441" s="6">
        <v>99.1</v>
      </c>
      <c r="R2441">
        <v>0</v>
      </c>
      <c r="S2441" s="6">
        <v>0</v>
      </c>
      <c r="T2441">
        <v>0</v>
      </c>
      <c r="U2441" s="6">
        <v>6348</v>
      </c>
      <c r="V2441">
        <v>0</v>
      </c>
      <c r="W2441">
        <v>0</v>
      </c>
      <c r="X2441">
        <v>0</v>
      </c>
      <c r="Y2441" s="6">
        <v>36.6</v>
      </c>
      <c r="Z2441">
        <v>1.2E-2</v>
      </c>
      <c r="AA2441">
        <v>3.9E-2</v>
      </c>
      <c r="AB2441">
        <v>4.4999999999999998E-2</v>
      </c>
      <c r="AC2441">
        <v>5</v>
      </c>
      <c r="AD2441" s="6">
        <v>51</v>
      </c>
      <c r="AE2441" s="6">
        <v>0</v>
      </c>
      <c r="AF2441" s="6">
        <v>0</v>
      </c>
      <c r="AG2441" s="6">
        <v>67.540000000000006</v>
      </c>
      <c r="AH2441" s="6">
        <v>85.85</v>
      </c>
      <c r="AI2441" s="6">
        <f t="shared" si="76"/>
        <v>18.309999999999988</v>
      </c>
      <c r="AJ2441" s="5">
        <f t="shared" si="77"/>
        <v>0.21327897495631903</v>
      </c>
    </row>
    <row r="2442" spans="1:36">
      <c r="A2442" t="s">
        <v>293</v>
      </c>
      <c r="B2442" t="s">
        <v>2727</v>
      </c>
      <c r="C2442" t="s">
        <v>114</v>
      </c>
      <c r="D2442" t="s">
        <v>68</v>
      </c>
      <c r="E2442" t="s">
        <v>55</v>
      </c>
      <c r="F2442">
        <v>0</v>
      </c>
      <c r="G2442">
        <v>998</v>
      </c>
      <c r="H2442">
        <v>1</v>
      </c>
      <c r="I2442" t="s">
        <v>220</v>
      </c>
      <c r="J2442">
        <v>2</v>
      </c>
      <c r="K2442" s="6">
        <v>2.39</v>
      </c>
      <c r="L2442" t="s">
        <v>174</v>
      </c>
      <c r="M2442">
        <v>0</v>
      </c>
      <c r="N2442" t="s">
        <v>182</v>
      </c>
      <c r="O2442">
        <v>3</v>
      </c>
      <c r="P2442">
        <v>0</v>
      </c>
      <c r="Q2442" s="6">
        <v>104.2</v>
      </c>
      <c r="R2442">
        <v>0</v>
      </c>
      <c r="S2442" s="6">
        <v>0</v>
      </c>
      <c r="T2442">
        <v>0</v>
      </c>
      <c r="U2442" s="6">
        <v>1822</v>
      </c>
      <c r="V2442">
        <v>0</v>
      </c>
      <c r="W2442">
        <v>0</v>
      </c>
      <c r="X2442">
        <v>0</v>
      </c>
      <c r="Y2442" s="6">
        <v>36.6</v>
      </c>
      <c r="Z2442">
        <v>1.2E-2</v>
      </c>
      <c r="AA2442">
        <v>3.9E-2</v>
      </c>
      <c r="AB2442">
        <v>4.4999999999999998E-2</v>
      </c>
      <c r="AC2442">
        <v>5</v>
      </c>
      <c r="AD2442" s="6">
        <v>51</v>
      </c>
      <c r="AE2442" s="6">
        <v>0</v>
      </c>
      <c r="AF2442" s="6">
        <v>0</v>
      </c>
      <c r="AG2442" s="6">
        <v>72.72</v>
      </c>
      <c r="AH2442" s="6">
        <v>93.01</v>
      </c>
      <c r="AI2442" s="6">
        <f t="shared" si="76"/>
        <v>20.290000000000006</v>
      </c>
      <c r="AJ2442" s="5">
        <f t="shared" si="77"/>
        <v>0.21814858617352978</v>
      </c>
    </row>
    <row r="2443" spans="1:36">
      <c r="A2443" t="s">
        <v>279</v>
      </c>
      <c r="B2443" t="s">
        <v>2728</v>
      </c>
      <c r="C2443" t="s">
        <v>114</v>
      </c>
      <c r="D2443" t="s">
        <v>68</v>
      </c>
      <c r="E2443" t="s">
        <v>55</v>
      </c>
      <c r="F2443">
        <v>0</v>
      </c>
      <c r="G2443">
        <v>998</v>
      </c>
      <c r="H2443">
        <v>1</v>
      </c>
      <c r="I2443" t="s">
        <v>173</v>
      </c>
      <c r="J2443">
        <v>1</v>
      </c>
      <c r="K2443" s="6">
        <v>2.0499999999999998</v>
      </c>
      <c r="L2443" t="s">
        <v>174</v>
      </c>
      <c r="M2443">
        <v>0</v>
      </c>
      <c r="N2443" t="s">
        <v>175</v>
      </c>
      <c r="O2443">
        <v>1</v>
      </c>
      <c r="P2443">
        <v>0</v>
      </c>
      <c r="Q2443" s="6">
        <v>43.4</v>
      </c>
      <c r="R2443">
        <v>0</v>
      </c>
      <c r="S2443" s="6">
        <v>0</v>
      </c>
      <c r="T2443">
        <v>0</v>
      </c>
      <c r="U2443" s="6">
        <v>11006</v>
      </c>
      <c r="V2443">
        <v>1</v>
      </c>
      <c r="W2443">
        <v>0</v>
      </c>
      <c r="X2443">
        <v>0</v>
      </c>
      <c r="Y2443" s="6">
        <v>36.6</v>
      </c>
      <c r="Z2443">
        <v>1.2E-2</v>
      </c>
      <c r="AA2443">
        <v>3.9E-2</v>
      </c>
      <c r="AB2443">
        <v>4.4999999999999998E-2</v>
      </c>
      <c r="AC2443">
        <v>5</v>
      </c>
      <c r="AD2443" s="6">
        <v>51</v>
      </c>
      <c r="AE2443" s="6">
        <v>0</v>
      </c>
      <c r="AF2443" s="6">
        <v>0</v>
      </c>
      <c r="AG2443" s="6">
        <v>86.95</v>
      </c>
      <c r="AH2443" s="6">
        <v>112.22</v>
      </c>
      <c r="AI2443" s="6">
        <f t="shared" si="76"/>
        <v>25.269999999999996</v>
      </c>
      <c r="AJ2443" s="5">
        <f t="shared" si="77"/>
        <v>0.22518267688469076</v>
      </c>
    </row>
    <row r="2444" spans="1:36">
      <c r="A2444" t="s">
        <v>562</v>
      </c>
      <c r="B2444" t="s">
        <v>2729</v>
      </c>
      <c r="C2444" t="s">
        <v>114</v>
      </c>
      <c r="D2444" t="s">
        <v>68</v>
      </c>
      <c r="E2444" t="s">
        <v>55</v>
      </c>
      <c r="F2444">
        <v>0</v>
      </c>
      <c r="G2444">
        <v>998</v>
      </c>
      <c r="H2444">
        <v>1</v>
      </c>
      <c r="I2444" t="s">
        <v>173</v>
      </c>
      <c r="J2444">
        <v>1</v>
      </c>
      <c r="K2444" s="6">
        <v>1.71</v>
      </c>
      <c r="L2444" t="s">
        <v>174</v>
      </c>
      <c r="M2444">
        <v>0</v>
      </c>
      <c r="N2444" t="s">
        <v>182</v>
      </c>
      <c r="O2444">
        <v>3</v>
      </c>
      <c r="P2444">
        <v>0</v>
      </c>
      <c r="Q2444" s="6">
        <v>101.1</v>
      </c>
      <c r="R2444">
        <v>0</v>
      </c>
      <c r="S2444" s="6">
        <v>0</v>
      </c>
      <c r="T2444">
        <v>0</v>
      </c>
      <c r="U2444" s="6">
        <v>4985</v>
      </c>
      <c r="V2444">
        <v>0</v>
      </c>
      <c r="W2444">
        <v>0</v>
      </c>
      <c r="X2444">
        <v>0</v>
      </c>
      <c r="Y2444" s="6">
        <v>36.6</v>
      </c>
      <c r="Z2444">
        <v>1.2E-2</v>
      </c>
      <c r="AA2444">
        <v>3.9E-2</v>
      </c>
      <c r="AB2444">
        <v>4.4999999999999998E-2</v>
      </c>
      <c r="AC2444">
        <v>5</v>
      </c>
      <c r="AD2444" s="6">
        <v>51</v>
      </c>
      <c r="AE2444" s="6">
        <v>0</v>
      </c>
      <c r="AF2444" s="6">
        <v>0</v>
      </c>
      <c r="AG2444" s="6">
        <v>65.55</v>
      </c>
      <c r="AH2444" s="6">
        <v>86.32</v>
      </c>
      <c r="AI2444" s="6">
        <f t="shared" si="76"/>
        <v>20.769999999999996</v>
      </c>
      <c r="AJ2444" s="5">
        <f t="shared" si="77"/>
        <v>0.24061631139944389</v>
      </c>
    </row>
    <row r="2445" spans="1:36">
      <c r="A2445" t="s">
        <v>233</v>
      </c>
      <c r="B2445" t="s">
        <v>2730</v>
      </c>
      <c r="C2445" t="s">
        <v>114</v>
      </c>
      <c r="D2445" t="s">
        <v>68</v>
      </c>
      <c r="E2445" t="s">
        <v>55</v>
      </c>
      <c r="F2445">
        <v>0</v>
      </c>
      <c r="G2445">
        <v>998</v>
      </c>
      <c r="H2445">
        <v>1</v>
      </c>
      <c r="I2445" t="s">
        <v>220</v>
      </c>
      <c r="J2445">
        <v>2</v>
      </c>
      <c r="K2445" s="6">
        <v>3.78</v>
      </c>
      <c r="L2445" t="s">
        <v>174</v>
      </c>
      <c r="M2445">
        <v>0</v>
      </c>
      <c r="N2445" t="s">
        <v>175</v>
      </c>
      <c r="O2445">
        <v>1</v>
      </c>
      <c r="P2445">
        <v>0</v>
      </c>
      <c r="Q2445" s="6">
        <v>17.899999999999999</v>
      </c>
      <c r="R2445">
        <v>0</v>
      </c>
      <c r="S2445" s="6">
        <v>0</v>
      </c>
      <c r="T2445">
        <v>0</v>
      </c>
      <c r="U2445" s="6">
        <v>9628</v>
      </c>
      <c r="V2445">
        <v>0</v>
      </c>
      <c r="W2445">
        <v>0</v>
      </c>
      <c r="X2445">
        <v>0</v>
      </c>
      <c r="Y2445" s="6">
        <v>36.6</v>
      </c>
      <c r="Z2445">
        <v>1.2E-2</v>
      </c>
      <c r="AA2445">
        <v>3.9E-2</v>
      </c>
      <c r="AB2445">
        <v>4.4999999999999998E-2</v>
      </c>
      <c r="AC2445">
        <v>5</v>
      </c>
      <c r="AD2445" s="6">
        <v>51</v>
      </c>
      <c r="AE2445" s="6">
        <v>0</v>
      </c>
      <c r="AF2445" s="6">
        <v>0</v>
      </c>
      <c r="AG2445" s="6">
        <v>52.08</v>
      </c>
      <c r="AH2445" s="6">
        <v>66.84</v>
      </c>
      <c r="AI2445" s="6">
        <f t="shared" si="76"/>
        <v>14.760000000000005</v>
      </c>
      <c r="AJ2445" s="5">
        <f t="shared" si="77"/>
        <v>0.22082585278276487</v>
      </c>
    </row>
    <row r="2446" spans="1:36">
      <c r="A2446" t="s">
        <v>436</v>
      </c>
      <c r="B2446" t="s">
        <v>2731</v>
      </c>
      <c r="C2446" t="s">
        <v>114</v>
      </c>
      <c r="D2446" t="s">
        <v>68</v>
      </c>
      <c r="E2446" t="s">
        <v>55</v>
      </c>
      <c r="F2446">
        <v>0</v>
      </c>
      <c r="G2446">
        <v>998</v>
      </c>
      <c r="H2446">
        <v>1</v>
      </c>
      <c r="I2446" t="s">
        <v>181</v>
      </c>
      <c r="J2446">
        <v>3</v>
      </c>
      <c r="K2446" s="6">
        <v>6.16</v>
      </c>
      <c r="L2446" t="s">
        <v>174</v>
      </c>
      <c r="M2446">
        <v>0</v>
      </c>
      <c r="N2446" t="s">
        <v>182</v>
      </c>
      <c r="O2446">
        <v>3</v>
      </c>
      <c r="P2446">
        <v>0</v>
      </c>
      <c r="Q2446" s="6">
        <v>92.8</v>
      </c>
      <c r="R2446">
        <v>1</v>
      </c>
      <c r="S2446" s="6">
        <v>2936</v>
      </c>
      <c r="T2446">
        <v>0</v>
      </c>
      <c r="U2446" s="6">
        <v>5930</v>
      </c>
      <c r="V2446">
        <v>0</v>
      </c>
      <c r="W2446">
        <v>0</v>
      </c>
      <c r="X2446">
        <v>0</v>
      </c>
      <c r="Y2446" s="6">
        <v>36.6</v>
      </c>
      <c r="Z2446">
        <v>1.2E-2</v>
      </c>
      <c r="AA2446">
        <v>3.9E-2</v>
      </c>
      <c r="AB2446">
        <v>4.4999999999999998E-2</v>
      </c>
      <c r="AC2446">
        <v>5</v>
      </c>
      <c r="AD2446" s="6">
        <v>61</v>
      </c>
      <c r="AE2446" s="6">
        <v>40</v>
      </c>
      <c r="AF2446" s="6">
        <v>0</v>
      </c>
      <c r="AG2446" s="6">
        <v>90.19</v>
      </c>
      <c r="AH2446" s="6">
        <v>116.96</v>
      </c>
      <c r="AI2446" s="6">
        <f t="shared" si="76"/>
        <v>26.769999999999996</v>
      </c>
      <c r="AJ2446" s="5">
        <f t="shared" si="77"/>
        <v>0.22888166894664841</v>
      </c>
    </row>
    <row r="2447" spans="1:36">
      <c r="A2447" t="s">
        <v>212</v>
      </c>
      <c r="B2447" t="s">
        <v>2732</v>
      </c>
      <c r="C2447" t="s">
        <v>114</v>
      </c>
      <c r="D2447" t="s">
        <v>68</v>
      </c>
      <c r="E2447" t="s">
        <v>55</v>
      </c>
      <c r="F2447">
        <v>0</v>
      </c>
      <c r="G2447">
        <v>998</v>
      </c>
      <c r="H2447">
        <v>1</v>
      </c>
      <c r="I2447" t="s">
        <v>178</v>
      </c>
      <c r="J2447">
        <v>4</v>
      </c>
      <c r="K2447" s="6">
        <v>12.54</v>
      </c>
      <c r="L2447" t="s">
        <v>174</v>
      </c>
      <c r="M2447">
        <v>0</v>
      </c>
      <c r="N2447" t="s">
        <v>217</v>
      </c>
      <c r="O2447">
        <v>4</v>
      </c>
      <c r="P2447">
        <v>1</v>
      </c>
      <c r="Q2447" s="6">
        <v>147.69999999999999</v>
      </c>
      <c r="R2447">
        <v>0</v>
      </c>
      <c r="S2447" s="6">
        <v>0</v>
      </c>
      <c r="T2447">
        <v>0</v>
      </c>
      <c r="U2447" s="6">
        <v>4264</v>
      </c>
      <c r="V2447">
        <v>0</v>
      </c>
      <c r="W2447">
        <v>0</v>
      </c>
      <c r="X2447">
        <v>0</v>
      </c>
      <c r="Y2447" s="6">
        <v>36.6</v>
      </c>
      <c r="Z2447">
        <v>1.2E-2</v>
      </c>
      <c r="AA2447">
        <v>3.9E-2</v>
      </c>
      <c r="AB2447">
        <v>4.4999999999999998E-2</v>
      </c>
      <c r="AC2447">
        <v>5</v>
      </c>
      <c r="AD2447" s="6">
        <v>66</v>
      </c>
      <c r="AE2447" s="6">
        <v>0</v>
      </c>
      <c r="AF2447" s="6">
        <v>0</v>
      </c>
      <c r="AG2447" s="6">
        <v>170.22</v>
      </c>
      <c r="AH2447" s="6">
        <v>215.05</v>
      </c>
      <c r="AI2447" s="6">
        <f t="shared" si="76"/>
        <v>44.830000000000013</v>
      </c>
      <c r="AJ2447" s="5">
        <f t="shared" si="77"/>
        <v>0.20846314810509189</v>
      </c>
    </row>
    <row r="2448" spans="1:36">
      <c r="A2448" t="s">
        <v>579</v>
      </c>
      <c r="B2448" t="s">
        <v>2733</v>
      </c>
      <c r="C2448" t="s">
        <v>114</v>
      </c>
      <c r="D2448" t="s">
        <v>68</v>
      </c>
      <c r="E2448" t="s">
        <v>55</v>
      </c>
      <c r="F2448">
        <v>0</v>
      </c>
      <c r="G2448">
        <v>998</v>
      </c>
      <c r="H2448">
        <v>1</v>
      </c>
      <c r="I2448" t="s">
        <v>220</v>
      </c>
      <c r="J2448">
        <v>2</v>
      </c>
      <c r="K2448" s="6">
        <v>2.87</v>
      </c>
      <c r="L2448" t="s">
        <v>174</v>
      </c>
      <c r="M2448">
        <v>0</v>
      </c>
      <c r="N2448" t="s">
        <v>175</v>
      </c>
      <c r="O2448">
        <v>1</v>
      </c>
      <c r="P2448">
        <v>0</v>
      </c>
      <c r="Q2448" s="6">
        <v>37.700000000000003</v>
      </c>
      <c r="R2448">
        <v>0</v>
      </c>
      <c r="S2448" s="6">
        <v>0</v>
      </c>
      <c r="T2448">
        <v>0</v>
      </c>
      <c r="U2448" s="6">
        <v>5122</v>
      </c>
      <c r="V2448">
        <v>0</v>
      </c>
      <c r="W2448">
        <v>0</v>
      </c>
      <c r="X2448">
        <v>0</v>
      </c>
      <c r="Y2448" s="6">
        <v>36.6</v>
      </c>
      <c r="Z2448">
        <v>1.2E-2</v>
      </c>
      <c r="AA2448">
        <v>3.9E-2</v>
      </c>
      <c r="AB2448">
        <v>4.4999999999999998E-2</v>
      </c>
      <c r="AC2448">
        <v>5</v>
      </c>
      <c r="AD2448" s="6">
        <v>51</v>
      </c>
      <c r="AE2448" s="6">
        <v>0</v>
      </c>
      <c r="AF2448" s="6">
        <v>0</v>
      </c>
      <c r="AG2448" s="6">
        <v>57.73</v>
      </c>
      <c r="AH2448" s="6">
        <v>76.63</v>
      </c>
      <c r="AI2448" s="6">
        <f t="shared" si="76"/>
        <v>18.899999999999999</v>
      </c>
      <c r="AJ2448" s="5">
        <f t="shared" si="77"/>
        <v>0.24663969724650919</v>
      </c>
    </row>
    <row r="2449" spans="1:36">
      <c r="A2449" t="s">
        <v>362</v>
      </c>
      <c r="B2449" t="s">
        <v>2734</v>
      </c>
      <c r="C2449" t="s">
        <v>114</v>
      </c>
      <c r="D2449" t="s">
        <v>68</v>
      </c>
      <c r="E2449" t="s">
        <v>55</v>
      </c>
      <c r="F2449">
        <v>0</v>
      </c>
      <c r="G2449">
        <v>998</v>
      </c>
      <c r="H2449">
        <v>1</v>
      </c>
      <c r="I2449" t="s">
        <v>181</v>
      </c>
      <c r="J2449">
        <v>3</v>
      </c>
      <c r="K2449" s="6">
        <v>10.6</v>
      </c>
      <c r="L2449" t="s">
        <v>174</v>
      </c>
      <c r="M2449">
        <v>0</v>
      </c>
      <c r="N2449" t="s">
        <v>175</v>
      </c>
      <c r="O2449">
        <v>1</v>
      </c>
      <c r="P2449">
        <v>0</v>
      </c>
      <c r="Q2449" s="6">
        <v>46.3</v>
      </c>
      <c r="R2449">
        <v>0</v>
      </c>
      <c r="S2449" s="6">
        <v>0</v>
      </c>
      <c r="T2449">
        <v>0</v>
      </c>
      <c r="U2449" s="6">
        <v>6762</v>
      </c>
      <c r="V2449">
        <v>0</v>
      </c>
      <c r="W2449">
        <v>0</v>
      </c>
      <c r="X2449">
        <v>0</v>
      </c>
      <c r="Y2449" s="6">
        <v>36.6</v>
      </c>
      <c r="Z2449">
        <v>1.2E-2</v>
      </c>
      <c r="AA2449">
        <v>3.9E-2</v>
      </c>
      <c r="AB2449">
        <v>4.4999999999999998E-2</v>
      </c>
      <c r="AC2449">
        <v>5</v>
      </c>
      <c r="AD2449" s="6">
        <v>61</v>
      </c>
      <c r="AE2449" s="6">
        <v>0</v>
      </c>
      <c r="AF2449" s="6">
        <v>0</v>
      </c>
      <c r="AG2449" s="6">
        <v>98.89</v>
      </c>
      <c r="AH2449" s="6">
        <v>127.08</v>
      </c>
      <c r="AI2449" s="6">
        <f t="shared" si="76"/>
        <v>28.189999999999998</v>
      </c>
      <c r="AJ2449" s="5">
        <f t="shared" si="77"/>
        <v>0.2218287692791942</v>
      </c>
    </row>
    <row r="2450" spans="1:36">
      <c r="A2450" t="s">
        <v>286</v>
      </c>
      <c r="B2450" t="s">
        <v>2735</v>
      </c>
      <c r="C2450" t="s">
        <v>114</v>
      </c>
      <c r="D2450" t="s">
        <v>68</v>
      </c>
      <c r="E2450" t="s">
        <v>55</v>
      </c>
      <c r="F2450">
        <v>0</v>
      </c>
      <c r="G2450">
        <v>998</v>
      </c>
      <c r="H2450">
        <v>1</v>
      </c>
      <c r="I2450" t="s">
        <v>173</v>
      </c>
      <c r="J2450">
        <v>1</v>
      </c>
      <c r="K2450" s="6">
        <v>2.2599999999999998</v>
      </c>
      <c r="L2450" t="s">
        <v>174</v>
      </c>
      <c r="M2450">
        <v>0</v>
      </c>
      <c r="N2450" t="s">
        <v>175</v>
      </c>
      <c r="O2450">
        <v>1</v>
      </c>
      <c r="P2450">
        <v>0</v>
      </c>
      <c r="Q2450" s="6">
        <v>19.8</v>
      </c>
      <c r="R2450">
        <v>0</v>
      </c>
      <c r="S2450" s="6">
        <v>0</v>
      </c>
      <c r="T2450">
        <v>0</v>
      </c>
      <c r="U2450" s="6">
        <v>1942</v>
      </c>
      <c r="V2450">
        <v>0</v>
      </c>
      <c r="W2450">
        <v>0</v>
      </c>
      <c r="X2450">
        <v>0</v>
      </c>
      <c r="Y2450" s="6">
        <v>36.6</v>
      </c>
      <c r="Z2450">
        <v>1.2E-2</v>
      </c>
      <c r="AA2450">
        <v>3.9E-2</v>
      </c>
      <c r="AB2450">
        <v>4.4999999999999998E-2</v>
      </c>
      <c r="AC2450">
        <v>5</v>
      </c>
      <c r="AD2450" s="6">
        <v>51</v>
      </c>
      <c r="AE2450" s="6">
        <v>0</v>
      </c>
      <c r="AF2450" s="6">
        <v>0</v>
      </c>
      <c r="AG2450" s="6">
        <v>49.48</v>
      </c>
      <c r="AH2450" s="6">
        <v>66.540000000000006</v>
      </c>
      <c r="AI2450" s="6">
        <f t="shared" si="76"/>
        <v>17.060000000000009</v>
      </c>
      <c r="AJ2450" s="5">
        <f t="shared" si="77"/>
        <v>0.25638713555755949</v>
      </c>
    </row>
    <row r="2451" spans="1:36">
      <c r="A2451" t="s">
        <v>176</v>
      </c>
      <c r="B2451" t="s">
        <v>2736</v>
      </c>
      <c r="C2451" t="s">
        <v>114</v>
      </c>
      <c r="D2451" t="s">
        <v>68</v>
      </c>
      <c r="E2451" t="s">
        <v>55</v>
      </c>
      <c r="F2451">
        <v>0</v>
      </c>
      <c r="G2451">
        <v>998</v>
      </c>
      <c r="H2451">
        <v>1</v>
      </c>
      <c r="I2451" t="s">
        <v>181</v>
      </c>
      <c r="J2451">
        <v>3</v>
      </c>
      <c r="K2451" s="6">
        <v>11.31</v>
      </c>
      <c r="L2451" t="s">
        <v>174</v>
      </c>
      <c r="M2451">
        <v>0</v>
      </c>
      <c r="N2451" t="s">
        <v>182</v>
      </c>
      <c r="O2451">
        <v>3</v>
      </c>
      <c r="P2451">
        <v>0</v>
      </c>
      <c r="Q2451" s="6">
        <v>107.9</v>
      </c>
      <c r="R2451">
        <v>0</v>
      </c>
      <c r="S2451" s="6">
        <v>0</v>
      </c>
      <c r="T2451">
        <v>0</v>
      </c>
      <c r="U2451" s="6">
        <v>1930</v>
      </c>
      <c r="V2451">
        <v>0</v>
      </c>
      <c r="W2451">
        <v>0</v>
      </c>
      <c r="X2451">
        <v>0</v>
      </c>
      <c r="Y2451" s="6">
        <v>36.6</v>
      </c>
      <c r="Z2451">
        <v>1.2E-2</v>
      </c>
      <c r="AA2451">
        <v>3.9E-2</v>
      </c>
      <c r="AB2451">
        <v>4.4999999999999998E-2</v>
      </c>
      <c r="AC2451">
        <v>5</v>
      </c>
      <c r="AD2451" s="6">
        <v>61</v>
      </c>
      <c r="AE2451" s="6">
        <v>0</v>
      </c>
      <c r="AF2451" s="6">
        <v>0</v>
      </c>
      <c r="AG2451" s="6">
        <v>112.88</v>
      </c>
      <c r="AH2451" s="6">
        <v>142.63</v>
      </c>
      <c r="AI2451" s="6">
        <f t="shared" si="76"/>
        <v>29.75</v>
      </c>
      <c r="AJ2451" s="5">
        <f t="shared" si="77"/>
        <v>0.20858164481525626</v>
      </c>
    </row>
    <row r="2452" spans="1:36">
      <c r="A2452" t="s">
        <v>765</v>
      </c>
      <c r="B2452" t="s">
        <v>2737</v>
      </c>
      <c r="C2452" t="s">
        <v>114</v>
      </c>
      <c r="D2452" t="s">
        <v>68</v>
      </c>
      <c r="E2452" t="s">
        <v>55</v>
      </c>
      <c r="F2452">
        <v>0</v>
      </c>
      <c r="G2452">
        <v>998</v>
      </c>
      <c r="H2452">
        <v>1</v>
      </c>
      <c r="I2452" t="s">
        <v>220</v>
      </c>
      <c r="J2452">
        <v>2</v>
      </c>
      <c r="K2452" s="6">
        <v>2.54</v>
      </c>
      <c r="L2452" t="s">
        <v>174</v>
      </c>
      <c r="M2452">
        <v>0</v>
      </c>
      <c r="N2452" t="s">
        <v>175</v>
      </c>
      <c r="O2452">
        <v>1</v>
      </c>
      <c r="P2452">
        <v>0</v>
      </c>
      <c r="Q2452" s="6">
        <v>28.1</v>
      </c>
      <c r="R2452">
        <v>0</v>
      </c>
      <c r="S2452" s="6">
        <v>0</v>
      </c>
      <c r="T2452">
        <v>0</v>
      </c>
      <c r="U2452" s="6">
        <v>3028</v>
      </c>
      <c r="V2452">
        <v>0</v>
      </c>
      <c r="W2452">
        <v>0</v>
      </c>
      <c r="X2452">
        <v>0</v>
      </c>
      <c r="Y2452" s="6">
        <v>36.6</v>
      </c>
      <c r="Z2452">
        <v>1.2E-2</v>
      </c>
      <c r="AA2452">
        <v>3.9E-2</v>
      </c>
      <c r="AB2452">
        <v>4.4999999999999998E-2</v>
      </c>
      <c r="AC2452">
        <v>5</v>
      </c>
      <c r="AD2452" s="6">
        <v>51</v>
      </c>
      <c r="AE2452" s="6">
        <v>0</v>
      </c>
      <c r="AF2452" s="6">
        <v>0</v>
      </c>
      <c r="AG2452" s="6">
        <v>55.88</v>
      </c>
      <c r="AH2452" s="6">
        <v>69.91</v>
      </c>
      <c r="AI2452" s="6">
        <f t="shared" si="76"/>
        <v>14.029999999999994</v>
      </c>
      <c r="AJ2452" s="5">
        <f t="shared" si="77"/>
        <v>0.20068659705335423</v>
      </c>
    </row>
    <row r="2453" spans="1:36">
      <c r="A2453" t="s">
        <v>188</v>
      </c>
      <c r="B2453" t="s">
        <v>2738</v>
      </c>
      <c r="C2453" t="s">
        <v>114</v>
      </c>
      <c r="D2453" t="s">
        <v>68</v>
      </c>
      <c r="E2453" t="s">
        <v>55</v>
      </c>
      <c r="F2453">
        <v>0</v>
      </c>
      <c r="G2453">
        <v>998</v>
      </c>
      <c r="H2453">
        <v>1</v>
      </c>
      <c r="I2453" t="s">
        <v>173</v>
      </c>
      <c r="J2453">
        <v>1</v>
      </c>
      <c r="K2453" s="6">
        <v>1.22</v>
      </c>
      <c r="L2453" t="s">
        <v>174</v>
      </c>
      <c r="M2453">
        <v>0</v>
      </c>
      <c r="N2453" t="s">
        <v>182</v>
      </c>
      <c r="O2453">
        <v>3</v>
      </c>
      <c r="P2453">
        <v>0</v>
      </c>
      <c r="Q2453" s="6">
        <v>44.4</v>
      </c>
      <c r="R2453">
        <v>0</v>
      </c>
      <c r="S2453" s="6">
        <v>0</v>
      </c>
      <c r="T2453">
        <v>0</v>
      </c>
      <c r="U2453" s="6">
        <v>1819</v>
      </c>
      <c r="V2453">
        <v>0</v>
      </c>
      <c r="W2453">
        <v>0</v>
      </c>
      <c r="X2453">
        <v>0</v>
      </c>
      <c r="Y2453" s="6">
        <v>36.6</v>
      </c>
      <c r="Z2453">
        <v>1.2E-2</v>
      </c>
      <c r="AA2453">
        <v>3.9E-2</v>
      </c>
      <c r="AB2453">
        <v>4.4999999999999998E-2</v>
      </c>
      <c r="AC2453">
        <v>5</v>
      </c>
      <c r="AD2453" s="6">
        <v>51</v>
      </c>
      <c r="AE2453" s="6">
        <v>0</v>
      </c>
      <c r="AF2453" s="6">
        <v>0</v>
      </c>
      <c r="AG2453" s="6">
        <v>58.21</v>
      </c>
      <c r="AH2453" s="6">
        <v>75.25</v>
      </c>
      <c r="AI2453" s="6">
        <f t="shared" si="76"/>
        <v>17.04</v>
      </c>
      <c r="AJ2453" s="5">
        <f t="shared" si="77"/>
        <v>0.22644518272425249</v>
      </c>
    </row>
    <row r="2454" spans="1:36">
      <c r="A2454" t="s">
        <v>236</v>
      </c>
      <c r="B2454" t="s">
        <v>2739</v>
      </c>
      <c r="C2454" t="s">
        <v>114</v>
      </c>
      <c r="D2454" t="s">
        <v>68</v>
      </c>
      <c r="E2454" t="s">
        <v>55</v>
      </c>
      <c r="F2454">
        <v>0</v>
      </c>
      <c r="G2454">
        <v>998</v>
      </c>
      <c r="H2454">
        <v>1</v>
      </c>
      <c r="I2454" t="s">
        <v>181</v>
      </c>
      <c r="J2454">
        <v>3</v>
      </c>
      <c r="K2454" s="6">
        <v>7.76</v>
      </c>
      <c r="L2454" t="s">
        <v>174</v>
      </c>
      <c r="M2454">
        <v>0</v>
      </c>
      <c r="N2454" t="s">
        <v>187</v>
      </c>
      <c r="O2454">
        <v>2</v>
      </c>
      <c r="P2454">
        <v>0</v>
      </c>
      <c r="Q2454" s="6">
        <v>63.5</v>
      </c>
      <c r="R2454">
        <v>0</v>
      </c>
      <c r="S2454" s="6">
        <v>0</v>
      </c>
      <c r="T2454">
        <v>0</v>
      </c>
      <c r="U2454" s="6">
        <v>4974</v>
      </c>
      <c r="V2454">
        <v>0</v>
      </c>
      <c r="W2454">
        <v>0</v>
      </c>
      <c r="X2454">
        <v>0</v>
      </c>
      <c r="Y2454" s="6">
        <v>36.6</v>
      </c>
      <c r="Z2454">
        <v>1.2E-2</v>
      </c>
      <c r="AA2454">
        <v>3.9E-2</v>
      </c>
      <c r="AB2454">
        <v>4.4999999999999998E-2</v>
      </c>
      <c r="AC2454">
        <v>5</v>
      </c>
      <c r="AD2454" s="6">
        <v>61</v>
      </c>
      <c r="AE2454" s="6">
        <v>0</v>
      </c>
      <c r="AF2454" s="6">
        <v>0</v>
      </c>
      <c r="AG2454" s="6">
        <v>75.06</v>
      </c>
      <c r="AH2454" s="6">
        <v>95.64</v>
      </c>
      <c r="AI2454" s="6">
        <f t="shared" si="76"/>
        <v>20.58</v>
      </c>
      <c r="AJ2454" s="5">
        <f t="shared" si="77"/>
        <v>0.21518193224592219</v>
      </c>
    </row>
    <row r="2455" spans="1:36">
      <c r="A2455" t="s">
        <v>328</v>
      </c>
      <c r="B2455" t="s">
        <v>2740</v>
      </c>
      <c r="C2455" t="s">
        <v>114</v>
      </c>
      <c r="D2455" t="s">
        <v>68</v>
      </c>
      <c r="E2455" t="s">
        <v>55</v>
      </c>
      <c r="F2455">
        <v>0</v>
      </c>
      <c r="G2455">
        <v>998</v>
      </c>
      <c r="H2455">
        <v>1</v>
      </c>
      <c r="I2455" t="s">
        <v>220</v>
      </c>
      <c r="J2455">
        <v>2</v>
      </c>
      <c r="K2455" s="6">
        <v>5.63</v>
      </c>
      <c r="L2455" t="s">
        <v>174</v>
      </c>
      <c r="M2455">
        <v>0</v>
      </c>
      <c r="N2455" t="s">
        <v>182</v>
      </c>
      <c r="O2455">
        <v>3</v>
      </c>
      <c r="P2455">
        <v>0</v>
      </c>
      <c r="Q2455" s="6">
        <v>68.099999999999994</v>
      </c>
      <c r="R2455">
        <v>0</v>
      </c>
      <c r="S2455" s="6">
        <v>0</v>
      </c>
      <c r="T2455">
        <v>0</v>
      </c>
      <c r="U2455" s="6">
        <v>3680</v>
      </c>
      <c r="V2455">
        <v>0</v>
      </c>
      <c r="W2455">
        <v>0</v>
      </c>
      <c r="X2455">
        <v>0</v>
      </c>
      <c r="Y2455" s="6">
        <v>36.6</v>
      </c>
      <c r="Z2455">
        <v>1.2E-2</v>
      </c>
      <c r="AA2455">
        <v>3.9E-2</v>
      </c>
      <c r="AB2455">
        <v>4.4999999999999998E-2</v>
      </c>
      <c r="AC2455">
        <v>5</v>
      </c>
      <c r="AD2455" s="6">
        <v>51</v>
      </c>
      <c r="AE2455" s="6">
        <v>0</v>
      </c>
      <c r="AF2455" s="6">
        <v>0</v>
      </c>
      <c r="AG2455" s="6">
        <v>71.14</v>
      </c>
      <c r="AH2455" s="6">
        <v>89.16</v>
      </c>
      <c r="AI2455" s="6">
        <f t="shared" si="76"/>
        <v>18.019999999999996</v>
      </c>
      <c r="AJ2455" s="5">
        <f t="shared" si="77"/>
        <v>0.20210856886496184</v>
      </c>
    </row>
    <row r="2456" spans="1:36">
      <c r="A2456" t="s">
        <v>258</v>
      </c>
      <c r="B2456" t="s">
        <v>2741</v>
      </c>
      <c r="C2456" t="s">
        <v>114</v>
      </c>
      <c r="D2456" t="s">
        <v>68</v>
      </c>
      <c r="E2456" t="s">
        <v>55</v>
      </c>
      <c r="F2456">
        <v>0</v>
      </c>
      <c r="G2456">
        <v>998</v>
      </c>
      <c r="H2456">
        <v>1</v>
      </c>
      <c r="I2456" t="s">
        <v>173</v>
      </c>
      <c r="J2456">
        <v>1</v>
      </c>
      <c r="K2456" s="6">
        <v>2.54</v>
      </c>
      <c r="L2456" t="s">
        <v>174</v>
      </c>
      <c r="M2456">
        <v>0</v>
      </c>
      <c r="N2456" t="s">
        <v>187</v>
      </c>
      <c r="O2456">
        <v>2</v>
      </c>
      <c r="P2456">
        <v>0</v>
      </c>
      <c r="Q2456" s="6">
        <v>50.1</v>
      </c>
      <c r="R2456">
        <v>0</v>
      </c>
      <c r="S2456" s="6">
        <v>0</v>
      </c>
      <c r="T2456">
        <v>0</v>
      </c>
      <c r="U2456" s="6">
        <v>3207</v>
      </c>
      <c r="V2456">
        <v>0</v>
      </c>
      <c r="W2456">
        <v>0</v>
      </c>
      <c r="X2456">
        <v>0</v>
      </c>
      <c r="Y2456" s="6">
        <v>36.6</v>
      </c>
      <c r="Z2456">
        <v>1.2E-2</v>
      </c>
      <c r="AA2456">
        <v>3.9E-2</v>
      </c>
      <c r="AB2456">
        <v>4.4999999999999998E-2</v>
      </c>
      <c r="AC2456">
        <v>5</v>
      </c>
      <c r="AD2456" s="6">
        <v>51</v>
      </c>
      <c r="AE2456" s="6">
        <v>0</v>
      </c>
      <c r="AF2456" s="6">
        <v>0</v>
      </c>
      <c r="AG2456" s="6">
        <v>58.6</v>
      </c>
      <c r="AH2456" s="6">
        <v>77.59</v>
      </c>
      <c r="AI2456" s="6">
        <f t="shared" si="76"/>
        <v>18.990000000000002</v>
      </c>
      <c r="AJ2456" s="5">
        <f t="shared" si="77"/>
        <v>0.24474803454053359</v>
      </c>
    </row>
    <row r="2457" spans="1:36">
      <c r="A2457" t="s">
        <v>313</v>
      </c>
      <c r="B2457" t="s">
        <v>2742</v>
      </c>
      <c r="C2457" t="s">
        <v>114</v>
      </c>
      <c r="D2457" t="s">
        <v>68</v>
      </c>
      <c r="E2457" t="s">
        <v>55</v>
      </c>
      <c r="F2457">
        <v>0</v>
      </c>
      <c r="G2457">
        <v>998</v>
      </c>
      <c r="H2457">
        <v>1</v>
      </c>
      <c r="I2457" t="s">
        <v>181</v>
      </c>
      <c r="J2457">
        <v>3</v>
      </c>
      <c r="K2457" s="6">
        <v>11.95</v>
      </c>
      <c r="L2457" t="s">
        <v>174</v>
      </c>
      <c r="M2457">
        <v>0</v>
      </c>
      <c r="N2457" t="s">
        <v>187</v>
      </c>
      <c r="O2457">
        <v>2</v>
      </c>
      <c r="P2457">
        <v>0</v>
      </c>
      <c r="Q2457" s="6">
        <v>49.9</v>
      </c>
      <c r="R2457">
        <v>0</v>
      </c>
      <c r="S2457" s="6">
        <v>0</v>
      </c>
      <c r="T2457">
        <v>0</v>
      </c>
      <c r="U2457" s="6">
        <v>3746</v>
      </c>
      <c r="V2457">
        <v>0</v>
      </c>
      <c r="W2457">
        <v>0</v>
      </c>
      <c r="X2457">
        <v>0</v>
      </c>
      <c r="Y2457" s="6">
        <v>36.6</v>
      </c>
      <c r="Z2457">
        <v>1.2E-2</v>
      </c>
      <c r="AA2457">
        <v>3.9E-2</v>
      </c>
      <c r="AB2457">
        <v>4.4999999999999998E-2</v>
      </c>
      <c r="AC2457">
        <v>5</v>
      </c>
      <c r="AD2457" s="6">
        <v>61</v>
      </c>
      <c r="AE2457" s="6">
        <v>0</v>
      </c>
      <c r="AF2457" s="6">
        <v>0</v>
      </c>
      <c r="AG2457" s="6">
        <v>103.9</v>
      </c>
      <c r="AH2457" s="6">
        <v>134.27000000000001</v>
      </c>
      <c r="AI2457" s="6">
        <f t="shared" si="76"/>
        <v>30.370000000000005</v>
      </c>
      <c r="AJ2457" s="5">
        <f t="shared" si="77"/>
        <v>0.22618604304759068</v>
      </c>
    </row>
    <row r="2458" spans="1:36">
      <c r="A2458" t="s">
        <v>212</v>
      </c>
      <c r="B2458" t="s">
        <v>2743</v>
      </c>
      <c r="C2458" t="s">
        <v>114</v>
      </c>
      <c r="D2458" t="s">
        <v>68</v>
      </c>
      <c r="E2458" t="s">
        <v>55</v>
      </c>
      <c r="F2458">
        <v>0</v>
      </c>
      <c r="G2458">
        <v>998</v>
      </c>
      <c r="H2458">
        <v>1</v>
      </c>
      <c r="I2458" t="s">
        <v>220</v>
      </c>
      <c r="J2458">
        <v>2</v>
      </c>
      <c r="K2458" s="6">
        <v>4.05</v>
      </c>
      <c r="L2458" t="s">
        <v>174</v>
      </c>
      <c r="M2458">
        <v>0</v>
      </c>
      <c r="N2458" t="s">
        <v>187</v>
      </c>
      <c r="O2458">
        <v>2</v>
      </c>
      <c r="P2458">
        <v>0</v>
      </c>
      <c r="Q2458" s="6">
        <v>65.400000000000006</v>
      </c>
      <c r="R2458">
        <v>0</v>
      </c>
      <c r="S2458" s="6">
        <v>0</v>
      </c>
      <c r="T2458">
        <v>0</v>
      </c>
      <c r="U2458" s="6">
        <v>4660</v>
      </c>
      <c r="V2458">
        <v>0</v>
      </c>
      <c r="W2458">
        <v>0</v>
      </c>
      <c r="X2458">
        <v>0</v>
      </c>
      <c r="Y2458" s="6">
        <v>36.6</v>
      </c>
      <c r="Z2458">
        <v>1.2E-2</v>
      </c>
      <c r="AA2458">
        <v>3.9E-2</v>
      </c>
      <c r="AB2458">
        <v>4.4999999999999998E-2</v>
      </c>
      <c r="AC2458">
        <v>5</v>
      </c>
      <c r="AD2458" s="6">
        <v>51</v>
      </c>
      <c r="AE2458" s="6">
        <v>0</v>
      </c>
      <c r="AF2458" s="6">
        <v>0</v>
      </c>
      <c r="AG2458" s="6">
        <v>63.37</v>
      </c>
      <c r="AH2458" s="6">
        <v>81.22</v>
      </c>
      <c r="AI2458" s="6">
        <f t="shared" si="76"/>
        <v>17.850000000000001</v>
      </c>
      <c r="AJ2458" s="5">
        <f t="shared" si="77"/>
        <v>0.21977345481408522</v>
      </c>
    </row>
    <row r="2459" spans="1:36">
      <c r="A2459" t="s">
        <v>274</v>
      </c>
      <c r="B2459" t="s">
        <v>2744</v>
      </c>
      <c r="C2459" t="s">
        <v>114</v>
      </c>
      <c r="D2459" t="s">
        <v>68</v>
      </c>
      <c r="E2459" t="s">
        <v>55</v>
      </c>
      <c r="F2459">
        <v>0</v>
      </c>
      <c r="G2459">
        <v>998</v>
      </c>
      <c r="H2459">
        <v>1</v>
      </c>
      <c r="I2459" t="s">
        <v>220</v>
      </c>
      <c r="J2459">
        <v>2</v>
      </c>
      <c r="K2459" s="6">
        <v>3.91</v>
      </c>
      <c r="L2459" t="s">
        <v>174</v>
      </c>
      <c r="M2459">
        <v>0</v>
      </c>
      <c r="N2459" t="s">
        <v>217</v>
      </c>
      <c r="O2459">
        <v>4</v>
      </c>
      <c r="P2459">
        <v>1</v>
      </c>
      <c r="Q2459" s="6">
        <v>130.80000000000001</v>
      </c>
      <c r="R2459">
        <v>0</v>
      </c>
      <c r="S2459" s="6">
        <v>0</v>
      </c>
      <c r="T2459">
        <v>0</v>
      </c>
      <c r="U2459" s="6">
        <v>15476</v>
      </c>
      <c r="V2459">
        <v>0</v>
      </c>
      <c r="W2459">
        <v>0</v>
      </c>
      <c r="X2459">
        <v>0</v>
      </c>
      <c r="Y2459" s="6">
        <v>36.6</v>
      </c>
      <c r="Z2459">
        <v>1.2E-2</v>
      </c>
      <c r="AA2459">
        <v>3.9E-2</v>
      </c>
      <c r="AB2459">
        <v>4.4999999999999998E-2</v>
      </c>
      <c r="AC2459">
        <v>5</v>
      </c>
      <c r="AD2459" s="6">
        <v>51</v>
      </c>
      <c r="AE2459" s="6">
        <v>0</v>
      </c>
      <c r="AF2459" s="6">
        <v>0</v>
      </c>
      <c r="AG2459" s="6">
        <v>102.25</v>
      </c>
      <c r="AH2459" s="6">
        <v>131.49</v>
      </c>
      <c r="AI2459" s="6">
        <f t="shared" si="76"/>
        <v>29.240000000000009</v>
      </c>
      <c r="AJ2459" s="5">
        <f t="shared" si="77"/>
        <v>0.22237432504372961</v>
      </c>
    </row>
    <row r="2460" spans="1:36">
      <c r="A2460" t="s">
        <v>190</v>
      </c>
      <c r="B2460" t="s">
        <v>2745</v>
      </c>
      <c r="C2460" t="s">
        <v>114</v>
      </c>
      <c r="D2460" t="s">
        <v>68</v>
      </c>
      <c r="E2460" t="s">
        <v>55</v>
      </c>
      <c r="F2460">
        <v>0</v>
      </c>
      <c r="G2460">
        <v>998</v>
      </c>
      <c r="H2460">
        <v>1</v>
      </c>
      <c r="I2460" t="s">
        <v>173</v>
      </c>
      <c r="J2460">
        <v>1</v>
      </c>
      <c r="K2460" s="6">
        <v>1.96</v>
      </c>
      <c r="L2460" t="s">
        <v>174</v>
      </c>
      <c r="M2460">
        <v>0</v>
      </c>
      <c r="N2460" t="s">
        <v>182</v>
      </c>
      <c r="O2460">
        <v>3</v>
      </c>
      <c r="P2460">
        <v>0</v>
      </c>
      <c r="Q2460" s="6">
        <v>77.099999999999994</v>
      </c>
      <c r="R2460">
        <v>0</v>
      </c>
      <c r="S2460" s="6">
        <v>0</v>
      </c>
      <c r="T2460">
        <v>0</v>
      </c>
      <c r="U2460" s="6">
        <v>3839</v>
      </c>
      <c r="V2460">
        <v>0</v>
      </c>
      <c r="W2460">
        <v>0</v>
      </c>
      <c r="X2460">
        <v>0</v>
      </c>
      <c r="Y2460" s="6">
        <v>36.6</v>
      </c>
      <c r="Z2460">
        <v>1.2E-2</v>
      </c>
      <c r="AA2460">
        <v>3.9E-2</v>
      </c>
      <c r="AB2460">
        <v>4.4999999999999998E-2</v>
      </c>
      <c r="AC2460">
        <v>5</v>
      </c>
      <c r="AD2460" s="6">
        <v>51</v>
      </c>
      <c r="AE2460" s="6">
        <v>0</v>
      </c>
      <c r="AF2460" s="6">
        <v>0</v>
      </c>
      <c r="AG2460" s="6">
        <v>54.45</v>
      </c>
      <c r="AH2460" s="6">
        <v>69.95</v>
      </c>
      <c r="AI2460" s="6">
        <f t="shared" si="76"/>
        <v>15.5</v>
      </c>
      <c r="AJ2460" s="5">
        <f t="shared" si="77"/>
        <v>0.22158684774839171</v>
      </c>
    </row>
    <row r="2461" spans="1:36">
      <c r="A2461" t="s">
        <v>192</v>
      </c>
      <c r="B2461" t="s">
        <v>2746</v>
      </c>
      <c r="C2461" t="s">
        <v>114</v>
      </c>
      <c r="D2461" t="s">
        <v>68</v>
      </c>
      <c r="E2461" t="s">
        <v>55</v>
      </c>
      <c r="F2461">
        <v>0</v>
      </c>
      <c r="G2461">
        <v>998</v>
      </c>
      <c r="H2461">
        <v>1</v>
      </c>
      <c r="I2461" t="s">
        <v>173</v>
      </c>
      <c r="J2461">
        <v>1</v>
      </c>
      <c r="K2461" s="6">
        <v>1.39</v>
      </c>
      <c r="L2461" t="s">
        <v>174</v>
      </c>
      <c r="M2461">
        <v>0</v>
      </c>
      <c r="N2461" t="s">
        <v>175</v>
      </c>
      <c r="O2461">
        <v>1</v>
      </c>
      <c r="P2461">
        <v>0</v>
      </c>
      <c r="Q2461" s="6">
        <v>38.799999999999997</v>
      </c>
      <c r="R2461">
        <v>0</v>
      </c>
      <c r="S2461" s="6">
        <v>0</v>
      </c>
      <c r="T2461">
        <v>0</v>
      </c>
      <c r="U2461" s="6">
        <v>2990</v>
      </c>
      <c r="V2461">
        <v>0</v>
      </c>
      <c r="W2461">
        <v>0</v>
      </c>
      <c r="X2461">
        <v>0</v>
      </c>
      <c r="Y2461" s="6">
        <v>36.6</v>
      </c>
      <c r="Z2461">
        <v>1.2E-2</v>
      </c>
      <c r="AA2461">
        <v>3.9E-2</v>
      </c>
      <c r="AB2461">
        <v>4.4999999999999998E-2</v>
      </c>
      <c r="AC2461">
        <v>5</v>
      </c>
      <c r="AD2461" s="6">
        <v>51</v>
      </c>
      <c r="AE2461" s="6">
        <v>0</v>
      </c>
      <c r="AF2461" s="6">
        <v>0</v>
      </c>
      <c r="AG2461" s="6">
        <v>45.49</v>
      </c>
      <c r="AH2461" s="6">
        <v>58.16</v>
      </c>
      <c r="AI2461" s="6">
        <f t="shared" si="76"/>
        <v>12.669999999999995</v>
      </c>
      <c r="AJ2461" s="5">
        <f t="shared" si="77"/>
        <v>0.21784731774415397</v>
      </c>
    </row>
    <row r="2462" spans="1:36">
      <c r="A2462" t="s">
        <v>517</v>
      </c>
      <c r="B2462" t="s">
        <v>2747</v>
      </c>
      <c r="C2462" t="s">
        <v>114</v>
      </c>
      <c r="D2462" t="s">
        <v>68</v>
      </c>
      <c r="E2462" t="s">
        <v>55</v>
      </c>
      <c r="F2462">
        <v>0</v>
      </c>
      <c r="G2462">
        <v>998</v>
      </c>
      <c r="H2462">
        <v>1</v>
      </c>
      <c r="I2462" t="s">
        <v>181</v>
      </c>
      <c r="J2462">
        <v>3</v>
      </c>
      <c r="K2462" s="6">
        <v>8.17</v>
      </c>
      <c r="L2462" t="s">
        <v>174</v>
      </c>
      <c r="M2462">
        <v>0</v>
      </c>
      <c r="N2462" t="s">
        <v>182</v>
      </c>
      <c r="O2462">
        <v>3</v>
      </c>
      <c r="P2462">
        <v>0</v>
      </c>
      <c r="Q2462" s="6">
        <v>92.6</v>
      </c>
      <c r="R2462">
        <v>0</v>
      </c>
      <c r="S2462" s="6">
        <v>0</v>
      </c>
      <c r="T2462">
        <v>0</v>
      </c>
      <c r="U2462" s="6">
        <v>2489</v>
      </c>
      <c r="V2462">
        <v>0</v>
      </c>
      <c r="W2462">
        <v>0</v>
      </c>
      <c r="X2462">
        <v>0</v>
      </c>
      <c r="Y2462" s="6">
        <v>36.6</v>
      </c>
      <c r="Z2462">
        <v>1.2E-2</v>
      </c>
      <c r="AA2462">
        <v>3.9E-2</v>
      </c>
      <c r="AB2462">
        <v>4.4999999999999998E-2</v>
      </c>
      <c r="AC2462">
        <v>5</v>
      </c>
      <c r="AD2462" s="6">
        <v>61</v>
      </c>
      <c r="AE2462" s="6">
        <v>0</v>
      </c>
      <c r="AF2462" s="6">
        <v>0</v>
      </c>
      <c r="AG2462" s="6">
        <v>101.68</v>
      </c>
      <c r="AH2462" s="6">
        <v>131.43</v>
      </c>
      <c r="AI2462" s="6">
        <f t="shared" si="76"/>
        <v>29.75</v>
      </c>
      <c r="AJ2462" s="5">
        <f t="shared" si="77"/>
        <v>0.22635623525831239</v>
      </c>
    </row>
    <row r="2463" spans="1:36">
      <c r="A2463" t="s">
        <v>300</v>
      </c>
      <c r="B2463" t="s">
        <v>2748</v>
      </c>
      <c r="C2463" t="s">
        <v>114</v>
      </c>
      <c r="D2463" t="s">
        <v>68</v>
      </c>
      <c r="E2463" t="s">
        <v>55</v>
      </c>
      <c r="F2463">
        <v>0</v>
      </c>
      <c r="G2463">
        <v>998</v>
      </c>
      <c r="H2463">
        <v>1</v>
      </c>
      <c r="I2463" t="s">
        <v>220</v>
      </c>
      <c r="J2463">
        <v>2</v>
      </c>
      <c r="K2463" s="6">
        <v>3.33</v>
      </c>
      <c r="L2463" t="s">
        <v>174</v>
      </c>
      <c r="M2463">
        <v>0</v>
      </c>
      <c r="N2463" t="s">
        <v>217</v>
      </c>
      <c r="O2463">
        <v>4</v>
      </c>
      <c r="P2463">
        <v>1</v>
      </c>
      <c r="Q2463" s="6">
        <v>117</v>
      </c>
      <c r="R2463">
        <v>0</v>
      </c>
      <c r="S2463" s="6">
        <v>0</v>
      </c>
      <c r="T2463">
        <v>0</v>
      </c>
      <c r="U2463" s="6">
        <v>6034</v>
      </c>
      <c r="V2463">
        <v>0</v>
      </c>
      <c r="W2463">
        <v>0</v>
      </c>
      <c r="X2463">
        <v>0</v>
      </c>
      <c r="Y2463" s="6">
        <v>36.6</v>
      </c>
      <c r="Z2463">
        <v>1.2E-2</v>
      </c>
      <c r="AA2463">
        <v>3.9E-2</v>
      </c>
      <c r="AB2463">
        <v>4.4999999999999998E-2</v>
      </c>
      <c r="AC2463">
        <v>5</v>
      </c>
      <c r="AD2463" s="6">
        <v>51</v>
      </c>
      <c r="AE2463" s="6">
        <v>0</v>
      </c>
      <c r="AF2463" s="6">
        <v>0</v>
      </c>
      <c r="AG2463" s="6">
        <v>107.68</v>
      </c>
      <c r="AH2463" s="6">
        <v>138.04</v>
      </c>
      <c r="AI2463" s="6">
        <f t="shared" si="76"/>
        <v>30.359999999999985</v>
      </c>
      <c r="AJ2463" s="5">
        <f t="shared" si="77"/>
        <v>0.21993625036221376</v>
      </c>
    </row>
    <row r="2464" spans="1:36">
      <c r="A2464" t="s">
        <v>212</v>
      </c>
      <c r="B2464" t="s">
        <v>2749</v>
      </c>
      <c r="C2464" t="s">
        <v>114</v>
      </c>
      <c r="D2464" t="s">
        <v>68</v>
      </c>
      <c r="E2464" t="s">
        <v>55</v>
      </c>
      <c r="F2464">
        <v>0</v>
      </c>
      <c r="G2464">
        <v>998</v>
      </c>
      <c r="H2464">
        <v>1</v>
      </c>
      <c r="I2464" t="s">
        <v>181</v>
      </c>
      <c r="J2464">
        <v>3</v>
      </c>
      <c r="K2464" s="6">
        <v>8.8800000000000008</v>
      </c>
      <c r="L2464" t="s">
        <v>174</v>
      </c>
      <c r="M2464">
        <v>0</v>
      </c>
      <c r="N2464" t="s">
        <v>182</v>
      </c>
      <c r="O2464">
        <v>3</v>
      </c>
      <c r="P2464">
        <v>0</v>
      </c>
      <c r="Q2464" s="6">
        <v>116.9</v>
      </c>
      <c r="R2464">
        <v>0</v>
      </c>
      <c r="S2464" s="6">
        <v>0</v>
      </c>
      <c r="T2464">
        <v>0</v>
      </c>
      <c r="U2464" s="6">
        <v>5370</v>
      </c>
      <c r="V2464">
        <v>0</v>
      </c>
      <c r="W2464">
        <v>0</v>
      </c>
      <c r="X2464">
        <v>0</v>
      </c>
      <c r="Y2464" s="6">
        <v>36.6</v>
      </c>
      <c r="Z2464">
        <v>1.2E-2</v>
      </c>
      <c r="AA2464">
        <v>3.9E-2</v>
      </c>
      <c r="AB2464">
        <v>4.4999999999999998E-2</v>
      </c>
      <c r="AC2464">
        <v>5</v>
      </c>
      <c r="AD2464" s="6">
        <v>61</v>
      </c>
      <c r="AE2464" s="6">
        <v>0</v>
      </c>
      <c r="AF2464" s="6">
        <v>0</v>
      </c>
      <c r="AG2464" s="6">
        <v>104.44</v>
      </c>
      <c r="AH2464" s="6">
        <v>130.82</v>
      </c>
      <c r="AI2464" s="6">
        <f t="shared" si="76"/>
        <v>26.379999999999995</v>
      </c>
      <c r="AJ2464" s="5">
        <f t="shared" si="77"/>
        <v>0.20165112368139426</v>
      </c>
    </row>
    <row r="2465" spans="1:36">
      <c r="A2465" t="s">
        <v>365</v>
      </c>
      <c r="B2465" t="s">
        <v>2750</v>
      </c>
      <c r="C2465" t="s">
        <v>114</v>
      </c>
      <c r="D2465" t="s">
        <v>68</v>
      </c>
      <c r="E2465" t="s">
        <v>55</v>
      </c>
      <c r="F2465">
        <v>0</v>
      </c>
      <c r="G2465">
        <v>998</v>
      </c>
      <c r="H2465">
        <v>1</v>
      </c>
      <c r="I2465" t="s">
        <v>181</v>
      </c>
      <c r="J2465">
        <v>3</v>
      </c>
      <c r="K2465" s="6">
        <v>4.42</v>
      </c>
      <c r="L2465" t="s">
        <v>174</v>
      </c>
      <c r="M2465">
        <v>0</v>
      </c>
      <c r="N2465" t="s">
        <v>175</v>
      </c>
      <c r="O2465">
        <v>1</v>
      </c>
      <c r="P2465">
        <v>0</v>
      </c>
      <c r="Q2465" s="6">
        <v>51.8</v>
      </c>
      <c r="R2465">
        <v>0</v>
      </c>
      <c r="S2465" s="6">
        <v>0</v>
      </c>
      <c r="T2465">
        <v>0</v>
      </c>
      <c r="U2465" s="6">
        <v>6826</v>
      </c>
      <c r="V2465">
        <v>0</v>
      </c>
      <c r="W2465">
        <v>0</v>
      </c>
      <c r="X2465">
        <v>0</v>
      </c>
      <c r="Y2465" s="6">
        <v>36.6</v>
      </c>
      <c r="Z2465">
        <v>1.2E-2</v>
      </c>
      <c r="AA2465">
        <v>3.9E-2</v>
      </c>
      <c r="AB2465">
        <v>4.4999999999999998E-2</v>
      </c>
      <c r="AC2465">
        <v>5</v>
      </c>
      <c r="AD2465" s="6">
        <v>61</v>
      </c>
      <c r="AE2465" s="6">
        <v>0</v>
      </c>
      <c r="AF2465" s="6">
        <v>0</v>
      </c>
      <c r="AG2465" s="6">
        <v>78.64</v>
      </c>
      <c r="AH2465" s="6">
        <v>98.63</v>
      </c>
      <c r="AI2465" s="6">
        <f t="shared" si="76"/>
        <v>19.989999999999995</v>
      </c>
      <c r="AJ2465" s="5">
        <f t="shared" si="77"/>
        <v>0.20267667038426437</v>
      </c>
    </row>
    <row r="2466" spans="1:36">
      <c r="A2466" t="s">
        <v>411</v>
      </c>
      <c r="B2466" t="s">
        <v>2751</v>
      </c>
      <c r="C2466" t="s">
        <v>114</v>
      </c>
      <c r="D2466" t="s">
        <v>68</v>
      </c>
      <c r="E2466" t="s">
        <v>55</v>
      </c>
      <c r="F2466">
        <v>0</v>
      </c>
      <c r="G2466">
        <v>998</v>
      </c>
      <c r="H2466">
        <v>1</v>
      </c>
      <c r="I2466" t="s">
        <v>181</v>
      </c>
      <c r="J2466">
        <v>3</v>
      </c>
      <c r="K2466" s="6">
        <v>8.73</v>
      </c>
      <c r="L2466" t="s">
        <v>174</v>
      </c>
      <c r="M2466">
        <v>0</v>
      </c>
      <c r="N2466" t="s">
        <v>175</v>
      </c>
      <c r="O2466">
        <v>1</v>
      </c>
      <c r="P2466">
        <v>0</v>
      </c>
      <c r="Q2466" s="6">
        <v>45.7</v>
      </c>
      <c r="R2466">
        <v>0</v>
      </c>
      <c r="S2466" s="6">
        <v>0</v>
      </c>
      <c r="T2466">
        <v>0</v>
      </c>
      <c r="U2466" s="6">
        <v>2585</v>
      </c>
      <c r="V2466">
        <v>0</v>
      </c>
      <c r="W2466">
        <v>1</v>
      </c>
      <c r="X2466">
        <v>0</v>
      </c>
      <c r="Y2466" s="6">
        <v>36.6</v>
      </c>
      <c r="Z2466">
        <v>1.2E-2</v>
      </c>
      <c r="AA2466">
        <v>3.9E-2</v>
      </c>
      <c r="AB2466">
        <v>4.4999999999999998E-2</v>
      </c>
      <c r="AC2466">
        <v>5</v>
      </c>
      <c r="AD2466" s="6">
        <v>61</v>
      </c>
      <c r="AE2466" s="6">
        <v>0</v>
      </c>
      <c r="AF2466" s="6">
        <v>0</v>
      </c>
      <c r="AG2466" s="6">
        <v>125.07</v>
      </c>
      <c r="AH2466" s="6">
        <v>160.86000000000001</v>
      </c>
      <c r="AI2466" s="6">
        <f t="shared" si="76"/>
        <v>35.79000000000002</v>
      </c>
      <c r="AJ2466" s="5">
        <f t="shared" si="77"/>
        <v>0.22249160760910119</v>
      </c>
    </row>
    <row r="2467" spans="1:36">
      <c r="A2467" t="s">
        <v>233</v>
      </c>
      <c r="B2467" t="s">
        <v>2752</v>
      </c>
      <c r="C2467" t="s">
        <v>116</v>
      </c>
      <c r="D2467" t="s">
        <v>60</v>
      </c>
      <c r="E2467" t="s">
        <v>69</v>
      </c>
      <c r="F2467">
        <v>0</v>
      </c>
      <c r="G2467">
        <v>3954</v>
      </c>
      <c r="H2467">
        <v>1.22</v>
      </c>
      <c r="I2467" t="s">
        <v>173</v>
      </c>
      <c r="J2467">
        <v>1</v>
      </c>
      <c r="K2467" s="6">
        <v>2.04</v>
      </c>
      <c r="L2467" t="s">
        <v>174</v>
      </c>
      <c r="M2467">
        <v>0</v>
      </c>
      <c r="N2467" t="s">
        <v>187</v>
      </c>
      <c r="O2467">
        <v>2</v>
      </c>
      <c r="P2467">
        <v>0</v>
      </c>
      <c r="Q2467" s="6">
        <v>63.2</v>
      </c>
      <c r="R2467">
        <v>0</v>
      </c>
      <c r="S2467" s="6">
        <v>0</v>
      </c>
      <c r="T2467">
        <v>0</v>
      </c>
      <c r="U2467" s="6">
        <v>3288</v>
      </c>
      <c r="V2467">
        <v>0</v>
      </c>
      <c r="W2467">
        <v>0</v>
      </c>
      <c r="X2467">
        <v>0</v>
      </c>
      <c r="Y2467" s="6">
        <v>51.6</v>
      </c>
      <c r="Z2467">
        <v>0.36099999999999999</v>
      </c>
      <c r="AA2467">
        <v>4.2999999999999997E-2</v>
      </c>
      <c r="AB2467">
        <v>5.5E-2</v>
      </c>
      <c r="AC2467">
        <v>6</v>
      </c>
      <c r="AD2467" s="6">
        <v>50</v>
      </c>
      <c r="AE2467" s="6">
        <v>0</v>
      </c>
      <c r="AF2467" s="6">
        <v>0</v>
      </c>
      <c r="AG2467" s="6">
        <v>66.930000000000007</v>
      </c>
      <c r="AH2467" s="6">
        <v>88.07</v>
      </c>
      <c r="AI2467" s="6">
        <f t="shared" si="76"/>
        <v>21.139999999999986</v>
      </c>
      <c r="AJ2467" s="5">
        <f t="shared" si="77"/>
        <v>0.2400363347337344</v>
      </c>
    </row>
    <row r="2468" spans="1:36">
      <c r="A2468" t="s">
        <v>330</v>
      </c>
      <c r="B2468" t="s">
        <v>2753</v>
      </c>
      <c r="C2468" t="s">
        <v>116</v>
      </c>
      <c r="D2468" t="s">
        <v>60</v>
      </c>
      <c r="E2468" t="s">
        <v>69</v>
      </c>
      <c r="F2468">
        <v>0</v>
      </c>
      <c r="G2468">
        <v>3954</v>
      </c>
      <c r="H2468">
        <v>1.22</v>
      </c>
      <c r="I2468" t="s">
        <v>173</v>
      </c>
      <c r="J2468">
        <v>1</v>
      </c>
      <c r="K2468" s="6">
        <v>1.41</v>
      </c>
      <c r="L2468" t="s">
        <v>174</v>
      </c>
      <c r="M2468">
        <v>0</v>
      </c>
      <c r="N2468" t="s">
        <v>175</v>
      </c>
      <c r="O2468">
        <v>1</v>
      </c>
      <c r="P2468">
        <v>0</v>
      </c>
      <c r="Q2468" s="6">
        <v>55.5</v>
      </c>
      <c r="R2468">
        <v>0</v>
      </c>
      <c r="S2468" s="6">
        <v>0</v>
      </c>
      <c r="T2468">
        <v>0</v>
      </c>
      <c r="U2468" s="6">
        <v>1004</v>
      </c>
      <c r="V2468">
        <v>0</v>
      </c>
      <c r="W2468">
        <v>0</v>
      </c>
      <c r="X2468">
        <v>0</v>
      </c>
      <c r="Y2468" s="6">
        <v>51.6</v>
      </c>
      <c r="Z2468">
        <v>0.36099999999999999</v>
      </c>
      <c r="AA2468">
        <v>4.2999999999999997E-2</v>
      </c>
      <c r="AB2468">
        <v>5.5E-2</v>
      </c>
      <c r="AC2468">
        <v>6</v>
      </c>
      <c r="AD2468" s="6">
        <v>50</v>
      </c>
      <c r="AE2468" s="6">
        <v>0</v>
      </c>
      <c r="AF2468" s="6">
        <v>0</v>
      </c>
      <c r="AG2468" s="6">
        <v>57.16</v>
      </c>
      <c r="AH2468" s="6">
        <v>73.56</v>
      </c>
      <c r="AI2468" s="6">
        <f t="shared" si="76"/>
        <v>16.400000000000006</v>
      </c>
      <c r="AJ2468" s="5">
        <f t="shared" si="77"/>
        <v>0.22294725394236004</v>
      </c>
    </row>
    <row r="2469" spans="1:36">
      <c r="A2469" t="s">
        <v>384</v>
      </c>
      <c r="B2469" t="s">
        <v>2754</v>
      </c>
      <c r="C2469" t="s">
        <v>116</v>
      </c>
      <c r="D2469" t="s">
        <v>60</v>
      </c>
      <c r="E2469" t="s">
        <v>69</v>
      </c>
      <c r="F2469">
        <v>0</v>
      </c>
      <c r="G2469">
        <v>3954</v>
      </c>
      <c r="H2469">
        <v>1.22</v>
      </c>
      <c r="I2469" t="s">
        <v>178</v>
      </c>
      <c r="J2469">
        <v>4</v>
      </c>
      <c r="K2469" s="6">
        <v>17.88</v>
      </c>
      <c r="L2469" t="s">
        <v>174</v>
      </c>
      <c r="M2469">
        <v>0</v>
      </c>
      <c r="N2469" t="s">
        <v>175</v>
      </c>
      <c r="O2469">
        <v>1</v>
      </c>
      <c r="P2469">
        <v>0</v>
      </c>
      <c r="Q2469" s="6">
        <v>25</v>
      </c>
      <c r="R2469">
        <v>1</v>
      </c>
      <c r="S2469" s="6">
        <v>1982</v>
      </c>
      <c r="T2469">
        <v>0</v>
      </c>
      <c r="U2469" s="6">
        <v>2597</v>
      </c>
      <c r="V2469">
        <v>0</v>
      </c>
      <c r="W2469">
        <v>0</v>
      </c>
      <c r="X2469">
        <v>0</v>
      </c>
      <c r="Y2469" s="6">
        <v>51.6</v>
      </c>
      <c r="Z2469">
        <v>0.36099999999999999</v>
      </c>
      <c r="AA2469">
        <v>4.2999999999999997E-2</v>
      </c>
      <c r="AB2469">
        <v>5.5E-2</v>
      </c>
      <c r="AC2469">
        <v>6</v>
      </c>
      <c r="AD2469" s="6">
        <v>65</v>
      </c>
      <c r="AE2469" s="6">
        <v>25</v>
      </c>
      <c r="AF2469" s="6">
        <v>0</v>
      </c>
      <c r="AG2469" s="6">
        <v>145.4</v>
      </c>
      <c r="AH2469" s="6">
        <v>186.35</v>
      </c>
      <c r="AI2469" s="6">
        <f t="shared" si="76"/>
        <v>40.949999999999989</v>
      </c>
      <c r="AJ2469" s="5">
        <f t="shared" si="77"/>
        <v>0.21974778642339679</v>
      </c>
    </row>
    <row r="2470" spans="1:36">
      <c r="A2470" t="s">
        <v>343</v>
      </c>
      <c r="B2470" t="s">
        <v>2755</v>
      </c>
      <c r="C2470" t="s">
        <v>116</v>
      </c>
      <c r="D2470" t="s">
        <v>60</v>
      </c>
      <c r="E2470" t="s">
        <v>69</v>
      </c>
      <c r="F2470">
        <v>0</v>
      </c>
      <c r="G2470">
        <v>3954</v>
      </c>
      <c r="H2470">
        <v>1</v>
      </c>
      <c r="I2470" t="s">
        <v>220</v>
      </c>
      <c r="J2470">
        <v>2</v>
      </c>
      <c r="K2470" s="6">
        <v>2.77</v>
      </c>
      <c r="L2470" t="s">
        <v>200</v>
      </c>
      <c r="M2470">
        <v>1</v>
      </c>
      <c r="N2470" t="s">
        <v>175</v>
      </c>
      <c r="O2470">
        <v>1</v>
      </c>
      <c r="P2470">
        <v>1</v>
      </c>
      <c r="Q2470" s="6">
        <v>39.5</v>
      </c>
      <c r="R2470">
        <v>0</v>
      </c>
      <c r="S2470" s="6">
        <v>0</v>
      </c>
      <c r="T2470">
        <v>0</v>
      </c>
      <c r="U2470" s="6">
        <v>2125</v>
      </c>
      <c r="V2470">
        <v>0</v>
      </c>
      <c r="W2470">
        <v>0</v>
      </c>
      <c r="X2470">
        <v>0</v>
      </c>
      <c r="Y2470" s="6">
        <v>51.6</v>
      </c>
      <c r="Z2470">
        <v>0.36099999999999999</v>
      </c>
      <c r="AA2470">
        <v>4.2999999999999997E-2</v>
      </c>
      <c r="AB2470">
        <v>5.5E-2</v>
      </c>
      <c r="AC2470">
        <v>6</v>
      </c>
      <c r="AD2470" s="6">
        <v>119</v>
      </c>
      <c r="AE2470" s="6">
        <v>0</v>
      </c>
      <c r="AF2470" s="6">
        <v>0</v>
      </c>
      <c r="AG2470" s="6">
        <v>124.96</v>
      </c>
      <c r="AH2470" s="6">
        <v>159.80000000000001</v>
      </c>
      <c r="AI2470" s="6">
        <f t="shared" si="76"/>
        <v>34.840000000000018</v>
      </c>
      <c r="AJ2470" s="5">
        <f t="shared" si="77"/>
        <v>0.21802252816020035</v>
      </c>
    </row>
    <row r="2471" spans="1:36">
      <c r="A2471" t="s">
        <v>215</v>
      </c>
      <c r="B2471" t="s">
        <v>2756</v>
      </c>
      <c r="C2471" t="s">
        <v>116</v>
      </c>
      <c r="D2471" t="s">
        <v>60</v>
      </c>
      <c r="E2471" t="s">
        <v>69</v>
      </c>
      <c r="F2471">
        <v>0</v>
      </c>
      <c r="G2471">
        <v>3954</v>
      </c>
      <c r="H2471">
        <v>1.22</v>
      </c>
      <c r="I2471" t="s">
        <v>181</v>
      </c>
      <c r="J2471">
        <v>3</v>
      </c>
      <c r="K2471" s="6">
        <v>9.4700000000000006</v>
      </c>
      <c r="L2471" t="s">
        <v>200</v>
      </c>
      <c r="M2471">
        <v>1</v>
      </c>
      <c r="N2471" t="s">
        <v>175</v>
      </c>
      <c r="O2471">
        <v>1</v>
      </c>
      <c r="P2471">
        <v>0</v>
      </c>
      <c r="Q2471" s="6">
        <v>36.6</v>
      </c>
      <c r="R2471">
        <v>0</v>
      </c>
      <c r="S2471" s="6">
        <v>0</v>
      </c>
      <c r="T2471">
        <v>0</v>
      </c>
      <c r="U2471" s="6">
        <v>780</v>
      </c>
      <c r="V2471">
        <v>0</v>
      </c>
      <c r="W2471">
        <v>0</v>
      </c>
      <c r="X2471">
        <v>0</v>
      </c>
      <c r="Y2471" s="6">
        <v>51.6</v>
      </c>
      <c r="Z2471">
        <v>0.36099999999999999</v>
      </c>
      <c r="AA2471">
        <v>4.2999999999999997E-2</v>
      </c>
      <c r="AB2471">
        <v>5.5E-2</v>
      </c>
      <c r="AC2471">
        <v>6</v>
      </c>
      <c r="AD2471" s="6">
        <v>139</v>
      </c>
      <c r="AE2471" s="6">
        <v>0</v>
      </c>
      <c r="AF2471" s="6">
        <v>0</v>
      </c>
      <c r="AG2471" s="6">
        <v>134.93</v>
      </c>
      <c r="AH2471" s="6">
        <v>173.31</v>
      </c>
      <c r="AI2471" s="6">
        <f t="shared" si="76"/>
        <v>38.379999999999995</v>
      </c>
      <c r="AJ2471" s="5">
        <f t="shared" si="77"/>
        <v>0.22145288788875422</v>
      </c>
    </row>
    <row r="2472" spans="1:36">
      <c r="A2472" t="s">
        <v>286</v>
      </c>
      <c r="B2472" t="s">
        <v>2757</v>
      </c>
      <c r="C2472" t="s">
        <v>116</v>
      </c>
      <c r="D2472" t="s">
        <v>60</v>
      </c>
      <c r="E2472" t="s">
        <v>69</v>
      </c>
      <c r="F2472">
        <v>0</v>
      </c>
      <c r="G2472">
        <v>3954</v>
      </c>
      <c r="H2472">
        <v>1.22</v>
      </c>
      <c r="I2472" t="s">
        <v>220</v>
      </c>
      <c r="J2472">
        <v>2</v>
      </c>
      <c r="K2472" s="6">
        <v>3.8</v>
      </c>
      <c r="L2472" t="s">
        <v>174</v>
      </c>
      <c r="M2472">
        <v>0</v>
      </c>
      <c r="N2472" t="s">
        <v>175</v>
      </c>
      <c r="O2472">
        <v>1</v>
      </c>
      <c r="P2472">
        <v>0</v>
      </c>
      <c r="Q2472" s="6">
        <v>35.700000000000003</v>
      </c>
      <c r="R2472">
        <v>0</v>
      </c>
      <c r="S2472" s="6">
        <v>0</v>
      </c>
      <c r="T2472">
        <v>0</v>
      </c>
      <c r="U2472" s="6">
        <v>2767</v>
      </c>
      <c r="V2472">
        <v>0</v>
      </c>
      <c r="W2472">
        <v>0</v>
      </c>
      <c r="X2472">
        <v>0</v>
      </c>
      <c r="Y2472" s="6">
        <v>51.6</v>
      </c>
      <c r="Z2472">
        <v>0.36099999999999999</v>
      </c>
      <c r="AA2472">
        <v>4.2999999999999997E-2</v>
      </c>
      <c r="AB2472">
        <v>5.5E-2</v>
      </c>
      <c r="AC2472">
        <v>6</v>
      </c>
      <c r="AD2472" s="6">
        <v>50</v>
      </c>
      <c r="AE2472" s="6">
        <v>0</v>
      </c>
      <c r="AF2472" s="6">
        <v>0</v>
      </c>
      <c r="AG2472" s="6">
        <v>61.24</v>
      </c>
      <c r="AH2472" s="6">
        <v>79.23</v>
      </c>
      <c r="AI2472" s="6">
        <f t="shared" si="76"/>
        <v>17.990000000000002</v>
      </c>
      <c r="AJ2472" s="5">
        <f t="shared" si="77"/>
        <v>0.22706045689763979</v>
      </c>
    </row>
    <row r="2473" spans="1:36">
      <c r="A2473" t="s">
        <v>328</v>
      </c>
      <c r="B2473" t="s">
        <v>2758</v>
      </c>
      <c r="C2473" t="s">
        <v>116</v>
      </c>
      <c r="D2473" t="s">
        <v>60</v>
      </c>
      <c r="E2473" t="s">
        <v>69</v>
      </c>
      <c r="F2473">
        <v>0</v>
      </c>
      <c r="G2473">
        <v>3954</v>
      </c>
      <c r="H2473">
        <v>1</v>
      </c>
      <c r="I2473" t="s">
        <v>181</v>
      </c>
      <c r="J2473">
        <v>3</v>
      </c>
      <c r="K2473" s="6">
        <v>9.49</v>
      </c>
      <c r="L2473" t="s">
        <v>200</v>
      </c>
      <c r="M2473">
        <v>1</v>
      </c>
      <c r="N2473" t="s">
        <v>187</v>
      </c>
      <c r="O2473">
        <v>2</v>
      </c>
      <c r="P2473">
        <v>0</v>
      </c>
      <c r="Q2473" s="6">
        <v>52.8</v>
      </c>
      <c r="R2473">
        <v>0</v>
      </c>
      <c r="S2473" s="6">
        <v>0</v>
      </c>
      <c r="T2473">
        <v>0</v>
      </c>
      <c r="U2473" s="6">
        <v>1252</v>
      </c>
      <c r="V2473">
        <v>1</v>
      </c>
      <c r="W2473">
        <v>0</v>
      </c>
      <c r="X2473">
        <v>0</v>
      </c>
      <c r="Y2473" s="6">
        <v>51.6</v>
      </c>
      <c r="Z2473">
        <v>0.36099999999999999</v>
      </c>
      <c r="AA2473">
        <v>4.2999999999999997E-2</v>
      </c>
      <c r="AB2473">
        <v>5.5E-2</v>
      </c>
      <c r="AC2473">
        <v>6</v>
      </c>
      <c r="AD2473" s="6">
        <v>139</v>
      </c>
      <c r="AE2473" s="6">
        <v>0</v>
      </c>
      <c r="AF2473" s="6">
        <v>0</v>
      </c>
      <c r="AG2473" s="6">
        <v>165.43</v>
      </c>
      <c r="AH2473" s="6">
        <v>211.43</v>
      </c>
      <c r="AI2473" s="6">
        <f t="shared" si="76"/>
        <v>46</v>
      </c>
      <c r="AJ2473" s="5">
        <f t="shared" si="77"/>
        <v>0.21756609752636805</v>
      </c>
    </row>
    <row r="2474" spans="1:36">
      <c r="A2474" t="s">
        <v>249</v>
      </c>
      <c r="B2474" t="s">
        <v>2759</v>
      </c>
      <c r="C2474" t="s">
        <v>116</v>
      </c>
      <c r="D2474" t="s">
        <v>60</v>
      </c>
      <c r="E2474" t="s">
        <v>69</v>
      </c>
      <c r="F2474">
        <v>0</v>
      </c>
      <c r="G2474">
        <v>3954</v>
      </c>
      <c r="H2474">
        <v>1</v>
      </c>
      <c r="I2474" t="s">
        <v>173</v>
      </c>
      <c r="J2474">
        <v>1</v>
      </c>
      <c r="K2474" s="6">
        <v>2.08</v>
      </c>
      <c r="L2474" t="s">
        <v>174</v>
      </c>
      <c r="M2474">
        <v>0</v>
      </c>
      <c r="N2474" t="s">
        <v>182</v>
      </c>
      <c r="O2474">
        <v>3</v>
      </c>
      <c r="P2474">
        <v>0</v>
      </c>
      <c r="Q2474" s="6">
        <v>78.8</v>
      </c>
      <c r="R2474">
        <v>0</v>
      </c>
      <c r="S2474" s="6">
        <v>0</v>
      </c>
      <c r="T2474">
        <v>0</v>
      </c>
      <c r="U2474" s="6">
        <v>2099</v>
      </c>
      <c r="V2474">
        <v>0</v>
      </c>
      <c r="W2474">
        <v>0</v>
      </c>
      <c r="X2474">
        <v>0</v>
      </c>
      <c r="Y2474" s="6">
        <v>51.6</v>
      </c>
      <c r="Z2474">
        <v>0.36099999999999999</v>
      </c>
      <c r="AA2474">
        <v>4.2999999999999997E-2</v>
      </c>
      <c r="AB2474">
        <v>5.5E-2</v>
      </c>
      <c r="AC2474">
        <v>6</v>
      </c>
      <c r="AD2474" s="6">
        <v>50</v>
      </c>
      <c r="AE2474" s="6">
        <v>0</v>
      </c>
      <c r="AF2474" s="6">
        <v>0</v>
      </c>
      <c r="AG2474" s="6">
        <v>59.63</v>
      </c>
      <c r="AH2474" s="6">
        <v>79.37</v>
      </c>
      <c r="AI2474" s="6">
        <f t="shared" si="76"/>
        <v>19.740000000000002</v>
      </c>
      <c r="AJ2474" s="5">
        <f t="shared" si="77"/>
        <v>0.24870858006803578</v>
      </c>
    </row>
    <row r="2475" spans="1:36">
      <c r="A2475" t="s">
        <v>293</v>
      </c>
      <c r="B2475" t="s">
        <v>2760</v>
      </c>
      <c r="C2475" t="s">
        <v>116</v>
      </c>
      <c r="D2475" t="s">
        <v>60</v>
      </c>
      <c r="E2475" t="s">
        <v>69</v>
      </c>
      <c r="F2475">
        <v>0</v>
      </c>
      <c r="G2475">
        <v>3954</v>
      </c>
      <c r="H2475">
        <v>1.22</v>
      </c>
      <c r="I2475" t="s">
        <v>181</v>
      </c>
      <c r="J2475">
        <v>3</v>
      </c>
      <c r="K2475" s="6">
        <v>7.12</v>
      </c>
      <c r="L2475" t="s">
        <v>174</v>
      </c>
      <c r="M2475">
        <v>0</v>
      </c>
      <c r="N2475" t="s">
        <v>187</v>
      </c>
      <c r="O2475">
        <v>2</v>
      </c>
      <c r="P2475">
        <v>0</v>
      </c>
      <c r="Q2475" s="6">
        <v>43</v>
      </c>
      <c r="R2475">
        <v>0</v>
      </c>
      <c r="S2475" s="6">
        <v>0</v>
      </c>
      <c r="T2475">
        <v>0</v>
      </c>
      <c r="U2475" s="6">
        <v>919</v>
      </c>
      <c r="V2475">
        <v>0</v>
      </c>
      <c r="W2475">
        <v>0</v>
      </c>
      <c r="X2475">
        <v>0</v>
      </c>
      <c r="Y2475" s="6">
        <v>51.6</v>
      </c>
      <c r="Z2475">
        <v>0.36099999999999999</v>
      </c>
      <c r="AA2475">
        <v>4.2999999999999997E-2</v>
      </c>
      <c r="AB2475">
        <v>5.5E-2</v>
      </c>
      <c r="AC2475">
        <v>6</v>
      </c>
      <c r="AD2475" s="6">
        <v>60</v>
      </c>
      <c r="AE2475" s="6">
        <v>0</v>
      </c>
      <c r="AF2475" s="6">
        <v>0</v>
      </c>
      <c r="AG2475" s="6">
        <v>83.49</v>
      </c>
      <c r="AH2475" s="6">
        <v>105.59</v>
      </c>
      <c r="AI2475" s="6">
        <f t="shared" si="76"/>
        <v>22.100000000000009</v>
      </c>
      <c r="AJ2475" s="5">
        <f t="shared" si="77"/>
        <v>0.20930012311771956</v>
      </c>
    </row>
    <row r="2476" spans="1:36">
      <c r="A2476" t="s">
        <v>355</v>
      </c>
      <c r="B2476" t="s">
        <v>2761</v>
      </c>
      <c r="C2476" t="s">
        <v>116</v>
      </c>
      <c r="D2476" t="s">
        <v>60</v>
      </c>
      <c r="E2476" t="s">
        <v>69</v>
      </c>
      <c r="F2476">
        <v>0</v>
      </c>
      <c r="G2476">
        <v>3954</v>
      </c>
      <c r="H2476">
        <v>1.22</v>
      </c>
      <c r="I2476" t="s">
        <v>173</v>
      </c>
      <c r="J2476">
        <v>1</v>
      </c>
      <c r="K2476" s="6">
        <v>1.36</v>
      </c>
      <c r="L2476" t="s">
        <v>200</v>
      </c>
      <c r="M2476">
        <v>1</v>
      </c>
      <c r="N2476" t="s">
        <v>175</v>
      </c>
      <c r="O2476">
        <v>1</v>
      </c>
      <c r="P2476">
        <v>0</v>
      </c>
      <c r="Q2476" s="6">
        <v>40.200000000000003</v>
      </c>
      <c r="R2476">
        <v>0</v>
      </c>
      <c r="S2476" s="6">
        <v>0</v>
      </c>
      <c r="T2476">
        <v>0</v>
      </c>
      <c r="U2476" s="6">
        <v>854</v>
      </c>
      <c r="V2476">
        <v>0</v>
      </c>
      <c r="W2476">
        <v>0</v>
      </c>
      <c r="X2476">
        <v>0</v>
      </c>
      <c r="Y2476" s="6">
        <v>51.6</v>
      </c>
      <c r="Z2476">
        <v>0.36099999999999999</v>
      </c>
      <c r="AA2476">
        <v>4.2999999999999997E-2</v>
      </c>
      <c r="AB2476">
        <v>5.5E-2</v>
      </c>
      <c r="AC2476">
        <v>6</v>
      </c>
      <c r="AD2476" s="6">
        <v>99</v>
      </c>
      <c r="AE2476" s="6">
        <v>0</v>
      </c>
      <c r="AF2476" s="6">
        <v>0</v>
      </c>
      <c r="AG2476" s="6">
        <v>84.1</v>
      </c>
      <c r="AH2476" s="6">
        <v>109.32</v>
      </c>
      <c r="AI2476" s="6">
        <f t="shared" si="76"/>
        <v>25.22</v>
      </c>
      <c r="AJ2476" s="5">
        <f t="shared" si="77"/>
        <v>0.23069886571533113</v>
      </c>
    </row>
    <row r="2477" spans="1:36">
      <c r="A2477" t="s">
        <v>269</v>
      </c>
      <c r="B2477" t="s">
        <v>2762</v>
      </c>
      <c r="C2477" t="s">
        <v>116</v>
      </c>
      <c r="D2477" t="s">
        <v>60</v>
      </c>
      <c r="E2477" t="s">
        <v>69</v>
      </c>
      <c r="F2477">
        <v>0</v>
      </c>
      <c r="G2477">
        <v>3954</v>
      </c>
      <c r="H2477">
        <v>1.22</v>
      </c>
      <c r="I2477" t="s">
        <v>181</v>
      </c>
      <c r="J2477">
        <v>3</v>
      </c>
      <c r="K2477" s="6">
        <v>8.3699999999999992</v>
      </c>
      <c r="L2477" t="s">
        <v>174</v>
      </c>
      <c r="M2477">
        <v>0</v>
      </c>
      <c r="N2477" t="s">
        <v>175</v>
      </c>
      <c r="O2477">
        <v>1</v>
      </c>
      <c r="P2477">
        <v>0</v>
      </c>
      <c r="Q2477" s="6">
        <v>33.299999999999997</v>
      </c>
      <c r="R2477">
        <v>0</v>
      </c>
      <c r="S2477" s="6">
        <v>0</v>
      </c>
      <c r="T2477">
        <v>0</v>
      </c>
      <c r="U2477" s="6">
        <v>1274</v>
      </c>
      <c r="V2477">
        <v>0</v>
      </c>
      <c r="W2477">
        <v>0</v>
      </c>
      <c r="X2477">
        <v>0</v>
      </c>
      <c r="Y2477" s="6">
        <v>51.6</v>
      </c>
      <c r="Z2477">
        <v>0.36099999999999999</v>
      </c>
      <c r="AA2477">
        <v>4.2999999999999997E-2</v>
      </c>
      <c r="AB2477">
        <v>5.5E-2</v>
      </c>
      <c r="AC2477">
        <v>6</v>
      </c>
      <c r="AD2477" s="6">
        <v>60</v>
      </c>
      <c r="AE2477" s="6">
        <v>0</v>
      </c>
      <c r="AF2477" s="6">
        <v>0</v>
      </c>
      <c r="AG2477" s="6">
        <v>99.76</v>
      </c>
      <c r="AH2477" s="6">
        <v>127.23</v>
      </c>
      <c r="AI2477" s="6">
        <f t="shared" si="76"/>
        <v>27.47</v>
      </c>
      <c r="AJ2477" s="5">
        <f t="shared" si="77"/>
        <v>0.21590819775210249</v>
      </c>
    </row>
    <row r="2478" spans="1:36">
      <c r="A2478" t="s">
        <v>423</v>
      </c>
      <c r="B2478" t="s">
        <v>2763</v>
      </c>
      <c r="C2478" t="s">
        <v>116</v>
      </c>
      <c r="D2478" t="s">
        <v>60</v>
      </c>
      <c r="E2478" t="s">
        <v>69</v>
      </c>
      <c r="F2478">
        <v>0</v>
      </c>
      <c r="G2478">
        <v>3954</v>
      </c>
      <c r="H2478">
        <v>1.22</v>
      </c>
      <c r="I2478" t="s">
        <v>173</v>
      </c>
      <c r="J2478">
        <v>1</v>
      </c>
      <c r="K2478" s="6">
        <v>2.19</v>
      </c>
      <c r="L2478" t="s">
        <v>174</v>
      </c>
      <c r="M2478">
        <v>0</v>
      </c>
      <c r="N2478" t="s">
        <v>175</v>
      </c>
      <c r="O2478">
        <v>1</v>
      </c>
      <c r="P2478">
        <v>0</v>
      </c>
      <c r="Q2478" s="6">
        <v>42.5</v>
      </c>
      <c r="R2478">
        <v>1</v>
      </c>
      <c r="S2478" s="6">
        <v>913</v>
      </c>
      <c r="T2478">
        <v>0</v>
      </c>
      <c r="U2478" s="6">
        <v>1901</v>
      </c>
      <c r="V2478">
        <v>1</v>
      </c>
      <c r="W2478">
        <v>0</v>
      </c>
      <c r="X2478">
        <v>0</v>
      </c>
      <c r="Y2478" s="6">
        <v>51.6</v>
      </c>
      <c r="Z2478">
        <v>0.36099999999999999</v>
      </c>
      <c r="AA2478">
        <v>4.2999999999999997E-2</v>
      </c>
      <c r="AB2478">
        <v>5.5E-2</v>
      </c>
      <c r="AC2478">
        <v>6</v>
      </c>
      <c r="AD2478" s="6">
        <v>50</v>
      </c>
      <c r="AE2478" s="6">
        <v>25</v>
      </c>
      <c r="AF2478" s="6">
        <v>0</v>
      </c>
      <c r="AG2478" s="6">
        <v>99.13</v>
      </c>
      <c r="AH2478" s="6">
        <v>126.22</v>
      </c>
      <c r="AI2478" s="6">
        <f t="shared" si="76"/>
        <v>27.090000000000003</v>
      </c>
      <c r="AJ2478" s="5">
        <f t="shared" si="77"/>
        <v>0.21462525748692762</v>
      </c>
    </row>
    <row r="2479" spans="1:36">
      <c r="A2479" t="s">
        <v>434</v>
      </c>
      <c r="B2479" t="s">
        <v>2764</v>
      </c>
      <c r="C2479" t="s">
        <v>116</v>
      </c>
      <c r="D2479" t="s">
        <v>60</v>
      </c>
      <c r="E2479" t="s">
        <v>69</v>
      </c>
      <c r="F2479">
        <v>0</v>
      </c>
      <c r="G2479">
        <v>3954</v>
      </c>
      <c r="H2479">
        <v>1</v>
      </c>
      <c r="I2479" t="s">
        <v>181</v>
      </c>
      <c r="J2479">
        <v>3</v>
      </c>
      <c r="K2479" s="6">
        <v>10.24</v>
      </c>
      <c r="L2479" t="s">
        <v>200</v>
      </c>
      <c r="M2479">
        <v>1</v>
      </c>
      <c r="N2479" t="s">
        <v>187</v>
      </c>
      <c r="O2479">
        <v>2</v>
      </c>
      <c r="P2479">
        <v>0</v>
      </c>
      <c r="Q2479" s="6">
        <v>34.700000000000003</v>
      </c>
      <c r="R2479">
        <v>0</v>
      </c>
      <c r="S2479" s="6">
        <v>0</v>
      </c>
      <c r="T2479">
        <v>0</v>
      </c>
      <c r="U2479" s="6">
        <v>2264</v>
      </c>
      <c r="V2479">
        <v>0</v>
      </c>
      <c r="W2479">
        <v>0</v>
      </c>
      <c r="X2479">
        <v>0</v>
      </c>
      <c r="Y2479" s="6">
        <v>51.6</v>
      </c>
      <c r="Z2479">
        <v>0.36099999999999999</v>
      </c>
      <c r="AA2479">
        <v>4.2999999999999997E-2</v>
      </c>
      <c r="AB2479">
        <v>5.5E-2</v>
      </c>
      <c r="AC2479">
        <v>6</v>
      </c>
      <c r="AD2479" s="6">
        <v>139</v>
      </c>
      <c r="AE2479" s="6">
        <v>0</v>
      </c>
      <c r="AF2479" s="6">
        <v>0</v>
      </c>
      <c r="AG2479" s="6">
        <v>127.68</v>
      </c>
      <c r="AH2479" s="6">
        <v>163.38</v>
      </c>
      <c r="AI2479" s="6">
        <f t="shared" si="76"/>
        <v>35.699999999999989</v>
      </c>
      <c r="AJ2479" s="5">
        <f t="shared" si="77"/>
        <v>0.21850899742930585</v>
      </c>
    </row>
    <row r="2480" spans="1:36">
      <c r="A2480" t="s">
        <v>401</v>
      </c>
      <c r="B2480" t="s">
        <v>2765</v>
      </c>
      <c r="C2480" t="s">
        <v>116</v>
      </c>
      <c r="D2480" t="s">
        <v>60</v>
      </c>
      <c r="E2480" t="s">
        <v>69</v>
      </c>
      <c r="F2480">
        <v>0</v>
      </c>
      <c r="G2480">
        <v>3954</v>
      </c>
      <c r="H2480">
        <v>1</v>
      </c>
      <c r="I2480" t="s">
        <v>220</v>
      </c>
      <c r="J2480">
        <v>2</v>
      </c>
      <c r="K2480" s="6">
        <v>3.84</v>
      </c>
      <c r="L2480" t="s">
        <v>200</v>
      </c>
      <c r="M2480">
        <v>1</v>
      </c>
      <c r="N2480" t="s">
        <v>187</v>
      </c>
      <c r="O2480">
        <v>2</v>
      </c>
      <c r="P2480">
        <v>0</v>
      </c>
      <c r="Q2480" s="6">
        <v>61.1</v>
      </c>
      <c r="R2480">
        <v>0</v>
      </c>
      <c r="S2480" s="6">
        <v>0</v>
      </c>
      <c r="T2480">
        <v>0</v>
      </c>
      <c r="U2480" s="6">
        <v>719</v>
      </c>
      <c r="V2480">
        <v>1</v>
      </c>
      <c r="W2480">
        <v>0</v>
      </c>
      <c r="X2480">
        <v>0</v>
      </c>
      <c r="Y2480" s="6">
        <v>51.6</v>
      </c>
      <c r="Z2480">
        <v>0.36099999999999999</v>
      </c>
      <c r="AA2480">
        <v>4.2999999999999997E-2</v>
      </c>
      <c r="AB2480">
        <v>5.5E-2</v>
      </c>
      <c r="AC2480">
        <v>6</v>
      </c>
      <c r="AD2480" s="6">
        <v>119</v>
      </c>
      <c r="AE2480" s="6">
        <v>0</v>
      </c>
      <c r="AF2480" s="6">
        <v>0</v>
      </c>
      <c r="AG2480" s="6">
        <v>133.28</v>
      </c>
      <c r="AH2480" s="6">
        <v>171.02</v>
      </c>
      <c r="AI2480" s="6">
        <f t="shared" si="76"/>
        <v>37.740000000000009</v>
      </c>
      <c r="AJ2480" s="5">
        <f t="shared" si="77"/>
        <v>0.22067594433399607</v>
      </c>
    </row>
    <row r="2481" spans="1:36">
      <c r="A2481" t="s">
        <v>330</v>
      </c>
      <c r="B2481" t="s">
        <v>2766</v>
      </c>
      <c r="C2481" t="s">
        <v>116</v>
      </c>
      <c r="D2481" t="s">
        <v>60</v>
      </c>
      <c r="E2481" t="s">
        <v>69</v>
      </c>
      <c r="F2481">
        <v>0</v>
      </c>
      <c r="G2481">
        <v>3954</v>
      </c>
      <c r="H2481">
        <v>1.22</v>
      </c>
      <c r="I2481" t="s">
        <v>173</v>
      </c>
      <c r="J2481">
        <v>1</v>
      </c>
      <c r="K2481" s="6">
        <v>2.31</v>
      </c>
      <c r="L2481" t="s">
        <v>174</v>
      </c>
      <c r="M2481">
        <v>0</v>
      </c>
      <c r="N2481" t="s">
        <v>175</v>
      </c>
      <c r="O2481">
        <v>1</v>
      </c>
      <c r="P2481">
        <v>0</v>
      </c>
      <c r="Q2481" s="6">
        <v>36.200000000000003</v>
      </c>
      <c r="R2481">
        <v>0</v>
      </c>
      <c r="S2481" s="6">
        <v>0</v>
      </c>
      <c r="T2481">
        <v>0</v>
      </c>
      <c r="U2481" s="6">
        <v>3584</v>
      </c>
      <c r="V2481">
        <v>0</v>
      </c>
      <c r="W2481">
        <v>0</v>
      </c>
      <c r="X2481">
        <v>0</v>
      </c>
      <c r="Y2481" s="6">
        <v>51.6</v>
      </c>
      <c r="Z2481">
        <v>0.36099999999999999</v>
      </c>
      <c r="AA2481">
        <v>4.2999999999999997E-2</v>
      </c>
      <c r="AB2481">
        <v>5.5E-2</v>
      </c>
      <c r="AC2481">
        <v>6</v>
      </c>
      <c r="AD2481" s="6">
        <v>50</v>
      </c>
      <c r="AE2481" s="6">
        <v>0</v>
      </c>
      <c r="AF2481" s="6">
        <v>0</v>
      </c>
      <c r="AG2481" s="6">
        <v>60.39</v>
      </c>
      <c r="AH2481" s="6">
        <v>79.61</v>
      </c>
      <c r="AI2481" s="6">
        <f t="shared" si="76"/>
        <v>19.22</v>
      </c>
      <c r="AJ2481" s="5">
        <f t="shared" si="77"/>
        <v>0.24142695641251097</v>
      </c>
    </row>
    <row r="2482" spans="1:36">
      <c r="A2482" t="s">
        <v>263</v>
      </c>
      <c r="B2482" t="s">
        <v>2767</v>
      </c>
      <c r="C2482" t="s">
        <v>116</v>
      </c>
      <c r="D2482" t="s">
        <v>60</v>
      </c>
      <c r="E2482" t="s">
        <v>69</v>
      </c>
      <c r="F2482">
        <v>0</v>
      </c>
      <c r="G2482">
        <v>3954</v>
      </c>
      <c r="H2482">
        <v>1.22</v>
      </c>
      <c r="I2482" t="s">
        <v>173</v>
      </c>
      <c r="J2482">
        <v>1</v>
      </c>
      <c r="K2482" s="6">
        <v>1.33</v>
      </c>
      <c r="L2482" t="s">
        <v>200</v>
      </c>
      <c r="M2482">
        <v>1</v>
      </c>
      <c r="N2482" t="s">
        <v>187</v>
      </c>
      <c r="O2482">
        <v>2</v>
      </c>
      <c r="P2482">
        <v>0</v>
      </c>
      <c r="Q2482" s="6">
        <v>45.4</v>
      </c>
      <c r="R2482">
        <v>0</v>
      </c>
      <c r="S2482" s="6">
        <v>0</v>
      </c>
      <c r="T2482">
        <v>0</v>
      </c>
      <c r="U2482" s="6">
        <v>4350</v>
      </c>
      <c r="V2482">
        <v>0</v>
      </c>
      <c r="W2482">
        <v>0</v>
      </c>
      <c r="X2482">
        <v>0</v>
      </c>
      <c r="Y2482" s="6">
        <v>51.6</v>
      </c>
      <c r="Z2482">
        <v>0.36099999999999999</v>
      </c>
      <c r="AA2482">
        <v>4.2999999999999997E-2</v>
      </c>
      <c r="AB2482">
        <v>5.5E-2</v>
      </c>
      <c r="AC2482">
        <v>6</v>
      </c>
      <c r="AD2482" s="6">
        <v>99</v>
      </c>
      <c r="AE2482" s="6">
        <v>0</v>
      </c>
      <c r="AF2482" s="6">
        <v>0</v>
      </c>
      <c r="AG2482" s="6">
        <v>86.45</v>
      </c>
      <c r="AH2482" s="6">
        <v>112.15</v>
      </c>
      <c r="AI2482" s="6">
        <f t="shared" si="76"/>
        <v>25.700000000000003</v>
      </c>
      <c r="AJ2482" s="5">
        <f t="shared" si="77"/>
        <v>0.22915737851092288</v>
      </c>
    </row>
    <row r="2483" spans="1:36">
      <c r="A2483" t="s">
        <v>521</v>
      </c>
      <c r="B2483" t="s">
        <v>2768</v>
      </c>
      <c r="C2483" t="s">
        <v>116</v>
      </c>
      <c r="D2483" t="s">
        <v>60</v>
      </c>
      <c r="E2483" t="s">
        <v>69</v>
      </c>
      <c r="F2483">
        <v>0</v>
      </c>
      <c r="G2483">
        <v>3954</v>
      </c>
      <c r="H2483">
        <v>1</v>
      </c>
      <c r="I2483" t="s">
        <v>181</v>
      </c>
      <c r="J2483">
        <v>3</v>
      </c>
      <c r="K2483" s="6">
        <v>9.93</v>
      </c>
      <c r="L2483" t="s">
        <v>200</v>
      </c>
      <c r="M2483">
        <v>1</v>
      </c>
      <c r="N2483" t="s">
        <v>187</v>
      </c>
      <c r="O2483">
        <v>2</v>
      </c>
      <c r="P2483">
        <v>0</v>
      </c>
      <c r="Q2483" s="6">
        <v>75.400000000000006</v>
      </c>
      <c r="R2483">
        <v>0</v>
      </c>
      <c r="S2483" s="6">
        <v>0</v>
      </c>
      <c r="T2483">
        <v>0</v>
      </c>
      <c r="U2483" s="6">
        <v>1286</v>
      </c>
      <c r="V2483">
        <v>0</v>
      </c>
      <c r="W2483">
        <v>0</v>
      </c>
      <c r="X2483">
        <v>0</v>
      </c>
      <c r="Y2483" s="6">
        <v>51.6</v>
      </c>
      <c r="Z2483">
        <v>0.36099999999999999</v>
      </c>
      <c r="AA2483">
        <v>4.2999999999999997E-2</v>
      </c>
      <c r="AB2483">
        <v>5.5E-2</v>
      </c>
      <c r="AC2483">
        <v>6</v>
      </c>
      <c r="AD2483" s="6">
        <v>139</v>
      </c>
      <c r="AE2483" s="6">
        <v>0</v>
      </c>
      <c r="AF2483" s="6">
        <v>0</v>
      </c>
      <c r="AG2483" s="6">
        <v>133.99</v>
      </c>
      <c r="AH2483" s="6">
        <v>168.07</v>
      </c>
      <c r="AI2483" s="6">
        <f t="shared" si="76"/>
        <v>34.079999999999984</v>
      </c>
      <c r="AJ2483" s="5">
        <f t="shared" si="77"/>
        <v>0.20277265425120478</v>
      </c>
    </row>
    <row r="2484" spans="1:36">
      <c r="A2484" t="s">
        <v>192</v>
      </c>
      <c r="B2484" t="s">
        <v>2769</v>
      </c>
      <c r="C2484" t="s">
        <v>116</v>
      </c>
      <c r="D2484" t="s">
        <v>60</v>
      </c>
      <c r="E2484" t="s">
        <v>69</v>
      </c>
      <c r="F2484">
        <v>0</v>
      </c>
      <c r="G2484">
        <v>3954</v>
      </c>
      <c r="H2484">
        <v>1</v>
      </c>
      <c r="I2484" t="s">
        <v>173</v>
      </c>
      <c r="J2484">
        <v>1</v>
      </c>
      <c r="K2484" s="6">
        <v>2.35</v>
      </c>
      <c r="L2484" t="s">
        <v>200</v>
      </c>
      <c r="M2484">
        <v>1</v>
      </c>
      <c r="N2484" t="s">
        <v>175</v>
      </c>
      <c r="O2484">
        <v>1</v>
      </c>
      <c r="P2484">
        <v>0</v>
      </c>
      <c r="Q2484" s="6">
        <v>24.3</v>
      </c>
      <c r="R2484">
        <v>0</v>
      </c>
      <c r="S2484" s="6">
        <v>0</v>
      </c>
      <c r="T2484">
        <v>0</v>
      </c>
      <c r="U2484" s="6">
        <v>2447</v>
      </c>
      <c r="V2484">
        <v>0</v>
      </c>
      <c r="W2484">
        <v>0</v>
      </c>
      <c r="X2484">
        <v>0</v>
      </c>
      <c r="Y2484" s="6">
        <v>51.6</v>
      </c>
      <c r="Z2484">
        <v>0.36099999999999999</v>
      </c>
      <c r="AA2484">
        <v>4.2999999999999997E-2</v>
      </c>
      <c r="AB2484">
        <v>5.5E-2</v>
      </c>
      <c r="AC2484">
        <v>6</v>
      </c>
      <c r="AD2484" s="6">
        <v>99</v>
      </c>
      <c r="AE2484" s="6">
        <v>0</v>
      </c>
      <c r="AF2484" s="6">
        <v>0</v>
      </c>
      <c r="AG2484" s="6">
        <v>79.459999999999994</v>
      </c>
      <c r="AH2484" s="6">
        <v>103.37</v>
      </c>
      <c r="AI2484" s="6">
        <f t="shared" si="76"/>
        <v>23.910000000000011</v>
      </c>
      <c r="AJ2484" s="5">
        <f t="shared" si="77"/>
        <v>0.23130502079907139</v>
      </c>
    </row>
    <row r="2485" spans="1:36">
      <c r="A2485" t="s">
        <v>436</v>
      </c>
      <c r="B2485" t="s">
        <v>2770</v>
      </c>
      <c r="C2485" t="s">
        <v>116</v>
      </c>
      <c r="D2485" t="s">
        <v>60</v>
      </c>
      <c r="E2485" t="s">
        <v>69</v>
      </c>
      <c r="F2485">
        <v>0</v>
      </c>
      <c r="G2485">
        <v>3954</v>
      </c>
      <c r="H2485">
        <v>1.22</v>
      </c>
      <c r="I2485" t="s">
        <v>220</v>
      </c>
      <c r="J2485">
        <v>2</v>
      </c>
      <c r="K2485" s="6">
        <v>2.63</v>
      </c>
      <c r="L2485" t="s">
        <v>200</v>
      </c>
      <c r="M2485">
        <v>1</v>
      </c>
      <c r="N2485" t="s">
        <v>175</v>
      </c>
      <c r="O2485">
        <v>1</v>
      </c>
      <c r="P2485">
        <v>0</v>
      </c>
      <c r="Q2485" s="6">
        <v>52.7</v>
      </c>
      <c r="R2485">
        <v>0</v>
      </c>
      <c r="S2485" s="6">
        <v>0</v>
      </c>
      <c r="T2485">
        <v>0</v>
      </c>
      <c r="U2485" s="6">
        <v>1446</v>
      </c>
      <c r="V2485">
        <v>0</v>
      </c>
      <c r="W2485">
        <v>0</v>
      </c>
      <c r="X2485">
        <v>0</v>
      </c>
      <c r="Y2485" s="6">
        <v>51.6</v>
      </c>
      <c r="Z2485">
        <v>0.36099999999999999</v>
      </c>
      <c r="AA2485">
        <v>4.2999999999999997E-2</v>
      </c>
      <c r="AB2485">
        <v>5.5E-2</v>
      </c>
      <c r="AC2485">
        <v>6</v>
      </c>
      <c r="AD2485" s="6">
        <v>119</v>
      </c>
      <c r="AE2485" s="6">
        <v>0</v>
      </c>
      <c r="AF2485" s="6">
        <v>0</v>
      </c>
      <c r="AG2485" s="6">
        <v>98.82</v>
      </c>
      <c r="AH2485" s="6">
        <v>127.9</v>
      </c>
      <c r="AI2485" s="6">
        <f t="shared" si="76"/>
        <v>29.080000000000013</v>
      </c>
      <c r="AJ2485" s="5">
        <f t="shared" si="77"/>
        <v>0.22736512900703684</v>
      </c>
    </row>
    <row r="2486" spans="1:36">
      <c r="A2486" t="s">
        <v>233</v>
      </c>
      <c r="B2486" t="s">
        <v>2771</v>
      </c>
      <c r="C2486" t="s">
        <v>116</v>
      </c>
      <c r="D2486" t="s">
        <v>60</v>
      </c>
      <c r="E2486" t="s">
        <v>69</v>
      </c>
      <c r="F2486">
        <v>0</v>
      </c>
      <c r="G2486">
        <v>3954</v>
      </c>
      <c r="H2486">
        <v>1.22</v>
      </c>
      <c r="I2486" t="s">
        <v>173</v>
      </c>
      <c r="J2486">
        <v>1</v>
      </c>
      <c r="K2486" s="6">
        <v>1.63</v>
      </c>
      <c r="L2486" t="s">
        <v>174</v>
      </c>
      <c r="M2486">
        <v>0</v>
      </c>
      <c r="N2486" t="s">
        <v>175</v>
      </c>
      <c r="O2486">
        <v>1</v>
      </c>
      <c r="P2486">
        <v>0</v>
      </c>
      <c r="Q2486" s="6">
        <v>36</v>
      </c>
      <c r="R2486">
        <v>0</v>
      </c>
      <c r="S2486" s="6">
        <v>0</v>
      </c>
      <c r="T2486">
        <v>0</v>
      </c>
      <c r="U2486" s="6">
        <v>1956</v>
      </c>
      <c r="V2486">
        <v>0</v>
      </c>
      <c r="W2486">
        <v>0</v>
      </c>
      <c r="X2486">
        <v>0</v>
      </c>
      <c r="Y2486" s="6">
        <v>51.6</v>
      </c>
      <c r="Z2486">
        <v>0.36099999999999999</v>
      </c>
      <c r="AA2486">
        <v>4.2999999999999997E-2</v>
      </c>
      <c r="AB2486">
        <v>5.5E-2</v>
      </c>
      <c r="AC2486">
        <v>6</v>
      </c>
      <c r="AD2486" s="6">
        <v>50</v>
      </c>
      <c r="AE2486" s="6">
        <v>0</v>
      </c>
      <c r="AF2486" s="6">
        <v>0</v>
      </c>
      <c r="AG2486" s="6">
        <v>58</v>
      </c>
      <c r="AH2486" s="6">
        <v>73.010000000000005</v>
      </c>
      <c r="AI2486" s="6">
        <f t="shared" si="76"/>
        <v>15.010000000000005</v>
      </c>
      <c r="AJ2486" s="5">
        <f t="shared" si="77"/>
        <v>0.20558827557868792</v>
      </c>
    </row>
    <row r="2487" spans="1:36">
      <c r="A2487" t="s">
        <v>258</v>
      </c>
      <c r="B2487" t="s">
        <v>2772</v>
      </c>
      <c r="C2487" t="s">
        <v>116</v>
      </c>
      <c r="D2487" t="s">
        <v>60</v>
      </c>
      <c r="E2487" t="s">
        <v>69</v>
      </c>
      <c r="F2487">
        <v>0</v>
      </c>
      <c r="G2487">
        <v>3954</v>
      </c>
      <c r="H2487">
        <v>1</v>
      </c>
      <c r="I2487" t="s">
        <v>173</v>
      </c>
      <c r="J2487">
        <v>1</v>
      </c>
      <c r="K2487" s="6">
        <v>1.75</v>
      </c>
      <c r="L2487" t="s">
        <v>174</v>
      </c>
      <c r="M2487">
        <v>0</v>
      </c>
      <c r="N2487" t="s">
        <v>187</v>
      </c>
      <c r="O2487">
        <v>2</v>
      </c>
      <c r="P2487">
        <v>1</v>
      </c>
      <c r="Q2487" s="6">
        <v>76.5</v>
      </c>
      <c r="R2487">
        <v>1</v>
      </c>
      <c r="S2487" s="6">
        <v>4864</v>
      </c>
      <c r="T2487">
        <v>0</v>
      </c>
      <c r="U2487" s="6">
        <v>2067</v>
      </c>
      <c r="V2487">
        <v>0</v>
      </c>
      <c r="W2487">
        <v>0</v>
      </c>
      <c r="X2487">
        <v>0</v>
      </c>
      <c r="Y2487" s="6">
        <v>51.6</v>
      </c>
      <c r="Z2487">
        <v>0.36099999999999999</v>
      </c>
      <c r="AA2487">
        <v>4.2999999999999997E-2</v>
      </c>
      <c r="AB2487">
        <v>5.5E-2</v>
      </c>
      <c r="AC2487">
        <v>6</v>
      </c>
      <c r="AD2487" s="6">
        <v>50</v>
      </c>
      <c r="AE2487" s="6">
        <v>40</v>
      </c>
      <c r="AF2487" s="6">
        <v>0</v>
      </c>
      <c r="AG2487" s="6">
        <v>78.75</v>
      </c>
      <c r="AH2487" s="6">
        <v>100.05</v>
      </c>
      <c r="AI2487" s="6">
        <f t="shared" si="76"/>
        <v>21.299999999999997</v>
      </c>
      <c r="AJ2487" s="5">
        <f t="shared" si="77"/>
        <v>0.21289355322338829</v>
      </c>
    </row>
    <row r="2488" spans="1:36">
      <c r="A2488" t="s">
        <v>319</v>
      </c>
      <c r="B2488" t="s">
        <v>2773</v>
      </c>
      <c r="C2488" t="s">
        <v>116</v>
      </c>
      <c r="D2488" t="s">
        <v>60</v>
      </c>
      <c r="E2488" t="s">
        <v>69</v>
      </c>
      <c r="F2488">
        <v>0</v>
      </c>
      <c r="G2488">
        <v>3954</v>
      </c>
      <c r="H2488">
        <v>1.22</v>
      </c>
      <c r="I2488" t="s">
        <v>220</v>
      </c>
      <c r="J2488">
        <v>2</v>
      </c>
      <c r="K2488" s="6">
        <v>3.54</v>
      </c>
      <c r="L2488" t="s">
        <v>200</v>
      </c>
      <c r="M2488">
        <v>1</v>
      </c>
      <c r="N2488" t="s">
        <v>187</v>
      </c>
      <c r="O2488">
        <v>2</v>
      </c>
      <c r="P2488">
        <v>0</v>
      </c>
      <c r="Q2488" s="6">
        <v>78.900000000000006</v>
      </c>
      <c r="R2488">
        <v>0</v>
      </c>
      <c r="S2488" s="6">
        <v>0</v>
      </c>
      <c r="T2488">
        <v>0</v>
      </c>
      <c r="U2488" s="6">
        <v>1815</v>
      </c>
      <c r="V2488">
        <v>0</v>
      </c>
      <c r="W2488">
        <v>0</v>
      </c>
      <c r="X2488">
        <v>0</v>
      </c>
      <c r="Y2488" s="6">
        <v>51.6</v>
      </c>
      <c r="Z2488">
        <v>0.36099999999999999</v>
      </c>
      <c r="AA2488">
        <v>4.2999999999999997E-2</v>
      </c>
      <c r="AB2488">
        <v>5.5E-2</v>
      </c>
      <c r="AC2488">
        <v>6</v>
      </c>
      <c r="AD2488" s="6">
        <v>119</v>
      </c>
      <c r="AE2488" s="6">
        <v>0</v>
      </c>
      <c r="AF2488" s="6">
        <v>0</v>
      </c>
      <c r="AG2488" s="6">
        <v>106.8</v>
      </c>
      <c r="AH2488" s="6">
        <v>134.91999999999999</v>
      </c>
      <c r="AI2488" s="6">
        <f t="shared" si="76"/>
        <v>28.11999999999999</v>
      </c>
      <c r="AJ2488" s="5">
        <f t="shared" si="77"/>
        <v>0.20841980432849092</v>
      </c>
    </row>
    <row r="2489" spans="1:36">
      <c r="A2489" t="s">
        <v>266</v>
      </c>
      <c r="B2489" t="s">
        <v>2774</v>
      </c>
      <c r="C2489" t="s">
        <v>116</v>
      </c>
      <c r="D2489" t="s">
        <v>60</v>
      </c>
      <c r="E2489" t="s">
        <v>69</v>
      </c>
      <c r="F2489">
        <v>0</v>
      </c>
      <c r="G2489">
        <v>3954</v>
      </c>
      <c r="H2489">
        <v>1.22</v>
      </c>
      <c r="I2489" t="s">
        <v>173</v>
      </c>
      <c r="J2489">
        <v>1</v>
      </c>
      <c r="K2489" s="6">
        <v>1.92</v>
      </c>
      <c r="L2489" t="s">
        <v>200</v>
      </c>
      <c r="M2489">
        <v>1</v>
      </c>
      <c r="N2489" t="s">
        <v>175</v>
      </c>
      <c r="O2489">
        <v>1</v>
      </c>
      <c r="P2489">
        <v>0</v>
      </c>
      <c r="Q2489" s="6">
        <v>38.700000000000003</v>
      </c>
      <c r="R2489">
        <v>0</v>
      </c>
      <c r="S2489" s="6">
        <v>0</v>
      </c>
      <c r="T2489">
        <v>0</v>
      </c>
      <c r="U2489" s="6">
        <v>2505</v>
      </c>
      <c r="V2489">
        <v>0</v>
      </c>
      <c r="W2489">
        <v>0</v>
      </c>
      <c r="X2489">
        <v>0</v>
      </c>
      <c r="Y2489" s="6">
        <v>51.6</v>
      </c>
      <c r="Z2489">
        <v>0.36099999999999999</v>
      </c>
      <c r="AA2489">
        <v>4.2999999999999997E-2</v>
      </c>
      <c r="AB2489">
        <v>5.5E-2</v>
      </c>
      <c r="AC2489">
        <v>6</v>
      </c>
      <c r="AD2489" s="6">
        <v>99</v>
      </c>
      <c r="AE2489" s="6">
        <v>0</v>
      </c>
      <c r="AF2489" s="6">
        <v>0</v>
      </c>
      <c r="AG2489" s="6">
        <v>81.44</v>
      </c>
      <c r="AH2489" s="6">
        <v>105.74</v>
      </c>
      <c r="AI2489" s="6">
        <f t="shared" si="76"/>
        <v>24.299999999999997</v>
      </c>
      <c r="AJ2489" s="5">
        <f t="shared" si="77"/>
        <v>0.22980896538679779</v>
      </c>
    </row>
    <row r="2490" spans="1:36">
      <c r="A2490" t="s">
        <v>218</v>
      </c>
      <c r="B2490" t="s">
        <v>2775</v>
      </c>
      <c r="C2490" t="s">
        <v>116</v>
      </c>
      <c r="D2490" t="s">
        <v>60</v>
      </c>
      <c r="E2490" t="s">
        <v>69</v>
      </c>
      <c r="F2490">
        <v>0</v>
      </c>
      <c r="G2490">
        <v>3954</v>
      </c>
      <c r="H2490">
        <v>1.22</v>
      </c>
      <c r="I2490" t="s">
        <v>173</v>
      </c>
      <c r="J2490">
        <v>1</v>
      </c>
      <c r="K2490" s="6">
        <v>1.89</v>
      </c>
      <c r="L2490" t="s">
        <v>174</v>
      </c>
      <c r="M2490">
        <v>0</v>
      </c>
      <c r="N2490" t="s">
        <v>182</v>
      </c>
      <c r="O2490">
        <v>3</v>
      </c>
      <c r="P2490">
        <v>0</v>
      </c>
      <c r="Q2490" s="6">
        <v>84.5</v>
      </c>
      <c r="R2490">
        <v>1</v>
      </c>
      <c r="S2490" s="6">
        <v>877</v>
      </c>
      <c r="T2490">
        <v>0</v>
      </c>
      <c r="U2490" s="6">
        <v>1669</v>
      </c>
      <c r="V2490">
        <v>0</v>
      </c>
      <c r="W2490">
        <v>0</v>
      </c>
      <c r="X2490">
        <v>0</v>
      </c>
      <c r="Y2490" s="6">
        <v>51.6</v>
      </c>
      <c r="Z2490">
        <v>0.36099999999999999</v>
      </c>
      <c r="AA2490">
        <v>4.2999999999999997E-2</v>
      </c>
      <c r="AB2490">
        <v>5.5E-2</v>
      </c>
      <c r="AC2490">
        <v>6</v>
      </c>
      <c r="AD2490" s="6">
        <v>50</v>
      </c>
      <c r="AE2490" s="6">
        <v>25</v>
      </c>
      <c r="AF2490" s="6">
        <v>0</v>
      </c>
      <c r="AG2490" s="6">
        <v>71.900000000000006</v>
      </c>
      <c r="AH2490" s="6">
        <v>91.49</v>
      </c>
      <c r="AI2490" s="6">
        <f t="shared" si="76"/>
        <v>19.589999999999989</v>
      </c>
      <c r="AJ2490" s="5">
        <f t="shared" si="77"/>
        <v>0.21412176194119564</v>
      </c>
    </row>
    <row r="2491" spans="1:36">
      <c r="A2491" t="s">
        <v>431</v>
      </c>
      <c r="B2491" t="s">
        <v>2776</v>
      </c>
      <c r="C2491" t="s">
        <v>116</v>
      </c>
      <c r="D2491" t="s">
        <v>60</v>
      </c>
      <c r="E2491" t="s">
        <v>69</v>
      </c>
      <c r="F2491">
        <v>0</v>
      </c>
      <c r="G2491">
        <v>3954</v>
      </c>
      <c r="H2491">
        <v>1</v>
      </c>
      <c r="I2491" t="s">
        <v>181</v>
      </c>
      <c r="J2491">
        <v>3</v>
      </c>
      <c r="K2491" s="6">
        <v>8.1199999999999992</v>
      </c>
      <c r="L2491" t="s">
        <v>174</v>
      </c>
      <c r="M2491">
        <v>0</v>
      </c>
      <c r="N2491" t="s">
        <v>187</v>
      </c>
      <c r="O2491">
        <v>2</v>
      </c>
      <c r="P2491">
        <v>0</v>
      </c>
      <c r="Q2491" s="6">
        <v>52.8</v>
      </c>
      <c r="R2491">
        <v>1</v>
      </c>
      <c r="S2491" s="6">
        <v>12306</v>
      </c>
      <c r="T2491">
        <v>0</v>
      </c>
      <c r="U2491" s="6">
        <v>1907</v>
      </c>
      <c r="V2491">
        <v>0</v>
      </c>
      <c r="W2491">
        <v>0</v>
      </c>
      <c r="X2491">
        <v>0</v>
      </c>
      <c r="Y2491" s="6">
        <v>51.6</v>
      </c>
      <c r="Z2491">
        <v>0.36099999999999999</v>
      </c>
      <c r="AA2491">
        <v>4.2999999999999997E-2</v>
      </c>
      <c r="AB2491">
        <v>5.5E-2</v>
      </c>
      <c r="AC2491">
        <v>6</v>
      </c>
      <c r="AD2491" s="6">
        <v>60</v>
      </c>
      <c r="AE2491" s="6">
        <v>100</v>
      </c>
      <c r="AF2491" s="6">
        <v>0</v>
      </c>
      <c r="AG2491" s="6">
        <v>96.34</v>
      </c>
      <c r="AH2491" s="6">
        <v>122.63</v>
      </c>
      <c r="AI2491" s="6">
        <f t="shared" si="76"/>
        <v>26.289999999999992</v>
      </c>
      <c r="AJ2491" s="5">
        <f t="shared" si="77"/>
        <v>0.21438473456739782</v>
      </c>
    </row>
    <row r="2492" spans="1:36">
      <c r="A2492" t="s">
        <v>284</v>
      </c>
      <c r="B2492" t="s">
        <v>2777</v>
      </c>
      <c r="C2492" t="s">
        <v>116</v>
      </c>
      <c r="D2492" t="s">
        <v>60</v>
      </c>
      <c r="E2492" t="s">
        <v>69</v>
      </c>
      <c r="F2492">
        <v>0</v>
      </c>
      <c r="G2492">
        <v>3954</v>
      </c>
      <c r="H2492">
        <v>1.22</v>
      </c>
      <c r="I2492" t="s">
        <v>220</v>
      </c>
      <c r="J2492">
        <v>2</v>
      </c>
      <c r="K2492" s="6">
        <v>4.03</v>
      </c>
      <c r="L2492" t="s">
        <v>174</v>
      </c>
      <c r="M2492">
        <v>0</v>
      </c>
      <c r="N2492" t="s">
        <v>175</v>
      </c>
      <c r="O2492">
        <v>1</v>
      </c>
      <c r="P2492">
        <v>0</v>
      </c>
      <c r="Q2492" s="6">
        <v>50.6</v>
      </c>
      <c r="R2492">
        <v>0</v>
      </c>
      <c r="S2492" s="6">
        <v>0</v>
      </c>
      <c r="T2492">
        <v>0</v>
      </c>
      <c r="U2492" s="6">
        <v>1837</v>
      </c>
      <c r="V2492">
        <v>0</v>
      </c>
      <c r="W2492">
        <v>0</v>
      </c>
      <c r="X2492">
        <v>0</v>
      </c>
      <c r="Y2492" s="6">
        <v>51.6</v>
      </c>
      <c r="Z2492">
        <v>0.36099999999999999</v>
      </c>
      <c r="AA2492">
        <v>4.2999999999999997E-2</v>
      </c>
      <c r="AB2492">
        <v>5.5E-2</v>
      </c>
      <c r="AC2492">
        <v>6</v>
      </c>
      <c r="AD2492" s="6">
        <v>50</v>
      </c>
      <c r="AE2492" s="6">
        <v>0</v>
      </c>
      <c r="AF2492" s="6">
        <v>0</v>
      </c>
      <c r="AG2492" s="6">
        <v>70.010000000000005</v>
      </c>
      <c r="AH2492" s="6">
        <v>88.71</v>
      </c>
      <c r="AI2492" s="6">
        <f t="shared" si="76"/>
        <v>18.699999999999989</v>
      </c>
      <c r="AJ2492" s="5">
        <f t="shared" si="77"/>
        <v>0.21079923345733276</v>
      </c>
    </row>
    <row r="2493" spans="1:36">
      <c r="A2493" t="s">
        <v>393</v>
      </c>
      <c r="B2493" t="s">
        <v>2778</v>
      </c>
      <c r="C2493" t="s">
        <v>116</v>
      </c>
      <c r="D2493" t="s">
        <v>60</v>
      </c>
      <c r="E2493" t="s">
        <v>69</v>
      </c>
      <c r="F2493">
        <v>0</v>
      </c>
      <c r="G2493">
        <v>3954</v>
      </c>
      <c r="H2493">
        <v>1.22</v>
      </c>
      <c r="I2493" t="s">
        <v>173</v>
      </c>
      <c r="J2493">
        <v>1</v>
      </c>
      <c r="K2493" s="6">
        <v>2.11</v>
      </c>
      <c r="L2493" t="s">
        <v>200</v>
      </c>
      <c r="M2493">
        <v>1</v>
      </c>
      <c r="N2493" t="s">
        <v>182</v>
      </c>
      <c r="O2493">
        <v>3</v>
      </c>
      <c r="P2493">
        <v>1</v>
      </c>
      <c r="Q2493" s="6">
        <v>86.1</v>
      </c>
      <c r="R2493">
        <v>0</v>
      </c>
      <c r="S2493" s="6">
        <v>0</v>
      </c>
      <c r="T2493">
        <v>0</v>
      </c>
      <c r="U2493" s="6">
        <v>1383</v>
      </c>
      <c r="V2493">
        <v>0</v>
      </c>
      <c r="W2493">
        <v>0</v>
      </c>
      <c r="X2493">
        <v>0</v>
      </c>
      <c r="Y2493" s="6">
        <v>51.6</v>
      </c>
      <c r="Z2493">
        <v>0.36099999999999999</v>
      </c>
      <c r="AA2493">
        <v>4.2999999999999997E-2</v>
      </c>
      <c r="AB2493">
        <v>5.5E-2</v>
      </c>
      <c r="AC2493">
        <v>6</v>
      </c>
      <c r="AD2493" s="6">
        <v>99</v>
      </c>
      <c r="AE2493" s="6">
        <v>0</v>
      </c>
      <c r="AF2493" s="6">
        <v>0</v>
      </c>
      <c r="AG2493" s="6">
        <v>135.97999999999999</v>
      </c>
      <c r="AH2493" s="6">
        <v>173.6</v>
      </c>
      <c r="AI2493" s="6">
        <f t="shared" si="76"/>
        <v>37.620000000000005</v>
      </c>
      <c r="AJ2493" s="5">
        <f t="shared" si="77"/>
        <v>0.216705069124424</v>
      </c>
    </row>
    <row r="2494" spans="1:36">
      <c r="A2494" t="s">
        <v>221</v>
      </c>
      <c r="B2494" t="s">
        <v>2779</v>
      </c>
      <c r="C2494" t="s">
        <v>116</v>
      </c>
      <c r="D2494" t="s">
        <v>60</v>
      </c>
      <c r="E2494" t="s">
        <v>69</v>
      </c>
      <c r="F2494">
        <v>0</v>
      </c>
      <c r="G2494">
        <v>3954</v>
      </c>
      <c r="H2494">
        <v>1</v>
      </c>
      <c r="I2494" t="s">
        <v>181</v>
      </c>
      <c r="J2494">
        <v>3</v>
      </c>
      <c r="K2494" s="6">
        <v>9.34</v>
      </c>
      <c r="L2494" t="s">
        <v>174</v>
      </c>
      <c r="M2494">
        <v>0</v>
      </c>
      <c r="N2494" t="s">
        <v>182</v>
      </c>
      <c r="O2494">
        <v>3</v>
      </c>
      <c r="P2494">
        <v>0</v>
      </c>
      <c r="Q2494" s="6">
        <v>51.3</v>
      </c>
      <c r="R2494">
        <v>0</v>
      </c>
      <c r="S2494" s="6">
        <v>0</v>
      </c>
      <c r="T2494">
        <v>0</v>
      </c>
      <c r="U2494" s="6">
        <v>1072</v>
      </c>
      <c r="V2494">
        <v>0</v>
      </c>
      <c r="W2494">
        <v>0</v>
      </c>
      <c r="X2494">
        <v>0</v>
      </c>
      <c r="Y2494" s="6">
        <v>51.6</v>
      </c>
      <c r="Z2494">
        <v>0.36099999999999999</v>
      </c>
      <c r="AA2494">
        <v>4.2999999999999997E-2</v>
      </c>
      <c r="AB2494">
        <v>5.5E-2</v>
      </c>
      <c r="AC2494">
        <v>6</v>
      </c>
      <c r="AD2494" s="6">
        <v>60</v>
      </c>
      <c r="AE2494" s="6">
        <v>0</v>
      </c>
      <c r="AF2494" s="6">
        <v>0</v>
      </c>
      <c r="AG2494" s="6">
        <v>105.58</v>
      </c>
      <c r="AH2494" s="6">
        <v>135.76</v>
      </c>
      <c r="AI2494" s="6">
        <f t="shared" si="76"/>
        <v>30.179999999999993</v>
      </c>
      <c r="AJ2494" s="5">
        <f t="shared" si="77"/>
        <v>0.22230406599882141</v>
      </c>
    </row>
    <row r="2495" spans="1:36">
      <c r="A2495" t="s">
        <v>348</v>
      </c>
      <c r="B2495" t="s">
        <v>2780</v>
      </c>
      <c r="C2495" t="s">
        <v>116</v>
      </c>
      <c r="D2495" t="s">
        <v>60</v>
      </c>
      <c r="E2495" t="s">
        <v>69</v>
      </c>
      <c r="F2495">
        <v>0</v>
      </c>
      <c r="G2495">
        <v>3954</v>
      </c>
      <c r="H2495">
        <v>1.22</v>
      </c>
      <c r="I2495" t="s">
        <v>181</v>
      </c>
      <c r="J2495">
        <v>3</v>
      </c>
      <c r="K2495" s="6">
        <v>11.46</v>
      </c>
      <c r="L2495" t="s">
        <v>174</v>
      </c>
      <c r="M2495">
        <v>0</v>
      </c>
      <c r="N2495" t="s">
        <v>182</v>
      </c>
      <c r="O2495">
        <v>3</v>
      </c>
      <c r="P2495">
        <v>1</v>
      </c>
      <c r="Q2495" s="6">
        <v>63.6</v>
      </c>
      <c r="R2495">
        <v>0</v>
      </c>
      <c r="S2495" s="6">
        <v>0</v>
      </c>
      <c r="T2495">
        <v>0</v>
      </c>
      <c r="U2495" s="6">
        <v>1100</v>
      </c>
      <c r="V2495">
        <v>1</v>
      </c>
      <c r="W2495">
        <v>0</v>
      </c>
      <c r="X2495">
        <v>0</v>
      </c>
      <c r="Y2495" s="6">
        <v>51.6</v>
      </c>
      <c r="Z2495">
        <v>0.36099999999999999</v>
      </c>
      <c r="AA2495">
        <v>4.2999999999999997E-2</v>
      </c>
      <c r="AB2495">
        <v>5.5E-2</v>
      </c>
      <c r="AC2495">
        <v>6</v>
      </c>
      <c r="AD2495" s="6">
        <v>60</v>
      </c>
      <c r="AE2495" s="6">
        <v>0</v>
      </c>
      <c r="AF2495" s="6">
        <v>0</v>
      </c>
      <c r="AG2495" s="6">
        <v>201.11</v>
      </c>
      <c r="AH2495" s="6">
        <v>251.98</v>
      </c>
      <c r="AI2495" s="6">
        <f t="shared" si="76"/>
        <v>50.869999999999976</v>
      </c>
      <c r="AJ2495" s="5">
        <f t="shared" si="77"/>
        <v>0.201881101674736</v>
      </c>
    </row>
    <row r="2496" spans="1:36">
      <c r="A2496" t="s">
        <v>238</v>
      </c>
      <c r="B2496" t="s">
        <v>2781</v>
      </c>
      <c r="C2496" t="s">
        <v>116</v>
      </c>
      <c r="D2496" t="s">
        <v>60</v>
      </c>
      <c r="E2496" t="s">
        <v>69</v>
      </c>
      <c r="F2496">
        <v>0</v>
      </c>
      <c r="G2496">
        <v>3954</v>
      </c>
      <c r="H2496">
        <v>1</v>
      </c>
      <c r="I2496" t="s">
        <v>181</v>
      </c>
      <c r="J2496">
        <v>3</v>
      </c>
      <c r="K2496" s="6">
        <v>4.79</v>
      </c>
      <c r="L2496" t="s">
        <v>200</v>
      </c>
      <c r="M2496">
        <v>1</v>
      </c>
      <c r="N2496" t="s">
        <v>182</v>
      </c>
      <c r="O2496">
        <v>3</v>
      </c>
      <c r="P2496">
        <v>0</v>
      </c>
      <c r="Q2496" s="6">
        <v>137.6</v>
      </c>
      <c r="R2496">
        <v>0</v>
      </c>
      <c r="S2496" s="6">
        <v>0</v>
      </c>
      <c r="T2496">
        <v>0</v>
      </c>
      <c r="U2496" s="6">
        <v>2268</v>
      </c>
      <c r="V2496">
        <v>0</v>
      </c>
      <c r="W2496">
        <v>0</v>
      </c>
      <c r="X2496">
        <v>0</v>
      </c>
      <c r="Y2496" s="6">
        <v>51.6</v>
      </c>
      <c r="Z2496">
        <v>0.36099999999999999</v>
      </c>
      <c r="AA2496">
        <v>4.2999999999999997E-2</v>
      </c>
      <c r="AB2496">
        <v>5.5E-2</v>
      </c>
      <c r="AC2496">
        <v>6</v>
      </c>
      <c r="AD2496" s="6">
        <v>139</v>
      </c>
      <c r="AE2496" s="6">
        <v>0</v>
      </c>
      <c r="AF2496" s="6">
        <v>0</v>
      </c>
      <c r="AG2496" s="6">
        <v>123.71</v>
      </c>
      <c r="AH2496" s="6">
        <v>154.97999999999999</v>
      </c>
      <c r="AI2496" s="6">
        <f t="shared" si="76"/>
        <v>31.269999999999996</v>
      </c>
      <c r="AJ2496" s="5">
        <f t="shared" si="77"/>
        <v>0.20176797006065297</v>
      </c>
    </row>
    <row r="2497" spans="1:36">
      <c r="A2497" t="s">
        <v>457</v>
      </c>
      <c r="B2497" t="s">
        <v>2782</v>
      </c>
      <c r="C2497" t="s">
        <v>116</v>
      </c>
      <c r="D2497" t="s">
        <v>60</v>
      </c>
      <c r="E2497" t="s">
        <v>69</v>
      </c>
      <c r="F2497">
        <v>0</v>
      </c>
      <c r="G2497">
        <v>3954</v>
      </c>
      <c r="H2497">
        <v>1</v>
      </c>
      <c r="I2497" t="s">
        <v>220</v>
      </c>
      <c r="J2497">
        <v>2</v>
      </c>
      <c r="K2497" s="6">
        <v>5.0999999999999996</v>
      </c>
      <c r="L2497" t="s">
        <v>174</v>
      </c>
      <c r="M2497">
        <v>0</v>
      </c>
      <c r="N2497" t="s">
        <v>187</v>
      </c>
      <c r="O2497">
        <v>2</v>
      </c>
      <c r="P2497">
        <v>0</v>
      </c>
      <c r="Q2497" s="6">
        <v>72.400000000000006</v>
      </c>
      <c r="R2497">
        <v>0</v>
      </c>
      <c r="S2497" s="6">
        <v>0</v>
      </c>
      <c r="T2497">
        <v>0</v>
      </c>
      <c r="U2497" s="6">
        <v>1041</v>
      </c>
      <c r="V2497">
        <v>0</v>
      </c>
      <c r="W2497">
        <v>0</v>
      </c>
      <c r="X2497">
        <v>0</v>
      </c>
      <c r="Y2497" s="6">
        <v>51.6</v>
      </c>
      <c r="Z2497">
        <v>0.36099999999999999</v>
      </c>
      <c r="AA2497">
        <v>4.2999999999999997E-2</v>
      </c>
      <c r="AB2497">
        <v>5.5E-2</v>
      </c>
      <c r="AC2497">
        <v>6</v>
      </c>
      <c r="AD2497" s="6">
        <v>50</v>
      </c>
      <c r="AE2497" s="6">
        <v>0</v>
      </c>
      <c r="AF2497" s="6">
        <v>0</v>
      </c>
      <c r="AG2497" s="6">
        <v>73.099999999999994</v>
      </c>
      <c r="AH2497" s="6">
        <v>94.32</v>
      </c>
      <c r="AI2497" s="6">
        <f t="shared" si="76"/>
        <v>21.22</v>
      </c>
      <c r="AJ2497" s="5">
        <f t="shared" si="77"/>
        <v>0.22497879558948261</v>
      </c>
    </row>
    <row r="2498" spans="1:36">
      <c r="A2498" t="s">
        <v>311</v>
      </c>
      <c r="B2498" t="s">
        <v>2783</v>
      </c>
      <c r="C2498" t="s">
        <v>116</v>
      </c>
      <c r="D2498" t="s">
        <v>60</v>
      </c>
      <c r="E2498" t="s">
        <v>69</v>
      </c>
      <c r="F2498">
        <v>0</v>
      </c>
      <c r="G2498">
        <v>3954</v>
      </c>
      <c r="H2498">
        <v>1</v>
      </c>
      <c r="I2498" t="s">
        <v>220</v>
      </c>
      <c r="J2498">
        <v>2</v>
      </c>
      <c r="K2498" s="6">
        <v>4.43</v>
      </c>
      <c r="L2498" t="s">
        <v>174</v>
      </c>
      <c r="M2498">
        <v>0</v>
      </c>
      <c r="N2498" t="s">
        <v>182</v>
      </c>
      <c r="O2498">
        <v>3</v>
      </c>
      <c r="P2498">
        <v>0</v>
      </c>
      <c r="Q2498" s="6">
        <v>129.1</v>
      </c>
      <c r="R2498">
        <v>0</v>
      </c>
      <c r="S2498" s="6">
        <v>0</v>
      </c>
      <c r="T2498">
        <v>0</v>
      </c>
      <c r="U2498" s="6">
        <v>2772</v>
      </c>
      <c r="V2498">
        <v>0</v>
      </c>
      <c r="W2498">
        <v>0</v>
      </c>
      <c r="X2498">
        <v>0</v>
      </c>
      <c r="Y2498" s="6">
        <v>51.6</v>
      </c>
      <c r="Z2498">
        <v>0.36099999999999999</v>
      </c>
      <c r="AA2498">
        <v>4.2999999999999997E-2</v>
      </c>
      <c r="AB2498">
        <v>5.5E-2</v>
      </c>
      <c r="AC2498">
        <v>6</v>
      </c>
      <c r="AD2498" s="6">
        <v>50</v>
      </c>
      <c r="AE2498" s="6">
        <v>0</v>
      </c>
      <c r="AF2498" s="6">
        <v>0</v>
      </c>
      <c r="AG2498" s="6">
        <v>67.319999999999993</v>
      </c>
      <c r="AH2498" s="6">
        <v>84.52</v>
      </c>
      <c r="AI2498" s="6">
        <f t="shared" ref="AI2498:AI2561" si="78">AH2498-AG2498</f>
        <v>17.200000000000003</v>
      </c>
      <c r="AJ2498" s="5">
        <f t="shared" ref="AJ2498:AJ2561" si="79">IFERROR(AI2498/AH2498,0)</f>
        <v>0.20350212967345011</v>
      </c>
    </row>
    <row r="2499" spans="1:36">
      <c r="A2499" t="s">
        <v>501</v>
      </c>
      <c r="B2499" t="s">
        <v>2784</v>
      </c>
      <c r="C2499" t="s">
        <v>116</v>
      </c>
      <c r="D2499" t="s">
        <v>60</v>
      </c>
      <c r="E2499" t="s">
        <v>69</v>
      </c>
      <c r="F2499">
        <v>0</v>
      </c>
      <c r="G2499">
        <v>3954</v>
      </c>
      <c r="H2499">
        <v>1</v>
      </c>
      <c r="I2499" t="s">
        <v>181</v>
      </c>
      <c r="J2499">
        <v>3</v>
      </c>
      <c r="K2499" s="6">
        <v>4.8899999999999997</v>
      </c>
      <c r="L2499" t="s">
        <v>174</v>
      </c>
      <c r="M2499">
        <v>0</v>
      </c>
      <c r="N2499" t="s">
        <v>187</v>
      </c>
      <c r="O2499">
        <v>2</v>
      </c>
      <c r="P2499">
        <v>0</v>
      </c>
      <c r="Q2499" s="6">
        <v>54.8</v>
      </c>
      <c r="R2499">
        <v>0</v>
      </c>
      <c r="S2499" s="6">
        <v>0</v>
      </c>
      <c r="T2499">
        <v>0</v>
      </c>
      <c r="U2499" s="6">
        <v>3259</v>
      </c>
      <c r="V2499">
        <v>0</v>
      </c>
      <c r="W2499">
        <v>0</v>
      </c>
      <c r="X2499">
        <v>0</v>
      </c>
      <c r="Y2499" s="6">
        <v>51.6</v>
      </c>
      <c r="Z2499">
        <v>0.36099999999999999</v>
      </c>
      <c r="AA2499">
        <v>4.2999999999999997E-2</v>
      </c>
      <c r="AB2499">
        <v>5.5E-2</v>
      </c>
      <c r="AC2499">
        <v>6</v>
      </c>
      <c r="AD2499" s="6">
        <v>60</v>
      </c>
      <c r="AE2499" s="6">
        <v>0</v>
      </c>
      <c r="AF2499" s="6">
        <v>0</v>
      </c>
      <c r="AG2499" s="6">
        <v>82.21</v>
      </c>
      <c r="AH2499" s="6">
        <v>107.44</v>
      </c>
      <c r="AI2499" s="6">
        <f t="shared" si="78"/>
        <v>25.230000000000004</v>
      </c>
      <c r="AJ2499" s="5">
        <f t="shared" si="79"/>
        <v>0.23482874162323161</v>
      </c>
    </row>
    <row r="2500" spans="1:36">
      <c r="A2500" t="s">
        <v>221</v>
      </c>
      <c r="B2500" t="s">
        <v>2785</v>
      </c>
      <c r="C2500" t="s">
        <v>116</v>
      </c>
      <c r="D2500" t="s">
        <v>60</v>
      </c>
      <c r="E2500" t="s">
        <v>69</v>
      </c>
      <c r="F2500">
        <v>0</v>
      </c>
      <c r="G2500">
        <v>3954</v>
      </c>
      <c r="H2500">
        <v>1</v>
      </c>
      <c r="I2500" t="s">
        <v>181</v>
      </c>
      <c r="J2500">
        <v>3</v>
      </c>
      <c r="K2500" s="6">
        <v>8</v>
      </c>
      <c r="L2500" t="s">
        <v>174</v>
      </c>
      <c r="M2500">
        <v>0</v>
      </c>
      <c r="N2500" t="s">
        <v>175</v>
      </c>
      <c r="O2500">
        <v>1</v>
      </c>
      <c r="P2500">
        <v>0</v>
      </c>
      <c r="Q2500" s="6">
        <v>40.4</v>
      </c>
      <c r="R2500">
        <v>0</v>
      </c>
      <c r="S2500" s="6">
        <v>0</v>
      </c>
      <c r="T2500">
        <v>0</v>
      </c>
      <c r="U2500" s="6">
        <v>1167</v>
      </c>
      <c r="V2500">
        <v>0</v>
      </c>
      <c r="W2500">
        <v>0</v>
      </c>
      <c r="X2500">
        <v>0</v>
      </c>
      <c r="Y2500" s="6">
        <v>51.6</v>
      </c>
      <c r="Z2500">
        <v>0.36099999999999999</v>
      </c>
      <c r="AA2500">
        <v>4.2999999999999997E-2</v>
      </c>
      <c r="AB2500">
        <v>5.5E-2</v>
      </c>
      <c r="AC2500">
        <v>6</v>
      </c>
      <c r="AD2500" s="6">
        <v>60</v>
      </c>
      <c r="AE2500" s="6">
        <v>0</v>
      </c>
      <c r="AF2500" s="6">
        <v>0</v>
      </c>
      <c r="AG2500" s="6">
        <v>72.290000000000006</v>
      </c>
      <c r="AH2500" s="6">
        <v>94.29</v>
      </c>
      <c r="AI2500" s="6">
        <f t="shared" si="78"/>
        <v>22</v>
      </c>
      <c r="AJ2500" s="5">
        <f t="shared" si="79"/>
        <v>0.23332272775479901</v>
      </c>
    </row>
    <row r="2501" spans="1:36">
      <c r="A2501" t="s">
        <v>277</v>
      </c>
      <c r="B2501" t="s">
        <v>2786</v>
      </c>
      <c r="C2501" t="s">
        <v>116</v>
      </c>
      <c r="D2501" t="s">
        <v>60</v>
      </c>
      <c r="E2501" t="s">
        <v>69</v>
      </c>
      <c r="F2501">
        <v>0</v>
      </c>
      <c r="G2501">
        <v>3954</v>
      </c>
      <c r="H2501">
        <v>1.22</v>
      </c>
      <c r="I2501" t="s">
        <v>220</v>
      </c>
      <c r="J2501">
        <v>2</v>
      </c>
      <c r="K2501" s="6">
        <v>2.98</v>
      </c>
      <c r="L2501" t="s">
        <v>174</v>
      </c>
      <c r="M2501">
        <v>0</v>
      </c>
      <c r="N2501" t="s">
        <v>187</v>
      </c>
      <c r="O2501">
        <v>2</v>
      </c>
      <c r="P2501">
        <v>0</v>
      </c>
      <c r="Q2501" s="6">
        <v>62.1</v>
      </c>
      <c r="R2501">
        <v>0</v>
      </c>
      <c r="S2501" s="6">
        <v>0</v>
      </c>
      <c r="T2501">
        <v>0</v>
      </c>
      <c r="U2501" s="6">
        <v>3107</v>
      </c>
      <c r="V2501">
        <v>1</v>
      </c>
      <c r="W2501">
        <v>0</v>
      </c>
      <c r="X2501">
        <v>0</v>
      </c>
      <c r="Y2501" s="6">
        <v>51.6</v>
      </c>
      <c r="Z2501">
        <v>0.36099999999999999</v>
      </c>
      <c r="AA2501">
        <v>4.2999999999999997E-2</v>
      </c>
      <c r="AB2501">
        <v>5.5E-2</v>
      </c>
      <c r="AC2501">
        <v>6</v>
      </c>
      <c r="AD2501" s="6">
        <v>50</v>
      </c>
      <c r="AE2501" s="6">
        <v>0</v>
      </c>
      <c r="AF2501" s="6">
        <v>0</v>
      </c>
      <c r="AG2501" s="6">
        <v>115.74</v>
      </c>
      <c r="AH2501" s="6">
        <v>148.91</v>
      </c>
      <c r="AI2501" s="6">
        <f t="shared" si="78"/>
        <v>33.17</v>
      </c>
      <c r="AJ2501" s="5">
        <f t="shared" si="79"/>
        <v>0.22275199785105099</v>
      </c>
    </row>
    <row r="2502" spans="1:36">
      <c r="A2502" t="s">
        <v>434</v>
      </c>
      <c r="B2502" t="s">
        <v>2787</v>
      </c>
      <c r="C2502" t="s">
        <v>116</v>
      </c>
      <c r="D2502" t="s">
        <v>60</v>
      </c>
      <c r="E2502" t="s">
        <v>69</v>
      </c>
      <c r="F2502">
        <v>0</v>
      </c>
      <c r="G2502">
        <v>3954</v>
      </c>
      <c r="H2502">
        <v>1</v>
      </c>
      <c r="I2502" t="s">
        <v>220</v>
      </c>
      <c r="J2502">
        <v>2</v>
      </c>
      <c r="K2502" s="6">
        <v>5.51</v>
      </c>
      <c r="L2502" t="s">
        <v>200</v>
      </c>
      <c r="M2502">
        <v>1</v>
      </c>
      <c r="N2502" t="s">
        <v>182</v>
      </c>
      <c r="O2502">
        <v>3</v>
      </c>
      <c r="P2502">
        <v>0</v>
      </c>
      <c r="Q2502" s="6">
        <v>93.9</v>
      </c>
      <c r="R2502">
        <v>0</v>
      </c>
      <c r="S2502" s="6">
        <v>0</v>
      </c>
      <c r="T2502">
        <v>0</v>
      </c>
      <c r="U2502" s="6">
        <v>1107</v>
      </c>
      <c r="V2502">
        <v>0</v>
      </c>
      <c r="W2502">
        <v>0</v>
      </c>
      <c r="X2502">
        <v>0</v>
      </c>
      <c r="Y2502" s="6">
        <v>51.6</v>
      </c>
      <c r="Z2502">
        <v>0.36099999999999999</v>
      </c>
      <c r="AA2502">
        <v>4.2999999999999997E-2</v>
      </c>
      <c r="AB2502">
        <v>5.5E-2</v>
      </c>
      <c r="AC2502">
        <v>6</v>
      </c>
      <c r="AD2502" s="6">
        <v>119</v>
      </c>
      <c r="AE2502" s="6">
        <v>0</v>
      </c>
      <c r="AF2502" s="6">
        <v>0</v>
      </c>
      <c r="AG2502" s="6">
        <v>104.47</v>
      </c>
      <c r="AH2502" s="6">
        <v>134.6</v>
      </c>
      <c r="AI2502" s="6">
        <f t="shared" si="78"/>
        <v>30.129999999999995</v>
      </c>
      <c r="AJ2502" s="5">
        <f t="shared" si="79"/>
        <v>0.22384843982169389</v>
      </c>
    </row>
    <row r="2503" spans="1:36">
      <c r="A2503" t="s">
        <v>238</v>
      </c>
      <c r="B2503" t="s">
        <v>2788</v>
      </c>
      <c r="C2503" t="s">
        <v>116</v>
      </c>
      <c r="D2503" t="s">
        <v>60</v>
      </c>
      <c r="E2503" t="s">
        <v>69</v>
      </c>
      <c r="F2503">
        <v>0</v>
      </c>
      <c r="G2503">
        <v>3954</v>
      </c>
      <c r="H2503">
        <v>1</v>
      </c>
      <c r="I2503" t="s">
        <v>173</v>
      </c>
      <c r="J2503">
        <v>1</v>
      </c>
      <c r="K2503" s="6">
        <v>1.8</v>
      </c>
      <c r="L2503" t="s">
        <v>200</v>
      </c>
      <c r="M2503">
        <v>1</v>
      </c>
      <c r="N2503" t="s">
        <v>182</v>
      </c>
      <c r="O2503">
        <v>3</v>
      </c>
      <c r="P2503">
        <v>0</v>
      </c>
      <c r="Q2503" s="6">
        <v>112.8</v>
      </c>
      <c r="R2503">
        <v>0</v>
      </c>
      <c r="S2503" s="6">
        <v>0</v>
      </c>
      <c r="T2503">
        <v>0</v>
      </c>
      <c r="U2503" s="6">
        <v>804</v>
      </c>
      <c r="V2503">
        <v>0</v>
      </c>
      <c r="W2503">
        <v>0</v>
      </c>
      <c r="X2503">
        <v>0</v>
      </c>
      <c r="Y2503" s="6">
        <v>51.6</v>
      </c>
      <c r="Z2503">
        <v>0.36099999999999999</v>
      </c>
      <c r="AA2503">
        <v>4.2999999999999997E-2</v>
      </c>
      <c r="AB2503">
        <v>5.5E-2</v>
      </c>
      <c r="AC2503">
        <v>6</v>
      </c>
      <c r="AD2503" s="6">
        <v>99</v>
      </c>
      <c r="AE2503" s="6">
        <v>0</v>
      </c>
      <c r="AF2503" s="6">
        <v>0</v>
      </c>
      <c r="AG2503" s="6">
        <v>84.43</v>
      </c>
      <c r="AH2503" s="6">
        <v>106.11</v>
      </c>
      <c r="AI2503" s="6">
        <f t="shared" si="78"/>
        <v>21.679999999999993</v>
      </c>
      <c r="AJ2503" s="5">
        <f t="shared" si="79"/>
        <v>0.20431627556309484</v>
      </c>
    </row>
    <row r="2504" spans="1:36">
      <c r="A2504" t="s">
        <v>236</v>
      </c>
      <c r="B2504" t="s">
        <v>2789</v>
      </c>
      <c r="C2504" t="s">
        <v>116</v>
      </c>
      <c r="D2504" t="s">
        <v>60</v>
      </c>
      <c r="E2504" t="s">
        <v>69</v>
      </c>
      <c r="F2504">
        <v>0</v>
      </c>
      <c r="G2504">
        <v>3954</v>
      </c>
      <c r="H2504">
        <v>1</v>
      </c>
      <c r="I2504" t="s">
        <v>173</v>
      </c>
      <c r="J2504">
        <v>1</v>
      </c>
      <c r="K2504" s="6">
        <v>2.21</v>
      </c>
      <c r="L2504" t="s">
        <v>200</v>
      </c>
      <c r="M2504">
        <v>1</v>
      </c>
      <c r="N2504" t="s">
        <v>175</v>
      </c>
      <c r="O2504">
        <v>1</v>
      </c>
      <c r="P2504">
        <v>0</v>
      </c>
      <c r="Q2504" s="6">
        <v>48.3</v>
      </c>
      <c r="R2504">
        <v>0</v>
      </c>
      <c r="S2504" s="6">
        <v>0</v>
      </c>
      <c r="T2504">
        <v>0</v>
      </c>
      <c r="U2504" s="6">
        <v>1764</v>
      </c>
      <c r="V2504">
        <v>0</v>
      </c>
      <c r="W2504">
        <v>0</v>
      </c>
      <c r="X2504">
        <v>0</v>
      </c>
      <c r="Y2504" s="6">
        <v>51.6</v>
      </c>
      <c r="Z2504">
        <v>0.36099999999999999</v>
      </c>
      <c r="AA2504">
        <v>4.2999999999999997E-2</v>
      </c>
      <c r="AB2504">
        <v>5.5E-2</v>
      </c>
      <c r="AC2504">
        <v>6</v>
      </c>
      <c r="AD2504" s="6">
        <v>99</v>
      </c>
      <c r="AE2504" s="6">
        <v>0</v>
      </c>
      <c r="AF2504" s="6">
        <v>0</v>
      </c>
      <c r="AG2504" s="6">
        <v>83.68</v>
      </c>
      <c r="AH2504" s="6">
        <v>107.3</v>
      </c>
      <c r="AI2504" s="6">
        <f t="shared" si="78"/>
        <v>23.61999999999999</v>
      </c>
      <c r="AJ2504" s="5">
        <f t="shared" si="79"/>
        <v>0.22013047530288901</v>
      </c>
    </row>
    <row r="2505" spans="1:36">
      <c r="A2505" t="s">
        <v>261</v>
      </c>
      <c r="B2505" t="s">
        <v>2790</v>
      </c>
      <c r="C2505" t="s">
        <v>116</v>
      </c>
      <c r="D2505" t="s">
        <v>60</v>
      </c>
      <c r="E2505" t="s">
        <v>69</v>
      </c>
      <c r="F2505">
        <v>0</v>
      </c>
      <c r="G2505">
        <v>3954</v>
      </c>
      <c r="H2505">
        <v>1</v>
      </c>
      <c r="I2505" t="s">
        <v>173</v>
      </c>
      <c r="J2505">
        <v>1</v>
      </c>
      <c r="K2505" s="6">
        <v>1.65</v>
      </c>
      <c r="L2505" t="s">
        <v>174</v>
      </c>
      <c r="M2505">
        <v>0</v>
      </c>
      <c r="N2505" t="s">
        <v>187</v>
      </c>
      <c r="O2505">
        <v>2</v>
      </c>
      <c r="P2505">
        <v>0</v>
      </c>
      <c r="Q2505" s="6">
        <v>83.4</v>
      </c>
      <c r="R2505">
        <v>0</v>
      </c>
      <c r="S2505" s="6">
        <v>0</v>
      </c>
      <c r="T2505">
        <v>0</v>
      </c>
      <c r="U2505" s="6">
        <v>3037</v>
      </c>
      <c r="V2505">
        <v>0</v>
      </c>
      <c r="W2505">
        <v>0</v>
      </c>
      <c r="X2505">
        <v>0</v>
      </c>
      <c r="Y2505" s="6">
        <v>51.6</v>
      </c>
      <c r="Z2505">
        <v>0.36099999999999999</v>
      </c>
      <c r="AA2505">
        <v>4.2999999999999997E-2</v>
      </c>
      <c r="AB2505">
        <v>5.5E-2</v>
      </c>
      <c r="AC2505">
        <v>6</v>
      </c>
      <c r="AD2505" s="6">
        <v>50</v>
      </c>
      <c r="AE2505" s="6">
        <v>0</v>
      </c>
      <c r="AF2505" s="6">
        <v>0</v>
      </c>
      <c r="AG2505" s="6">
        <v>57.36</v>
      </c>
      <c r="AH2505" s="6">
        <v>75.77</v>
      </c>
      <c r="AI2505" s="6">
        <f t="shared" si="78"/>
        <v>18.409999999999997</v>
      </c>
      <c r="AJ2505" s="5">
        <f t="shared" si="79"/>
        <v>0.24297215256697899</v>
      </c>
    </row>
    <row r="2506" spans="1:36">
      <c r="A2506" t="s">
        <v>345</v>
      </c>
      <c r="B2506" t="s">
        <v>2791</v>
      </c>
      <c r="C2506" t="s">
        <v>116</v>
      </c>
      <c r="D2506" t="s">
        <v>60</v>
      </c>
      <c r="E2506" t="s">
        <v>69</v>
      </c>
      <c r="F2506">
        <v>0</v>
      </c>
      <c r="G2506">
        <v>3954</v>
      </c>
      <c r="H2506">
        <v>1</v>
      </c>
      <c r="I2506" t="s">
        <v>220</v>
      </c>
      <c r="J2506">
        <v>2</v>
      </c>
      <c r="K2506" s="6">
        <v>2.2400000000000002</v>
      </c>
      <c r="L2506" t="s">
        <v>174</v>
      </c>
      <c r="M2506">
        <v>0</v>
      </c>
      <c r="N2506" t="s">
        <v>182</v>
      </c>
      <c r="O2506">
        <v>3</v>
      </c>
      <c r="P2506">
        <v>0</v>
      </c>
      <c r="Q2506" s="6">
        <v>119.2</v>
      </c>
      <c r="R2506">
        <v>0</v>
      </c>
      <c r="S2506" s="6">
        <v>0</v>
      </c>
      <c r="T2506">
        <v>0</v>
      </c>
      <c r="U2506" s="6">
        <v>1222</v>
      </c>
      <c r="V2506">
        <v>0</v>
      </c>
      <c r="W2506">
        <v>0</v>
      </c>
      <c r="X2506">
        <v>0</v>
      </c>
      <c r="Y2506" s="6">
        <v>51.6</v>
      </c>
      <c r="Z2506">
        <v>0.36099999999999999</v>
      </c>
      <c r="AA2506">
        <v>4.2999999999999997E-2</v>
      </c>
      <c r="AB2506">
        <v>5.5E-2</v>
      </c>
      <c r="AC2506">
        <v>6</v>
      </c>
      <c r="AD2506" s="6">
        <v>50</v>
      </c>
      <c r="AE2506" s="6">
        <v>0</v>
      </c>
      <c r="AF2506" s="6">
        <v>0</v>
      </c>
      <c r="AG2506" s="6">
        <v>70.45</v>
      </c>
      <c r="AH2506" s="6">
        <v>92.93</v>
      </c>
      <c r="AI2506" s="6">
        <f t="shared" si="78"/>
        <v>22.480000000000004</v>
      </c>
      <c r="AJ2506" s="5">
        <f t="shared" si="79"/>
        <v>0.24190250726353171</v>
      </c>
    </row>
    <row r="2507" spans="1:36">
      <c r="A2507" t="s">
        <v>277</v>
      </c>
      <c r="B2507" t="s">
        <v>2792</v>
      </c>
      <c r="C2507" t="s">
        <v>116</v>
      </c>
      <c r="D2507" t="s">
        <v>60</v>
      </c>
      <c r="E2507" t="s">
        <v>69</v>
      </c>
      <c r="F2507">
        <v>0</v>
      </c>
      <c r="G2507">
        <v>3954</v>
      </c>
      <c r="H2507">
        <v>1.22</v>
      </c>
      <c r="I2507" t="s">
        <v>220</v>
      </c>
      <c r="J2507">
        <v>2</v>
      </c>
      <c r="K2507" s="6">
        <v>5.66</v>
      </c>
      <c r="L2507" t="s">
        <v>174</v>
      </c>
      <c r="M2507">
        <v>0</v>
      </c>
      <c r="N2507" t="s">
        <v>175</v>
      </c>
      <c r="O2507">
        <v>1</v>
      </c>
      <c r="P2507">
        <v>0</v>
      </c>
      <c r="Q2507" s="6">
        <v>31.5</v>
      </c>
      <c r="R2507">
        <v>0</v>
      </c>
      <c r="S2507" s="6">
        <v>0</v>
      </c>
      <c r="T2507">
        <v>0</v>
      </c>
      <c r="U2507" s="6">
        <v>1187</v>
      </c>
      <c r="V2507">
        <v>0</v>
      </c>
      <c r="W2507">
        <v>0</v>
      </c>
      <c r="X2507">
        <v>0</v>
      </c>
      <c r="Y2507" s="6">
        <v>51.6</v>
      </c>
      <c r="Z2507">
        <v>0.36099999999999999</v>
      </c>
      <c r="AA2507">
        <v>4.2999999999999997E-2</v>
      </c>
      <c r="AB2507">
        <v>5.5E-2</v>
      </c>
      <c r="AC2507">
        <v>6</v>
      </c>
      <c r="AD2507" s="6">
        <v>50</v>
      </c>
      <c r="AE2507" s="6">
        <v>0</v>
      </c>
      <c r="AF2507" s="6">
        <v>0</v>
      </c>
      <c r="AG2507" s="6">
        <v>63.06</v>
      </c>
      <c r="AH2507" s="6">
        <v>83.23</v>
      </c>
      <c r="AI2507" s="6">
        <f t="shared" si="78"/>
        <v>20.170000000000002</v>
      </c>
      <c r="AJ2507" s="5">
        <f t="shared" si="79"/>
        <v>0.24234050222275622</v>
      </c>
    </row>
    <row r="2508" spans="1:36">
      <c r="A2508" t="s">
        <v>360</v>
      </c>
      <c r="B2508" t="s">
        <v>2793</v>
      </c>
      <c r="C2508" t="s">
        <v>116</v>
      </c>
      <c r="D2508" t="s">
        <v>60</v>
      </c>
      <c r="E2508" t="s">
        <v>69</v>
      </c>
      <c r="F2508">
        <v>0</v>
      </c>
      <c r="G2508">
        <v>3954</v>
      </c>
      <c r="H2508">
        <v>1.22</v>
      </c>
      <c r="I2508" t="s">
        <v>220</v>
      </c>
      <c r="J2508">
        <v>2</v>
      </c>
      <c r="K2508" s="6">
        <v>6.59</v>
      </c>
      <c r="L2508" t="s">
        <v>200</v>
      </c>
      <c r="M2508">
        <v>1</v>
      </c>
      <c r="N2508" t="s">
        <v>182</v>
      </c>
      <c r="O2508">
        <v>3</v>
      </c>
      <c r="P2508">
        <v>0</v>
      </c>
      <c r="Q2508" s="6">
        <v>139.4</v>
      </c>
      <c r="R2508">
        <v>0</v>
      </c>
      <c r="S2508" s="6">
        <v>0</v>
      </c>
      <c r="T2508">
        <v>0</v>
      </c>
      <c r="U2508" s="6">
        <v>1456</v>
      </c>
      <c r="V2508">
        <v>1</v>
      </c>
      <c r="W2508">
        <v>0</v>
      </c>
      <c r="X2508">
        <v>0</v>
      </c>
      <c r="Y2508" s="6">
        <v>51.6</v>
      </c>
      <c r="Z2508">
        <v>0.36099999999999999</v>
      </c>
      <c r="AA2508">
        <v>4.2999999999999997E-2</v>
      </c>
      <c r="AB2508">
        <v>5.5E-2</v>
      </c>
      <c r="AC2508">
        <v>6</v>
      </c>
      <c r="AD2508" s="6">
        <v>119</v>
      </c>
      <c r="AE2508" s="6">
        <v>0</v>
      </c>
      <c r="AF2508" s="6">
        <v>0</v>
      </c>
      <c r="AG2508" s="6">
        <v>145.69</v>
      </c>
      <c r="AH2508" s="6">
        <v>182.74</v>
      </c>
      <c r="AI2508" s="6">
        <f t="shared" si="78"/>
        <v>37.050000000000011</v>
      </c>
      <c r="AJ2508" s="5">
        <f t="shared" si="79"/>
        <v>0.20274707234321993</v>
      </c>
    </row>
    <row r="2509" spans="1:36">
      <c r="A2509" t="s">
        <v>291</v>
      </c>
      <c r="B2509" t="s">
        <v>2794</v>
      </c>
      <c r="C2509" t="s">
        <v>116</v>
      </c>
      <c r="D2509" t="s">
        <v>60</v>
      </c>
      <c r="E2509" t="s">
        <v>69</v>
      </c>
      <c r="F2509">
        <v>0</v>
      </c>
      <c r="G2509">
        <v>3954</v>
      </c>
      <c r="H2509">
        <v>1.22</v>
      </c>
      <c r="I2509" t="s">
        <v>173</v>
      </c>
      <c r="J2509">
        <v>1</v>
      </c>
      <c r="K2509" s="6">
        <v>2.42</v>
      </c>
      <c r="L2509" t="s">
        <v>200</v>
      </c>
      <c r="M2509">
        <v>1</v>
      </c>
      <c r="N2509" t="s">
        <v>175</v>
      </c>
      <c r="O2509">
        <v>1</v>
      </c>
      <c r="P2509">
        <v>0</v>
      </c>
      <c r="Q2509" s="6">
        <v>27</v>
      </c>
      <c r="R2509">
        <v>0</v>
      </c>
      <c r="S2509" s="6">
        <v>0</v>
      </c>
      <c r="T2509">
        <v>0</v>
      </c>
      <c r="U2509" s="6">
        <v>1203</v>
      </c>
      <c r="V2509">
        <v>0</v>
      </c>
      <c r="W2509">
        <v>0</v>
      </c>
      <c r="X2509">
        <v>0</v>
      </c>
      <c r="Y2509" s="6">
        <v>51.6</v>
      </c>
      <c r="Z2509">
        <v>0.36099999999999999</v>
      </c>
      <c r="AA2509">
        <v>4.2999999999999997E-2</v>
      </c>
      <c r="AB2509">
        <v>5.5E-2</v>
      </c>
      <c r="AC2509">
        <v>6</v>
      </c>
      <c r="AD2509" s="6">
        <v>99</v>
      </c>
      <c r="AE2509" s="6">
        <v>0</v>
      </c>
      <c r="AF2509" s="6">
        <v>0</v>
      </c>
      <c r="AG2509" s="6">
        <v>93.71</v>
      </c>
      <c r="AH2509" s="6">
        <v>120.42</v>
      </c>
      <c r="AI2509" s="6">
        <f t="shared" si="78"/>
        <v>26.710000000000008</v>
      </c>
      <c r="AJ2509" s="5">
        <f t="shared" si="79"/>
        <v>0.22180700880252455</v>
      </c>
    </row>
    <row r="2510" spans="1:36">
      <c r="A2510" t="s">
        <v>266</v>
      </c>
      <c r="B2510" t="s">
        <v>2795</v>
      </c>
      <c r="C2510" t="s">
        <v>116</v>
      </c>
      <c r="D2510" t="s">
        <v>60</v>
      </c>
      <c r="E2510" t="s">
        <v>69</v>
      </c>
      <c r="F2510">
        <v>0</v>
      </c>
      <c r="G2510">
        <v>3954</v>
      </c>
      <c r="H2510">
        <v>1.22</v>
      </c>
      <c r="I2510" t="s">
        <v>173</v>
      </c>
      <c r="J2510">
        <v>1</v>
      </c>
      <c r="K2510" s="6">
        <v>2.06</v>
      </c>
      <c r="L2510" t="s">
        <v>174</v>
      </c>
      <c r="M2510">
        <v>0</v>
      </c>
      <c r="N2510" t="s">
        <v>175</v>
      </c>
      <c r="O2510">
        <v>1</v>
      </c>
      <c r="P2510">
        <v>0</v>
      </c>
      <c r="Q2510" s="6">
        <v>37.799999999999997</v>
      </c>
      <c r="R2510">
        <v>0</v>
      </c>
      <c r="S2510" s="6">
        <v>0</v>
      </c>
      <c r="T2510">
        <v>0</v>
      </c>
      <c r="U2510" s="6">
        <v>1482</v>
      </c>
      <c r="V2510">
        <v>0</v>
      </c>
      <c r="W2510">
        <v>0</v>
      </c>
      <c r="X2510">
        <v>0</v>
      </c>
      <c r="Y2510" s="6">
        <v>51.6</v>
      </c>
      <c r="Z2510">
        <v>0.36099999999999999</v>
      </c>
      <c r="AA2510">
        <v>4.2999999999999997E-2</v>
      </c>
      <c r="AB2510">
        <v>5.5E-2</v>
      </c>
      <c r="AC2510">
        <v>6</v>
      </c>
      <c r="AD2510" s="6">
        <v>50</v>
      </c>
      <c r="AE2510" s="6">
        <v>0</v>
      </c>
      <c r="AF2510" s="6">
        <v>0</v>
      </c>
      <c r="AG2510" s="6">
        <v>49.68</v>
      </c>
      <c r="AH2510" s="6">
        <v>66.92</v>
      </c>
      <c r="AI2510" s="6">
        <f t="shared" si="78"/>
        <v>17.240000000000002</v>
      </c>
      <c r="AJ2510" s="5">
        <f t="shared" si="79"/>
        <v>0.25762104004781833</v>
      </c>
    </row>
    <row r="2511" spans="1:36">
      <c r="A2511" t="s">
        <v>330</v>
      </c>
      <c r="B2511" t="s">
        <v>2796</v>
      </c>
      <c r="C2511" t="s">
        <v>116</v>
      </c>
      <c r="D2511" t="s">
        <v>60</v>
      </c>
      <c r="E2511" t="s">
        <v>69</v>
      </c>
      <c r="F2511">
        <v>0</v>
      </c>
      <c r="G2511">
        <v>3954</v>
      </c>
      <c r="H2511">
        <v>1.22</v>
      </c>
      <c r="I2511" t="s">
        <v>181</v>
      </c>
      <c r="J2511">
        <v>3</v>
      </c>
      <c r="K2511" s="6">
        <v>7.08</v>
      </c>
      <c r="L2511" t="s">
        <v>174</v>
      </c>
      <c r="M2511">
        <v>0</v>
      </c>
      <c r="N2511" t="s">
        <v>187</v>
      </c>
      <c r="O2511">
        <v>2</v>
      </c>
      <c r="P2511">
        <v>0</v>
      </c>
      <c r="Q2511" s="6">
        <v>33.1</v>
      </c>
      <c r="R2511">
        <v>1</v>
      </c>
      <c r="S2511" s="6">
        <v>1121</v>
      </c>
      <c r="T2511">
        <v>0</v>
      </c>
      <c r="U2511" s="6">
        <v>2469</v>
      </c>
      <c r="V2511">
        <v>0</v>
      </c>
      <c r="W2511">
        <v>0</v>
      </c>
      <c r="X2511">
        <v>0</v>
      </c>
      <c r="Y2511" s="6">
        <v>51.6</v>
      </c>
      <c r="Z2511">
        <v>0.36099999999999999</v>
      </c>
      <c r="AA2511">
        <v>4.2999999999999997E-2</v>
      </c>
      <c r="AB2511">
        <v>5.5E-2</v>
      </c>
      <c r="AC2511">
        <v>6</v>
      </c>
      <c r="AD2511" s="6">
        <v>60</v>
      </c>
      <c r="AE2511" s="6">
        <v>25</v>
      </c>
      <c r="AF2511" s="6">
        <v>0</v>
      </c>
      <c r="AG2511" s="6">
        <v>81.7</v>
      </c>
      <c r="AH2511" s="6">
        <v>106.53</v>
      </c>
      <c r="AI2511" s="6">
        <f t="shared" si="78"/>
        <v>24.83</v>
      </c>
      <c r="AJ2511" s="5">
        <f t="shared" si="79"/>
        <v>0.2330798836008636</v>
      </c>
    </row>
    <row r="2512" spans="1:36">
      <c r="A2512" t="s">
        <v>635</v>
      </c>
      <c r="B2512" t="s">
        <v>2797</v>
      </c>
      <c r="C2512" t="s">
        <v>116</v>
      </c>
      <c r="D2512" t="s">
        <v>60</v>
      </c>
      <c r="E2512" t="s">
        <v>69</v>
      </c>
      <c r="F2512">
        <v>0</v>
      </c>
      <c r="G2512">
        <v>3954</v>
      </c>
      <c r="H2512">
        <v>1.22</v>
      </c>
      <c r="I2512" t="s">
        <v>220</v>
      </c>
      <c r="J2512">
        <v>2</v>
      </c>
      <c r="K2512" s="6">
        <v>4.5</v>
      </c>
      <c r="L2512" t="s">
        <v>174</v>
      </c>
      <c r="M2512">
        <v>0</v>
      </c>
      <c r="N2512" t="s">
        <v>187</v>
      </c>
      <c r="O2512">
        <v>2</v>
      </c>
      <c r="P2512">
        <v>0</v>
      </c>
      <c r="Q2512" s="6">
        <v>56.3</v>
      </c>
      <c r="R2512">
        <v>0</v>
      </c>
      <c r="S2512" s="6">
        <v>0</v>
      </c>
      <c r="T2512">
        <v>0</v>
      </c>
      <c r="U2512" s="6">
        <v>1311</v>
      </c>
      <c r="V2512">
        <v>0</v>
      </c>
      <c r="W2512">
        <v>0</v>
      </c>
      <c r="X2512">
        <v>0</v>
      </c>
      <c r="Y2512" s="6">
        <v>51.6</v>
      </c>
      <c r="Z2512">
        <v>0.36099999999999999</v>
      </c>
      <c r="AA2512">
        <v>4.2999999999999997E-2</v>
      </c>
      <c r="AB2512">
        <v>5.5E-2</v>
      </c>
      <c r="AC2512">
        <v>6</v>
      </c>
      <c r="AD2512" s="6">
        <v>50</v>
      </c>
      <c r="AE2512" s="6">
        <v>0</v>
      </c>
      <c r="AF2512" s="6">
        <v>0</v>
      </c>
      <c r="AG2512" s="6">
        <v>73.349999999999994</v>
      </c>
      <c r="AH2512" s="6">
        <v>95.1</v>
      </c>
      <c r="AI2512" s="6">
        <f t="shared" si="78"/>
        <v>21.75</v>
      </c>
      <c r="AJ2512" s="5">
        <f t="shared" si="79"/>
        <v>0.22870662460567825</v>
      </c>
    </row>
    <row r="2513" spans="1:36">
      <c r="A2513" t="s">
        <v>391</v>
      </c>
      <c r="B2513" t="s">
        <v>2798</v>
      </c>
      <c r="C2513" t="s">
        <v>116</v>
      </c>
      <c r="D2513" t="s">
        <v>60</v>
      </c>
      <c r="E2513" t="s">
        <v>69</v>
      </c>
      <c r="F2513">
        <v>0</v>
      </c>
      <c r="G2513">
        <v>3954</v>
      </c>
      <c r="H2513">
        <v>1</v>
      </c>
      <c r="I2513" t="s">
        <v>181</v>
      </c>
      <c r="J2513">
        <v>3</v>
      </c>
      <c r="K2513" s="6">
        <v>9.68</v>
      </c>
      <c r="L2513" t="s">
        <v>174</v>
      </c>
      <c r="M2513">
        <v>0</v>
      </c>
      <c r="N2513" t="s">
        <v>187</v>
      </c>
      <c r="O2513">
        <v>2</v>
      </c>
      <c r="P2513">
        <v>0</v>
      </c>
      <c r="Q2513" s="6">
        <v>56.8</v>
      </c>
      <c r="R2513">
        <v>1</v>
      </c>
      <c r="S2513" s="6">
        <v>942</v>
      </c>
      <c r="T2513">
        <v>0</v>
      </c>
      <c r="U2513" s="6">
        <v>4498</v>
      </c>
      <c r="V2513">
        <v>0</v>
      </c>
      <c r="W2513">
        <v>0</v>
      </c>
      <c r="X2513">
        <v>0</v>
      </c>
      <c r="Y2513" s="6">
        <v>51.6</v>
      </c>
      <c r="Z2513">
        <v>0.36099999999999999</v>
      </c>
      <c r="AA2513">
        <v>4.2999999999999997E-2</v>
      </c>
      <c r="AB2513">
        <v>5.5E-2</v>
      </c>
      <c r="AC2513">
        <v>6</v>
      </c>
      <c r="AD2513" s="6">
        <v>60</v>
      </c>
      <c r="AE2513" s="6">
        <v>25</v>
      </c>
      <c r="AF2513" s="6">
        <v>0</v>
      </c>
      <c r="AG2513" s="6">
        <v>110.82</v>
      </c>
      <c r="AH2513" s="6">
        <v>142.19</v>
      </c>
      <c r="AI2513" s="6">
        <f t="shared" si="78"/>
        <v>31.370000000000005</v>
      </c>
      <c r="AJ2513" s="5">
        <f t="shared" si="79"/>
        <v>0.2206202967859906</v>
      </c>
    </row>
    <row r="2514" spans="1:36">
      <c r="A2514" t="s">
        <v>537</v>
      </c>
      <c r="B2514" t="s">
        <v>2799</v>
      </c>
      <c r="C2514" t="s">
        <v>116</v>
      </c>
      <c r="D2514" t="s">
        <v>60</v>
      </c>
      <c r="E2514" t="s">
        <v>69</v>
      </c>
      <c r="F2514">
        <v>0</v>
      </c>
      <c r="G2514">
        <v>3954</v>
      </c>
      <c r="H2514">
        <v>1.22</v>
      </c>
      <c r="I2514" t="s">
        <v>181</v>
      </c>
      <c r="J2514">
        <v>3</v>
      </c>
      <c r="K2514" s="6">
        <v>7.5</v>
      </c>
      <c r="L2514" t="s">
        <v>174</v>
      </c>
      <c r="M2514">
        <v>0</v>
      </c>
      <c r="N2514" t="s">
        <v>175</v>
      </c>
      <c r="O2514">
        <v>1</v>
      </c>
      <c r="P2514">
        <v>0</v>
      </c>
      <c r="Q2514" s="6">
        <v>40.9</v>
      </c>
      <c r="R2514">
        <v>0</v>
      </c>
      <c r="S2514" s="6">
        <v>0</v>
      </c>
      <c r="T2514">
        <v>0</v>
      </c>
      <c r="U2514" s="6">
        <v>1021</v>
      </c>
      <c r="V2514">
        <v>0</v>
      </c>
      <c r="W2514">
        <v>0</v>
      </c>
      <c r="X2514">
        <v>0</v>
      </c>
      <c r="Y2514" s="6">
        <v>51.6</v>
      </c>
      <c r="Z2514">
        <v>0.36099999999999999</v>
      </c>
      <c r="AA2514">
        <v>4.2999999999999997E-2</v>
      </c>
      <c r="AB2514">
        <v>5.5E-2</v>
      </c>
      <c r="AC2514">
        <v>6</v>
      </c>
      <c r="AD2514" s="6">
        <v>60</v>
      </c>
      <c r="AE2514" s="6">
        <v>0</v>
      </c>
      <c r="AF2514" s="6">
        <v>0</v>
      </c>
      <c r="AG2514" s="6">
        <v>78.010000000000005</v>
      </c>
      <c r="AH2514" s="6">
        <v>101.13</v>
      </c>
      <c r="AI2514" s="6">
        <f t="shared" si="78"/>
        <v>23.11999999999999</v>
      </c>
      <c r="AJ2514" s="5">
        <f t="shared" si="79"/>
        <v>0.22861663205774738</v>
      </c>
    </row>
    <row r="2515" spans="1:36">
      <c r="A2515" t="s">
        <v>258</v>
      </c>
      <c r="B2515" t="s">
        <v>2800</v>
      </c>
      <c r="C2515" t="s">
        <v>116</v>
      </c>
      <c r="D2515" t="s">
        <v>60</v>
      </c>
      <c r="E2515" t="s">
        <v>69</v>
      </c>
      <c r="F2515">
        <v>0</v>
      </c>
      <c r="G2515">
        <v>3954</v>
      </c>
      <c r="H2515">
        <v>1</v>
      </c>
      <c r="I2515" t="s">
        <v>173</v>
      </c>
      <c r="J2515">
        <v>1</v>
      </c>
      <c r="K2515" s="6">
        <v>2.2400000000000002</v>
      </c>
      <c r="L2515" t="s">
        <v>174</v>
      </c>
      <c r="M2515">
        <v>0</v>
      </c>
      <c r="N2515" t="s">
        <v>175</v>
      </c>
      <c r="O2515">
        <v>1</v>
      </c>
      <c r="P2515">
        <v>0</v>
      </c>
      <c r="Q2515" s="6">
        <v>39.4</v>
      </c>
      <c r="R2515">
        <v>0</v>
      </c>
      <c r="S2515" s="6">
        <v>0</v>
      </c>
      <c r="T2515">
        <v>0</v>
      </c>
      <c r="U2515" s="6">
        <v>3814</v>
      </c>
      <c r="V2515">
        <v>0</v>
      </c>
      <c r="W2515">
        <v>0</v>
      </c>
      <c r="X2515">
        <v>0</v>
      </c>
      <c r="Y2515" s="6">
        <v>51.6</v>
      </c>
      <c r="Z2515">
        <v>0.36099999999999999</v>
      </c>
      <c r="AA2515">
        <v>4.2999999999999997E-2</v>
      </c>
      <c r="AB2515">
        <v>5.5E-2</v>
      </c>
      <c r="AC2515">
        <v>6</v>
      </c>
      <c r="AD2515" s="6">
        <v>50</v>
      </c>
      <c r="AE2515" s="6">
        <v>0</v>
      </c>
      <c r="AF2515" s="6">
        <v>0</v>
      </c>
      <c r="AG2515" s="6">
        <v>52.65</v>
      </c>
      <c r="AH2515" s="6">
        <v>68.23</v>
      </c>
      <c r="AI2515" s="6">
        <f t="shared" si="78"/>
        <v>15.580000000000005</v>
      </c>
      <c r="AJ2515" s="5">
        <f t="shared" si="79"/>
        <v>0.2283453026527921</v>
      </c>
    </row>
    <row r="2516" spans="1:36">
      <c r="A2516" t="s">
        <v>478</v>
      </c>
      <c r="B2516" t="s">
        <v>2801</v>
      </c>
      <c r="C2516" t="s">
        <v>116</v>
      </c>
      <c r="D2516" t="s">
        <v>60</v>
      </c>
      <c r="E2516" t="s">
        <v>69</v>
      </c>
      <c r="F2516">
        <v>0</v>
      </c>
      <c r="G2516">
        <v>3954</v>
      </c>
      <c r="H2516">
        <v>1.22</v>
      </c>
      <c r="I2516" t="s">
        <v>181</v>
      </c>
      <c r="J2516">
        <v>3</v>
      </c>
      <c r="K2516" s="6">
        <v>3.91</v>
      </c>
      <c r="L2516" t="s">
        <v>174</v>
      </c>
      <c r="M2516">
        <v>0</v>
      </c>
      <c r="N2516" t="s">
        <v>187</v>
      </c>
      <c r="O2516">
        <v>2</v>
      </c>
      <c r="P2516">
        <v>0</v>
      </c>
      <c r="Q2516" s="6">
        <v>51.4</v>
      </c>
      <c r="R2516">
        <v>1</v>
      </c>
      <c r="S2516" s="6">
        <v>1468</v>
      </c>
      <c r="T2516">
        <v>0</v>
      </c>
      <c r="U2516" s="6">
        <v>943</v>
      </c>
      <c r="V2516">
        <v>0</v>
      </c>
      <c r="W2516">
        <v>0</v>
      </c>
      <c r="X2516">
        <v>0</v>
      </c>
      <c r="Y2516" s="6">
        <v>51.6</v>
      </c>
      <c r="Z2516">
        <v>0.36099999999999999</v>
      </c>
      <c r="AA2516">
        <v>4.2999999999999997E-2</v>
      </c>
      <c r="AB2516">
        <v>5.5E-2</v>
      </c>
      <c r="AC2516">
        <v>6</v>
      </c>
      <c r="AD2516" s="6">
        <v>60</v>
      </c>
      <c r="AE2516" s="6">
        <v>25</v>
      </c>
      <c r="AF2516" s="6">
        <v>0</v>
      </c>
      <c r="AG2516" s="6">
        <v>86.31</v>
      </c>
      <c r="AH2516" s="6">
        <v>108.9</v>
      </c>
      <c r="AI2516" s="6">
        <f t="shared" si="78"/>
        <v>22.590000000000003</v>
      </c>
      <c r="AJ2516" s="5">
        <f t="shared" si="79"/>
        <v>0.20743801652892563</v>
      </c>
    </row>
    <row r="2517" spans="1:36">
      <c r="A2517" t="s">
        <v>375</v>
      </c>
      <c r="B2517" t="s">
        <v>2802</v>
      </c>
      <c r="C2517" t="s">
        <v>116</v>
      </c>
      <c r="D2517" t="s">
        <v>60</v>
      </c>
      <c r="E2517" t="s">
        <v>69</v>
      </c>
      <c r="F2517">
        <v>0</v>
      </c>
      <c r="G2517">
        <v>3954</v>
      </c>
      <c r="H2517">
        <v>1</v>
      </c>
      <c r="I2517" t="s">
        <v>181</v>
      </c>
      <c r="J2517">
        <v>3</v>
      </c>
      <c r="K2517" s="6">
        <v>7.38</v>
      </c>
      <c r="L2517" t="s">
        <v>200</v>
      </c>
      <c r="M2517">
        <v>1</v>
      </c>
      <c r="N2517" t="s">
        <v>187</v>
      </c>
      <c r="O2517">
        <v>2</v>
      </c>
      <c r="P2517">
        <v>0</v>
      </c>
      <c r="Q2517" s="6">
        <v>59.4</v>
      </c>
      <c r="R2517">
        <v>0</v>
      </c>
      <c r="S2517" s="6">
        <v>0</v>
      </c>
      <c r="T2517">
        <v>0</v>
      </c>
      <c r="U2517" s="6">
        <v>1619</v>
      </c>
      <c r="V2517">
        <v>0</v>
      </c>
      <c r="W2517">
        <v>0</v>
      </c>
      <c r="X2517">
        <v>0</v>
      </c>
      <c r="Y2517" s="6">
        <v>51.6</v>
      </c>
      <c r="Z2517">
        <v>0.36099999999999999</v>
      </c>
      <c r="AA2517">
        <v>4.2999999999999997E-2</v>
      </c>
      <c r="AB2517">
        <v>5.5E-2</v>
      </c>
      <c r="AC2517">
        <v>6</v>
      </c>
      <c r="AD2517" s="6">
        <v>139</v>
      </c>
      <c r="AE2517" s="6">
        <v>0</v>
      </c>
      <c r="AF2517" s="6">
        <v>0</v>
      </c>
      <c r="AG2517" s="6">
        <v>113.81</v>
      </c>
      <c r="AH2517" s="6">
        <v>146.03</v>
      </c>
      <c r="AI2517" s="6">
        <f t="shared" si="78"/>
        <v>32.22</v>
      </c>
      <c r="AJ2517" s="5">
        <f t="shared" si="79"/>
        <v>0.22063959460384852</v>
      </c>
    </row>
    <row r="2518" spans="1:36">
      <c r="A2518" t="s">
        <v>190</v>
      </c>
      <c r="B2518" t="s">
        <v>2803</v>
      </c>
      <c r="C2518" t="s">
        <v>116</v>
      </c>
      <c r="D2518" t="s">
        <v>60</v>
      </c>
      <c r="E2518" t="s">
        <v>69</v>
      </c>
      <c r="F2518">
        <v>0</v>
      </c>
      <c r="G2518">
        <v>3954</v>
      </c>
      <c r="H2518">
        <v>1.22</v>
      </c>
      <c r="I2518" t="s">
        <v>181</v>
      </c>
      <c r="J2518">
        <v>3</v>
      </c>
      <c r="K2518" s="6">
        <v>6.57</v>
      </c>
      <c r="L2518" t="s">
        <v>200</v>
      </c>
      <c r="M2518">
        <v>1</v>
      </c>
      <c r="N2518" t="s">
        <v>182</v>
      </c>
      <c r="O2518">
        <v>3</v>
      </c>
      <c r="P2518">
        <v>0</v>
      </c>
      <c r="Q2518" s="6">
        <v>117.3</v>
      </c>
      <c r="R2518">
        <v>0</v>
      </c>
      <c r="S2518" s="6">
        <v>0</v>
      </c>
      <c r="T2518">
        <v>0</v>
      </c>
      <c r="U2518" s="6">
        <v>1913</v>
      </c>
      <c r="V2518">
        <v>0</v>
      </c>
      <c r="W2518">
        <v>0</v>
      </c>
      <c r="X2518">
        <v>0</v>
      </c>
      <c r="Y2518" s="6">
        <v>51.6</v>
      </c>
      <c r="Z2518">
        <v>0.36099999999999999</v>
      </c>
      <c r="AA2518">
        <v>4.2999999999999997E-2</v>
      </c>
      <c r="AB2518">
        <v>5.5E-2</v>
      </c>
      <c r="AC2518">
        <v>6</v>
      </c>
      <c r="AD2518" s="6">
        <v>139</v>
      </c>
      <c r="AE2518" s="6">
        <v>0</v>
      </c>
      <c r="AF2518" s="6">
        <v>0</v>
      </c>
      <c r="AG2518" s="6">
        <v>119.28</v>
      </c>
      <c r="AH2518" s="6">
        <v>152.52000000000001</v>
      </c>
      <c r="AI2518" s="6">
        <f t="shared" si="78"/>
        <v>33.240000000000009</v>
      </c>
      <c r="AJ2518" s="5">
        <f t="shared" si="79"/>
        <v>0.21793863099921326</v>
      </c>
    </row>
    <row r="2519" spans="1:36">
      <c r="A2519" t="s">
        <v>196</v>
      </c>
      <c r="B2519" t="s">
        <v>2804</v>
      </c>
      <c r="C2519" t="s">
        <v>116</v>
      </c>
      <c r="D2519" t="s">
        <v>60</v>
      </c>
      <c r="E2519" t="s">
        <v>69</v>
      </c>
      <c r="F2519">
        <v>0</v>
      </c>
      <c r="G2519">
        <v>3954</v>
      </c>
      <c r="H2519">
        <v>1</v>
      </c>
      <c r="I2519" t="s">
        <v>173</v>
      </c>
      <c r="J2519">
        <v>1</v>
      </c>
      <c r="K2519" s="6">
        <v>1.66</v>
      </c>
      <c r="L2519" t="s">
        <v>174</v>
      </c>
      <c r="M2519">
        <v>0</v>
      </c>
      <c r="N2519" t="s">
        <v>175</v>
      </c>
      <c r="O2519">
        <v>1</v>
      </c>
      <c r="P2519">
        <v>0</v>
      </c>
      <c r="Q2519" s="6">
        <v>41.2</v>
      </c>
      <c r="R2519">
        <v>0</v>
      </c>
      <c r="S2519" s="6">
        <v>0</v>
      </c>
      <c r="T2519">
        <v>0</v>
      </c>
      <c r="U2519" s="6">
        <v>2473</v>
      </c>
      <c r="V2519">
        <v>0</v>
      </c>
      <c r="W2519">
        <v>0</v>
      </c>
      <c r="X2519">
        <v>0</v>
      </c>
      <c r="Y2519" s="6">
        <v>51.6</v>
      </c>
      <c r="Z2519">
        <v>0.36099999999999999</v>
      </c>
      <c r="AA2519">
        <v>4.2999999999999997E-2</v>
      </c>
      <c r="AB2519">
        <v>5.5E-2</v>
      </c>
      <c r="AC2519">
        <v>6</v>
      </c>
      <c r="AD2519" s="6">
        <v>50</v>
      </c>
      <c r="AE2519" s="6">
        <v>0</v>
      </c>
      <c r="AF2519" s="6">
        <v>0</v>
      </c>
      <c r="AG2519" s="6">
        <v>53.05</v>
      </c>
      <c r="AH2519" s="6">
        <v>70.16</v>
      </c>
      <c r="AI2519" s="6">
        <f t="shared" si="78"/>
        <v>17.11</v>
      </c>
      <c r="AJ2519" s="5">
        <f t="shared" si="79"/>
        <v>0.24387115165336373</v>
      </c>
    </row>
    <row r="2520" spans="1:36">
      <c r="A2520" t="s">
        <v>176</v>
      </c>
      <c r="B2520" t="s">
        <v>2805</v>
      </c>
      <c r="C2520" t="s">
        <v>116</v>
      </c>
      <c r="D2520" t="s">
        <v>60</v>
      </c>
      <c r="E2520" t="s">
        <v>69</v>
      </c>
      <c r="F2520">
        <v>0</v>
      </c>
      <c r="G2520">
        <v>3954</v>
      </c>
      <c r="H2520">
        <v>1.22</v>
      </c>
      <c r="I2520" t="s">
        <v>220</v>
      </c>
      <c r="J2520">
        <v>2</v>
      </c>
      <c r="K2520" s="6">
        <v>6.12</v>
      </c>
      <c r="L2520" t="s">
        <v>174</v>
      </c>
      <c r="M2520">
        <v>0</v>
      </c>
      <c r="N2520" t="s">
        <v>175</v>
      </c>
      <c r="O2520">
        <v>1</v>
      </c>
      <c r="P2520">
        <v>0</v>
      </c>
      <c r="Q2520" s="6">
        <v>34.9</v>
      </c>
      <c r="R2520">
        <v>0</v>
      </c>
      <c r="S2520" s="6">
        <v>0</v>
      </c>
      <c r="T2520">
        <v>0</v>
      </c>
      <c r="U2520" s="6">
        <v>1523</v>
      </c>
      <c r="V2520">
        <v>0</v>
      </c>
      <c r="W2520">
        <v>0</v>
      </c>
      <c r="X2520">
        <v>0</v>
      </c>
      <c r="Y2520" s="6">
        <v>51.6</v>
      </c>
      <c r="Z2520">
        <v>0.36099999999999999</v>
      </c>
      <c r="AA2520">
        <v>4.2999999999999997E-2</v>
      </c>
      <c r="AB2520">
        <v>5.5E-2</v>
      </c>
      <c r="AC2520">
        <v>6</v>
      </c>
      <c r="AD2520" s="6">
        <v>50</v>
      </c>
      <c r="AE2520" s="6">
        <v>0</v>
      </c>
      <c r="AF2520" s="6">
        <v>0</v>
      </c>
      <c r="AG2520" s="6">
        <v>60.12</v>
      </c>
      <c r="AH2520" s="6">
        <v>78.59</v>
      </c>
      <c r="AI2520" s="6">
        <f t="shared" si="78"/>
        <v>18.470000000000006</v>
      </c>
      <c r="AJ2520" s="5">
        <f t="shared" si="79"/>
        <v>0.23501717775798453</v>
      </c>
    </row>
    <row r="2521" spans="1:36">
      <c r="A2521" t="s">
        <v>274</v>
      </c>
      <c r="B2521" t="s">
        <v>2806</v>
      </c>
      <c r="C2521" t="s">
        <v>116</v>
      </c>
      <c r="D2521" t="s">
        <v>60</v>
      </c>
      <c r="E2521" t="s">
        <v>69</v>
      </c>
      <c r="F2521">
        <v>0</v>
      </c>
      <c r="G2521">
        <v>3954</v>
      </c>
      <c r="H2521">
        <v>1</v>
      </c>
      <c r="I2521" t="s">
        <v>220</v>
      </c>
      <c r="J2521">
        <v>2</v>
      </c>
      <c r="K2521" s="6">
        <v>2.74</v>
      </c>
      <c r="L2521" t="s">
        <v>200</v>
      </c>
      <c r="M2521">
        <v>1</v>
      </c>
      <c r="N2521" t="s">
        <v>182</v>
      </c>
      <c r="O2521">
        <v>3</v>
      </c>
      <c r="P2521">
        <v>0</v>
      </c>
      <c r="Q2521" s="6">
        <v>109.6</v>
      </c>
      <c r="R2521">
        <v>0</v>
      </c>
      <c r="S2521" s="6">
        <v>0</v>
      </c>
      <c r="T2521">
        <v>0</v>
      </c>
      <c r="U2521" s="6">
        <v>2311</v>
      </c>
      <c r="V2521">
        <v>0</v>
      </c>
      <c r="W2521">
        <v>0</v>
      </c>
      <c r="X2521">
        <v>0</v>
      </c>
      <c r="Y2521" s="6">
        <v>51.6</v>
      </c>
      <c r="Z2521">
        <v>0.36099999999999999</v>
      </c>
      <c r="AA2521">
        <v>4.2999999999999997E-2</v>
      </c>
      <c r="AB2521">
        <v>5.5E-2</v>
      </c>
      <c r="AC2521">
        <v>6</v>
      </c>
      <c r="AD2521" s="6">
        <v>119</v>
      </c>
      <c r="AE2521" s="6">
        <v>0</v>
      </c>
      <c r="AF2521" s="6">
        <v>0</v>
      </c>
      <c r="AG2521" s="6">
        <v>90.66</v>
      </c>
      <c r="AH2521" s="6">
        <v>121.98</v>
      </c>
      <c r="AI2521" s="6">
        <f t="shared" si="78"/>
        <v>31.320000000000007</v>
      </c>
      <c r="AJ2521" s="5">
        <f t="shared" si="79"/>
        <v>0.2567634038366946</v>
      </c>
    </row>
    <row r="2522" spans="1:36">
      <c r="A2522" t="s">
        <v>236</v>
      </c>
      <c r="B2522" t="s">
        <v>2807</v>
      </c>
      <c r="C2522" t="s">
        <v>116</v>
      </c>
      <c r="D2522" t="s">
        <v>60</v>
      </c>
      <c r="E2522" t="s">
        <v>69</v>
      </c>
      <c r="F2522">
        <v>0</v>
      </c>
      <c r="G2522">
        <v>3954</v>
      </c>
      <c r="H2522">
        <v>1</v>
      </c>
      <c r="I2522" t="s">
        <v>181</v>
      </c>
      <c r="J2522">
        <v>3</v>
      </c>
      <c r="K2522" s="6">
        <v>6.64</v>
      </c>
      <c r="L2522" t="s">
        <v>174</v>
      </c>
      <c r="M2522">
        <v>0</v>
      </c>
      <c r="N2522" t="s">
        <v>187</v>
      </c>
      <c r="O2522">
        <v>2</v>
      </c>
      <c r="P2522">
        <v>0</v>
      </c>
      <c r="Q2522" s="6">
        <v>31.4</v>
      </c>
      <c r="R2522">
        <v>0</v>
      </c>
      <c r="S2522" s="6">
        <v>0</v>
      </c>
      <c r="T2522">
        <v>0</v>
      </c>
      <c r="U2522" s="6">
        <v>1142</v>
      </c>
      <c r="V2522">
        <v>0</v>
      </c>
      <c r="W2522">
        <v>0</v>
      </c>
      <c r="X2522">
        <v>0</v>
      </c>
      <c r="Y2522" s="6">
        <v>51.6</v>
      </c>
      <c r="Z2522">
        <v>0.36099999999999999</v>
      </c>
      <c r="AA2522">
        <v>4.2999999999999997E-2</v>
      </c>
      <c r="AB2522">
        <v>5.5E-2</v>
      </c>
      <c r="AC2522">
        <v>6</v>
      </c>
      <c r="AD2522" s="6">
        <v>60</v>
      </c>
      <c r="AE2522" s="6">
        <v>0</v>
      </c>
      <c r="AF2522" s="6">
        <v>0</v>
      </c>
      <c r="AG2522" s="6">
        <v>68.56</v>
      </c>
      <c r="AH2522" s="6">
        <v>90</v>
      </c>
      <c r="AI2522" s="6">
        <f t="shared" si="78"/>
        <v>21.439999999999998</v>
      </c>
      <c r="AJ2522" s="5">
        <f t="shared" si="79"/>
        <v>0.2382222222222222</v>
      </c>
    </row>
    <row r="2523" spans="1:36">
      <c r="A2523" t="s">
        <v>478</v>
      </c>
      <c r="B2523" t="s">
        <v>2808</v>
      </c>
      <c r="C2523" t="s">
        <v>116</v>
      </c>
      <c r="D2523" t="s">
        <v>60</v>
      </c>
      <c r="E2523" t="s">
        <v>69</v>
      </c>
      <c r="F2523">
        <v>0</v>
      </c>
      <c r="G2523">
        <v>3954</v>
      </c>
      <c r="H2523">
        <v>1.22</v>
      </c>
      <c r="I2523" t="s">
        <v>173</v>
      </c>
      <c r="J2523">
        <v>1</v>
      </c>
      <c r="K2523" s="6">
        <v>1.67</v>
      </c>
      <c r="L2523" t="s">
        <v>174</v>
      </c>
      <c r="M2523">
        <v>0</v>
      </c>
      <c r="N2523" t="s">
        <v>175</v>
      </c>
      <c r="O2523">
        <v>1</v>
      </c>
      <c r="P2523">
        <v>0</v>
      </c>
      <c r="Q2523" s="6">
        <v>30.8</v>
      </c>
      <c r="R2523">
        <v>0</v>
      </c>
      <c r="S2523" s="6">
        <v>0</v>
      </c>
      <c r="T2523">
        <v>0</v>
      </c>
      <c r="U2523" s="6">
        <v>1467</v>
      </c>
      <c r="V2523">
        <v>0</v>
      </c>
      <c r="W2523">
        <v>0</v>
      </c>
      <c r="X2523">
        <v>0</v>
      </c>
      <c r="Y2523" s="6">
        <v>51.6</v>
      </c>
      <c r="Z2523">
        <v>0.36099999999999999</v>
      </c>
      <c r="AA2523">
        <v>4.2999999999999997E-2</v>
      </c>
      <c r="AB2523">
        <v>5.5E-2</v>
      </c>
      <c r="AC2523">
        <v>6</v>
      </c>
      <c r="AD2523" s="6">
        <v>50</v>
      </c>
      <c r="AE2523" s="6">
        <v>0</v>
      </c>
      <c r="AF2523" s="6">
        <v>0</v>
      </c>
      <c r="AG2523" s="6">
        <v>62.68</v>
      </c>
      <c r="AH2523" s="6">
        <v>81.319999999999993</v>
      </c>
      <c r="AI2523" s="6">
        <f t="shared" si="78"/>
        <v>18.639999999999993</v>
      </c>
      <c r="AJ2523" s="5">
        <f t="shared" si="79"/>
        <v>0.22921790457452035</v>
      </c>
    </row>
    <row r="2524" spans="1:36">
      <c r="A2524" t="s">
        <v>323</v>
      </c>
      <c r="B2524" t="s">
        <v>2809</v>
      </c>
      <c r="C2524" t="s">
        <v>116</v>
      </c>
      <c r="D2524" t="s">
        <v>60</v>
      </c>
      <c r="E2524" t="s">
        <v>69</v>
      </c>
      <c r="F2524">
        <v>0</v>
      </c>
      <c r="G2524">
        <v>3954</v>
      </c>
      <c r="H2524">
        <v>1.22</v>
      </c>
      <c r="I2524" t="s">
        <v>220</v>
      </c>
      <c r="J2524">
        <v>2</v>
      </c>
      <c r="K2524" s="6">
        <v>3.89</v>
      </c>
      <c r="L2524" t="s">
        <v>174</v>
      </c>
      <c r="M2524">
        <v>0</v>
      </c>
      <c r="N2524" t="s">
        <v>182</v>
      </c>
      <c r="O2524">
        <v>3</v>
      </c>
      <c r="P2524">
        <v>0</v>
      </c>
      <c r="Q2524" s="6">
        <v>95.3</v>
      </c>
      <c r="R2524">
        <v>0</v>
      </c>
      <c r="S2524" s="6">
        <v>0</v>
      </c>
      <c r="T2524">
        <v>0</v>
      </c>
      <c r="U2524" s="6">
        <v>877</v>
      </c>
      <c r="V2524">
        <v>0</v>
      </c>
      <c r="W2524">
        <v>0</v>
      </c>
      <c r="X2524">
        <v>0</v>
      </c>
      <c r="Y2524" s="6">
        <v>51.6</v>
      </c>
      <c r="Z2524">
        <v>0.36099999999999999</v>
      </c>
      <c r="AA2524">
        <v>4.2999999999999997E-2</v>
      </c>
      <c r="AB2524">
        <v>5.5E-2</v>
      </c>
      <c r="AC2524">
        <v>6</v>
      </c>
      <c r="AD2524" s="6">
        <v>50</v>
      </c>
      <c r="AE2524" s="6">
        <v>0</v>
      </c>
      <c r="AF2524" s="6">
        <v>0</v>
      </c>
      <c r="AG2524" s="6">
        <v>79.349999999999994</v>
      </c>
      <c r="AH2524" s="6">
        <v>100.34</v>
      </c>
      <c r="AI2524" s="6">
        <f t="shared" si="78"/>
        <v>20.990000000000009</v>
      </c>
      <c r="AJ2524" s="5">
        <f t="shared" si="79"/>
        <v>0.20918875822204513</v>
      </c>
    </row>
    <row r="2525" spans="1:36">
      <c r="A2525" t="s">
        <v>243</v>
      </c>
      <c r="B2525" t="s">
        <v>2810</v>
      </c>
      <c r="C2525" t="s">
        <v>116</v>
      </c>
      <c r="D2525" t="s">
        <v>60</v>
      </c>
      <c r="E2525" t="s">
        <v>69</v>
      </c>
      <c r="F2525">
        <v>0</v>
      </c>
      <c r="G2525">
        <v>3954</v>
      </c>
      <c r="H2525">
        <v>1.22</v>
      </c>
      <c r="I2525" t="s">
        <v>173</v>
      </c>
      <c r="J2525">
        <v>1</v>
      </c>
      <c r="K2525" s="6">
        <v>1.22</v>
      </c>
      <c r="L2525" t="s">
        <v>174</v>
      </c>
      <c r="M2525">
        <v>0</v>
      </c>
      <c r="N2525" t="s">
        <v>182</v>
      </c>
      <c r="O2525">
        <v>3</v>
      </c>
      <c r="P2525">
        <v>0</v>
      </c>
      <c r="Q2525" s="6">
        <v>143.4</v>
      </c>
      <c r="R2525">
        <v>1</v>
      </c>
      <c r="S2525" s="6">
        <v>2158</v>
      </c>
      <c r="T2525">
        <v>0</v>
      </c>
      <c r="U2525" s="6">
        <v>3754</v>
      </c>
      <c r="V2525">
        <v>0</v>
      </c>
      <c r="W2525">
        <v>0</v>
      </c>
      <c r="X2525">
        <v>0</v>
      </c>
      <c r="Y2525" s="6">
        <v>51.6</v>
      </c>
      <c r="Z2525">
        <v>0.36099999999999999</v>
      </c>
      <c r="AA2525">
        <v>4.2999999999999997E-2</v>
      </c>
      <c r="AB2525">
        <v>5.5E-2</v>
      </c>
      <c r="AC2525">
        <v>6</v>
      </c>
      <c r="AD2525" s="6">
        <v>50</v>
      </c>
      <c r="AE2525" s="6">
        <v>40</v>
      </c>
      <c r="AF2525" s="6">
        <v>0</v>
      </c>
      <c r="AG2525" s="6">
        <v>75.489999999999995</v>
      </c>
      <c r="AH2525" s="6">
        <v>97.8</v>
      </c>
      <c r="AI2525" s="6">
        <f t="shared" si="78"/>
        <v>22.310000000000002</v>
      </c>
      <c r="AJ2525" s="5">
        <f t="shared" si="79"/>
        <v>0.228118609406953</v>
      </c>
    </row>
    <row r="2526" spans="1:36">
      <c r="A2526" t="s">
        <v>221</v>
      </c>
      <c r="B2526" t="s">
        <v>2811</v>
      </c>
      <c r="C2526" t="s">
        <v>116</v>
      </c>
      <c r="D2526" t="s">
        <v>60</v>
      </c>
      <c r="E2526" t="s">
        <v>69</v>
      </c>
      <c r="F2526">
        <v>0</v>
      </c>
      <c r="G2526">
        <v>3954</v>
      </c>
      <c r="H2526">
        <v>1</v>
      </c>
      <c r="I2526" t="s">
        <v>181</v>
      </c>
      <c r="J2526">
        <v>3</v>
      </c>
      <c r="K2526" s="6">
        <v>7.14</v>
      </c>
      <c r="L2526" t="s">
        <v>200</v>
      </c>
      <c r="M2526">
        <v>1</v>
      </c>
      <c r="N2526" t="s">
        <v>182</v>
      </c>
      <c r="O2526">
        <v>3</v>
      </c>
      <c r="P2526">
        <v>1</v>
      </c>
      <c r="Q2526" s="6">
        <v>94.7</v>
      </c>
      <c r="R2526">
        <v>0</v>
      </c>
      <c r="S2526" s="6">
        <v>0</v>
      </c>
      <c r="T2526">
        <v>0</v>
      </c>
      <c r="U2526" s="6">
        <v>717</v>
      </c>
      <c r="V2526">
        <v>0</v>
      </c>
      <c r="W2526">
        <v>0</v>
      </c>
      <c r="X2526">
        <v>0</v>
      </c>
      <c r="Y2526" s="6">
        <v>51.6</v>
      </c>
      <c r="Z2526">
        <v>0.36099999999999999</v>
      </c>
      <c r="AA2526">
        <v>4.2999999999999997E-2</v>
      </c>
      <c r="AB2526">
        <v>5.5E-2</v>
      </c>
      <c r="AC2526">
        <v>6</v>
      </c>
      <c r="AD2526" s="6">
        <v>139</v>
      </c>
      <c r="AE2526" s="6">
        <v>0</v>
      </c>
      <c r="AF2526" s="6">
        <v>0</v>
      </c>
      <c r="AG2526" s="6">
        <v>153.94</v>
      </c>
      <c r="AH2526" s="6">
        <v>194.38</v>
      </c>
      <c r="AI2526" s="6">
        <f t="shared" si="78"/>
        <v>40.44</v>
      </c>
      <c r="AJ2526" s="5">
        <f t="shared" si="79"/>
        <v>0.2080460952772919</v>
      </c>
    </row>
    <row r="2527" spans="1:36">
      <c r="A2527" t="s">
        <v>338</v>
      </c>
      <c r="B2527" t="s">
        <v>2812</v>
      </c>
      <c r="C2527" t="s">
        <v>116</v>
      </c>
      <c r="D2527" t="s">
        <v>60</v>
      </c>
      <c r="E2527" t="s">
        <v>69</v>
      </c>
      <c r="F2527">
        <v>0</v>
      </c>
      <c r="G2527">
        <v>3954</v>
      </c>
      <c r="H2527">
        <v>1.22</v>
      </c>
      <c r="I2527" t="s">
        <v>181</v>
      </c>
      <c r="J2527">
        <v>3</v>
      </c>
      <c r="K2527" s="6">
        <v>7.21</v>
      </c>
      <c r="L2527" t="s">
        <v>174</v>
      </c>
      <c r="M2527">
        <v>0</v>
      </c>
      <c r="N2527" t="s">
        <v>187</v>
      </c>
      <c r="O2527">
        <v>2</v>
      </c>
      <c r="P2527">
        <v>0</v>
      </c>
      <c r="Q2527" s="6">
        <v>55.3</v>
      </c>
      <c r="R2527">
        <v>1</v>
      </c>
      <c r="S2527" s="6">
        <v>5741</v>
      </c>
      <c r="T2527">
        <v>0</v>
      </c>
      <c r="U2527" s="6">
        <v>572</v>
      </c>
      <c r="V2527">
        <v>0</v>
      </c>
      <c r="W2527">
        <v>0</v>
      </c>
      <c r="X2527">
        <v>0</v>
      </c>
      <c r="Y2527" s="6">
        <v>51.6</v>
      </c>
      <c r="Z2527">
        <v>0.36099999999999999</v>
      </c>
      <c r="AA2527">
        <v>4.2999999999999997E-2</v>
      </c>
      <c r="AB2527">
        <v>5.5E-2</v>
      </c>
      <c r="AC2527">
        <v>6</v>
      </c>
      <c r="AD2527" s="6">
        <v>60</v>
      </c>
      <c r="AE2527" s="6">
        <v>50</v>
      </c>
      <c r="AF2527" s="6">
        <v>0</v>
      </c>
      <c r="AG2527" s="6">
        <v>87.98</v>
      </c>
      <c r="AH2527" s="6">
        <v>110.61</v>
      </c>
      <c r="AI2527" s="6">
        <f t="shared" si="78"/>
        <v>22.629999999999995</v>
      </c>
      <c r="AJ2527" s="5">
        <f t="shared" si="79"/>
        <v>0.20459271313624441</v>
      </c>
    </row>
    <row r="2528" spans="1:36">
      <c r="A2528" t="s">
        <v>313</v>
      </c>
      <c r="B2528" t="s">
        <v>2813</v>
      </c>
      <c r="C2528" t="s">
        <v>116</v>
      </c>
      <c r="D2528" t="s">
        <v>60</v>
      </c>
      <c r="E2528" t="s">
        <v>69</v>
      </c>
      <c r="F2528">
        <v>0</v>
      </c>
      <c r="G2528">
        <v>3954</v>
      </c>
      <c r="H2528">
        <v>1.22</v>
      </c>
      <c r="I2528" t="s">
        <v>220</v>
      </c>
      <c r="J2528">
        <v>2</v>
      </c>
      <c r="K2528" s="6">
        <v>4.5199999999999996</v>
      </c>
      <c r="L2528" t="s">
        <v>174</v>
      </c>
      <c r="M2528">
        <v>0</v>
      </c>
      <c r="N2528" t="s">
        <v>187</v>
      </c>
      <c r="O2528">
        <v>2</v>
      </c>
      <c r="P2528">
        <v>0</v>
      </c>
      <c r="Q2528" s="6">
        <v>46.4</v>
      </c>
      <c r="R2528">
        <v>0</v>
      </c>
      <c r="S2528" s="6">
        <v>0</v>
      </c>
      <c r="T2528">
        <v>0</v>
      </c>
      <c r="U2528" s="6">
        <v>1772</v>
      </c>
      <c r="V2528">
        <v>0</v>
      </c>
      <c r="W2528">
        <v>0</v>
      </c>
      <c r="X2528">
        <v>0</v>
      </c>
      <c r="Y2528" s="6">
        <v>51.6</v>
      </c>
      <c r="Z2528">
        <v>0.36099999999999999</v>
      </c>
      <c r="AA2528">
        <v>4.2999999999999997E-2</v>
      </c>
      <c r="AB2528">
        <v>5.5E-2</v>
      </c>
      <c r="AC2528">
        <v>6</v>
      </c>
      <c r="AD2528" s="6">
        <v>50</v>
      </c>
      <c r="AE2528" s="6">
        <v>0</v>
      </c>
      <c r="AF2528" s="6">
        <v>0</v>
      </c>
      <c r="AG2528" s="6">
        <v>64.83</v>
      </c>
      <c r="AH2528" s="6">
        <v>82.11</v>
      </c>
      <c r="AI2528" s="6">
        <f t="shared" si="78"/>
        <v>17.28</v>
      </c>
      <c r="AJ2528" s="5">
        <f t="shared" si="79"/>
        <v>0.21044939715016442</v>
      </c>
    </row>
    <row r="2529" spans="1:36">
      <c r="A2529" t="s">
        <v>365</v>
      </c>
      <c r="B2529" t="s">
        <v>2814</v>
      </c>
      <c r="C2529" t="s">
        <v>116</v>
      </c>
      <c r="D2529" t="s">
        <v>60</v>
      </c>
      <c r="E2529" t="s">
        <v>69</v>
      </c>
      <c r="F2529">
        <v>0</v>
      </c>
      <c r="G2529">
        <v>3954</v>
      </c>
      <c r="H2529">
        <v>1.22</v>
      </c>
      <c r="I2529" t="s">
        <v>173</v>
      </c>
      <c r="J2529">
        <v>1</v>
      </c>
      <c r="K2529" s="6">
        <v>0.48</v>
      </c>
      <c r="L2529" t="s">
        <v>200</v>
      </c>
      <c r="M2529">
        <v>1</v>
      </c>
      <c r="N2529" t="s">
        <v>175</v>
      </c>
      <c r="O2529">
        <v>1</v>
      </c>
      <c r="P2529">
        <v>0</v>
      </c>
      <c r="Q2529" s="6">
        <v>31.3</v>
      </c>
      <c r="R2529">
        <v>1</v>
      </c>
      <c r="S2529" s="6">
        <v>1118</v>
      </c>
      <c r="T2529">
        <v>0</v>
      </c>
      <c r="U2529" s="6">
        <v>724</v>
      </c>
      <c r="V2529">
        <v>0</v>
      </c>
      <c r="W2529">
        <v>0</v>
      </c>
      <c r="X2529">
        <v>0</v>
      </c>
      <c r="Y2529" s="6">
        <v>51.6</v>
      </c>
      <c r="Z2529">
        <v>0.36099999999999999</v>
      </c>
      <c r="AA2529">
        <v>4.2999999999999997E-2</v>
      </c>
      <c r="AB2529">
        <v>5.5E-2</v>
      </c>
      <c r="AC2529">
        <v>6</v>
      </c>
      <c r="AD2529" s="6">
        <v>99</v>
      </c>
      <c r="AE2529" s="6">
        <v>25</v>
      </c>
      <c r="AF2529" s="6">
        <v>0</v>
      </c>
      <c r="AG2529" s="6">
        <v>90.57</v>
      </c>
      <c r="AH2529" s="6">
        <v>113.73</v>
      </c>
      <c r="AI2529" s="6">
        <f t="shared" si="78"/>
        <v>23.160000000000011</v>
      </c>
      <c r="AJ2529" s="5">
        <f t="shared" si="79"/>
        <v>0.20364020047480885</v>
      </c>
    </row>
    <row r="2530" spans="1:36">
      <c r="A2530" t="s">
        <v>521</v>
      </c>
      <c r="B2530" t="s">
        <v>2815</v>
      </c>
      <c r="C2530" t="s">
        <v>116</v>
      </c>
      <c r="D2530" t="s">
        <v>60</v>
      </c>
      <c r="E2530" t="s">
        <v>69</v>
      </c>
      <c r="F2530">
        <v>0</v>
      </c>
      <c r="G2530">
        <v>3954</v>
      </c>
      <c r="H2530">
        <v>1</v>
      </c>
      <c r="I2530" t="s">
        <v>220</v>
      </c>
      <c r="J2530">
        <v>2</v>
      </c>
      <c r="K2530" s="6">
        <v>3.84</v>
      </c>
      <c r="L2530" t="s">
        <v>174</v>
      </c>
      <c r="M2530">
        <v>0</v>
      </c>
      <c r="N2530" t="s">
        <v>217</v>
      </c>
      <c r="O2530">
        <v>4</v>
      </c>
      <c r="P2530">
        <v>1</v>
      </c>
      <c r="Q2530" s="6">
        <v>122.9</v>
      </c>
      <c r="R2530">
        <v>0</v>
      </c>
      <c r="S2530" s="6">
        <v>0</v>
      </c>
      <c r="T2530">
        <v>0</v>
      </c>
      <c r="U2530" s="6">
        <v>633</v>
      </c>
      <c r="V2530">
        <v>0</v>
      </c>
      <c r="W2530">
        <v>0</v>
      </c>
      <c r="X2530">
        <v>0</v>
      </c>
      <c r="Y2530" s="6">
        <v>51.6</v>
      </c>
      <c r="Z2530">
        <v>0.36099999999999999</v>
      </c>
      <c r="AA2530">
        <v>4.2999999999999997E-2</v>
      </c>
      <c r="AB2530">
        <v>5.5E-2</v>
      </c>
      <c r="AC2530">
        <v>6</v>
      </c>
      <c r="AD2530" s="6">
        <v>50</v>
      </c>
      <c r="AE2530" s="6">
        <v>0</v>
      </c>
      <c r="AF2530" s="6">
        <v>0</v>
      </c>
      <c r="AG2530" s="6">
        <v>107.47</v>
      </c>
      <c r="AH2530" s="6">
        <v>138.29</v>
      </c>
      <c r="AI2530" s="6">
        <f t="shared" si="78"/>
        <v>30.819999999999993</v>
      </c>
      <c r="AJ2530" s="5">
        <f t="shared" si="79"/>
        <v>0.22286499385349623</v>
      </c>
    </row>
    <row r="2531" spans="1:36">
      <c r="A2531" t="s">
        <v>284</v>
      </c>
      <c r="B2531" t="s">
        <v>2816</v>
      </c>
      <c r="C2531" t="s">
        <v>116</v>
      </c>
      <c r="D2531" t="s">
        <v>60</v>
      </c>
      <c r="E2531" t="s">
        <v>69</v>
      </c>
      <c r="F2531">
        <v>0</v>
      </c>
      <c r="G2531">
        <v>3954</v>
      </c>
      <c r="H2531">
        <v>1.22</v>
      </c>
      <c r="I2531" t="s">
        <v>181</v>
      </c>
      <c r="J2531">
        <v>3</v>
      </c>
      <c r="K2531" s="6">
        <v>6.28</v>
      </c>
      <c r="L2531" t="s">
        <v>200</v>
      </c>
      <c r="M2531">
        <v>1</v>
      </c>
      <c r="N2531" t="s">
        <v>175</v>
      </c>
      <c r="O2531">
        <v>1</v>
      </c>
      <c r="P2531">
        <v>0</v>
      </c>
      <c r="Q2531" s="6">
        <v>40.5</v>
      </c>
      <c r="R2531">
        <v>1</v>
      </c>
      <c r="S2531" s="6">
        <v>2145</v>
      </c>
      <c r="T2531">
        <v>0</v>
      </c>
      <c r="U2531" s="6">
        <v>1594</v>
      </c>
      <c r="V2531">
        <v>1</v>
      </c>
      <c r="W2531">
        <v>0</v>
      </c>
      <c r="X2531">
        <v>0</v>
      </c>
      <c r="Y2531" s="6">
        <v>51.6</v>
      </c>
      <c r="Z2531">
        <v>0.36099999999999999</v>
      </c>
      <c r="AA2531">
        <v>4.2999999999999997E-2</v>
      </c>
      <c r="AB2531">
        <v>5.5E-2</v>
      </c>
      <c r="AC2531">
        <v>6</v>
      </c>
      <c r="AD2531" s="6">
        <v>139</v>
      </c>
      <c r="AE2531" s="6">
        <v>40</v>
      </c>
      <c r="AF2531" s="6">
        <v>0</v>
      </c>
      <c r="AG2531" s="6">
        <v>155.96</v>
      </c>
      <c r="AH2531" s="6">
        <v>195.84</v>
      </c>
      <c r="AI2531" s="6">
        <f t="shared" si="78"/>
        <v>39.879999999999995</v>
      </c>
      <c r="AJ2531" s="5">
        <f t="shared" si="79"/>
        <v>0.20363562091503265</v>
      </c>
    </row>
    <row r="2532" spans="1:36">
      <c r="A2532" t="s">
        <v>562</v>
      </c>
      <c r="B2532" t="s">
        <v>2817</v>
      </c>
      <c r="C2532" t="s">
        <v>116</v>
      </c>
      <c r="D2532" t="s">
        <v>60</v>
      </c>
      <c r="E2532" t="s">
        <v>69</v>
      </c>
      <c r="F2532">
        <v>0</v>
      </c>
      <c r="G2532">
        <v>3954</v>
      </c>
      <c r="H2532">
        <v>1.22</v>
      </c>
      <c r="I2532" t="s">
        <v>173</v>
      </c>
      <c r="J2532">
        <v>1</v>
      </c>
      <c r="K2532" s="6">
        <v>2.38</v>
      </c>
      <c r="L2532" t="s">
        <v>174</v>
      </c>
      <c r="M2532">
        <v>0</v>
      </c>
      <c r="N2532" t="s">
        <v>187</v>
      </c>
      <c r="O2532">
        <v>2</v>
      </c>
      <c r="P2532">
        <v>0</v>
      </c>
      <c r="Q2532" s="6">
        <v>55</v>
      </c>
      <c r="R2532">
        <v>0</v>
      </c>
      <c r="S2532" s="6">
        <v>0</v>
      </c>
      <c r="T2532">
        <v>0</v>
      </c>
      <c r="U2532" s="6">
        <v>2820</v>
      </c>
      <c r="V2532">
        <v>0</v>
      </c>
      <c r="W2532">
        <v>0</v>
      </c>
      <c r="X2532">
        <v>0</v>
      </c>
      <c r="Y2532" s="6">
        <v>51.6</v>
      </c>
      <c r="Z2532">
        <v>0.36099999999999999</v>
      </c>
      <c r="AA2532">
        <v>4.2999999999999997E-2</v>
      </c>
      <c r="AB2532">
        <v>5.5E-2</v>
      </c>
      <c r="AC2532">
        <v>6</v>
      </c>
      <c r="AD2532" s="6">
        <v>50</v>
      </c>
      <c r="AE2532" s="6">
        <v>0</v>
      </c>
      <c r="AF2532" s="6">
        <v>0</v>
      </c>
      <c r="AG2532" s="6">
        <v>55.08</v>
      </c>
      <c r="AH2532" s="6">
        <v>71.099999999999994</v>
      </c>
      <c r="AI2532" s="6">
        <f t="shared" si="78"/>
        <v>16.019999999999996</v>
      </c>
      <c r="AJ2532" s="5">
        <f t="shared" si="79"/>
        <v>0.22531645569620248</v>
      </c>
    </row>
    <row r="2533" spans="1:36">
      <c r="A2533" t="s">
        <v>457</v>
      </c>
      <c r="B2533" t="s">
        <v>2818</v>
      </c>
      <c r="C2533" t="s">
        <v>116</v>
      </c>
      <c r="D2533" t="s">
        <v>60</v>
      </c>
      <c r="E2533" t="s">
        <v>69</v>
      </c>
      <c r="F2533">
        <v>0</v>
      </c>
      <c r="G2533">
        <v>3954</v>
      </c>
      <c r="H2533">
        <v>1</v>
      </c>
      <c r="I2533" t="s">
        <v>173</v>
      </c>
      <c r="J2533">
        <v>1</v>
      </c>
      <c r="K2533" s="6">
        <v>1.69</v>
      </c>
      <c r="L2533" t="s">
        <v>174</v>
      </c>
      <c r="M2533">
        <v>0</v>
      </c>
      <c r="N2533" t="s">
        <v>175</v>
      </c>
      <c r="O2533">
        <v>1</v>
      </c>
      <c r="P2533">
        <v>0</v>
      </c>
      <c r="Q2533" s="6">
        <v>19.5</v>
      </c>
      <c r="R2533">
        <v>0</v>
      </c>
      <c r="S2533" s="6">
        <v>0</v>
      </c>
      <c r="T2533">
        <v>0</v>
      </c>
      <c r="U2533" s="6">
        <v>1597</v>
      </c>
      <c r="V2533">
        <v>0</v>
      </c>
      <c r="W2533">
        <v>0</v>
      </c>
      <c r="X2533">
        <v>0</v>
      </c>
      <c r="Y2533" s="6">
        <v>51.6</v>
      </c>
      <c r="Z2533">
        <v>0.36099999999999999</v>
      </c>
      <c r="AA2533">
        <v>4.2999999999999997E-2</v>
      </c>
      <c r="AB2533">
        <v>5.5E-2</v>
      </c>
      <c r="AC2533">
        <v>6</v>
      </c>
      <c r="AD2533" s="6">
        <v>50</v>
      </c>
      <c r="AE2533" s="6">
        <v>0</v>
      </c>
      <c r="AF2533" s="6">
        <v>0</v>
      </c>
      <c r="AG2533" s="6">
        <v>48.2</v>
      </c>
      <c r="AH2533" s="6">
        <v>62.77</v>
      </c>
      <c r="AI2533" s="6">
        <f t="shared" si="78"/>
        <v>14.57</v>
      </c>
      <c r="AJ2533" s="5">
        <f t="shared" si="79"/>
        <v>0.23211725346503106</v>
      </c>
    </row>
    <row r="2534" spans="1:36">
      <c r="A2534" t="s">
        <v>212</v>
      </c>
      <c r="B2534" t="s">
        <v>2819</v>
      </c>
      <c r="C2534" t="s">
        <v>116</v>
      </c>
      <c r="D2534" t="s">
        <v>60</v>
      </c>
      <c r="E2534" t="s">
        <v>69</v>
      </c>
      <c r="F2534">
        <v>0</v>
      </c>
      <c r="G2534">
        <v>3954</v>
      </c>
      <c r="H2534">
        <v>1.22</v>
      </c>
      <c r="I2534" t="s">
        <v>220</v>
      </c>
      <c r="J2534">
        <v>2</v>
      </c>
      <c r="K2534" s="6">
        <v>3.49</v>
      </c>
      <c r="L2534" t="s">
        <v>174</v>
      </c>
      <c r="M2534">
        <v>0</v>
      </c>
      <c r="N2534" t="s">
        <v>175</v>
      </c>
      <c r="O2534">
        <v>1</v>
      </c>
      <c r="P2534">
        <v>0</v>
      </c>
      <c r="Q2534" s="6">
        <v>44.1</v>
      </c>
      <c r="R2534">
        <v>0</v>
      </c>
      <c r="S2534" s="6">
        <v>0</v>
      </c>
      <c r="T2534">
        <v>0</v>
      </c>
      <c r="U2534" s="6">
        <v>1430</v>
      </c>
      <c r="V2534">
        <v>0</v>
      </c>
      <c r="W2534">
        <v>0</v>
      </c>
      <c r="X2534">
        <v>0</v>
      </c>
      <c r="Y2534" s="6">
        <v>51.6</v>
      </c>
      <c r="Z2534">
        <v>0.36099999999999999</v>
      </c>
      <c r="AA2534">
        <v>4.2999999999999997E-2</v>
      </c>
      <c r="AB2534">
        <v>5.5E-2</v>
      </c>
      <c r="AC2534">
        <v>6</v>
      </c>
      <c r="AD2534" s="6">
        <v>50</v>
      </c>
      <c r="AE2534" s="6">
        <v>0</v>
      </c>
      <c r="AF2534" s="6">
        <v>0</v>
      </c>
      <c r="AG2534" s="6">
        <v>63.52</v>
      </c>
      <c r="AH2534" s="6">
        <v>80.58</v>
      </c>
      <c r="AI2534" s="6">
        <f t="shared" si="78"/>
        <v>17.059999999999995</v>
      </c>
      <c r="AJ2534" s="5">
        <f t="shared" si="79"/>
        <v>0.21171506577314464</v>
      </c>
    </row>
    <row r="2535" spans="1:36">
      <c r="A2535" t="s">
        <v>494</v>
      </c>
      <c r="B2535" t="s">
        <v>2820</v>
      </c>
      <c r="C2535" t="s">
        <v>116</v>
      </c>
      <c r="D2535" t="s">
        <v>60</v>
      </c>
      <c r="E2535" t="s">
        <v>69</v>
      </c>
      <c r="F2535">
        <v>0</v>
      </c>
      <c r="G2535">
        <v>3954</v>
      </c>
      <c r="H2535">
        <v>1</v>
      </c>
      <c r="I2535" t="s">
        <v>173</v>
      </c>
      <c r="J2535">
        <v>1</v>
      </c>
      <c r="K2535" s="6">
        <v>1.99</v>
      </c>
      <c r="L2535" t="s">
        <v>174</v>
      </c>
      <c r="M2535">
        <v>0</v>
      </c>
      <c r="N2535" t="s">
        <v>187</v>
      </c>
      <c r="O2535">
        <v>2</v>
      </c>
      <c r="P2535">
        <v>0</v>
      </c>
      <c r="Q2535" s="6">
        <v>37.299999999999997</v>
      </c>
      <c r="R2535">
        <v>0</v>
      </c>
      <c r="S2535" s="6">
        <v>0</v>
      </c>
      <c r="T2535">
        <v>0</v>
      </c>
      <c r="U2535" s="6">
        <v>1809</v>
      </c>
      <c r="V2535">
        <v>0</v>
      </c>
      <c r="W2535">
        <v>0</v>
      </c>
      <c r="X2535">
        <v>0</v>
      </c>
      <c r="Y2535" s="6">
        <v>51.6</v>
      </c>
      <c r="Z2535">
        <v>0.36099999999999999</v>
      </c>
      <c r="AA2535">
        <v>4.2999999999999997E-2</v>
      </c>
      <c r="AB2535">
        <v>5.5E-2</v>
      </c>
      <c r="AC2535">
        <v>6</v>
      </c>
      <c r="AD2535" s="6">
        <v>50</v>
      </c>
      <c r="AE2535" s="6">
        <v>0</v>
      </c>
      <c r="AF2535" s="6">
        <v>0</v>
      </c>
      <c r="AG2535" s="6">
        <v>59.29</v>
      </c>
      <c r="AH2535" s="6">
        <v>78.09</v>
      </c>
      <c r="AI2535" s="6">
        <f t="shared" si="78"/>
        <v>18.800000000000004</v>
      </c>
      <c r="AJ2535" s="5">
        <f t="shared" si="79"/>
        <v>0.24074785503905755</v>
      </c>
    </row>
    <row r="2536" spans="1:36">
      <c r="A2536" t="s">
        <v>355</v>
      </c>
      <c r="B2536" t="s">
        <v>2821</v>
      </c>
      <c r="C2536" t="s">
        <v>116</v>
      </c>
      <c r="D2536" t="s">
        <v>60</v>
      </c>
      <c r="E2536" t="s">
        <v>69</v>
      </c>
      <c r="F2536">
        <v>0</v>
      </c>
      <c r="G2536">
        <v>3954</v>
      </c>
      <c r="H2536">
        <v>1.22</v>
      </c>
      <c r="I2536" t="s">
        <v>220</v>
      </c>
      <c r="J2536">
        <v>2</v>
      </c>
      <c r="K2536" s="6">
        <v>3.39</v>
      </c>
      <c r="L2536" t="s">
        <v>174</v>
      </c>
      <c r="M2536">
        <v>0</v>
      </c>
      <c r="N2536" t="s">
        <v>175</v>
      </c>
      <c r="O2536">
        <v>1</v>
      </c>
      <c r="P2536">
        <v>0</v>
      </c>
      <c r="Q2536" s="6">
        <v>57.3</v>
      </c>
      <c r="R2536">
        <v>0</v>
      </c>
      <c r="S2536" s="6">
        <v>0</v>
      </c>
      <c r="T2536">
        <v>0</v>
      </c>
      <c r="U2536" s="6">
        <v>1379</v>
      </c>
      <c r="V2536">
        <v>0</v>
      </c>
      <c r="W2536">
        <v>0</v>
      </c>
      <c r="X2536">
        <v>0</v>
      </c>
      <c r="Y2536" s="6">
        <v>51.6</v>
      </c>
      <c r="Z2536">
        <v>0.36099999999999999</v>
      </c>
      <c r="AA2536">
        <v>4.2999999999999997E-2</v>
      </c>
      <c r="AB2536">
        <v>5.5E-2</v>
      </c>
      <c r="AC2536">
        <v>6</v>
      </c>
      <c r="AD2536" s="6">
        <v>50</v>
      </c>
      <c r="AE2536" s="6">
        <v>0</v>
      </c>
      <c r="AF2536" s="6">
        <v>0</v>
      </c>
      <c r="AG2536" s="6">
        <v>61.67</v>
      </c>
      <c r="AH2536" s="6">
        <v>79.16</v>
      </c>
      <c r="AI2536" s="6">
        <f t="shared" si="78"/>
        <v>17.489999999999995</v>
      </c>
      <c r="AJ2536" s="5">
        <f t="shared" si="79"/>
        <v>0.2209449216776149</v>
      </c>
    </row>
    <row r="2537" spans="1:36">
      <c r="A2537" t="s">
        <v>411</v>
      </c>
      <c r="B2537" t="s">
        <v>2822</v>
      </c>
      <c r="C2537" t="s">
        <v>116</v>
      </c>
      <c r="D2537" t="s">
        <v>60</v>
      </c>
      <c r="E2537" t="s">
        <v>69</v>
      </c>
      <c r="F2537">
        <v>0</v>
      </c>
      <c r="G2537">
        <v>3954</v>
      </c>
      <c r="H2537">
        <v>1.22</v>
      </c>
      <c r="I2537" t="s">
        <v>181</v>
      </c>
      <c r="J2537">
        <v>3</v>
      </c>
      <c r="K2537" s="6">
        <v>7.36</v>
      </c>
      <c r="L2537" t="s">
        <v>174</v>
      </c>
      <c r="M2537">
        <v>0</v>
      </c>
      <c r="N2537" t="s">
        <v>175</v>
      </c>
      <c r="O2537">
        <v>1</v>
      </c>
      <c r="P2537">
        <v>0</v>
      </c>
      <c r="Q2537" s="6">
        <v>37.700000000000003</v>
      </c>
      <c r="R2537">
        <v>0</v>
      </c>
      <c r="S2537" s="6">
        <v>0</v>
      </c>
      <c r="T2537">
        <v>0</v>
      </c>
      <c r="U2537" s="6">
        <v>613</v>
      </c>
      <c r="V2537">
        <v>0</v>
      </c>
      <c r="W2537">
        <v>0</v>
      </c>
      <c r="X2537">
        <v>0</v>
      </c>
      <c r="Y2537" s="6">
        <v>51.6</v>
      </c>
      <c r="Z2537">
        <v>0.36099999999999999</v>
      </c>
      <c r="AA2537">
        <v>4.2999999999999997E-2</v>
      </c>
      <c r="AB2537">
        <v>5.5E-2</v>
      </c>
      <c r="AC2537">
        <v>6</v>
      </c>
      <c r="AD2537" s="6">
        <v>60</v>
      </c>
      <c r="AE2537" s="6">
        <v>0</v>
      </c>
      <c r="AF2537" s="6">
        <v>0</v>
      </c>
      <c r="AG2537" s="6">
        <v>81.319999999999993</v>
      </c>
      <c r="AH2537" s="6">
        <v>102.93</v>
      </c>
      <c r="AI2537" s="6">
        <f t="shared" si="78"/>
        <v>21.610000000000014</v>
      </c>
      <c r="AJ2537" s="5">
        <f t="shared" si="79"/>
        <v>0.20994850869522988</v>
      </c>
    </row>
    <row r="2538" spans="1:36">
      <c r="A2538" t="s">
        <v>279</v>
      </c>
      <c r="B2538" t="s">
        <v>2823</v>
      </c>
      <c r="C2538" t="s">
        <v>116</v>
      </c>
      <c r="D2538" t="s">
        <v>60</v>
      </c>
      <c r="E2538" t="s">
        <v>69</v>
      </c>
      <c r="F2538">
        <v>0</v>
      </c>
      <c r="G2538">
        <v>3954</v>
      </c>
      <c r="H2538">
        <v>1.22</v>
      </c>
      <c r="I2538" t="s">
        <v>173</v>
      </c>
      <c r="J2538">
        <v>1</v>
      </c>
      <c r="K2538" s="6">
        <v>1.51</v>
      </c>
      <c r="L2538" t="s">
        <v>174</v>
      </c>
      <c r="M2538">
        <v>0</v>
      </c>
      <c r="N2538" t="s">
        <v>175</v>
      </c>
      <c r="O2538">
        <v>1</v>
      </c>
      <c r="P2538">
        <v>0</v>
      </c>
      <c r="Q2538" s="6">
        <v>51.3</v>
      </c>
      <c r="R2538">
        <v>0</v>
      </c>
      <c r="S2538" s="6">
        <v>0</v>
      </c>
      <c r="T2538">
        <v>0</v>
      </c>
      <c r="U2538" s="6">
        <v>1467</v>
      </c>
      <c r="V2538">
        <v>0</v>
      </c>
      <c r="W2538">
        <v>0</v>
      </c>
      <c r="X2538">
        <v>0</v>
      </c>
      <c r="Y2538" s="6">
        <v>51.6</v>
      </c>
      <c r="Z2538">
        <v>0.36099999999999999</v>
      </c>
      <c r="AA2538">
        <v>4.2999999999999997E-2</v>
      </c>
      <c r="AB2538">
        <v>5.5E-2</v>
      </c>
      <c r="AC2538">
        <v>6</v>
      </c>
      <c r="AD2538" s="6">
        <v>50</v>
      </c>
      <c r="AE2538" s="6">
        <v>0</v>
      </c>
      <c r="AF2538" s="6">
        <v>0</v>
      </c>
      <c r="AG2538" s="6">
        <v>59.23</v>
      </c>
      <c r="AH2538" s="6">
        <v>74.349999999999994</v>
      </c>
      <c r="AI2538" s="6">
        <f t="shared" si="78"/>
        <v>15.119999999999997</v>
      </c>
      <c r="AJ2538" s="5">
        <f t="shared" si="79"/>
        <v>0.20336247478143912</v>
      </c>
    </row>
    <row r="2539" spans="1:36">
      <c r="A2539" t="s">
        <v>238</v>
      </c>
      <c r="B2539" t="s">
        <v>2824</v>
      </c>
      <c r="C2539" t="s">
        <v>116</v>
      </c>
      <c r="D2539" t="s">
        <v>60</v>
      </c>
      <c r="E2539" t="s">
        <v>69</v>
      </c>
      <c r="F2539">
        <v>0</v>
      </c>
      <c r="G2539">
        <v>3954</v>
      </c>
      <c r="H2539">
        <v>1</v>
      </c>
      <c r="I2539" t="s">
        <v>173</v>
      </c>
      <c r="J2539">
        <v>1</v>
      </c>
      <c r="K2539" s="6">
        <v>1.4</v>
      </c>
      <c r="L2539" t="s">
        <v>174</v>
      </c>
      <c r="M2539">
        <v>0</v>
      </c>
      <c r="N2539" t="s">
        <v>217</v>
      </c>
      <c r="O2539">
        <v>4</v>
      </c>
      <c r="P2539">
        <v>1</v>
      </c>
      <c r="Q2539" s="6">
        <v>166.9</v>
      </c>
      <c r="R2539">
        <v>0</v>
      </c>
      <c r="S2539" s="6">
        <v>0</v>
      </c>
      <c r="T2539">
        <v>0</v>
      </c>
      <c r="U2539" s="6">
        <v>1116</v>
      </c>
      <c r="V2539">
        <v>1</v>
      </c>
      <c r="W2539">
        <v>0</v>
      </c>
      <c r="X2539">
        <v>0</v>
      </c>
      <c r="Y2539" s="6">
        <v>51.6</v>
      </c>
      <c r="Z2539">
        <v>0.36099999999999999</v>
      </c>
      <c r="AA2539">
        <v>4.2999999999999997E-2</v>
      </c>
      <c r="AB2539">
        <v>5.5E-2</v>
      </c>
      <c r="AC2539">
        <v>6</v>
      </c>
      <c r="AD2539" s="6">
        <v>50</v>
      </c>
      <c r="AE2539" s="6">
        <v>0</v>
      </c>
      <c r="AF2539" s="6">
        <v>0</v>
      </c>
      <c r="AG2539" s="6">
        <v>154.04</v>
      </c>
      <c r="AH2539" s="6">
        <v>193.42</v>
      </c>
      <c r="AI2539" s="6">
        <f t="shared" si="78"/>
        <v>39.379999999999995</v>
      </c>
      <c r="AJ2539" s="5">
        <f t="shared" si="79"/>
        <v>0.20359838692999688</v>
      </c>
    </row>
    <row r="2540" spans="1:36">
      <c r="A2540" t="s">
        <v>261</v>
      </c>
      <c r="B2540" t="s">
        <v>2825</v>
      </c>
      <c r="C2540" t="s">
        <v>116</v>
      </c>
      <c r="D2540" t="s">
        <v>60</v>
      </c>
      <c r="E2540" t="s">
        <v>69</v>
      </c>
      <c r="F2540">
        <v>0</v>
      </c>
      <c r="G2540">
        <v>3954</v>
      </c>
      <c r="H2540">
        <v>1</v>
      </c>
      <c r="I2540" t="s">
        <v>181</v>
      </c>
      <c r="J2540">
        <v>3</v>
      </c>
      <c r="K2540" s="6">
        <v>5.99</v>
      </c>
      <c r="L2540" t="s">
        <v>174</v>
      </c>
      <c r="M2540">
        <v>0</v>
      </c>
      <c r="N2540" t="s">
        <v>175</v>
      </c>
      <c r="O2540">
        <v>1</v>
      </c>
      <c r="P2540">
        <v>1</v>
      </c>
      <c r="Q2540" s="6">
        <v>43.7</v>
      </c>
      <c r="R2540">
        <v>1</v>
      </c>
      <c r="S2540" s="6">
        <v>4675</v>
      </c>
      <c r="T2540">
        <v>0</v>
      </c>
      <c r="U2540" s="6">
        <v>1079</v>
      </c>
      <c r="V2540">
        <v>0</v>
      </c>
      <c r="W2540">
        <v>0</v>
      </c>
      <c r="X2540">
        <v>0</v>
      </c>
      <c r="Y2540" s="6">
        <v>51.6</v>
      </c>
      <c r="Z2540">
        <v>0.36099999999999999</v>
      </c>
      <c r="AA2540">
        <v>4.2999999999999997E-2</v>
      </c>
      <c r="AB2540">
        <v>5.5E-2</v>
      </c>
      <c r="AC2540">
        <v>6</v>
      </c>
      <c r="AD2540" s="6">
        <v>60</v>
      </c>
      <c r="AE2540" s="6">
        <v>40</v>
      </c>
      <c r="AF2540" s="6">
        <v>0</v>
      </c>
      <c r="AG2540" s="6">
        <v>97.74</v>
      </c>
      <c r="AH2540" s="6">
        <v>124.93</v>
      </c>
      <c r="AI2540" s="6">
        <f t="shared" si="78"/>
        <v>27.190000000000012</v>
      </c>
      <c r="AJ2540" s="5">
        <f t="shared" si="79"/>
        <v>0.21764187945249347</v>
      </c>
    </row>
    <row r="2541" spans="1:36">
      <c r="A2541" t="s">
        <v>693</v>
      </c>
      <c r="B2541" t="s">
        <v>2826</v>
      </c>
      <c r="C2541" t="s">
        <v>116</v>
      </c>
      <c r="D2541" t="s">
        <v>60</v>
      </c>
      <c r="E2541" t="s">
        <v>69</v>
      </c>
      <c r="F2541">
        <v>0</v>
      </c>
      <c r="G2541">
        <v>3954</v>
      </c>
      <c r="H2541">
        <v>1.22</v>
      </c>
      <c r="I2541" t="s">
        <v>181</v>
      </c>
      <c r="J2541">
        <v>3</v>
      </c>
      <c r="K2541" s="6">
        <v>11.46</v>
      </c>
      <c r="L2541" t="s">
        <v>174</v>
      </c>
      <c r="M2541">
        <v>0</v>
      </c>
      <c r="N2541" t="s">
        <v>175</v>
      </c>
      <c r="O2541">
        <v>1</v>
      </c>
      <c r="P2541">
        <v>0</v>
      </c>
      <c r="Q2541" s="6">
        <v>34.799999999999997</v>
      </c>
      <c r="R2541">
        <v>0</v>
      </c>
      <c r="S2541" s="6">
        <v>0</v>
      </c>
      <c r="T2541">
        <v>0</v>
      </c>
      <c r="U2541" s="6">
        <v>2060</v>
      </c>
      <c r="V2541">
        <v>0</v>
      </c>
      <c r="W2541">
        <v>0</v>
      </c>
      <c r="X2541">
        <v>0</v>
      </c>
      <c r="Y2541" s="6">
        <v>51.6</v>
      </c>
      <c r="Z2541">
        <v>0.36099999999999999</v>
      </c>
      <c r="AA2541">
        <v>4.2999999999999997E-2</v>
      </c>
      <c r="AB2541">
        <v>5.5E-2</v>
      </c>
      <c r="AC2541">
        <v>6</v>
      </c>
      <c r="AD2541" s="6">
        <v>60</v>
      </c>
      <c r="AE2541" s="6">
        <v>0</v>
      </c>
      <c r="AF2541" s="6">
        <v>0</v>
      </c>
      <c r="AG2541" s="6">
        <v>99.78</v>
      </c>
      <c r="AH2541" s="6">
        <v>127.52</v>
      </c>
      <c r="AI2541" s="6">
        <f t="shared" si="78"/>
        <v>27.739999999999995</v>
      </c>
      <c r="AJ2541" s="5">
        <f t="shared" si="79"/>
        <v>0.21753450439146796</v>
      </c>
    </row>
    <row r="2542" spans="1:36">
      <c r="A2542" t="s">
        <v>210</v>
      </c>
      <c r="B2542" t="s">
        <v>2827</v>
      </c>
      <c r="C2542" t="s">
        <v>116</v>
      </c>
      <c r="D2542" t="s">
        <v>60</v>
      </c>
      <c r="E2542" t="s">
        <v>69</v>
      </c>
      <c r="F2542">
        <v>0</v>
      </c>
      <c r="G2542">
        <v>3954</v>
      </c>
      <c r="H2542">
        <v>1</v>
      </c>
      <c r="I2542" t="s">
        <v>220</v>
      </c>
      <c r="J2542">
        <v>2</v>
      </c>
      <c r="K2542" s="6">
        <v>4.46</v>
      </c>
      <c r="L2542" t="s">
        <v>174</v>
      </c>
      <c r="M2542">
        <v>0</v>
      </c>
      <c r="N2542" t="s">
        <v>187</v>
      </c>
      <c r="O2542">
        <v>2</v>
      </c>
      <c r="P2542">
        <v>0</v>
      </c>
      <c r="Q2542" s="6">
        <v>67</v>
      </c>
      <c r="R2542">
        <v>1</v>
      </c>
      <c r="S2542" s="6">
        <v>1405</v>
      </c>
      <c r="T2542">
        <v>0</v>
      </c>
      <c r="U2542" s="6">
        <v>448</v>
      </c>
      <c r="V2542">
        <v>1</v>
      </c>
      <c r="W2542">
        <v>0</v>
      </c>
      <c r="X2542">
        <v>0</v>
      </c>
      <c r="Y2542" s="6">
        <v>51.6</v>
      </c>
      <c r="Z2542">
        <v>0.36099999999999999</v>
      </c>
      <c r="AA2542">
        <v>4.2999999999999997E-2</v>
      </c>
      <c r="AB2542">
        <v>5.5E-2</v>
      </c>
      <c r="AC2542">
        <v>6</v>
      </c>
      <c r="AD2542" s="6">
        <v>50</v>
      </c>
      <c r="AE2542" s="6">
        <v>25</v>
      </c>
      <c r="AF2542" s="6">
        <v>0</v>
      </c>
      <c r="AG2542" s="6">
        <v>105.26</v>
      </c>
      <c r="AH2542" s="6">
        <v>135.13999999999999</v>
      </c>
      <c r="AI2542" s="6">
        <f t="shared" si="78"/>
        <v>29.879999999999981</v>
      </c>
      <c r="AJ2542" s="5">
        <f t="shared" si="79"/>
        <v>0.22110404025455072</v>
      </c>
    </row>
    <row r="2543" spans="1:36">
      <c r="A2543" t="s">
        <v>403</v>
      </c>
      <c r="B2543" t="s">
        <v>2828</v>
      </c>
      <c r="C2543" t="s">
        <v>116</v>
      </c>
      <c r="D2543" t="s">
        <v>60</v>
      </c>
      <c r="E2543" t="s">
        <v>69</v>
      </c>
      <c r="F2543">
        <v>0</v>
      </c>
      <c r="G2543">
        <v>3954</v>
      </c>
      <c r="H2543">
        <v>1.22</v>
      </c>
      <c r="I2543" t="s">
        <v>220</v>
      </c>
      <c r="J2543">
        <v>2</v>
      </c>
      <c r="K2543" s="6">
        <v>6.14</v>
      </c>
      <c r="L2543" t="s">
        <v>174</v>
      </c>
      <c r="M2543">
        <v>0</v>
      </c>
      <c r="N2543" t="s">
        <v>182</v>
      </c>
      <c r="O2543">
        <v>3</v>
      </c>
      <c r="P2543">
        <v>0</v>
      </c>
      <c r="Q2543" s="6">
        <v>83.9</v>
      </c>
      <c r="R2543">
        <v>0</v>
      </c>
      <c r="S2543" s="6">
        <v>0</v>
      </c>
      <c r="T2543">
        <v>0</v>
      </c>
      <c r="U2543" s="6">
        <v>1515</v>
      </c>
      <c r="V2543">
        <v>1</v>
      </c>
      <c r="W2543">
        <v>0</v>
      </c>
      <c r="X2543">
        <v>0</v>
      </c>
      <c r="Y2543" s="6">
        <v>51.6</v>
      </c>
      <c r="Z2543">
        <v>0.36099999999999999</v>
      </c>
      <c r="AA2543">
        <v>4.2999999999999997E-2</v>
      </c>
      <c r="AB2543">
        <v>5.5E-2</v>
      </c>
      <c r="AC2543">
        <v>6</v>
      </c>
      <c r="AD2543" s="6">
        <v>50</v>
      </c>
      <c r="AE2543" s="6">
        <v>0</v>
      </c>
      <c r="AF2543" s="6">
        <v>0</v>
      </c>
      <c r="AG2543" s="6">
        <v>118.29</v>
      </c>
      <c r="AH2543" s="6">
        <v>150.91</v>
      </c>
      <c r="AI2543" s="6">
        <f t="shared" si="78"/>
        <v>32.61999999999999</v>
      </c>
      <c r="AJ2543" s="5">
        <f t="shared" si="79"/>
        <v>0.21615532436551582</v>
      </c>
    </row>
    <row r="2544" spans="1:36">
      <c r="A2544" t="s">
        <v>286</v>
      </c>
      <c r="B2544" t="s">
        <v>2829</v>
      </c>
      <c r="C2544" t="s">
        <v>116</v>
      </c>
      <c r="D2544" t="s">
        <v>60</v>
      </c>
      <c r="E2544" t="s">
        <v>69</v>
      </c>
      <c r="F2544">
        <v>0</v>
      </c>
      <c r="G2544">
        <v>3954</v>
      </c>
      <c r="H2544">
        <v>1.22</v>
      </c>
      <c r="I2544" t="s">
        <v>220</v>
      </c>
      <c r="J2544">
        <v>2</v>
      </c>
      <c r="K2544" s="6">
        <v>3.86</v>
      </c>
      <c r="L2544" t="s">
        <v>200</v>
      </c>
      <c r="M2544">
        <v>1</v>
      </c>
      <c r="N2544" t="s">
        <v>187</v>
      </c>
      <c r="O2544">
        <v>2</v>
      </c>
      <c r="P2544">
        <v>0</v>
      </c>
      <c r="Q2544" s="6">
        <v>57.1</v>
      </c>
      <c r="R2544">
        <v>1</v>
      </c>
      <c r="S2544" s="6">
        <v>1334</v>
      </c>
      <c r="T2544">
        <v>0</v>
      </c>
      <c r="U2544" s="6">
        <v>874</v>
      </c>
      <c r="V2544">
        <v>0</v>
      </c>
      <c r="W2544">
        <v>0</v>
      </c>
      <c r="X2544">
        <v>0</v>
      </c>
      <c r="Y2544" s="6">
        <v>51.6</v>
      </c>
      <c r="Z2544">
        <v>0.36099999999999999</v>
      </c>
      <c r="AA2544">
        <v>4.2999999999999997E-2</v>
      </c>
      <c r="AB2544">
        <v>5.5E-2</v>
      </c>
      <c r="AC2544">
        <v>6</v>
      </c>
      <c r="AD2544" s="6">
        <v>119</v>
      </c>
      <c r="AE2544" s="6">
        <v>25</v>
      </c>
      <c r="AF2544" s="6">
        <v>0</v>
      </c>
      <c r="AG2544" s="6">
        <v>104.41</v>
      </c>
      <c r="AH2544" s="6">
        <v>131.94</v>
      </c>
      <c r="AI2544" s="6">
        <f t="shared" si="78"/>
        <v>27.53</v>
      </c>
      <c r="AJ2544" s="5">
        <f t="shared" si="79"/>
        <v>0.20865544944671821</v>
      </c>
    </row>
    <row r="2545" spans="1:36">
      <c r="A2545" t="s">
        <v>277</v>
      </c>
      <c r="B2545" t="s">
        <v>2830</v>
      </c>
      <c r="C2545" t="s">
        <v>116</v>
      </c>
      <c r="D2545" t="s">
        <v>60</v>
      </c>
      <c r="E2545" t="s">
        <v>69</v>
      </c>
      <c r="F2545">
        <v>0</v>
      </c>
      <c r="G2545">
        <v>3954</v>
      </c>
      <c r="H2545">
        <v>1.22</v>
      </c>
      <c r="I2545" t="s">
        <v>173</v>
      </c>
      <c r="J2545">
        <v>1</v>
      </c>
      <c r="K2545" s="6">
        <v>2.19</v>
      </c>
      <c r="L2545" t="s">
        <v>200</v>
      </c>
      <c r="M2545">
        <v>1</v>
      </c>
      <c r="N2545" t="s">
        <v>175</v>
      </c>
      <c r="O2545">
        <v>1</v>
      </c>
      <c r="P2545">
        <v>0</v>
      </c>
      <c r="Q2545" s="6">
        <v>42.1</v>
      </c>
      <c r="R2545">
        <v>0</v>
      </c>
      <c r="S2545" s="6">
        <v>0</v>
      </c>
      <c r="T2545">
        <v>0</v>
      </c>
      <c r="U2545" s="6">
        <v>770</v>
      </c>
      <c r="V2545">
        <v>1</v>
      </c>
      <c r="W2545">
        <v>0</v>
      </c>
      <c r="X2545">
        <v>0</v>
      </c>
      <c r="Y2545" s="6">
        <v>51.6</v>
      </c>
      <c r="Z2545">
        <v>0.36099999999999999</v>
      </c>
      <c r="AA2545">
        <v>4.2999999999999997E-2</v>
      </c>
      <c r="AB2545">
        <v>5.5E-2</v>
      </c>
      <c r="AC2545">
        <v>6</v>
      </c>
      <c r="AD2545" s="6">
        <v>99</v>
      </c>
      <c r="AE2545" s="6">
        <v>0</v>
      </c>
      <c r="AF2545" s="6">
        <v>0</v>
      </c>
      <c r="AG2545" s="6">
        <v>123.32</v>
      </c>
      <c r="AH2545" s="6">
        <v>158.66</v>
      </c>
      <c r="AI2545" s="6">
        <f t="shared" si="78"/>
        <v>35.340000000000003</v>
      </c>
      <c r="AJ2545" s="5">
        <f t="shared" si="79"/>
        <v>0.22274045127946554</v>
      </c>
    </row>
    <row r="2546" spans="1:36">
      <c r="A2546" t="s">
        <v>288</v>
      </c>
      <c r="B2546" t="s">
        <v>2831</v>
      </c>
      <c r="C2546" t="s">
        <v>116</v>
      </c>
      <c r="D2546" t="s">
        <v>60</v>
      </c>
      <c r="E2546" t="s">
        <v>69</v>
      </c>
      <c r="F2546">
        <v>0</v>
      </c>
      <c r="G2546">
        <v>3954</v>
      </c>
      <c r="H2546">
        <v>1</v>
      </c>
      <c r="I2546" t="s">
        <v>173</v>
      </c>
      <c r="J2546">
        <v>1</v>
      </c>
      <c r="K2546" s="6">
        <v>1.58</v>
      </c>
      <c r="L2546" t="s">
        <v>174</v>
      </c>
      <c r="M2546">
        <v>0</v>
      </c>
      <c r="N2546" t="s">
        <v>175</v>
      </c>
      <c r="O2546">
        <v>1</v>
      </c>
      <c r="P2546">
        <v>0</v>
      </c>
      <c r="Q2546" s="6">
        <v>51.5</v>
      </c>
      <c r="R2546">
        <v>0</v>
      </c>
      <c r="S2546" s="6">
        <v>0</v>
      </c>
      <c r="T2546">
        <v>0</v>
      </c>
      <c r="U2546" s="6">
        <v>879</v>
      </c>
      <c r="V2546">
        <v>0</v>
      </c>
      <c r="W2546">
        <v>0</v>
      </c>
      <c r="X2546">
        <v>0</v>
      </c>
      <c r="Y2546" s="6">
        <v>51.6</v>
      </c>
      <c r="Z2546">
        <v>0.36099999999999999</v>
      </c>
      <c r="AA2546">
        <v>4.2999999999999997E-2</v>
      </c>
      <c r="AB2546">
        <v>5.5E-2</v>
      </c>
      <c r="AC2546">
        <v>6</v>
      </c>
      <c r="AD2546" s="6">
        <v>50</v>
      </c>
      <c r="AE2546" s="6">
        <v>0</v>
      </c>
      <c r="AF2546" s="6">
        <v>0</v>
      </c>
      <c r="AG2546" s="6">
        <v>49.66</v>
      </c>
      <c r="AH2546" s="6">
        <v>66.75</v>
      </c>
      <c r="AI2546" s="6">
        <f t="shared" si="78"/>
        <v>17.090000000000003</v>
      </c>
      <c r="AJ2546" s="5">
        <f t="shared" si="79"/>
        <v>0.25602996254681654</v>
      </c>
    </row>
    <row r="2547" spans="1:36">
      <c r="A2547" t="s">
        <v>562</v>
      </c>
      <c r="B2547" t="s">
        <v>2832</v>
      </c>
      <c r="C2547" t="s">
        <v>116</v>
      </c>
      <c r="D2547" t="s">
        <v>60</v>
      </c>
      <c r="E2547" t="s">
        <v>69</v>
      </c>
      <c r="F2547">
        <v>0</v>
      </c>
      <c r="G2547">
        <v>3954</v>
      </c>
      <c r="H2547">
        <v>1.22</v>
      </c>
      <c r="I2547" t="s">
        <v>181</v>
      </c>
      <c r="J2547">
        <v>3</v>
      </c>
      <c r="K2547" s="6">
        <v>4.32</v>
      </c>
      <c r="L2547" t="s">
        <v>174</v>
      </c>
      <c r="M2547">
        <v>0</v>
      </c>
      <c r="N2547" t="s">
        <v>175</v>
      </c>
      <c r="O2547">
        <v>1</v>
      </c>
      <c r="P2547">
        <v>0</v>
      </c>
      <c r="Q2547" s="6">
        <v>23.3</v>
      </c>
      <c r="R2547">
        <v>1</v>
      </c>
      <c r="S2547" s="6">
        <v>760</v>
      </c>
      <c r="T2547">
        <v>0</v>
      </c>
      <c r="U2547" s="6">
        <v>1954</v>
      </c>
      <c r="V2547">
        <v>0</v>
      </c>
      <c r="W2547">
        <v>0</v>
      </c>
      <c r="X2547">
        <v>0</v>
      </c>
      <c r="Y2547" s="6">
        <v>51.6</v>
      </c>
      <c r="Z2547">
        <v>0.36099999999999999</v>
      </c>
      <c r="AA2547">
        <v>4.2999999999999997E-2</v>
      </c>
      <c r="AB2547">
        <v>5.5E-2</v>
      </c>
      <c r="AC2547">
        <v>6</v>
      </c>
      <c r="AD2547" s="6">
        <v>60</v>
      </c>
      <c r="AE2547" s="6">
        <v>25</v>
      </c>
      <c r="AF2547" s="6">
        <v>0</v>
      </c>
      <c r="AG2547" s="6">
        <v>80.03</v>
      </c>
      <c r="AH2547" s="6">
        <v>101.47</v>
      </c>
      <c r="AI2547" s="6">
        <f t="shared" si="78"/>
        <v>21.439999999999998</v>
      </c>
      <c r="AJ2547" s="5">
        <f t="shared" si="79"/>
        <v>0.21129397851581747</v>
      </c>
    </row>
    <row r="2548" spans="1:36">
      <c r="A2548" t="s">
        <v>192</v>
      </c>
      <c r="B2548" t="s">
        <v>2833</v>
      </c>
      <c r="C2548" t="s">
        <v>116</v>
      </c>
      <c r="D2548" t="s">
        <v>60</v>
      </c>
      <c r="E2548" t="s">
        <v>69</v>
      </c>
      <c r="F2548">
        <v>0</v>
      </c>
      <c r="G2548">
        <v>3954</v>
      </c>
      <c r="H2548">
        <v>1</v>
      </c>
      <c r="I2548" t="s">
        <v>173</v>
      </c>
      <c r="J2548">
        <v>1</v>
      </c>
      <c r="K2548" s="6">
        <v>2.06</v>
      </c>
      <c r="L2548" t="s">
        <v>174</v>
      </c>
      <c r="M2548">
        <v>0</v>
      </c>
      <c r="N2548" t="s">
        <v>182</v>
      </c>
      <c r="O2548">
        <v>3</v>
      </c>
      <c r="P2548">
        <v>0</v>
      </c>
      <c r="Q2548" s="6">
        <v>125.6</v>
      </c>
      <c r="R2548">
        <v>0</v>
      </c>
      <c r="S2548" s="6">
        <v>0</v>
      </c>
      <c r="T2548">
        <v>0</v>
      </c>
      <c r="U2548" s="6">
        <v>766</v>
      </c>
      <c r="V2548">
        <v>0</v>
      </c>
      <c r="W2548">
        <v>0</v>
      </c>
      <c r="X2548">
        <v>0</v>
      </c>
      <c r="Y2548" s="6">
        <v>51.6</v>
      </c>
      <c r="Z2548">
        <v>0.36099999999999999</v>
      </c>
      <c r="AA2548">
        <v>4.2999999999999997E-2</v>
      </c>
      <c r="AB2548">
        <v>5.5E-2</v>
      </c>
      <c r="AC2548">
        <v>6</v>
      </c>
      <c r="AD2548" s="6">
        <v>50</v>
      </c>
      <c r="AE2548" s="6">
        <v>0</v>
      </c>
      <c r="AF2548" s="6">
        <v>0</v>
      </c>
      <c r="AG2548" s="6">
        <v>55.91</v>
      </c>
      <c r="AH2548" s="6">
        <v>72.09</v>
      </c>
      <c r="AI2548" s="6">
        <f t="shared" si="78"/>
        <v>16.180000000000007</v>
      </c>
      <c r="AJ2548" s="5">
        <f t="shared" si="79"/>
        <v>0.2244416701345541</v>
      </c>
    </row>
    <row r="2549" spans="1:36">
      <c r="A2549" t="s">
        <v>188</v>
      </c>
      <c r="B2549" t="s">
        <v>2834</v>
      </c>
      <c r="C2549" t="s">
        <v>116</v>
      </c>
      <c r="D2549" t="s">
        <v>60</v>
      </c>
      <c r="E2549" t="s">
        <v>69</v>
      </c>
      <c r="F2549">
        <v>0</v>
      </c>
      <c r="G2549">
        <v>3954</v>
      </c>
      <c r="H2549">
        <v>1.22</v>
      </c>
      <c r="I2549" t="s">
        <v>220</v>
      </c>
      <c r="J2549">
        <v>2</v>
      </c>
      <c r="K2549" s="6">
        <v>3.78</v>
      </c>
      <c r="L2549" t="s">
        <v>174</v>
      </c>
      <c r="M2549">
        <v>0</v>
      </c>
      <c r="N2549" t="s">
        <v>187</v>
      </c>
      <c r="O2549">
        <v>2</v>
      </c>
      <c r="P2549">
        <v>0</v>
      </c>
      <c r="Q2549" s="6">
        <v>50.7</v>
      </c>
      <c r="R2549">
        <v>0</v>
      </c>
      <c r="S2549" s="6">
        <v>0</v>
      </c>
      <c r="T2549">
        <v>0</v>
      </c>
      <c r="U2549" s="6">
        <v>1563</v>
      </c>
      <c r="V2549">
        <v>0</v>
      </c>
      <c r="W2549">
        <v>0</v>
      </c>
      <c r="X2549">
        <v>0</v>
      </c>
      <c r="Y2549" s="6">
        <v>51.6</v>
      </c>
      <c r="Z2549">
        <v>0.36099999999999999</v>
      </c>
      <c r="AA2549">
        <v>4.2999999999999997E-2</v>
      </c>
      <c r="AB2549">
        <v>5.5E-2</v>
      </c>
      <c r="AC2549">
        <v>6</v>
      </c>
      <c r="AD2549" s="6">
        <v>50</v>
      </c>
      <c r="AE2549" s="6">
        <v>0</v>
      </c>
      <c r="AF2549" s="6">
        <v>0</v>
      </c>
      <c r="AG2549" s="6">
        <v>69.790000000000006</v>
      </c>
      <c r="AH2549" s="6">
        <v>87.58</v>
      </c>
      <c r="AI2549" s="6">
        <f t="shared" si="78"/>
        <v>17.789999999999992</v>
      </c>
      <c r="AJ2549" s="5">
        <f t="shared" si="79"/>
        <v>0.20312856816624791</v>
      </c>
    </row>
    <row r="2550" spans="1:36">
      <c r="A2550" t="s">
        <v>481</v>
      </c>
      <c r="B2550" t="s">
        <v>2835</v>
      </c>
      <c r="C2550" t="s">
        <v>116</v>
      </c>
      <c r="D2550" t="s">
        <v>60</v>
      </c>
      <c r="E2550" t="s">
        <v>69</v>
      </c>
      <c r="F2550">
        <v>0</v>
      </c>
      <c r="G2550">
        <v>3954</v>
      </c>
      <c r="H2550">
        <v>1.22</v>
      </c>
      <c r="I2550" t="s">
        <v>220</v>
      </c>
      <c r="J2550">
        <v>2</v>
      </c>
      <c r="K2550" s="6">
        <v>7.16</v>
      </c>
      <c r="L2550" t="s">
        <v>200</v>
      </c>
      <c r="M2550">
        <v>1</v>
      </c>
      <c r="N2550" t="s">
        <v>187</v>
      </c>
      <c r="O2550">
        <v>2</v>
      </c>
      <c r="P2550">
        <v>0</v>
      </c>
      <c r="Q2550" s="6">
        <v>56.5</v>
      </c>
      <c r="R2550">
        <v>0</v>
      </c>
      <c r="S2550" s="6">
        <v>0</v>
      </c>
      <c r="T2550">
        <v>0</v>
      </c>
      <c r="U2550" s="6">
        <v>902</v>
      </c>
      <c r="V2550">
        <v>1</v>
      </c>
      <c r="W2550">
        <v>0</v>
      </c>
      <c r="X2550">
        <v>0</v>
      </c>
      <c r="Y2550" s="6">
        <v>51.6</v>
      </c>
      <c r="Z2550">
        <v>0.36099999999999999</v>
      </c>
      <c r="AA2550">
        <v>4.2999999999999997E-2</v>
      </c>
      <c r="AB2550">
        <v>5.5E-2</v>
      </c>
      <c r="AC2550">
        <v>6</v>
      </c>
      <c r="AD2550" s="6">
        <v>119</v>
      </c>
      <c r="AE2550" s="6">
        <v>0</v>
      </c>
      <c r="AF2550" s="6">
        <v>0</v>
      </c>
      <c r="AG2550" s="6">
        <v>140.84</v>
      </c>
      <c r="AH2550" s="6">
        <v>177.31</v>
      </c>
      <c r="AI2550" s="6">
        <f t="shared" si="78"/>
        <v>36.47</v>
      </c>
      <c r="AJ2550" s="5">
        <f t="shared" si="79"/>
        <v>0.20568495854717725</v>
      </c>
    </row>
    <row r="2551" spans="1:36">
      <c r="A2551" t="s">
        <v>457</v>
      </c>
      <c r="B2551" t="s">
        <v>2836</v>
      </c>
      <c r="C2551" t="s">
        <v>116</v>
      </c>
      <c r="D2551" t="s">
        <v>60</v>
      </c>
      <c r="E2551" t="s">
        <v>69</v>
      </c>
      <c r="F2551">
        <v>0</v>
      </c>
      <c r="G2551">
        <v>3954</v>
      </c>
      <c r="H2551">
        <v>1</v>
      </c>
      <c r="I2551" t="s">
        <v>181</v>
      </c>
      <c r="J2551">
        <v>3</v>
      </c>
      <c r="K2551" s="6">
        <v>9.0500000000000007</v>
      </c>
      <c r="L2551" t="s">
        <v>200</v>
      </c>
      <c r="M2551">
        <v>1</v>
      </c>
      <c r="N2551" t="s">
        <v>272</v>
      </c>
      <c r="O2551">
        <v>5</v>
      </c>
      <c r="P2551">
        <v>1</v>
      </c>
      <c r="Q2551" s="6">
        <v>243.1</v>
      </c>
      <c r="R2551">
        <v>0</v>
      </c>
      <c r="S2551" s="6">
        <v>0</v>
      </c>
      <c r="T2551">
        <v>0</v>
      </c>
      <c r="U2551" s="6">
        <v>873</v>
      </c>
      <c r="V2551">
        <v>0</v>
      </c>
      <c r="W2551">
        <v>0</v>
      </c>
      <c r="X2551">
        <v>0</v>
      </c>
      <c r="Y2551" s="6">
        <v>51.6</v>
      </c>
      <c r="Z2551">
        <v>0.36099999999999999</v>
      </c>
      <c r="AA2551">
        <v>4.2999999999999997E-2</v>
      </c>
      <c r="AB2551">
        <v>5.5E-2</v>
      </c>
      <c r="AC2551">
        <v>6</v>
      </c>
      <c r="AD2551" s="6">
        <v>139</v>
      </c>
      <c r="AE2551" s="6">
        <v>0</v>
      </c>
      <c r="AF2551" s="6">
        <v>0</v>
      </c>
      <c r="AG2551" s="6">
        <v>240.82</v>
      </c>
      <c r="AH2551" s="6">
        <v>302.19</v>
      </c>
      <c r="AI2551" s="6">
        <f t="shared" si="78"/>
        <v>61.370000000000005</v>
      </c>
      <c r="AJ2551" s="5">
        <f t="shared" si="79"/>
        <v>0.20308415235447899</v>
      </c>
    </row>
    <row r="2552" spans="1:36">
      <c r="A2552" t="s">
        <v>423</v>
      </c>
      <c r="B2552" t="s">
        <v>2837</v>
      </c>
      <c r="C2552" t="s">
        <v>116</v>
      </c>
      <c r="D2552" t="s">
        <v>60</v>
      </c>
      <c r="E2552" t="s">
        <v>69</v>
      </c>
      <c r="F2552">
        <v>0</v>
      </c>
      <c r="G2552">
        <v>3954</v>
      </c>
      <c r="H2552">
        <v>1.22</v>
      </c>
      <c r="I2552" t="s">
        <v>181</v>
      </c>
      <c r="J2552">
        <v>3</v>
      </c>
      <c r="K2552" s="6">
        <v>12.86</v>
      </c>
      <c r="L2552" t="s">
        <v>200</v>
      </c>
      <c r="M2552">
        <v>1</v>
      </c>
      <c r="N2552" t="s">
        <v>175</v>
      </c>
      <c r="O2552">
        <v>1</v>
      </c>
      <c r="P2552">
        <v>0</v>
      </c>
      <c r="Q2552" s="6">
        <v>39.799999999999997</v>
      </c>
      <c r="R2552">
        <v>0</v>
      </c>
      <c r="S2552" s="6">
        <v>0</v>
      </c>
      <c r="T2552">
        <v>0</v>
      </c>
      <c r="U2552" s="6">
        <v>797</v>
      </c>
      <c r="V2552">
        <v>0</v>
      </c>
      <c r="W2552">
        <v>0</v>
      </c>
      <c r="X2552">
        <v>0</v>
      </c>
      <c r="Y2552" s="6">
        <v>51.6</v>
      </c>
      <c r="Z2552">
        <v>0.36099999999999999</v>
      </c>
      <c r="AA2552">
        <v>4.2999999999999997E-2</v>
      </c>
      <c r="AB2552">
        <v>5.5E-2</v>
      </c>
      <c r="AC2552">
        <v>6</v>
      </c>
      <c r="AD2552" s="6">
        <v>139</v>
      </c>
      <c r="AE2552" s="6">
        <v>0</v>
      </c>
      <c r="AF2552" s="6">
        <v>0</v>
      </c>
      <c r="AG2552" s="6">
        <v>137.65</v>
      </c>
      <c r="AH2552" s="6">
        <v>173.54</v>
      </c>
      <c r="AI2552" s="6">
        <f t="shared" si="78"/>
        <v>35.889999999999986</v>
      </c>
      <c r="AJ2552" s="5">
        <f t="shared" si="79"/>
        <v>0.20681110983058654</v>
      </c>
    </row>
    <row r="2553" spans="1:36">
      <c r="A2553" t="s">
        <v>434</v>
      </c>
      <c r="B2553" t="s">
        <v>2838</v>
      </c>
      <c r="C2553" t="s">
        <v>116</v>
      </c>
      <c r="D2553" t="s">
        <v>60</v>
      </c>
      <c r="E2553" t="s">
        <v>69</v>
      </c>
      <c r="F2553">
        <v>0</v>
      </c>
      <c r="G2553">
        <v>3954</v>
      </c>
      <c r="H2553">
        <v>1</v>
      </c>
      <c r="I2553" t="s">
        <v>173</v>
      </c>
      <c r="J2553">
        <v>1</v>
      </c>
      <c r="K2553" s="6">
        <v>1.06</v>
      </c>
      <c r="L2553" t="s">
        <v>200</v>
      </c>
      <c r="M2553">
        <v>1</v>
      </c>
      <c r="N2553" t="s">
        <v>182</v>
      </c>
      <c r="O2553">
        <v>3</v>
      </c>
      <c r="P2553">
        <v>0</v>
      </c>
      <c r="Q2553" s="6">
        <v>86.8</v>
      </c>
      <c r="R2553">
        <v>0</v>
      </c>
      <c r="S2553" s="6">
        <v>0</v>
      </c>
      <c r="T2553">
        <v>0</v>
      </c>
      <c r="U2553" s="6">
        <v>391</v>
      </c>
      <c r="V2553">
        <v>0</v>
      </c>
      <c r="W2553">
        <v>0</v>
      </c>
      <c r="X2553">
        <v>0</v>
      </c>
      <c r="Y2553" s="6">
        <v>51.6</v>
      </c>
      <c r="Z2553">
        <v>0.36099999999999999</v>
      </c>
      <c r="AA2553">
        <v>4.2999999999999997E-2</v>
      </c>
      <c r="AB2553">
        <v>5.5E-2</v>
      </c>
      <c r="AC2553">
        <v>6</v>
      </c>
      <c r="AD2553" s="6">
        <v>99</v>
      </c>
      <c r="AE2553" s="6">
        <v>0</v>
      </c>
      <c r="AF2553" s="6">
        <v>0</v>
      </c>
      <c r="AG2553" s="6">
        <v>92.56</v>
      </c>
      <c r="AH2553" s="6">
        <v>117.82</v>
      </c>
      <c r="AI2553" s="6">
        <f t="shared" si="78"/>
        <v>25.259999999999991</v>
      </c>
      <c r="AJ2553" s="5">
        <f t="shared" si="79"/>
        <v>0.21439483958580879</v>
      </c>
    </row>
    <row r="2554" spans="1:36">
      <c r="A2554" t="s">
        <v>233</v>
      </c>
      <c r="B2554" t="s">
        <v>2839</v>
      </c>
      <c r="C2554" t="s">
        <v>116</v>
      </c>
      <c r="D2554" t="s">
        <v>60</v>
      </c>
      <c r="E2554" t="s">
        <v>69</v>
      </c>
      <c r="F2554">
        <v>0</v>
      </c>
      <c r="G2554">
        <v>3954</v>
      </c>
      <c r="H2554">
        <v>1.22</v>
      </c>
      <c r="I2554" t="s">
        <v>220</v>
      </c>
      <c r="J2554">
        <v>2</v>
      </c>
      <c r="K2554" s="6">
        <v>5.2</v>
      </c>
      <c r="L2554" t="s">
        <v>174</v>
      </c>
      <c r="M2554">
        <v>0</v>
      </c>
      <c r="N2554" t="s">
        <v>182</v>
      </c>
      <c r="O2554">
        <v>3</v>
      </c>
      <c r="P2554">
        <v>0</v>
      </c>
      <c r="Q2554" s="6">
        <v>103.6</v>
      </c>
      <c r="R2554">
        <v>1</v>
      </c>
      <c r="S2554" s="6">
        <v>1517</v>
      </c>
      <c r="T2554">
        <v>0</v>
      </c>
      <c r="U2554" s="6">
        <v>1538</v>
      </c>
      <c r="V2554">
        <v>0</v>
      </c>
      <c r="W2554">
        <v>0</v>
      </c>
      <c r="X2554">
        <v>0</v>
      </c>
      <c r="Y2554" s="6">
        <v>51.6</v>
      </c>
      <c r="Z2554">
        <v>0.36099999999999999</v>
      </c>
      <c r="AA2554">
        <v>4.2999999999999997E-2</v>
      </c>
      <c r="AB2554">
        <v>5.5E-2</v>
      </c>
      <c r="AC2554">
        <v>6</v>
      </c>
      <c r="AD2554" s="6">
        <v>50</v>
      </c>
      <c r="AE2554" s="6">
        <v>25</v>
      </c>
      <c r="AF2554" s="6">
        <v>0</v>
      </c>
      <c r="AG2554" s="6">
        <v>85.49</v>
      </c>
      <c r="AH2554" s="6">
        <v>110.66</v>
      </c>
      <c r="AI2554" s="6">
        <f t="shared" si="78"/>
        <v>25.17</v>
      </c>
      <c r="AJ2554" s="5">
        <f t="shared" si="79"/>
        <v>0.22745346105187061</v>
      </c>
    </row>
    <row r="2555" spans="1:36">
      <c r="A2555" t="s">
        <v>255</v>
      </c>
      <c r="B2555" t="s">
        <v>2840</v>
      </c>
      <c r="C2555" t="s">
        <v>116</v>
      </c>
      <c r="D2555" t="s">
        <v>60</v>
      </c>
      <c r="E2555" t="s">
        <v>69</v>
      </c>
      <c r="F2555">
        <v>0</v>
      </c>
      <c r="G2555">
        <v>3954</v>
      </c>
      <c r="H2555">
        <v>1.22</v>
      </c>
      <c r="I2555" t="s">
        <v>181</v>
      </c>
      <c r="J2555">
        <v>3</v>
      </c>
      <c r="K2555" s="6">
        <v>5.68</v>
      </c>
      <c r="L2555" t="s">
        <v>200</v>
      </c>
      <c r="M2555">
        <v>1</v>
      </c>
      <c r="N2555" t="s">
        <v>175</v>
      </c>
      <c r="O2555">
        <v>1</v>
      </c>
      <c r="P2555">
        <v>0</v>
      </c>
      <c r="Q2555" s="6">
        <v>36.700000000000003</v>
      </c>
      <c r="R2555">
        <v>0</v>
      </c>
      <c r="S2555" s="6">
        <v>0</v>
      </c>
      <c r="T2555">
        <v>0</v>
      </c>
      <c r="U2555" s="6">
        <v>1824</v>
      </c>
      <c r="V2555">
        <v>0</v>
      </c>
      <c r="W2555">
        <v>0</v>
      </c>
      <c r="X2555">
        <v>0</v>
      </c>
      <c r="Y2555" s="6">
        <v>51.6</v>
      </c>
      <c r="Z2555">
        <v>0.36099999999999999</v>
      </c>
      <c r="AA2555">
        <v>4.2999999999999997E-2</v>
      </c>
      <c r="AB2555">
        <v>5.5E-2</v>
      </c>
      <c r="AC2555">
        <v>6</v>
      </c>
      <c r="AD2555" s="6">
        <v>139</v>
      </c>
      <c r="AE2555" s="6">
        <v>0</v>
      </c>
      <c r="AF2555" s="6">
        <v>0</v>
      </c>
      <c r="AG2555" s="6">
        <v>111.62</v>
      </c>
      <c r="AH2555" s="6">
        <v>141.4</v>
      </c>
      <c r="AI2555" s="6">
        <f t="shared" si="78"/>
        <v>29.78</v>
      </c>
      <c r="AJ2555" s="5">
        <f t="shared" si="79"/>
        <v>0.2106082036775106</v>
      </c>
    </row>
    <row r="2556" spans="1:36">
      <c r="A2556" t="s">
        <v>238</v>
      </c>
      <c r="B2556" t="s">
        <v>2841</v>
      </c>
      <c r="C2556" t="s">
        <v>116</v>
      </c>
      <c r="D2556" t="s">
        <v>60</v>
      </c>
      <c r="E2556" t="s">
        <v>69</v>
      </c>
      <c r="F2556">
        <v>0</v>
      </c>
      <c r="G2556">
        <v>3954</v>
      </c>
      <c r="H2556">
        <v>1</v>
      </c>
      <c r="I2556" t="s">
        <v>173</v>
      </c>
      <c r="J2556">
        <v>1</v>
      </c>
      <c r="K2556" s="6">
        <v>1.66</v>
      </c>
      <c r="L2556" t="s">
        <v>200</v>
      </c>
      <c r="M2556">
        <v>1</v>
      </c>
      <c r="N2556" t="s">
        <v>175</v>
      </c>
      <c r="O2556">
        <v>1</v>
      </c>
      <c r="P2556">
        <v>1</v>
      </c>
      <c r="Q2556" s="6">
        <v>46.3</v>
      </c>
      <c r="R2556">
        <v>0</v>
      </c>
      <c r="S2556" s="6">
        <v>0</v>
      </c>
      <c r="T2556">
        <v>0</v>
      </c>
      <c r="U2556" s="6">
        <v>2323</v>
      </c>
      <c r="V2556">
        <v>0</v>
      </c>
      <c r="W2556">
        <v>0</v>
      </c>
      <c r="X2556">
        <v>0</v>
      </c>
      <c r="Y2556" s="6">
        <v>51.6</v>
      </c>
      <c r="Z2556">
        <v>0.36099999999999999</v>
      </c>
      <c r="AA2556">
        <v>4.2999999999999997E-2</v>
      </c>
      <c r="AB2556">
        <v>5.5E-2</v>
      </c>
      <c r="AC2556">
        <v>6</v>
      </c>
      <c r="AD2556" s="6">
        <v>99</v>
      </c>
      <c r="AE2556" s="6">
        <v>0</v>
      </c>
      <c r="AF2556" s="6">
        <v>0</v>
      </c>
      <c r="AG2556" s="6">
        <v>124.97</v>
      </c>
      <c r="AH2556" s="6">
        <v>156.33000000000001</v>
      </c>
      <c r="AI2556" s="6">
        <f t="shared" si="78"/>
        <v>31.360000000000014</v>
      </c>
      <c r="AJ2556" s="5">
        <f t="shared" si="79"/>
        <v>0.2006012921384252</v>
      </c>
    </row>
    <row r="2557" spans="1:36">
      <c r="A2557" t="s">
        <v>210</v>
      </c>
      <c r="B2557" t="s">
        <v>2842</v>
      </c>
      <c r="C2557" t="s">
        <v>116</v>
      </c>
      <c r="D2557" t="s">
        <v>60</v>
      </c>
      <c r="E2557" t="s">
        <v>69</v>
      </c>
      <c r="F2557">
        <v>0</v>
      </c>
      <c r="G2557">
        <v>3954</v>
      </c>
      <c r="H2557">
        <v>1</v>
      </c>
      <c r="I2557" t="s">
        <v>173</v>
      </c>
      <c r="J2557">
        <v>1</v>
      </c>
      <c r="K2557" s="6">
        <v>2.39</v>
      </c>
      <c r="L2557" t="s">
        <v>200</v>
      </c>
      <c r="M2557">
        <v>1</v>
      </c>
      <c r="N2557" t="s">
        <v>187</v>
      </c>
      <c r="O2557">
        <v>2</v>
      </c>
      <c r="P2557">
        <v>0</v>
      </c>
      <c r="Q2557" s="6">
        <v>54.7</v>
      </c>
      <c r="R2557">
        <v>0</v>
      </c>
      <c r="S2557" s="6">
        <v>0</v>
      </c>
      <c r="T2557">
        <v>0</v>
      </c>
      <c r="U2557" s="6">
        <v>2938</v>
      </c>
      <c r="V2557">
        <v>0</v>
      </c>
      <c r="W2557">
        <v>0</v>
      </c>
      <c r="X2557">
        <v>0</v>
      </c>
      <c r="Y2557" s="6">
        <v>51.6</v>
      </c>
      <c r="Z2557">
        <v>0.36099999999999999</v>
      </c>
      <c r="AA2557">
        <v>4.2999999999999997E-2</v>
      </c>
      <c r="AB2557">
        <v>5.5E-2</v>
      </c>
      <c r="AC2557">
        <v>6</v>
      </c>
      <c r="AD2557" s="6">
        <v>99</v>
      </c>
      <c r="AE2557" s="6">
        <v>0</v>
      </c>
      <c r="AF2557" s="6">
        <v>0</v>
      </c>
      <c r="AG2557" s="6">
        <v>85.69</v>
      </c>
      <c r="AH2557" s="6">
        <v>108.1</v>
      </c>
      <c r="AI2557" s="6">
        <f t="shared" si="78"/>
        <v>22.409999999999997</v>
      </c>
      <c r="AJ2557" s="5">
        <f t="shared" si="79"/>
        <v>0.20730804810360776</v>
      </c>
    </row>
    <row r="2558" spans="1:36">
      <c r="A2558" t="s">
        <v>381</v>
      </c>
      <c r="B2558" t="s">
        <v>2843</v>
      </c>
      <c r="C2558" t="s">
        <v>116</v>
      </c>
      <c r="D2558" t="s">
        <v>60</v>
      </c>
      <c r="E2558" t="s">
        <v>69</v>
      </c>
      <c r="F2558">
        <v>0</v>
      </c>
      <c r="G2558">
        <v>3954</v>
      </c>
      <c r="H2558">
        <v>1</v>
      </c>
      <c r="I2558" t="s">
        <v>181</v>
      </c>
      <c r="J2558">
        <v>3</v>
      </c>
      <c r="K2558" s="6">
        <v>8.76</v>
      </c>
      <c r="L2558" t="s">
        <v>200</v>
      </c>
      <c r="M2558">
        <v>1</v>
      </c>
      <c r="N2558" t="s">
        <v>187</v>
      </c>
      <c r="O2558">
        <v>2</v>
      </c>
      <c r="P2558">
        <v>0</v>
      </c>
      <c r="Q2558" s="6">
        <v>76.400000000000006</v>
      </c>
      <c r="R2558">
        <v>1</v>
      </c>
      <c r="S2558" s="6">
        <v>2570</v>
      </c>
      <c r="T2558">
        <v>0</v>
      </c>
      <c r="U2558" s="6">
        <v>459</v>
      </c>
      <c r="V2558">
        <v>0</v>
      </c>
      <c r="W2558">
        <v>0</v>
      </c>
      <c r="X2558">
        <v>0</v>
      </c>
      <c r="Y2558" s="6">
        <v>51.6</v>
      </c>
      <c r="Z2558">
        <v>0.36099999999999999</v>
      </c>
      <c r="AA2558">
        <v>4.2999999999999997E-2</v>
      </c>
      <c r="AB2558">
        <v>5.5E-2</v>
      </c>
      <c r="AC2558">
        <v>6</v>
      </c>
      <c r="AD2558" s="6">
        <v>139</v>
      </c>
      <c r="AE2558" s="6">
        <v>40</v>
      </c>
      <c r="AF2558" s="6">
        <v>0</v>
      </c>
      <c r="AG2558" s="6">
        <v>122.89</v>
      </c>
      <c r="AH2558" s="6">
        <v>157.63999999999999</v>
      </c>
      <c r="AI2558" s="6">
        <f t="shared" si="78"/>
        <v>34.749999999999986</v>
      </c>
      <c r="AJ2558" s="5">
        <f t="shared" si="79"/>
        <v>0.22043897487947214</v>
      </c>
    </row>
    <row r="2559" spans="1:36">
      <c r="A2559" t="s">
        <v>303</v>
      </c>
      <c r="B2559" t="s">
        <v>2844</v>
      </c>
      <c r="C2559" t="s">
        <v>116</v>
      </c>
      <c r="D2559" t="s">
        <v>60</v>
      </c>
      <c r="E2559" t="s">
        <v>69</v>
      </c>
      <c r="F2559">
        <v>0</v>
      </c>
      <c r="G2559">
        <v>3954</v>
      </c>
      <c r="H2559">
        <v>1</v>
      </c>
      <c r="I2559" t="s">
        <v>181</v>
      </c>
      <c r="J2559">
        <v>3</v>
      </c>
      <c r="K2559" s="6">
        <v>12.49</v>
      </c>
      <c r="L2559" t="s">
        <v>174</v>
      </c>
      <c r="M2559">
        <v>0</v>
      </c>
      <c r="N2559" t="s">
        <v>175</v>
      </c>
      <c r="O2559">
        <v>1</v>
      </c>
      <c r="P2559">
        <v>0</v>
      </c>
      <c r="Q2559" s="6">
        <v>41.5</v>
      </c>
      <c r="R2559">
        <v>0</v>
      </c>
      <c r="S2559" s="6">
        <v>0</v>
      </c>
      <c r="T2559">
        <v>0</v>
      </c>
      <c r="U2559" s="6">
        <v>908</v>
      </c>
      <c r="V2559">
        <v>0</v>
      </c>
      <c r="W2559">
        <v>0</v>
      </c>
      <c r="X2559">
        <v>0</v>
      </c>
      <c r="Y2559" s="6">
        <v>51.6</v>
      </c>
      <c r="Z2559">
        <v>0.36099999999999999</v>
      </c>
      <c r="AA2559">
        <v>4.2999999999999997E-2</v>
      </c>
      <c r="AB2559">
        <v>5.5E-2</v>
      </c>
      <c r="AC2559">
        <v>6</v>
      </c>
      <c r="AD2559" s="6">
        <v>60</v>
      </c>
      <c r="AE2559" s="6">
        <v>0</v>
      </c>
      <c r="AF2559" s="6">
        <v>0</v>
      </c>
      <c r="AG2559" s="6">
        <v>102.28</v>
      </c>
      <c r="AH2559" s="6">
        <v>130.05000000000001</v>
      </c>
      <c r="AI2559" s="6">
        <f t="shared" si="78"/>
        <v>27.77000000000001</v>
      </c>
      <c r="AJ2559" s="5">
        <f t="shared" si="79"/>
        <v>0.2135332564398309</v>
      </c>
    </row>
    <row r="2560" spans="1:36">
      <c r="A2560" t="s">
        <v>215</v>
      </c>
      <c r="B2560" t="s">
        <v>2845</v>
      </c>
      <c r="C2560" t="s">
        <v>116</v>
      </c>
      <c r="D2560" t="s">
        <v>60</v>
      </c>
      <c r="E2560" t="s">
        <v>69</v>
      </c>
      <c r="F2560">
        <v>0</v>
      </c>
      <c r="G2560">
        <v>3954</v>
      </c>
      <c r="H2560">
        <v>1.22</v>
      </c>
      <c r="I2560" t="s">
        <v>178</v>
      </c>
      <c r="J2560">
        <v>4</v>
      </c>
      <c r="K2560" s="6">
        <v>17.809999999999999</v>
      </c>
      <c r="L2560" t="s">
        <v>174</v>
      </c>
      <c r="M2560">
        <v>0</v>
      </c>
      <c r="N2560" t="s">
        <v>182</v>
      </c>
      <c r="O2560">
        <v>3</v>
      </c>
      <c r="P2560">
        <v>0</v>
      </c>
      <c r="Q2560" s="6">
        <v>116</v>
      </c>
      <c r="R2560">
        <v>0</v>
      </c>
      <c r="S2560" s="6">
        <v>0</v>
      </c>
      <c r="T2560">
        <v>0</v>
      </c>
      <c r="U2560" s="6">
        <v>803</v>
      </c>
      <c r="V2560">
        <v>0</v>
      </c>
      <c r="W2560">
        <v>0</v>
      </c>
      <c r="X2560">
        <v>0</v>
      </c>
      <c r="Y2560" s="6">
        <v>51.6</v>
      </c>
      <c r="Z2560">
        <v>0.36099999999999999</v>
      </c>
      <c r="AA2560">
        <v>4.2999999999999997E-2</v>
      </c>
      <c r="AB2560">
        <v>5.5E-2</v>
      </c>
      <c r="AC2560">
        <v>6</v>
      </c>
      <c r="AD2560" s="6">
        <v>65</v>
      </c>
      <c r="AE2560" s="6">
        <v>0</v>
      </c>
      <c r="AF2560" s="6">
        <v>0</v>
      </c>
      <c r="AG2560" s="6">
        <v>156.75</v>
      </c>
      <c r="AH2560" s="6">
        <v>197.27</v>
      </c>
      <c r="AI2560" s="6">
        <f t="shared" si="78"/>
        <v>40.52000000000001</v>
      </c>
      <c r="AJ2560" s="5">
        <f t="shared" si="79"/>
        <v>0.20540376134232274</v>
      </c>
    </row>
    <row r="2561" spans="1:36">
      <c r="A2561" t="s">
        <v>279</v>
      </c>
      <c r="B2561" t="s">
        <v>2846</v>
      </c>
      <c r="C2561" t="s">
        <v>116</v>
      </c>
      <c r="D2561" t="s">
        <v>60</v>
      </c>
      <c r="E2561" t="s">
        <v>69</v>
      </c>
      <c r="F2561">
        <v>0</v>
      </c>
      <c r="G2561">
        <v>3954</v>
      </c>
      <c r="H2561">
        <v>1.22</v>
      </c>
      <c r="I2561" t="s">
        <v>220</v>
      </c>
      <c r="J2561">
        <v>2</v>
      </c>
      <c r="K2561" s="6">
        <v>3.63</v>
      </c>
      <c r="L2561" t="s">
        <v>174</v>
      </c>
      <c r="M2561">
        <v>0</v>
      </c>
      <c r="N2561" t="s">
        <v>175</v>
      </c>
      <c r="O2561">
        <v>1</v>
      </c>
      <c r="P2561">
        <v>0</v>
      </c>
      <c r="Q2561" s="6">
        <v>42.6</v>
      </c>
      <c r="R2561">
        <v>0</v>
      </c>
      <c r="S2561" s="6">
        <v>0</v>
      </c>
      <c r="T2561">
        <v>0</v>
      </c>
      <c r="U2561" s="6">
        <v>1087</v>
      </c>
      <c r="V2561">
        <v>0</v>
      </c>
      <c r="W2561">
        <v>0</v>
      </c>
      <c r="X2561">
        <v>0</v>
      </c>
      <c r="Y2561" s="6">
        <v>51.6</v>
      </c>
      <c r="Z2561">
        <v>0.36099999999999999</v>
      </c>
      <c r="AA2561">
        <v>4.2999999999999997E-2</v>
      </c>
      <c r="AB2561">
        <v>5.5E-2</v>
      </c>
      <c r="AC2561">
        <v>6</v>
      </c>
      <c r="AD2561" s="6">
        <v>50</v>
      </c>
      <c r="AE2561" s="6">
        <v>0</v>
      </c>
      <c r="AF2561" s="6">
        <v>0</v>
      </c>
      <c r="AG2561" s="6">
        <v>62.88</v>
      </c>
      <c r="AH2561" s="6">
        <v>82.91</v>
      </c>
      <c r="AI2561" s="6">
        <f t="shared" si="78"/>
        <v>20.029999999999994</v>
      </c>
      <c r="AJ2561" s="5">
        <f t="shared" si="79"/>
        <v>0.24158726329755151</v>
      </c>
    </row>
    <row r="2562" spans="1:36">
      <c r="A2562" t="s">
        <v>579</v>
      </c>
      <c r="B2562" t="s">
        <v>2847</v>
      </c>
      <c r="C2562" t="s">
        <v>116</v>
      </c>
      <c r="D2562" t="s">
        <v>60</v>
      </c>
      <c r="E2562" t="s">
        <v>69</v>
      </c>
      <c r="F2562">
        <v>0</v>
      </c>
      <c r="G2562">
        <v>3954</v>
      </c>
      <c r="H2562">
        <v>1</v>
      </c>
      <c r="I2562" t="s">
        <v>220</v>
      </c>
      <c r="J2562">
        <v>2</v>
      </c>
      <c r="K2562" s="6">
        <v>4.17</v>
      </c>
      <c r="L2562" t="s">
        <v>174</v>
      </c>
      <c r="M2562">
        <v>0</v>
      </c>
      <c r="N2562" t="s">
        <v>187</v>
      </c>
      <c r="O2562">
        <v>2</v>
      </c>
      <c r="P2562">
        <v>0</v>
      </c>
      <c r="Q2562" s="6">
        <v>56.2</v>
      </c>
      <c r="R2562">
        <v>0</v>
      </c>
      <c r="S2562" s="6">
        <v>0</v>
      </c>
      <c r="T2562">
        <v>0</v>
      </c>
      <c r="U2562" s="6">
        <v>3771</v>
      </c>
      <c r="V2562">
        <v>0</v>
      </c>
      <c r="W2562">
        <v>0</v>
      </c>
      <c r="X2562">
        <v>0</v>
      </c>
      <c r="Y2562" s="6">
        <v>51.6</v>
      </c>
      <c r="Z2562">
        <v>0.36099999999999999</v>
      </c>
      <c r="AA2562">
        <v>4.2999999999999997E-2</v>
      </c>
      <c r="AB2562">
        <v>5.5E-2</v>
      </c>
      <c r="AC2562">
        <v>6</v>
      </c>
      <c r="AD2562" s="6">
        <v>50</v>
      </c>
      <c r="AE2562" s="6">
        <v>0</v>
      </c>
      <c r="AF2562" s="6">
        <v>0</v>
      </c>
      <c r="AG2562" s="6">
        <v>67.81</v>
      </c>
      <c r="AH2562" s="6">
        <v>87.81</v>
      </c>
      <c r="AI2562" s="6">
        <f t="shared" ref="AI2562:AI2625" si="80">AH2562-AG2562</f>
        <v>20</v>
      </c>
      <c r="AJ2562" s="5">
        <f t="shared" ref="AJ2562:AJ2625" si="81">IFERROR(AI2562/AH2562,0)</f>
        <v>0.22776449151577269</v>
      </c>
    </row>
    <row r="2563" spans="1:36">
      <c r="A2563" t="s">
        <v>494</v>
      </c>
      <c r="B2563" t="s">
        <v>2848</v>
      </c>
      <c r="C2563" t="s">
        <v>116</v>
      </c>
      <c r="D2563" t="s">
        <v>60</v>
      </c>
      <c r="E2563" t="s">
        <v>69</v>
      </c>
      <c r="F2563">
        <v>0</v>
      </c>
      <c r="G2563">
        <v>3954</v>
      </c>
      <c r="H2563">
        <v>1</v>
      </c>
      <c r="I2563" t="s">
        <v>173</v>
      </c>
      <c r="J2563">
        <v>1</v>
      </c>
      <c r="K2563" s="6">
        <v>1.63</v>
      </c>
      <c r="L2563" t="s">
        <v>174</v>
      </c>
      <c r="M2563">
        <v>0</v>
      </c>
      <c r="N2563" t="s">
        <v>187</v>
      </c>
      <c r="O2563">
        <v>2</v>
      </c>
      <c r="P2563">
        <v>0</v>
      </c>
      <c r="Q2563" s="6">
        <v>38.700000000000003</v>
      </c>
      <c r="R2563">
        <v>1</v>
      </c>
      <c r="S2563" s="6">
        <v>3133</v>
      </c>
      <c r="T2563">
        <v>0</v>
      </c>
      <c r="U2563" s="6">
        <v>2702</v>
      </c>
      <c r="V2563">
        <v>0</v>
      </c>
      <c r="W2563">
        <v>0</v>
      </c>
      <c r="X2563">
        <v>0</v>
      </c>
      <c r="Y2563" s="6">
        <v>51.6</v>
      </c>
      <c r="Z2563">
        <v>0.36099999999999999</v>
      </c>
      <c r="AA2563">
        <v>4.2999999999999997E-2</v>
      </c>
      <c r="AB2563">
        <v>5.5E-2</v>
      </c>
      <c r="AC2563">
        <v>6</v>
      </c>
      <c r="AD2563" s="6">
        <v>50</v>
      </c>
      <c r="AE2563" s="6">
        <v>40</v>
      </c>
      <c r="AF2563" s="6">
        <v>0</v>
      </c>
      <c r="AG2563" s="6">
        <v>63.09</v>
      </c>
      <c r="AH2563" s="6">
        <v>83.36</v>
      </c>
      <c r="AI2563" s="6">
        <f t="shared" si="80"/>
        <v>20.269999999999996</v>
      </c>
      <c r="AJ2563" s="5">
        <f t="shared" si="81"/>
        <v>0.24316218809980802</v>
      </c>
    </row>
    <row r="2564" spans="1:36">
      <c r="A2564" t="s">
        <v>249</v>
      </c>
      <c r="B2564" t="s">
        <v>2849</v>
      </c>
      <c r="C2564" t="s">
        <v>116</v>
      </c>
      <c r="D2564" t="s">
        <v>60</v>
      </c>
      <c r="E2564" t="s">
        <v>69</v>
      </c>
      <c r="F2564">
        <v>0</v>
      </c>
      <c r="G2564">
        <v>3954</v>
      </c>
      <c r="H2564">
        <v>1</v>
      </c>
      <c r="I2564" t="s">
        <v>181</v>
      </c>
      <c r="J2564">
        <v>3</v>
      </c>
      <c r="K2564" s="6">
        <v>8.0299999999999994</v>
      </c>
      <c r="L2564" t="s">
        <v>174</v>
      </c>
      <c r="M2564">
        <v>0</v>
      </c>
      <c r="N2564" t="s">
        <v>175</v>
      </c>
      <c r="O2564">
        <v>1</v>
      </c>
      <c r="P2564">
        <v>0</v>
      </c>
      <c r="Q2564" s="6">
        <v>50.8</v>
      </c>
      <c r="R2564">
        <v>1</v>
      </c>
      <c r="S2564" s="6">
        <v>6948</v>
      </c>
      <c r="T2564">
        <v>0</v>
      </c>
      <c r="U2564" s="6">
        <v>672</v>
      </c>
      <c r="V2564">
        <v>0</v>
      </c>
      <c r="W2564">
        <v>0</v>
      </c>
      <c r="X2564">
        <v>0</v>
      </c>
      <c r="Y2564" s="6">
        <v>51.6</v>
      </c>
      <c r="Z2564">
        <v>0.36099999999999999</v>
      </c>
      <c r="AA2564">
        <v>4.2999999999999997E-2</v>
      </c>
      <c r="AB2564">
        <v>5.5E-2</v>
      </c>
      <c r="AC2564">
        <v>6</v>
      </c>
      <c r="AD2564" s="6">
        <v>60</v>
      </c>
      <c r="AE2564" s="6">
        <v>50</v>
      </c>
      <c r="AF2564" s="6">
        <v>0</v>
      </c>
      <c r="AG2564" s="6">
        <v>95.63</v>
      </c>
      <c r="AH2564" s="6">
        <v>121.61</v>
      </c>
      <c r="AI2564" s="6">
        <f t="shared" si="80"/>
        <v>25.980000000000004</v>
      </c>
      <c r="AJ2564" s="5">
        <f t="shared" si="81"/>
        <v>0.21363374722473485</v>
      </c>
    </row>
    <row r="2565" spans="1:36">
      <c r="A2565" t="s">
        <v>343</v>
      </c>
      <c r="B2565" t="s">
        <v>2850</v>
      </c>
      <c r="C2565" t="s">
        <v>116</v>
      </c>
      <c r="D2565" t="s">
        <v>60</v>
      </c>
      <c r="E2565" t="s">
        <v>69</v>
      </c>
      <c r="F2565">
        <v>0</v>
      </c>
      <c r="G2565">
        <v>3954</v>
      </c>
      <c r="H2565">
        <v>1</v>
      </c>
      <c r="I2565" t="s">
        <v>173</v>
      </c>
      <c r="J2565">
        <v>1</v>
      </c>
      <c r="K2565" s="6">
        <v>2.97</v>
      </c>
      <c r="L2565" t="s">
        <v>200</v>
      </c>
      <c r="M2565">
        <v>1</v>
      </c>
      <c r="N2565" t="s">
        <v>175</v>
      </c>
      <c r="O2565">
        <v>1</v>
      </c>
      <c r="P2565">
        <v>0</v>
      </c>
      <c r="Q2565" s="6">
        <v>39.4</v>
      </c>
      <c r="R2565">
        <v>0</v>
      </c>
      <c r="S2565" s="6">
        <v>0</v>
      </c>
      <c r="T2565">
        <v>0</v>
      </c>
      <c r="U2565" s="6">
        <v>1193</v>
      </c>
      <c r="V2565">
        <v>0</v>
      </c>
      <c r="W2565">
        <v>0</v>
      </c>
      <c r="X2565">
        <v>0</v>
      </c>
      <c r="Y2565" s="6">
        <v>51.6</v>
      </c>
      <c r="Z2565">
        <v>0.36099999999999999</v>
      </c>
      <c r="AA2565">
        <v>4.2999999999999997E-2</v>
      </c>
      <c r="AB2565">
        <v>5.5E-2</v>
      </c>
      <c r="AC2565">
        <v>6</v>
      </c>
      <c r="AD2565" s="6">
        <v>99</v>
      </c>
      <c r="AE2565" s="6">
        <v>0</v>
      </c>
      <c r="AF2565" s="6">
        <v>0</v>
      </c>
      <c r="AG2565" s="6">
        <v>77.16</v>
      </c>
      <c r="AH2565" s="6">
        <v>102.44</v>
      </c>
      <c r="AI2565" s="6">
        <f t="shared" si="80"/>
        <v>25.28</v>
      </c>
      <c r="AJ2565" s="5">
        <f t="shared" si="81"/>
        <v>0.24677860210855138</v>
      </c>
    </row>
    <row r="2566" spans="1:36">
      <c r="A2566" t="s">
        <v>284</v>
      </c>
      <c r="B2566" t="s">
        <v>2851</v>
      </c>
      <c r="C2566" t="s">
        <v>116</v>
      </c>
      <c r="D2566" t="s">
        <v>60</v>
      </c>
      <c r="E2566" t="s">
        <v>69</v>
      </c>
      <c r="F2566">
        <v>0</v>
      </c>
      <c r="G2566">
        <v>3954</v>
      </c>
      <c r="H2566">
        <v>1.22</v>
      </c>
      <c r="I2566" t="s">
        <v>220</v>
      </c>
      <c r="J2566">
        <v>2</v>
      </c>
      <c r="K2566" s="6">
        <v>5.64</v>
      </c>
      <c r="L2566" t="s">
        <v>174</v>
      </c>
      <c r="M2566">
        <v>0</v>
      </c>
      <c r="N2566" t="s">
        <v>175</v>
      </c>
      <c r="O2566">
        <v>1</v>
      </c>
      <c r="P2566">
        <v>0</v>
      </c>
      <c r="Q2566" s="6">
        <v>33.1</v>
      </c>
      <c r="R2566">
        <v>0</v>
      </c>
      <c r="S2566" s="6">
        <v>0</v>
      </c>
      <c r="T2566">
        <v>0</v>
      </c>
      <c r="U2566" s="6">
        <v>407</v>
      </c>
      <c r="V2566">
        <v>0</v>
      </c>
      <c r="W2566">
        <v>0</v>
      </c>
      <c r="X2566">
        <v>0</v>
      </c>
      <c r="Y2566" s="6">
        <v>51.6</v>
      </c>
      <c r="Z2566">
        <v>0.36099999999999999</v>
      </c>
      <c r="AA2566">
        <v>4.2999999999999997E-2</v>
      </c>
      <c r="AB2566">
        <v>5.5E-2</v>
      </c>
      <c r="AC2566">
        <v>6</v>
      </c>
      <c r="AD2566" s="6">
        <v>50</v>
      </c>
      <c r="AE2566" s="6">
        <v>0</v>
      </c>
      <c r="AF2566" s="6">
        <v>0</v>
      </c>
      <c r="AG2566" s="6">
        <v>63.57</v>
      </c>
      <c r="AH2566" s="6">
        <v>83.74</v>
      </c>
      <c r="AI2566" s="6">
        <f t="shared" si="80"/>
        <v>20.169999999999995</v>
      </c>
      <c r="AJ2566" s="5">
        <f t="shared" si="81"/>
        <v>0.24086458084547405</v>
      </c>
    </row>
    <row r="2567" spans="1:36">
      <c r="A2567" t="s">
        <v>230</v>
      </c>
      <c r="B2567" t="s">
        <v>2852</v>
      </c>
      <c r="C2567" t="s">
        <v>116</v>
      </c>
      <c r="D2567" t="s">
        <v>60</v>
      </c>
      <c r="E2567" t="s">
        <v>69</v>
      </c>
      <c r="F2567">
        <v>0</v>
      </c>
      <c r="G2567">
        <v>3954</v>
      </c>
      <c r="H2567">
        <v>1</v>
      </c>
      <c r="I2567" t="s">
        <v>181</v>
      </c>
      <c r="J2567">
        <v>3</v>
      </c>
      <c r="K2567" s="6">
        <v>5.34</v>
      </c>
      <c r="L2567" t="s">
        <v>174</v>
      </c>
      <c r="M2567">
        <v>0</v>
      </c>
      <c r="N2567" t="s">
        <v>175</v>
      </c>
      <c r="O2567">
        <v>1</v>
      </c>
      <c r="P2567">
        <v>0</v>
      </c>
      <c r="Q2567" s="6">
        <v>34.9</v>
      </c>
      <c r="R2567">
        <v>0</v>
      </c>
      <c r="S2567" s="6">
        <v>0</v>
      </c>
      <c r="T2567">
        <v>0</v>
      </c>
      <c r="U2567" s="6">
        <v>1334</v>
      </c>
      <c r="V2567">
        <v>0</v>
      </c>
      <c r="W2567">
        <v>0</v>
      </c>
      <c r="X2567">
        <v>0</v>
      </c>
      <c r="Y2567" s="6">
        <v>51.6</v>
      </c>
      <c r="Z2567">
        <v>0.36099999999999999</v>
      </c>
      <c r="AA2567">
        <v>4.2999999999999997E-2</v>
      </c>
      <c r="AB2567">
        <v>5.5E-2</v>
      </c>
      <c r="AC2567">
        <v>6</v>
      </c>
      <c r="AD2567" s="6">
        <v>60</v>
      </c>
      <c r="AE2567" s="6">
        <v>0</v>
      </c>
      <c r="AF2567" s="6">
        <v>0</v>
      </c>
      <c r="AG2567" s="6">
        <v>71.33</v>
      </c>
      <c r="AH2567" s="6">
        <v>92.97</v>
      </c>
      <c r="AI2567" s="6">
        <f t="shared" si="80"/>
        <v>21.64</v>
      </c>
      <c r="AJ2567" s="5">
        <f t="shared" si="81"/>
        <v>0.23276325696461225</v>
      </c>
    </row>
    <row r="2568" spans="1:36">
      <c r="A2568" t="s">
        <v>345</v>
      </c>
      <c r="B2568" t="s">
        <v>2853</v>
      </c>
      <c r="C2568" t="s">
        <v>116</v>
      </c>
      <c r="D2568" t="s">
        <v>60</v>
      </c>
      <c r="E2568" t="s">
        <v>69</v>
      </c>
      <c r="F2568">
        <v>0</v>
      </c>
      <c r="G2568">
        <v>3954</v>
      </c>
      <c r="H2568">
        <v>1</v>
      </c>
      <c r="I2568" t="s">
        <v>181</v>
      </c>
      <c r="J2568">
        <v>3</v>
      </c>
      <c r="K2568" s="6">
        <v>10.78</v>
      </c>
      <c r="L2568" t="s">
        <v>200</v>
      </c>
      <c r="M2568">
        <v>1</v>
      </c>
      <c r="N2568" t="s">
        <v>187</v>
      </c>
      <c r="O2568">
        <v>2</v>
      </c>
      <c r="P2568">
        <v>0</v>
      </c>
      <c r="Q2568" s="6">
        <v>42.7</v>
      </c>
      <c r="R2568">
        <v>0</v>
      </c>
      <c r="S2568" s="6">
        <v>0</v>
      </c>
      <c r="T2568">
        <v>0</v>
      </c>
      <c r="U2568" s="6">
        <v>2558</v>
      </c>
      <c r="V2568">
        <v>0</v>
      </c>
      <c r="W2568">
        <v>0</v>
      </c>
      <c r="X2568">
        <v>0</v>
      </c>
      <c r="Y2568" s="6">
        <v>51.6</v>
      </c>
      <c r="Z2568">
        <v>0.36099999999999999</v>
      </c>
      <c r="AA2568">
        <v>4.2999999999999997E-2</v>
      </c>
      <c r="AB2568">
        <v>5.5E-2</v>
      </c>
      <c r="AC2568">
        <v>6</v>
      </c>
      <c r="AD2568" s="6">
        <v>139</v>
      </c>
      <c r="AE2568" s="6">
        <v>0</v>
      </c>
      <c r="AF2568" s="6">
        <v>0</v>
      </c>
      <c r="AG2568" s="6">
        <v>131.44999999999999</v>
      </c>
      <c r="AH2568" s="6">
        <v>165.73</v>
      </c>
      <c r="AI2568" s="6">
        <f t="shared" si="80"/>
        <v>34.28</v>
      </c>
      <c r="AJ2568" s="5">
        <f t="shared" si="81"/>
        <v>0.20684245459482292</v>
      </c>
    </row>
    <row r="2569" spans="1:36">
      <c r="A2569" t="s">
        <v>323</v>
      </c>
      <c r="B2569" t="s">
        <v>2854</v>
      </c>
      <c r="C2569" t="s">
        <v>116</v>
      </c>
      <c r="D2569" t="s">
        <v>60</v>
      </c>
      <c r="E2569" t="s">
        <v>69</v>
      </c>
      <c r="F2569">
        <v>0</v>
      </c>
      <c r="G2569">
        <v>3954</v>
      </c>
      <c r="H2569">
        <v>1.22</v>
      </c>
      <c r="I2569" t="s">
        <v>181</v>
      </c>
      <c r="J2569">
        <v>3</v>
      </c>
      <c r="K2569" s="6">
        <v>10.58</v>
      </c>
      <c r="L2569" t="s">
        <v>200</v>
      </c>
      <c r="M2569">
        <v>1</v>
      </c>
      <c r="N2569" t="s">
        <v>187</v>
      </c>
      <c r="O2569">
        <v>2</v>
      </c>
      <c r="P2569">
        <v>0</v>
      </c>
      <c r="Q2569" s="6">
        <v>57.3</v>
      </c>
      <c r="R2569">
        <v>0</v>
      </c>
      <c r="S2569" s="6">
        <v>0</v>
      </c>
      <c r="T2569">
        <v>0</v>
      </c>
      <c r="U2569" s="6">
        <v>1424</v>
      </c>
      <c r="V2569">
        <v>0</v>
      </c>
      <c r="W2569">
        <v>0</v>
      </c>
      <c r="X2569">
        <v>0</v>
      </c>
      <c r="Y2569" s="6">
        <v>51.6</v>
      </c>
      <c r="Z2569">
        <v>0.36099999999999999</v>
      </c>
      <c r="AA2569">
        <v>4.2999999999999997E-2</v>
      </c>
      <c r="AB2569">
        <v>5.5E-2</v>
      </c>
      <c r="AC2569">
        <v>6</v>
      </c>
      <c r="AD2569" s="6">
        <v>139</v>
      </c>
      <c r="AE2569" s="6">
        <v>0</v>
      </c>
      <c r="AF2569" s="6">
        <v>0</v>
      </c>
      <c r="AG2569" s="6">
        <v>135.81</v>
      </c>
      <c r="AH2569" s="6">
        <v>173</v>
      </c>
      <c r="AI2569" s="6">
        <f t="shared" si="80"/>
        <v>37.19</v>
      </c>
      <c r="AJ2569" s="5">
        <f t="shared" si="81"/>
        <v>0.21497109826589594</v>
      </c>
    </row>
    <row r="2570" spans="1:36">
      <c r="A2570" t="s">
        <v>176</v>
      </c>
      <c r="B2570" t="s">
        <v>2855</v>
      </c>
      <c r="C2570" t="s">
        <v>116</v>
      </c>
      <c r="D2570" t="s">
        <v>60</v>
      </c>
      <c r="E2570" t="s">
        <v>69</v>
      </c>
      <c r="F2570">
        <v>0</v>
      </c>
      <c r="G2570">
        <v>3954</v>
      </c>
      <c r="H2570">
        <v>1.22</v>
      </c>
      <c r="I2570" t="s">
        <v>220</v>
      </c>
      <c r="J2570">
        <v>2</v>
      </c>
      <c r="K2570" s="6">
        <v>4.83</v>
      </c>
      <c r="L2570" t="s">
        <v>200</v>
      </c>
      <c r="M2570">
        <v>1</v>
      </c>
      <c r="N2570" t="s">
        <v>187</v>
      </c>
      <c r="O2570">
        <v>2</v>
      </c>
      <c r="P2570">
        <v>0</v>
      </c>
      <c r="Q2570" s="6">
        <v>35.6</v>
      </c>
      <c r="R2570">
        <v>0</v>
      </c>
      <c r="S2570" s="6">
        <v>0</v>
      </c>
      <c r="T2570">
        <v>0</v>
      </c>
      <c r="U2570" s="6">
        <v>2178</v>
      </c>
      <c r="V2570">
        <v>0</v>
      </c>
      <c r="W2570">
        <v>0</v>
      </c>
      <c r="X2570">
        <v>0</v>
      </c>
      <c r="Y2570" s="6">
        <v>51.6</v>
      </c>
      <c r="Z2570">
        <v>0.36099999999999999</v>
      </c>
      <c r="AA2570">
        <v>4.2999999999999997E-2</v>
      </c>
      <c r="AB2570">
        <v>5.5E-2</v>
      </c>
      <c r="AC2570">
        <v>6</v>
      </c>
      <c r="AD2570" s="6">
        <v>119</v>
      </c>
      <c r="AE2570" s="6">
        <v>0</v>
      </c>
      <c r="AF2570" s="6">
        <v>0</v>
      </c>
      <c r="AG2570" s="6">
        <v>100.98</v>
      </c>
      <c r="AH2570" s="6">
        <v>127.09</v>
      </c>
      <c r="AI2570" s="6">
        <f t="shared" si="80"/>
        <v>26.11</v>
      </c>
      <c r="AJ2570" s="5">
        <f t="shared" si="81"/>
        <v>0.20544496026437956</v>
      </c>
    </row>
    <row r="2571" spans="1:36">
      <c r="A2571" t="s">
        <v>403</v>
      </c>
      <c r="B2571" t="s">
        <v>2856</v>
      </c>
      <c r="C2571" t="s">
        <v>116</v>
      </c>
      <c r="D2571" t="s">
        <v>60</v>
      </c>
      <c r="E2571" t="s">
        <v>69</v>
      </c>
      <c r="F2571">
        <v>0</v>
      </c>
      <c r="G2571">
        <v>3954</v>
      </c>
      <c r="H2571">
        <v>1.22</v>
      </c>
      <c r="I2571" t="s">
        <v>181</v>
      </c>
      <c r="J2571">
        <v>3</v>
      </c>
      <c r="K2571" s="6">
        <v>5.64</v>
      </c>
      <c r="L2571" t="s">
        <v>200</v>
      </c>
      <c r="M2571">
        <v>1</v>
      </c>
      <c r="N2571" t="s">
        <v>175</v>
      </c>
      <c r="O2571">
        <v>1</v>
      </c>
      <c r="P2571">
        <v>1</v>
      </c>
      <c r="Q2571" s="6">
        <v>31.5</v>
      </c>
      <c r="R2571">
        <v>0</v>
      </c>
      <c r="S2571" s="6">
        <v>0</v>
      </c>
      <c r="T2571">
        <v>0</v>
      </c>
      <c r="U2571" s="6">
        <v>566</v>
      </c>
      <c r="V2571">
        <v>0</v>
      </c>
      <c r="W2571">
        <v>0</v>
      </c>
      <c r="X2571">
        <v>0</v>
      </c>
      <c r="Y2571" s="6">
        <v>51.6</v>
      </c>
      <c r="Z2571">
        <v>0.36099999999999999</v>
      </c>
      <c r="AA2571">
        <v>4.2999999999999997E-2</v>
      </c>
      <c r="AB2571">
        <v>5.5E-2</v>
      </c>
      <c r="AC2571">
        <v>6</v>
      </c>
      <c r="AD2571" s="6">
        <v>139</v>
      </c>
      <c r="AE2571" s="6">
        <v>0</v>
      </c>
      <c r="AF2571" s="6">
        <v>0</v>
      </c>
      <c r="AG2571" s="6">
        <v>149.36000000000001</v>
      </c>
      <c r="AH2571" s="6">
        <v>187.67</v>
      </c>
      <c r="AI2571" s="6">
        <f t="shared" si="80"/>
        <v>38.309999999999974</v>
      </c>
      <c r="AJ2571" s="5">
        <f t="shared" si="81"/>
        <v>0.20413491767464154</v>
      </c>
    </row>
    <row r="2572" spans="1:36">
      <c r="A2572" t="s">
        <v>328</v>
      </c>
      <c r="B2572" t="s">
        <v>2857</v>
      </c>
      <c r="C2572" t="s">
        <v>118</v>
      </c>
      <c r="D2572" t="s">
        <v>96</v>
      </c>
      <c r="E2572" t="s">
        <v>55</v>
      </c>
      <c r="F2572">
        <v>0</v>
      </c>
      <c r="G2572">
        <v>1347</v>
      </c>
      <c r="H2572">
        <v>1</v>
      </c>
      <c r="I2572" t="s">
        <v>173</v>
      </c>
      <c r="J2572">
        <v>1</v>
      </c>
      <c r="K2572" s="6">
        <v>2.77</v>
      </c>
      <c r="L2572" t="s">
        <v>174</v>
      </c>
      <c r="M2572">
        <v>0</v>
      </c>
      <c r="N2572" t="s">
        <v>182</v>
      </c>
      <c r="O2572">
        <v>3</v>
      </c>
      <c r="P2572">
        <v>0</v>
      </c>
      <c r="Q2572" s="6">
        <v>95.2</v>
      </c>
      <c r="R2572">
        <v>1</v>
      </c>
      <c r="S2572" s="6">
        <v>1109</v>
      </c>
      <c r="T2572">
        <v>0</v>
      </c>
      <c r="U2572" s="6">
        <v>799</v>
      </c>
      <c r="V2572">
        <v>0</v>
      </c>
      <c r="W2572">
        <v>0</v>
      </c>
      <c r="X2572">
        <v>0</v>
      </c>
      <c r="Y2572" s="6">
        <v>45.6</v>
      </c>
      <c r="Z2572">
        <v>2.5000000000000001E-2</v>
      </c>
      <c r="AA2572">
        <v>0.14099999999999999</v>
      </c>
      <c r="AB2572">
        <v>2.4E-2</v>
      </c>
      <c r="AC2572">
        <v>6</v>
      </c>
      <c r="AD2572" s="6">
        <v>50</v>
      </c>
      <c r="AE2572" s="6">
        <v>25</v>
      </c>
      <c r="AF2572" s="6">
        <v>0</v>
      </c>
      <c r="AG2572" s="6">
        <v>59.09</v>
      </c>
      <c r="AH2572" s="6">
        <v>78.3</v>
      </c>
      <c r="AI2572" s="6">
        <f t="shared" si="80"/>
        <v>19.209999999999994</v>
      </c>
      <c r="AJ2572" s="5">
        <f t="shared" si="81"/>
        <v>0.24533844189016596</v>
      </c>
    </row>
    <row r="2573" spans="1:36">
      <c r="A2573" t="s">
        <v>323</v>
      </c>
      <c r="B2573" t="s">
        <v>2858</v>
      </c>
      <c r="C2573" t="s">
        <v>118</v>
      </c>
      <c r="D2573" t="s">
        <v>96</v>
      </c>
      <c r="E2573" t="s">
        <v>55</v>
      </c>
      <c r="F2573">
        <v>0</v>
      </c>
      <c r="G2573">
        <v>1347</v>
      </c>
      <c r="H2573">
        <v>1</v>
      </c>
      <c r="I2573" t="s">
        <v>220</v>
      </c>
      <c r="J2573">
        <v>2</v>
      </c>
      <c r="K2573" s="6">
        <v>3.61</v>
      </c>
      <c r="L2573" t="s">
        <v>174</v>
      </c>
      <c r="M2573">
        <v>0</v>
      </c>
      <c r="N2573" t="s">
        <v>175</v>
      </c>
      <c r="O2573">
        <v>1</v>
      </c>
      <c r="P2573">
        <v>0</v>
      </c>
      <c r="Q2573" s="6">
        <v>11.8</v>
      </c>
      <c r="R2573">
        <v>0</v>
      </c>
      <c r="S2573" s="6">
        <v>0</v>
      </c>
      <c r="T2573">
        <v>0</v>
      </c>
      <c r="U2573" s="6">
        <v>2955</v>
      </c>
      <c r="V2573">
        <v>0</v>
      </c>
      <c r="W2573">
        <v>0</v>
      </c>
      <c r="X2573">
        <v>0</v>
      </c>
      <c r="Y2573" s="6">
        <v>45.6</v>
      </c>
      <c r="Z2573">
        <v>2.5000000000000001E-2</v>
      </c>
      <c r="AA2573">
        <v>0.14099999999999999</v>
      </c>
      <c r="AB2573">
        <v>2.4E-2</v>
      </c>
      <c r="AC2573">
        <v>6</v>
      </c>
      <c r="AD2573" s="6">
        <v>50</v>
      </c>
      <c r="AE2573" s="6">
        <v>0</v>
      </c>
      <c r="AF2573" s="6">
        <v>0</v>
      </c>
      <c r="AG2573" s="6">
        <v>53.38</v>
      </c>
      <c r="AH2573" s="6">
        <v>70.540000000000006</v>
      </c>
      <c r="AI2573" s="6">
        <f t="shared" si="80"/>
        <v>17.160000000000004</v>
      </c>
      <c r="AJ2573" s="5">
        <f t="shared" si="81"/>
        <v>0.24326623192514887</v>
      </c>
    </row>
    <row r="2574" spans="1:36">
      <c r="A2574" t="s">
        <v>293</v>
      </c>
      <c r="B2574" t="s">
        <v>2859</v>
      </c>
      <c r="C2574" t="s">
        <v>118</v>
      </c>
      <c r="D2574" t="s">
        <v>96</v>
      </c>
      <c r="E2574" t="s">
        <v>55</v>
      </c>
      <c r="F2574">
        <v>0</v>
      </c>
      <c r="G2574">
        <v>1347</v>
      </c>
      <c r="H2574">
        <v>1</v>
      </c>
      <c r="I2574" t="s">
        <v>220</v>
      </c>
      <c r="J2574">
        <v>2</v>
      </c>
      <c r="K2574" s="6">
        <v>5.03</v>
      </c>
      <c r="L2574" t="s">
        <v>174</v>
      </c>
      <c r="M2574">
        <v>0</v>
      </c>
      <c r="N2574" t="s">
        <v>182</v>
      </c>
      <c r="O2574">
        <v>3</v>
      </c>
      <c r="P2574">
        <v>0</v>
      </c>
      <c r="Q2574" s="6">
        <v>67.2</v>
      </c>
      <c r="R2574">
        <v>0</v>
      </c>
      <c r="S2574" s="6">
        <v>0</v>
      </c>
      <c r="T2574">
        <v>0</v>
      </c>
      <c r="U2574" s="6">
        <v>1623</v>
      </c>
      <c r="V2574">
        <v>0</v>
      </c>
      <c r="W2574">
        <v>0</v>
      </c>
      <c r="X2574">
        <v>0</v>
      </c>
      <c r="Y2574" s="6">
        <v>45.6</v>
      </c>
      <c r="Z2574">
        <v>2.5000000000000001E-2</v>
      </c>
      <c r="AA2574">
        <v>0.14099999999999999</v>
      </c>
      <c r="AB2574">
        <v>2.4E-2</v>
      </c>
      <c r="AC2574">
        <v>6</v>
      </c>
      <c r="AD2574" s="6">
        <v>50</v>
      </c>
      <c r="AE2574" s="6">
        <v>0</v>
      </c>
      <c r="AF2574" s="6">
        <v>0</v>
      </c>
      <c r="AG2574" s="6">
        <v>62.97</v>
      </c>
      <c r="AH2574" s="6">
        <v>82.23</v>
      </c>
      <c r="AI2574" s="6">
        <f t="shared" si="80"/>
        <v>19.260000000000005</v>
      </c>
      <c r="AJ2574" s="5">
        <f t="shared" si="81"/>
        <v>0.23422108719445464</v>
      </c>
    </row>
    <row r="2575" spans="1:36">
      <c r="A2575" t="s">
        <v>494</v>
      </c>
      <c r="B2575" t="s">
        <v>2860</v>
      </c>
      <c r="C2575" t="s">
        <v>118</v>
      </c>
      <c r="D2575" t="s">
        <v>96</v>
      </c>
      <c r="E2575" t="s">
        <v>55</v>
      </c>
      <c r="F2575">
        <v>0</v>
      </c>
      <c r="G2575">
        <v>1347</v>
      </c>
      <c r="H2575">
        <v>1</v>
      </c>
      <c r="I2575" t="s">
        <v>173</v>
      </c>
      <c r="J2575">
        <v>1</v>
      </c>
      <c r="K2575" s="6">
        <v>1.88</v>
      </c>
      <c r="L2575" t="s">
        <v>174</v>
      </c>
      <c r="M2575">
        <v>0</v>
      </c>
      <c r="N2575" t="s">
        <v>175</v>
      </c>
      <c r="O2575">
        <v>1</v>
      </c>
      <c r="P2575">
        <v>0</v>
      </c>
      <c r="Q2575" s="6">
        <v>50.3</v>
      </c>
      <c r="R2575">
        <v>0</v>
      </c>
      <c r="S2575" s="6">
        <v>0</v>
      </c>
      <c r="T2575">
        <v>0</v>
      </c>
      <c r="U2575" s="6">
        <v>3757</v>
      </c>
      <c r="V2575">
        <v>0</v>
      </c>
      <c r="W2575">
        <v>0</v>
      </c>
      <c r="X2575">
        <v>0</v>
      </c>
      <c r="Y2575" s="6">
        <v>45.6</v>
      </c>
      <c r="Z2575">
        <v>2.5000000000000001E-2</v>
      </c>
      <c r="AA2575">
        <v>0.14099999999999999</v>
      </c>
      <c r="AB2575">
        <v>2.4E-2</v>
      </c>
      <c r="AC2575">
        <v>6</v>
      </c>
      <c r="AD2575" s="6">
        <v>50</v>
      </c>
      <c r="AE2575" s="6">
        <v>0</v>
      </c>
      <c r="AF2575" s="6">
        <v>0</v>
      </c>
      <c r="AG2575" s="6">
        <v>42.64</v>
      </c>
      <c r="AH2575" s="6">
        <v>53.84</v>
      </c>
      <c r="AI2575" s="6">
        <f t="shared" si="80"/>
        <v>11.200000000000003</v>
      </c>
      <c r="AJ2575" s="5">
        <f t="shared" si="81"/>
        <v>0.20802377414561668</v>
      </c>
    </row>
    <row r="2576" spans="1:36">
      <c r="A2576" t="s">
        <v>183</v>
      </c>
      <c r="B2576" t="s">
        <v>2861</v>
      </c>
      <c r="C2576" t="s">
        <v>118</v>
      </c>
      <c r="D2576" t="s">
        <v>96</v>
      </c>
      <c r="E2576" t="s">
        <v>55</v>
      </c>
      <c r="F2576">
        <v>0</v>
      </c>
      <c r="G2576">
        <v>1347</v>
      </c>
      <c r="H2576">
        <v>1</v>
      </c>
      <c r="I2576" t="s">
        <v>178</v>
      </c>
      <c r="J2576">
        <v>4</v>
      </c>
      <c r="K2576" s="6">
        <v>10.01</v>
      </c>
      <c r="L2576" t="s">
        <v>174</v>
      </c>
      <c r="M2576">
        <v>0</v>
      </c>
      <c r="N2576" t="s">
        <v>187</v>
      </c>
      <c r="O2576">
        <v>2</v>
      </c>
      <c r="P2576">
        <v>1</v>
      </c>
      <c r="Q2576" s="6">
        <v>57.5</v>
      </c>
      <c r="R2576">
        <v>0</v>
      </c>
      <c r="S2576" s="6">
        <v>0</v>
      </c>
      <c r="T2576">
        <v>0</v>
      </c>
      <c r="U2576" s="6">
        <v>4196</v>
      </c>
      <c r="V2576">
        <v>0</v>
      </c>
      <c r="W2576">
        <v>0</v>
      </c>
      <c r="X2576">
        <v>0</v>
      </c>
      <c r="Y2576" s="6">
        <v>45.6</v>
      </c>
      <c r="Z2576">
        <v>2.5000000000000001E-2</v>
      </c>
      <c r="AA2576">
        <v>0.14099999999999999</v>
      </c>
      <c r="AB2576">
        <v>2.4E-2</v>
      </c>
      <c r="AC2576">
        <v>6</v>
      </c>
      <c r="AD2576" s="6">
        <v>65</v>
      </c>
      <c r="AE2576" s="6">
        <v>0</v>
      </c>
      <c r="AF2576" s="6">
        <v>0</v>
      </c>
      <c r="AG2576" s="6">
        <v>135.59</v>
      </c>
      <c r="AH2576" s="6">
        <v>171.88</v>
      </c>
      <c r="AI2576" s="6">
        <f t="shared" si="80"/>
        <v>36.289999999999992</v>
      </c>
      <c r="AJ2576" s="5">
        <f t="shared" si="81"/>
        <v>0.21113567605306024</v>
      </c>
    </row>
    <row r="2577" spans="1:36">
      <c r="A2577" t="s">
        <v>423</v>
      </c>
      <c r="B2577" t="s">
        <v>2862</v>
      </c>
      <c r="C2577" t="s">
        <v>118</v>
      </c>
      <c r="D2577" t="s">
        <v>96</v>
      </c>
      <c r="E2577" t="s">
        <v>55</v>
      </c>
      <c r="F2577">
        <v>0</v>
      </c>
      <c r="G2577">
        <v>1347</v>
      </c>
      <c r="H2577">
        <v>1</v>
      </c>
      <c r="I2577" t="s">
        <v>178</v>
      </c>
      <c r="J2577">
        <v>4</v>
      </c>
      <c r="K2577" s="6">
        <v>13.62</v>
      </c>
      <c r="L2577" t="s">
        <v>174</v>
      </c>
      <c r="M2577">
        <v>0</v>
      </c>
      <c r="N2577" t="s">
        <v>187</v>
      </c>
      <c r="O2577">
        <v>2</v>
      </c>
      <c r="P2577">
        <v>0</v>
      </c>
      <c r="Q2577" s="6">
        <v>55</v>
      </c>
      <c r="R2577">
        <v>0</v>
      </c>
      <c r="S2577" s="6">
        <v>0</v>
      </c>
      <c r="T2577">
        <v>0</v>
      </c>
      <c r="U2577" s="6">
        <v>3828</v>
      </c>
      <c r="V2577">
        <v>0</v>
      </c>
      <c r="W2577">
        <v>0</v>
      </c>
      <c r="X2577">
        <v>0</v>
      </c>
      <c r="Y2577" s="6">
        <v>45.6</v>
      </c>
      <c r="Z2577">
        <v>2.5000000000000001E-2</v>
      </c>
      <c r="AA2577">
        <v>0.14099999999999999</v>
      </c>
      <c r="AB2577">
        <v>2.4E-2</v>
      </c>
      <c r="AC2577">
        <v>6</v>
      </c>
      <c r="AD2577" s="6">
        <v>65</v>
      </c>
      <c r="AE2577" s="6">
        <v>0</v>
      </c>
      <c r="AF2577" s="6">
        <v>0</v>
      </c>
      <c r="AG2577" s="6">
        <v>129.66999999999999</v>
      </c>
      <c r="AH2577" s="6">
        <v>166.61</v>
      </c>
      <c r="AI2577" s="6">
        <f t="shared" si="80"/>
        <v>36.940000000000026</v>
      </c>
      <c r="AJ2577" s="5">
        <f t="shared" si="81"/>
        <v>0.22171538323029844</v>
      </c>
    </row>
    <row r="2578" spans="1:36">
      <c r="A2578" t="s">
        <v>176</v>
      </c>
      <c r="B2578" t="s">
        <v>2863</v>
      </c>
      <c r="C2578" t="s">
        <v>118</v>
      </c>
      <c r="D2578" t="s">
        <v>96</v>
      </c>
      <c r="E2578" t="s">
        <v>55</v>
      </c>
      <c r="F2578">
        <v>0</v>
      </c>
      <c r="G2578">
        <v>1347</v>
      </c>
      <c r="H2578">
        <v>1</v>
      </c>
      <c r="I2578" t="s">
        <v>181</v>
      </c>
      <c r="J2578">
        <v>3</v>
      </c>
      <c r="K2578" s="6">
        <v>9.4</v>
      </c>
      <c r="L2578" t="s">
        <v>174</v>
      </c>
      <c r="M2578">
        <v>0</v>
      </c>
      <c r="N2578" t="s">
        <v>175</v>
      </c>
      <c r="O2578">
        <v>1</v>
      </c>
      <c r="P2578">
        <v>0</v>
      </c>
      <c r="Q2578" s="6">
        <v>42.9</v>
      </c>
      <c r="R2578">
        <v>0</v>
      </c>
      <c r="S2578" s="6">
        <v>0</v>
      </c>
      <c r="T2578">
        <v>0</v>
      </c>
      <c r="U2578" s="6">
        <v>1849</v>
      </c>
      <c r="V2578">
        <v>0</v>
      </c>
      <c r="W2578">
        <v>0</v>
      </c>
      <c r="X2578">
        <v>0</v>
      </c>
      <c r="Y2578" s="6">
        <v>45.6</v>
      </c>
      <c r="Z2578">
        <v>2.5000000000000001E-2</v>
      </c>
      <c r="AA2578">
        <v>0.14099999999999999</v>
      </c>
      <c r="AB2578">
        <v>2.4E-2</v>
      </c>
      <c r="AC2578">
        <v>6</v>
      </c>
      <c r="AD2578" s="6">
        <v>60</v>
      </c>
      <c r="AE2578" s="6">
        <v>0</v>
      </c>
      <c r="AF2578" s="6">
        <v>0</v>
      </c>
      <c r="AG2578" s="6">
        <v>99</v>
      </c>
      <c r="AH2578" s="6">
        <v>127.77</v>
      </c>
      <c r="AI2578" s="6">
        <f t="shared" si="80"/>
        <v>28.769999999999996</v>
      </c>
      <c r="AJ2578" s="5">
        <f t="shared" si="81"/>
        <v>0.22517022775299364</v>
      </c>
    </row>
    <row r="2579" spans="1:36">
      <c r="A2579" t="s">
        <v>243</v>
      </c>
      <c r="B2579" t="s">
        <v>2864</v>
      </c>
      <c r="C2579" t="s">
        <v>118</v>
      </c>
      <c r="D2579" t="s">
        <v>96</v>
      </c>
      <c r="E2579" t="s">
        <v>55</v>
      </c>
      <c r="F2579">
        <v>0</v>
      </c>
      <c r="G2579">
        <v>1347</v>
      </c>
      <c r="H2579">
        <v>1</v>
      </c>
      <c r="I2579" t="s">
        <v>178</v>
      </c>
      <c r="J2579">
        <v>4</v>
      </c>
      <c r="K2579" s="6">
        <v>13.43</v>
      </c>
      <c r="L2579" t="s">
        <v>174</v>
      </c>
      <c r="M2579">
        <v>0</v>
      </c>
      <c r="N2579" t="s">
        <v>175</v>
      </c>
      <c r="O2579">
        <v>1</v>
      </c>
      <c r="P2579">
        <v>1</v>
      </c>
      <c r="Q2579" s="6">
        <v>39.5</v>
      </c>
      <c r="R2579">
        <v>1</v>
      </c>
      <c r="S2579" s="6">
        <v>2755</v>
      </c>
      <c r="T2579">
        <v>0</v>
      </c>
      <c r="U2579" s="6">
        <v>1346</v>
      </c>
      <c r="V2579">
        <v>0</v>
      </c>
      <c r="W2579">
        <v>0</v>
      </c>
      <c r="X2579">
        <v>0</v>
      </c>
      <c r="Y2579" s="6">
        <v>45.6</v>
      </c>
      <c r="Z2579">
        <v>2.5000000000000001E-2</v>
      </c>
      <c r="AA2579">
        <v>0.14099999999999999</v>
      </c>
      <c r="AB2579">
        <v>2.4E-2</v>
      </c>
      <c r="AC2579">
        <v>6</v>
      </c>
      <c r="AD2579" s="6">
        <v>65</v>
      </c>
      <c r="AE2579" s="6">
        <v>40</v>
      </c>
      <c r="AF2579" s="6">
        <v>0</v>
      </c>
      <c r="AG2579" s="6">
        <v>149.01</v>
      </c>
      <c r="AH2579" s="6">
        <v>188.29</v>
      </c>
      <c r="AI2579" s="6">
        <f t="shared" si="80"/>
        <v>39.28</v>
      </c>
      <c r="AJ2579" s="5">
        <f t="shared" si="81"/>
        <v>0.20861437144829786</v>
      </c>
    </row>
    <row r="2580" spans="1:36">
      <c r="A2580" t="s">
        <v>311</v>
      </c>
      <c r="B2580" t="s">
        <v>2865</v>
      </c>
      <c r="C2580" t="s">
        <v>118</v>
      </c>
      <c r="D2580" t="s">
        <v>96</v>
      </c>
      <c r="E2580" t="s">
        <v>55</v>
      </c>
      <c r="F2580">
        <v>0</v>
      </c>
      <c r="G2580">
        <v>1347</v>
      </c>
      <c r="H2580">
        <v>1</v>
      </c>
      <c r="I2580" t="s">
        <v>181</v>
      </c>
      <c r="J2580">
        <v>3</v>
      </c>
      <c r="K2580" s="6">
        <v>10.34</v>
      </c>
      <c r="L2580" t="s">
        <v>174</v>
      </c>
      <c r="M2580">
        <v>0</v>
      </c>
      <c r="N2580" t="s">
        <v>187</v>
      </c>
      <c r="O2580">
        <v>2</v>
      </c>
      <c r="P2580">
        <v>0</v>
      </c>
      <c r="Q2580" s="6">
        <v>36.700000000000003</v>
      </c>
      <c r="R2580">
        <v>0</v>
      </c>
      <c r="S2580" s="6">
        <v>0</v>
      </c>
      <c r="T2580">
        <v>0</v>
      </c>
      <c r="U2580" s="6">
        <v>2272</v>
      </c>
      <c r="V2580">
        <v>0</v>
      </c>
      <c r="W2580">
        <v>0</v>
      </c>
      <c r="X2580">
        <v>0</v>
      </c>
      <c r="Y2580" s="6">
        <v>45.6</v>
      </c>
      <c r="Z2580">
        <v>2.5000000000000001E-2</v>
      </c>
      <c r="AA2580">
        <v>0.14099999999999999</v>
      </c>
      <c r="AB2580">
        <v>2.4E-2</v>
      </c>
      <c r="AC2580">
        <v>6</v>
      </c>
      <c r="AD2580" s="6">
        <v>60</v>
      </c>
      <c r="AE2580" s="6">
        <v>0</v>
      </c>
      <c r="AF2580" s="6">
        <v>0</v>
      </c>
      <c r="AG2580" s="6">
        <v>101.93</v>
      </c>
      <c r="AH2580" s="6">
        <v>127.49</v>
      </c>
      <c r="AI2580" s="6">
        <f t="shared" si="80"/>
        <v>25.559999999999988</v>
      </c>
      <c r="AJ2580" s="5">
        <f t="shared" si="81"/>
        <v>0.20048631265197261</v>
      </c>
    </row>
    <row r="2581" spans="1:36">
      <c r="A2581" t="s">
        <v>274</v>
      </c>
      <c r="B2581" t="s">
        <v>2866</v>
      </c>
      <c r="C2581" t="s">
        <v>118</v>
      </c>
      <c r="D2581" t="s">
        <v>96</v>
      </c>
      <c r="E2581" t="s">
        <v>55</v>
      </c>
      <c r="F2581">
        <v>0</v>
      </c>
      <c r="G2581">
        <v>1347</v>
      </c>
      <c r="H2581">
        <v>1</v>
      </c>
      <c r="I2581" t="s">
        <v>181</v>
      </c>
      <c r="J2581">
        <v>3</v>
      </c>
      <c r="K2581" s="6">
        <v>11.32</v>
      </c>
      <c r="L2581" t="s">
        <v>174</v>
      </c>
      <c r="M2581">
        <v>0</v>
      </c>
      <c r="N2581" t="s">
        <v>175</v>
      </c>
      <c r="O2581">
        <v>1</v>
      </c>
      <c r="P2581">
        <v>0</v>
      </c>
      <c r="Q2581" s="6">
        <v>37.700000000000003</v>
      </c>
      <c r="R2581">
        <v>0</v>
      </c>
      <c r="S2581" s="6">
        <v>0</v>
      </c>
      <c r="T2581">
        <v>0</v>
      </c>
      <c r="U2581" s="6">
        <v>3037</v>
      </c>
      <c r="V2581">
        <v>0</v>
      </c>
      <c r="W2581">
        <v>0</v>
      </c>
      <c r="X2581">
        <v>0</v>
      </c>
      <c r="Y2581" s="6">
        <v>45.6</v>
      </c>
      <c r="Z2581">
        <v>2.5000000000000001E-2</v>
      </c>
      <c r="AA2581">
        <v>0.14099999999999999</v>
      </c>
      <c r="AB2581">
        <v>2.4E-2</v>
      </c>
      <c r="AC2581">
        <v>6</v>
      </c>
      <c r="AD2581" s="6">
        <v>60</v>
      </c>
      <c r="AE2581" s="6">
        <v>0</v>
      </c>
      <c r="AF2581" s="6">
        <v>0</v>
      </c>
      <c r="AG2581" s="6">
        <v>94.09</v>
      </c>
      <c r="AH2581" s="6">
        <v>122.49</v>
      </c>
      <c r="AI2581" s="6">
        <f t="shared" si="80"/>
        <v>28.399999999999991</v>
      </c>
      <c r="AJ2581" s="5">
        <f t="shared" si="81"/>
        <v>0.23185566168666824</v>
      </c>
    </row>
    <row r="2582" spans="1:36">
      <c r="A2582" t="s">
        <v>230</v>
      </c>
      <c r="B2582" t="s">
        <v>2867</v>
      </c>
      <c r="C2582" t="s">
        <v>118</v>
      </c>
      <c r="D2582" t="s">
        <v>96</v>
      </c>
      <c r="E2582" t="s">
        <v>55</v>
      </c>
      <c r="F2582">
        <v>0</v>
      </c>
      <c r="G2582">
        <v>1347</v>
      </c>
      <c r="H2582">
        <v>1</v>
      </c>
      <c r="I2582" t="s">
        <v>173</v>
      </c>
      <c r="J2582">
        <v>1</v>
      </c>
      <c r="K2582" s="6">
        <v>1.31</v>
      </c>
      <c r="L2582" t="s">
        <v>174</v>
      </c>
      <c r="M2582">
        <v>0</v>
      </c>
      <c r="N2582" t="s">
        <v>187</v>
      </c>
      <c r="O2582">
        <v>2</v>
      </c>
      <c r="P2582">
        <v>0</v>
      </c>
      <c r="Q2582" s="6">
        <v>52.4</v>
      </c>
      <c r="R2582">
        <v>0</v>
      </c>
      <c r="S2582" s="6">
        <v>0</v>
      </c>
      <c r="T2582">
        <v>0</v>
      </c>
      <c r="U2582" s="6">
        <v>2795</v>
      </c>
      <c r="V2582">
        <v>0</v>
      </c>
      <c r="W2582">
        <v>0</v>
      </c>
      <c r="X2582">
        <v>0</v>
      </c>
      <c r="Y2582" s="6">
        <v>45.6</v>
      </c>
      <c r="Z2582">
        <v>2.5000000000000001E-2</v>
      </c>
      <c r="AA2582">
        <v>0.14099999999999999</v>
      </c>
      <c r="AB2582">
        <v>2.4E-2</v>
      </c>
      <c r="AC2582">
        <v>6</v>
      </c>
      <c r="AD2582" s="6">
        <v>50</v>
      </c>
      <c r="AE2582" s="6">
        <v>0</v>
      </c>
      <c r="AF2582" s="6">
        <v>0</v>
      </c>
      <c r="AG2582" s="6">
        <v>57.57</v>
      </c>
      <c r="AH2582" s="6">
        <v>72.2</v>
      </c>
      <c r="AI2582" s="6">
        <f t="shared" si="80"/>
        <v>14.630000000000003</v>
      </c>
      <c r="AJ2582" s="5">
        <f t="shared" si="81"/>
        <v>0.20263157894736844</v>
      </c>
    </row>
    <row r="2583" spans="1:36">
      <c r="A2583" t="s">
        <v>225</v>
      </c>
      <c r="B2583" t="s">
        <v>2868</v>
      </c>
      <c r="C2583" t="s">
        <v>118</v>
      </c>
      <c r="D2583" t="s">
        <v>96</v>
      </c>
      <c r="E2583" t="s">
        <v>55</v>
      </c>
      <c r="F2583">
        <v>0</v>
      </c>
      <c r="G2583">
        <v>1347</v>
      </c>
      <c r="H2583">
        <v>1</v>
      </c>
      <c r="I2583" t="s">
        <v>181</v>
      </c>
      <c r="J2583">
        <v>3</v>
      </c>
      <c r="K2583" s="6">
        <v>8.07</v>
      </c>
      <c r="L2583" t="s">
        <v>174</v>
      </c>
      <c r="M2583">
        <v>0</v>
      </c>
      <c r="N2583" t="s">
        <v>217</v>
      </c>
      <c r="O2583">
        <v>4</v>
      </c>
      <c r="P2583">
        <v>1</v>
      </c>
      <c r="Q2583" s="6">
        <v>190.3</v>
      </c>
      <c r="R2583">
        <v>0</v>
      </c>
      <c r="S2583" s="6">
        <v>0</v>
      </c>
      <c r="T2583">
        <v>0</v>
      </c>
      <c r="U2583" s="6">
        <v>3189</v>
      </c>
      <c r="V2583">
        <v>0</v>
      </c>
      <c r="W2583">
        <v>0</v>
      </c>
      <c r="X2583">
        <v>0</v>
      </c>
      <c r="Y2583" s="6">
        <v>45.6</v>
      </c>
      <c r="Z2583">
        <v>2.5000000000000001E-2</v>
      </c>
      <c r="AA2583">
        <v>0.14099999999999999</v>
      </c>
      <c r="AB2583">
        <v>2.4E-2</v>
      </c>
      <c r="AC2583">
        <v>6</v>
      </c>
      <c r="AD2583" s="6">
        <v>60</v>
      </c>
      <c r="AE2583" s="6">
        <v>0</v>
      </c>
      <c r="AF2583" s="6">
        <v>0</v>
      </c>
      <c r="AG2583" s="6">
        <v>141.97</v>
      </c>
      <c r="AH2583" s="6">
        <v>177.52</v>
      </c>
      <c r="AI2583" s="6">
        <f t="shared" si="80"/>
        <v>35.550000000000011</v>
      </c>
      <c r="AJ2583" s="5">
        <f t="shared" si="81"/>
        <v>0.20025912573231192</v>
      </c>
    </row>
    <row r="2584" spans="1:36">
      <c r="A2584" t="s">
        <v>253</v>
      </c>
      <c r="B2584" t="s">
        <v>2869</v>
      </c>
      <c r="C2584" t="s">
        <v>118</v>
      </c>
      <c r="D2584" t="s">
        <v>96</v>
      </c>
      <c r="E2584" t="s">
        <v>55</v>
      </c>
      <c r="F2584">
        <v>0</v>
      </c>
      <c r="G2584">
        <v>1347</v>
      </c>
      <c r="H2584">
        <v>1</v>
      </c>
      <c r="I2584" t="s">
        <v>173</v>
      </c>
      <c r="J2584">
        <v>1</v>
      </c>
      <c r="K2584" s="6">
        <v>1.74</v>
      </c>
      <c r="L2584" t="s">
        <v>174</v>
      </c>
      <c r="M2584">
        <v>0</v>
      </c>
      <c r="N2584" t="s">
        <v>175</v>
      </c>
      <c r="O2584">
        <v>1</v>
      </c>
      <c r="P2584">
        <v>0</v>
      </c>
      <c r="Q2584" s="6">
        <v>34.700000000000003</v>
      </c>
      <c r="R2584">
        <v>1</v>
      </c>
      <c r="S2584" s="6">
        <v>3107</v>
      </c>
      <c r="T2584">
        <v>0</v>
      </c>
      <c r="U2584" s="6">
        <v>1183</v>
      </c>
      <c r="V2584">
        <v>0</v>
      </c>
      <c r="W2584">
        <v>0</v>
      </c>
      <c r="X2584">
        <v>0</v>
      </c>
      <c r="Y2584" s="6">
        <v>45.6</v>
      </c>
      <c r="Z2584">
        <v>2.5000000000000001E-2</v>
      </c>
      <c r="AA2584">
        <v>0.14099999999999999</v>
      </c>
      <c r="AB2584">
        <v>2.4E-2</v>
      </c>
      <c r="AC2584">
        <v>6</v>
      </c>
      <c r="AD2584" s="6">
        <v>50</v>
      </c>
      <c r="AE2584" s="6">
        <v>40</v>
      </c>
      <c r="AF2584" s="6">
        <v>0</v>
      </c>
      <c r="AG2584" s="6">
        <v>47.6</v>
      </c>
      <c r="AH2584" s="6">
        <v>61.09</v>
      </c>
      <c r="AI2584" s="6">
        <f t="shared" si="80"/>
        <v>13.490000000000002</v>
      </c>
      <c r="AJ2584" s="5">
        <f t="shared" si="81"/>
        <v>0.22082173841872649</v>
      </c>
    </row>
    <row r="2585" spans="1:36">
      <c r="A2585" t="s">
        <v>291</v>
      </c>
      <c r="B2585" t="s">
        <v>2870</v>
      </c>
      <c r="C2585" t="s">
        <v>118</v>
      </c>
      <c r="D2585" t="s">
        <v>96</v>
      </c>
      <c r="E2585" t="s">
        <v>55</v>
      </c>
      <c r="F2585">
        <v>0</v>
      </c>
      <c r="G2585">
        <v>1347</v>
      </c>
      <c r="H2585">
        <v>1</v>
      </c>
      <c r="I2585" t="s">
        <v>173</v>
      </c>
      <c r="J2585">
        <v>1</v>
      </c>
      <c r="K2585" s="6">
        <v>1.64</v>
      </c>
      <c r="L2585" t="s">
        <v>174</v>
      </c>
      <c r="M2585">
        <v>0</v>
      </c>
      <c r="N2585" t="s">
        <v>187</v>
      </c>
      <c r="O2585">
        <v>2</v>
      </c>
      <c r="P2585">
        <v>0</v>
      </c>
      <c r="Q2585" s="6">
        <v>59.2</v>
      </c>
      <c r="R2585">
        <v>0</v>
      </c>
      <c r="S2585" s="6">
        <v>0</v>
      </c>
      <c r="T2585">
        <v>0</v>
      </c>
      <c r="U2585" s="6">
        <v>3930</v>
      </c>
      <c r="V2585">
        <v>0</v>
      </c>
      <c r="W2585">
        <v>0</v>
      </c>
      <c r="X2585">
        <v>0</v>
      </c>
      <c r="Y2585" s="6">
        <v>45.6</v>
      </c>
      <c r="Z2585">
        <v>2.5000000000000001E-2</v>
      </c>
      <c r="AA2585">
        <v>0.14099999999999999</v>
      </c>
      <c r="AB2585">
        <v>2.4E-2</v>
      </c>
      <c r="AC2585">
        <v>6</v>
      </c>
      <c r="AD2585" s="6">
        <v>50</v>
      </c>
      <c r="AE2585" s="6">
        <v>0</v>
      </c>
      <c r="AF2585" s="6">
        <v>0</v>
      </c>
      <c r="AG2585" s="6">
        <v>58.94</v>
      </c>
      <c r="AH2585" s="6">
        <v>74.680000000000007</v>
      </c>
      <c r="AI2585" s="6">
        <f t="shared" si="80"/>
        <v>15.740000000000009</v>
      </c>
      <c r="AJ2585" s="5">
        <f t="shared" si="81"/>
        <v>0.21076593465452609</v>
      </c>
    </row>
    <row r="2586" spans="1:36">
      <c r="A2586" t="s">
        <v>298</v>
      </c>
      <c r="B2586" t="s">
        <v>2871</v>
      </c>
      <c r="C2586" t="s">
        <v>118</v>
      </c>
      <c r="D2586" t="s">
        <v>96</v>
      </c>
      <c r="E2586" t="s">
        <v>55</v>
      </c>
      <c r="F2586">
        <v>0</v>
      </c>
      <c r="G2586">
        <v>1347</v>
      </c>
      <c r="H2586">
        <v>1</v>
      </c>
      <c r="I2586" t="s">
        <v>181</v>
      </c>
      <c r="J2586">
        <v>3</v>
      </c>
      <c r="K2586" s="6">
        <v>9.26</v>
      </c>
      <c r="L2586" t="s">
        <v>174</v>
      </c>
      <c r="M2586">
        <v>0</v>
      </c>
      <c r="N2586" t="s">
        <v>272</v>
      </c>
      <c r="O2586">
        <v>5</v>
      </c>
      <c r="P2586">
        <v>1</v>
      </c>
      <c r="Q2586" s="6">
        <v>214.2</v>
      </c>
      <c r="R2586">
        <v>1</v>
      </c>
      <c r="S2586" s="6">
        <v>534</v>
      </c>
      <c r="T2586">
        <v>0</v>
      </c>
      <c r="U2586" s="6">
        <v>3823</v>
      </c>
      <c r="V2586">
        <v>0</v>
      </c>
      <c r="W2586">
        <v>0</v>
      </c>
      <c r="X2586">
        <v>0</v>
      </c>
      <c r="Y2586" s="6">
        <v>45.6</v>
      </c>
      <c r="Z2586">
        <v>2.5000000000000001E-2</v>
      </c>
      <c r="AA2586">
        <v>0.14099999999999999</v>
      </c>
      <c r="AB2586">
        <v>2.4E-2</v>
      </c>
      <c r="AC2586">
        <v>6</v>
      </c>
      <c r="AD2586" s="6">
        <v>60</v>
      </c>
      <c r="AE2586" s="6">
        <v>25</v>
      </c>
      <c r="AF2586" s="6">
        <v>0</v>
      </c>
      <c r="AG2586" s="6">
        <v>190.49</v>
      </c>
      <c r="AH2586" s="6">
        <v>238.19</v>
      </c>
      <c r="AI2586" s="6">
        <f t="shared" si="80"/>
        <v>47.699999999999989</v>
      </c>
      <c r="AJ2586" s="5">
        <f t="shared" si="81"/>
        <v>0.20026029640203194</v>
      </c>
    </row>
    <row r="2587" spans="1:36">
      <c r="A2587" t="s">
        <v>258</v>
      </c>
      <c r="B2587" t="s">
        <v>2872</v>
      </c>
      <c r="C2587" t="s">
        <v>118</v>
      </c>
      <c r="D2587" t="s">
        <v>96</v>
      </c>
      <c r="E2587" t="s">
        <v>55</v>
      </c>
      <c r="F2587">
        <v>0</v>
      </c>
      <c r="G2587">
        <v>1347</v>
      </c>
      <c r="H2587">
        <v>1</v>
      </c>
      <c r="I2587" t="s">
        <v>220</v>
      </c>
      <c r="J2587">
        <v>2</v>
      </c>
      <c r="K2587" s="6">
        <v>3.69</v>
      </c>
      <c r="L2587" t="s">
        <v>174</v>
      </c>
      <c r="M2587">
        <v>0</v>
      </c>
      <c r="N2587" t="s">
        <v>182</v>
      </c>
      <c r="O2587">
        <v>3</v>
      </c>
      <c r="P2587">
        <v>0</v>
      </c>
      <c r="Q2587" s="6">
        <v>93.7</v>
      </c>
      <c r="R2587">
        <v>0</v>
      </c>
      <c r="S2587" s="6">
        <v>0</v>
      </c>
      <c r="T2587">
        <v>0</v>
      </c>
      <c r="U2587" s="6">
        <v>2366</v>
      </c>
      <c r="V2587">
        <v>0</v>
      </c>
      <c r="W2587">
        <v>0</v>
      </c>
      <c r="X2587">
        <v>0</v>
      </c>
      <c r="Y2587" s="6">
        <v>45.6</v>
      </c>
      <c r="Z2587">
        <v>2.5000000000000001E-2</v>
      </c>
      <c r="AA2587">
        <v>0.14099999999999999</v>
      </c>
      <c r="AB2587">
        <v>2.4E-2</v>
      </c>
      <c r="AC2587">
        <v>6</v>
      </c>
      <c r="AD2587" s="6">
        <v>50</v>
      </c>
      <c r="AE2587" s="6">
        <v>0</v>
      </c>
      <c r="AF2587" s="6">
        <v>0</v>
      </c>
      <c r="AG2587" s="6">
        <v>62.16</v>
      </c>
      <c r="AH2587" s="6">
        <v>80.06</v>
      </c>
      <c r="AI2587" s="6">
        <f t="shared" si="80"/>
        <v>17.900000000000006</v>
      </c>
      <c r="AJ2587" s="5">
        <f t="shared" si="81"/>
        <v>0.22358231326505126</v>
      </c>
    </row>
    <row r="2588" spans="1:36">
      <c r="A2588" t="s">
        <v>365</v>
      </c>
      <c r="B2588" t="s">
        <v>2873</v>
      </c>
      <c r="C2588" t="s">
        <v>118</v>
      </c>
      <c r="D2588" t="s">
        <v>96</v>
      </c>
      <c r="E2588" t="s">
        <v>55</v>
      </c>
      <c r="F2588">
        <v>0</v>
      </c>
      <c r="G2588">
        <v>1347</v>
      </c>
      <c r="H2588">
        <v>1</v>
      </c>
      <c r="I2588" t="s">
        <v>220</v>
      </c>
      <c r="J2588">
        <v>2</v>
      </c>
      <c r="K2588" s="6">
        <v>4.7300000000000004</v>
      </c>
      <c r="L2588" t="s">
        <v>174</v>
      </c>
      <c r="M2588">
        <v>0</v>
      </c>
      <c r="N2588" t="s">
        <v>187</v>
      </c>
      <c r="O2588">
        <v>2</v>
      </c>
      <c r="P2588">
        <v>0</v>
      </c>
      <c r="Q2588" s="6">
        <v>74.599999999999994</v>
      </c>
      <c r="R2588">
        <v>0</v>
      </c>
      <c r="S2588" s="6">
        <v>0</v>
      </c>
      <c r="T2588">
        <v>0</v>
      </c>
      <c r="U2588" s="6">
        <v>2580</v>
      </c>
      <c r="V2588">
        <v>0</v>
      </c>
      <c r="W2588">
        <v>0</v>
      </c>
      <c r="X2588">
        <v>0</v>
      </c>
      <c r="Y2588" s="6">
        <v>45.6</v>
      </c>
      <c r="Z2588">
        <v>2.5000000000000001E-2</v>
      </c>
      <c r="AA2588">
        <v>0.14099999999999999</v>
      </c>
      <c r="AB2588">
        <v>2.4E-2</v>
      </c>
      <c r="AC2588">
        <v>6</v>
      </c>
      <c r="AD2588" s="6">
        <v>50</v>
      </c>
      <c r="AE2588" s="6">
        <v>0</v>
      </c>
      <c r="AF2588" s="6">
        <v>0</v>
      </c>
      <c r="AG2588" s="6">
        <v>69.599999999999994</v>
      </c>
      <c r="AH2588" s="6">
        <v>91.99</v>
      </c>
      <c r="AI2588" s="6">
        <f t="shared" si="80"/>
        <v>22.39</v>
      </c>
      <c r="AJ2588" s="5">
        <f t="shared" si="81"/>
        <v>0.2433960213066638</v>
      </c>
    </row>
    <row r="2589" spans="1:36">
      <c r="A2589" t="s">
        <v>350</v>
      </c>
      <c r="B2589" t="s">
        <v>2874</v>
      </c>
      <c r="C2589" t="s">
        <v>118</v>
      </c>
      <c r="D2589" t="s">
        <v>96</v>
      </c>
      <c r="E2589" t="s">
        <v>55</v>
      </c>
      <c r="F2589">
        <v>0</v>
      </c>
      <c r="G2589">
        <v>1347</v>
      </c>
      <c r="H2589">
        <v>1</v>
      </c>
      <c r="I2589" t="s">
        <v>173</v>
      </c>
      <c r="J2589">
        <v>1</v>
      </c>
      <c r="K2589" s="6">
        <v>1.55</v>
      </c>
      <c r="L2589" t="s">
        <v>174</v>
      </c>
      <c r="M2589">
        <v>0</v>
      </c>
      <c r="N2589" t="s">
        <v>182</v>
      </c>
      <c r="O2589">
        <v>3</v>
      </c>
      <c r="P2589">
        <v>0</v>
      </c>
      <c r="Q2589" s="6">
        <v>119.3</v>
      </c>
      <c r="R2589">
        <v>0</v>
      </c>
      <c r="S2589" s="6">
        <v>0</v>
      </c>
      <c r="T2589">
        <v>0</v>
      </c>
      <c r="U2589" s="6">
        <v>2920</v>
      </c>
      <c r="V2589">
        <v>0</v>
      </c>
      <c r="W2589">
        <v>0</v>
      </c>
      <c r="X2589">
        <v>0</v>
      </c>
      <c r="Y2589" s="6">
        <v>45.6</v>
      </c>
      <c r="Z2589">
        <v>2.5000000000000001E-2</v>
      </c>
      <c r="AA2589">
        <v>0.14099999999999999</v>
      </c>
      <c r="AB2589">
        <v>2.4E-2</v>
      </c>
      <c r="AC2589">
        <v>6</v>
      </c>
      <c r="AD2589" s="6">
        <v>50</v>
      </c>
      <c r="AE2589" s="6">
        <v>0</v>
      </c>
      <c r="AF2589" s="6">
        <v>0</v>
      </c>
      <c r="AG2589" s="6">
        <v>66.09</v>
      </c>
      <c r="AH2589" s="6">
        <v>85.91</v>
      </c>
      <c r="AI2589" s="6">
        <f t="shared" si="80"/>
        <v>19.819999999999993</v>
      </c>
      <c r="AJ2589" s="5">
        <f t="shared" si="81"/>
        <v>0.23070655336980553</v>
      </c>
    </row>
    <row r="2590" spans="1:36">
      <c r="A2590" t="s">
        <v>319</v>
      </c>
      <c r="B2590" t="s">
        <v>2875</v>
      </c>
      <c r="C2590" t="s">
        <v>118</v>
      </c>
      <c r="D2590" t="s">
        <v>96</v>
      </c>
      <c r="E2590" t="s">
        <v>55</v>
      </c>
      <c r="F2590">
        <v>0</v>
      </c>
      <c r="G2590">
        <v>1347</v>
      </c>
      <c r="H2590">
        <v>1</v>
      </c>
      <c r="I2590" t="s">
        <v>173</v>
      </c>
      <c r="J2590">
        <v>1</v>
      </c>
      <c r="K2590" s="6">
        <v>1.87</v>
      </c>
      <c r="L2590" t="s">
        <v>174</v>
      </c>
      <c r="M2590">
        <v>0</v>
      </c>
      <c r="N2590" t="s">
        <v>175</v>
      </c>
      <c r="O2590">
        <v>1</v>
      </c>
      <c r="P2590">
        <v>0</v>
      </c>
      <c r="Q2590" s="6">
        <v>46</v>
      </c>
      <c r="R2590">
        <v>0</v>
      </c>
      <c r="S2590" s="6">
        <v>0</v>
      </c>
      <c r="T2590">
        <v>0</v>
      </c>
      <c r="U2590" s="6">
        <v>2581</v>
      </c>
      <c r="V2590">
        <v>0</v>
      </c>
      <c r="W2590">
        <v>0</v>
      </c>
      <c r="X2590">
        <v>0</v>
      </c>
      <c r="Y2590" s="6">
        <v>45.6</v>
      </c>
      <c r="Z2590">
        <v>2.5000000000000001E-2</v>
      </c>
      <c r="AA2590">
        <v>0.14099999999999999</v>
      </c>
      <c r="AB2590">
        <v>2.4E-2</v>
      </c>
      <c r="AC2590">
        <v>6</v>
      </c>
      <c r="AD2590" s="6">
        <v>50</v>
      </c>
      <c r="AE2590" s="6">
        <v>0</v>
      </c>
      <c r="AF2590" s="6">
        <v>0</v>
      </c>
      <c r="AG2590" s="6">
        <v>52.31</v>
      </c>
      <c r="AH2590" s="6">
        <v>70.31</v>
      </c>
      <c r="AI2590" s="6">
        <f t="shared" si="80"/>
        <v>18</v>
      </c>
      <c r="AJ2590" s="5">
        <f t="shared" si="81"/>
        <v>0.25600910254586828</v>
      </c>
    </row>
    <row r="2591" spans="1:36">
      <c r="A2591" t="s">
        <v>381</v>
      </c>
      <c r="B2591" t="s">
        <v>2876</v>
      </c>
      <c r="C2591" t="s">
        <v>118</v>
      </c>
      <c r="D2591" t="s">
        <v>96</v>
      </c>
      <c r="E2591" t="s">
        <v>55</v>
      </c>
      <c r="F2591">
        <v>0</v>
      </c>
      <c r="G2591">
        <v>1347</v>
      </c>
      <c r="H2591">
        <v>1</v>
      </c>
      <c r="I2591" t="s">
        <v>173</v>
      </c>
      <c r="J2591">
        <v>1</v>
      </c>
      <c r="K2591" s="6">
        <v>1.56</v>
      </c>
      <c r="L2591" t="s">
        <v>174</v>
      </c>
      <c r="M2591">
        <v>0</v>
      </c>
      <c r="N2591" t="s">
        <v>187</v>
      </c>
      <c r="O2591">
        <v>2</v>
      </c>
      <c r="P2591">
        <v>0</v>
      </c>
      <c r="Q2591" s="6">
        <v>52.7</v>
      </c>
      <c r="R2591">
        <v>0</v>
      </c>
      <c r="S2591" s="6">
        <v>0</v>
      </c>
      <c r="T2591">
        <v>0</v>
      </c>
      <c r="U2591" s="6">
        <v>2322</v>
      </c>
      <c r="V2591">
        <v>0</v>
      </c>
      <c r="W2591">
        <v>0</v>
      </c>
      <c r="X2591">
        <v>0</v>
      </c>
      <c r="Y2591" s="6">
        <v>45.6</v>
      </c>
      <c r="Z2591">
        <v>2.5000000000000001E-2</v>
      </c>
      <c r="AA2591">
        <v>0.14099999999999999</v>
      </c>
      <c r="AB2591">
        <v>2.4E-2</v>
      </c>
      <c r="AC2591">
        <v>6</v>
      </c>
      <c r="AD2591" s="6">
        <v>50</v>
      </c>
      <c r="AE2591" s="6">
        <v>0</v>
      </c>
      <c r="AF2591" s="6">
        <v>0</v>
      </c>
      <c r="AG2591" s="6">
        <v>57.4</v>
      </c>
      <c r="AH2591" s="6">
        <v>73.47</v>
      </c>
      <c r="AI2591" s="6">
        <f t="shared" si="80"/>
        <v>16.07</v>
      </c>
      <c r="AJ2591" s="5">
        <f t="shared" si="81"/>
        <v>0.21872873281611543</v>
      </c>
    </row>
    <row r="2592" spans="1:36">
      <c r="A2592" t="s">
        <v>300</v>
      </c>
      <c r="B2592" t="s">
        <v>2877</v>
      </c>
      <c r="C2592" t="s">
        <v>118</v>
      </c>
      <c r="D2592" t="s">
        <v>96</v>
      </c>
      <c r="E2592" t="s">
        <v>55</v>
      </c>
      <c r="F2592">
        <v>0</v>
      </c>
      <c r="G2592">
        <v>1347</v>
      </c>
      <c r="H2592">
        <v>1</v>
      </c>
      <c r="I2592" t="s">
        <v>173</v>
      </c>
      <c r="J2592">
        <v>1</v>
      </c>
      <c r="K2592" s="6">
        <v>1.55</v>
      </c>
      <c r="L2592" t="s">
        <v>174</v>
      </c>
      <c r="M2592">
        <v>0</v>
      </c>
      <c r="N2592" t="s">
        <v>217</v>
      </c>
      <c r="O2592">
        <v>4</v>
      </c>
      <c r="P2592">
        <v>1</v>
      </c>
      <c r="Q2592" s="6">
        <v>122.3</v>
      </c>
      <c r="R2592">
        <v>1</v>
      </c>
      <c r="S2592" s="6">
        <v>1131</v>
      </c>
      <c r="T2592">
        <v>0</v>
      </c>
      <c r="U2592" s="6">
        <v>3304</v>
      </c>
      <c r="V2592">
        <v>0</v>
      </c>
      <c r="W2592">
        <v>0</v>
      </c>
      <c r="X2592">
        <v>0</v>
      </c>
      <c r="Y2592" s="6">
        <v>45.6</v>
      </c>
      <c r="Z2592">
        <v>2.5000000000000001E-2</v>
      </c>
      <c r="AA2592">
        <v>0.14099999999999999</v>
      </c>
      <c r="AB2592">
        <v>2.4E-2</v>
      </c>
      <c r="AC2592">
        <v>6</v>
      </c>
      <c r="AD2592" s="6">
        <v>50</v>
      </c>
      <c r="AE2592" s="6">
        <v>25</v>
      </c>
      <c r="AF2592" s="6">
        <v>0</v>
      </c>
      <c r="AG2592" s="6">
        <v>103.16</v>
      </c>
      <c r="AH2592" s="6">
        <v>132.58000000000001</v>
      </c>
      <c r="AI2592" s="6">
        <f t="shared" si="80"/>
        <v>29.420000000000016</v>
      </c>
      <c r="AJ2592" s="5">
        <f t="shared" si="81"/>
        <v>0.22190375622265812</v>
      </c>
    </row>
    <row r="2593" spans="1:36">
      <c r="A2593" t="s">
        <v>469</v>
      </c>
      <c r="B2593" t="s">
        <v>2878</v>
      </c>
      <c r="C2593" t="s">
        <v>118</v>
      </c>
      <c r="D2593" t="s">
        <v>96</v>
      </c>
      <c r="E2593" t="s">
        <v>55</v>
      </c>
      <c r="F2593">
        <v>0</v>
      </c>
      <c r="G2593">
        <v>1347</v>
      </c>
      <c r="H2593">
        <v>1</v>
      </c>
      <c r="I2593" t="s">
        <v>173</v>
      </c>
      <c r="J2593">
        <v>1</v>
      </c>
      <c r="K2593" s="6">
        <v>1.7</v>
      </c>
      <c r="L2593" t="s">
        <v>174</v>
      </c>
      <c r="M2593">
        <v>0</v>
      </c>
      <c r="N2593" t="s">
        <v>187</v>
      </c>
      <c r="O2593">
        <v>2</v>
      </c>
      <c r="P2593">
        <v>0</v>
      </c>
      <c r="Q2593" s="6">
        <v>52.6</v>
      </c>
      <c r="R2593">
        <v>0</v>
      </c>
      <c r="S2593" s="6">
        <v>0</v>
      </c>
      <c r="T2593">
        <v>0</v>
      </c>
      <c r="U2593" s="6">
        <v>2706</v>
      </c>
      <c r="V2593">
        <v>0</v>
      </c>
      <c r="W2593">
        <v>0</v>
      </c>
      <c r="X2593">
        <v>0</v>
      </c>
      <c r="Y2593" s="6">
        <v>45.6</v>
      </c>
      <c r="Z2593">
        <v>2.5000000000000001E-2</v>
      </c>
      <c r="AA2593">
        <v>0.14099999999999999</v>
      </c>
      <c r="AB2593">
        <v>2.4E-2</v>
      </c>
      <c r="AC2593">
        <v>6</v>
      </c>
      <c r="AD2593" s="6">
        <v>50</v>
      </c>
      <c r="AE2593" s="6">
        <v>0</v>
      </c>
      <c r="AF2593" s="6">
        <v>0</v>
      </c>
      <c r="AG2593" s="6">
        <v>50.94</v>
      </c>
      <c r="AH2593" s="6">
        <v>65.66</v>
      </c>
      <c r="AI2593" s="6">
        <f t="shared" si="80"/>
        <v>14.719999999999999</v>
      </c>
      <c r="AJ2593" s="5">
        <f t="shared" si="81"/>
        <v>0.22418519646664636</v>
      </c>
    </row>
    <row r="2594" spans="1:36">
      <c r="A2594" t="s">
        <v>345</v>
      </c>
      <c r="B2594" t="s">
        <v>2879</v>
      </c>
      <c r="C2594" t="s">
        <v>118</v>
      </c>
      <c r="D2594" t="s">
        <v>96</v>
      </c>
      <c r="E2594" t="s">
        <v>55</v>
      </c>
      <c r="F2594">
        <v>0</v>
      </c>
      <c r="G2594">
        <v>1347</v>
      </c>
      <c r="H2594">
        <v>1</v>
      </c>
      <c r="I2594" t="s">
        <v>220</v>
      </c>
      <c r="J2594">
        <v>2</v>
      </c>
      <c r="K2594" s="6">
        <v>5.16</v>
      </c>
      <c r="L2594" t="s">
        <v>174</v>
      </c>
      <c r="M2594">
        <v>0</v>
      </c>
      <c r="N2594" t="s">
        <v>182</v>
      </c>
      <c r="O2594">
        <v>3</v>
      </c>
      <c r="P2594">
        <v>0</v>
      </c>
      <c r="Q2594" s="6">
        <v>100.3</v>
      </c>
      <c r="R2594">
        <v>1</v>
      </c>
      <c r="S2594" s="6">
        <v>522</v>
      </c>
      <c r="T2594">
        <v>0</v>
      </c>
      <c r="U2594" s="6">
        <v>1325</v>
      </c>
      <c r="V2594">
        <v>0</v>
      </c>
      <c r="W2594">
        <v>0</v>
      </c>
      <c r="X2594">
        <v>0</v>
      </c>
      <c r="Y2594" s="6">
        <v>45.6</v>
      </c>
      <c r="Z2594">
        <v>2.5000000000000001E-2</v>
      </c>
      <c r="AA2594">
        <v>0.14099999999999999</v>
      </c>
      <c r="AB2594">
        <v>2.4E-2</v>
      </c>
      <c r="AC2594">
        <v>6</v>
      </c>
      <c r="AD2594" s="6">
        <v>50</v>
      </c>
      <c r="AE2594" s="6">
        <v>25</v>
      </c>
      <c r="AF2594" s="6">
        <v>0</v>
      </c>
      <c r="AG2594" s="6">
        <v>72.39</v>
      </c>
      <c r="AH2594" s="6">
        <v>91.14</v>
      </c>
      <c r="AI2594" s="6">
        <f t="shared" si="80"/>
        <v>18.75</v>
      </c>
      <c r="AJ2594" s="5">
        <f t="shared" si="81"/>
        <v>0.20572745227123107</v>
      </c>
    </row>
    <row r="2595" spans="1:36">
      <c r="A2595" t="s">
        <v>192</v>
      </c>
      <c r="B2595" t="s">
        <v>2880</v>
      </c>
      <c r="C2595" t="s">
        <v>118</v>
      </c>
      <c r="D2595" t="s">
        <v>96</v>
      </c>
      <c r="E2595" t="s">
        <v>55</v>
      </c>
      <c r="F2595">
        <v>0</v>
      </c>
      <c r="G2595">
        <v>1347</v>
      </c>
      <c r="H2595">
        <v>1</v>
      </c>
      <c r="I2595" t="s">
        <v>173</v>
      </c>
      <c r="J2595">
        <v>1</v>
      </c>
      <c r="K2595" s="6">
        <v>1.87</v>
      </c>
      <c r="L2595" t="s">
        <v>174</v>
      </c>
      <c r="M2595">
        <v>0</v>
      </c>
      <c r="N2595" t="s">
        <v>175</v>
      </c>
      <c r="O2595">
        <v>1</v>
      </c>
      <c r="P2595">
        <v>0</v>
      </c>
      <c r="Q2595" s="6">
        <v>29.5</v>
      </c>
      <c r="R2595">
        <v>1</v>
      </c>
      <c r="S2595" s="6">
        <v>3749</v>
      </c>
      <c r="T2595">
        <v>0</v>
      </c>
      <c r="U2595" s="6">
        <v>2130</v>
      </c>
      <c r="V2595">
        <v>0</v>
      </c>
      <c r="W2595">
        <v>0</v>
      </c>
      <c r="X2595">
        <v>0</v>
      </c>
      <c r="Y2595" s="6">
        <v>45.6</v>
      </c>
      <c r="Z2595">
        <v>2.5000000000000001E-2</v>
      </c>
      <c r="AA2595">
        <v>0.14099999999999999</v>
      </c>
      <c r="AB2595">
        <v>2.4E-2</v>
      </c>
      <c r="AC2595">
        <v>6</v>
      </c>
      <c r="AD2595" s="6">
        <v>50</v>
      </c>
      <c r="AE2595" s="6">
        <v>40</v>
      </c>
      <c r="AF2595" s="6">
        <v>0</v>
      </c>
      <c r="AG2595" s="6">
        <v>55.43</v>
      </c>
      <c r="AH2595" s="6">
        <v>73.989999999999995</v>
      </c>
      <c r="AI2595" s="6">
        <f t="shared" si="80"/>
        <v>18.559999999999995</v>
      </c>
      <c r="AJ2595" s="5">
        <f t="shared" si="81"/>
        <v>0.25084470874442488</v>
      </c>
    </row>
    <row r="2596" spans="1:36">
      <c r="A2596" t="s">
        <v>185</v>
      </c>
      <c r="B2596" t="s">
        <v>2881</v>
      </c>
      <c r="C2596" t="s">
        <v>118</v>
      </c>
      <c r="D2596" t="s">
        <v>96</v>
      </c>
      <c r="E2596" t="s">
        <v>55</v>
      </c>
      <c r="F2596">
        <v>0</v>
      </c>
      <c r="G2596">
        <v>1347</v>
      </c>
      <c r="H2596">
        <v>1</v>
      </c>
      <c r="I2596" t="s">
        <v>173</v>
      </c>
      <c r="J2596">
        <v>1</v>
      </c>
      <c r="K2596" s="6">
        <v>2.4500000000000002</v>
      </c>
      <c r="L2596" t="s">
        <v>174</v>
      </c>
      <c r="M2596">
        <v>0</v>
      </c>
      <c r="N2596" t="s">
        <v>187</v>
      </c>
      <c r="O2596">
        <v>2</v>
      </c>
      <c r="P2596">
        <v>0</v>
      </c>
      <c r="Q2596" s="6">
        <v>73.599999999999994</v>
      </c>
      <c r="R2596">
        <v>0</v>
      </c>
      <c r="S2596" s="6">
        <v>0</v>
      </c>
      <c r="T2596">
        <v>0</v>
      </c>
      <c r="U2596" s="6">
        <v>1737</v>
      </c>
      <c r="V2596">
        <v>0</v>
      </c>
      <c r="W2596">
        <v>0</v>
      </c>
      <c r="X2596">
        <v>0</v>
      </c>
      <c r="Y2596" s="6">
        <v>45.6</v>
      </c>
      <c r="Z2596">
        <v>2.5000000000000001E-2</v>
      </c>
      <c r="AA2596">
        <v>0.14099999999999999</v>
      </c>
      <c r="AB2596">
        <v>2.4E-2</v>
      </c>
      <c r="AC2596">
        <v>6</v>
      </c>
      <c r="AD2596" s="6">
        <v>50</v>
      </c>
      <c r="AE2596" s="6">
        <v>0</v>
      </c>
      <c r="AF2596" s="6">
        <v>0</v>
      </c>
      <c r="AG2596" s="6">
        <v>58.93</v>
      </c>
      <c r="AH2596" s="6">
        <v>75.52</v>
      </c>
      <c r="AI2596" s="6">
        <f t="shared" si="80"/>
        <v>16.589999999999996</v>
      </c>
      <c r="AJ2596" s="5">
        <f t="shared" si="81"/>
        <v>0.21967690677966098</v>
      </c>
    </row>
    <row r="2597" spans="1:36">
      <c r="A2597" t="s">
        <v>348</v>
      </c>
      <c r="B2597" t="s">
        <v>2882</v>
      </c>
      <c r="C2597" t="s">
        <v>118</v>
      </c>
      <c r="D2597" t="s">
        <v>96</v>
      </c>
      <c r="E2597" t="s">
        <v>55</v>
      </c>
      <c r="F2597">
        <v>0</v>
      </c>
      <c r="G2597">
        <v>1347</v>
      </c>
      <c r="H2597">
        <v>1</v>
      </c>
      <c r="I2597" t="s">
        <v>220</v>
      </c>
      <c r="J2597">
        <v>2</v>
      </c>
      <c r="K2597" s="6">
        <v>3.45</v>
      </c>
      <c r="L2597" t="s">
        <v>174</v>
      </c>
      <c r="M2597">
        <v>0</v>
      </c>
      <c r="N2597" t="s">
        <v>175</v>
      </c>
      <c r="O2597">
        <v>1</v>
      </c>
      <c r="P2597">
        <v>1</v>
      </c>
      <c r="Q2597" s="6">
        <v>32.200000000000003</v>
      </c>
      <c r="R2597">
        <v>0</v>
      </c>
      <c r="S2597" s="6">
        <v>0</v>
      </c>
      <c r="T2597">
        <v>0</v>
      </c>
      <c r="U2597" s="6">
        <v>1382</v>
      </c>
      <c r="V2597">
        <v>0</v>
      </c>
      <c r="W2597">
        <v>0</v>
      </c>
      <c r="X2597">
        <v>0</v>
      </c>
      <c r="Y2597" s="6">
        <v>45.6</v>
      </c>
      <c r="Z2597">
        <v>2.5000000000000001E-2</v>
      </c>
      <c r="AA2597">
        <v>0.14099999999999999</v>
      </c>
      <c r="AB2597">
        <v>2.4E-2</v>
      </c>
      <c r="AC2597">
        <v>6</v>
      </c>
      <c r="AD2597" s="6">
        <v>50</v>
      </c>
      <c r="AE2597" s="6">
        <v>0</v>
      </c>
      <c r="AF2597" s="6">
        <v>0</v>
      </c>
      <c r="AG2597" s="6">
        <v>81.3</v>
      </c>
      <c r="AH2597" s="6">
        <v>104.48</v>
      </c>
      <c r="AI2597" s="6">
        <f t="shared" si="80"/>
        <v>23.180000000000007</v>
      </c>
      <c r="AJ2597" s="5">
        <f t="shared" si="81"/>
        <v>0.22186064318529869</v>
      </c>
    </row>
    <row r="2598" spans="1:36">
      <c r="A2598" t="s">
        <v>330</v>
      </c>
      <c r="B2598" t="s">
        <v>2883</v>
      </c>
      <c r="C2598" t="s">
        <v>118</v>
      </c>
      <c r="D2598" t="s">
        <v>96</v>
      </c>
      <c r="E2598" t="s">
        <v>55</v>
      </c>
      <c r="F2598">
        <v>0</v>
      </c>
      <c r="G2598">
        <v>1347</v>
      </c>
      <c r="H2598">
        <v>1</v>
      </c>
      <c r="I2598" t="s">
        <v>173</v>
      </c>
      <c r="J2598">
        <v>1</v>
      </c>
      <c r="K2598" s="6">
        <v>1.45</v>
      </c>
      <c r="L2598" t="s">
        <v>174</v>
      </c>
      <c r="M2598">
        <v>0</v>
      </c>
      <c r="N2598" t="s">
        <v>187</v>
      </c>
      <c r="O2598">
        <v>2</v>
      </c>
      <c r="P2598">
        <v>0</v>
      </c>
      <c r="Q2598" s="6">
        <v>50.1</v>
      </c>
      <c r="R2598">
        <v>1</v>
      </c>
      <c r="S2598" s="6">
        <v>7965</v>
      </c>
      <c r="T2598">
        <v>0</v>
      </c>
      <c r="U2598" s="6">
        <v>1700</v>
      </c>
      <c r="V2598">
        <v>0</v>
      </c>
      <c r="W2598">
        <v>0</v>
      </c>
      <c r="X2598">
        <v>0</v>
      </c>
      <c r="Y2598" s="6">
        <v>45.6</v>
      </c>
      <c r="Z2598">
        <v>2.5000000000000001E-2</v>
      </c>
      <c r="AA2598">
        <v>0.14099999999999999</v>
      </c>
      <c r="AB2598">
        <v>2.4E-2</v>
      </c>
      <c r="AC2598">
        <v>6</v>
      </c>
      <c r="AD2598" s="6">
        <v>50</v>
      </c>
      <c r="AE2598" s="6">
        <v>50</v>
      </c>
      <c r="AF2598" s="6">
        <v>0</v>
      </c>
      <c r="AG2598" s="6">
        <v>63.29</v>
      </c>
      <c r="AH2598" s="6">
        <v>80.63</v>
      </c>
      <c r="AI2598" s="6">
        <f t="shared" si="80"/>
        <v>17.339999999999996</v>
      </c>
      <c r="AJ2598" s="5">
        <f t="shared" si="81"/>
        <v>0.21505643060895446</v>
      </c>
    </row>
    <row r="2599" spans="1:36">
      <c r="A2599" t="s">
        <v>206</v>
      </c>
      <c r="B2599" t="s">
        <v>2884</v>
      </c>
      <c r="C2599" t="s">
        <v>118</v>
      </c>
      <c r="D2599" t="s">
        <v>96</v>
      </c>
      <c r="E2599" t="s">
        <v>55</v>
      </c>
      <c r="F2599">
        <v>0</v>
      </c>
      <c r="G2599">
        <v>1347</v>
      </c>
      <c r="H2599">
        <v>1</v>
      </c>
      <c r="I2599" t="s">
        <v>173</v>
      </c>
      <c r="J2599">
        <v>1</v>
      </c>
      <c r="K2599" s="6">
        <v>2.25</v>
      </c>
      <c r="L2599" t="s">
        <v>174</v>
      </c>
      <c r="M2599">
        <v>0</v>
      </c>
      <c r="N2599" t="s">
        <v>175</v>
      </c>
      <c r="O2599">
        <v>1</v>
      </c>
      <c r="P2599">
        <v>0</v>
      </c>
      <c r="Q2599" s="6">
        <v>38.1</v>
      </c>
      <c r="R2599">
        <v>0</v>
      </c>
      <c r="S2599" s="6">
        <v>0</v>
      </c>
      <c r="T2599">
        <v>0</v>
      </c>
      <c r="U2599" s="6">
        <v>1634</v>
      </c>
      <c r="V2599">
        <v>0</v>
      </c>
      <c r="W2599">
        <v>0</v>
      </c>
      <c r="X2599">
        <v>1</v>
      </c>
      <c r="Y2599" s="6">
        <v>45.6</v>
      </c>
      <c r="Z2599">
        <v>2.5000000000000001E-2</v>
      </c>
      <c r="AA2599">
        <v>0.14099999999999999</v>
      </c>
      <c r="AB2599">
        <v>2.4E-2</v>
      </c>
      <c r="AC2599">
        <v>6</v>
      </c>
      <c r="AD2599" s="6">
        <v>50</v>
      </c>
      <c r="AE2599" s="6">
        <v>0</v>
      </c>
      <c r="AF2599" s="6">
        <v>0</v>
      </c>
      <c r="AG2599" s="6">
        <v>42.66</v>
      </c>
      <c r="AH2599" s="6">
        <v>57.6</v>
      </c>
      <c r="AI2599" s="6">
        <f t="shared" si="80"/>
        <v>14.940000000000005</v>
      </c>
      <c r="AJ2599" s="5">
        <f t="shared" si="81"/>
        <v>0.25937500000000008</v>
      </c>
    </row>
    <row r="2600" spans="1:36">
      <c r="A2600" t="s">
        <v>192</v>
      </c>
      <c r="B2600" t="s">
        <v>2885</v>
      </c>
      <c r="C2600" t="s">
        <v>118</v>
      </c>
      <c r="D2600" t="s">
        <v>96</v>
      </c>
      <c r="E2600" t="s">
        <v>55</v>
      </c>
      <c r="F2600">
        <v>0</v>
      </c>
      <c r="G2600">
        <v>1347</v>
      </c>
      <c r="H2600">
        <v>1</v>
      </c>
      <c r="I2600" t="s">
        <v>181</v>
      </c>
      <c r="J2600">
        <v>3</v>
      </c>
      <c r="K2600" s="6">
        <v>6.97</v>
      </c>
      <c r="L2600" t="s">
        <v>174</v>
      </c>
      <c r="M2600">
        <v>0</v>
      </c>
      <c r="N2600" t="s">
        <v>272</v>
      </c>
      <c r="O2600">
        <v>5</v>
      </c>
      <c r="P2600">
        <v>1</v>
      </c>
      <c r="Q2600" s="6">
        <v>339</v>
      </c>
      <c r="R2600">
        <v>1</v>
      </c>
      <c r="S2600" s="6">
        <v>1049</v>
      </c>
      <c r="T2600">
        <v>0</v>
      </c>
      <c r="U2600" s="6">
        <v>2982</v>
      </c>
      <c r="V2600">
        <v>0</v>
      </c>
      <c r="W2600">
        <v>0</v>
      </c>
      <c r="X2600">
        <v>0</v>
      </c>
      <c r="Y2600" s="6">
        <v>45.6</v>
      </c>
      <c r="Z2600">
        <v>2.5000000000000001E-2</v>
      </c>
      <c r="AA2600">
        <v>0.14099999999999999</v>
      </c>
      <c r="AB2600">
        <v>2.4E-2</v>
      </c>
      <c r="AC2600">
        <v>6</v>
      </c>
      <c r="AD2600" s="6">
        <v>60</v>
      </c>
      <c r="AE2600" s="6">
        <v>25</v>
      </c>
      <c r="AF2600" s="6">
        <v>0</v>
      </c>
      <c r="AG2600" s="6">
        <v>174.21</v>
      </c>
      <c r="AH2600" s="6">
        <v>221.36</v>
      </c>
      <c r="AI2600" s="6">
        <f t="shared" si="80"/>
        <v>47.150000000000006</v>
      </c>
      <c r="AJ2600" s="5">
        <f t="shared" si="81"/>
        <v>0.21300144560896278</v>
      </c>
    </row>
    <row r="2601" spans="1:36">
      <c r="A2601" t="s">
        <v>274</v>
      </c>
      <c r="B2601" t="s">
        <v>2886</v>
      </c>
      <c r="C2601" t="s">
        <v>118</v>
      </c>
      <c r="D2601" t="s">
        <v>96</v>
      </c>
      <c r="E2601" t="s">
        <v>55</v>
      </c>
      <c r="F2601">
        <v>0</v>
      </c>
      <c r="G2601">
        <v>1347</v>
      </c>
      <c r="H2601">
        <v>1</v>
      </c>
      <c r="I2601" t="s">
        <v>178</v>
      </c>
      <c r="J2601">
        <v>4</v>
      </c>
      <c r="K2601" s="6">
        <v>5.72</v>
      </c>
      <c r="L2601" t="s">
        <v>174</v>
      </c>
      <c r="M2601">
        <v>0</v>
      </c>
      <c r="N2601" t="s">
        <v>175</v>
      </c>
      <c r="O2601">
        <v>1</v>
      </c>
      <c r="P2601">
        <v>0</v>
      </c>
      <c r="Q2601" s="6">
        <v>39.5</v>
      </c>
      <c r="R2601">
        <v>1</v>
      </c>
      <c r="S2601" s="6">
        <v>1974</v>
      </c>
      <c r="T2601">
        <v>0</v>
      </c>
      <c r="U2601" s="6">
        <v>1700</v>
      </c>
      <c r="V2601">
        <v>0</v>
      </c>
      <c r="W2601">
        <v>0</v>
      </c>
      <c r="X2601">
        <v>0</v>
      </c>
      <c r="Y2601" s="6">
        <v>45.6</v>
      </c>
      <c r="Z2601">
        <v>2.5000000000000001E-2</v>
      </c>
      <c r="AA2601">
        <v>0.14099999999999999</v>
      </c>
      <c r="AB2601">
        <v>2.4E-2</v>
      </c>
      <c r="AC2601">
        <v>6</v>
      </c>
      <c r="AD2601" s="6">
        <v>65</v>
      </c>
      <c r="AE2601" s="6">
        <v>25</v>
      </c>
      <c r="AF2601" s="6">
        <v>0</v>
      </c>
      <c r="AG2601" s="6">
        <v>96.04</v>
      </c>
      <c r="AH2601" s="6">
        <v>124.59</v>
      </c>
      <c r="AI2601" s="6">
        <f t="shared" si="80"/>
        <v>28.549999999999997</v>
      </c>
      <c r="AJ2601" s="5">
        <f t="shared" si="81"/>
        <v>0.22915161730475958</v>
      </c>
    </row>
    <row r="2602" spans="1:36">
      <c r="A2602" t="s">
        <v>215</v>
      </c>
      <c r="B2602" t="s">
        <v>2887</v>
      </c>
      <c r="C2602" t="s">
        <v>118</v>
      </c>
      <c r="D2602" t="s">
        <v>96</v>
      </c>
      <c r="E2602" t="s">
        <v>55</v>
      </c>
      <c r="F2602">
        <v>0</v>
      </c>
      <c r="G2602">
        <v>1347</v>
      </c>
      <c r="H2602">
        <v>1</v>
      </c>
      <c r="I2602" t="s">
        <v>181</v>
      </c>
      <c r="J2602">
        <v>3</v>
      </c>
      <c r="K2602" s="6">
        <v>9.67</v>
      </c>
      <c r="L2602" t="s">
        <v>174</v>
      </c>
      <c r="M2602">
        <v>0</v>
      </c>
      <c r="N2602" t="s">
        <v>187</v>
      </c>
      <c r="O2602">
        <v>2</v>
      </c>
      <c r="P2602">
        <v>0</v>
      </c>
      <c r="Q2602" s="6">
        <v>67.5</v>
      </c>
      <c r="R2602">
        <v>1</v>
      </c>
      <c r="S2602" s="6">
        <v>686</v>
      </c>
      <c r="T2602">
        <v>0</v>
      </c>
      <c r="U2602" s="6">
        <v>1215</v>
      </c>
      <c r="V2602">
        <v>0</v>
      </c>
      <c r="W2602">
        <v>0</v>
      </c>
      <c r="X2602">
        <v>0</v>
      </c>
      <c r="Y2602" s="6">
        <v>45.6</v>
      </c>
      <c r="Z2602">
        <v>2.5000000000000001E-2</v>
      </c>
      <c r="AA2602">
        <v>0.14099999999999999</v>
      </c>
      <c r="AB2602">
        <v>2.4E-2</v>
      </c>
      <c r="AC2602">
        <v>6</v>
      </c>
      <c r="AD2602" s="6">
        <v>60</v>
      </c>
      <c r="AE2602" s="6">
        <v>25</v>
      </c>
      <c r="AF2602" s="6">
        <v>0</v>
      </c>
      <c r="AG2602" s="6">
        <v>107.66</v>
      </c>
      <c r="AH2602" s="6">
        <v>138.91999999999999</v>
      </c>
      <c r="AI2602" s="6">
        <f t="shared" si="80"/>
        <v>31.259999999999991</v>
      </c>
      <c r="AJ2602" s="5">
        <f t="shared" si="81"/>
        <v>0.22502159516268352</v>
      </c>
    </row>
    <row r="2603" spans="1:36">
      <c r="A2603" t="s">
        <v>230</v>
      </c>
      <c r="B2603" t="s">
        <v>2888</v>
      </c>
      <c r="C2603" t="s">
        <v>118</v>
      </c>
      <c r="D2603" t="s">
        <v>96</v>
      </c>
      <c r="E2603" t="s">
        <v>55</v>
      </c>
      <c r="F2603">
        <v>0</v>
      </c>
      <c r="G2603">
        <v>1347</v>
      </c>
      <c r="H2603">
        <v>1</v>
      </c>
      <c r="I2603" t="s">
        <v>173</v>
      </c>
      <c r="J2603">
        <v>1</v>
      </c>
      <c r="K2603" s="6">
        <v>2.56</v>
      </c>
      <c r="L2603" t="s">
        <v>174</v>
      </c>
      <c r="M2603">
        <v>0</v>
      </c>
      <c r="N2603" t="s">
        <v>272</v>
      </c>
      <c r="O2603">
        <v>5</v>
      </c>
      <c r="P2603">
        <v>1</v>
      </c>
      <c r="Q2603" s="6">
        <v>287</v>
      </c>
      <c r="R2603">
        <v>0</v>
      </c>
      <c r="S2603" s="6">
        <v>0</v>
      </c>
      <c r="T2603">
        <v>0</v>
      </c>
      <c r="U2603" s="6">
        <v>1573</v>
      </c>
      <c r="V2603">
        <v>0</v>
      </c>
      <c r="W2603">
        <v>0</v>
      </c>
      <c r="X2603">
        <v>0</v>
      </c>
      <c r="Y2603" s="6">
        <v>45.6</v>
      </c>
      <c r="Z2603">
        <v>2.5000000000000001E-2</v>
      </c>
      <c r="AA2603">
        <v>0.14099999999999999</v>
      </c>
      <c r="AB2603">
        <v>2.4E-2</v>
      </c>
      <c r="AC2603">
        <v>6</v>
      </c>
      <c r="AD2603" s="6">
        <v>50</v>
      </c>
      <c r="AE2603" s="6">
        <v>0</v>
      </c>
      <c r="AF2603" s="6">
        <v>0</v>
      </c>
      <c r="AG2603" s="6">
        <v>148</v>
      </c>
      <c r="AH2603" s="6">
        <v>186.43</v>
      </c>
      <c r="AI2603" s="6">
        <f t="shared" si="80"/>
        <v>38.430000000000007</v>
      </c>
      <c r="AJ2603" s="5">
        <f t="shared" si="81"/>
        <v>0.20613635144558282</v>
      </c>
    </row>
    <row r="2604" spans="1:36">
      <c r="A2604" t="s">
        <v>261</v>
      </c>
      <c r="B2604" t="s">
        <v>2889</v>
      </c>
      <c r="C2604" t="s">
        <v>118</v>
      </c>
      <c r="D2604" t="s">
        <v>96</v>
      </c>
      <c r="E2604" t="s">
        <v>55</v>
      </c>
      <c r="F2604">
        <v>0</v>
      </c>
      <c r="G2604">
        <v>1347</v>
      </c>
      <c r="H2604">
        <v>1</v>
      </c>
      <c r="I2604" t="s">
        <v>173</v>
      </c>
      <c r="J2604">
        <v>1</v>
      </c>
      <c r="K2604" s="6">
        <v>1.65</v>
      </c>
      <c r="L2604" t="s">
        <v>174</v>
      </c>
      <c r="M2604">
        <v>0</v>
      </c>
      <c r="N2604" t="s">
        <v>175</v>
      </c>
      <c r="O2604">
        <v>1</v>
      </c>
      <c r="P2604">
        <v>0</v>
      </c>
      <c r="Q2604" s="6">
        <v>37.5</v>
      </c>
      <c r="R2604">
        <v>0</v>
      </c>
      <c r="S2604" s="6">
        <v>0</v>
      </c>
      <c r="T2604">
        <v>0</v>
      </c>
      <c r="U2604" s="6">
        <v>2341</v>
      </c>
      <c r="V2604">
        <v>0</v>
      </c>
      <c r="W2604">
        <v>0</v>
      </c>
      <c r="X2604">
        <v>1</v>
      </c>
      <c r="Y2604" s="6">
        <v>45.6</v>
      </c>
      <c r="Z2604">
        <v>2.5000000000000001E-2</v>
      </c>
      <c r="AA2604">
        <v>0.14099999999999999</v>
      </c>
      <c r="AB2604">
        <v>2.4E-2</v>
      </c>
      <c r="AC2604">
        <v>6</v>
      </c>
      <c r="AD2604" s="6">
        <v>50</v>
      </c>
      <c r="AE2604" s="6">
        <v>0</v>
      </c>
      <c r="AF2604" s="6">
        <v>0</v>
      </c>
      <c r="AG2604" s="6">
        <v>51.5</v>
      </c>
      <c r="AH2604" s="6">
        <v>66.8</v>
      </c>
      <c r="AI2604" s="6">
        <f t="shared" si="80"/>
        <v>15.299999999999997</v>
      </c>
      <c r="AJ2604" s="5">
        <f t="shared" si="81"/>
        <v>0.22904191616766464</v>
      </c>
    </row>
    <row r="2605" spans="1:36">
      <c r="A2605" t="s">
        <v>190</v>
      </c>
      <c r="B2605" t="s">
        <v>2890</v>
      </c>
      <c r="C2605" t="s">
        <v>118</v>
      </c>
      <c r="D2605" t="s">
        <v>96</v>
      </c>
      <c r="E2605" t="s">
        <v>55</v>
      </c>
      <c r="F2605">
        <v>0</v>
      </c>
      <c r="G2605">
        <v>1347</v>
      </c>
      <c r="H2605">
        <v>1</v>
      </c>
      <c r="I2605" t="s">
        <v>220</v>
      </c>
      <c r="J2605">
        <v>2</v>
      </c>
      <c r="K2605" s="6">
        <v>3.95</v>
      </c>
      <c r="L2605" t="s">
        <v>174</v>
      </c>
      <c r="M2605">
        <v>0</v>
      </c>
      <c r="N2605" t="s">
        <v>175</v>
      </c>
      <c r="O2605">
        <v>1</v>
      </c>
      <c r="P2605">
        <v>0</v>
      </c>
      <c r="Q2605" s="6">
        <v>13.6</v>
      </c>
      <c r="R2605">
        <v>1</v>
      </c>
      <c r="S2605" s="6">
        <v>2198</v>
      </c>
      <c r="T2605">
        <v>0</v>
      </c>
      <c r="U2605" s="6">
        <v>1230</v>
      </c>
      <c r="V2605">
        <v>0</v>
      </c>
      <c r="W2605">
        <v>0</v>
      </c>
      <c r="X2605">
        <v>0</v>
      </c>
      <c r="Y2605" s="6">
        <v>45.6</v>
      </c>
      <c r="Z2605">
        <v>2.5000000000000001E-2</v>
      </c>
      <c r="AA2605">
        <v>0.14099999999999999</v>
      </c>
      <c r="AB2605">
        <v>2.4E-2</v>
      </c>
      <c r="AC2605">
        <v>6</v>
      </c>
      <c r="AD2605" s="6">
        <v>50</v>
      </c>
      <c r="AE2605" s="6">
        <v>40</v>
      </c>
      <c r="AF2605" s="6">
        <v>0</v>
      </c>
      <c r="AG2605" s="6">
        <v>71.430000000000007</v>
      </c>
      <c r="AH2605" s="6">
        <v>92.09</v>
      </c>
      <c r="AI2605" s="6">
        <f t="shared" si="80"/>
        <v>20.659999999999997</v>
      </c>
      <c r="AJ2605" s="5">
        <f t="shared" si="81"/>
        <v>0.22434574872407423</v>
      </c>
    </row>
    <row r="2606" spans="1:36">
      <c r="A2606" t="s">
        <v>228</v>
      </c>
      <c r="B2606" t="s">
        <v>2891</v>
      </c>
      <c r="C2606" t="s">
        <v>118</v>
      </c>
      <c r="D2606" t="s">
        <v>96</v>
      </c>
      <c r="E2606" t="s">
        <v>55</v>
      </c>
      <c r="F2606">
        <v>0</v>
      </c>
      <c r="G2606">
        <v>1347</v>
      </c>
      <c r="H2606">
        <v>1</v>
      </c>
      <c r="I2606" t="s">
        <v>178</v>
      </c>
      <c r="J2606">
        <v>4</v>
      </c>
      <c r="K2606" s="6">
        <v>4.84</v>
      </c>
      <c r="L2606" t="s">
        <v>174</v>
      </c>
      <c r="M2606">
        <v>0</v>
      </c>
      <c r="N2606" t="s">
        <v>217</v>
      </c>
      <c r="O2606">
        <v>4</v>
      </c>
      <c r="P2606">
        <v>1</v>
      </c>
      <c r="Q2606" s="6">
        <v>171.6</v>
      </c>
      <c r="R2606">
        <v>0</v>
      </c>
      <c r="S2606" s="6">
        <v>0</v>
      </c>
      <c r="T2606">
        <v>0</v>
      </c>
      <c r="U2606" s="6">
        <v>3637</v>
      </c>
      <c r="V2606">
        <v>0</v>
      </c>
      <c r="W2606">
        <v>0</v>
      </c>
      <c r="X2606">
        <v>0</v>
      </c>
      <c r="Y2606" s="6">
        <v>45.6</v>
      </c>
      <c r="Z2606">
        <v>2.5000000000000001E-2</v>
      </c>
      <c r="AA2606">
        <v>0.14099999999999999</v>
      </c>
      <c r="AB2606">
        <v>2.4E-2</v>
      </c>
      <c r="AC2606">
        <v>6</v>
      </c>
      <c r="AD2606" s="6">
        <v>65</v>
      </c>
      <c r="AE2606" s="6">
        <v>0</v>
      </c>
      <c r="AF2606" s="6">
        <v>0</v>
      </c>
      <c r="AG2606" s="6">
        <v>142.54</v>
      </c>
      <c r="AH2606" s="6">
        <v>180.39</v>
      </c>
      <c r="AI2606" s="6">
        <f t="shared" si="80"/>
        <v>37.849999999999994</v>
      </c>
      <c r="AJ2606" s="5">
        <f t="shared" si="81"/>
        <v>0.20982316092909806</v>
      </c>
    </row>
    <row r="2607" spans="1:36">
      <c r="A2607" t="s">
        <v>693</v>
      </c>
      <c r="B2607" t="s">
        <v>2892</v>
      </c>
      <c r="C2607" t="s">
        <v>118</v>
      </c>
      <c r="D2607" t="s">
        <v>96</v>
      </c>
      <c r="E2607" t="s">
        <v>55</v>
      </c>
      <c r="F2607">
        <v>0</v>
      </c>
      <c r="G2607">
        <v>1347</v>
      </c>
      <c r="H2607">
        <v>1</v>
      </c>
      <c r="I2607" t="s">
        <v>173</v>
      </c>
      <c r="J2607">
        <v>1</v>
      </c>
      <c r="K2607" s="6">
        <v>2.02</v>
      </c>
      <c r="L2607" t="s">
        <v>174</v>
      </c>
      <c r="M2607">
        <v>0</v>
      </c>
      <c r="N2607" t="s">
        <v>182</v>
      </c>
      <c r="O2607">
        <v>3</v>
      </c>
      <c r="P2607">
        <v>0</v>
      </c>
      <c r="Q2607" s="6">
        <v>107.8</v>
      </c>
      <c r="R2607">
        <v>0</v>
      </c>
      <c r="S2607" s="6">
        <v>0</v>
      </c>
      <c r="T2607">
        <v>0</v>
      </c>
      <c r="U2607" s="6">
        <v>2631</v>
      </c>
      <c r="V2607">
        <v>0</v>
      </c>
      <c r="W2607">
        <v>0</v>
      </c>
      <c r="X2607">
        <v>0</v>
      </c>
      <c r="Y2607" s="6">
        <v>45.6</v>
      </c>
      <c r="Z2607">
        <v>2.5000000000000001E-2</v>
      </c>
      <c r="AA2607">
        <v>0.14099999999999999</v>
      </c>
      <c r="AB2607">
        <v>2.4E-2</v>
      </c>
      <c r="AC2607">
        <v>6</v>
      </c>
      <c r="AD2607" s="6">
        <v>50</v>
      </c>
      <c r="AE2607" s="6">
        <v>0</v>
      </c>
      <c r="AF2607" s="6">
        <v>0</v>
      </c>
      <c r="AG2607" s="6">
        <v>62.42</v>
      </c>
      <c r="AH2607" s="6">
        <v>78.260000000000005</v>
      </c>
      <c r="AI2607" s="6">
        <f t="shared" si="80"/>
        <v>15.840000000000003</v>
      </c>
      <c r="AJ2607" s="5">
        <f t="shared" si="81"/>
        <v>0.20240224891387684</v>
      </c>
    </row>
    <row r="2608" spans="1:36">
      <c r="A2608" t="s">
        <v>245</v>
      </c>
      <c r="B2608" t="s">
        <v>2893</v>
      </c>
      <c r="C2608" t="s">
        <v>118</v>
      </c>
      <c r="D2608" t="s">
        <v>96</v>
      </c>
      <c r="E2608" t="s">
        <v>55</v>
      </c>
      <c r="F2608">
        <v>0</v>
      </c>
      <c r="G2608">
        <v>1347</v>
      </c>
      <c r="H2608">
        <v>1</v>
      </c>
      <c r="I2608" t="s">
        <v>173</v>
      </c>
      <c r="J2608">
        <v>1</v>
      </c>
      <c r="K2608" s="6">
        <v>2.14</v>
      </c>
      <c r="L2608" t="s">
        <v>174</v>
      </c>
      <c r="M2608">
        <v>0</v>
      </c>
      <c r="N2608" t="s">
        <v>182</v>
      </c>
      <c r="O2608">
        <v>3</v>
      </c>
      <c r="P2608">
        <v>0</v>
      </c>
      <c r="Q2608" s="6">
        <v>96</v>
      </c>
      <c r="R2608">
        <v>0</v>
      </c>
      <c r="S2608" s="6">
        <v>0</v>
      </c>
      <c r="T2608">
        <v>0</v>
      </c>
      <c r="U2608" s="6">
        <v>4116</v>
      </c>
      <c r="V2608">
        <v>0</v>
      </c>
      <c r="W2608">
        <v>0</v>
      </c>
      <c r="X2608">
        <v>1</v>
      </c>
      <c r="Y2608" s="6">
        <v>45.6</v>
      </c>
      <c r="Z2608">
        <v>2.5000000000000001E-2</v>
      </c>
      <c r="AA2608">
        <v>0.14099999999999999</v>
      </c>
      <c r="AB2608">
        <v>2.4E-2</v>
      </c>
      <c r="AC2608">
        <v>6</v>
      </c>
      <c r="AD2608" s="6">
        <v>50</v>
      </c>
      <c r="AE2608" s="6">
        <v>0</v>
      </c>
      <c r="AF2608" s="6">
        <v>0</v>
      </c>
      <c r="AG2608" s="6">
        <v>56.24</v>
      </c>
      <c r="AH2608" s="6">
        <v>73.09</v>
      </c>
      <c r="AI2608" s="6">
        <f t="shared" si="80"/>
        <v>16.850000000000001</v>
      </c>
      <c r="AJ2608" s="5">
        <f t="shared" si="81"/>
        <v>0.23053769325489123</v>
      </c>
    </row>
    <row r="2609" spans="1:36">
      <c r="A2609" t="s">
        <v>223</v>
      </c>
      <c r="B2609" t="s">
        <v>2894</v>
      </c>
      <c r="C2609" t="s">
        <v>118</v>
      </c>
      <c r="D2609" t="s">
        <v>96</v>
      </c>
      <c r="E2609" t="s">
        <v>55</v>
      </c>
      <c r="F2609">
        <v>0</v>
      </c>
      <c r="G2609">
        <v>1347</v>
      </c>
      <c r="H2609">
        <v>1</v>
      </c>
      <c r="I2609" t="s">
        <v>181</v>
      </c>
      <c r="J2609">
        <v>3</v>
      </c>
      <c r="K2609" s="6">
        <v>10.59</v>
      </c>
      <c r="L2609" t="s">
        <v>174</v>
      </c>
      <c r="M2609">
        <v>0</v>
      </c>
      <c r="N2609" t="s">
        <v>187</v>
      </c>
      <c r="O2609">
        <v>2</v>
      </c>
      <c r="P2609">
        <v>0</v>
      </c>
      <c r="Q2609" s="6">
        <v>71.5</v>
      </c>
      <c r="R2609">
        <v>0</v>
      </c>
      <c r="S2609" s="6">
        <v>0</v>
      </c>
      <c r="T2609">
        <v>0</v>
      </c>
      <c r="U2609" s="6">
        <v>927</v>
      </c>
      <c r="V2609">
        <v>0</v>
      </c>
      <c r="W2609">
        <v>0</v>
      </c>
      <c r="X2609">
        <v>0</v>
      </c>
      <c r="Y2609" s="6">
        <v>45.6</v>
      </c>
      <c r="Z2609">
        <v>2.5000000000000001E-2</v>
      </c>
      <c r="AA2609">
        <v>0.14099999999999999</v>
      </c>
      <c r="AB2609">
        <v>2.4E-2</v>
      </c>
      <c r="AC2609">
        <v>6</v>
      </c>
      <c r="AD2609" s="6">
        <v>60</v>
      </c>
      <c r="AE2609" s="6">
        <v>0</v>
      </c>
      <c r="AF2609" s="6">
        <v>0</v>
      </c>
      <c r="AG2609" s="6">
        <v>103.35</v>
      </c>
      <c r="AH2609" s="6">
        <v>130.34</v>
      </c>
      <c r="AI2609" s="6">
        <f t="shared" si="80"/>
        <v>26.990000000000009</v>
      </c>
      <c r="AJ2609" s="5">
        <f t="shared" si="81"/>
        <v>0.20707380696639566</v>
      </c>
    </row>
    <row r="2610" spans="1:36">
      <c r="A2610" t="s">
        <v>436</v>
      </c>
      <c r="B2610" t="s">
        <v>2895</v>
      </c>
      <c r="C2610" t="s">
        <v>118</v>
      </c>
      <c r="D2610" t="s">
        <v>96</v>
      </c>
      <c r="E2610" t="s">
        <v>55</v>
      </c>
      <c r="F2610">
        <v>0</v>
      </c>
      <c r="G2610">
        <v>1347</v>
      </c>
      <c r="H2610">
        <v>1</v>
      </c>
      <c r="I2610" t="s">
        <v>220</v>
      </c>
      <c r="J2610">
        <v>2</v>
      </c>
      <c r="K2610" s="6">
        <v>2.73</v>
      </c>
      <c r="L2610" t="s">
        <v>174</v>
      </c>
      <c r="M2610">
        <v>0</v>
      </c>
      <c r="N2610" t="s">
        <v>175</v>
      </c>
      <c r="O2610">
        <v>1</v>
      </c>
      <c r="P2610">
        <v>0</v>
      </c>
      <c r="Q2610" s="6">
        <v>44.8</v>
      </c>
      <c r="R2610">
        <v>1</v>
      </c>
      <c r="S2610" s="6">
        <v>2340</v>
      </c>
      <c r="T2610">
        <v>0</v>
      </c>
      <c r="U2610" s="6">
        <v>1880</v>
      </c>
      <c r="V2610">
        <v>0</v>
      </c>
      <c r="W2610">
        <v>0</v>
      </c>
      <c r="X2610">
        <v>0</v>
      </c>
      <c r="Y2610" s="6">
        <v>45.6</v>
      </c>
      <c r="Z2610">
        <v>2.5000000000000001E-2</v>
      </c>
      <c r="AA2610">
        <v>0.14099999999999999</v>
      </c>
      <c r="AB2610">
        <v>2.4E-2</v>
      </c>
      <c r="AC2610">
        <v>6</v>
      </c>
      <c r="AD2610" s="6">
        <v>50</v>
      </c>
      <c r="AE2610" s="6">
        <v>40</v>
      </c>
      <c r="AF2610" s="6">
        <v>0</v>
      </c>
      <c r="AG2610" s="6">
        <v>65.650000000000006</v>
      </c>
      <c r="AH2610" s="6">
        <v>82.44</v>
      </c>
      <c r="AI2610" s="6">
        <f t="shared" si="80"/>
        <v>16.789999999999992</v>
      </c>
      <c r="AJ2610" s="5">
        <f t="shared" si="81"/>
        <v>0.20366327025715664</v>
      </c>
    </row>
    <row r="2611" spans="1:36">
      <c r="A2611" t="s">
        <v>171</v>
      </c>
      <c r="B2611" t="s">
        <v>2896</v>
      </c>
      <c r="C2611" t="s">
        <v>118</v>
      </c>
      <c r="D2611" t="s">
        <v>96</v>
      </c>
      <c r="E2611" t="s">
        <v>55</v>
      </c>
      <c r="F2611">
        <v>0</v>
      </c>
      <c r="G2611">
        <v>1347</v>
      </c>
      <c r="H2611">
        <v>1</v>
      </c>
      <c r="I2611" t="s">
        <v>173</v>
      </c>
      <c r="J2611">
        <v>1</v>
      </c>
      <c r="K2611" s="6">
        <v>2.0499999999999998</v>
      </c>
      <c r="L2611" t="s">
        <v>174</v>
      </c>
      <c r="M2611">
        <v>0</v>
      </c>
      <c r="N2611" t="s">
        <v>182</v>
      </c>
      <c r="O2611">
        <v>3</v>
      </c>
      <c r="P2611">
        <v>0</v>
      </c>
      <c r="Q2611" s="6">
        <v>98.2</v>
      </c>
      <c r="R2611">
        <v>0</v>
      </c>
      <c r="S2611" s="6">
        <v>0</v>
      </c>
      <c r="T2611">
        <v>0</v>
      </c>
      <c r="U2611" s="6">
        <v>1021</v>
      </c>
      <c r="V2611">
        <v>0</v>
      </c>
      <c r="W2611">
        <v>0</v>
      </c>
      <c r="X2611">
        <v>0</v>
      </c>
      <c r="Y2611" s="6">
        <v>45.6</v>
      </c>
      <c r="Z2611">
        <v>2.5000000000000001E-2</v>
      </c>
      <c r="AA2611">
        <v>0.14099999999999999</v>
      </c>
      <c r="AB2611">
        <v>2.4E-2</v>
      </c>
      <c r="AC2611">
        <v>6</v>
      </c>
      <c r="AD2611" s="6">
        <v>50</v>
      </c>
      <c r="AE2611" s="6">
        <v>0</v>
      </c>
      <c r="AF2611" s="6">
        <v>0</v>
      </c>
      <c r="AG2611" s="6">
        <v>61.67</v>
      </c>
      <c r="AH2611" s="6">
        <v>80.89</v>
      </c>
      <c r="AI2611" s="6">
        <f t="shared" si="80"/>
        <v>19.22</v>
      </c>
      <c r="AJ2611" s="5">
        <f t="shared" si="81"/>
        <v>0.23760662628260598</v>
      </c>
    </row>
    <row r="2612" spans="1:36">
      <c r="A2612" t="s">
        <v>693</v>
      </c>
      <c r="B2612" t="s">
        <v>2897</v>
      </c>
      <c r="C2612" t="s">
        <v>118</v>
      </c>
      <c r="D2612" t="s">
        <v>96</v>
      </c>
      <c r="E2612" t="s">
        <v>55</v>
      </c>
      <c r="F2612">
        <v>0</v>
      </c>
      <c r="G2612">
        <v>1347</v>
      </c>
      <c r="H2612">
        <v>1</v>
      </c>
      <c r="I2612" t="s">
        <v>178</v>
      </c>
      <c r="J2612">
        <v>4</v>
      </c>
      <c r="K2612" s="6">
        <v>13.22</v>
      </c>
      <c r="L2612" t="s">
        <v>174</v>
      </c>
      <c r="M2612">
        <v>0</v>
      </c>
      <c r="N2612" t="s">
        <v>182</v>
      </c>
      <c r="O2612">
        <v>3</v>
      </c>
      <c r="P2612">
        <v>0</v>
      </c>
      <c r="Q2612" s="6">
        <v>132.19999999999999</v>
      </c>
      <c r="R2612">
        <v>0</v>
      </c>
      <c r="S2612" s="6">
        <v>0</v>
      </c>
      <c r="T2612">
        <v>0</v>
      </c>
      <c r="U2612" s="6">
        <v>3113</v>
      </c>
      <c r="V2612">
        <v>0</v>
      </c>
      <c r="W2612">
        <v>0</v>
      </c>
      <c r="X2612">
        <v>0</v>
      </c>
      <c r="Y2612" s="6">
        <v>45.6</v>
      </c>
      <c r="Z2612">
        <v>2.5000000000000001E-2</v>
      </c>
      <c r="AA2612">
        <v>0.14099999999999999</v>
      </c>
      <c r="AB2612">
        <v>2.4E-2</v>
      </c>
      <c r="AC2612">
        <v>6</v>
      </c>
      <c r="AD2612" s="6">
        <v>65</v>
      </c>
      <c r="AE2612" s="6">
        <v>0</v>
      </c>
      <c r="AF2612" s="6">
        <v>0</v>
      </c>
      <c r="AG2612" s="6">
        <v>139.77000000000001</v>
      </c>
      <c r="AH2612" s="6">
        <v>179.66</v>
      </c>
      <c r="AI2612" s="6">
        <f t="shared" si="80"/>
        <v>39.889999999999986</v>
      </c>
      <c r="AJ2612" s="5">
        <f t="shared" si="81"/>
        <v>0.22203050205944555</v>
      </c>
    </row>
    <row r="2613" spans="1:36">
      <c r="A2613" t="s">
        <v>528</v>
      </c>
      <c r="B2613" t="s">
        <v>2898</v>
      </c>
      <c r="C2613" t="s">
        <v>118</v>
      </c>
      <c r="D2613" t="s">
        <v>96</v>
      </c>
      <c r="E2613" t="s">
        <v>55</v>
      </c>
      <c r="F2613">
        <v>0</v>
      </c>
      <c r="G2613">
        <v>1347</v>
      </c>
      <c r="H2613">
        <v>1</v>
      </c>
      <c r="I2613" t="s">
        <v>181</v>
      </c>
      <c r="J2613">
        <v>3</v>
      </c>
      <c r="K2613" s="6">
        <v>7.55</v>
      </c>
      <c r="L2613" t="s">
        <v>174</v>
      </c>
      <c r="M2613">
        <v>0</v>
      </c>
      <c r="N2613" t="s">
        <v>182</v>
      </c>
      <c r="O2613">
        <v>3</v>
      </c>
      <c r="P2613">
        <v>0</v>
      </c>
      <c r="Q2613" s="6">
        <v>84.5</v>
      </c>
      <c r="R2613">
        <v>1</v>
      </c>
      <c r="S2613" s="6">
        <v>777</v>
      </c>
      <c r="T2613">
        <v>0</v>
      </c>
      <c r="U2613" s="6">
        <v>1623</v>
      </c>
      <c r="V2613">
        <v>0</v>
      </c>
      <c r="W2613">
        <v>0</v>
      </c>
      <c r="X2613">
        <v>0</v>
      </c>
      <c r="Y2613" s="6">
        <v>45.6</v>
      </c>
      <c r="Z2613">
        <v>2.5000000000000001E-2</v>
      </c>
      <c r="AA2613">
        <v>0.14099999999999999</v>
      </c>
      <c r="AB2613">
        <v>2.4E-2</v>
      </c>
      <c r="AC2613">
        <v>6</v>
      </c>
      <c r="AD2613" s="6">
        <v>60</v>
      </c>
      <c r="AE2613" s="6">
        <v>25</v>
      </c>
      <c r="AF2613" s="6">
        <v>0</v>
      </c>
      <c r="AG2613" s="6">
        <v>89.77</v>
      </c>
      <c r="AH2613" s="6">
        <v>112.84</v>
      </c>
      <c r="AI2613" s="6">
        <f t="shared" si="80"/>
        <v>23.070000000000007</v>
      </c>
      <c r="AJ2613" s="5">
        <f t="shared" si="81"/>
        <v>0.20444877702942224</v>
      </c>
    </row>
    <row r="2614" spans="1:36">
      <c r="A2614" t="s">
        <v>423</v>
      </c>
      <c r="B2614" t="s">
        <v>2899</v>
      </c>
      <c r="C2614" t="s">
        <v>118</v>
      </c>
      <c r="D2614" t="s">
        <v>96</v>
      </c>
      <c r="E2614" t="s">
        <v>55</v>
      </c>
      <c r="F2614">
        <v>0</v>
      </c>
      <c r="G2614">
        <v>1347</v>
      </c>
      <c r="H2614">
        <v>1</v>
      </c>
      <c r="I2614" t="s">
        <v>173</v>
      </c>
      <c r="J2614">
        <v>1</v>
      </c>
      <c r="K2614" s="6">
        <v>1.85</v>
      </c>
      <c r="L2614" t="s">
        <v>174</v>
      </c>
      <c r="M2614">
        <v>0</v>
      </c>
      <c r="N2614" t="s">
        <v>175</v>
      </c>
      <c r="O2614">
        <v>1</v>
      </c>
      <c r="P2614">
        <v>0</v>
      </c>
      <c r="Q2614" s="6">
        <v>37.9</v>
      </c>
      <c r="R2614">
        <v>1</v>
      </c>
      <c r="S2614" s="6">
        <v>1342</v>
      </c>
      <c r="T2614">
        <v>0</v>
      </c>
      <c r="U2614" s="6">
        <v>830</v>
      </c>
      <c r="V2614">
        <v>0</v>
      </c>
      <c r="W2614">
        <v>0</v>
      </c>
      <c r="X2614">
        <v>0</v>
      </c>
      <c r="Y2614" s="6">
        <v>45.6</v>
      </c>
      <c r="Z2614">
        <v>2.5000000000000001E-2</v>
      </c>
      <c r="AA2614">
        <v>0.14099999999999999</v>
      </c>
      <c r="AB2614">
        <v>2.4E-2</v>
      </c>
      <c r="AC2614">
        <v>6</v>
      </c>
      <c r="AD2614" s="6">
        <v>50</v>
      </c>
      <c r="AE2614" s="6">
        <v>25</v>
      </c>
      <c r="AF2614" s="6">
        <v>0</v>
      </c>
      <c r="AG2614" s="6">
        <v>56.84</v>
      </c>
      <c r="AH2614" s="6">
        <v>74.569999999999993</v>
      </c>
      <c r="AI2614" s="6">
        <f t="shared" si="80"/>
        <v>17.72999999999999</v>
      </c>
      <c r="AJ2614" s="5">
        <f t="shared" si="81"/>
        <v>0.23776317553976117</v>
      </c>
    </row>
    <row r="2615" spans="1:36">
      <c r="A2615" t="s">
        <v>459</v>
      </c>
      <c r="B2615" t="s">
        <v>2900</v>
      </c>
      <c r="C2615" t="s">
        <v>118</v>
      </c>
      <c r="D2615" t="s">
        <v>96</v>
      </c>
      <c r="E2615" t="s">
        <v>55</v>
      </c>
      <c r="F2615">
        <v>0</v>
      </c>
      <c r="G2615">
        <v>1347</v>
      </c>
      <c r="H2615">
        <v>1</v>
      </c>
      <c r="I2615" t="s">
        <v>173</v>
      </c>
      <c r="J2615">
        <v>1</v>
      </c>
      <c r="K2615" s="6">
        <v>1.32</v>
      </c>
      <c r="L2615" t="s">
        <v>174</v>
      </c>
      <c r="M2615">
        <v>0</v>
      </c>
      <c r="N2615" t="s">
        <v>182</v>
      </c>
      <c r="O2615">
        <v>3</v>
      </c>
      <c r="P2615">
        <v>1</v>
      </c>
      <c r="Q2615" s="6">
        <v>75.7</v>
      </c>
      <c r="R2615">
        <v>1</v>
      </c>
      <c r="S2615" s="6">
        <v>1054</v>
      </c>
      <c r="T2615">
        <v>0</v>
      </c>
      <c r="U2615" s="6">
        <v>6545</v>
      </c>
      <c r="V2615">
        <v>0</v>
      </c>
      <c r="W2615">
        <v>0</v>
      </c>
      <c r="X2615">
        <v>0</v>
      </c>
      <c r="Y2615" s="6">
        <v>45.6</v>
      </c>
      <c r="Z2615">
        <v>2.5000000000000001E-2</v>
      </c>
      <c r="AA2615">
        <v>0.14099999999999999</v>
      </c>
      <c r="AB2615">
        <v>2.4E-2</v>
      </c>
      <c r="AC2615">
        <v>6</v>
      </c>
      <c r="AD2615" s="6">
        <v>50</v>
      </c>
      <c r="AE2615" s="6">
        <v>25</v>
      </c>
      <c r="AF2615" s="6">
        <v>0</v>
      </c>
      <c r="AG2615" s="6">
        <v>87.88</v>
      </c>
      <c r="AH2615" s="6">
        <v>110.25</v>
      </c>
      <c r="AI2615" s="6">
        <f t="shared" si="80"/>
        <v>22.370000000000005</v>
      </c>
      <c r="AJ2615" s="5">
        <f t="shared" si="81"/>
        <v>0.2029024943310658</v>
      </c>
    </row>
    <row r="2616" spans="1:36">
      <c r="A2616" t="s">
        <v>384</v>
      </c>
      <c r="B2616" t="s">
        <v>2901</v>
      </c>
      <c r="C2616" t="s">
        <v>118</v>
      </c>
      <c r="D2616" t="s">
        <v>96</v>
      </c>
      <c r="E2616" t="s">
        <v>55</v>
      </c>
      <c r="F2616">
        <v>0</v>
      </c>
      <c r="G2616">
        <v>1347</v>
      </c>
      <c r="H2616">
        <v>1</v>
      </c>
      <c r="I2616" t="s">
        <v>173</v>
      </c>
      <c r="J2616">
        <v>1</v>
      </c>
      <c r="K2616" s="6">
        <v>1.67</v>
      </c>
      <c r="L2616" t="s">
        <v>174</v>
      </c>
      <c r="M2616">
        <v>0</v>
      </c>
      <c r="N2616" t="s">
        <v>217</v>
      </c>
      <c r="O2616">
        <v>4</v>
      </c>
      <c r="P2616">
        <v>1</v>
      </c>
      <c r="Q2616" s="6">
        <v>112.7</v>
      </c>
      <c r="R2616">
        <v>0</v>
      </c>
      <c r="S2616" s="6">
        <v>0</v>
      </c>
      <c r="T2616">
        <v>0</v>
      </c>
      <c r="U2616" s="6">
        <v>2397</v>
      </c>
      <c r="V2616">
        <v>0</v>
      </c>
      <c r="W2616">
        <v>0</v>
      </c>
      <c r="X2616">
        <v>1</v>
      </c>
      <c r="Y2616" s="6">
        <v>45.6</v>
      </c>
      <c r="Z2616">
        <v>2.5000000000000001E-2</v>
      </c>
      <c r="AA2616">
        <v>0.14099999999999999</v>
      </c>
      <c r="AB2616">
        <v>2.4E-2</v>
      </c>
      <c r="AC2616">
        <v>6</v>
      </c>
      <c r="AD2616" s="6">
        <v>50</v>
      </c>
      <c r="AE2616" s="6">
        <v>0</v>
      </c>
      <c r="AF2616" s="6">
        <v>0</v>
      </c>
      <c r="AG2616" s="6">
        <v>95.12</v>
      </c>
      <c r="AH2616" s="6">
        <v>121.86</v>
      </c>
      <c r="AI2616" s="6">
        <f t="shared" si="80"/>
        <v>26.739999999999995</v>
      </c>
      <c r="AJ2616" s="5">
        <f t="shared" si="81"/>
        <v>0.21943213523715735</v>
      </c>
    </row>
    <row r="2617" spans="1:36">
      <c r="A2617" t="s">
        <v>528</v>
      </c>
      <c r="B2617" t="s">
        <v>2902</v>
      </c>
      <c r="C2617" t="s">
        <v>118</v>
      </c>
      <c r="D2617" t="s">
        <v>96</v>
      </c>
      <c r="E2617" t="s">
        <v>55</v>
      </c>
      <c r="F2617">
        <v>0</v>
      </c>
      <c r="G2617">
        <v>1347</v>
      </c>
      <c r="H2617">
        <v>1</v>
      </c>
      <c r="I2617" t="s">
        <v>181</v>
      </c>
      <c r="J2617">
        <v>3</v>
      </c>
      <c r="K2617" s="6">
        <v>7.47</v>
      </c>
      <c r="L2617" t="s">
        <v>174</v>
      </c>
      <c r="M2617">
        <v>0</v>
      </c>
      <c r="N2617" t="s">
        <v>175</v>
      </c>
      <c r="O2617">
        <v>1</v>
      </c>
      <c r="P2617">
        <v>1</v>
      </c>
      <c r="Q2617" s="6">
        <v>38.700000000000003</v>
      </c>
      <c r="R2617">
        <v>0</v>
      </c>
      <c r="S2617" s="6">
        <v>0</v>
      </c>
      <c r="T2617">
        <v>0</v>
      </c>
      <c r="U2617" s="6">
        <v>2613</v>
      </c>
      <c r="V2617">
        <v>0</v>
      </c>
      <c r="W2617">
        <v>0</v>
      </c>
      <c r="X2617">
        <v>0</v>
      </c>
      <c r="Y2617" s="6">
        <v>45.6</v>
      </c>
      <c r="Z2617">
        <v>2.5000000000000001E-2</v>
      </c>
      <c r="AA2617">
        <v>0.14099999999999999</v>
      </c>
      <c r="AB2617">
        <v>2.4E-2</v>
      </c>
      <c r="AC2617">
        <v>6</v>
      </c>
      <c r="AD2617" s="6">
        <v>60</v>
      </c>
      <c r="AE2617" s="6">
        <v>0</v>
      </c>
      <c r="AF2617" s="6">
        <v>0</v>
      </c>
      <c r="AG2617" s="6">
        <v>92.86</v>
      </c>
      <c r="AH2617" s="6">
        <v>120.2</v>
      </c>
      <c r="AI2617" s="6">
        <f t="shared" si="80"/>
        <v>27.340000000000003</v>
      </c>
      <c r="AJ2617" s="5">
        <f t="shared" si="81"/>
        <v>0.22745424292845259</v>
      </c>
    </row>
    <row r="2618" spans="1:36">
      <c r="A2618" t="s">
        <v>328</v>
      </c>
      <c r="B2618" t="s">
        <v>2903</v>
      </c>
      <c r="C2618" t="s">
        <v>118</v>
      </c>
      <c r="D2618" t="s">
        <v>96</v>
      </c>
      <c r="E2618" t="s">
        <v>55</v>
      </c>
      <c r="F2618">
        <v>0</v>
      </c>
      <c r="G2618">
        <v>1347</v>
      </c>
      <c r="H2618">
        <v>1</v>
      </c>
      <c r="I2618" t="s">
        <v>173</v>
      </c>
      <c r="J2618">
        <v>1</v>
      </c>
      <c r="K2618" s="6">
        <v>2.36</v>
      </c>
      <c r="L2618" t="s">
        <v>174</v>
      </c>
      <c r="M2618">
        <v>0</v>
      </c>
      <c r="N2618" t="s">
        <v>175</v>
      </c>
      <c r="O2618">
        <v>1</v>
      </c>
      <c r="P2618">
        <v>0</v>
      </c>
      <c r="Q2618" s="6">
        <v>28.5</v>
      </c>
      <c r="R2618">
        <v>0</v>
      </c>
      <c r="S2618" s="6">
        <v>0</v>
      </c>
      <c r="T2618">
        <v>0</v>
      </c>
      <c r="U2618" s="6">
        <v>2896</v>
      </c>
      <c r="V2618">
        <v>0</v>
      </c>
      <c r="W2618">
        <v>0</v>
      </c>
      <c r="X2618">
        <v>0</v>
      </c>
      <c r="Y2618" s="6">
        <v>45.6</v>
      </c>
      <c r="Z2618">
        <v>2.5000000000000001E-2</v>
      </c>
      <c r="AA2618">
        <v>0.14099999999999999</v>
      </c>
      <c r="AB2618">
        <v>2.4E-2</v>
      </c>
      <c r="AC2618">
        <v>6</v>
      </c>
      <c r="AD2618" s="6">
        <v>50</v>
      </c>
      <c r="AE2618" s="6">
        <v>0</v>
      </c>
      <c r="AF2618" s="6">
        <v>0</v>
      </c>
      <c r="AG2618" s="6">
        <v>43.78</v>
      </c>
      <c r="AH2618" s="6">
        <v>57.15</v>
      </c>
      <c r="AI2618" s="6">
        <f t="shared" si="80"/>
        <v>13.369999999999997</v>
      </c>
      <c r="AJ2618" s="5">
        <f t="shared" si="81"/>
        <v>0.23394575678040241</v>
      </c>
    </row>
    <row r="2619" spans="1:36">
      <c r="A2619" t="s">
        <v>391</v>
      </c>
      <c r="B2619" t="s">
        <v>2904</v>
      </c>
      <c r="C2619" t="s">
        <v>118</v>
      </c>
      <c r="D2619" t="s">
        <v>96</v>
      </c>
      <c r="E2619" t="s">
        <v>55</v>
      </c>
      <c r="F2619">
        <v>0</v>
      </c>
      <c r="G2619">
        <v>1347</v>
      </c>
      <c r="H2619">
        <v>1</v>
      </c>
      <c r="I2619" t="s">
        <v>173</v>
      </c>
      <c r="J2619">
        <v>1</v>
      </c>
      <c r="K2619" s="6">
        <v>1.97</v>
      </c>
      <c r="L2619" t="s">
        <v>174</v>
      </c>
      <c r="M2619">
        <v>0</v>
      </c>
      <c r="N2619" t="s">
        <v>175</v>
      </c>
      <c r="O2619">
        <v>1</v>
      </c>
      <c r="P2619">
        <v>0</v>
      </c>
      <c r="Q2619" s="6">
        <v>39.6</v>
      </c>
      <c r="R2619">
        <v>0</v>
      </c>
      <c r="S2619" s="6">
        <v>0</v>
      </c>
      <c r="T2619">
        <v>0</v>
      </c>
      <c r="U2619" s="6">
        <v>4215</v>
      </c>
      <c r="V2619">
        <v>0</v>
      </c>
      <c r="W2619">
        <v>0</v>
      </c>
      <c r="X2619">
        <v>0</v>
      </c>
      <c r="Y2619" s="6">
        <v>45.6</v>
      </c>
      <c r="Z2619">
        <v>2.5000000000000001E-2</v>
      </c>
      <c r="AA2619">
        <v>0.14099999999999999</v>
      </c>
      <c r="AB2619">
        <v>2.4E-2</v>
      </c>
      <c r="AC2619">
        <v>6</v>
      </c>
      <c r="AD2619" s="6">
        <v>50</v>
      </c>
      <c r="AE2619" s="6">
        <v>0</v>
      </c>
      <c r="AF2619" s="6">
        <v>0</v>
      </c>
      <c r="AG2619" s="6">
        <v>49.71</v>
      </c>
      <c r="AH2619" s="6">
        <v>62.26</v>
      </c>
      <c r="AI2619" s="6">
        <f t="shared" si="80"/>
        <v>12.549999999999997</v>
      </c>
      <c r="AJ2619" s="5">
        <f t="shared" si="81"/>
        <v>0.20157404433022805</v>
      </c>
    </row>
    <row r="2620" spans="1:36">
      <c r="A2620" t="s">
        <v>512</v>
      </c>
      <c r="B2620" t="s">
        <v>2905</v>
      </c>
      <c r="C2620" t="s">
        <v>118</v>
      </c>
      <c r="D2620" t="s">
        <v>96</v>
      </c>
      <c r="E2620" t="s">
        <v>55</v>
      </c>
      <c r="F2620">
        <v>0</v>
      </c>
      <c r="G2620">
        <v>1347</v>
      </c>
      <c r="H2620">
        <v>1</v>
      </c>
      <c r="I2620" t="s">
        <v>173</v>
      </c>
      <c r="J2620">
        <v>1</v>
      </c>
      <c r="K2620" s="6">
        <v>2.8</v>
      </c>
      <c r="L2620" t="s">
        <v>174</v>
      </c>
      <c r="M2620">
        <v>0</v>
      </c>
      <c r="N2620" t="s">
        <v>175</v>
      </c>
      <c r="O2620">
        <v>1</v>
      </c>
      <c r="P2620">
        <v>0</v>
      </c>
      <c r="Q2620" s="6">
        <v>48.2</v>
      </c>
      <c r="R2620">
        <v>0</v>
      </c>
      <c r="S2620" s="6">
        <v>0</v>
      </c>
      <c r="T2620">
        <v>0</v>
      </c>
      <c r="U2620" s="6">
        <v>3119</v>
      </c>
      <c r="V2620">
        <v>0</v>
      </c>
      <c r="W2620">
        <v>0</v>
      </c>
      <c r="X2620">
        <v>0</v>
      </c>
      <c r="Y2620" s="6">
        <v>45.6</v>
      </c>
      <c r="Z2620">
        <v>2.5000000000000001E-2</v>
      </c>
      <c r="AA2620">
        <v>0.14099999999999999</v>
      </c>
      <c r="AB2620">
        <v>2.4E-2</v>
      </c>
      <c r="AC2620">
        <v>6</v>
      </c>
      <c r="AD2620" s="6">
        <v>50</v>
      </c>
      <c r="AE2620" s="6">
        <v>0</v>
      </c>
      <c r="AF2620" s="6">
        <v>0</v>
      </c>
      <c r="AG2620" s="6">
        <v>55.31</v>
      </c>
      <c r="AH2620" s="6">
        <v>70.069999999999993</v>
      </c>
      <c r="AI2620" s="6">
        <f t="shared" si="80"/>
        <v>14.759999999999991</v>
      </c>
      <c r="AJ2620" s="5">
        <f t="shared" si="81"/>
        <v>0.21064649636078198</v>
      </c>
    </row>
    <row r="2621" spans="1:36">
      <c r="A2621" t="s">
        <v>279</v>
      </c>
      <c r="B2621" t="s">
        <v>2906</v>
      </c>
      <c r="C2621" t="s">
        <v>118</v>
      </c>
      <c r="D2621" t="s">
        <v>96</v>
      </c>
      <c r="E2621" t="s">
        <v>55</v>
      </c>
      <c r="F2621">
        <v>0</v>
      </c>
      <c r="G2621">
        <v>1347</v>
      </c>
      <c r="H2621">
        <v>1</v>
      </c>
      <c r="I2621" t="s">
        <v>173</v>
      </c>
      <c r="J2621">
        <v>1</v>
      </c>
      <c r="K2621" s="6">
        <v>1.79</v>
      </c>
      <c r="L2621" t="s">
        <v>174</v>
      </c>
      <c r="M2621">
        <v>0</v>
      </c>
      <c r="N2621" t="s">
        <v>175</v>
      </c>
      <c r="O2621">
        <v>1</v>
      </c>
      <c r="P2621">
        <v>0</v>
      </c>
      <c r="Q2621" s="6">
        <v>34.5</v>
      </c>
      <c r="R2621">
        <v>0</v>
      </c>
      <c r="S2621" s="6">
        <v>0</v>
      </c>
      <c r="T2621">
        <v>0</v>
      </c>
      <c r="U2621" s="6">
        <v>3585</v>
      </c>
      <c r="V2621">
        <v>0</v>
      </c>
      <c r="W2621">
        <v>0</v>
      </c>
      <c r="X2621">
        <v>0</v>
      </c>
      <c r="Y2621" s="6">
        <v>45.6</v>
      </c>
      <c r="Z2621">
        <v>2.5000000000000001E-2</v>
      </c>
      <c r="AA2621">
        <v>0.14099999999999999</v>
      </c>
      <c r="AB2621">
        <v>2.4E-2</v>
      </c>
      <c r="AC2621">
        <v>6</v>
      </c>
      <c r="AD2621" s="6">
        <v>50</v>
      </c>
      <c r="AE2621" s="6">
        <v>0</v>
      </c>
      <c r="AF2621" s="6">
        <v>0</v>
      </c>
      <c r="AG2621" s="6">
        <v>49.75</v>
      </c>
      <c r="AH2621" s="6">
        <v>63.43</v>
      </c>
      <c r="AI2621" s="6">
        <f t="shared" si="80"/>
        <v>13.68</v>
      </c>
      <c r="AJ2621" s="5">
        <f t="shared" si="81"/>
        <v>0.21567081822481476</v>
      </c>
    </row>
    <row r="2622" spans="1:36">
      <c r="A2622" t="s">
        <v>185</v>
      </c>
      <c r="B2622" t="s">
        <v>2907</v>
      </c>
      <c r="C2622" t="s">
        <v>118</v>
      </c>
      <c r="D2622" t="s">
        <v>96</v>
      </c>
      <c r="E2622" t="s">
        <v>55</v>
      </c>
      <c r="F2622">
        <v>0</v>
      </c>
      <c r="G2622">
        <v>1347</v>
      </c>
      <c r="H2622">
        <v>1</v>
      </c>
      <c r="I2622" t="s">
        <v>220</v>
      </c>
      <c r="J2622">
        <v>2</v>
      </c>
      <c r="K2622" s="6">
        <v>3.03</v>
      </c>
      <c r="L2622" t="s">
        <v>174</v>
      </c>
      <c r="M2622">
        <v>0</v>
      </c>
      <c r="N2622" t="s">
        <v>175</v>
      </c>
      <c r="O2622">
        <v>1</v>
      </c>
      <c r="P2622">
        <v>1</v>
      </c>
      <c r="Q2622" s="6">
        <v>32.200000000000003</v>
      </c>
      <c r="R2622">
        <v>0</v>
      </c>
      <c r="S2622" s="6">
        <v>0</v>
      </c>
      <c r="T2622">
        <v>0</v>
      </c>
      <c r="U2622" s="6">
        <v>2335</v>
      </c>
      <c r="V2622">
        <v>0</v>
      </c>
      <c r="W2622">
        <v>1</v>
      </c>
      <c r="X2622">
        <v>0</v>
      </c>
      <c r="Y2622" s="6">
        <v>45.6</v>
      </c>
      <c r="Z2622">
        <v>2.5000000000000001E-2</v>
      </c>
      <c r="AA2622">
        <v>0.14099999999999999</v>
      </c>
      <c r="AB2622">
        <v>2.4E-2</v>
      </c>
      <c r="AC2622">
        <v>6</v>
      </c>
      <c r="AD2622" s="6">
        <v>50</v>
      </c>
      <c r="AE2622" s="6">
        <v>0</v>
      </c>
      <c r="AF2622" s="6">
        <v>0</v>
      </c>
      <c r="AG2622" s="6">
        <v>102.65</v>
      </c>
      <c r="AH2622" s="6">
        <v>128.57</v>
      </c>
      <c r="AI2622" s="6">
        <f t="shared" si="80"/>
        <v>25.919999999999987</v>
      </c>
      <c r="AJ2622" s="5">
        <f t="shared" si="81"/>
        <v>0.20160224002488908</v>
      </c>
    </row>
    <row r="2623" spans="1:36">
      <c r="A2623" t="s">
        <v>512</v>
      </c>
      <c r="B2623" t="s">
        <v>2908</v>
      </c>
      <c r="C2623" t="s">
        <v>118</v>
      </c>
      <c r="D2623" t="s">
        <v>96</v>
      </c>
      <c r="E2623" t="s">
        <v>55</v>
      </c>
      <c r="F2623">
        <v>0</v>
      </c>
      <c r="G2623">
        <v>1347</v>
      </c>
      <c r="H2623">
        <v>1</v>
      </c>
      <c r="I2623" t="s">
        <v>173</v>
      </c>
      <c r="J2623">
        <v>1</v>
      </c>
      <c r="K2623" s="6">
        <v>1.74</v>
      </c>
      <c r="L2623" t="s">
        <v>174</v>
      </c>
      <c r="M2623">
        <v>0</v>
      </c>
      <c r="N2623" t="s">
        <v>175</v>
      </c>
      <c r="O2623">
        <v>1</v>
      </c>
      <c r="P2623">
        <v>0</v>
      </c>
      <c r="Q2623" s="6">
        <v>43.6</v>
      </c>
      <c r="R2623">
        <v>1</v>
      </c>
      <c r="S2623" s="6">
        <v>2301</v>
      </c>
      <c r="T2623">
        <v>0</v>
      </c>
      <c r="U2623" s="6">
        <v>1857</v>
      </c>
      <c r="V2623">
        <v>0</v>
      </c>
      <c r="W2623">
        <v>0</v>
      </c>
      <c r="X2623">
        <v>0</v>
      </c>
      <c r="Y2623" s="6">
        <v>45.6</v>
      </c>
      <c r="Z2623">
        <v>2.5000000000000001E-2</v>
      </c>
      <c r="AA2623">
        <v>0.14099999999999999</v>
      </c>
      <c r="AB2623">
        <v>2.4E-2</v>
      </c>
      <c r="AC2623">
        <v>6</v>
      </c>
      <c r="AD2623" s="6">
        <v>50</v>
      </c>
      <c r="AE2623" s="6">
        <v>40</v>
      </c>
      <c r="AF2623" s="6">
        <v>0</v>
      </c>
      <c r="AG2623" s="6">
        <v>58.37</v>
      </c>
      <c r="AH2623" s="6">
        <v>73.709999999999994</v>
      </c>
      <c r="AI2623" s="6">
        <f t="shared" si="80"/>
        <v>15.339999999999996</v>
      </c>
      <c r="AJ2623" s="5">
        <f t="shared" si="81"/>
        <v>0.20811287477954141</v>
      </c>
    </row>
    <row r="2624" spans="1:36">
      <c r="A2624" t="s">
        <v>258</v>
      </c>
      <c r="B2624" t="s">
        <v>2909</v>
      </c>
      <c r="C2624" t="s">
        <v>118</v>
      </c>
      <c r="D2624" t="s">
        <v>96</v>
      </c>
      <c r="E2624" t="s">
        <v>55</v>
      </c>
      <c r="F2624">
        <v>0</v>
      </c>
      <c r="G2624">
        <v>1347</v>
      </c>
      <c r="H2624">
        <v>1</v>
      </c>
      <c r="I2624" t="s">
        <v>178</v>
      </c>
      <c r="J2624">
        <v>4</v>
      </c>
      <c r="K2624" s="6">
        <v>14.54</v>
      </c>
      <c r="L2624" t="s">
        <v>174</v>
      </c>
      <c r="M2624">
        <v>0</v>
      </c>
      <c r="N2624" t="s">
        <v>175</v>
      </c>
      <c r="O2624">
        <v>1</v>
      </c>
      <c r="P2624">
        <v>0</v>
      </c>
      <c r="Q2624" s="6">
        <v>31.8</v>
      </c>
      <c r="R2624">
        <v>0</v>
      </c>
      <c r="S2624" s="6">
        <v>0</v>
      </c>
      <c r="T2624">
        <v>0</v>
      </c>
      <c r="U2624" s="6">
        <v>1917</v>
      </c>
      <c r="V2624">
        <v>0</v>
      </c>
      <c r="W2624">
        <v>0</v>
      </c>
      <c r="X2624">
        <v>0</v>
      </c>
      <c r="Y2624" s="6">
        <v>45.6</v>
      </c>
      <c r="Z2624">
        <v>2.5000000000000001E-2</v>
      </c>
      <c r="AA2624">
        <v>0.14099999999999999</v>
      </c>
      <c r="AB2624">
        <v>2.4E-2</v>
      </c>
      <c r="AC2624">
        <v>6</v>
      </c>
      <c r="AD2624" s="6">
        <v>65</v>
      </c>
      <c r="AE2624" s="6">
        <v>0</v>
      </c>
      <c r="AF2624" s="6">
        <v>0</v>
      </c>
      <c r="AG2624" s="6">
        <v>121.81</v>
      </c>
      <c r="AH2624" s="6">
        <v>156.74</v>
      </c>
      <c r="AI2624" s="6">
        <f t="shared" si="80"/>
        <v>34.930000000000007</v>
      </c>
      <c r="AJ2624" s="5">
        <f t="shared" si="81"/>
        <v>0.22285313257624093</v>
      </c>
    </row>
    <row r="2625" spans="1:36">
      <c r="A2625" t="s">
        <v>345</v>
      </c>
      <c r="B2625" t="s">
        <v>2910</v>
      </c>
      <c r="C2625" t="s">
        <v>118</v>
      </c>
      <c r="D2625" t="s">
        <v>96</v>
      </c>
      <c r="E2625" t="s">
        <v>55</v>
      </c>
      <c r="F2625">
        <v>0</v>
      </c>
      <c r="G2625">
        <v>1347</v>
      </c>
      <c r="H2625">
        <v>1</v>
      </c>
      <c r="I2625" t="s">
        <v>173</v>
      </c>
      <c r="J2625">
        <v>1</v>
      </c>
      <c r="K2625" s="6">
        <v>2.0299999999999998</v>
      </c>
      <c r="L2625" t="s">
        <v>174</v>
      </c>
      <c r="M2625">
        <v>0</v>
      </c>
      <c r="N2625" t="s">
        <v>182</v>
      </c>
      <c r="O2625">
        <v>3</v>
      </c>
      <c r="P2625">
        <v>0</v>
      </c>
      <c r="Q2625" s="6">
        <v>129.5</v>
      </c>
      <c r="R2625">
        <v>0</v>
      </c>
      <c r="S2625" s="6">
        <v>0</v>
      </c>
      <c r="T2625">
        <v>0</v>
      </c>
      <c r="U2625" s="6">
        <v>2146</v>
      </c>
      <c r="V2625">
        <v>0</v>
      </c>
      <c r="W2625">
        <v>0</v>
      </c>
      <c r="X2625">
        <v>0</v>
      </c>
      <c r="Y2625" s="6">
        <v>45.6</v>
      </c>
      <c r="Z2625">
        <v>2.5000000000000001E-2</v>
      </c>
      <c r="AA2625">
        <v>0.14099999999999999</v>
      </c>
      <c r="AB2625">
        <v>2.4E-2</v>
      </c>
      <c r="AC2625">
        <v>6</v>
      </c>
      <c r="AD2625" s="6">
        <v>50</v>
      </c>
      <c r="AE2625" s="6">
        <v>0</v>
      </c>
      <c r="AF2625" s="6">
        <v>0</v>
      </c>
      <c r="AG2625" s="6">
        <v>61.89</v>
      </c>
      <c r="AH2625" s="6">
        <v>77.489999999999995</v>
      </c>
      <c r="AI2625" s="6">
        <f t="shared" si="80"/>
        <v>15.599999999999994</v>
      </c>
      <c r="AJ2625" s="5">
        <f t="shared" si="81"/>
        <v>0.20131629887727442</v>
      </c>
    </row>
    <row r="2626" spans="1:36">
      <c r="A2626" t="s">
        <v>313</v>
      </c>
      <c r="B2626" t="s">
        <v>2911</v>
      </c>
      <c r="C2626" t="s">
        <v>118</v>
      </c>
      <c r="D2626" t="s">
        <v>96</v>
      </c>
      <c r="E2626" t="s">
        <v>55</v>
      </c>
      <c r="F2626">
        <v>0</v>
      </c>
      <c r="G2626">
        <v>1347</v>
      </c>
      <c r="H2626">
        <v>1</v>
      </c>
      <c r="I2626" t="s">
        <v>173</v>
      </c>
      <c r="J2626">
        <v>1</v>
      </c>
      <c r="K2626" s="6">
        <v>1.86</v>
      </c>
      <c r="L2626" t="s">
        <v>174</v>
      </c>
      <c r="M2626">
        <v>0</v>
      </c>
      <c r="N2626" t="s">
        <v>187</v>
      </c>
      <c r="O2626">
        <v>2</v>
      </c>
      <c r="P2626">
        <v>0</v>
      </c>
      <c r="Q2626" s="6">
        <v>73.099999999999994</v>
      </c>
      <c r="R2626">
        <v>0</v>
      </c>
      <c r="S2626" s="6">
        <v>0</v>
      </c>
      <c r="T2626">
        <v>0</v>
      </c>
      <c r="U2626" s="6">
        <v>3923</v>
      </c>
      <c r="V2626">
        <v>0</v>
      </c>
      <c r="W2626">
        <v>0</v>
      </c>
      <c r="X2626">
        <v>0</v>
      </c>
      <c r="Y2626" s="6">
        <v>45.6</v>
      </c>
      <c r="Z2626">
        <v>2.5000000000000001E-2</v>
      </c>
      <c r="AA2626">
        <v>0.14099999999999999</v>
      </c>
      <c r="AB2626">
        <v>2.4E-2</v>
      </c>
      <c r="AC2626">
        <v>6</v>
      </c>
      <c r="AD2626" s="6">
        <v>50</v>
      </c>
      <c r="AE2626" s="6">
        <v>0</v>
      </c>
      <c r="AF2626" s="6">
        <v>0</v>
      </c>
      <c r="AG2626" s="6">
        <v>54.9</v>
      </c>
      <c r="AH2626" s="6">
        <v>72.83</v>
      </c>
      <c r="AI2626" s="6">
        <f t="shared" ref="AI2626:AI2689" si="82">AH2626-AG2626</f>
        <v>17.93</v>
      </c>
      <c r="AJ2626" s="5">
        <f t="shared" ref="AJ2626:AJ2689" si="83">IFERROR(AI2626/AH2626,0)</f>
        <v>0.2461897569682823</v>
      </c>
    </row>
    <row r="2627" spans="1:36">
      <c r="A2627" t="s">
        <v>635</v>
      </c>
      <c r="B2627" t="s">
        <v>2912</v>
      </c>
      <c r="C2627" t="s">
        <v>118</v>
      </c>
      <c r="D2627" t="s">
        <v>96</v>
      </c>
      <c r="E2627" t="s">
        <v>55</v>
      </c>
      <c r="F2627">
        <v>0</v>
      </c>
      <c r="G2627">
        <v>1347</v>
      </c>
      <c r="H2627">
        <v>1</v>
      </c>
      <c r="I2627" t="s">
        <v>173</v>
      </c>
      <c r="J2627">
        <v>1</v>
      </c>
      <c r="K2627" s="6">
        <v>1.68</v>
      </c>
      <c r="L2627" t="s">
        <v>174</v>
      </c>
      <c r="M2627">
        <v>0</v>
      </c>
      <c r="N2627" t="s">
        <v>175</v>
      </c>
      <c r="O2627">
        <v>1</v>
      </c>
      <c r="P2627">
        <v>0</v>
      </c>
      <c r="Q2627" s="6">
        <v>24.7</v>
      </c>
      <c r="R2627">
        <v>0</v>
      </c>
      <c r="S2627" s="6">
        <v>0</v>
      </c>
      <c r="T2627">
        <v>0</v>
      </c>
      <c r="U2627" s="6">
        <v>1804</v>
      </c>
      <c r="V2627">
        <v>0</v>
      </c>
      <c r="W2627">
        <v>0</v>
      </c>
      <c r="X2627">
        <v>0</v>
      </c>
      <c r="Y2627" s="6">
        <v>45.6</v>
      </c>
      <c r="Z2627">
        <v>2.5000000000000001E-2</v>
      </c>
      <c r="AA2627">
        <v>0.14099999999999999</v>
      </c>
      <c r="AB2627">
        <v>2.4E-2</v>
      </c>
      <c r="AC2627">
        <v>6</v>
      </c>
      <c r="AD2627" s="6">
        <v>50</v>
      </c>
      <c r="AE2627" s="6">
        <v>0</v>
      </c>
      <c r="AF2627" s="6">
        <v>0</v>
      </c>
      <c r="AG2627" s="6">
        <v>51.16</v>
      </c>
      <c r="AH2627" s="6">
        <v>65.72</v>
      </c>
      <c r="AI2627" s="6">
        <f t="shared" si="82"/>
        <v>14.560000000000002</v>
      </c>
      <c r="AJ2627" s="5">
        <f t="shared" si="83"/>
        <v>0.22154595252586737</v>
      </c>
    </row>
    <row r="2628" spans="1:36">
      <c r="A2628" t="s">
        <v>266</v>
      </c>
      <c r="B2628" t="s">
        <v>2913</v>
      </c>
      <c r="C2628" t="s">
        <v>118</v>
      </c>
      <c r="D2628" t="s">
        <v>96</v>
      </c>
      <c r="E2628" t="s">
        <v>55</v>
      </c>
      <c r="F2628">
        <v>0</v>
      </c>
      <c r="G2628">
        <v>1347</v>
      </c>
      <c r="H2628">
        <v>1</v>
      </c>
      <c r="I2628" t="s">
        <v>173</v>
      </c>
      <c r="J2628">
        <v>1</v>
      </c>
      <c r="K2628" s="6">
        <v>1.1499999999999999</v>
      </c>
      <c r="L2628" t="s">
        <v>174</v>
      </c>
      <c r="M2628">
        <v>0</v>
      </c>
      <c r="N2628" t="s">
        <v>187</v>
      </c>
      <c r="O2628">
        <v>2</v>
      </c>
      <c r="P2628">
        <v>0</v>
      </c>
      <c r="Q2628" s="6">
        <v>49.3</v>
      </c>
      <c r="R2628">
        <v>1</v>
      </c>
      <c r="S2628" s="6">
        <v>2568</v>
      </c>
      <c r="T2628">
        <v>0</v>
      </c>
      <c r="U2628" s="6">
        <v>4130</v>
      </c>
      <c r="V2628">
        <v>0</v>
      </c>
      <c r="W2628">
        <v>0</v>
      </c>
      <c r="X2628">
        <v>0</v>
      </c>
      <c r="Y2628" s="6">
        <v>45.6</v>
      </c>
      <c r="Z2628">
        <v>2.5000000000000001E-2</v>
      </c>
      <c r="AA2628">
        <v>0.14099999999999999</v>
      </c>
      <c r="AB2628">
        <v>2.4E-2</v>
      </c>
      <c r="AC2628">
        <v>6</v>
      </c>
      <c r="AD2628" s="6">
        <v>50</v>
      </c>
      <c r="AE2628" s="6">
        <v>40</v>
      </c>
      <c r="AF2628" s="6">
        <v>0</v>
      </c>
      <c r="AG2628" s="6">
        <v>56.1</v>
      </c>
      <c r="AH2628" s="6">
        <v>71.959999999999994</v>
      </c>
      <c r="AI2628" s="6">
        <f t="shared" si="82"/>
        <v>15.859999999999992</v>
      </c>
      <c r="AJ2628" s="5">
        <f t="shared" si="83"/>
        <v>0.22040022234574755</v>
      </c>
    </row>
    <row r="2629" spans="1:36">
      <c r="A2629" t="s">
        <v>223</v>
      </c>
      <c r="B2629" t="s">
        <v>2914</v>
      </c>
      <c r="C2629" t="s">
        <v>118</v>
      </c>
      <c r="D2629" t="s">
        <v>96</v>
      </c>
      <c r="E2629" t="s">
        <v>55</v>
      </c>
      <c r="F2629">
        <v>0</v>
      </c>
      <c r="G2629">
        <v>1347</v>
      </c>
      <c r="H2629">
        <v>1</v>
      </c>
      <c r="I2629" t="s">
        <v>173</v>
      </c>
      <c r="J2629">
        <v>1</v>
      </c>
      <c r="K2629" s="6">
        <v>2.13</v>
      </c>
      <c r="L2629" t="s">
        <v>174</v>
      </c>
      <c r="M2629">
        <v>0</v>
      </c>
      <c r="N2629" t="s">
        <v>217</v>
      </c>
      <c r="O2629">
        <v>4</v>
      </c>
      <c r="P2629">
        <v>1</v>
      </c>
      <c r="Q2629" s="6">
        <v>117.8</v>
      </c>
      <c r="R2629">
        <v>0</v>
      </c>
      <c r="S2629" s="6">
        <v>0</v>
      </c>
      <c r="T2629">
        <v>0</v>
      </c>
      <c r="U2629" s="6">
        <v>1654</v>
      </c>
      <c r="V2629">
        <v>0</v>
      </c>
      <c r="W2629">
        <v>0</v>
      </c>
      <c r="X2629">
        <v>0</v>
      </c>
      <c r="Y2629" s="6">
        <v>45.6</v>
      </c>
      <c r="Z2629">
        <v>2.5000000000000001E-2</v>
      </c>
      <c r="AA2629">
        <v>0.14099999999999999</v>
      </c>
      <c r="AB2629">
        <v>2.4E-2</v>
      </c>
      <c r="AC2629">
        <v>6</v>
      </c>
      <c r="AD2629" s="6">
        <v>50</v>
      </c>
      <c r="AE2629" s="6">
        <v>0</v>
      </c>
      <c r="AF2629" s="6">
        <v>0</v>
      </c>
      <c r="AG2629" s="6">
        <v>97.56</v>
      </c>
      <c r="AH2629" s="6">
        <v>124.57</v>
      </c>
      <c r="AI2629" s="6">
        <f t="shared" si="82"/>
        <v>27.009999999999991</v>
      </c>
      <c r="AJ2629" s="5">
        <f t="shared" si="83"/>
        <v>0.21682588103074571</v>
      </c>
    </row>
    <row r="2630" spans="1:36">
      <c r="A2630" t="s">
        <v>691</v>
      </c>
      <c r="B2630" t="s">
        <v>2915</v>
      </c>
      <c r="C2630" t="s">
        <v>118</v>
      </c>
      <c r="D2630" t="s">
        <v>96</v>
      </c>
      <c r="E2630" t="s">
        <v>55</v>
      </c>
      <c r="F2630">
        <v>0</v>
      </c>
      <c r="G2630">
        <v>1347</v>
      </c>
      <c r="H2630">
        <v>1</v>
      </c>
      <c r="I2630" t="s">
        <v>173</v>
      </c>
      <c r="J2630">
        <v>1</v>
      </c>
      <c r="K2630" s="6">
        <v>2.23</v>
      </c>
      <c r="L2630" t="s">
        <v>174</v>
      </c>
      <c r="M2630">
        <v>0</v>
      </c>
      <c r="N2630" t="s">
        <v>187</v>
      </c>
      <c r="O2630">
        <v>2</v>
      </c>
      <c r="P2630">
        <v>0</v>
      </c>
      <c r="Q2630" s="6">
        <v>56.8</v>
      </c>
      <c r="R2630">
        <v>1</v>
      </c>
      <c r="S2630" s="6">
        <v>1368</v>
      </c>
      <c r="T2630">
        <v>0</v>
      </c>
      <c r="U2630" s="6">
        <v>7406</v>
      </c>
      <c r="V2630">
        <v>0</v>
      </c>
      <c r="W2630">
        <v>0</v>
      </c>
      <c r="X2630">
        <v>1</v>
      </c>
      <c r="Y2630" s="6">
        <v>45.6</v>
      </c>
      <c r="Z2630">
        <v>2.5000000000000001E-2</v>
      </c>
      <c r="AA2630">
        <v>0.14099999999999999</v>
      </c>
      <c r="AB2630">
        <v>2.4E-2</v>
      </c>
      <c r="AC2630">
        <v>6</v>
      </c>
      <c r="AD2630" s="6">
        <v>50</v>
      </c>
      <c r="AE2630" s="6">
        <v>25</v>
      </c>
      <c r="AF2630" s="6">
        <v>0</v>
      </c>
      <c r="AG2630" s="6">
        <v>52.25</v>
      </c>
      <c r="AH2630" s="6">
        <v>69.349999999999994</v>
      </c>
      <c r="AI2630" s="6">
        <f t="shared" si="82"/>
        <v>17.099999999999994</v>
      </c>
      <c r="AJ2630" s="5">
        <f t="shared" si="83"/>
        <v>0.24657534246575336</v>
      </c>
    </row>
    <row r="2631" spans="1:36">
      <c r="A2631" t="s">
        <v>355</v>
      </c>
      <c r="B2631" t="s">
        <v>2916</v>
      </c>
      <c r="C2631" t="s">
        <v>118</v>
      </c>
      <c r="D2631" t="s">
        <v>96</v>
      </c>
      <c r="E2631" t="s">
        <v>55</v>
      </c>
      <c r="F2631">
        <v>0</v>
      </c>
      <c r="G2631">
        <v>1347</v>
      </c>
      <c r="H2631">
        <v>1</v>
      </c>
      <c r="I2631" t="s">
        <v>178</v>
      </c>
      <c r="J2631">
        <v>4</v>
      </c>
      <c r="K2631" s="6">
        <v>17.79</v>
      </c>
      <c r="L2631" t="s">
        <v>174</v>
      </c>
      <c r="M2631">
        <v>0</v>
      </c>
      <c r="N2631" t="s">
        <v>182</v>
      </c>
      <c r="O2631">
        <v>3</v>
      </c>
      <c r="P2631">
        <v>0</v>
      </c>
      <c r="Q2631" s="6">
        <v>95.7</v>
      </c>
      <c r="R2631">
        <v>0</v>
      </c>
      <c r="S2631" s="6">
        <v>0</v>
      </c>
      <c r="T2631">
        <v>0</v>
      </c>
      <c r="U2631" s="6">
        <v>1685</v>
      </c>
      <c r="V2631">
        <v>0</v>
      </c>
      <c r="W2631">
        <v>0</v>
      </c>
      <c r="X2631">
        <v>0</v>
      </c>
      <c r="Y2631" s="6">
        <v>45.6</v>
      </c>
      <c r="Z2631">
        <v>2.5000000000000001E-2</v>
      </c>
      <c r="AA2631">
        <v>0.14099999999999999</v>
      </c>
      <c r="AB2631">
        <v>2.4E-2</v>
      </c>
      <c r="AC2631">
        <v>6</v>
      </c>
      <c r="AD2631" s="6">
        <v>65</v>
      </c>
      <c r="AE2631" s="6">
        <v>0</v>
      </c>
      <c r="AF2631" s="6">
        <v>0</v>
      </c>
      <c r="AG2631" s="6">
        <v>142.47999999999999</v>
      </c>
      <c r="AH2631" s="6">
        <v>181.05</v>
      </c>
      <c r="AI2631" s="6">
        <f t="shared" si="82"/>
        <v>38.570000000000022</v>
      </c>
      <c r="AJ2631" s="5">
        <f t="shared" si="83"/>
        <v>0.21303507318420337</v>
      </c>
    </row>
    <row r="2632" spans="1:36">
      <c r="A2632" t="s">
        <v>457</v>
      </c>
      <c r="B2632" t="s">
        <v>2917</v>
      </c>
      <c r="C2632" t="s">
        <v>118</v>
      </c>
      <c r="D2632" t="s">
        <v>96</v>
      </c>
      <c r="E2632" t="s">
        <v>55</v>
      </c>
      <c r="F2632">
        <v>0</v>
      </c>
      <c r="G2632">
        <v>1347</v>
      </c>
      <c r="H2632">
        <v>1</v>
      </c>
      <c r="I2632" t="s">
        <v>173</v>
      </c>
      <c r="J2632">
        <v>1</v>
      </c>
      <c r="K2632" s="6">
        <v>1.19</v>
      </c>
      <c r="L2632" t="s">
        <v>174</v>
      </c>
      <c r="M2632">
        <v>0</v>
      </c>
      <c r="N2632" t="s">
        <v>182</v>
      </c>
      <c r="O2632">
        <v>3</v>
      </c>
      <c r="P2632">
        <v>1</v>
      </c>
      <c r="Q2632" s="6">
        <v>114.7</v>
      </c>
      <c r="R2632">
        <v>0</v>
      </c>
      <c r="S2632" s="6">
        <v>0</v>
      </c>
      <c r="T2632">
        <v>0</v>
      </c>
      <c r="U2632" s="6">
        <v>1530</v>
      </c>
      <c r="V2632">
        <v>0</v>
      </c>
      <c r="W2632">
        <v>0</v>
      </c>
      <c r="X2632">
        <v>0</v>
      </c>
      <c r="Y2632" s="6">
        <v>45.6</v>
      </c>
      <c r="Z2632">
        <v>2.5000000000000001E-2</v>
      </c>
      <c r="AA2632">
        <v>0.14099999999999999</v>
      </c>
      <c r="AB2632">
        <v>2.4E-2</v>
      </c>
      <c r="AC2632">
        <v>6</v>
      </c>
      <c r="AD2632" s="6">
        <v>50</v>
      </c>
      <c r="AE2632" s="6">
        <v>0</v>
      </c>
      <c r="AF2632" s="6">
        <v>0</v>
      </c>
      <c r="AG2632" s="6">
        <v>85.75</v>
      </c>
      <c r="AH2632" s="6">
        <v>111.06</v>
      </c>
      <c r="AI2632" s="6">
        <f t="shared" si="82"/>
        <v>25.310000000000002</v>
      </c>
      <c r="AJ2632" s="5">
        <f t="shared" si="83"/>
        <v>0.2278948316225464</v>
      </c>
    </row>
    <row r="2633" spans="1:36">
      <c r="A2633" t="s">
        <v>406</v>
      </c>
      <c r="B2633" t="s">
        <v>2918</v>
      </c>
      <c r="C2633" t="s">
        <v>118</v>
      </c>
      <c r="D2633" t="s">
        <v>96</v>
      </c>
      <c r="E2633" t="s">
        <v>55</v>
      </c>
      <c r="F2633">
        <v>0</v>
      </c>
      <c r="G2633">
        <v>1347</v>
      </c>
      <c r="H2633">
        <v>1</v>
      </c>
      <c r="I2633" t="s">
        <v>173</v>
      </c>
      <c r="J2633">
        <v>1</v>
      </c>
      <c r="K2633" s="6">
        <v>2.06</v>
      </c>
      <c r="L2633" t="s">
        <v>174</v>
      </c>
      <c r="M2633">
        <v>0</v>
      </c>
      <c r="N2633" t="s">
        <v>182</v>
      </c>
      <c r="O2633">
        <v>3</v>
      </c>
      <c r="P2633">
        <v>0</v>
      </c>
      <c r="Q2633" s="6">
        <v>71.599999999999994</v>
      </c>
      <c r="R2633">
        <v>0</v>
      </c>
      <c r="S2633" s="6">
        <v>0</v>
      </c>
      <c r="T2633">
        <v>0</v>
      </c>
      <c r="U2633" s="6">
        <v>1431</v>
      </c>
      <c r="V2633">
        <v>0</v>
      </c>
      <c r="W2633">
        <v>0</v>
      </c>
      <c r="X2633">
        <v>0</v>
      </c>
      <c r="Y2633" s="6">
        <v>45.6</v>
      </c>
      <c r="Z2633">
        <v>2.5000000000000001E-2</v>
      </c>
      <c r="AA2633">
        <v>0.14099999999999999</v>
      </c>
      <c r="AB2633">
        <v>2.4E-2</v>
      </c>
      <c r="AC2633">
        <v>6</v>
      </c>
      <c r="AD2633" s="6">
        <v>50</v>
      </c>
      <c r="AE2633" s="6">
        <v>0</v>
      </c>
      <c r="AF2633" s="6">
        <v>0</v>
      </c>
      <c r="AG2633" s="6">
        <v>48.58</v>
      </c>
      <c r="AH2633" s="6">
        <v>62.97</v>
      </c>
      <c r="AI2633" s="6">
        <f t="shared" si="82"/>
        <v>14.39</v>
      </c>
      <c r="AJ2633" s="5">
        <f t="shared" si="83"/>
        <v>0.22852151818326188</v>
      </c>
    </row>
    <row r="2634" spans="1:36">
      <c r="A2634" t="s">
        <v>243</v>
      </c>
      <c r="B2634" t="s">
        <v>2919</v>
      </c>
      <c r="C2634" t="s">
        <v>118</v>
      </c>
      <c r="D2634" t="s">
        <v>96</v>
      </c>
      <c r="E2634" t="s">
        <v>55</v>
      </c>
      <c r="F2634">
        <v>0</v>
      </c>
      <c r="G2634">
        <v>1347</v>
      </c>
      <c r="H2634">
        <v>1</v>
      </c>
      <c r="I2634" t="s">
        <v>220</v>
      </c>
      <c r="J2634">
        <v>2</v>
      </c>
      <c r="K2634" s="6">
        <v>3.68</v>
      </c>
      <c r="L2634" t="s">
        <v>174</v>
      </c>
      <c r="M2634">
        <v>0</v>
      </c>
      <c r="N2634" t="s">
        <v>175</v>
      </c>
      <c r="O2634">
        <v>1</v>
      </c>
      <c r="P2634">
        <v>0</v>
      </c>
      <c r="Q2634" s="6">
        <v>47.1</v>
      </c>
      <c r="R2634">
        <v>0</v>
      </c>
      <c r="S2634" s="6">
        <v>0</v>
      </c>
      <c r="T2634">
        <v>0</v>
      </c>
      <c r="U2634" s="6">
        <v>1116</v>
      </c>
      <c r="V2634">
        <v>0</v>
      </c>
      <c r="W2634">
        <v>0</v>
      </c>
      <c r="X2634">
        <v>1</v>
      </c>
      <c r="Y2634" s="6">
        <v>45.6</v>
      </c>
      <c r="Z2634">
        <v>2.5000000000000001E-2</v>
      </c>
      <c r="AA2634">
        <v>0.14099999999999999</v>
      </c>
      <c r="AB2634">
        <v>2.4E-2</v>
      </c>
      <c r="AC2634">
        <v>6</v>
      </c>
      <c r="AD2634" s="6">
        <v>50</v>
      </c>
      <c r="AE2634" s="6">
        <v>0</v>
      </c>
      <c r="AF2634" s="6">
        <v>0</v>
      </c>
      <c r="AG2634" s="6">
        <v>57.69</v>
      </c>
      <c r="AH2634" s="6">
        <v>76.91</v>
      </c>
      <c r="AI2634" s="6">
        <f t="shared" si="82"/>
        <v>19.22</v>
      </c>
      <c r="AJ2634" s="5">
        <f t="shared" si="83"/>
        <v>0.24990248342218177</v>
      </c>
    </row>
    <row r="2635" spans="1:36">
      <c r="A2635" t="s">
        <v>176</v>
      </c>
      <c r="B2635" t="s">
        <v>2920</v>
      </c>
      <c r="C2635" t="s">
        <v>118</v>
      </c>
      <c r="D2635" t="s">
        <v>96</v>
      </c>
      <c r="E2635" t="s">
        <v>55</v>
      </c>
      <c r="F2635">
        <v>0</v>
      </c>
      <c r="G2635">
        <v>1347</v>
      </c>
      <c r="H2635">
        <v>1</v>
      </c>
      <c r="I2635" t="s">
        <v>178</v>
      </c>
      <c r="J2635">
        <v>4</v>
      </c>
      <c r="K2635" s="6">
        <v>14.51</v>
      </c>
      <c r="L2635" t="s">
        <v>174</v>
      </c>
      <c r="M2635">
        <v>0</v>
      </c>
      <c r="N2635" t="s">
        <v>217</v>
      </c>
      <c r="O2635">
        <v>4</v>
      </c>
      <c r="P2635">
        <v>1</v>
      </c>
      <c r="Q2635" s="6">
        <v>153.9</v>
      </c>
      <c r="R2635">
        <v>0</v>
      </c>
      <c r="S2635" s="6">
        <v>0</v>
      </c>
      <c r="T2635">
        <v>0</v>
      </c>
      <c r="U2635" s="6">
        <v>2958</v>
      </c>
      <c r="V2635">
        <v>0</v>
      </c>
      <c r="W2635">
        <v>0</v>
      </c>
      <c r="X2635">
        <v>0</v>
      </c>
      <c r="Y2635" s="6">
        <v>45.6</v>
      </c>
      <c r="Z2635">
        <v>2.5000000000000001E-2</v>
      </c>
      <c r="AA2635">
        <v>0.14099999999999999</v>
      </c>
      <c r="AB2635">
        <v>2.4E-2</v>
      </c>
      <c r="AC2635">
        <v>6</v>
      </c>
      <c r="AD2635" s="6">
        <v>65</v>
      </c>
      <c r="AE2635" s="6">
        <v>0</v>
      </c>
      <c r="AF2635" s="6">
        <v>0</v>
      </c>
      <c r="AG2635" s="6">
        <v>171.21</v>
      </c>
      <c r="AH2635" s="6">
        <v>218.89</v>
      </c>
      <c r="AI2635" s="6">
        <f t="shared" si="82"/>
        <v>47.679999999999978</v>
      </c>
      <c r="AJ2635" s="5">
        <f t="shared" si="83"/>
        <v>0.21782630545022605</v>
      </c>
    </row>
    <row r="2636" spans="1:36">
      <c r="A2636" t="s">
        <v>293</v>
      </c>
      <c r="B2636" t="s">
        <v>2921</v>
      </c>
      <c r="C2636" t="s">
        <v>118</v>
      </c>
      <c r="D2636" t="s">
        <v>96</v>
      </c>
      <c r="E2636" t="s">
        <v>55</v>
      </c>
      <c r="F2636">
        <v>0</v>
      </c>
      <c r="G2636">
        <v>1347</v>
      </c>
      <c r="H2636">
        <v>1</v>
      </c>
      <c r="I2636" t="s">
        <v>181</v>
      </c>
      <c r="J2636">
        <v>3</v>
      </c>
      <c r="K2636" s="6">
        <v>10.24</v>
      </c>
      <c r="L2636" t="s">
        <v>174</v>
      </c>
      <c r="M2636">
        <v>0</v>
      </c>
      <c r="N2636" t="s">
        <v>175</v>
      </c>
      <c r="O2636">
        <v>1</v>
      </c>
      <c r="P2636">
        <v>0</v>
      </c>
      <c r="Q2636" s="6">
        <v>33.1</v>
      </c>
      <c r="R2636">
        <v>0</v>
      </c>
      <c r="S2636" s="6">
        <v>0</v>
      </c>
      <c r="T2636">
        <v>0</v>
      </c>
      <c r="U2636" s="6">
        <v>1021</v>
      </c>
      <c r="V2636">
        <v>0</v>
      </c>
      <c r="W2636">
        <v>0</v>
      </c>
      <c r="X2636">
        <v>0</v>
      </c>
      <c r="Y2636" s="6">
        <v>45.6</v>
      </c>
      <c r="Z2636">
        <v>2.5000000000000001E-2</v>
      </c>
      <c r="AA2636">
        <v>0.14099999999999999</v>
      </c>
      <c r="AB2636">
        <v>2.4E-2</v>
      </c>
      <c r="AC2636">
        <v>6</v>
      </c>
      <c r="AD2636" s="6">
        <v>60</v>
      </c>
      <c r="AE2636" s="6">
        <v>0</v>
      </c>
      <c r="AF2636" s="6">
        <v>0</v>
      </c>
      <c r="AG2636" s="6">
        <v>98.73</v>
      </c>
      <c r="AH2636" s="6">
        <v>126.76</v>
      </c>
      <c r="AI2636" s="6">
        <f t="shared" si="82"/>
        <v>28.03</v>
      </c>
      <c r="AJ2636" s="5">
        <f t="shared" si="83"/>
        <v>0.2211265383401704</v>
      </c>
    </row>
    <row r="2637" spans="1:36">
      <c r="A2637" t="s">
        <v>311</v>
      </c>
      <c r="B2637" t="s">
        <v>2922</v>
      </c>
      <c r="C2637" t="s">
        <v>118</v>
      </c>
      <c r="D2637" t="s">
        <v>96</v>
      </c>
      <c r="E2637" t="s">
        <v>55</v>
      </c>
      <c r="F2637">
        <v>0</v>
      </c>
      <c r="G2637">
        <v>1347</v>
      </c>
      <c r="H2637">
        <v>1</v>
      </c>
      <c r="I2637" t="s">
        <v>173</v>
      </c>
      <c r="J2637">
        <v>1</v>
      </c>
      <c r="K2637" s="6">
        <v>2</v>
      </c>
      <c r="L2637" t="s">
        <v>174</v>
      </c>
      <c r="M2637">
        <v>0</v>
      </c>
      <c r="N2637" t="s">
        <v>182</v>
      </c>
      <c r="O2637">
        <v>3</v>
      </c>
      <c r="P2637">
        <v>0</v>
      </c>
      <c r="Q2637" s="6">
        <v>89.6</v>
      </c>
      <c r="R2637">
        <v>0</v>
      </c>
      <c r="S2637" s="6">
        <v>0</v>
      </c>
      <c r="T2637">
        <v>0</v>
      </c>
      <c r="U2637" s="6">
        <v>3602</v>
      </c>
      <c r="V2637">
        <v>0</v>
      </c>
      <c r="W2637">
        <v>0</v>
      </c>
      <c r="X2637">
        <v>0</v>
      </c>
      <c r="Y2637" s="6">
        <v>45.6</v>
      </c>
      <c r="Z2637">
        <v>2.5000000000000001E-2</v>
      </c>
      <c r="AA2637">
        <v>0.14099999999999999</v>
      </c>
      <c r="AB2637">
        <v>2.4E-2</v>
      </c>
      <c r="AC2637">
        <v>6</v>
      </c>
      <c r="AD2637" s="6">
        <v>50</v>
      </c>
      <c r="AE2637" s="6">
        <v>0</v>
      </c>
      <c r="AF2637" s="6">
        <v>0</v>
      </c>
      <c r="AG2637" s="6">
        <v>63.62</v>
      </c>
      <c r="AH2637" s="6">
        <v>84.18</v>
      </c>
      <c r="AI2637" s="6">
        <f t="shared" si="82"/>
        <v>20.560000000000009</v>
      </c>
      <c r="AJ2637" s="5">
        <f t="shared" si="83"/>
        <v>0.24423853646947027</v>
      </c>
    </row>
    <row r="2638" spans="1:36">
      <c r="A2638" t="s">
        <v>208</v>
      </c>
      <c r="B2638" t="s">
        <v>2923</v>
      </c>
      <c r="C2638" t="s">
        <v>118</v>
      </c>
      <c r="D2638" t="s">
        <v>96</v>
      </c>
      <c r="E2638" t="s">
        <v>55</v>
      </c>
      <c r="F2638">
        <v>0</v>
      </c>
      <c r="G2638">
        <v>1347</v>
      </c>
      <c r="H2638">
        <v>1</v>
      </c>
      <c r="I2638" t="s">
        <v>173</v>
      </c>
      <c r="J2638">
        <v>1</v>
      </c>
      <c r="K2638" s="6">
        <v>2.5099999999999998</v>
      </c>
      <c r="L2638" t="s">
        <v>174</v>
      </c>
      <c r="M2638">
        <v>0</v>
      </c>
      <c r="N2638" t="s">
        <v>187</v>
      </c>
      <c r="O2638">
        <v>2</v>
      </c>
      <c r="P2638">
        <v>0</v>
      </c>
      <c r="Q2638" s="6">
        <v>47.6</v>
      </c>
      <c r="R2638">
        <v>0</v>
      </c>
      <c r="S2638" s="6">
        <v>0</v>
      </c>
      <c r="T2638">
        <v>0</v>
      </c>
      <c r="U2638" s="6">
        <v>970</v>
      </c>
      <c r="V2638">
        <v>0</v>
      </c>
      <c r="W2638">
        <v>0</v>
      </c>
      <c r="X2638">
        <v>0</v>
      </c>
      <c r="Y2638" s="6">
        <v>45.6</v>
      </c>
      <c r="Z2638">
        <v>2.5000000000000001E-2</v>
      </c>
      <c r="AA2638">
        <v>0.14099999999999999</v>
      </c>
      <c r="AB2638">
        <v>2.4E-2</v>
      </c>
      <c r="AC2638">
        <v>6</v>
      </c>
      <c r="AD2638" s="6">
        <v>50</v>
      </c>
      <c r="AE2638" s="6">
        <v>0</v>
      </c>
      <c r="AF2638" s="6">
        <v>0</v>
      </c>
      <c r="AG2638" s="6">
        <v>55</v>
      </c>
      <c r="AH2638" s="6">
        <v>69.84</v>
      </c>
      <c r="AI2638" s="6">
        <f t="shared" si="82"/>
        <v>14.840000000000003</v>
      </c>
      <c r="AJ2638" s="5">
        <f t="shared" si="83"/>
        <v>0.21248568155784656</v>
      </c>
    </row>
    <row r="2639" spans="1:36">
      <c r="A2639" t="s">
        <v>196</v>
      </c>
      <c r="B2639" t="s">
        <v>2924</v>
      </c>
      <c r="C2639" t="s">
        <v>118</v>
      </c>
      <c r="D2639" t="s">
        <v>96</v>
      </c>
      <c r="E2639" t="s">
        <v>55</v>
      </c>
      <c r="F2639">
        <v>0</v>
      </c>
      <c r="G2639">
        <v>1347</v>
      </c>
      <c r="H2639">
        <v>1</v>
      </c>
      <c r="I2639" t="s">
        <v>173</v>
      </c>
      <c r="J2639">
        <v>1</v>
      </c>
      <c r="K2639" s="6">
        <v>1.49</v>
      </c>
      <c r="L2639" t="s">
        <v>174</v>
      </c>
      <c r="M2639">
        <v>0</v>
      </c>
      <c r="N2639" t="s">
        <v>182</v>
      </c>
      <c r="O2639">
        <v>3</v>
      </c>
      <c r="P2639">
        <v>0</v>
      </c>
      <c r="Q2639" s="6">
        <v>72.2</v>
      </c>
      <c r="R2639">
        <v>0</v>
      </c>
      <c r="S2639" s="6">
        <v>0</v>
      </c>
      <c r="T2639">
        <v>0</v>
      </c>
      <c r="U2639" s="6">
        <v>6459</v>
      </c>
      <c r="V2639">
        <v>0</v>
      </c>
      <c r="W2639">
        <v>0</v>
      </c>
      <c r="X2639">
        <v>0</v>
      </c>
      <c r="Y2639" s="6">
        <v>45.6</v>
      </c>
      <c r="Z2639">
        <v>2.5000000000000001E-2</v>
      </c>
      <c r="AA2639">
        <v>0.14099999999999999</v>
      </c>
      <c r="AB2639">
        <v>2.4E-2</v>
      </c>
      <c r="AC2639">
        <v>6</v>
      </c>
      <c r="AD2639" s="6">
        <v>50</v>
      </c>
      <c r="AE2639" s="6">
        <v>0</v>
      </c>
      <c r="AF2639" s="6">
        <v>0</v>
      </c>
      <c r="AG2639" s="6">
        <v>55.86</v>
      </c>
      <c r="AH2639" s="6">
        <v>70.62</v>
      </c>
      <c r="AI2639" s="6">
        <f t="shared" si="82"/>
        <v>14.760000000000005</v>
      </c>
      <c r="AJ2639" s="5">
        <f t="shared" si="83"/>
        <v>0.20900594732370439</v>
      </c>
    </row>
    <row r="2640" spans="1:36">
      <c r="A2640" t="s">
        <v>179</v>
      </c>
      <c r="B2640" t="s">
        <v>2925</v>
      </c>
      <c r="C2640" t="s">
        <v>118</v>
      </c>
      <c r="D2640" t="s">
        <v>96</v>
      </c>
      <c r="E2640" t="s">
        <v>55</v>
      </c>
      <c r="F2640">
        <v>0</v>
      </c>
      <c r="G2640">
        <v>1347</v>
      </c>
      <c r="H2640">
        <v>1</v>
      </c>
      <c r="I2640" t="s">
        <v>173</v>
      </c>
      <c r="J2640">
        <v>1</v>
      </c>
      <c r="K2640" s="6">
        <v>1.99</v>
      </c>
      <c r="L2640" t="s">
        <v>174</v>
      </c>
      <c r="M2640">
        <v>0</v>
      </c>
      <c r="N2640" t="s">
        <v>217</v>
      </c>
      <c r="O2640">
        <v>4</v>
      </c>
      <c r="P2640">
        <v>1</v>
      </c>
      <c r="Q2640" s="6">
        <v>166.5</v>
      </c>
      <c r="R2640">
        <v>0</v>
      </c>
      <c r="S2640" s="6">
        <v>0</v>
      </c>
      <c r="T2640">
        <v>0</v>
      </c>
      <c r="U2640" s="6">
        <v>6458</v>
      </c>
      <c r="V2640">
        <v>0</v>
      </c>
      <c r="W2640">
        <v>0</v>
      </c>
      <c r="X2640">
        <v>0</v>
      </c>
      <c r="Y2640" s="6">
        <v>45.6</v>
      </c>
      <c r="Z2640">
        <v>2.5000000000000001E-2</v>
      </c>
      <c r="AA2640">
        <v>0.14099999999999999</v>
      </c>
      <c r="AB2640">
        <v>2.4E-2</v>
      </c>
      <c r="AC2640">
        <v>6</v>
      </c>
      <c r="AD2640" s="6">
        <v>50</v>
      </c>
      <c r="AE2640" s="6">
        <v>0</v>
      </c>
      <c r="AF2640" s="6">
        <v>0</v>
      </c>
      <c r="AG2640" s="6">
        <v>100.81</v>
      </c>
      <c r="AH2640" s="6">
        <v>126.29</v>
      </c>
      <c r="AI2640" s="6">
        <f t="shared" si="82"/>
        <v>25.480000000000004</v>
      </c>
      <c r="AJ2640" s="5">
        <f t="shared" si="83"/>
        <v>0.20175785889619133</v>
      </c>
    </row>
    <row r="2641" spans="1:36">
      <c r="A2641" t="s">
        <v>255</v>
      </c>
      <c r="B2641" t="s">
        <v>2926</v>
      </c>
      <c r="C2641" t="s">
        <v>118</v>
      </c>
      <c r="D2641" t="s">
        <v>96</v>
      </c>
      <c r="E2641" t="s">
        <v>55</v>
      </c>
      <c r="F2641">
        <v>0</v>
      </c>
      <c r="G2641">
        <v>1347</v>
      </c>
      <c r="H2641">
        <v>1</v>
      </c>
      <c r="I2641" t="s">
        <v>173</v>
      </c>
      <c r="J2641">
        <v>1</v>
      </c>
      <c r="K2641" s="6">
        <v>1.58</v>
      </c>
      <c r="L2641" t="s">
        <v>174</v>
      </c>
      <c r="M2641">
        <v>0</v>
      </c>
      <c r="N2641" t="s">
        <v>182</v>
      </c>
      <c r="O2641">
        <v>3</v>
      </c>
      <c r="P2641">
        <v>0</v>
      </c>
      <c r="Q2641" s="6">
        <v>86</v>
      </c>
      <c r="R2641">
        <v>0</v>
      </c>
      <c r="S2641" s="6">
        <v>0</v>
      </c>
      <c r="T2641">
        <v>0</v>
      </c>
      <c r="U2641" s="6">
        <v>3317</v>
      </c>
      <c r="V2641">
        <v>0</v>
      </c>
      <c r="W2641">
        <v>0</v>
      </c>
      <c r="X2641">
        <v>0</v>
      </c>
      <c r="Y2641" s="6">
        <v>45.6</v>
      </c>
      <c r="Z2641">
        <v>2.5000000000000001E-2</v>
      </c>
      <c r="AA2641">
        <v>0.14099999999999999</v>
      </c>
      <c r="AB2641">
        <v>2.4E-2</v>
      </c>
      <c r="AC2641">
        <v>6</v>
      </c>
      <c r="AD2641" s="6">
        <v>50</v>
      </c>
      <c r="AE2641" s="6">
        <v>0</v>
      </c>
      <c r="AF2641" s="6">
        <v>0</v>
      </c>
      <c r="AG2641" s="6">
        <v>59.78</v>
      </c>
      <c r="AH2641" s="6">
        <v>75.36</v>
      </c>
      <c r="AI2641" s="6">
        <f t="shared" si="82"/>
        <v>15.579999999999998</v>
      </c>
      <c r="AJ2641" s="5">
        <f t="shared" si="83"/>
        <v>0.20674097664543523</v>
      </c>
    </row>
    <row r="2642" spans="1:36">
      <c r="A2642" t="s">
        <v>269</v>
      </c>
      <c r="B2642" t="s">
        <v>2927</v>
      </c>
      <c r="C2642" t="s">
        <v>118</v>
      </c>
      <c r="D2642" t="s">
        <v>96</v>
      </c>
      <c r="E2642" t="s">
        <v>55</v>
      </c>
      <c r="F2642">
        <v>0</v>
      </c>
      <c r="G2642">
        <v>1347</v>
      </c>
      <c r="H2642">
        <v>1</v>
      </c>
      <c r="I2642" t="s">
        <v>173</v>
      </c>
      <c r="J2642">
        <v>1</v>
      </c>
      <c r="K2642" s="6">
        <v>2.1800000000000002</v>
      </c>
      <c r="L2642" t="s">
        <v>174</v>
      </c>
      <c r="M2642">
        <v>0</v>
      </c>
      <c r="N2642" t="s">
        <v>182</v>
      </c>
      <c r="O2642">
        <v>3</v>
      </c>
      <c r="P2642">
        <v>0</v>
      </c>
      <c r="Q2642" s="6">
        <v>51.9</v>
      </c>
      <c r="R2642">
        <v>0</v>
      </c>
      <c r="S2642" s="6">
        <v>0</v>
      </c>
      <c r="T2642">
        <v>0</v>
      </c>
      <c r="U2642" s="6">
        <v>4416</v>
      </c>
      <c r="V2642">
        <v>0</v>
      </c>
      <c r="W2642">
        <v>0</v>
      </c>
      <c r="X2642">
        <v>0</v>
      </c>
      <c r="Y2642" s="6">
        <v>45.6</v>
      </c>
      <c r="Z2642">
        <v>2.5000000000000001E-2</v>
      </c>
      <c r="AA2642">
        <v>0.14099999999999999</v>
      </c>
      <c r="AB2642">
        <v>2.4E-2</v>
      </c>
      <c r="AC2642">
        <v>6</v>
      </c>
      <c r="AD2642" s="6">
        <v>50</v>
      </c>
      <c r="AE2642" s="6">
        <v>0</v>
      </c>
      <c r="AF2642" s="6">
        <v>0</v>
      </c>
      <c r="AG2642" s="6">
        <v>59.38</v>
      </c>
      <c r="AH2642" s="6">
        <v>77.45</v>
      </c>
      <c r="AI2642" s="6">
        <f t="shared" si="82"/>
        <v>18.07</v>
      </c>
      <c r="AJ2642" s="5">
        <f t="shared" si="83"/>
        <v>0.23331181407359586</v>
      </c>
    </row>
    <row r="2643" spans="1:36">
      <c r="A2643" t="s">
        <v>434</v>
      </c>
      <c r="B2643" t="s">
        <v>2928</v>
      </c>
      <c r="C2643" t="s">
        <v>118</v>
      </c>
      <c r="D2643" t="s">
        <v>96</v>
      </c>
      <c r="E2643" t="s">
        <v>55</v>
      </c>
      <c r="F2643">
        <v>0</v>
      </c>
      <c r="G2643">
        <v>1347</v>
      </c>
      <c r="H2643">
        <v>1</v>
      </c>
      <c r="I2643" t="s">
        <v>173</v>
      </c>
      <c r="J2643">
        <v>1</v>
      </c>
      <c r="K2643" s="6">
        <v>1.92</v>
      </c>
      <c r="L2643" t="s">
        <v>174</v>
      </c>
      <c r="M2643">
        <v>0</v>
      </c>
      <c r="N2643" t="s">
        <v>272</v>
      </c>
      <c r="O2643">
        <v>5</v>
      </c>
      <c r="P2643">
        <v>1</v>
      </c>
      <c r="Q2643" s="6">
        <v>299.39999999999998</v>
      </c>
      <c r="R2643">
        <v>1</v>
      </c>
      <c r="S2643" s="6">
        <v>1908</v>
      </c>
      <c r="T2643">
        <v>0</v>
      </c>
      <c r="U2643" s="6">
        <v>3084</v>
      </c>
      <c r="V2643">
        <v>0</v>
      </c>
      <c r="W2643">
        <v>0</v>
      </c>
      <c r="X2643">
        <v>0</v>
      </c>
      <c r="Y2643" s="6">
        <v>45.6</v>
      </c>
      <c r="Z2643">
        <v>2.5000000000000001E-2</v>
      </c>
      <c r="AA2643">
        <v>0.14099999999999999</v>
      </c>
      <c r="AB2643">
        <v>2.4E-2</v>
      </c>
      <c r="AC2643">
        <v>6</v>
      </c>
      <c r="AD2643" s="6">
        <v>50</v>
      </c>
      <c r="AE2643" s="6">
        <v>25</v>
      </c>
      <c r="AF2643" s="6">
        <v>0</v>
      </c>
      <c r="AG2643" s="6">
        <v>152.6</v>
      </c>
      <c r="AH2643" s="6">
        <v>192.27</v>
      </c>
      <c r="AI2643" s="6">
        <f t="shared" si="82"/>
        <v>39.670000000000016</v>
      </c>
      <c r="AJ2643" s="5">
        <f t="shared" si="83"/>
        <v>0.20632443959015975</v>
      </c>
    </row>
    <row r="2644" spans="1:36">
      <c r="A2644" t="s">
        <v>362</v>
      </c>
      <c r="B2644" t="s">
        <v>2929</v>
      </c>
      <c r="C2644" t="s">
        <v>118</v>
      </c>
      <c r="D2644" t="s">
        <v>96</v>
      </c>
      <c r="E2644" t="s">
        <v>55</v>
      </c>
      <c r="F2644">
        <v>0</v>
      </c>
      <c r="G2644">
        <v>1347</v>
      </c>
      <c r="H2644">
        <v>1</v>
      </c>
      <c r="I2644" t="s">
        <v>181</v>
      </c>
      <c r="J2644">
        <v>3</v>
      </c>
      <c r="K2644" s="6">
        <v>8.91</v>
      </c>
      <c r="L2644" t="s">
        <v>174</v>
      </c>
      <c r="M2644">
        <v>0</v>
      </c>
      <c r="N2644" t="s">
        <v>175</v>
      </c>
      <c r="O2644">
        <v>1</v>
      </c>
      <c r="P2644">
        <v>0</v>
      </c>
      <c r="Q2644" s="6">
        <v>37.700000000000003</v>
      </c>
      <c r="R2644">
        <v>0</v>
      </c>
      <c r="S2644" s="6">
        <v>0</v>
      </c>
      <c r="T2644">
        <v>0</v>
      </c>
      <c r="U2644" s="6">
        <v>1114</v>
      </c>
      <c r="V2644">
        <v>0</v>
      </c>
      <c r="W2644">
        <v>0</v>
      </c>
      <c r="X2644">
        <v>0</v>
      </c>
      <c r="Y2644" s="6">
        <v>45.6</v>
      </c>
      <c r="Z2644">
        <v>2.5000000000000001E-2</v>
      </c>
      <c r="AA2644">
        <v>0.14099999999999999</v>
      </c>
      <c r="AB2644">
        <v>2.4E-2</v>
      </c>
      <c r="AC2644">
        <v>6</v>
      </c>
      <c r="AD2644" s="6">
        <v>60</v>
      </c>
      <c r="AE2644" s="6">
        <v>0</v>
      </c>
      <c r="AF2644" s="6">
        <v>0</v>
      </c>
      <c r="AG2644" s="6">
        <v>90.58</v>
      </c>
      <c r="AH2644" s="6">
        <v>116.62</v>
      </c>
      <c r="AI2644" s="6">
        <f t="shared" si="82"/>
        <v>26.040000000000006</v>
      </c>
      <c r="AJ2644" s="5">
        <f t="shared" si="83"/>
        <v>0.22328931572629057</v>
      </c>
    </row>
    <row r="2645" spans="1:36">
      <c r="A2645" t="s">
        <v>431</v>
      </c>
      <c r="B2645" t="s">
        <v>2930</v>
      </c>
      <c r="C2645" t="s">
        <v>118</v>
      </c>
      <c r="D2645" t="s">
        <v>96</v>
      </c>
      <c r="E2645" t="s">
        <v>55</v>
      </c>
      <c r="F2645">
        <v>0</v>
      </c>
      <c r="G2645">
        <v>1347</v>
      </c>
      <c r="H2645">
        <v>1</v>
      </c>
      <c r="I2645" t="s">
        <v>173</v>
      </c>
      <c r="J2645">
        <v>1</v>
      </c>
      <c r="K2645" s="6">
        <v>2.58</v>
      </c>
      <c r="L2645" t="s">
        <v>174</v>
      </c>
      <c r="M2645">
        <v>0</v>
      </c>
      <c r="N2645" t="s">
        <v>175</v>
      </c>
      <c r="O2645">
        <v>1</v>
      </c>
      <c r="P2645">
        <v>0</v>
      </c>
      <c r="Q2645" s="6">
        <v>41.5</v>
      </c>
      <c r="R2645">
        <v>0</v>
      </c>
      <c r="S2645" s="6">
        <v>0</v>
      </c>
      <c r="T2645">
        <v>0</v>
      </c>
      <c r="U2645" s="6">
        <v>1710</v>
      </c>
      <c r="V2645">
        <v>0</v>
      </c>
      <c r="W2645">
        <v>0</v>
      </c>
      <c r="X2645">
        <v>0</v>
      </c>
      <c r="Y2645" s="6">
        <v>45.6</v>
      </c>
      <c r="Z2645">
        <v>2.5000000000000001E-2</v>
      </c>
      <c r="AA2645">
        <v>0.14099999999999999</v>
      </c>
      <c r="AB2645">
        <v>2.4E-2</v>
      </c>
      <c r="AC2645">
        <v>6</v>
      </c>
      <c r="AD2645" s="6">
        <v>50</v>
      </c>
      <c r="AE2645" s="6">
        <v>0</v>
      </c>
      <c r="AF2645" s="6">
        <v>0</v>
      </c>
      <c r="AG2645" s="6">
        <v>51.26</v>
      </c>
      <c r="AH2645" s="6">
        <v>67.510000000000005</v>
      </c>
      <c r="AI2645" s="6">
        <f t="shared" si="82"/>
        <v>16.250000000000007</v>
      </c>
      <c r="AJ2645" s="5">
        <f t="shared" si="83"/>
        <v>0.240705080728781</v>
      </c>
    </row>
    <row r="2646" spans="1:36">
      <c r="A2646" t="s">
        <v>693</v>
      </c>
      <c r="B2646" t="s">
        <v>2931</v>
      </c>
      <c r="C2646" t="s">
        <v>118</v>
      </c>
      <c r="D2646" t="s">
        <v>96</v>
      </c>
      <c r="E2646" t="s">
        <v>55</v>
      </c>
      <c r="F2646">
        <v>0</v>
      </c>
      <c r="G2646">
        <v>1347</v>
      </c>
      <c r="H2646">
        <v>1</v>
      </c>
      <c r="I2646" t="s">
        <v>173</v>
      </c>
      <c r="J2646">
        <v>1</v>
      </c>
      <c r="K2646" s="6">
        <v>2.3199999999999998</v>
      </c>
      <c r="L2646" t="s">
        <v>174</v>
      </c>
      <c r="M2646">
        <v>0</v>
      </c>
      <c r="N2646" t="s">
        <v>175</v>
      </c>
      <c r="O2646">
        <v>1</v>
      </c>
      <c r="P2646">
        <v>0</v>
      </c>
      <c r="Q2646" s="6">
        <v>48.1</v>
      </c>
      <c r="R2646">
        <v>0</v>
      </c>
      <c r="S2646" s="6">
        <v>0</v>
      </c>
      <c r="T2646">
        <v>0</v>
      </c>
      <c r="U2646" s="6">
        <v>4402</v>
      </c>
      <c r="V2646">
        <v>0</v>
      </c>
      <c r="W2646">
        <v>0</v>
      </c>
      <c r="X2646">
        <v>0</v>
      </c>
      <c r="Y2646" s="6">
        <v>45.6</v>
      </c>
      <c r="Z2646">
        <v>2.5000000000000001E-2</v>
      </c>
      <c r="AA2646">
        <v>0.14099999999999999</v>
      </c>
      <c r="AB2646">
        <v>2.4E-2</v>
      </c>
      <c r="AC2646">
        <v>6</v>
      </c>
      <c r="AD2646" s="6">
        <v>50</v>
      </c>
      <c r="AE2646" s="6">
        <v>0</v>
      </c>
      <c r="AF2646" s="6">
        <v>0</v>
      </c>
      <c r="AG2646" s="6">
        <v>49.43</v>
      </c>
      <c r="AH2646" s="6">
        <v>66.27</v>
      </c>
      <c r="AI2646" s="6">
        <f t="shared" si="82"/>
        <v>16.839999999999996</v>
      </c>
      <c r="AJ2646" s="5">
        <f t="shared" si="83"/>
        <v>0.25411196619888332</v>
      </c>
    </row>
    <row r="2647" spans="1:36">
      <c r="A2647" t="s">
        <v>319</v>
      </c>
      <c r="B2647" t="s">
        <v>2932</v>
      </c>
      <c r="C2647" t="s">
        <v>118</v>
      </c>
      <c r="D2647" t="s">
        <v>96</v>
      </c>
      <c r="E2647" t="s">
        <v>55</v>
      </c>
      <c r="F2647">
        <v>0</v>
      </c>
      <c r="G2647">
        <v>1347</v>
      </c>
      <c r="H2647">
        <v>1</v>
      </c>
      <c r="I2647" t="s">
        <v>173</v>
      </c>
      <c r="J2647">
        <v>1</v>
      </c>
      <c r="K2647" s="6">
        <v>3.21</v>
      </c>
      <c r="L2647" t="s">
        <v>174</v>
      </c>
      <c r="M2647">
        <v>0</v>
      </c>
      <c r="N2647" t="s">
        <v>187</v>
      </c>
      <c r="O2647">
        <v>2</v>
      </c>
      <c r="P2647">
        <v>0</v>
      </c>
      <c r="Q2647" s="6">
        <v>25.6</v>
      </c>
      <c r="R2647">
        <v>0</v>
      </c>
      <c r="S2647" s="6">
        <v>0</v>
      </c>
      <c r="T2647">
        <v>0</v>
      </c>
      <c r="U2647" s="6">
        <v>4160</v>
      </c>
      <c r="V2647">
        <v>0</v>
      </c>
      <c r="W2647">
        <v>0</v>
      </c>
      <c r="X2647">
        <v>0</v>
      </c>
      <c r="Y2647" s="6">
        <v>45.6</v>
      </c>
      <c r="Z2647">
        <v>2.5000000000000001E-2</v>
      </c>
      <c r="AA2647">
        <v>0.14099999999999999</v>
      </c>
      <c r="AB2647">
        <v>2.4E-2</v>
      </c>
      <c r="AC2647">
        <v>6</v>
      </c>
      <c r="AD2647" s="6">
        <v>50</v>
      </c>
      <c r="AE2647" s="6">
        <v>0</v>
      </c>
      <c r="AF2647" s="6">
        <v>0</v>
      </c>
      <c r="AG2647" s="6">
        <v>53.31</v>
      </c>
      <c r="AH2647" s="6">
        <v>71.510000000000005</v>
      </c>
      <c r="AI2647" s="6">
        <f t="shared" si="82"/>
        <v>18.200000000000003</v>
      </c>
      <c r="AJ2647" s="5">
        <f t="shared" si="83"/>
        <v>0.25450985876101245</v>
      </c>
    </row>
    <row r="2648" spans="1:36">
      <c r="A2648" t="s">
        <v>293</v>
      </c>
      <c r="B2648" t="s">
        <v>2933</v>
      </c>
      <c r="C2648" t="s">
        <v>118</v>
      </c>
      <c r="D2648" t="s">
        <v>96</v>
      </c>
      <c r="E2648" t="s">
        <v>55</v>
      </c>
      <c r="F2648">
        <v>0</v>
      </c>
      <c r="G2648">
        <v>1347</v>
      </c>
      <c r="H2648">
        <v>1</v>
      </c>
      <c r="I2648" t="s">
        <v>173</v>
      </c>
      <c r="J2648">
        <v>1</v>
      </c>
      <c r="K2648" s="6">
        <v>0.73</v>
      </c>
      <c r="L2648" t="s">
        <v>174</v>
      </c>
      <c r="M2648">
        <v>0</v>
      </c>
      <c r="N2648" t="s">
        <v>175</v>
      </c>
      <c r="O2648">
        <v>1</v>
      </c>
      <c r="P2648">
        <v>0</v>
      </c>
      <c r="Q2648" s="6">
        <v>25.1</v>
      </c>
      <c r="R2648">
        <v>0</v>
      </c>
      <c r="S2648" s="6">
        <v>0</v>
      </c>
      <c r="T2648">
        <v>0</v>
      </c>
      <c r="U2648" s="6">
        <v>1498</v>
      </c>
      <c r="V2648">
        <v>0</v>
      </c>
      <c r="W2648">
        <v>0</v>
      </c>
      <c r="X2648">
        <v>0</v>
      </c>
      <c r="Y2648" s="6">
        <v>45.6</v>
      </c>
      <c r="Z2648">
        <v>2.5000000000000001E-2</v>
      </c>
      <c r="AA2648">
        <v>0.14099999999999999</v>
      </c>
      <c r="AB2648">
        <v>2.4E-2</v>
      </c>
      <c r="AC2648">
        <v>6</v>
      </c>
      <c r="AD2648" s="6">
        <v>50</v>
      </c>
      <c r="AE2648" s="6">
        <v>0</v>
      </c>
      <c r="AF2648" s="6">
        <v>0</v>
      </c>
      <c r="AG2648" s="6">
        <v>47.81</v>
      </c>
      <c r="AH2648" s="6">
        <v>60.08</v>
      </c>
      <c r="AI2648" s="6">
        <f t="shared" si="82"/>
        <v>12.269999999999996</v>
      </c>
      <c r="AJ2648" s="5">
        <f t="shared" si="83"/>
        <v>0.20422769640479355</v>
      </c>
    </row>
    <row r="2649" spans="1:36">
      <c r="A2649" t="s">
        <v>316</v>
      </c>
      <c r="B2649" t="s">
        <v>2934</v>
      </c>
      <c r="C2649" t="s">
        <v>120</v>
      </c>
      <c r="D2649" t="s">
        <v>60</v>
      </c>
      <c r="E2649" t="s">
        <v>55</v>
      </c>
      <c r="F2649">
        <v>0</v>
      </c>
      <c r="G2649">
        <v>2255</v>
      </c>
      <c r="H2649">
        <v>1.22</v>
      </c>
      <c r="I2649" t="s">
        <v>173</v>
      </c>
      <c r="J2649">
        <v>1</v>
      </c>
      <c r="K2649" s="6">
        <v>0.93</v>
      </c>
      <c r="L2649" t="s">
        <v>174</v>
      </c>
      <c r="M2649">
        <v>0</v>
      </c>
      <c r="N2649" t="s">
        <v>182</v>
      </c>
      <c r="O2649">
        <v>3</v>
      </c>
      <c r="P2649">
        <v>0</v>
      </c>
      <c r="Q2649" s="6">
        <v>124.3</v>
      </c>
      <c r="R2649">
        <v>1</v>
      </c>
      <c r="S2649" s="6">
        <v>4125</v>
      </c>
      <c r="T2649">
        <v>0</v>
      </c>
      <c r="U2649" s="6">
        <v>3059</v>
      </c>
      <c r="V2649">
        <v>0</v>
      </c>
      <c r="W2649">
        <v>0</v>
      </c>
      <c r="X2649">
        <v>0</v>
      </c>
      <c r="Y2649" s="6">
        <v>47.7</v>
      </c>
      <c r="Z2649">
        <v>0.752</v>
      </c>
      <c r="AA2649">
        <v>0.11799999999999999</v>
      </c>
      <c r="AB2649">
        <v>8.4000000000000005E-2</v>
      </c>
      <c r="AC2649">
        <v>6</v>
      </c>
      <c r="AD2649" s="6">
        <v>50</v>
      </c>
      <c r="AE2649" s="6">
        <v>40</v>
      </c>
      <c r="AF2649" s="6">
        <v>0</v>
      </c>
      <c r="AG2649" s="6">
        <v>80.38</v>
      </c>
      <c r="AH2649" s="6">
        <v>105.31</v>
      </c>
      <c r="AI2649" s="6">
        <f t="shared" si="82"/>
        <v>24.930000000000007</v>
      </c>
      <c r="AJ2649" s="5">
        <f t="shared" si="83"/>
        <v>0.23672965530339005</v>
      </c>
    </row>
    <row r="2650" spans="1:36">
      <c r="A2650" t="s">
        <v>266</v>
      </c>
      <c r="B2650" t="s">
        <v>2935</v>
      </c>
      <c r="C2650" t="s">
        <v>120</v>
      </c>
      <c r="D2650" t="s">
        <v>60</v>
      </c>
      <c r="E2650" t="s">
        <v>55</v>
      </c>
      <c r="F2650">
        <v>0</v>
      </c>
      <c r="G2650">
        <v>2255</v>
      </c>
      <c r="H2650">
        <v>1.22</v>
      </c>
      <c r="I2650" t="s">
        <v>220</v>
      </c>
      <c r="J2650">
        <v>2</v>
      </c>
      <c r="K2650" s="6">
        <v>3.46</v>
      </c>
      <c r="L2650" t="s">
        <v>174</v>
      </c>
      <c r="M2650">
        <v>0</v>
      </c>
      <c r="N2650" t="s">
        <v>182</v>
      </c>
      <c r="O2650">
        <v>3</v>
      </c>
      <c r="P2650">
        <v>0</v>
      </c>
      <c r="Q2650" s="6">
        <v>133.9</v>
      </c>
      <c r="R2650">
        <v>1</v>
      </c>
      <c r="S2650" s="6">
        <v>1751</v>
      </c>
      <c r="T2650">
        <v>0</v>
      </c>
      <c r="U2650" s="6">
        <v>2498</v>
      </c>
      <c r="V2650">
        <v>1</v>
      </c>
      <c r="W2650">
        <v>0</v>
      </c>
      <c r="X2650">
        <v>0</v>
      </c>
      <c r="Y2650" s="6">
        <v>47.7</v>
      </c>
      <c r="Z2650">
        <v>0.752</v>
      </c>
      <c r="AA2650">
        <v>0.11799999999999999</v>
      </c>
      <c r="AB2650">
        <v>8.4000000000000005E-2</v>
      </c>
      <c r="AC2650">
        <v>6</v>
      </c>
      <c r="AD2650" s="6">
        <v>50</v>
      </c>
      <c r="AE2650" s="6">
        <v>25</v>
      </c>
      <c r="AF2650" s="6">
        <v>0</v>
      </c>
      <c r="AG2650" s="6">
        <v>114.34</v>
      </c>
      <c r="AH2650" s="6">
        <v>147.22</v>
      </c>
      <c r="AI2650" s="6">
        <f t="shared" si="82"/>
        <v>32.879999999999995</v>
      </c>
      <c r="AJ2650" s="5">
        <f t="shared" si="83"/>
        <v>0.22333922021464472</v>
      </c>
    </row>
    <row r="2651" spans="1:36">
      <c r="A2651" t="s">
        <v>215</v>
      </c>
      <c r="B2651" t="s">
        <v>2936</v>
      </c>
      <c r="C2651" t="s">
        <v>120</v>
      </c>
      <c r="D2651" t="s">
        <v>60</v>
      </c>
      <c r="E2651" t="s">
        <v>55</v>
      </c>
      <c r="F2651">
        <v>0</v>
      </c>
      <c r="G2651">
        <v>2255</v>
      </c>
      <c r="H2651">
        <v>1.22</v>
      </c>
      <c r="I2651" t="s">
        <v>173</v>
      </c>
      <c r="J2651">
        <v>1</v>
      </c>
      <c r="K2651" s="6">
        <v>2.11</v>
      </c>
      <c r="L2651" t="s">
        <v>200</v>
      </c>
      <c r="M2651">
        <v>1</v>
      </c>
      <c r="N2651" t="s">
        <v>182</v>
      </c>
      <c r="O2651">
        <v>3</v>
      </c>
      <c r="P2651">
        <v>0</v>
      </c>
      <c r="Q2651" s="6">
        <v>74.2</v>
      </c>
      <c r="R2651">
        <v>1</v>
      </c>
      <c r="S2651" s="6">
        <v>649</v>
      </c>
      <c r="T2651">
        <v>0</v>
      </c>
      <c r="U2651" s="6">
        <v>1755</v>
      </c>
      <c r="V2651">
        <v>0</v>
      </c>
      <c r="W2651">
        <v>0</v>
      </c>
      <c r="X2651">
        <v>0</v>
      </c>
      <c r="Y2651" s="6">
        <v>47.7</v>
      </c>
      <c r="Z2651">
        <v>0.752</v>
      </c>
      <c r="AA2651">
        <v>0.11799999999999999</v>
      </c>
      <c r="AB2651">
        <v>8.4000000000000005E-2</v>
      </c>
      <c r="AC2651">
        <v>6</v>
      </c>
      <c r="AD2651" s="6">
        <v>99</v>
      </c>
      <c r="AE2651" s="6">
        <v>25</v>
      </c>
      <c r="AF2651" s="6">
        <v>0</v>
      </c>
      <c r="AG2651" s="6">
        <v>100.97</v>
      </c>
      <c r="AH2651" s="6">
        <v>126.42</v>
      </c>
      <c r="AI2651" s="6">
        <f t="shared" si="82"/>
        <v>25.450000000000003</v>
      </c>
      <c r="AJ2651" s="5">
        <f t="shared" si="83"/>
        <v>0.20131308337288406</v>
      </c>
    </row>
    <row r="2652" spans="1:36">
      <c r="A2652" t="s">
        <v>488</v>
      </c>
      <c r="B2652" t="s">
        <v>2937</v>
      </c>
      <c r="C2652" t="s">
        <v>120</v>
      </c>
      <c r="D2652" t="s">
        <v>60</v>
      </c>
      <c r="E2652" t="s">
        <v>55</v>
      </c>
      <c r="F2652">
        <v>0</v>
      </c>
      <c r="G2652">
        <v>2255</v>
      </c>
      <c r="H2652">
        <v>1.22</v>
      </c>
      <c r="I2652" t="s">
        <v>220</v>
      </c>
      <c r="J2652">
        <v>2</v>
      </c>
      <c r="K2652" s="6">
        <v>2.58</v>
      </c>
      <c r="L2652" t="s">
        <v>200</v>
      </c>
      <c r="M2652">
        <v>1</v>
      </c>
      <c r="N2652" t="s">
        <v>187</v>
      </c>
      <c r="O2652">
        <v>2</v>
      </c>
      <c r="P2652">
        <v>0</v>
      </c>
      <c r="Q2652" s="6">
        <v>58.3</v>
      </c>
      <c r="R2652">
        <v>1</v>
      </c>
      <c r="S2652" s="6">
        <v>1708</v>
      </c>
      <c r="T2652">
        <v>0</v>
      </c>
      <c r="U2652" s="6">
        <v>997</v>
      </c>
      <c r="V2652">
        <v>0</v>
      </c>
      <c r="W2652">
        <v>0</v>
      </c>
      <c r="X2652">
        <v>0</v>
      </c>
      <c r="Y2652" s="6">
        <v>47.7</v>
      </c>
      <c r="Z2652">
        <v>0.752</v>
      </c>
      <c r="AA2652">
        <v>0.11799999999999999</v>
      </c>
      <c r="AB2652">
        <v>8.4000000000000005E-2</v>
      </c>
      <c r="AC2652">
        <v>6</v>
      </c>
      <c r="AD2652" s="6">
        <v>119</v>
      </c>
      <c r="AE2652" s="6">
        <v>25</v>
      </c>
      <c r="AF2652" s="6">
        <v>0</v>
      </c>
      <c r="AG2652" s="6">
        <v>104.3</v>
      </c>
      <c r="AH2652" s="6">
        <v>131.01</v>
      </c>
      <c r="AI2652" s="6">
        <f t="shared" si="82"/>
        <v>26.709999999999994</v>
      </c>
      <c r="AJ2652" s="5">
        <f t="shared" si="83"/>
        <v>0.2038775665979696</v>
      </c>
    </row>
    <row r="2653" spans="1:36">
      <c r="A2653" t="s">
        <v>384</v>
      </c>
      <c r="B2653" t="s">
        <v>2938</v>
      </c>
      <c r="C2653" t="s">
        <v>120</v>
      </c>
      <c r="D2653" t="s">
        <v>60</v>
      </c>
      <c r="E2653" t="s">
        <v>55</v>
      </c>
      <c r="F2653">
        <v>0</v>
      </c>
      <c r="G2653">
        <v>2255</v>
      </c>
      <c r="H2653">
        <v>1.22</v>
      </c>
      <c r="I2653" t="s">
        <v>181</v>
      </c>
      <c r="J2653">
        <v>3</v>
      </c>
      <c r="K2653" s="6">
        <v>10.050000000000001</v>
      </c>
      <c r="L2653" t="s">
        <v>200</v>
      </c>
      <c r="M2653">
        <v>1</v>
      </c>
      <c r="N2653" t="s">
        <v>187</v>
      </c>
      <c r="O2653">
        <v>2</v>
      </c>
      <c r="P2653">
        <v>1</v>
      </c>
      <c r="Q2653" s="6">
        <v>53.9</v>
      </c>
      <c r="R2653">
        <v>0</v>
      </c>
      <c r="S2653" s="6">
        <v>0</v>
      </c>
      <c r="T2653">
        <v>0</v>
      </c>
      <c r="U2653" s="6">
        <v>720</v>
      </c>
      <c r="V2653">
        <v>0</v>
      </c>
      <c r="W2653">
        <v>0</v>
      </c>
      <c r="X2653">
        <v>0</v>
      </c>
      <c r="Y2653" s="6">
        <v>47.7</v>
      </c>
      <c r="Z2653">
        <v>0.752</v>
      </c>
      <c r="AA2653">
        <v>0.11799999999999999</v>
      </c>
      <c r="AB2653">
        <v>8.4000000000000005E-2</v>
      </c>
      <c r="AC2653">
        <v>6</v>
      </c>
      <c r="AD2653" s="6">
        <v>139</v>
      </c>
      <c r="AE2653" s="6">
        <v>0</v>
      </c>
      <c r="AF2653" s="6">
        <v>0</v>
      </c>
      <c r="AG2653" s="6">
        <v>173.81</v>
      </c>
      <c r="AH2653" s="6">
        <v>219.32</v>
      </c>
      <c r="AI2653" s="6">
        <f t="shared" si="82"/>
        <v>45.509999999999991</v>
      </c>
      <c r="AJ2653" s="5">
        <f t="shared" si="83"/>
        <v>0.20750501550246211</v>
      </c>
    </row>
    <row r="2654" spans="1:36">
      <c r="A2654" t="s">
        <v>293</v>
      </c>
      <c r="B2654" t="s">
        <v>2939</v>
      </c>
      <c r="C2654" t="s">
        <v>120</v>
      </c>
      <c r="D2654" t="s">
        <v>60</v>
      </c>
      <c r="E2654" t="s">
        <v>55</v>
      </c>
      <c r="F2654">
        <v>0</v>
      </c>
      <c r="G2654">
        <v>2255</v>
      </c>
      <c r="H2654">
        <v>1.22</v>
      </c>
      <c r="I2654" t="s">
        <v>220</v>
      </c>
      <c r="J2654">
        <v>2</v>
      </c>
      <c r="K2654" s="6">
        <v>2.48</v>
      </c>
      <c r="L2654" t="s">
        <v>200</v>
      </c>
      <c r="M2654">
        <v>1</v>
      </c>
      <c r="N2654" t="s">
        <v>187</v>
      </c>
      <c r="O2654">
        <v>2</v>
      </c>
      <c r="P2654">
        <v>0</v>
      </c>
      <c r="Q2654" s="6">
        <v>49.6</v>
      </c>
      <c r="R2654">
        <v>0</v>
      </c>
      <c r="S2654" s="6">
        <v>0</v>
      </c>
      <c r="T2654">
        <v>0</v>
      </c>
      <c r="U2654" s="6">
        <v>1199</v>
      </c>
      <c r="V2654">
        <v>0</v>
      </c>
      <c r="W2654">
        <v>0</v>
      </c>
      <c r="X2654">
        <v>0</v>
      </c>
      <c r="Y2654" s="6">
        <v>47.7</v>
      </c>
      <c r="Z2654">
        <v>0.752</v>
      </c>
      <c r="AA2654">
        <v>0.11799999999999999</v>
      </c>
      <c r="AB2654">
        <v>8.4000000000000005E-2</v>
      </c>
      <c r="AC2654">
        <v>6</v>
      </c>
      <c r="AD2654" s="6">
        <v>119</v>
      </c>
      <c r="AE2654" s="6">
        <v>0</v>
      </c>
      <c r="AF2654" s="6">
        <v>0</v>
      </c>
      <c r="AG2654" s="6">
        <v>98.2</v>
      </c>
      <c r="AH2654" s="6">
        <v>126.12</v>
      </c>
      <c r="AI2654" s="6">
        <f t="shared" si="82"/>
        <v>27.92</v>
      </c>
      <c r="AJ2654" s="5">
        <f t="shared" si="83"/>
        <v>0.22137646685696163</v>
      </c>
    </row>
    <row r="2655" spans="1:36">
      <c r="A2655" t="s">
        <v>212</v>
      </c>
      <c r="B2655" t="s">
        <v>2940</v>
      </c>
      <c r="C2655" t="s">
        <v>120</v>
      </c>
      <c r="D2655" t="s">
        <v>60</v>
      </c>
      <c r="E2655" t="s">
        <v>55</v>
      </c>
      <c r="F2655">
        <v>0</v>
      </c>
      <c r="G2655">
        <v>2255</v>
      </c>
      <c r="H2655">
        <v>1.22</v>
      </c>
      <c r="I2655" t="s">
        <v>173</v>
      </c>
      <c r="J2655">
        <v>1</v>
      </c>
      <c r="K2655" s="6">
        <v>1.64</v>
      </c>
      <c r="L2655" t="s">
        <v>200</v>
      </c>
      <c r="M2655">
        <v>1</v>
      </c>
      <c r="N2655" t="s">
        <v>182</v>
      </c>
      <c r="O2655">
        <v>3</v>
      </c>
      <c r="P2655">
        <v>0</v>
      </c>
      <c r="Q2655" s="6">
        <v>67.5</v>
      </c>
      <c r="R2655">
        <v>1</v>
      </c>
      <c r="S2655" s="6">
        <v>1001</v>
      </c>
      <c r="T2655">
        <v>0</v>
      </c>
      <c r="U2655" s="6">
        <v>3374</v>
      </c>
      <c r="V2655">
        <v>0</v>
      </c>
      <c r="W2655">
        <v>0</v>
      </c>
      <c r="X2655">
        <v>0</v>
      </c>
      <c r="Y2655" s="6">
        <v>47.7</v>
      </c>
      <c r="Z2655">
        <v>0.752</v>
      </c>
      <c r="AA2655">
        <v>0.11799999999999999</v>
      </c>
      <c r="AB2655">
        <v>8.4000000000000005E-2</v>
      </c>
      <c r="AC2655">
        <v>6</v>
      </c>
      <c r="AD2655" s="6">
        <v>99</v>
      </c>
      <c r="AE2655" s="6">
        <v>25</v>
      </c>
      <c r="AF2655" s="6">
        <v>0</v>
      </c>
      <c r="AG2655" s="6">
        <v>98.89</v>
      </c>
      <c r="AH2655" s="6">
        <v>125.13</v>
      </c>
      <c r="AI2655" s="6">
        <f t="shared" si="82"/>
        <v>26.239999999999995</v>
      </c>
      <c r="AJ2655" s="5">
        <f t="shared" si="83"/>
        <v>0.20970191001358585</v>
      </c>
    </row>
    <row r="2656" spans="1:36">
      <c r="A2656" t="s">
        <v>316</v>
      </c>
      <c r="B2656" t="s">
        <v>2941</v>
      </c>
      <c r="C2656" t="s">
        <v>120</v>
      </c>
      <c r="D2656" t="s">
        <v>60</v>
      </c>
      <c r="E2656" t="s">
        <v>55</v>
      </c>
      <c r="F2656">
        <v>0</v>
      </c>
      <c r="G2656">
        <v>2255</v>
      </c>
      <c r="H2656">
        <v>1.22</v>
      </c>
      <c r="I2656" t="s">
        <v>220</v>
      </c>
      <c r="J2656">
        <v>2</v>
      </c>
      <c r="K2656" s="6">
        <v>3.98</v>
      </c>
      <c r="L2656" t="s">
        <v>200</v>
      </c>
      <c r="M2656">
        <v>1</v>
      </c>
      <c r="N2656" t="s">
        <v>187</v>
      </c>
      <c r="O2656">
        <v>2</v>
      </c>
      <c r="P2656">
        <v>0</v>
      </c>
      <c r="Q2656" s="6">
        <v>60.3</v>
      </c>
      <c r="R2656">
        <v>1</v>
      </c>
      <c r="S2656" s="6">
        <v>2528</v>
      </c>
      <c r="T2656">
        <v>0</v>
      </c>
      <c r="U2656" s="6">
        <v>1207</v>
      </c>
      <c r="V2656">
        <v>0</v>
      </c>
      <c r="W2656">
        <v>0</v>
      </c>
      <c r="X2656">
        <v>0</v>
      </c>
      <c r="Y2656" s="6">
        <v>47.7</v>
      </c>
      <c r="Z2656">
        <v>0.752</v>
      </c>
      <c r="AA2656">
        <v>0.11799999999999999</v>
      </c>
      <c r="AB2656">
        <v>8.4000000000000005E-2</v>
      </c>
      <c r="AC2656">
        <v>6</v>
      </c>
      <c r="AD2656" s="6">
        <v>119</v>
      </c>
      <c r="AE2656" s="6">
        <v>40</v>
      </c>
      <c r="AF2656" s="6">
        <v>0</v>
      </c>
      <c r="AG2656" s="6">
        <v>102.45</v>
      </c>
      <c r="AH2656" s="6">
        <v>130.99</v>
      </c>
      <c r="AI2656" s="6">
        <f t="shared" si="82"/>
        <v>28.540000000000006</v>
      </c>
      <c r="AJ2656" s="5">
        <f t="shared" si="83"/>
        <v>0.21787922742194063</v>
      </c>
    </row>
    <row r="2657" spans="1:36">
      <c r="A2657" t="s">
        <v>562</v>
      </c>
      <c r="B2657" t="s">
        <v>2942</v>
      </c>
      <c r="C2657" t="s">
        <v>120</v>
      </c>
      <c r="D2657" t="s">
        <v>60</v>
      </c>
      <c r="E2657" t="s">
        <v>55</v>
      </c>
      <c r="F2657">
        <v>0</v>
      </c>
      <c r="G2657">
        <v>2255</v>
      </c>
      <c r="H2657">
        <v>1.22</v>
      </c>
      <c r="I2657" t="s">
        <v>173</v>
      </c>
      <c r="J2657">
        <v>1</v>
      </c>
      <c r="K2657" s="6">
        <v>1.81</v>
      </c>
      <c r="L2657" t="s">
        <v>200</v>
      </c>
      <c r="M2657">
        <v>1</v>
      </c>
      <c r="N2657" t="s">
        <v>187</v>
      </c>
      <c r="O2657">
        <v>2</v>
      </c>
      <c r="P2657">
        <v>0</v>
      </c>
      <c r="Q2657" s="6">
        <v>41.7</v>
      </c>
      <c r="R2657">
        <v>1</v>
      </c>
      <c r="S2657" s="6">
        <v>3351</v>
      </c>
      <c r="T2657">
        <v>0</v>
      </c>
      <c r="U2657" s="6">
        <v>2057</v>
      </c>
      <c r="V2657">
        <v>0</v>
      </c>
      <c r="W2657">
        <v>0</v>
      </c>
      <c r="X2657">
        <v>0</v>
      </c>
      <c r="Y2657" s="6">
        <v>47.7</v>
      </c>
      <c r="Z2657">
        <v>0.752</v>
      </c>
      <c r="AA2657">
        <v>0.11799999999999999</v>
      </c>
      <c r="AB2657">
        <v>8.4000000000000005E-2</v>
      </c>
      <c r="AC2657">
        <v>6</v>
      </c>
      <c r="AD2657" s="6">
        <v>99</v>
      </c>
      <c r="AE2657" s="6">
        <v>40</v>
      </c>
      <c r="AF2657" s="6">
        <v>0</v>
      </c>
      <c r="AG2657" s="6">
        <v>95.57</v>
      </c>
      <c r="AH2657" s="6">
        <v>120.82</v>
      </c>
      <c r="AI2657" s="6">
        <f t="shared" si="82"/>
        <v>25.25</v>
      </c>
      <c r="AJ2657" s="5">
        <f t="shared" si="83"/>
        <v>0.20898857804999174</v>
      </c>
    </row>
    <row r="2658" spans="1:36">
      <c r="A2658" t="s">
        <v>353</v>
      </c>
      <c r="B2658" t="s">
        <v>2943</v>
      </c>
      <c r="C2658" t="s">
        <v>120</v>
      </c>
      <c r="D2658" t="s">
        <v>60</v>
      </c>
      <c r="E2658" t="s">
        <v>55</v>
      </c>
      <c r="F2658">
        <v>0</v>
      </c>
      <c r="G2658">
        <v>2255</v>
      </c>
      <c r="H2658">
        <v>1.22</v>
      </c>
      <c r="I2658" t="s">
        <v>220</v>
      </c>
      <c r="J2658">
        <v>2</v>
      </c>
      <c r="K2658" s="6">
        <v>2.69</v>
      </c>
      <c r="L2658" t="s">
        <v>174</v>
      </c>
      <c r="M2658">
        <v>0</v>
      </c>
      <c r="N2658" t="s">
        <v>175</v>
      </c>
      <c r="O2658">
        <v>1</v>
      </c>
      <c r="P2658">
        <v>1</v>
      </c>
      <c r="Q2658" s="6">
        <v>33.9</v>
      </c>
      <c r="R2658">
        <v>1</v>
      </c>
      <c r="S2658" s="6">
        <v>751</v>
      </c>
      <c r="T2658">
        <v>0</v>
      </c>
      <c r="U2658" s="6">
        <v>665</v>
      </c>
      <c r="V2658">
        <v>0</v>
      </c>
      <c r="W2658">
        <v>0</v>
      </c>
      <c r="X2658">
        <v>0</v>
      </c>
      <c r="Y2658" s="6">
        <v>47.7</v>
      </c>
      <c r="Z2658">
        <v>0.752</v>
      </c>
      <c r="AA2658">
        <v>0.11799999999999999</v>
      </c>
      <c r="AB2658">
        <v>8.4000000000000005E-2</v>
      </c>
      <c r="AC2658">
        <v>6</v>
      </c>
      <c r="AD2658" s="6">
        <v>50</v>
      </c>
      <c r="AE2658" s="6">
        <v>25</v>
      </c>
      <c r="AF2658" s="6">
        <v>0</v>
      </c>
      <c r="AG2658" s="6">
        <v>94.95</v>
      </c>
      <c r="AH2658" s="6">
        <v>121.44</v>
      </c>
      <c r="AI2658" s="6">
        <f t="shared" si="82"/>
        <v>26.489999999999995</v>
      </c>
      <c r="AJ2658" s="5">
        <f t="shared" si="83"/>
        <v>0.21813241106719364</v>
      </c>
    </row>
    <row r="2659" spans="1:36">
      <c r="A2659" t="s">
        <v>230</v>
      </c>
      <c r="B2659" t="s">
        <v>2944</v>
      </c>
      <c r="C2659" t="s">
        <v>120</v>
      </c>
      <c r="D2659" t="s">
        <v>60</v>
      </c>
      <c r="E2659" t="s">
        <v>55</v>
      </c>
      <c r="F2659">
        <v>0</v>
      </c>
      <c r="G2659">
        <v>2255</v>
      </c>
      <c r="H2659">
        <v>1</v>
      </c>
      <c r="I2659" t="s">
        <v>181</v>
      </c>
      <c r="J2659">
        <v>3</v>
      </c>
      <c r="K2659" s="6">
        <v>9.7799999999999994</v>
      </c>
      <c r="L2659" t="s">
        <v>200</v>
      </c>
      <c r="M2659">
        <v>1</v>
      </c>
      <c r="N2659" t="s">
        <v>182</v>
      </c>
      <c r="O2659">
        <v>3</v>
      </c>
      <c r="P2659">
        <v>0</v>
      </c>
      <c r="Q2659" s="6">
        <v>112.2</v>
      </c>
      <c r="R2659">
        <v>0</v>
      </c>
      <c r="S2659" s="6">
        <v>0</v>
      </c>
      <c r="T2659">
        <v>0</v>
      </c>
      <c r="U2659" s="6">
        <v>2062</v>
      </c>
      <c r="V2659">
        <v>0</v>
      </c>
      <c r="W2659">
        <v>0</v>
      </c>
      <c r="X2659">
        <v>0</v>
      </c>
      <c r="Y2659" s="6">
        <v>47.7</v>
      </c>
      <c r="Z2659">
        <v>0.752</v>
      </c>
      <c r="AA2659">
        <v>0.11799999999999999</v>
      </c>
      <c r="AB2659">
        <v>8.4000000000000005E-2</v>
      </c>
      <c r="AC2659">
        <v>6</v>
      </c>
      <c r="AD2659" s="6">
        <v>139</v>
      </c>
      <c r="AE2659" s="6">
        <v>0</v>
      </c>
      <c r="AF2659" s="6">
        <v>0</v>
      </c>
      <c r="AG2659" s="6">
        <v>140.69999999999999</v>
      </c>
      <c r="AH2659" s="6">
        <v>176.91</v>
      </c>
      <c r="AI2659" s="6">
        <f t="shared" si="82"/>
        <v>36.210000000000008</v>
      </c>
      <c r="AJ2659" s="5">
        <f t="shared" si="83"/>
        <v>0.2046803459386129</v>
      </c>
    </row>
    <row r="2660" spans="1:36">
      <c r="A2660" t="s">
        <v>355</v>
      </c>
      <c r="B2660" t="s">
        <v>2945</v>
      </c>
      <c r="C2660" t="s">
        <v>120</v>
      </c>
      <c r="D2660" t="s">
        <v>60</v>
      </c>
      <c r="E2660" t="s">
        <v>55</v>
      </c>
      <c r="F2660">
        <v>0</v>
      </c>
      <c r="G2660">
        <v>2255</v>
      </c>
      <c r="H2660">
        <v>1.22</v>
      </c>
      <c r="I2660" t="s">
        <v>220</v>
      </c>
      <c r="J2660">
        <v>2</v>
      </c>
      <c r="K2660" s="6">
        <v>3.82</v>
      </c>
      <c r="L2660" t="s">
        <v>200</v>
      </c>
      <c r="M2660">
        <v>1</v>
      </c>
      <c r="N2660" t="s">
        <v>187</v>
      </c>
      <c r="O2660">
        <v>2</v>
      </c>
      <c r="P2660">
        <v>0</v>
      </c>
      <c r="Q2660" s="6">
        <v>56.4</v>
      </c>
      <c r="R2660">
        <v>1</v>
      </c>
      <c r="S2660" s="6">
        <v>1183</v>
      </c>
      <c r="T2660">
        <v>0</v>
      </c>
      <c r="U2660" s="6">
        <v>1888</v>
      </c>
      <c r="V2660">
        <v>0</v>
      </c>
      <c r="W2660">
        <v>0</v>
      </c>
      <c r="X2660">
        <v>0</v>
      </c>
      <c r="Y2660" s="6">
        <v>47.7</v>
      </c>
      <c r="Z2660">
        <v>0.752</v>
      </c>
      <c r="AA2660">
        <v>0.11799999999999999</v>
      </c>
      <c r="AB2660">
        <v>8.4000000000000005E-2</v>
      </c>
      <c r="AC2660">
        <v>6</v>
      </c>
      <c r="AD2660" s="6">
        <v>119</v>
      </c>
      <c r="AE2660" s="6">
        <v>25</v>
      </c>
      <c r="AF2660" s="6">
        <v>0</v>
      </c>
      <c r="AG2660" s="6">
        <v>104.21</v>
      </c>
      <c r="AH2660" s="6">
        <v>132.72999999999999</v>
      </c>
      <c r="AI2660" s="6">
        <f t="shared" si="82"/>
        <v>28.519999999999996</v>
      </c>
      <c r="AJ2660" s="5">
        <f t="shared" si="83"/>
        <v>0.2148722971445792</v>
      </c>
    </row>
    <row r="2661" spans="1:36">
      <c r="A2661" t="s">
        <v>206</v>
      </c>
      <c r="B2661" t="s">
        <v>2946</v>
      </c>
      <c r="C2661" t="s">
        <v>120</v>
      </c>
      <c r="D2661" t="s">
        <v>60</v>
      </c>
      <c r="E2661" t="s">
        <v>55</v>
      </c>
      <c r="F2661">
        <v>0</v>
      </c>
      <c r="G2661">
        <v>2255</v>
      </c>
      <c r="H2661">
        <v>1.22</v>
      </c>
      <c r="I2661" t="s">
        <v>181</v>
      </c>
      <c r="J2661">
        <v>3</v>
      </c>
      <c r="K2661" s="6">
        <v>6.84</v>
      </c>
      <c r="L2661" t="s">
        <v>200</v>
      </c>
      <c r="M2661">
        <v>1</v>
      </c>
      <c r="N2661" t="s">
        <v>175</v>
      </c>
      <c r="O2661">
        <v>1</v>
      </c>
      <c r="P2661">
        <v>1</v>
      </c>
      <c r="Q2661" s="6">
        <v>39.5</v>
      </c>
      <c r="R2661">
        <v>1</v>
      </c>
      <c r="S2661" s="6">
        <v>1600</v>
      </c>
      <c r="T2661">
        <v>0</v>
      </c>
      <c r="U2661" s="6">
        <v>982</v>
      </c>
      <c r="V2661">
        <v>0</v>
      </c>
      <c r="W2661">
        <v>0</v>
      </c>
      <c r="X2661">
        <v>0</v>
      </c>
      <c r="Y2661" s="6">
        <v>47.7</v>
      </c>
      <c r="Z2661">
        <v>0.752</v>
      </c>
      <c r="AA2661">
        <v>0.11799999999999999</v>
      </c>
      <c r="AB2661">
        <v>8.4000000000000005E-2</v>
      </c>
      <c r="AC2661">
        <v>6</v>
      </c>
      <c r="AD2661" s="6">
        <v>139</v>
      </c>
      <c r="AE2661" s="6">
        <v>25</v>
      </c>
      <c r="AF2661" s="6">
        <v>0</v>
      </c>
      <c r="AG2661" s="6">
        <v>151.91</v>
      </c>
      <c r="AH2661" s="6">
        <v>192</v>
      </c>
      <c r="AI2661" s="6">
        <f t="shared" si="82"/>
        <v>40.090000000000003</v>
      </c>
      <c r="AJ2661" s="5">
        <f t="shared" si="83"/>
        <v>0.20880208333333336</v>
      </c>
    </row>
    <row r="2662" spans="1:36">
      <c r="A2662" t="s">
        <v>384</v>
      </c>
      <c r="B2662" t="s">
        <v>2947</v>
      </c>
      <c r="C2662" t="s">
        <v>120</v>
      </c>
      <c r="D2662" t="s">
        <v>60</v>
      </c>
      <c r="E2662" t="s">
        <v>55</v>
      </c>
      <c r="F2662">
        <v>0</v>
      </c>
      <c r="G2662">
        <v>2255</v>
      </c>
      <c r="H2662">
        <v>1.22</v>
      </c>
      <c r="I2662" t="s">
        <v>181</v>
      </c>
      <c r="J2662">
        <v>3</v>
      </c>
      <c r="K2662" s="6">
        <v>9.43</v>
      </c>
      <c r="L2662" t="s">
        <v>200</v>
      </c>
      <c r="M2662">
        <v>1</v>
      </c>
      <c r="N2662" t="s">
        <v>175</v>
      </c>
      <c r="O2662">
        <v>1</v>
      </c>
      <c r="P2662">
        <v>0</v>
      </c>
      <c r="Q2662" s="6">
        <v>54.5</v>
      </c>
      <c r="R2662">
        <v>1</v>
      </c>
      <c r="S2662" s="6">
        <v>731</v>
      </c>
      <c r="T2662">
        <v>0</v>
      </c>
      <c r="U2662" s="6">
        <v>3634</v>
      </c>
      <c r="V2662">
        <v>0</v>
      </c>
      <c r="W2662">
        <v>0</v>
      </c>
      <c r="X2662">
        <v>0</v>
      </c>
      <c r="Y2662" s="6">
        <v>47.7</v>
      </c>
      <c r="Z2662">
        <v>0.752</v>
      </c>
      <c r="AA2662">
        <v>0.11799999999999999</v>
      </c>
      <c r="AB2662">
        <v>8.4000000000000005E-2</v>
      </c>
      <c r="AC2662">
        <v>6</v>
      </c>
      <c r="AD2662" s="6">
        <v>139</v>
      </c>
      <c r="AE2662" s="6">
        <v>25</v>
      </c>
      <c r="AF2662" s="6">
        <v>0</v>
      </c>
      <c r="AG2662" s="6">
        <v>125.4</v>
      </c>
      <c r="AH2662" s="6">
        <v>157.22</v>
      </c>
      <c r="AI2662" s="6">
        <f t="shared" si="82"/>
        <v>31.819999999999993</v>
      </c>
      <c r="AJ2662" s="5">
        <f t="shared" si="83"/>
        <v>0.20239155323750155</v>
      </c>
    </row>
    <row r="2663" spans="1:36">
      <c r="A2663" t="s">
        <v>201</v>
      </c>
      <c r="B2663" t="s">
        <v>2948</v>
      </c>
      <c r="C2663" t="s">
        <v>120</v>
      </c>
      <c r="D2663" t="s">
        <v>60</v>
      </c>
      <c r="E2663" t="s">
        <v>55</v>
      </c>
      <c r="F2663">
        <v>0</v>
      </c>
      <c r="G2663">
        <v>2255</v>
      </c>
      <c r="H2663">
        <v>1.22</v>
      </c>
      <c r="I2663" t="s">
        <v>220</v>
      </c>
      <c r="J2663">
        <v>2</v>
      </c>
      <c r="K2663" s="6">
        <v>4.45</v>
      </c>
      <c r="L2663" t="s">
        <v>200</v>
      </c>
      <c r="M2663">
        <v>1</v>
      </c>
      <c r="N2663" t="s">
        <v>182</v>
      </c>
      <c r="O2663">
        <v>3</v>
      </c>
      <c r="P2663">
        <v>0</v>
      </c>
      <c r="Q2663" s="6">
        <v>154.1</v>
      </c>
      <c r="R2663">
        <v>1</v>
      </c>
      <c r="S2663" s="6">
        <v>1404</v>
      </c>
      <c r="T2663">
        <v>0</v>
      </c>
      <c r="U2663" s="6">
        <v>1241</v>
      </c>
      <c r="V2663">
        <v>0</v>
      </c>
      <c r="W2663">
        <v>0</v>
      </c>
      <c r="X2663">
        <v>0</v>
      </c>
      <c r="Y2663" s="6">
        <v>47.7</v>
      </c>
      <c r="Z2663">
        <v>0.752</v>
      </c>
      <c r="AA2663">
        <v>0.11799999999999999</v>
      </c>
      <c r="AB2663">
        <v>8.4000000000000005E-2</v>
      </c>
      <c r="AC2663">
        <v>6</v>
      </c>
      <c r="AD2663" s="6">
        <v>119</v>
      </c>
      <c r="AE2663" s="6">
        <v>25</v>
      </c>
      <c r="AF2663" s="6">
        <v>0</v>
      </c>
      <c r="AG2663" s="6">
        <v>103.32</v>
      </c>
      <c r="AH2663" s="6">
        <v>132.9</v>
      </c>
      <c r="AI2663" s="6">
        <f t="shared" si="82"/>
        <v>29.580000000000013</v>
      </c>
      <c r="AJ2663" s="5">
        <f t="shared" si="83"/>
        <v>0.22257336343115133</v>
      </c>
    </row>
    <row r="2664" spans="1:36">
      <c r="A2664" t="s">
        <v>602</v>
      </c>
      <c r="B2664" t="s">
        <v>2949</v>
      </c>
      <c r="C2664" t="s">
        <v>120</v>
      </c>
      <c r="D2664" t="s">
        <v>60</v>
      </c>
      <c r="E2664" t="s">
        <v>55</v>
      </c>
      <c r="F2664">
        <v>0</v>
      </c>
      <c r="G2664">
        <v>2255</v>
      </c>
      <c r="H2664">
        <v>1</v>
      </c>
      <c r="I2664" t="s">
        <v>220</v>
      </c>
      <c r="J2664">
        <v>2</v>
      </c>
      <c r="K2664" s="6">
        <v>4.2</v>
      </c>
      <c r="L2664" t="s">
        <v>200</v>
      </c>
      <c r="M2664">
        <v>1</v>
      </c>
      <c r="N2664" t="s">
        <v>187</v>
      </c>
      <c r="O2664">
        <v>2</v>
      </c>
      <c r="P2664">
        <v>0</v>
      </c>
      <c r="Q2664" s="6">
        <v>67.7</v>
      </c>
      <c r="R2664">
        <v>1</v>
      </c>
      <c r="S2664" s="6">
        <v>518</v>
      </c>
      <c r="T2664">
        <v>0</v>
      </c>
      <c r="U2664" s="6">
        <v>1829</v>
      </c>
      <c r="V2664">
        <v>0</v>
      </c>
      <c r="W2664">
        <v>0</v>
      </c>
      <c r="X2664">
        <v>0</v>
      </c>
      <c r="Y2664" s="6">
        <v>47.7</v>
      </c>
      <c r="Z2664">
        <v>0.752</v>
      </c>
      <c r="AA2664">
        <v>0.11799999999999999</v>
      </c>
      <c r="AB2664">
        <v>8.4000000000000005E-2</v>
      </c>
      <c r="AC2664">
        <v>6</v>
      </c>
      <c r="AD2664" s="6">
        <v>119</v>
      </c>
      <c r="AE2664" s="6">
        <v>25</v>
      </c>
      <c r="AF2664" s="6">
        <v>0</v>
      </c>
      <c r="AG2664" s="6">
        <v>101.88</v>
      </c>
      <c r="AH2664" s="6">
        <v>129.34</v>
      </c>
      <c r="AI2664" s="6">
        <f t="shared" si="82"/>
        <v>27.460000000000008</v>
      </c>
      <c r="AJ2664" s="5">
        <f t="shared" si="83"/>
        <v>0.2123086438843359</v>
      </c>
    </row>
    <row r="2665" spans="1:36">
      <c r="A2665" t="s">
        <v>353</v>
      </c>
      <c r="B2665" t="s">
        <v>2950</v>
      </c>
      <c r="C2665" t="s">
        <v>120</v>
      </c>
      <c r="D2665" t="s">
        <v>60</v>
      </c>
      <c r="E2665" t="s">
        <v>55</v>
      </c>
      <c r="F2665">
        <v>0</v>
      </c>
      <c r="G2665">
        <v>2255</v>
      </c>
      <c r="H2665">
        <v>1.22</v>
      </c>
      <c r="I2665" t="s">
        <v>181</v>
      </c>
      <c r="J2665">
        <v>3</v>
      </c>
      <c r="K2665" s="6">
        <v>7.6</v>
      </c>
      <c r="L2665" t="s">
        <v>200</v>
      </c>
      <c r="M2665">
        <v>1</v>
      </c>
      <c r="N2665" t="s">
        <v>182</v>
      </c>
      <c r="O2665">
        <v>3</v>
      </c>
      <c r="P2665">
        <v>0</v>
      </c>
      <c r="Q2665" s="6">
        <v>102.4</v>
      </c>
      <c r="R2665">
        <v>0</v>
      </c>
      <c r="S2665" s="6">
        <v>0</v>
      </c>
      <c r="T2665">
        <v>0</v>
      </c>
      <c r="U2665" s="6">
        <v>583</v>
      </c>
      <c r="V2665">
        <v>0</v>
      </c>
      <c r="W2665">
        <v>0</v>
      </c>
      <c r="X2665">
        <v>0</v>
      </c>
      <c r="Y2665" s="6">
        <v>47.7</v>
      </c>
      <c r="Z2665">
        <v>0.752</v>
      </c>
      <c r="AA2665">
        <v>0.11799999999999999</v>
      </c>
      <c r="AB2665">
        <v>8.4000000000000005E-2</v>
      </c>
      <c r="AC2665">
        <v>6</v>
      </c>
      <c r="AD2665" s="6">
        <v>139</v>
      </c>
      <c r="AE2665" s="6">
        <v>0</v>
      </c>
      <c r="AF2665" s="6">
        <v>0</v>
      </c>
      <c r="AG2665" s="6">
        <v>119.48</v>
      </c>
      <c r="AH2665" s="6">
        <v>153.26</v>
      </c>
      <c r="AI2665" s="6">
        <f t="shared" si="82"/>
        <v>33.779999999999987</v>
      </c>
      <c r="AJ2665" s="5">
        <f t="shared" si="83"/>
        <v>0.22040976119013433</v>
      </c>
    </row>
    <row r="2666" spans="1:36">
      <c r="A2666" t="s">
        <v>481</v>
      </c>
      <c r="B2666" t="s">
        <v>2951</v>
      </c>
      <c r="C2666" t="s">
        <v>120</v>
      </c>
      <c r="D2666" t="s">
        <v>60</v>
      </c>
      <c r="E2666" t="s">
        <v>55</v>
      </c>
      <c r="F2666">
        <v>0</v>
      </c>
      <c r="G2666">
        <v>2255</v>
      </c>
      <c r="H2666">
        <v>1.22</v>
      </c>
      <c r="I2666" t="s">
        <v>220</v>
      </c>
      <c r="J2666">
        <v>2</v>
      </c>
      <c r="K2666" s="6">
        <v>4.6399999999999997</v>
      </c>
      <c r="L2666" t="s">
        <v>174</v>
      </c>
      <c r="M2666">
        <v>0</v>
      </c>
      <c r="N2666" t="s">
        <v>187</v>
      </c>
      <c r="O2666">
        <v>2</v>
      </c>
      <c r="P2666">
        <v>0</v>
      </c>
      <c r="Q2666" s="6">
        <v>59.1</v>
      </c>
      <c r="R2666">
        <v>0</v>
      </c>
      <c r="S2666" s="6">
        <v>0</v>
      </c>
      <c r="T2666">
        <v>0</v>
      </c>
      <c r="U2666" s="6">
        <v>1234</v>
      </c>
      <c r="V2666">
        <v>0</v>
      </c>
      <c r="W2666">
        <v>0</v>
      </c>
      <c r="X2666">
        <v>0</v>
      </c>
      <c r="Y2666" s="6">
        <v>47.7</v>
      </c>
      <c r="Z2666">
        <v>0.752</v>
      </c>
      <c r="AA2666">
        <v>0.11799999999999999</v>
      </c>
      <c r="AB2666">
        <v>8.4000000000000005E-2</v>
      </c>
      <c r="AC2666">
        <v>6</v>
      </c>
      <c r="AD2666" s="6">
        <v>50</v>
      </c>
      <c r="AE2666" s="6">
        <v>0</v>
      </c>
      <c r="AF2666" s="6">
        <v>0</v>
      </c>
      <c r="AG2666" s="6">
        <v>70.89</v>
      </c>
      <c r="AH2666" s="6">
        <v>91.16</v>
      </c>
      <c r="AI2666" s="6">
        <f t="shared" si="82"/>
        <v>20.269999999999996</v>
      </c>
      <c r="AJ2666" s="5">
        <f t="shared" si="83"/>
        <v>0.22235629662132511</v>
      </c>
    </row>
    <row r="2667" spans="1:36">
      <c r="A2667" t="s">
        <v>206</v>
      </c>
      <c r="B2667" t="s">
        <v>2952</v>
      </c>
      <c r="C2667" t="s">
        <v>120</v>
      </c>
      <c r="D2667" t="s">
        <v>60</v>
      </c>
      <c r="E2667" t="s">
        <v>55</v>
      </c>
      <c r="F2667">
        <v>0</v>
      </c>
      <c r="G2667">
        <v>2255</v>
      </c>
      <c r="H2667">
        <v>1.22</v>
      </c>
      <c r="I2667" t="s">
        <v>220</v>
      </c>
      <c r="J2667">
        <v>2</v>
      </c>
      <c r="K2667" s="6">
        <v>1.53</v>
      </c>
      <c r="L2667" t="s">
        <v>200</v>
      </c>
      <c r="M2667">
        <v>1</v>
      </c>
      <c r="N2667" t="s">
        <v>175</v>
      </c>
      <c r="O2667">
        <v>1</v>
      </c>
      <c r="P2667">
        <v>0</v>
      </c>
      <c r="Q2667" s="6">
        <v>44.5</v>
      </c>
      <c r="R2667">
        <v>0</v>
      </c>
      <c r="S2667" s="6">
        <v>0</v>
      </c>
      <c r="T2667">
        <v>0</v>
      </c>
      <c r="U2667" s="6">
        <v>1386</v>
      </c>
      <c r="V2667">
        <v>1</v>
      </c>
      <c r="W2667">
        <v>0</v>
      </c>
      <c r="X2667">
        <v>0</v>
      </c>
      <c r="Y2667" s="6">
        <v>47.7</v>
      </c>
      <c r="Z2667">
        <v>0.752</v>
      </c>
      <c r="AA2667">
        <v>0.11799999999999999</v>
      </c>
      <c r="AB2667">
        <v>8.4000000000000005E-2</v>
      </c>
      <c r="AC2667">
        <v>6</v>
      </c>
      <c r="AD2667" s="6">
        <v>119</v>
      </c>
      <c r="AE2667" s="6">
        <v>0</v>
      </c>
      <c r="AF2667" s="6">
        <v>0</v>
      </c>
      <c r="AG2667" s="6">
        <v>135.68</v>
      </c>
      <c r="AH2667" s="6">
        <v>173.68</v>
      </c>
      <c r="AI2667" s="6">
        <f t="shared" si="82"/>
        <v>38</v>
      </c>
      <c r="AJ2667" s="5">
        <f t="shared" si="83"/>
        <v>0.21879318286503915</v>
      </c>
    </row>
    <row r="2668" spans="1:36">
      <c r="A2668" t="s">
        <v>185</v>
      </c>
      <c r="B2668" t="s">
        <v>2953</v>
      </c>
      <c r="C2668" t="s">
        <v>120</v>
      </c>
      <c r="D2668" t="s">
        <v>60</v>
      </c>
      <c r="E2668" t="s">
        <v>55</v>
      </c>
      <c r="F2668">
        <v>0</v>
      </c>
      <c r="G2668">
        <v>2255</v>
      </c>
      <c r="H2668">
        <v>1.22</v>
      </c>
      <c r="I2668" t="s">
        <v>173</v>
      </c>
      <c r="J2668">
        <v>1</v>
      </c>
      <c r="K2668" s="6">
        <v>2.34</v>
      </c>
      <c r="L2668" t="s">
        <v>200</v>
      </c>
      <c r="M2668">
        <v>1</v>
      </c>
      <c r="N2668" t="s">
        <v>175</v>
      </c>
      <c r="O2668">
        <v>1</v>
      </c>
      <c r="P2668">
        <v>0</v>
      </c>
      <c r="Q2668" s="6">
        <v>47.6</v>
      </c>
      <c r="R2668">
        <v>1</v>
      </c>
      <c r="S2668" s="6">
        <v>2274</v>
      </c>
      <c r="T2668">
        <v>0</v>
      </c>
      <c r="U2668" s="6">
        <v>1014</v>
      </c>
      <c r="V2668">
        <v>0</v>
      </c>
      <c r="W2668">
        <v>0</v>
      </c>
      <c r="X2668">
        <v>0</v>
      </c>
      <c r="Y2668" s="6">
        <v>47.7</v>
      </c>
      <c r="Z2668">
        <v>0.752</v>
      </c>
      <c r="AA2668">
        <v>0.11799999999999999</v>
      </c>
      <c r="AB2668">
        <v>8.4000000000000005E-2</v>
      </c>
      <c r="AC2668">
        <v>6</v>
      </c>
      <c r="AD2668" s="6">
        <v>99</v>
      </c>
      <c r="AE2668" s="6">
        <v>40</v>
      </c>
      <c r="AF2668" s="6">
        <v>0</v>
      </c>
      <c r="AG2668" s="6">
        <v>90.35</v>
      </c>
      <c r="AH2668" s="6">
        <v>115.39</v>
      </c>
      <c r="AI2668" s="6">
        <f t="shared" si="82"/>
        <v>25.040000000000006</v>
      </c>
      <c r="AJ2668" s="5">
        <f t="shared" si="83"/>
        <v>0.21700320651702926</v>
      </c>
    </row>
    <row r="2669" spans="1:36">
      <c r="A2669" t="s">
        <v>360</v>
      </c>
      <c r="B2669" t="s">
        <v>2954</v>
      </c>
      <c r="C2669" t="s">
        <v>120</v>
      </c>
      <c r="D2669" t="s">
        <v>60</v>
      </c>
      <c r="E2669" t="s">
        <v>55</v>
      </c>
      <c r="F2669">
        <v>0</v>
      </c>
      <c r="G2669">
        <v>2255</v>
      </c>
      <c r="H2669">
        <v>1.22</v>
      </c>
      <c r="I2669" t="s">
        <v>220</v>
      </c>
      <c r="J2669">
        <v>2</v>
      </c>
      <c r="K2669" s="6">
        <v>4.47</v>
      </c>
      <c r="L2669" t="s">
        <v>200</v>
      </c>
      <c r="M2669">
        <v>1</v>
      </c>
      <c r="N2669" t="s">
        <v>182</v>
      </c>
      <c r="O2669">
        <v>3</v>
      </c>
      <c r="P2669">
        <v>0</v>
      </c>
      <c r="Q2669" s="6">
        <v>100.9</v>
      </c>
      <c r="R2669">
        <v>0</v>
      </c>
      <c r="S2669" s="6">
        <v>0</v>
      </c>
      <c r="T2669">
        <v>0</v>
      </c>
      <c r="U2669" s="6">
        <v>1789</v>
      </c>
      <c r="V2669">
        <v>0</v>
      </c>
      <c r="W2669">
        <v>0</v>
      </c>
      <c r="X2669">
        <v>0</v>
      </c>
      <c r="Y2669" s="6">
        <v>47.7</v>
      </c>
      <c r="Z2669">
        <v>0.752</v>
      </c>
      <c r="AA2669">
        <v>0.11799999999999999</v>
      </c>
      <c r="AB2669">
        <v>8.4000000000000005E-2</v>
      </c>
      <c r="AC2669">
        <v>6</v>
      </c>
      <c r="AD2669" s="6">
        <v>119</v>
      </c>
      <c r="AE2669" s="6">
        <v>0</v>
      </c>
      <c r="AF2669" s="6">
        <v>0</v>
      </c>
      <c r="AG2669" s="6">
        <v>111.96</v>
      </c>
      <c r="AH2669" s="6">
        <v>143.62</v>
      </c>
      <c r="AI2669" s="6">
        <f t="shared" si="82"/>
        <v>31.660000000000011</v>
      </c>
      <c r="AJ2669" s="5">
        <f t="shared" si="83"/>
        <v>0.2204428352597132</v>
      </c>
    </row>
    <row r="2670" spans="1:36">
      <c r="A2670" t="s">
        <v>218</v>
      </c>
      <c r="B2670" t="s">
        <v>2955</v>
      </c>
      <c r="C2670" t="s">
        <v>120</v>
      </c>
      <c r="D2670" t="s">
        <v>60</v>
      </c>
      <c r="E2670" t="s">
        <v>55</v>
      </c>
      <c r="F2670">
        <v>0</v>
      </c>
      <c r="G2670">
        <v>2255</v>
      </c>
      <c r="H2670">
        <v>1.22</v>
      </c>
      <c r="I2670" t="s">
        <v>220</v>
      </c>
      <c r="J2670">
        <v>2</v>
      </c>
      <c r="K2670" s="6">
        <v>2.79</v>
      </c>
      <c r="L2670" t="s">
        <v>200</v>
      </c>
      <c r="M2670">
        <v>1</v>
      </c>
      <c r="N2670" t="s">
        <v>175</v>
      </c>
      <c r="O2670">
        <v>1</v>
      </c>
      <c r="P2670">
        <v>0</v>
      </c>
      <c r="Q2670" s="6">
        <v>34.700000000000003</v>
      </c>
      <c r="R2670">
        <v>0</v>
      </c>
      <c r="S2670" s="6">
        <v>0</v>
      </c>
      <c r="T2670">
        <v>0</v>
      </c>
      <c r="U2670" s="6">
        <v>2382</v>
      </c>
      <c r="V2670">
        <v>0</v>
      </c>
      <c r="W2670">
        <v>0</v>
      </c>
      <c r="X2670">
        <v>0</v>
      </c>
      <c r="Y2670" s="6">
        <v>47.7</v>
      </c>
      <c r="Z2670">
        <v>0.752</v>
      </c>
      <c r="AA2670">
        <v>0.11799999999999999</v>
      </c>
      <c r="AB2670">
        <v>8.4000000000000005E-2</v>
      </c>
      <c r="AC2670">
        <v>6</v>
      </c>
      <c r="AD2670" s="6">
        <v>119</v>
      </c>
      <c r="AE2670" s="6">
        <v>0</v>
      </c>
      <c r="AF2670" s="6">
        <v>0</v>
      </c>
      <c r="AG2670" s="6">
        <v>96.85</v>
      </c>
      <c r="AH2670" s="6">
        <v>123.17</v>
      </c>
      <c r="AI2670" s="6">
        <f t="shared" si="82"/>
        <v>26.320000000000007</v>
      </c>
      <c r="AJ2670" s="5">
        <f t="shared" si="83"/>
        <v>0.21368839814889995</v>
      </c>
    </row>
    <row r="2671" spans="1:36">
      <c r="A2671" t="s">
        <v>319</v>
      </c>
      <c r="B2671" t="s">
        <v>2956</v>
      </c>
      <c r="C2671" t="s">
        <v>120</v>
      </c>
      <c r="D2671" t="s">
        <v>60</v>
      </c>
      <c r="E2671" t="s">
        <v>55</v>
      </c>
      <c r="F2671">
        <v>0</v>
      </c>
      <c r="G2671">
        <v>2255</v>
      </c>
      <c r="H2671">
        <v>1.22</v>
      </c>
      <c r="I2671" t="s">
        <v>173</v>
      </c>
      <c r="J2671">
        <v>1</v>
      </c>
      <c r="K2671" s="6">
        <v>2.7</v>
      </c>
      <c r="L2671" t="s">
        <v>200</v>
      </c>
      <c r="M2671">
        <v>1</v>
      </c>
      <c r="N2671" t="s">
        <v>175</v>
      </c>
      <c r="O2671">
        <v>1</v>
      </c>
      <c r="P2671">
        <v>0</v>
      </c>
      <c r="Q2671" s="6">
        <v>38</v>
      </c>
      <c r="R2671">
        <v>1</v>
      </c>
      <c r="S2671" s="6">
        <v>4637</v>
      </c>
      <c r="T2671">
        <v>0</v>
      </c>
      <c r="U2671" s="6">
        <v>2184</v>
      </c>
      <c r="V2671">
        <v>0</v>
      </c>
      <c r="W2671">
        <v>0</v>
      </c>
      <c r="X2671">
        <v>0</v>
      </c>
      <c r="Y2671" s="6">
        <v>47.7</v>
      </c>
      <c r="Z2671">
        <v>0.752</v>
      </c>
      <c r="AA2671">
        <v>0.11799999999999999</v>
      </c>
      <c r="AB2671">
        <v>8.4000000000000005E-2</v>
      </c>
      <c r="AC2671">
        <v>6</v>
      </c>
      <c r="AD2671" s="6">
        <v>99</v>
      </c>
      <c r="AE2671" s="6">
        <v>40</v>
      </c>
      <c r="AF2671" s="6">
        <v>0</v>
      </c>
      <c r="AG2671" s="6">
        <v>94.42</v>
      </c>
      <c r="AH2671" s="6">
        <v>119.94</v>
      </c>
      <c r="AI2671" s="6">
        <f t="shared" si="82"/>
        <v>25.519999999999996</v>
      </c>
      <c r="AJ2671" s="5">
        <f t="shared" si="83"/>
        <v>0.21277305319326326</v>
      </c>
    </row>
    <row r="2672" spans="1:36">
      <c r="A2672" t="s">
        <v>431</v>
      </c>
      <c r="B2672" t="s">
        <v>2957</v>
      </c>
      <c r="C2672" t="s">
        <v>120</v>
      </c>
      <c r="D2672" t="s">
        <v>60</v>
      </c>
      <c r="E2672" t="s">
        <v>55</v>
      </c>
      <c r="F2672">
        <v>0</v>
      </c>
      <c r="G2672">
        <v>2255</v>
      </c>
      <c r="H2672">
        <v>1</v>
      </c>
      <c r="I2672" t="s">
        <v>181</v>
      </c>
      <c r="J2672">
        <v>3</v>
      </c>
      <c r="K2672" s="6">
        <v>8.65</v>
      </c>
      <c r="L2672" t="s">
        <v>200</v>
      </c>
      <c r="M2672">
        <v>1</v>
      </c>
      <c r="N2672" t="s">
        <v>175</v>
      </c>
      <c r="O2672">
        <v>1</v>
      </c>
      <c r="P2672">
        <v>0</v>
      </c>
      <c r="Q2672" s="6">
        <v>38</v>
      </c>
      <c r="R2672">
        <v>0</v>
      </c>
      <c r="S2672" s="6">
        <v>0</v>
      </c>
      <c r="T2672">
        <v>0</v>
      </c>
      <c r="U2672" s="6">
        <v>1256</v>
      </c>
      <c r="V2672">
        <v>0</v>
      </c>
      <c r="W2672">
        <v>0</v>
      </c>
      <c r="X2672">
        <v>0</v>
      </c>
      <c r="Y2672" s="6">
        <v>47.7</v>
      </c>
      <c r="Z2672">
        <v>0.752</v>
      </c>
      <c r="AA2672">
        <v>0.11799999999999999</v>
      </c>
      <c r="AB2672">
        <v>8.4000000000000005E-2</v>
      </c>
      <c r="AC2672">
        <v>6</v>
      </c>
      <c r="AD2672" s="6">
        <v>139</v>
      </c>
      <c r="AE2672" s="6">
        <v>0</v>
      </c>
      <c r="AF2672" s="6">
        <v>0</v>
      </c>
      <c r="AG2672" s="6">
        <v>127.2</v>
      </c>
      <c r="AH2672" s="6">
        <v>159.47999999999999</v>
      </c>
      <c r="AI2672" s="6">
        <f t="shared" si="82"/>
        <v>32.279999999999987</v>
      </c>
      <c r="AJ2672" s="5">
        <f t="shared" si="83"/>
        <v>0.20240782543265606</v>
      </c>
    </row>
    <row r="2673" spans="1:36">
      <c r="A2673" t="s">
        <v>311</v>
      </c>
      <c r="B2673" t="s">
        <v>2958</v>
      </c>
      <c r="C2673" t="s">
        <v>120</v>
      </c>
      <c r="D2673" t="s">
        <v>60</v>
      </c>
      <c r="E2673" t="s">
        <v>55</v>
      </c>
      <c r="F2673">
        <v>0</v>
      </c>
      <c r="G2673">
        <v>2255</v>
      </c>
      <c r="H2673">
        <v>1</v>
      </c>
      <c r="I2673" t="s">
        <v>173</v>
      </c>
      <c r="J2673">
        <v>1</v>
      </c>
      <c r="K2673" s="6">
        <v>2.0299999999999998</v>
      </c>
      <c r="L2673" t="s">
        <v>200</v>
      </c>
      <c r="M2673">
        <v>1</v>
      </c>
      <c r="N2673" t="s">
        <v>182</v>
      </c>
      <c r="O2673">
        <v>3</v>
      </c>
      <c r="P2673">
        <v>0</v>
      </c>
      <c r="Q2673" s="6">
        <v>98.2</v>
      </c>
      <c r="R2673">
        <v>0</v>
      </c>
      <c r="S2673" s="6">
        <v>0</v>
      </c>
      <c r="T2673">
        <v>0</v>
      </c>
      <c r="U2673" s="6">
        <v>1092</v>
      </c>
      <c r="V2673">
        <v>0</v>
      </c>
      <c r="W2673">
        <v>0</v>
      </c>
      <c r="X2673">
        <v>0</v>
      </c>
      <c r="Y2673" s="6">
        <v>47.7</v>
      </c>
      <c r="Z2673">
        <v>0.752</v>
      </c>
      <c r="AA2673">
        <v>0.11799999999999999</v>
      </c>
      <c r="AB2673">
        <v>8.4000000000000005E-2</v>
      </c>
      <c r="AC2673">
        <v>6</v>
      </c>
      <c r="AD2673" s="6">
        <v>99</v>
      </c>
      <c r="AE2673" s="6">
        <v>0</v>
      </c>
      <c r="AF2673" s="6">
        <v>0</v>
      </c>
      <c r="AG2673" s="6">
        <v>87.5</v>
      </c>
      <c r="AH2673" s="6">
        <v>109.83</v>
      </c>
      <c r="AI2673" s="6">
        <f t="shared" si="82"/>
        <v>22.33</v>
      </c>
      <c r="AJ2673" s="5">
        <f t="shared" si="83"/>
        <v>0.20331421287444232</v>
      </c>
    </row>
    <row r="2674" spans="1:36">
      <c r="A2674" t="s">
        <v>348</v>
      </c>
      <c r="B2674" t="s">
        <v>2959</v>
      </c>
      <c r="C2674" t="s">
        <v>120</v>
      </c>
      <c r="D2674" t="s">
        <v>60</v>
      </c>
      <c r="E2674" t="s">
        <v>55</v>
      </c>
      <c r="F2674">
        <v>0</v>
      </c>
      <c r="G2674">
        <v>2255</v>
      </c>
      <c r="H2674">
        <v>1.22</v>
      </c>
      <c r="I2674" t="s">
        <v>173</v>
      </c>
      <c r="J2674">
        <v>1</v>
      </c>
      <c r="K2674" s="6">
        <v>1.17</v>
      </c>
      <c r="L2674" t="s">
        <v>200</v>
      </c>
      <c r="M2674">
        <v>1</v>
      </c>
      <c r="N2674" t="s">
        <v>175</v>
      </c>
      <c r="O2674">
        <v>1</v>
      </c>
      <c r="P2674">
        <v>0</v>
      </c>
      <c r="Q2674" s="6">
        <v>32.700000000000003</v>
      </c>
      <c r="R2674">
        <v>1</v>
      </c>
      <c r="S2674" s="6">
        <v>1568</v>
      </c>
      <c r="T2674">
        <v>0</v>
      </c>
      <c r="U2674" s="6">
        <v>2586</v>
      </c>
      <c r="V2674">
        <v>0</v>
      </c>
      <c r="W2674">
        <v>0</v>
      </c>
      <c r="X2674">
        <v>0</v>
      </c>
      <c r="Y2674" s="6">
        <v>47.7</v>
      </c>
      <c r="Z2674">
        <v>0.752</v>
      </c>
      <c r="AA2674">
        <v>0.11799999999999999</v>
      </c>
      <c r="AB2674">
        <v>8.4000000000000005E-2</v>
      </c>
      <c r="AC2674">
        <v>6</v>
      </c>
      <c r="AD2674" s="6">
        <v>99</v>
      </c>
      <c r="AE2674" s="6">
        <v>25</v>
      </c>
      <c r="AF2674" s="6">
        <v>0</v>
      </c>
      <c r="AG2674" s="6">
        <v>88.1</v>
      </c>
      <c r="AH2674" s="6">
        <v>110.32</v>
      </c>
      <c r="AI2674" s="6">
        <f t="shared" si="82"/>
        <v>22.22</v>
      </c>
      <c r="AJ2674" s="5">
        <f t="shared" si="83"/>
        <v>0.20141406816533719</v>
      </c>
    </row>
    <row r="2675" spans="1:36">
      <c r="A2675" t="s">
        <v>602</v>
      </c>
      <c r="B2675" t="s">
        <v>2960</v>
      </c>
      <c r="C2675" t="s">
        <v>120</v>
      </c>
      <c r="D2675" t="s">
        <v>60</v>
      </c>
      <c r="E2675" t="s">
        <v>55</v>
      </c>
      <c r="F2675">
        <v>0</v>
      </c>
      <c r="G2675">
        <v>2255</v>
      </c>
      <c r="H2675">
        <v>1</v>
      </c>
      <c r="I2675" t="s">
        <v>220</v>
      </c>
      <c r="J2675">
        <v>2</v>
      </c>
      <c r="K2675" s="6">
        <v>4.96</v>
      </c>
      <c r="L2675" t="s">
        <v>174</v>
      </c>
      <c r="M2675">
        <v>0</v>
      </c>
      <c r="N2675" t="s">
        <v>182</v>
      </c>
      <c r="O2675">
        <v>3</v>
      </c>
      <c r="P2675">
        <v>0</v>
      </c>
      <c r="Q2675" s="6">
        <v>72.8</v>
      </c>
      <c r="R2675">
        <v>1</v>
      </c>
      <c r="S2675" s="6">
        <v>4756</v>
      </c>
      <c r="T2675">
        <v>0</v>
      </c>
      <c r="U2675" s="6">
        <v>1107</v>
      </c>
      <c r="V2675">
        <v>0</v>
      </c>
      <c r="W2675">
        <v>0</v>
      </c>
      <c r="X2675">
        <v>0</v>
      </c>
      <c r="Y2675" s="6">
        <v>47.7</v>
      </c>
      <c r="Z2675">
        <v>0.752</v>
      </c>
      <c r="AA2675">
        <v>0.11799999999999999</v>
      </c>
      <c r="AB2675">
        <v>8.4000000000000005E-2</v>
      </c>
      <c r="AC2675">
        <v>6</v>
      </c>
      <c r="AD2675" s="6">
        <v>50</v>
      </c>
      <c r="AE2675" s="6">
        <v>40</v>
      </c>
      <c r="AF2675" s="6">
        <v>0</v>
      </c>
      <c r="AG2675" s="6">
        <v>71.180000000000007</v>
      </c>
      <c r="AH2675" s="6">
        <v>92.86</v>
      </c>
      <c r="AI2675" s="6">
        <f t="shared" si="82"/>
        <v>21.679999999999993</v>
      </c>
      <c r="AJ2675" s="5">
        <f t="shared" si="83"/>
        <v>0.23346973939263399</v>
      </c>
    </row>
    <row r="2676" spans="1:36">
      <c r="A2676" t="s">
        <v>521</v>
      </c>
      <c r="B2676" t="s">
        <v>2961</v>
      </c>
      <c r="C2676" t="s">
        <v>120</v>
      </c>
      <c r="D2676" t="s">
        <v>60</v>
      </c>
      <c r="E2676" t="s">
        <v>55</v>
      </c>
      <c r="F2676">
        <v>0</v>
      </c>
      <c r="G2676">
        <v>2255</v>
      </c>
      <c r="H2676">
        <v>1</v>
      </c>
      <c r="I2676" t="s">
        <v>220</v>
      </c>
      <c r="J2676">
        <v>2</v>
      </c>
      <c r="K2676" s="6">
        <v>3.05</v>
      </c>
      <c r="L2676" t="s">
        <v>174</v>
      </c>
      <c r="M2676">
        <v>0</v>
      </c>
      <c r="N2676" t="s">
        <v>182</v>
      </c>
      <c r="O2676">
        <v>3</v>
      </c>
      <c r="P2676">
        <v>0</v>
      </c>
      <c r="Q2676" s="6">
        <v>67.5</v>
      </c>
      <c r="R2676">
        <v>1</v>
      </c>
      <c r="S2676" s="6">
        <v>1263</v>
      </c>
      <c r="T2676">
        <v>0</v>
      </c>
      <c r="U2676" s="6">
        <v>1670</v>
      </c>
      <c r="V2676">
        <v>0</v>
      </c>
      <c r="W2676">
        <v>0</v>
      </c>
      <c r="X2676">
        <v>0</v>
      </c>
      <c r="Y2676" s="6">
        <v>47.7</v>
      </c>
      <c r="Z2676">
        <v>0.752</v>
      </c>
      <c r="AA2676">
        <v>0.11799999999999999</v>
      </c>
      <c r="AB2676">
        <v>8.4000000000000005E-2</v>
      </c>
      <c r="AC2676">
        <v>6</v>
      </c>
      <c r="AD2676" s="6">
        <v>50</v>
      </c>
      <c r="AE2676" s="6">
        <v>25</v>
      </c>
      <c r="AF2676" s="6">
        <v>0</v>
      </c>
      <c r="AG2676" s="6">
        <v>65.86</v>
      </c>
      <c r="AH2676" s="6">
        <v>83.19</v>
      </c>
      <c r="AI2676" s="6">
        <f t="shared" si="82"/>
        <v>17.329999999999998</v>
      </c>
      <c r="AJ2676" s="5">
        <f t="shared" si="83"/>
        <v>0.20831830748888086</v>
      </c>
    </row>
    <row r="2677" spans="1:36">
      <c r="A2677" t="s">
        <v>238</v>
      </c>
      <c r="B2677" t="s">
        <v>2962</v>
      </c>
      <c r="C2677" t="s">
        <v>120</v>
      </c>
      <c r="D2677" t="s">
        <v>60</v>
      </c>
      <c r="E2677" t="s">
        <v>55</v>
      </c>
      <c r="F2677">
        <v>0</v>
      </c>
      <c r="G2677">
        <v>2255</v>
      </c>
      <c r="H2677">
        <v>1</v>
      </c>
      <c r="I2677" t="s">
        <v>173</v>
      </c>
      <c r="J2677">
        <v>1</v>
      </c>
      <c r="K2677" s="6">
        <v>2.36</v>
      </c>
      <c r="L2677" t="s">
        <v>200</v>
      </c>
      <c r="M2677">
        <v>1</v>
      </c>
      <c r="N2677" t="s">
        <v>175</v>
      </c>
      <c r="O2677">
        <v>1</v>
      </c>
      <c r="P2677">
        <v>0</v>
      </c>
      <c r="Q2677" s="6">
        <v>25.1</v>
      </c>
      <c r="R2677">
        <v>1</v>
      </c>
      <c r="S2677" s="6">
        <v>1594</v>
      </c>
      <c r="T2677">
        <v>0</v>
      </c>
      <c r="U2677" s="6">
        <v>2309</v>
      </c>
      <c r="V2677">
        <v>0</v>
      </c>
      <c r="W2677">
        <v>0</v>
      </c>
      <c r="X2677">
        <v>0</v>
      </c>
      <c r="Y2677" s="6">
        <v>47.7</v>
      </c>
      <c r="Z2677">
        <v>0.752</v>
      </c>
      <c r="AA2677">
        <v>0.11799999999999999</v>
      </c>
      <c r="AB2677">
        <v>8.4000000000000005E-2</v>
      </c>
      <c r="AC2677">
        <v>6</v>
      </c>
      <c r="AD2677" s="6">
        <v>99</v>
      </c>
      <c r="AE2677" s="6">
        <v>25</v>
      </c>
      <c r="AF2677" s="6">
        <v>0</v>
      </c>
      <c r="AG2677" s="6">
        <v>79.69</v>
      </c>
      <c r="AH2677" s="6">
        <v>103.25</v>
      </c>
      <c r="AI2677" s="6">
        <f t="shared" si="82"/>
        <v>23.560000000000002</v>
      </c>
      <c r="AJ2677" s="5">
        <f t="shared" si="83"/>
        <v>0.22818401937046007</v>
      </c>
    </row>
    <row r="2678" spans="1:36">
      <c r="A2678" t="s">
        <v>602</v>
      </c>
      <c r="B2678" t="s">
        <v>2963</v>
      </c>
      <c r="C2678" t="s">
        <v>120</v>
      </c>
      <c r="D2678" t="s">
        <v>60</v>
      </c>
      <c r="E2678" t="s">
        <v>55</v>
      </c>
      <c r="F2678">
        <v>0</v>
      </c>
      <c r="G2678">
        <v>2255</v>
      </c>
      <c r="H2678">
        <v>1</v>
      </c>
      <c r="I2678" t="s">
        <v>173</v>
      </c>
      <c r="J2678">
        <v>1</v>
      </c>
      <c r="K2678" s="6">
        <v>2.82</v>
      </c>
      <c r="L2678" t="s">
        <v>174</v>
      </c>
      <c r="M2678">
        <v>0</v>
      </c>
      <c r="N2678" t="s">
        <v>182</v>
      </c>
      <c r="O2678">
        <v>3</v>
      </c>
      <c r="P2678">
        <v>0</v>
      </c>
      <c r="Q2678" s="6">
        <v>100.1</v>
      </c>
      <c r="R2678">
        <v>0</v>
      </c>
      <c r="S2678" s="6">
        <v>0</v>
      </c>
      <c r="T2678">
        <v>0</v>
      </c>
      <c r="U2678" s="6">
        <v>1256</v>
      </c>
      <c r="V2678">
        <v>0</v>
      </c>
      <c r="W2678">
        <v>0</v>
      </c>
      <c r="X2678">
        <v>0</v>
      </c>
      <c r="Y2678" s="6">
        <v>47.7</v>
      </c>
      <c r="Z2678">
        <v>0.752</v>
      </c>
      <c r="AA2678">
        <v>0.11799999999999999</v>
      </c>
      <c r="AB2678">
        <v>8.4000000000000005E-2</v>
      </c>
      <c r="AC2678">
        <v>6</v>
      </c>
      <c r="AD2678" s="6">
        <v>50</v>
      </c>
      <c r="AE2678" s="6">
        <v>0</v>
      </c>
      <c r="AF2678" s="6">
        <v>0</v>
      </c>
      <c r="AG2678" s="6">
        <v>62.61</v>
      </c>
      <c r="AH2678" s="6">
        <v>79.11</v>
      </c>
      <c r="AI2678" s="6">
        <f t="shared" si="82"/>
        <v>16.5</v>
      </c>
      <c r="AJ2678" s="5">
        <f t="shared" si="83"/>
        <v>0.20857034508911643</v>
      </c>
    </row>
    <row r="2679" spans="1:36">
      <c r="A2679" t="s">
        <v>218</v>
      </c>
      <c r="B2679" t="s">
        <v>2964</v>
      </c>
      <c r="C2679" t="s">
        <v>120</v>
      </c>
      <c r="D2679" t="s">
        <v>60</v>
      </c>
      <c r="E2679" t="s">
        <v>55</v>
      </c>
      <c r="F2679">
        <v>0</v>
      </c>
      <c r="G2679">
        <v>2255</v>
      </c>
      <c r="H2679">
        <v>1.22</v>
      </c>
      <c r="I2679" t="s">
        <v>220</v>
      </c>
      <c r="J2679">
        <v>2</v>
      </c>
      <c r="K2679" s="6">
        <v>4.62</v>
      </c>
      <c r="L2679" t="s">
        <v>200</v>
      </c>
      <c r="M2679">
        <v>1</v>
      </c>
      <c r="N2679" t="s">
        <v>187</v>
      </c>
      <c r="O2679">
        <v>2</v>
      </c>
      <c r="P2679">
        <v>0</v>
      </c>
      <c r="Q2679" s="6">
        <v>51.6</v>
      </c>
      <c r="R2679">
        <v>1</v>
      </c>
      <c r="S2679" s="6">
        <v>1965</v>
      </c>
      <c r="T2679">
        <v>0</v>
      </c>
      <c r="U2679" s="6">
        <v>3302</v>
      </c>
      <c r="V2679">
        <v>0</v>
      </c>
      <c r="W2679">
        <v>0</v>
      </c>
      <c r="X2679">
        <v>0</v>
      </c>
      <c r="Y2679" s="6">
        <v>47.7</v>
      </c>
      <c r="Z2679">
        <v>0.752</v>
      </c>
      <c r="AA2679">
        <v>0.11799999999999999</v>
      </c>
      <c r="AB2679">
        <v>8.4000000000000005E-2</v>
      </c>
      <c r="AC2679">
        <v>6</v>
      </c>
      <c r="AD2679" s="6">
        <v>119</v>
      </c>
      <c r="AE2679" s="6">
        <v>25</v>
      </c>
      <c r="AF2679" s="6">
        <v>0</v>
      </c>
      <c r="AG2679" s="6">
        <v>102.87</v>
      </c>
      <c r="AH2679" s="6">
        <v>130.21</v>
      </c>
      <c r="AI2679" s="6">
        <f t="shared" si="82"/>
        <v>27.340000000000003</v>
      </c>
      <c r="AJ2679" s="5">
        <f t="shared" si="83"/>
        <v>0.20996851240304126</v>
      </c>
    </row>
    <row r="2680" spans="1:36">
      <c r="A2680" t="s">
        <v>230</v>
      </c>
      <c r="B2680" t="s">
        <v>2965</v>
      </c>
      <c r="C2680" t="s">
        <v>120</v>
      </c>
      <c r="D2680" t="s">
        <v>60</v>
      </c>
      <c r="E2680" t="s">
        <v>55</v>
      </c>
      <c r="F2680">
        <v>0</v>
      </c>
      <c r="G2680">
        <v>2255</v>
      </c>
      <c r="H2680">
        <v>1</v>
      </c>
      <c r="I2680" t="s">
        <v>173</v>
      </c>
      <c r="J2680">
        <v>1</v>
      </c>
      <c r="K2680" s="6">
        <v>1.61</v>
      </c>
      <c r="L2680" t="s">
        <v>200</v>
      </c>
      <c r="M2680">
        <v>1</v>
      </c>
      <c r="N2680" t="s">
        <v>175</v>
      </c>
      <c r="O2680">
        <v>1</v>
      </c>
      <c r="P2680">
        <v>0</v>
      </c>
      <c r="Q2680" s="6">
        <v>47.1</v>
      </c>
      <c r="R2680">
        <v>1</v>
      </c>
      <c r="S2680" s="6">
        <v>692</v>
      </c>
      <c r="T2680">
        <v>0</v>
      </c>
      <c r="U2680" s="6">
        <v>631</v>
      </c>
      <c r="V2680">
        <v>0</v>
      </c>
      <c r="W2680">
        <v>0</v>
      </c>
      <c r="X2680">
        <v>0</v>
      </c>
      <c r="Y2680" s="6">
        <v>47.7</v>
      </c>
      <c r="Z2680">
        <v>0.752</v>
      </c>
      <c r="AA2680">
        <v>0.11799999999999999</v>
      </c>
      <c r="AB2680">
        <v>8.4000000000000005E-2</v>
      </c>
      <c r="AC2680">
        <v>6</v>
      </c>
      <c r="AD2680" s="6">
        <v>99</v>
      </c>
      <c r="AE2680" s="6">
        <v>25</v>
      </c>
      <c r="AF2680" s="6">
        <v>0</v>
      </c>
      <c r="AG2680" s="6">
        <v>81.67</v>
      </c>
      <c r="AH2680" s="6">
        <v>103.25</v>
      </c>
      <c r="AI2680" s="6">
        <f t="shared" si="82"/>
        <v>21.58</v>
      </c>
      <c r="AJ2680" s="5">
        <f t="shared" si="83"/>
        <v>0.20900726392251814</v>
      </c>
    </row>
    <row r="2681" spans="1:36">
      <c r="A2681" t="s">
        <v>215</v>
      </c>
      <c r="B2681" t="s">
        <v>2966</v>
      </c>
      <c r="C2681" t="s">
        <v>120</v>
      </c>
      <c r="D2681" t="s">
        <v>60</v>
      </c>
      <c r="E2681" t="s">
        <v>55</v>
      </c>
      <c r="F2681">
        <v>0</v>
      </c>
      <c r="G2681">
        <v>2255</v>
      </c>
      <c r="H2681">
        <v>1.22</v>
      </c>
      <c r="I2681" t="s">
        <v>173</v>
      </c>
      <c r="J2681">
        <v>1</v>
      </c>
      <c r="K2681" s="6">
        <v>1.54</v>
      </c>
      <c r="L2681" t="s">
        <v>200</v>
      </c>
      <c r="M2681">
        <v>1</v>
      </c>
      <c r="N2681" t="s">
        <v>175</v>
      </c>
      <c r="O2681">
        <v>1</v>
      </c>
      <c r="P2681">
        <v>0</v>
      </c>
      <c r="Q2681" s="6">
        <v>25.6</v>
      </c>
      <c r="R2681">
        <v>1</v>
      </c>
      <c r="S2681" s="6">
        <v>679</v>
      </c>
      <c r="T2681">
        <v>0</v>
      </c>
      <c r="U2681" s="6">
        <v>798</v>
      </c>
      <c r="V2681">
        <v>0</v>
      </c>
      <c r="W2681">
        <v>0</v>
      </c>
      <c r="X2681">
        <v>0</v>
      </c>
      <c r="Y2681" s="6">
        <v>47.7</v>
      </c>
      <c r="Z2681">
        <v>0.752</v>
      </c>
      <c r="AA2681">
        <v>0.11799999999999999</v>
      </c>
      <c r="AB2681">
        <v>8.4000000000000005E-2</v>
      </c>
      <c r="AC2681">
        <v>6</v>
      </c>
      <c r="AD2681" s="6">
        <v>99</v>
      </c>
      <c r="AE2681" s="6">
        <v>25</v>
      </c>
      <c r="AF2681" s="6">
        <v>0</v>
      </c>
      <c r="AG2681" s="6">
        <v>87.85</v>
      </c>
      <c r="AH2681" s="6">
        <v>114.12</v>
      </c>
      <c r="AI2681" s="6">
        <f t="shared" si="82"/>
        <v>26.27000000000001</v>
      </c>
      <c r="AJ2681" s="5">
        <f t="shared" si="83"/>
        <v>0.23019628461268848</v>
      </c>
    </row>
    <row r="2682" spans="1:36">
      <c r="A2682" t="s">
        <v>521</v>
      </c>
      <c r="B2682" t="s">
        <v>2967</v>
      </c>
      <c r="C2682" t="s">
        <v>120</v>
      </c>
      <c r="D2682" t="s">
        <v>60</v>
      </c>
      <c r="E2682" t="s">
        <v>55</v>
      </c>
      <c r="F2682">
        <v>0</v>
      </c>
      <c r="G2682">
        <v>2255</v>
      </c>
      <c r="H2682">
        <v>1</v>
      </c>
      <c r="I2682" t="s">
        <v>181</v>
      </c>
      <c r="J2682">
        <v>3</v>
      </c>
      <c r="K2682" s="6">
        <v>9.6199999999999992</v>
      </c>
      <c r="L2682" t="s">
        <v>200</v>
      </c>
      <c r="M2682">
        <v>1</v>
      </c>
      <c r="N2682" t="s">
        <v>182</v>
      </c>
      <c r="O2682">
        <v>3</v>
      </c>
      <c r="P2682">
        <v>0</v>
      </c>
      <c r="Q2682" s="6">
        <v>119.4</v>
      </c>
      <c r="R2682">
        <v>0</v>
      </c>
      <c r="S2682" s="6">
        <v>0</v>
      </c>
      <c r="T2682">
        <v>0</v>
      </c>
      <c r="U2682" s="6">
        <v>1061</v>
      </c>
      <c r="V2682">
        <v>0</v>
      </c>
      <c r="W2682">
        <v>0</v>
      </c>
      <c r="X2682">
        <v>0</v>
      </c>
      <c r="Y2682" s="6">
        <v>47.7</v>
      </c>
      <c r="Z2682">
        <v>0.752</v>
      </c>
      <c r="AA2682">
        <v>0.11799999999999999</v>
      </c>
      <c r="AB2682">
        <v>8.4000000000000005E-2</v>
      </c>
      <c r="AC2682">
        <v>6</v>
      </c>
      <c r="AD2682" s="6">
        <v>139</v>
      </c>
      <c r="AE2682" s="6">
        <v>0</v>
      </c>
      <c r="AF2682" s="6">
        <v>0</v>
      </c>
      <c r="AG2682" s="6">
        <v>136.38</v>
      </c>
      <c r="AH2682" s="6">
        <v>173.85</v>
      </c>
      <c r="AI2682" s="6">
        <f t="shared" si="82"/>
        <v>37.47</v>
      </c>
      <c r="AJ2682" s="5">
        <f t="shared" si="83"/>
        <v>0.21553062985332183</v>
      </c>
    </row>
    <row r="2683" spans="1:36">
      <c r="A2683" t="s">
        <v>353</v>
      </c>
      <c r="B2683" t="s">
        <v>2968</v>
      </c>
      <c r="C2683" t="s">
        <v>120</v>
      </c>
      <c r="D2683" t="s">
        <v>60</v>
      </c>
      <c r="E2683" t="s">
        <v>55</v>
      </c>
      <c r="F2683">
        <v>0</v>
      </c>
      <c r="G2683">
        <v>2255</v>
      </c>
      <c r="H2683">
        <v>1.22</v>
      </c>
      <c r="I2683" t="s">
        <v>220</v>
      </c>
      <c r="J2683">
        <v>2</v>
      </c>
      <c r="K2683" s="6">
        <v>4.87</v>
      </c>
      <c r="L2683" t="s">
        <v>200</v>
      </c>
      <c r="M2683">
        <v>1</v>
      </c>
      <c r="N2683" t="s">
        <v>187</v>
      </c>
      <c r="O2683">
        <v>2</v>
      </c>
      <c r="P2683">
        <v>0</v>
      </c>
      <c r="Q2683" s="6">
        <v>87.2</v>
      </c>
      <c r="R2683">
        <v>1</v>
      </c>
      <c r="S2683" s="6">
        <v>200</v>
      </c>
      <c r="T2683">
        <v>0</v>
      </c>
      <c r="U2683" s="6">
        <v>1621</v>
      </c>
      <c r="V2683">
        <v>0</v>
      </c>
      <c r="W2683">
        <v>0</v>
      </c>
      <c r="X2683">
        <v>0</v>
      </c>
      <c r="Y2683" s="6">
        <v>47.7</v>
      </c>
      <c r="Z2683">
        <v>0.752</v>
      </c>
      <c r="AA2683">
        <v>0.11799999999999999</v>
      </c>
      <c r="AB2683">
        <v>8.4000000000000005E-2</v>
      </c>
      <c r="AC2683">
        <v>6</v>
      </c>
      <c r="AD2683" s="6">
        <v>119</v>
      </c>
      <c r="AE2683" s="6">
        <v>25</v>
      </c>
      <c r="AF2683" s="6">
        <v>0</v>
      </c>
      <c r="AG2683" s="6">
        <v>109.08</v>
      </c>
      <c r="AH2683" s="6">
        <v>137.66999999999999</v>
      </c>
      <c r="AI2683" s="6">
        <f t="shared" si="82"/>
        <v>28.589999999999989</v>
      </c>
      <c r="AJ2683" s="5">
        <f t="shared" si="83"/>
        <v>0.20767051645238607</v>
      </c>
    </row>
    <row r="2684" spans="1:36">
      <c r="A2684" t="s">
        <v>381</v>
      </c>
      <c r="B2684" t="s">
        <v>2969</v>
      </c>
      <c r="C2684" t="s">
        <v>120</v>
      </c>
      <c r="D2684" t="s">
        <v>60</v>
      </c>
      <c r="E2684" t="s">
        <v>55</v>
      </c>
      <c r="F2684">
        <v>0</v>
      </c>
      <c r="G2684">
        <v>2255</v>
      </c>
      <c r="H2684">
        <v>1</v>
      </c>
      <c r="I2684" t="s">
        <v>173</v>
      </c>
      <c r="J2684">
        <v>1</v>
      </c>
      <c r="K2684" s="6">
        <v>2.29</v>
      </c>
      <c r="L2684" t="s">
        <v>200</v>
      </c>
      <c r="M2684">
        <v>1</v>
      </c>
      <c r="N2684" t="s">
        <v>187</v>
      </c>
      <c r="O2684">
        <v>2</v>
      </c>
      <c r="P2684">
        <v>0</v>
      </c>
      <c r="Q2684" s="6">
        <v>46.9</v>
      </c>
      <c r="R2684">
        <v>1</v>
      </c>
      <c r="S2684" s="6">
        <v>744</v>
      </c>
      <c r="T2684">
        <v>0</v>
      </c>
      <c r="U2684" s="6">
        <v>1517</v>
      </c>
      <c r="V2684">
        <v>0</v>
      </c>
      <c r="W2684">
        <v>0</v>
      </c>
      <c r="X2684">
        <v>0</v>
      </c>
      <c r="Y2684" s="6">
        <v>47.7</v>
      </c>
      <c r="Z2684">
        <v>0.752</v>
      </c>
      <c r="AA2684">
        <v>0.11799999999999999</v>
      </c>
      <c r="AB2684">
        <v>8.4000000000000005E-2</v>
      </c>
      <c r="AC2684">
        <v>6</v>
      </c>
      <c r="AD2684" s="6">
        <v>99</v>
      </c>
      <c r="AE2684" s="6">
        <v>25</v>
      </c>
      <c r="AF2684" s="6">
        <v>0</v>
      </c>
      <c r="AG2684" s="6">
        <v>89.4</v>
      </c>
      <c r="AH2684" s="6">
        <v>111.88</v>
      </c>
      <c r="AI2684" s="6">
        <f t="shared" si="82"/>
        <v>22.47999999999999</v>
      </c>
      <c r="AJ2684" s="5">
        <f t="shared" si="83"/>
        <v>0.20092956739363596</v>
      </c>
    </row>
    <row r="2685" spans="1:36">
      <c r="A2685" t="s">
        <v>192</v>
      </c>
      <c r="B2685" t="s">
        <v>2970</v>
      </c>
      <c r="C2685" t="s">
        <v>120</v>
      </c>
      <c r="D2685" t="s">
        <v>60</v>
      </c>
      <c r="E2685" t="s">
        <v>55</v>
      </c>
      <c r="F2685">
        <v>0</v>
      </c>
      <c r="G2685">
        <v>2255</v>
      </c>
      <c r="H2685">
        <v>1</v>
      </c>
      <c r="I2685" t="s">
        <v>220</v>
      </c>
      <c r="J2685">
        <v>2</v>
      </c>
      <c r="K2685" s="6">
        <v>4.8</v>
      </c>
      <c r="L2685" t="s">
        <v>200</v>
      </c>
      <c r="M2685">
        <v>1</v>
      </c>
      <c r="N2685" t="s">
        <v>175</v>
      </c>
      <c r="O2685">
        <v>1</v>
      </c>
      <c r="P2685">
        <v>0</v>
      </c>
      <c r="Q2685" s="6">
        <v>49.7</v>
      </c>
      <c r="R2685">
        <v>0</v>
      </c>
      <c r="S2685" s="6">
        <v>0</v>
      </c>
      <c r="T2685">
        <v>0</v>
      </c>
      <c r="U2685" s="6">
        <v>1772</v>
      </c>
      <c r="V2685">
        <v>0</v>
      </c>
      <c r="W2685">
        <v>0</v>
      </c>
      <c r="X2685">
        <v>0</v>
      </c>
      <c r="Y2685" s="6">
        <v>47.7</v>
      </c>
      <c r="Z2685">
        <v>0.752</v>
      </c>
      <c r="AA2685">
        <v>0.11799999999999999</v>
      </c>
      <c r="AB2685">
        <v>8.4000000000000005E-2</v>
      </c>
      <c r="AC2685">
        <v>6</v>
      </c>
      <c r="AD2685" s="6">
        <v>119</v>
      </c>
      <c r="AE2685" s="6">
        <v>0</v>
      </c>
      <c r="AF2685" s="6">
        <v>0</v>
      </c>
      <c r="AG2685" s="6">
        <v>88.21</v>
      </c>
      <c r="AH2685" s="6">
        <v>121.5</v>
      </c>
      <c r="AI2685" s="6">
        <f t="shared" si="82"/>
        <v>33.290000000000006</v>
      </c>
      <c r="AJ2685" s="5">
        <f t="shared" si="83"/>
        <v>0.27399176954732518</v>
      </c>
    </row>
    <row r="2686" spans="1:36">
      <c r="A2686" t="s">
        <v>238</v>
      </c>
      <c r="B2686" t="s">
        <v>2971</v>
      </c>
      <c r="C2686" t="s">
        <v>120</v>
      </c>
      <c r="D2686" t="s">
        <v>60</v>
      </c>
      <c r="E2686" t="s">
        <v>55</v>
      </c>
      <c r="F2686">
        <v>0</v>
      </c>
      <c r="G2686">
        <v>2255</v>
      </c>
      <c r="H2686">
        <v>1</v>
      </c>
      <c r="I2686" t="s">
        <v>173</v>
      </c>
      <c r="J2686">
        <v>1</v>
      </c>
      <c r="K2686" s="6">
        <v>2.09</v>
      </c>
      <c r="L2686" t="s">
        <v>174</v>
      </c>
      <c r="M2686">
        <v>0</v>
      </c>
      <c r="N2686" t="s">
        <v>182</v>
      </c>
      <c r="O2686">
        <v>3</v>
      </c>
      <c r="P2686">
        <v>0</v>
      </c>
      <c r="Q2686" s="6">
        <v>106.9</v>
      </c>
      <c r="R2686">
        <v>0</v>
      </c>
      <c r="S2686" s="6">
        <v>0</v>
      </c>
      <c r="T2686">
        <v>0</v>
      </c>
      <c r="U2686" s="6">
        <v>1286</v>
      </c>
      <c r="V2686">
        <v>0</v>
      </c>
      <c r="W2686">
        <v>0</v>
      </c>
      <c r="X2686">
        <v>0</v>
      </c>
      <c r="Y2686" s="6">
        <v>47.7</v>
      </c>
      <c r="Z2686">
        <v>0.752</v>
      </c>
      <c r="AA2686">
        <v>0.11799999999999999</v>
      </c>
      <c r="AB2686">
        <v>8.4000000000000005E-2</v>
      </c>
      <c r="AC2686">
        <v>6</v>
      </c>
      <c r="AD2686" s="6">
        <v>50</v>
      </c>
      <c r="AE2686" s="6">
        <v>0</v>
      </c>
      <c r="AF2686" s="6">
        <v>0</v>
      </c>
      <c r="AG2686" s="6">
        <v>63.26</v>
      </c>
      <c r="AH2686" s="6">
        <v>82.97</v>
      </c>
      <c r="AI2686" s="6">
        <f t="shared" si="82"/>
        <v>19.71</v>
      </c>
      <c r="AJ2686" s="5">
        <f t="shared" si="83"/>
        <v>0.23755574303965291</v>
      </c>
    </row>
    <row r="2687" spans="1:36">
      <c r="A2687" t="s">
        <v>512</v>
      </c>
      <c r="B2687" t="s">
        <v>2972</v>
      </c>
      <c r="C2687" t="s">
        <v>120</v>
      </c>
      <c r="D2687" t="s">
        <v>60</v>
      </c>
      <c r="E2687" t="s">
        <v>55</v>
      </c>
      <c r="F2687">
        <v>0</v>
      </c>
      <c r="G2687">
        <v>2255</v>
      </c>
      <c r="H2687">
        <v>1.22</v>
      </c>
      <c r="I2687" t="s">
        <v>173</v>
      </c>
      <c r="J2687">
        <v>1</v>
      </c>
      <c r="K2687" s="6">
        <v>0.99</v>
      </c>
      <c r="L2687" t="s">
        <v>174</v>
      </c>
      <c r="M2687">
        <v>0</v>
      </c>
      <c r="N2687" t="s">
        <v>175</v>
      </c>
      <c r="O2687">
        <v>1</v>
      </c>
      <c r="P2687">
        <v>0</v>
      </c>
      <c r="Q2687" s="6">
        <v>49.7</v>
      </c>
      <c r="R2687">
        <v>0</v>
      </c>
      <c r="S2687" s="6">
        <v>0</v>
      </c>
      <c r="T2687">
        <v>0</v>
      </c>
      <c r="U2687" s="6">
        <v>2735</v>
      </c>
      <c r="V2687">
        <v>0</v>
      </c>
      <c r="W2687">
        <v>0</v>
      </c>
      <c r="X2687">
        <v>0</v>
      </c>
      <c r="Y2687" s="6">
        <v>47.7</v>
      </c>
      <c r="Z2687">
        <v>0.752</v>
      </c>
      <c r="AA2687">
        <v>0.11799999999999999</v>
      </c>
      <c r="AB2687">
        <v>8.4000000000000005E-2</v>
      </c>
      <c r="AC2687">
        <v>6</v>
      </c>
      <c r="AD2687" s="6">
        <v>50</v>
      </c>
      <c r="AE2687" s="6">
        <v>0</v>
      </c>
      <c r="AF2687" s="6">
        <v>0</v>
      </c>
      <c r="AG2687" s="6">
        <v>54.3</v>
      </c>
      <c r="AH2687" s="6">
        <v>68.14</v>
      </c>
      <c r="AI2687" s="6">
        <f t="shared" si="82"/>
        <v>13.840000000000003</v>
      </c>
      <c r="AJ2687" s="5">
        <f t="shared" si="83"/>
        <v>0.2031112415614911</v>
      </c>
    </row>
    <row r="2688" spans="1:36">
      <c r="A2688" t="s">
        <v>208</v>
      </c>
      <c r="B2688" t="s">
        <v>2973</v>
      </c>
      <c r="C2688" t="s">
        <v>120</v>
      </c>
      <c r="D2688" t="s">
        <v>60</v>
      </c>
      <c r="E2688" t="s">
        <v>55</v>
      </c>
      <c r="F2688">
        <v>0</v>
      </c>
      <c r="G2688">
        <v>2255</v>
      </c>
      <c r="H2688">
        <v>1.22</v>
      </c>
      <c r="I2688" t="s">
        <v>220</v>
      </c>
      <c r="J2688">
        <v>2</v>
      </c>
      <c r="K2688" s="6">
        <v>2</v>
      </c>
      <c r="L2688" t="s">
        <v>200</v>
      </c>
      <c r="M2688">
        <v>1</v>
      </c>
      <c r="N2688" t="s">
        <v>182</v>
      </c>
      <c r="O2688">
        <v>3</v>
      </c>
      <c r="P2688">
        <v>0</v>
      </c>
      <c r="Q2688" s="6">
        <v>103.1</v>
      </c>
      <c r="R2688">
        <v>1</v>
      </c>
      <c r="S2688" s="6">
        <v>4562</v>
      </c>
      <c r="T2688">
        <v>0</v>
      </c>
      <c r="U2688" s="6">
        <v>2405</v>
      </c>
      <c r="V2688">
        <v>1</v>
      </c>
      <c r="W2688">
        <v>0</v>
      </c>
      <c r="X2688">
        <v>0</v>
      </c>
      <c r="Y2688" s="6">
        <v>47.7</v>
      </c>
      <c r="Z2688">
        <v>0.752</v>
      </c>
      <c r="AA2688">
        <v>0.11799999999999999</v>
      </c>
      <c r="AB2688">
        <v>8.4000000000000005E-2</v>
      </c>
      <c r="AC2688">
        <v>6</v>
      </c>
      <c r="AD2688" s="6">
        <v>119</v>
      </c>
      <c r="AE2688" s="6">
        <v>40</v>
      </c>
      <c r="AF2688" s="6">
        <v>0</v>
      </c>
      <c r="AG2688" s="6">
        <v>142.24</v>
      </c>
      <c r="AH2688" s="6">
        <v>177.93</v>
      </c>
      <c r="AI2688" s="6">
        <f t="shared" si="82"/>
        <v>35.69</v>
      </c>
      <c r="AJ2688" s="5">
        <f t="shared" si="83"/>
        <v>0.20058449952228402</v>
      </c>
    </row>
    <row r="2689" spans="1:36">
      <c r="A2689" t="s">
        <v>319</v>
      </c>
      <c r="B2689" t="s">
        <v>2974</v>
      </c>
      <c r="C2689" t="s">
        <v>120</v>
      </c>
      <c r="D2689" t="s">
        <v>60</v>
      </c>
      <c r="E2689" t="s">
        <v>55</v>
      </c>
      <c r="F2689">
        <v>0</v>
      </c>
      <c r="G2689">
        <v>2255</v>
      </c>
      <c r="H2689">
        <v>1.22</v>
      </c>
      <c r="I2689" t="s">
        <v>173</v>
      </c>
      <c r="J2689">
        <v>1</v>
      </c>
      <c r="K2689" s="6">
        <v>1.1000000000000001</v>
      </c>
      <c r="L2689" t="s">
        <v>200</v>
      </c>
      <c r="M2689">
        <v>1</v>
      </c>
      <c r="N2689" t="s">
        <v>182</v>
      </c>
      <c r="O2689">
        <v>3</v>
      </c>
      <c r="P2689">
        <v>0</v>
      </c>
      <c r="Q2689" s="6">
        <v>91.2</v>
      </c>
      <c r="R2689">
        <v>0</v>
      </c>
      <c r="S2689" s="6">
        <v>0</v>
      </c>
      <c r="T2689">
        <v>0</v>
      </c>
      <c r="U2689" s="6">
        <v>1066</v>
      </c>
      <c r="V2689">
        <v>1</v>
      </c>
      <c r="W2689">
        <v>0</v>
      </c>
      <c r="X2689">
        <v>0</v>
      </c>
      <c r="Y2689" s="6">
        <v>47.7</v>
      </c>
      <c r="Z2689">
        <v>0.752</v>
      </c>
      <c r="AA2689">
        <v>0.11799999999999999</v>
      </c>
      <c r="AB2689">
        <v>8.4000000000000005E-2</v>
      </c>
      <c r="AC2689">
        <v>6</v>
      </c>
      <c r="AD2689" s="6">
        <v>99</v>
      </c>
      <c r="AE2689" s="6">
        <v>0</v>
      </c>
      <c r="AF2689" s="6">
        <v>0</v>
      </c>
      <c r="AG2689" s="6">
        <v>138.72999999999999</v>
      </c>
      <c r="AH2689" s="6">
        <v>173.72</v>
      </c>
      <c r="AI2689" s="6">
        <f t="shared" si="82"/>
        <v>34.990000000000009</v>
      </c>
      <c r="AJ2689" s="5">
        <f t="shared" si="83"/>
        <v>0.20141607183974217</v>
      </c>
    </row>
    <row r="2690" spans="1:36">
      <c r="A2690" t="s">
        <v>230</v>
      </c>
      <c r="B2690" t="s">
        <v>2975</v>
      </c>
      <c r="C2690" t="s">
        <v>120</v>
      </c>
      <c r="D2690" t="s">
        <v>60</v>
      </c>
      <c r="E2690" t="s">
        <v>55</v>
      </c>
      <c r="F2690">
        <v>0</v>
      </c>
      <c r="G2690">
        <v>2255</v>
      </c>
      <c r="H2690">
        <v>1</v>
      </c>
      <c r="I2690" t="s">
        <v>173</v>
      </c>
      <c r="J2690">
        <v>1</v>
      </c>
      <c r="K2690" s="6">
        <v>1.71</v>
      </c>
      <c r="L2690" t="s">
        <v>200</v>
      </c>
      <c r="M2690">
        <v>1</v>
      </c>
      <c r="N2690" t="s">
        <v>182</v>
      </c>
      <c r="O2690">
        <v>3</v>
      </c>
      <c r="P2690">
        <v>0</v>
      </c>
      <c r="Q2690" s="6">
        <v>102.5</v>
      </c>
      <c r="R2690">
        <v>1</v>
      </c>
      <c r="S2690" s="6">
        <v>4458</v>
      </c>
      <c r="T2690">
        <v>0</v>
      </c>
      <c r="U2690" s="6">
        <v>2211</v>
      </c>
      <c r="V2690">
        <v>0</v>
      </c>
      <c r="W2690">
        <v>0</v>
      </c>
      <c r="X2690">
        <v>0</v>
      </c>
      <c r="Y2690" s="6">
        <v>47.7</v>
      </c>
      <c r="Z2690">
        <v>0.752</v>
      </c>
      <c r="AA2690">
        <v>0.11799999999999999</v>
      </c>
      <c r="AB2690">
        <v>8.4000000000000005E-2</v>
      </c>
      <c r="AC2690">
        <v>6</v>
      </c>
      <c r="AD2690" s="6">
        <v>99</v>
      </c>
      <c r="AE2690" s="6">
        <v>40</v>
      </c>
      <c r="AF2690" s="6">
        <v>0</v>
      </c>
      <c r="AG2690" s="6">
        <v>94.35</v>
      </c>
      <c r="AH2690" s="6">
        <v>121.65</v>
      </c>
      <c r="AI2690" s="6">
        <f t="shared" ref="AI2690:AI2753" si="84">AH2690-AG2690</f>
        <v>27.300000000000011</v>
      </c>
      <c r="AJ2690" s="5">
        <f t="shared" ref="AJ2690:AJ2753" si="85">IFERROR(AI2690/AH2690,0)</f>
        <v>0.22441430332922327</v>
      </c>
    </row>
    <row r="2691" spans="1:36">
      <c r="A2691" t="s">
        <v>350</v>
      </c>
      <c r="B2691" t="s">
        <v>2976</v>
      </c>
      <c r="C2691" t="s">
        <v>120</v>
      </c>
      <c r="D2691" t="s">
        <v>60</v>
      </c>
      <c r="E2691" t="s">
        <v>55</v>
      </c>
      <c r="F2691">
        <v>0</v>
      </c>
      <c r="G2691">
        <v>2255</v>
      </c>
      <c r="H2691">
        <v>1.22</v>
      </c>
      <c r="I2691" t="s">
        <v>220</v>
      </c>
      <c r="J2691">
        <v>2</v>
      </c>
      <c r="K2691" s="6">
        <v>2.96</v>
      </c>
      <c r="L2691" t="s">
        <v>200</v>
      </c>
      <c r="M2691">
        <v>1</v>
      </c>
      <c r="N2691" t="s">
        <v>187</v>
      </c>
      <c r="O2691">
        <v>2</v>
      </c>
      <c r="P2691">
        <v>0</v>
      </c>
      <c r="Q2691" s="6">
        <v>60.9</v>
      </c>
      <c r="R2691">
        <v>0</v>
      </c>
      <c r="S2691" s="6">
        <v>0</v>
      </c>
      <c r="T2691">
        <v>0</v>
      </c>
      <c r="U2691" s="6">
        <v>1343</v>
      </c>
      <c r="V2691">
        <v>0</v>
      </c>
      <c r="W2691">
        <v>0</v>
      </c>
      <c r="X2691">
        <v>0</v>
      </c>
      <c r="Y2691" s="6">
        <v>47.7</v>
      </c>
      <c r="Z2691">
        <v>0.752</v>
      </c>
      <c r="AA2691">
        <v>0.11799999999999999</v>
      </c>
      <c r="AB2691">
        <v>8.4000000000000005E-2</v>
      </c>
      <c r="AC2691">
        <v>6</v>
      </c>
      <c r="AD2691" s="6">
        <v>119</v>
      </c>
      <c r="AE2691" s="6">
        <v>0</v>
      </c>
      <c r="AF2691" s="6">
        <v>0</v>
      </c>
      <c r="AG2691" s="6">
        <v>108.6</v>
      </c>
      <c r="AH2691" s="6">
        <v>139.18</v>
      </c>
      <c r="AI2691" s="6">
        <f t="shared" si="84"/>
        <v>30.580000000000013</v>
      </c>
      <c r="AJ2691" s="5">
        <f t="shared" si="85"/>
        <v>0.21971547636154629</v>
      </c>
    </row>
    <row r="2692" spans="1:36">
      <c r="A2692" t="s">
        <v>691</v>
      </c>
      <c r="B2692" t="s">
        <v>2977</v>
      </c>
      <c r="C2692" t="s">
        <v>120</v>
      </c>
      <c r="D2692" t="s">
        <v>60</v>
      </c>
      <c r="E2692" t="s">
        <v>55</v>
      </c>
      <c r="F2692">
        <v>0</v>
      </c>
      <c r="G2692">
        <v>2255</v>
      </c>
      <c r="H2692">
        <v>1.22</v>
      </c>
      <c r="I2692" t="s">
        <v>220</v>
      </c>
      <c r="J2692">
        <v>2</v>
      </c>
      <c r="K2692" s="6">
        <v>3.55</v>
      </c>
      <c r="L2692" t="s">
        <v>174</v>
      </c>
      <c r="M2692">
        <v>0</v>
      </c>
      <c r="N2692" t="s">
        <v>175</v>
      </c>
      <c r="O2692">
        <v>1</v>
      </c>
      <c r="P2692">
        <v>0</v>
      </c>
      <c r="Q2692" s="6">
        <v>31.5</v>
      </c>
      <c r="R2692">
        <v>1</v>
      </c>
      <c r="S2692" s="6">
        <v>1808</v>
      </c>
      <c r="T2692">
        <v>0</v>
      </c>
      <c r="U2692" s="6">
        <v>2042</v>
      </c>
      <c r="V2692">
        <v>0</v>
      </c>
      <c r="W2692">
        <v>0</v>
      </c>
      <c r="X2692">
        <v>0</v>
      </c>
      <c r="Y2692" s="6">
        <v>47.7</v>
      </c>
      <c r="Z2692">
        <v>0.752</v>
      </c>
      <c r="AA2692">
        <v>0.11799999999999999</v>
      </c>
      <c r="AB2692">
        <v>8.4000000000000005E-2</v>
      </c>
      <c r="AC2692">
        <v>6</v>
      </c>
      <c r="AD2692" s="6">
        <v>50</v>
      </c>
      <c r="AE2692" s="6">
        <v>25</v>
      </c>
      <c r="AF2692" s="6">
        <v>0</v>
      </c>
      <c r="AG2692" s="6">
        <v>73.55</v>
      </c>
      <c r="AH2692" s="6">
        <v>94.9</v>
      </c>
      <c r="AI2692" s="6">
        <f t="shared" si="84"/>
        <v>21.350000000000009</v>
      </c>
      <c r="AJ2692" s="5">
        <f t="shared" si="85"/>
        <v>0.22497365648050588</v>
      </c>
    </row>
    <row r="2693" spans="1:36">
      <c r="A2693" t="s">
        <v>258</v>
      </c>
      <c r="B2693" t="s">
        <v>2978</v>
      </c>
      <c r="C2693" t="s">
        <v>120</v>
      </c>
      <c r="D2693" t="s">
        <v>60</v>
      </c>
      <c r="E2693" t="s">
        <v>55</v>
      </c>
      <c r="F2693">
        <v>0</v>
      </c>
      <c r="G2693">
        <v>2255</v>
      </c>
      <c r="H2693">
        <v>1</v>
      </c>
      <c r="I2693" t="s">
        <v>181</v>
      </c>
      <c r="J2693">
        <v>3</v>
      </c>
      <c r="K2693" s="6">
        <v>6.91</v>
      </c>
      <c r="L2693" t="s">
        <v>200</v>
      </c>
      <c r="M2693">
        <v>1</v>
      </c>
      <c r="N2693" t="s">
        <v>182</v>
      </c>
      <c r="O2693">
        <v>3</v>
      </c>
      <c r="P2693">
        <v>0</v>
      </c>
      <c r="Q2693" s="6">
        <v>113.8</v>
      </c>
      <c r="R2693">
        <v>0</v>
      </c>
      <c r="S2693" s="6">
        <v>0</v>
      </c>
      <c r="T2693">
        <v>0</v>
      </c>
      <c r="U2693" s="6">
        <v>1375</v>
      </c>
      <c r="V2693">
        <v>1</v>
      </c>
      <c r="W2693">
        <v>0</v>
      </c>
      <c r="X2693">
        <v>0</v>
      </c>
      <c r="Y2693" s="6">
        <v>47.7</v>
      </c>
      <c r="Z2693">
        <v>0.752</v>
      </c>
      <c r="AA2693">
        <v>0.11799999999999999</v>
      </c>
      <c r="AB2693">
        <v>8.4000000000000005E-2</v>
      </c>
      <c r="AC2693">
        <v>6</v>
      </c>
      <c r="AD2693" s="6">
        <v>139</v>
      </c>
      <c r="AE2693" s="6">
        <v>0</v>
      </c>
      <c r="AF2693" s="6">
        <v>0</v>
      </c>
      <c r="AG2693" s="6">
        <v>158.66999999999999</v>
      </c>
      <c r="AH2693" s="6">
        <v>203.22</v>
      </c>
      <c r="AI2693" s="6">
        <f t="shared" si="84"/>
        <v>44.550000000000011</v>
      </c>
      <c r="AJ2693" s="5">
        <f t="shared" si="85"/>
        <v>0.21922054915854744</v>
      </c>
    </row>
    <row r="2694" spans="1:36">
      <c r="A2694" t="s">
        <v>362</v>
      </c>
      <c r="B2694" t="s">
        <v>2979</v>
      </c>
      <c r="C2694" t="s">
        <v>120</v>
      </c>
      <c r="D2694" t="s">
        <v>60</v>
      </c>
      <c r="E2694" t="s">
        <v>55</v>
      </c>
      <c r="F2694">
        <v>0</v>
      </c>
      <c r="G2694">
        <v>2255</v>
      </c>
      <c r="H2694">
        <v>1</v>
      </c>
      <c r="I2694" t="s">
        <v>181</v>
      </c>
      <c r="J2694">
        <v>3</v>
      </c>
      <c r="K2694" s="6">
        <v>6.39</v>
      </c>
      <c r="L2694" t="s">
        <v>174</v>
      </c>
      <c r="M2694">
        <v>0</v>
      </c>
      <c r="N2694" t="s">
        <v>175</v>
      </c>
      <c r="O2694">
        <v>1</v>
      </c>
      <c r="P2694">
        <v>0</v>
      </c>
      <c r="Q2694" s="6">
        <v>47.2</v>
      </c>
      <c r="R2694">
        <v>0</v>
      </c>
      <c r="S2694" s="6">
        <v>0</v>
      </c>
      <c r="T2694">
        <v>0</v>
      </c>
      <c r="U2694" s="6">
        <v>1848</v>
      </c>
      <c r="V2694">
        <v>0</v>
      </c>
      <c r="W2694">
        <v>0</v>
      </c>
      <c r="X2694">
        <v>0</v>
      </c>
      <c r="Y2694" s="6">
        <v>47.7</v>
      </c>
      <c r="Z2694">
        <v>0.752</v>
      </c>
      <c r="AA2694">
        <v>0.11799999999999999</v>
      </c>
      <c r="AB2694">
        <v>8.4000000000000005E-2</v>
      </c>
      <c r="AC2694">
        <v>6</v>
      </c>
      <c r="AD2694" s="6">
        <v>60</v>
      </c>
      <c r="AE2694" s="6">
        <v>0</v>
      </c>
      <c r="AF2694" s="6">
        <v>0</v>
      </c>
      <c r="AG2694" s="6">
        <v>67.83</v>
      </c>
      <c r="AH2694" s="6">
        <v>87.7</v>
      </c>
      <c r="AI2694" s="6">
        <f t="shared" si="84"/>
        <v>19.870000000000005</v>
      </c>
      <c r="AJ2694" s="5">
        <f t="shared" si="85"/>
        <v>0.22656784492588375</v>
      </c>
    </row>
    <row r="2695" spans="1:36">
      <c r="A2695" t="s">
        <v>338</v>
      </c>
      <c r="B2695" t="s">
        <v>2980</v>
      </c>
      <c r="C2695" t="s">
        <v>120</v>
      </c>
      <c r="D2695" t="s">
        <v>60</v>
      </c>
      <c r="E2695" t="s">
        <v>55</v>
      </c>
      <c r="F2695">
        <v>0</v>
      </c>
      <c r="G2695">
        <v>2255</v>
      </c>
      <c r="H2695">
        <v>1.22</v>
      </c>
      <c r="I2695" t="s">
        <v>181</v>
      </c>
      <c r="J2695">
        <v>3</v>
      </c>
      <c r="K2695" s="6">
        <v>8.35</v>
      </c>
      <c r="L2695" t="s">
        <v>200</v>
      </c>
      <c r="M2695">
        <v>1</v>
      </c>
      <c r="N2695" t="s">
        <v>175</v>
      </c>
      <c r="O2695">
        <v>1</v>
      </c>
      <c r="P2695">
        <v>0</v>
      </c>
      <c r="Q2695" s="6">
        <v>36.700000000000003</v>
      </c>
      <c r="R2695">
        <v>1</v>
      </c>
      <c r="S2695" s="6">
        <v>1530</v>
      </c>
      <c r="T2695">
        <v>0</v>
      </c>
      <c r="U2695" s="6">
        <v>1492</v>
      </c>
      <c r="V2695">
        <v>0</v>
      </c>
      <c r="W2695">
        <v>0</v>
      </c>
      <c r="X2695">
        <v>0</v>
      </c>
      <c r="Y2695" s="6">
        <v>47.7</v>
      </c>
      <c r="Z2695">
        <v>0.752</v>
      </c>
      <c r="AA2695">
        <v>0.11799999999999999</v>
      </c>
      <c r="AB2695">
        <v>8.4000000000000005E-2</v>
      </c>
      <c r="AC2695">
        <v>6</v>
      </c>
      <c r="AD2695" s="6">
        <v>139</v>
      </c>
      <c r="AE2695" s="6">
        <v>25</v>
      </c>
      <c r="AF2695" s="6">
        <v>0</v>
      </c>
      <c r="AG2695" s="6">
        <v>128.66999999999999</v>
      </c>
      <c r="AH2695" s="6">
        <v>161.52000000000001</v>
      </c>
      <c r="AI2695" s="6">
        <f t="shared" si="84"/>
        <v>32.850000000000023</v>
      </c>
      <c r="AJ2695" s="5">
        <f t="shared" si="85"/>
        <v>0.20338038632986641</v>
      </c>
    </row>
    <row r="2696" spans="1:36">
      <c r="A2696" t="s">
        <v>228</v>
      </c>
      <c r="B2696" t="s">
        <v>2981</v>
      </c>
      <c r="C2696" t="s">
        <v>120</v>
      </c>
      <c r="D2696" t="s">
        <v>60</v>
      </c>
      <c r="E2696" t="s">
        <v>55</v>
      </c>
      <c r="F2696">
        <v>0</v>
      </c>
      <c r="G2696">
        <v>2255</v>
      </c>
      <c r="H2696">
        <v>1</v>
      </c>
      <c r="I2696" t="s">
        <v>220</v>
      </c>
      <c r="J2696">
        <v>2</v>
      </c>
      <c r="K2696" s="6">
        <v>4.9800000000000004</v>
      </c>
      <c r="L2696" t="s">
        <v>200</v>
      </c>
      <c r="M2696">
        <v>1</v>
      </c>
      <c r="N2696" t="s">
        <v>187</v>
      </c>
      <c r="O2696">
        <v>2</v>
      </c>
      <c r="P2696">
        <v>0</v>
      </c>
      <c r="Q2696" s="6">
        <v>43</v>
      </c>
      <c r="R2696">
        <v>1</v>
      </c>
      <c r="S2696" s="6">
        <v>1261</v>
      </c>
      <c r="T2696">
        <v>0</v>
      </c>
      <c r="U2696" s="6">
        <v>1945</v>
      </c>
      <c r="V2696">
        <v>0</v>
      </c>
      <c r="W2696">
        <v>0</v>
      </c>
      <c r="X2696">
        <v>0</v>
      </c>
      <c r="Y2696" s="6">
        <v>47.7</v>
      </c>
      <c r="Z2696">
        <v>0.752</v>
      </c>
      <c r="AA2696">
        <v>0.11799999999999999</v>
      </c>
      <c r="AB2696">
        <v>8.4000000000000005E-2</v>
      </c>
      <c r="AC2696">
        <v>6</v>
      </c>
      <c r="AD2696" s="6">
        <v>119</v>
      </c>
      <c r="AE2696" s="6">
        <v>25</v>
      </c>
      <c r="AF2696" s="6">
        <v>0</v>
      </c>
      <c r="AG2696" s="6">
        <v>98.59</v>
      </c>
      <c r="AH2696" s="6">
        <v>123.39</v>
      </c>
      <c r="AI2696" s="6">
        <f t="shared" si="84"/>
        <v>24.799999999999997</v>
      </c>
      <c r="AJ2696" s="5">
        <f t="shared" si="85"/>
        <v>0.20098873490558389</v>
      </c>
    </row>
    <row r="2697" spans="1:36">
      <c r="A2697" t="s">
        <v>478</v>
      </c>
      <c r="B2697" t="s">
        <v>2982</v>
      </c>
      <c r="C2697" t="s">
        <v>120</v>
      </c>
      <c r="D2697" t="s">
        <v>60</v>
      </c>
      <c r="E2697" t="s">
        <v>55</v>
      </c>
      <c r="F2697">
        <v>0</v>
      </c>
      <c r="G2697">
        <v>2255</v>
      </c>
      <c r="H2697">
        <v>1.22</v>
      </c>
      <c r="I2697" t="s">
        <v>220</v>
      </c>
      <c r="J2697">
        <v>2</v>
      </c>
      <c r="K2697" s="6">
        <v>2.67</v>
      </c>
      <c r="L2697" t="s">
        <v>174</v>
      </c>
      <c r="M2697">
        <v>0</v>
      </c>
      <c r="N2697" t="s">
        <v>272</v>
      </c>
      <c r="O2697">
        <v>5</v>
      </c>
      <c r="P2697">
        <v>1</v>
      </c>
      <c r="Q2697" s="6">
        <v>274</v>
      </c>
      <c r="R2697">
        <v>1</v>
      </c>
      <c r="S2697" s="6">
        <v>618</v>
      </c>
      <c r="T2697">
        <v>0</v>
      </c>
      <c r="U2697" s="6">
        <v>1411</v>
      </c>
      <c r="V2697">
        <v>0</v>
      </c>
      <c r="W2697">
        <v>0</v>
      </c>
      <c r="X2697">
        <v>0</v>
      </c>
      <c r="Y2697" s="6">
        <v>47.7</v>
      </c>
      <c r="Z2697">
        <v>0.752</v>
      </c>
      <c r="AA2697">
        <v>0.11799999999999999</v>
      </c>
      <c r="AB2697">
        <v>8.4000000000000005E-2</v>
      </c>
      <c r="AC2697">
        <v>6</v>
      </c>
      <c r="AD2697" s="6">
        <v>50</v>
      </c>
      <c r="AE2697" s="6">
        <v>25</v>
      </c>
      <c r="AF2697" s="6">
        <v>0</v>
      </c>
      <c r="AG2697" s="6">
        <v>161.76</v>
      </c>
      <c r="AH2697" s="6">
        <v>202.63</v>
      </c>
      <c r="AI2697" s="6">
        <f t="shared" si="84"/>
        <v>40.870000000000005</v>
      </c>
      <c r="AJ2697" s="5">
        <f t="shared" si="85"/>
        <v>0.20169767556630314</v>
      </c>
    </row>
    <row r="2698" spans="1:36">
      <c r="A2698" t="s">
        <v>391</v>
      </c>
      <c r="B2698" t="s">
        <v>2983</v>
      </c>
      <c r="C2698" t="s">
        <v>120</v>
      </c>
      <c r="D2698" t="s">
        <v>60</v>
      </c>
      <c r="E2698" t="s">
        <v>55</v>
      </c>
      <c r="F2698">
        <v>0</v>
      </c>
      <c r="G2698">
        <v>2255</v>
      </c>
      <c r="H2698">
        <v>1</v>
      </c>
      <c r="I2698" t="s">
        <v>181</v>
      </c>
      <c r="J2698">
        <v>3</v>
      </c>
      <c r="K2698" s="6">
        <v>9.09</v>
      </c>
      <c r="L2698" t="s">
        <v>200</v>
      </c>
      <c r="M2698">
        <v>1</v>
      </c>
      <c r="N2698" t="s">
        <v>217</v>
      </c>
      <c r="O2698">
        <v>4</v>
      </c>
      <c r="P2698">
        <v>1</v>
      </c>
      <c r="Q2698" s="6">
        <v>113.8</v>
      </c>
      <c r="R2698">
        <v>0</v>
      </c>
      <c r="S2698" s="6">
        <v>0</v>
      </c>
      <c r="T2698">
        <v>0</v>
      </c>
      <c r="U2698" s="6">
        <v>1307</v>
      </c>
      <c r="V2698">
        <v>1</v>
      </c>
      <c r="W2698">
        <v>0</v>
      </c>
      <c r="X2698">
        <v>0</v>
      </c>
      <c r="Y2698" s="6">
        <v>47.7</v>
      </c>
      <c r="Z2698">
        <v>0.752</v>
      </c>
      <c r="AA2698">
        <v>0.11799999999999999</v>
      </c>
      <c r="AB2698">
        <v>8.4000000000000005E-2</v>
      </c>
      <c r="AC2698">
        <v>6</v>
      </c>
      <c r="AD2698" s="6">
        <v>139</v>
      </c>
      <c r="AE2698" s="6">
        <v>0</v>
      </c>
      <c r="AF2698" s="6">
        <v>0</v>
      </c>
      <c r="AG2698" s="6">
        <v>241.6</v>
      </c>
      <c r="AH2698" s="6">
        <v>304.52999999999997</v>
      </c>
      <c r="AI2698" s="6">
        <f t="shared" si="84"/>
        <v>62.929999999999978</v>
      </c>
      <c r="AJ2698" s="5">
        <f t="shared" si="85"/>
        <v>0.20664630742455581</v>
      </c>
    </row>
    <row r="2699" spans="1:36">
      <c r="A2699" t="s">
        <v>431</v>
      </c>
      <c r="B2699" t="s">
        <v>2984</v>
      </c>
      <c r="C2699" t="s">
        <v>120</v>
      </c>
      <c r="D2699" t="s">
        <v>60</v>
      </c>
      <c r="E2699" t="s">
        <v>55</v>
      </c>
      <c r="F2699">
        <v>0</v>
      </c>
      <c r="G2699">
        <v>2255</v>
      </c>
      <c r="H2699">
        <v>1</v>
      </c>
      <c r="I2699" t="s">
        <v>220</v>
      </c>
      <c r="J2699">
        <v>2</v>
      </c>
      <c r="K2699" s="6">
        <v>3.03</v>
      </c>
      <c r="L2699" t="s">
        <v>200</v>
      </c>
      <c r="M2699">
        <v>1</v>
      </c>
      <c r="N2699" t="s">
        <v>187</v>
      </c>
      <c r="O2699">
        <v>2</v>
      </c>
      <c r="P2699">
        <v>0</v>
      </c>
      <c r="Q2699" s="6">
        <v>36.6</v>
      </c>
      <c r="R2699">
        <v>0</v>
      </c>
      <c r="S2699" s="6">
        <v>0</v>
      </c>
      <c r="T2699">
        <v>0</v>
      </c>
      <c r="U2699" s="6">
        <v>1487</v>
      </c>
      <c r="V2699">
        <v>0</v>
      </c>
      <c r="W2699">
        <v>0</v>
      </c>
      <c r="X2699">
        <v>0</v>
      </c>
      <c r="Y2699" s="6">
        <v>47.7</v>
      </c>
      <c r="Z2699">
        <v>0.752</v>
      </c>
      <c r="AA2699">
        <v>0.11799999999999999</v>
      </c>
      <c r="AB2699">
        <v>8.4000000000000005E-2</v>
      </c>
      <c r="AC2699">
        <v>6</v>
      </c>
      <c r="AD2699" s="6">
        <v>119</v>
      </c>
      <c r="AE2699" s="6">
        <v>0</v>
      </c>
      <c r="AF2699" s="6">
        <v>0</v>
      </c>
      <c r="AG2699" s="6">
        <v>91.32</v>
      </c>
      <c r="AH2699" s="6">
        <v>122.77</v>
      </c>
      <c r="AI2699" s="6">
        <f t="shared" si="84"/>
        <v>31.450000000000003</v>
      </c>
      <c r="AJ2699" s="5">
        <f t="shared" si="85"/>
        <v>0.25617007412234261</v>
      </c>
    </row>
    <row r="2700" spans="1:36">
      <c r="A2700" t="s">
        <v>635</v>
      </c>
      <c r="B2700" t="s">
        <v>2985</v>
      </c>
      <c r="C2700" t="s">
        <v>120</v>
      </c>
      <c r="D2700" t="s">
        <v>60</v>
      </c>
      <c r="E2700" t="s">
        <v>55</v>
      </c>
      <c r="F2700">
        <v>0</v>
      </c>
      <c r="G2700">
        <v>2255</v>
      </c>
      <c r="H2700">
        <v>1.22</v>
      </c>
      <c r="I2700" t="s">
        <v>181</v>
      </c>
      <c r="J2700">
        <v>3</v>
      </c>
      <c r="K2700" s="6">
        <v>7.59</v>
      </c>
      <c r="L2700" t="s">
        <v>200</v>
      </c>
      <c r="M2700">
        <v>1</v>
      </c>
      <c r="N2700" t="s">
        <v>182</v>
      </c>
      <c r="O2700">
        <v>3</v>
      </c>
      <c r="P2700">
        <v>0</v>
      </c>
      <c r="Q2700" s="6">
        <v>96</v>
      </c>
      <c r="R2700">
        <v>0</v>
      </c>
      <c r="S2700" s="6">
        <v>0</v>
      </c>
      <c r="T2700">
        <v>0</v>
      </c>
      <c r="U2700" s="6">
        <v>779</v>
      </c>
      <c r="V2700">
        <v>0</v>
      </c>
      <c r="W2700">
        <v>0</v>
      </c>
      <c r="X2700">
        <v>0</v>
      </c>
      <c r="Y2700" s="6">
        <v>47.7</v>
      </c>
      <c r="Z2700">
        <v>0.752</v>
      </c>
      <c r="AA2700">
        <v>0.11799999999999999</v>
      </c>
      <c r="AB2700">
        <v>8.4000000000000005E-2</v>
      </c>
      <c r="AC2700">
        <v>6</v>
      </c>
      <c r="AD2700" s="6">
        <v>139</v>
      </c>
      <c r="AE2700" s="6">
        <v>0</v>
      </c>
      <c r="AF2700" s="6">
        <v>0</v>
      </c>
      <c r="AG2700" s="6">
        <v>115.99</v>
      </c>
      <c r="AH2700" s="6">
        <v>146.19999999999999</v>
      </c>
      <c r="AI2700" s="6">
        <f t="shared" si="84"/>
        <v>30.209999999999994</v>
      </c>
      <c r="AJ2700" s="5">
        <f t="shared" si="85"/>
        <v>0.2066347469220246</v>
      </c>
    </row>
    <row r="2701" spans="1:36">
      <c r="A2701" t="s">
        <v>291</v>
      </c>
      <c r="B2701" t="s">
        <v>2986</v>
      </c>
      <c r="C2701" t="s">
        <v>120</v>
      </c>
      <c r="D2701" t="s">
        <v>60</v>
      </c>
      <c r="E2701" t="s">
        <v>55</v>
      </c>
      <c r="F2701">
        <v>0</v>
      </c>
      <c r="G2701">
        <v>2255</v>
      </c>
      <c r="H2701">
        <v>1.22</v>
      </c>
      <c r="I2701" t="s">
        <v>181</v>
      </c>
      <c r="J2701">
        <v>3</v>
      </c>
      <c r="K2701" s="6">
        <v>5.84</v>
      </c>
      <c r="L2701" t="s">
        <v>200</v>
      </c>
      <c r="M2701">
        <v>1</v>
      </c>
      <c r="N2701" t="s">
        <v>175</v>
      </c>
      <c r="O2701">
        <v>1</v>
      </c>
      <c r="P2701">
        <v>0</v>
      </c>
      <c r="Q2701" s="6">
        <v>29.8</v>
      </c>
      <c r="R2701">
        <v>1</v>
      </c>
      <c r="S2701" s="6">
        <v>696</v>
      </c>
      <c r="T2701">
        <v>0</v>
      </c>
      <c r="U2701" s="6">
        <v>1705</v>
      </c>
      <c r="V2701">
        <v>0</v>
      </c>
      <c r="W2701">
        <v>0</v>
      </c>
      <c r="X2701">
        <v>0</v>
      </c>
      <c r="Y2701" s="6">
        <v>47.7</v>
      </c>
      <c r="Z2701">
        <v>0.752</v>
      </c>
      <c r="AA2701">
        <v>0.11799999999999999</v>
      </c>
      <c r="AB2701">
        <v>8.4000000000000005E-2</v>
      </c>
      <c r="AC2701">
        <v>6</v>
      </c>
      <c r="AD2701" s="6">
        <v>139</v>
      </c>
      <c r="AE2701" s="6">
        <v>25</v>
      </c>
      <c r="AF2701" s="6">
        <v>0</v>
      </c>
      <c r="AG2701" s="6">
        <v>110.7</v>
      </c>
      <c r="AH2701" s="6">
        <v>143.18</v>
      </c>
      <c r="AI2701" s="6">
        <f t="shared" si="84"/>
        <v>32.480000000000004</v>
      </c>
      <c r="AJ2701" s="5">
        <f t="shared" si="85"/>
        <v>0.22684732504539742</v>
      </c>
    </row>
    <row r="2702" spans="1:36">
      <c r="A2702" t="s">
        <v>263</v>
      </c>
      <c r="B2702" t="s">
        <v>2987</v>
      </c>
      <c r="C2702" t="s">
        <v>120</v>
      </c>
      <c r="D2702" t="s">
        <v>60</v>
      </c>
      <c r="E2702" t="s">
        <v>55</v>
      </c>
      <c r="F2702">
        <v>0</v>
      </c>
      <c r="G2702">
        <v>2255</v>
      </c>
      <c r="H2702">
        <v>1.22</v>
      </c>
      <c r="I2702" t="s">
        <v>220</v>
      </c>
      <c r="J2702">
        <v>2</v>
      </c>
      <c r="K2702" s="6">
        <v>4.8499999999999996</v>
      </c>
      <c r="L2702" t="s">
        <v>174</v>
      </c>
      <c r="M2702">
        <v>0</v>
      </c>
      <c r="N2702" t="s">
        <v>175</v>
      </c>
      <c r="O2702">
        <v>1</v>
      </c>
      <c r="P2702">
        <v>0</v>
      </c>
      <c r="Q2702" s="6">
        <v>38.5</v>
      </c>
      <c r="R2702">
        <v>1</v>
      </c>
      <c r="S2702" s="6">
        <v>1428</v>
      </c>
      <c r="T2702">
        <v>0</v>
      </c>
      <c r="U2702" s="6">
        <v>2318</v>
      </c>
      <c r="V2702">
        <v>1</v>
      </c>
      <c r="W2702">
        <v>0</v>
      </c>
      <c r="X2702">
        <v>0</v>
      </c>
      <c r="Y2702" s="6">
        <v>47.7</v>
      </c>
      <c r="Z2702">
        <v>0.752</v>
      </c>
      <c r="AA2702">
        <v>0.11799999999999999</v>
      </c>
      <c r="AB2702">
        <v>8.4000000000000005E-2</v>
      </c>
      <c r="AC2702">
        <v>6</v>
      </c>
      <c r="AD2702" s="6">
        <v>50</v>
      </c>
      <c r="AE2702" s="6">
        <v>25</v>
      </c>
      <c r="AF2702" s="6">
        <v>0</v>
      </c>
      <c r="AG2702" s="6">
        <v>109.06</v>
      </c>
      <c r="AH2702" s="6">
        <v>137.88999999999999</v>
      </c>
      <c r="AI2702" s="6">
        <f t="shared" si="84"/>
        <v>28.829999999999984</v>
      </c>
      <c r="AJ2702" s="5">
        <f t="shared" si="85"/>
        <v>0.20907970121111022</v>
      </c>
    </row>
    <row r="2703" spans="1:36">
      <c r="A2703" t="s">
        <v>562</v>
      </c>
      <c r="B2703" t="s">
        <v>2988</v>
      </c>
      <c r="C2703" t="s">
        <v>120</v>
      </c>
      <c r="D2703" t="s">
        <v>60</v>
      </c>
      <c r="E2703" t="s">
        <v>55</v>
      </c>
      <c r="F2703">
        <v>0</v>
      </c>
      <c r="G2703">
        <v>2255</v>
      </c>
      <c r="H2703">
        <v>1.22</v>
      </c>
      <c r="I2703" t="s">
        <v>220</v>
      </c>
      <c r="J2703">
        <v>2</v>
      </c>
      <c r="K2703" s="6">
        <v>2.58</v>
      </c>
      <c r="L2703" t="s">
        <v>200</v>
      </c>
      <c r="M2703">
        <v>1</v>
      </c>
      <c r="N2703" t="s">
        <v>187</v>
      </c>
      <c r="O2703">
        <v>2</v>
      </c>
      <c r="P2703">
        <v>0</v>
      </c>
      <c r="Q2703" s="6">
        <v>45.4</v>
      </c>
      <c r="R2703">
        <v>1</v>
      </c>
      <c r="S2703" s="6">
        <v>3126</v>
      </c>
      <c r="T2703">
        <v>0</v>
      </c>
      <c r="U2703" s="6">
        <v>2743</v>
      </c>
      <c r="V2703">
        <v>0</v>
      </c>
      <c r="W2703">
        <v>0</v>
      </c>
      <c r="X2703">
        <v>0</v>
      </c>
      <c r="Y2703" s="6">
        <v>47.7</v>
      </c>
      <c r="Z2703">
        <v>0.752</v>
      </c>
      <c r="AA2703">
        <v>0.11799999999999999</v>
      </c>
      <c r="AB2703">
        <v>8.4000000000000005E-2</v>
      </c>
      <c r="AC2703">
        <v>6</v>
      </c>
      <c r="AD2703" s="6">
        <v>119</v>
      </c>
      <c r="AE2703" s="6">
        <v>40</v>
      </c>
      <c r="AF2703" s="6">
        <v>0</v>
      </c>
      <c r="AG2703" s="6">
        <v>98.21</v>
      </c>
      <c r="AH2703" s="6">
        <v>125.68</v>
      </c>
      <c r="AI2703" s="6">
        <f t="shared" si="84"/>
        <v>27.470000000000013</v>
      </c>
      <c r="AJ2703" s="5">
        <f t="shared" si="85"/>
        <v>0.21857097390197336</v>
      </c>
    </row>
    <row r="2704" spans="1:36">
      <c r="A2704" t="s">
        <v>210</v>
      </c>
      <c r="B2704" t="s">
        <v>2989</v>
      </c>
      <c r="C2704" t="s">
        <v>120</v>
      </c>
      <c r="D2704" t="s">
        <v>60</v>
      </c>
      <c r="E2704" t="s">
        <v>55</v>
      </c>
      <c r="F2704">
        <v>0</v>
      </c>
      <c r="G2704">
        <v>2255</v>
      </c>
      <c r="H2704">
        <v>1</v>
      </c>
      <c r="I2704" t="s">
        <v>181</v>
      </c>
      <c r="J2704">
        <v>3</v>
      </c>
      <c r="K2704" s="6">
        <v>9.31</v>
      </c>
      <c r="L2704" t="s">
        <v>200</v>
      </c>
      <c r="M2704">
        <v>1</v>
      </c>
      <c r="N2704" t="s">
        <v>175</v>
      </c>
      <c r="O2704">
        <v>1</v>
      </c>
      <c r="P2704">
        <v>0</v>
      </c>
      <c r="Q2704" s="6">
        <v>24.8</v>
      </c>
      <c r="R2704">
        <v>0</v>
      </c>
      <c r="S2704" s="6">
        <v>0</v>
      </c>
      <c r="T2704">
        <v>0</v>
      </c>
      <c r="U2704" s="6">
        <v>5349</v>
      </c>
      <c r="V2704">
        <v>0</v>
      </c>
      <c r="W2704">
        <v>0</v>
      </c>
      <c r="X2704">
        <v>0</v>
      </c>
      <c r="Y2704" s="6">
        <v>47.7</v>
      </c>
      <c r="Z2704">
        <v>0.752</v>
      </c>
      <c r="AA2704">
        <v>0.11799999999999999</v>
      </c>
      <c r="AB2704">
        <v>8.4000000000000005E-2</v>
      </c>
      <c r="AC2704">
        <v>6</v>
      </c>
      <c r="AD2704" s="6">
        <v>139</v>
      </c>
      <c r="AE2704" s="6">
        <v>0</v>
      </c>
      <c r="AF2704" s="6">
        <v>0</v>
      </c>
      <c r="AG2704" s="6">
        <v>119.71</v>
      </c>
      <c r="AH2704" s="6">
        <v>153.72999999999999</v>
      </c>
      <c r="AI2704" s="6">
        <f t="shared" si="84"/>
        <v>34.019999999999996</v>
      </c>
      <c r="AJ2704" s="5">
        <f t="shared" si="85"/>
        <v>0.22129707929486761</v>
      </c>
    </row>
    <row r="2705" spans="1:36">
      <c r="A2705" t="s">
        <v>528</v>
      </c>
      <c r="B2705" t="s">
        <v>2990</v>
      </c>
      <c r="C2705" t="s">
        <v>120</v>
      </c>
      <c r="D2705" t="s">
        <v>60</v>
      </c>
      <c r="E2705" t="s">
        <v>55</v>
      </c>
      <c r="F2705">
        <v>0</v>
      </c>
      <c r="G2705">
        <v>2255</v>
      </c>
      <c r="H2705">
        <v>1.22</v>
      </c>
      <c r="I2705" t="s">
        <v>220</v>
      </c>
      <c r="J2705">
        <v>2</v>
      </c>
      <c r="K2705" s="6">
        <v>4.09</v>
      </c>
      <c r="L2705" t="s">
        <v>200</v>
      </c>
      <c r="M2705">
        <v>1</v>
      </c>
      <c r="N2705" t="s">
        <v>187</v>
      </c>
      <c r="O2705">
        <v>2</v>
      </c>
      <c r="P2705">
        <v>0</v>
      </c>
      <c r="Q2705" s="6">
        <v>46.3</v>
      </c>
      <c r="R2705">
        <v>0</v>
      </c>
      <c r="S2705" s="6">
        <v>0</v>
      </c>
      <c r="T2705">
        <v>0</v>
      </c>
      <c r="U2705" s="6">
        <v>2063</v>
      </c>
      <c r="V2705">
        <v>0</v>
      </c>
      <c r="W2705">
        <v>0</v>
      </c>
      <c r="X2705">
        <v>0</v>
      </c>
      <c r="Y2705" s="6">
        <v>47.7</v>
      </c>
      <c r="Z2705">
        <v>0.752</v>
      </c>
      <c r="AA2705">
        <v>0.11799999999999999</v>
      </c>
      <c r="AB2705">
        <v>8.4000000000000005E-2</v>
      </c>
      <c r="AC2705">
        <v>6</v>
      </c>
      <c r="AD2705" s="6">
        <v>119</v>
      </c>
      <c r="AE2705" s="6">
        <v>0</v>
      </c>
      <c r="AF2705" s="6">
        <v>0</v>
      </c>
      <c r="AG2705" s="6">
        <v>93.66</v>
      </c>
      <c r="AH2705" s="6">
        <v>123.25</v>
      </c>
      <c r="AI2705" s="6">
        <f t="shared" si="84"/>
        <v>29.590000000000003</v>
      </c>
      <c r="AJ2705" s="5">
        <f t="shared" si="85"/>
        <v>0.24008113590263694</v>
      </c>
    </row>
    <row r="2706" spans="1:36">
      <c r="A2706" t="s">
        <v>208</v>
      </c>
      <c r="B2706" t="s">
        <v>2991</v>
      </c>
      <c r="C2706" t="s">
        <v>120</v>
      </c>
      <c r="D2706" t="s">
        <v>60</v>
      </c>
      <c r="E2706" t="s">
        <v>55</v>
      </c>
      <c r="F2706">
        <v>0</v>
      </c>
      <c r="G2706">
        <v>2255</v>
      </c>
      <c r="H2706">
        <v>1.22</v>
      </c>
      <c r="I2706" t="s">
        <v>181</v>
      </c>
      <c r="J2706">
        <v>3</v>
      </c>
      <c r="K2706" s="6">
        <v>7.84</v>
      </c>
      <c r="L2706" t="s">
        <v>200</v>
      </c>
      <c r="M2706">
        <v>1</v>
      </c>
      <c r="N2706" t="s">
        <v>175</v>
      </c>
      <c r="O2706">
        <v>1</v>
      </c>
      <c r="P2706">
        <v>0</v>
      </c>
      <c r="Q2706" s="6">
        <v>47.1</v>
      </c>
      <c r="R2706">
        <v>0</v>
      </c>
      <c r="S2706" s="6">
        <v>0</v>
      </c>
      <c r="T2706">
        <v>0</v>
      </c>
      <c r="U2706" s="6">
        <v>1942</v>
      </c>
      <c r="V2706">
        <v>0</v>
      </c>
      <c r="W2706">
        <v>0</v>
      </c>
      <c r="X2706">
        <v>0</v>
      </c>
      <c r="Y2706" s="6">
        <v>47.7</v>
      </c>
      <c r="Z2706">
        <v>0.752</v>
      </c>
      <c r="AA2706">
        <v>0.11799999999999999</v>
      </c>
      <c r="AB2706">
        <v>8.4000000000000005E-2</v>
      </c>
      <c r="AC2706">
        <v>6</v>
      </c>
      <c r="AD2706" s="6">
        <v>139</v>
      </c>
      <c r="AE2706" s="6">
        <v>0</v>
      </c>
      <c r="AF2706" s="6">
        <v>0</v>
      </c>
      <c r="AG2706" s="6">
        <v>109.67</v>
      </c>
      <c r="AH2706" s="6">
        <v>143.16</v>
      </c>
      <c r="AI2706" s="6">
        <f t="shared" si="84"/>
        <v>33.489999999999995</v>
      </c>
      <c r="AJ2706" s="5">
        <f t="shared" si="85"/>
        <v>0.23393405979323831</v>
      </c>
    </row>
    <row r="2707" spans="1:36">
      <c r="A2707" t="s">
        <v>362</v>
      </c>
      <c r="B2707" t="s">
        <v>2992</v>
      </c>
      <c r="C2707" t="s">
        <v>120</v>
      </c>
      <c r="D2707" t="s">
        <v>60</v>
      </c>
      <c r="E2707" t="s">
        <v>55</v>
      </c>
      <c r="F2707">
        <v>0</v>
      </c>
      <c r="G2707">
        <v>2255</v>
      </c>
      <c r="H2707">
        <v>1</v>
      </c>
      <c r="I2707" t="s">
        <v>173</v>
      </c>
      <c r="J2707">
        <v>1</v>
      </c>
      <c r="K2707" s="6">
        <v>1.71</v>
      </c>
      <c r="L2707" t="s">
        <v>174</v>
      </c>
      <c r="M2707">
        <v>0</v>
      </c>
      <c r="N2707" t="s">
        <v>187</v>
      </c>
      <c r="O2707">
        <v>2</v>
      </c>
      <c r="P2707">
        <v>0</v>
      </c>
      <c r="Q2707" s="6">
        <v>72.5</v>
      </c>
      <c r="R2707">
        <v>0</v>
      </c>
      <c r="S2707" s="6">
        <v>0</v>
      </c>
      <c r="T2707">
        <v>0</v>
      </c>
      <c r="U2707" s="6">
        <v>1260</v>
      </c>
      <c r="V2707">
        <v>1</v>
      </c>
      <c r="W2707">
        <v>0</v>
      </c>
      <c r="X2707">
        <v>0</v>
      </c>
      <c r="Y2707" s="6">
        <v>47.7</v>
      </c>
      <c r="Z2707">
        <v>0.752</v>
      </c>
      <c r="AA2707">
        <v>0.11799999999999999</v>
      </c>
      <c r="AB2707">
        <v>8.4000000000000005E-2</v>
      </c>
      <c r="AC2707">
        <v>6</v>
      </c>
      <c r="AD2707" s="6">
        <v>50</v>
      </c>
      <c r="AE2707" s="6">
        <v>0</v>
      </c>
      <c r="AF2707" s="6">
        <v>0</v>
      </c>
      <c r="AG2707" s="6">
        <v>92.56</v>
      </c>
      <c r="AH2707" s="6">
        <v>119.91</v>
      </c>
      <c r="AI2707" s="6">
        <f t="shared" si="84"/>
        <v>27.349999999999994</v>
      </c>
      <c r="AJ2707" s="5">
        <f t="shared" si="85"/>
        <v>0.22808773246601613</v>
      </c>
    </row>
    <row r="2708" spans="1:36">
      <c r="A2708" t="s">
        <v>263</v>
      </c>
      <c r="B2708" t="s">
        <v>2993</v>
      </c>
      <c r="C2708" t="s">
        <v>120</v>
      </c>
      <c r="D2708" t="s">
        <v>60</v>
      </c>
      <c r="E2708" t="s">
        <v>55</v>
      </c>
      <c r="F2708">
        <v>0</v>
      </c>
      <c r="G2708">
        <v>2255</v>
      </c>
      <c r="H2708">
        <v>1.22</v>
      </c>
      <c r="I2708" t="s">
        <v>181</v>
      </c>
      <c r="J2708">
        <v>3</v>
      </c>
      <c r="K2708" s="6">
        <v>6.21</v>
      </c>
      <c r="L2708" t="s">
        <v>200</v>
      </c>
      <c r="M2708">
        <v>1</v>
      </c>
      <c r="N2708" t="s">
        <v>187</v>
      </c>
      <c r="O2708">
        <v>2</v>
      </c>
      <c r="P2708">
        <v>0</v>
      </c>
      <c r="Q2708" s="6">
        <v>65.8</v>
      </c>
      <c r="R2708">
        <v>0</v>
      </c>
      <c r="S2708" s="6">
        <v>0</v>
      </c>
      <c r="T2708">
        <v>0</v>
      </c>
      <c r="U2708" s="6">
        <v>1099</v>
      </c>
      <c r="V2708">
        <v>0</v>
      </c>
      <c r="W2708">
        <v>0</v>
      </c>
      <c r="X2708">
        <v>0</v>
      </c>
      <c r="Y2708" s="6">
        <v>47.7</v>
      </c>
      <c r="Z2708">
        <v>0.752</v>
      </c>
      <c r="AA2708">
        <v>0.11799999999999999</v>
      </c>
      <c r="AB2708">
        <v>8.4000000000000005E-2</v>
      </c>
      <c r="AC2708">
        <v>6</v>
      </c>
      <c r="AD2708" s="6">
        <v>139</v>
      </c>
      <c r="AE2708" s="6">
        <v>0</v>
      </c>
      <c r="AF2708" s="6">
        <v>0</v>
      </c>
      <c r="AG2708" s="6">
        <v>112.13</v>
      </c>
      <c r="AH2708" s="6">
        <v>143.47999999999999</v>
      </c>
      <c r="AI2708" s="6">
        <f t="shared" si="84"/>
        <v>31.349999999999994</v>
      </c>
      <c r="AJ2708" s="5">
        <f t="shared" si="85"/>
        <v>0.21849735154725394</v>
      </c>
    </row>
    <row r="2709" spans="1:36">
      <c r="A2709" t="s">
        <v>201</v>
      </c>
      <c r="B2709" t="s">
        <v>2994</v>
      </c>
      <c r="C2709" t="s">
        <v>120</v>
      </c>
      <c r="D2709" t="s">
        <v>60</v>
      </c>
      <c r="E2709" t="s">
        <v>55</v>
      </c>
      <c r="F2709">
        <v>0</v>
      </c>
      <c r="G2709">
        <v>2255</v>
      </c>
      <c r="H2709">
        <v>1.22</v>
      </c>
      <c r="I2709" t="s">
        <v>220</v>
      </c>
      <c r="J2709">
        <v>2</v>
      </c>
      <c r="K2709" s="6">
        <v>3.37</v>
      </c>
      <c r="L2709" t="s">
        <v>200</v>
      </c>
      <c r="M2709">
        <v>1</v>
      </c>
      <c r="N2709" t="s">
        <v>187</v>
      </c>
      <c r="O2709">
        <v>2</v>
      </c>
      <c r="P2709">
        <v>0</v>
      </c>
      <c r="Q2709" s="6">
        <v>65.5</v>
      </c>
      <c r="R2709">
        <v>0</v>
      </c>
      <c r="S2709" s="6">
        <v>0</v>
      </c>
      <c r="T2709">
        <v>0</v>
      </c>
      <c r="U2709" s="6">
        <v>1356</v>
      </c>
      <c r="V2709">
        <v>0</v>
      </c>
      <c r="W2709">
        <v>0</v>
      </c>
      <c r="X2709">
        <v>0</v>
      </c>
      <c r="Y2709" s="6">
        <v>47.7</v>
      </c>
      <c r="Z2709">
        <v>0.752</v>
      </c>
      <c r="AA2709">
        <v>0.11799999999999999</v>
      </c>
      <c r="AB2709">
        <v>8.4000000000000005E-2</v>
      </c>
      <c r="AC2709">
        <v>6</v>
      </c>
      <c r="AD2709" s="6">
        <v>119</v>
      </c>
      <c r="AE2709" s="6">
        <v>0</v>
      </c>
      <c r="AF2709" s="6">
        <v>0</v>
      </c>
      <c r="AG2709" s="6">
        <v>98.8</v>
      </c>
      <c r="AH2709" s="6">
        <v>127.73</v>
      </c>
      <c r="AI2709" s="6">
        <f t="shared" si="84"/>
        <v>28.930000000000007</v>
      </c>
      <c r="AJ2709" s="5">
        <f t="shared" si="85"/>
        <v>0.22649338448289366</v>
      </c>
    </row>
    <row r="2710" spans="1:36">
      <c r="A2710" t="s">
        <v>343</v>
      </c>
      <c r="B2710" t="s">
        <v>2995</v>
      </c>
      <c r="C2710" t="s">
        <v>120</v>
      </c>
      <c r="D2710" t="s">
        <v>60</v>
      </c>
      <c r="E2710" t="s">
        <v>55</v>
      </c>
      <c r="F2710">
        <v>0</v>
      </c>
      <c r="G2710">
        <v>2255</v>
      </c>
      <c r="H2710">
        <v>1</v>
      </c>
      <c r="I2710" t="s">
        <v>173</v>
      </c>
      <c r="J2710">
        <v>1</v>
      </c>
      <c r="K2710" s="6">
        <v>1.65</v>
      </c>
      <c r="L2710" t="s">
        <v>200</v>
      </c>
      <c r="M2710">
        <v>1</v>
      </c>
      <c r="N2710" t="s">
        <v>182</v>
      </c>
      <c r="O2710">
        <v>3</v>
      </c>
      <c r="P2710">
        <v>0</v>
      </c>
      <c r="Q2710" s="6">
        <v>134</v>
      </c>
      <c r="R2710">
        <v>1</v>
      </c>
      <c r="S2710" s="6">
        <v>848</v>
      </c>
      <c r="T2710">
        <v>0</v>
      </c>
      <c r="U2710" s="6">
        <v>1464</v>
      </c>
      <c r="V2710">
        <v>0</v>
      </c>
      <c r="W2710">
        <v>0</v>
      </c>
      <c r="X2710">
        <v>0</v>
      </c>
      <c r="Y2710" s="6">
        <v>47.7</v>
      </c>
      <c r="Z2710">
        <v>0.752</v>
      </c>
      <c r="AA2710">
        <v>0.11799999999999999</v>
      </c>
      <c r="AB2710">
        <v>8.4000000000000005E-2</v>
      </c>
      <c r="AC2710">
        <v>6</v>
      </c>
      <c r="AD2710" s="6">
        <v>99</v>
      </c>
      <c r="AE2710" s="6">
        <v>25</v>
      </c>
      <c r="AF2710" s="6">
        <v>0</v>
      </c>
      <c r="AG2710" s="6">
        <v>92.9</v>
      </c>
      <c r="AH2710" s="6">
        <v>117.64</v>
      </c>
      <c r="AI2710" s="6">
        <f t="shared" si="84"/>
        <v>24.739999999999995</v>
      </c>
      <c r="AJ2710" s="5">
        <f t="shared" si="85"/>
        <v>0.21030261815708939</v>
      </c>
    </row>
    <row r="2711" spans="1:36">
      <c r="A2711" t="s">
        <v>521</v>
      </c>
      <c r="B2711" t="s">
        <v>2996</v>
      </c>
      <c r="C2711" t="s">
        <v>120</v>
      </c>
      <c r="D2711" t="s">
        <v>60</v>
      </c>
      <c r="E2711" t="s">
        <v>55</v>
      </c>
      <c r="F2711">
        <v>0</v>
      </c>
      <c r="G2711">
        <v>2255</v>
      </c>
      <c r="H2711">
        <v>1</v>
      </c>
      <c r="I2711" t="s">
        <v>173</v>
      </c>
      <c r="J2711">
        <v>1</v>
      </c>
      <c r="K2711" s="6">
        <v>2.67</v>
      </c>
      <c r="L2711" t="s">
        <v>200</v>
      </c>
      <c r="M2711">
        <v>1</v>
      </c>
      <c r="N2711" t="s">
        <v>175</v>
      </c>
      <c r="O2711">
        <v>1</v>
      </c>
      <c r="P2711">
        <v>1</v>
      </c>
      <c r="Q2711" s="6">
        <v>41.1</v>
      </c>
      <c r="R2711">
        <v>0</v>
      </c>
      <c r="S2711" s="6">
        <v>0</v>
      </c>
      <c r="T2711">
        <v>0</v>
      </c>
      <c r="U2711" s="6">
        <v>802</v>
      </c>
      <c r="V2711">
        <v>0</v>
      </c>
      <c r="W2711">
        <v>0</v>
      </c>
      <c r="X2711">
        <v>0</v>
      </c>
      <c r="Y2711" s="6">
        <v>47.7</v>
      </c>
      <c r="Z2711">
        <v>0.752</v>
      </c>
      <c r="AA2711">
        <v>0.11799999999999999</v>
      </c>
      <c r="AB2711">
        <v>8.4000000000000005E-2</v>
      </c>
      <c r="AC2711">
        <v>6</v>
      </c>
      <c r="AD2711" s="6">
        <v>99</v>
      </c>
      <c r="AE2711" s="6">
        <v>0</v>
      </c>
      <c r="AF2711" s="6">
        <v>0</v>
      </c>
      <c r="AG2711" s="6">
        <v>116.68</v>
      </c>
      <c r="AH2711" s="6">
        <v>147.71</v>
      </c>
      <c r="AI2711" s="6">
        <f t="shared" si="84"/>
        <v>31.03</v>
      </c>
      <c r="AJ2711" s="5">
        <f t="shared" si="85"/>
        <v>0.21007379324351769</v>
      </c>
    </row>
    <row r="2712" spans="1:36">
      <c r="A2712" t="s">
        <v>348</v>
      </c>
      <c r="B2712" t="s">
        <v>2997</v>
      </c>
      <c r="C2712" t="s">
        <v>120</v>
      </c>
      <c r="D2712" t="s">
        <v>60</v>
      </c>
      <c r="E2712" t="s">
        <v>55</v>
      </c>
      <c r="F2712">
        <v>0</v>
      </c>
      <c r="G2712">
        <v>2255</v>
      </c>
      <c r="H2712">
        <v>1.22</v>
      </c>
      <c r="I2712" t="s">
        <v>173</v>
      </c>
      <c r="J2712">
        <v>1</v>
      </c>
      <c r="K2712" s="6">
        <v>1.23</v>
      </c>
      <c r="L2712" t="s">
        <v>200</v>
      </c>
      <c r="M2712">
        <v>1</v>
      </c>
      <c r="N2712" t="s">
        <v>182</v>
      </c>
      <c r="O2712">
        <v>3</v>
      </c>
      <c r="P2712">
        <v>0</v>
      </c>
      <c r="Q2712" s="6">
        <v>69.3</v>
      </c>
      <c r="R2712">
        <v>1</v>
      </c>
      <c r="S2712" s="6">
        <v>990</v>
      </c>
      <c r="T2712">
        <v>0</v>
      </c>
      <c r="U2712" s="6">
        <v>1324</v>
      </c>
      <c r="V2712">
        <v>0</v>
      </c>
      <c r="W2712">
        <v>0</v>
      </c>
      <c r="X2712">
        <v>0</v>
      </c>
      <c r="Y2712" s="6">
        <v>47.7</v>
      </c>
      <c r="Z2712">
        <v>0.752</v>
      </c>
      <c r="AA2712">
        <v>0.11799999999999999</v>
      </c>
      <c r="AB2712">
        <v>8.4000000000000005E-2</v>
      </c>
      <c r="AC2712">
        <v>6</v>
      </c>
      <c r="AD2712" s="6">
        <v>99</v>
      </c>
      <c r="AE2712" s="6">
        <v>25</v>
      </c>
      <c r="AF2712" s="6">
        <v>0</v>
      </c>
      <c r="AG2712" s="6">
        <v>96.17</v>
      </c>
      <c r="AH2712" s="6">
        <v>121.22</v>
      </c>
      <c r="AI2712" s="6">
        <f t="shared" si="84"/>
        <v>25.049999999999997</v>
      </c>
      <c r="AJ2712" s="5">
        <f t="shared" si="85"/>
        <v>0.20664906781059228</v>
      </c>
    </row>
    <row r="2713" spans="1:36">
      <c r="A2713" t="s">
        <v>521</v>
      </c>
      <c r="B2713" t="s">
        <v>2998</v>
      </c>
      <c r="C2713" t="s">
        <v>120</v>
      </c>
      <c r="D2713" t="s">
        <v>60</v>
      </c>
      <c r="E2713" t="s">
        <v>55</v>
      </c>
      <c r="F2713">
        <v>0</v>
      </c>
      <c r="G2713">
        <v>2255</v>
      </c>
      <c r="H2713">
        <v>1</v>
      </c>
      <c r="I2713" t="s">
        <v>220</v>
      </c>
      <c r="J2713">
        <v>2</v>
      </c>
      <c r="K2713" s="6">
        <v>3.1</v>
      </c>
      <c r="L2713" t="s">
        <v>200</v>
      </c>
      <c r="M2713">
        <v>1</v>
      </c>
      <c r="N2713" t="s">
        <v>182</v>
      </c>
      <c r="O2713">
        <v>3</v>
      </c>
      <c r="P2713">
        <v>0</v>
      </c>
      <c r="Q2713" s="6">
        <v>101</v>
      </c>
      <c r="R2713">
        <v>0</v>
      </c>
      <c r="S2713" s="6">
        <v>0</v>
      </c>
      <c r="T2713">
        <v>0</v>
      </c>
      <c r="U2713" s="6">
        <v>715</v>
      </c>
      <c r="V2713">
        <v>0</v>
      </c>
      <c r="W2713">
        <v>0</v>
      </c>
      <c r="X2713">
        <v>0</v>
      </c>
      <c r="Y2713" s="6">
        <v>47.7</v>
      </c>
      <c r="Z2713">
        <v>0.752</v>
      </c>
      <c r="AA2713">
        <v>0.11799999999999999</v>
      </c>
      <c r="AB2713">
        <v>8.4000000000000005E-2</v>
      </c>
      <c r="AC2713">
        <v>6</v>
      </c>
      <c r="AD2713" s="6">
        <v>119</v>
      </c>
      <c r="AE2713" s="6">
        <v>0</v>
      </c>
      <c r="AF2713" s="6">
        <v>0</v>
      </c>
      <c r="AG2713" s="6">
        <v>96.33</v>
      </c>
      <c r="AH2713" s="6">
        <v>123.59</v>
      </c>
      <c r="AI2713" s="6">
        <f t="shared" si="84"/>
        <v>27.260000000000005</v>
      </c>
      <c r="AJ2713" s="5">
        <f t="shared" si="85"/>
        <v>0.22056800712031721</v>
      </c>
    </row>
    <row r="2714" spans="1:36">
      <c r="A2714" t="s">
        <v>401</v>
      </c>
      <c r="B2714" t="s">
        <v>2999</v>
      </c>
      <c r="C2714" t="s">
        <v>120</v>
      </c>
      <c r="D2714" t="s">
        <v>60</v>
      </c>
      <c r="E2714" t="s">
        <v>55</v>
      </c>
      <c r="F2714">
        <v>0</v>
      </c>
      <c r="G2714">
        <v>2255</v>
      </c>
      <c r="H2714">
        <v>1</v>
      </c>
      <c r="I2714" t="s">
        <v>181</v>
      </c>
      <c r="J2714">
        <v>3</v>
      </c>
      <c r="K2714" s="6">
        <v>9.09</v>
      </c>
      <c r="L2714" t="s">
        <v>200</v>
      </c>
      <c r="M2714">
        <v>1</v>
      </c>
      <c r="N2714" t="s">
        <v>272</v>
      </c>
      <c r="O2714">
        <v>5</v>
      </c>
      <c r="P2714">
        <v>1</v>
      </c>
      <c r="Q2714" s="6">
        <v>204.5</v>
      </c>
      <c r="R2714">
        <v>0</v>
      </c>
      <c r="S2714" s="6">
        <v>0</v>
      </c>
      <c r="T2714">
        <v>0</v>
      </c>
      <c r="U2714" s="6">
        <v>2196</v>
      </c>
      <c r="V2714">
        <v>0</v>
      </c>
      <c r="W2714">
        <v>0</v>
      </c>
      <c r="X2714">
        <v>0</v>
      </c>
      <c r="Y2714" s="6">
        <v>47.7</v>
      </c>
      <c r="Z2714">
        <v>0.752</v>
      </c>
      <c r="AA2714">
        <v>0.11799999999999999</v>
      </c>
      <c r="AB2714">
        <v>8.4000000000000005E-2</v>
      </c>
      <c r="AC2714">
        <v>6</v>
      </c>
      <c r="AD2714" s="6">
        <v>139</v>
      </c>
      <c r="AE2714" s="6">
        <v>0</v>
      </c>
      <c r="AF2714" s="6">
        <v>0</v>
      </c>
      <c r="AG2714" s="6">
        <v>236.24</v>
      </c>
      <c r="AH2714" s="6">
        <v>299.55</v>
      </c>
      <c r="AI2714" s="6">
        <f t="shared" si="84"/>
        <v>63.31</v>
      </c>
      <c r="AJ2714" s="5">
        <f t="shared" si="85"/>
        <v>0.2113503588716408</v>
      </c>
    </row>
    <row r="2715" spans="1:36">
      <c r="A2715" t="s">
        <v>284</v>
      </c>
      <c r="B2715" t="s">
        <v>3000</v>
      </c>
      <c r="C2715" t="s">
        <v>120</v>
      </c>
      <c r="D2715" t="s">
        <v>60</v>
      </c>
      <c r="E2715" t="s">
        <v>55</v>
      </c>
      <c r="F2715">
        <v>0</v>
      </c>
      <c r="G2715">
        <v>2255</v>
      </c>
      <c r="H2715">
        <v>1.22</v>
      </c>
      <c r="I2715" t="s">
        <v>220</v>
      </c>
      <c r="J2715">
        <v>2</v>
      </c>
      <c r="K2715" s="6">
        <v>4.3600000000000003</v>
      </c>
      <c r="L2715" t="s">
        <v>174</v>
      </c>
      <c r="M2715">
        <v>0</v>
      </c>
      <c r="N2715" t="s">
        <v>175</v>
      </c>
      <c r="O2715">
        <v>1</v>
      </c>
      <c r="P2715">
        <v>0</v>
      </c>
      <c r="Q2715" s="6">
        <v>33</v>
      </c>
      <c r="R2715">
        <v>0</v>
      </c>
      <c r="S2715" s="6">
        <v>0</v>
      </c>
      <c r="T2715">
        <v>0</v>
      </c>
      <c r="U2715" s="6">
        <v>742</v>
      </c>
      <c r="V2715">
        <v>0</v>
      </c>
      <c r="W2715">
        <v>0</v>
      </c>
      <c r="X2715">
        <v>0</v>
      </c>
      <c r="Y2715" s="6">
        <v>47.7</v>
      </c>
      <c r="Z2715">
        <v>0.752</v>
      </c>
      <c r="AA2715">
        <v>0.11799999999999999</v>
      </c>
      <c r="AB2715">
        <v>8.4000000000000005E-2</v>
      </c>
      <c r="AC2715">
        <v>6</v>
      </c>
      <c r="AD2715" s="6">
        <v>50</v>
      </c>
      <c r="AE2715" s="6">
        <v>0</v>
      </c>
      <c r="AF2715" s="6">
        <v>0</v>
      </c>
      <c r="AG2715" s="6">
        <v>61.82</v>
      </c>
      <c r="AH2715" s="6">
        <v>81.55</v>
      </c>
      <c r="AI2715" s="6">
        <f t="shared" si="84"/>
        <v>19.729999999999997</v>
      </c>
      <c r="AJ2715" s="5">
        <f t="shared" si="85"/>
        <v>0.24193746167995092</v>
      </c>
    </row>
    <row r="2716" spans="1:36">
      <c r="A2716" t="s">
        <v>488</v>
      </c>
      <c r="B2716" t="s">
        <v>3001</v>
      </c>
      <c r="C2716" t="s">
        <v>120</v>
      </c>
      <c r="D2716" t="s">
        <v>60</v>
      </c>
      <c r="E2716" t="s">
        <v>55</v>
      </c>
      <c r="F2716">
        <v>0</v>
      </c>
      <c r="G2716">
        <v>2255</v>
      </c>
      <c r="H2716">
        <v>1.22</v>
      </c>
      <c r="I2716" t="s">
        <v>220</v>
      </c>
      <c r="J2716">
        <v>2</v>
      </c>
      <c r="K2716" s="6">
        <v>5.49</v>
      </c>
      <c r="L2716" t="s">
        <v>200</v>
      </c>
      <c r="M2716">
        <v>1</v>
      </c>
      <c r="N2716" t="s">
        <v>182</v>
      </c>
      <c r="O2716">
        <v>3</v>
      </c>
      <c r="P2716">
        <v>0</v>
      </c>
      <c r="Q2716" s="6">
        <v>102.4</v>
      </c>
      <c r="R2716">
        <v>0</v>
      </c>
      <c r="S2716" s="6">
        <v>0</v>
      </c>
      <c r="T2716">
        <v>0</v>
      </c>
      <c r="U2716" s="6">
        <v>773</v>
      </c>
      <c r="V2716">
        <v>0</v>
      </c>
      <c r="W2716">
        <v>0</v>
      </c>
      <c r="X2716">
        <v>0</v>
      </c>
      <c r="Y2716" s="6">
        <v>47.7</v>
      </c>
      <c r="Z2716">
        <v>0.752</v>
      </c>
      <c r="AA2716">
        <v>0.11799999999999999</v>
      </c>
      <c r="AB2716">
        <v>8.4000000000000005E-2</v>
      </c>
      <c r="AC2716">
        <v>6</v>
      </c>
      <c r="AD2716" s="6">
        <v>119</v>
      </c>
      <c r="AE2716" s="6">
        <v>0</v>
      </c>
      <c r="AF2716" s="6">
        <v>0</v>
      </c>
      <c r="AG2716" s="6">
        <v>107.39</v>
      </c>
      <c r="AH2716" s="6">
        <v>134.32</v>
      </c>
      <c r="AI2716" s="6">
        <f t="shared" si="84"/>
        <v>26.929999999999993</v>
      </c>
      <c r="AJ2716" s="5">
        <f t="shared" si="85"/>
        <v>0.20049136390708749</v>
      </c>
    </row>
    <row r="2717" spans="1:36">
      <c r="A2717" t="s">
        <v>478</v>
      </c>
      <c r="B2717" t="s">
        <v>3002</v>
      </c>
      <c r="C2717" t="s">
        <v>120</v>
      </c>
      <c r="D2717" t="s">
        <v>60</v>
      </c>
      <c r="E2717" t="s">
        <v>55</v>
      </c>
      <c r="F2717">
        <v>0</v>
      </c>
      <c r="G2717">
        <v>2255</v>
      </c>
      <c r="H2717">
        <v>1.22</v>
      </c>
      <c r="I2717" t="s">
        <v>173</v>
      </c>
      <c r="J2717">
        <v>1</v>
      </c>
      <c r="K2717" s="6">
        <v>2.62</v>
      </c>
      <c r="L2717" t="s">
        <v>200</v>
      </c>
      <c r="M2717">
        <v>1</v>
      </c>
      <c r="N2717" t="s">
        <v>187</v>
      </c>
      <c r="O2717">
        <v>2</v>
      </c>
      <c r="P2717">
        <v>0</v>
      </c>
      <c r="Q2717" s="6">
        <v>53.9</v>
      </c>
      <c r="R2717">
        <v>1</v>
      </c>
      <c r="S2717" s="6">
        <v>2258</v>
      </c>
      <c r="T2717">
        <v>0</v>
      </c>
      <c r="U2717" s="6">
        <v>1278</v>
      </c>
      <c r="V2717">
        <v>0</v>
      </c>
      <c r="W2717">
        <v>0</v>
      </c>
      <c r="X2717">
        <v>0</v>
      </c>
      <c r="Y2717" s="6">
        <v>47.7</v>
      </c>
      <c r="Z2717">
        <v>0.752</v>
      </c>
      <c r="AA2717">
        <v>0.11799999999999999</v>
      </c>
      <c r="AB2717">
        <v>8.4000000000000005E-2</v>
      </c>
      <c r="AC2717">
        <v>6</v>
      </c>
      <c r="AD2717" s="6">
        <v>99</v>
      </c>
      <c r="AE2717" s="6">
        <v>40</v>
      </c>
      <c r="AF2717" s="6">
        <v>0</v>
      </c>
      <c r="AG2717" s="6">
        <v>89.44</v>
      </c>
      <c r="AH2717" s="6">
        <v>111.86</v>
      </c>
      <c r="AI2717" s="6">
        <f t="shared" si="84"/>
        <v>22.42</v>
      </c>
      <c r="AJ2717" s="5">
        <f t="shared" si="85"/>
        <v>0.20042910781333811</v>
      </c>
    </row>
    <row r="2718" spans="1:36">
      <c r="A2718" t="s">
        <v>194</v>
      </c>
      <c r="B2718" t="s">
        <v>3003</v>
      </c>
      <c r="C2718" t="s">
        <v>120</v>
      </c>
      <c r="D2718" t="s">
        <v>60</v>
      </c>
      <c r="E2718" t="s">
        <v>55</v>
      </c>
      <c r="F2718">
        <v>0</v>
      </c>
      <c r="G2718">
        <v>2255</v>
      </c>
      <c r="H2718">
        <v>1.22</v>
      </c>
      <c r="I2718" t="s">
        <v>181</v>
      </c>
      <c r="J2718">
        <v>3</v>
      </c>
      <c r="K2718" s="6">
        <v>10.55</v>
      </c>
      <c r="L2718" t="s">
        <v>174</v>
      </c>
      <c r="M2718">
        <v>0</v>
      </c>
      <c r="N2718" t="s">
        <v>175</v>
      </c>
      <c r="O2718">
        <v>1</v>
      </c>
      <c r="P2718">
        <v>0</v>
      </c>
      <c r="Q2718" s="6">
        <v>37.700000000000003</v>
      </c>
      <c r="R2718">
        <v>1</v>
      </c>
      <c r="S2718" s="6">
        <v>1029</v>
      </c>
      <c r="T2718">
        <v>0</v>
      </c>
      <c r="U2718" s="6">
        <v>1677</v>
      </c>
      <c r="V2718">
        <v>0</v>
      </c>
      <c r="W2718">
        <v>0</v>
      </c>
      <c r="X2718">
        <v>0</v>
      </c>
      <c r="Y2718" s="6">
        <v>47.7</v>
      </c>
      <c r="Z2718">
        <v>0.752</v>
      </c>
      <c r="AA2718">
        <v>0.11799999999999999</v>
      </c>
      <c r="AB2718">
        <v>8.4000000000000005E-2</v>
      </c>
      <c r="AC2718">
        <v>6</v>
      </c>
      <c r="AD2718" s="6">
        <v>60</v>
      </c>
      <c r="AE2718" s="6">
        <v>25</v>
      </c>
      <c r="AF2718" s="6">
        <v>0</v>
      </c>
      <c r="AG2718" s="6">
        <v>118.34</v>
      </c>
      <c r="AH2718" s="6">
        <v>150.08000000000001</v>
      </c>
      <c r="AI2718" s="6">
        <f t="shared" si="84"/>
        <v>31.740000000000009</v>
      </c>
      <c r="AJ2718" s="5">
        <f t="shared" si="85"/>
        <v>0.21148720682302777</v>
      </c>
    </row>
    <row r="2719" spans="1:36">
      <c r="A2719" t="s">
        <v>253</v>
      </c>
      <c r="B2719" t="s">
        <v>3004</v>
      </c>
      <c r="C2719" t="s">
        <v>120</v>
      </c>
      <c r="D2719" t="s">
        <v>60</v>
      </c>
      <c r="E2719" t="s">
        <v>55</v>
      </c>
      <c r="F2719">
        <v>0</v>
      </c>
      <c r="G2719">
        <v>2255</v>
      </c>
      <c r="H2719">
        <v>1</v>
      </c>
      <c r="I2719" t="s">
        <v>173</v>
      </c>
      <c r="J2719">
        <v>1</v>
      </c>
      <c r="K2719" s="6">
        <v>2.0699999999999998</v>
      </c>
      <c r="L2719" t="s">
        <v>200</v>
      </c>
      <c r="M2719">
        <v>1</v>
      </c>
      <c r="N2719" t="s">
        <v>175</v>
      </c>
      <c r="O2719">
        <v>1</v>
      </c>
      <c r="P2719">
        <v>0</v>
      </c>
      <c r="Q2719" s="6">
        <v>35.299999999999997</v>
      </c>
      <c r="R2719">
        <v>0</v>
      </c>
      <c r="S2719" s="6">
        <v>0</v>
      </c>
      <c r="T2719">
        <v>0</v>
      </c>
      <c r="U2719" s="6">
        <v>1204</v>
      </c>
      <c r="V2719">
        <v>0</v>
      </c>
      <c r="W2719">
        <v>0</v>
      </c>
      <c r="X2719">
        <v>0</v>
      </c>
      <c r="Y2719" s="6">
        <v>47.7</v>
      </c>
      <c r="Z2719">
        <v>0.752</v>
      </c>
      <c r="AA2719">
        <v>0.11799999999999999</v>
      </c>
      <c r="AB2719">
        <v>8.4000000000000005E-2</v>
      </c>
      <c r="AC2719">
        <v>6</v>
      </c>
      <c r="AD2719" s="6">
        <v>99</v>
      </c>
      <c r="AE2719" s="6">
        <v>0</v>
      </c>
      <c r="AF2719" s="6">
        <v>0</v>
      </c>
      <c r="AG2719" s="6">
        <v>79.099999999999994</v>
      </c>
      <c r="AH2719" s="6">
        <v>102.1</v>
      </c>
      <c r="AI2719" s="6">
        <f t="shared" si="84"/>
        <v>23</v>
      </c>
      <c r="AJ2719" s="5">
        <f t="shared" si="85"/>
        <v>0.22526934378060726</v>
      </c>
    </row>
    <row r="2720" spans="1:36">
      <c r="A2720" t="s">
        <v>238</v>
      </c>
      <c r="B2720" t="s">
        <v>3005</v>
      </c>
      <c r="C2720" t="s">
        <v>120</v>
      </c>
      <c r="D2720" t="s">
        <v>60</v>
      </c>
      <c r="E2720" t="s">
        <v>55</v>
      </c>
      <c r="F2720">
        <v>0</v>
      </c>
      <c r="G2720">
        <v>2255</v>
      </c>
      <c r="H2720">
        <v>1</v>
      </c>
      <c r="I2720" t="s">
        <v>220</v>
      </c>
      <c r="J2720">
        <v>2</v>
      </c>
      <c r="K2720" s="6">
        <v>4.9000000000000004</v>
      </c>
      <c r="L2720" t="s">
        <v>200</v>
      </c>
      <c r="M2720">
        <v>1</v>
      </c>
      <c r="N2720" t="s">
        <v>187</v>
      </c>
      <c r="O2720">
        <v>2</v>
      </c>
      <c r="P2720">
        <v>0</v>
      </c>
      <c r="Q2720" s="6">
        <v>49.6</v>
      </c>
      <c r="R2720">
        <v>0</v>
      </c>
      <c r="S2720" s="6">
        <v>0</v>
      </c>
      <c r="T2720">
        <v>0</v>
      </c>
      <c r="U2720" s="6">
        <v>476</v>
      </c>
      <c r="V2720">
        <v>0</v>
      </c>
      <c r="W2720">
        <v>0</v>
      </c>
      <c r="X2720">
        <v>0</v>
      </c>
      <c r="Y2720" s="6">
        <v>47.7</v>
      </c>
      <c r="Z2720">
        <v>0.752</v>
      </c>
      <c r="AA2720">
        <v>0.11799999999999999</v>
      </c>
      <c r="AB2720">
        <v>8.4000000000000005E-2</v>
      </c>
      <c r="AC2720">
        <v>6</v>
      </c>
      <c r="AD2720" s="6">
        <v>119</v>
      </c>
      <c r="AE2720" s="6">
        <v>0</v>
      </c>
      <c r="AF2720" s="6">
        <v>0</v>
      </c>
      <c r="AG2720" s="6">
        <v>94.68</v>
      </c>
      <c r="AH2720" s="6">
        <v>120.91</v>
      </c>
      <c r="AI2720" s="6">
        <f t="shared" si="84"/>
        <v>26.22999999999999</v>
      </c>
      <c r="AJ2720" s="5">
        <f t="shared" si="85"/>
        <v>0.21693821850963518</v>
      </c>
    </row>
    <row r="2721" spans="1:36">
      <c r="A2721" t="s">
        <v>478</v>
      </c>
      <c r="B2721" t="s">
        <v>3006</v>
      </c>
      <c r="C2721" t="s">
        <v>120</v>
      </c>
      <c r="D2721" t="s">
        <v>60</v>
      </c>
      <c r="E2721" t="s">
        <v>55</v>
      </c>
      <c r="F2721">
        <v>0</v>
      </c>
      <c r="G2721">
        <v>2255</v>
      </c>
      <c r="H2721">
        <v>1.22</v>
      </c>
      <c r="I2721" t="s">
        <v>220</v>
      </c>
      <c r="J2721">
        <v>2</v>
      </c>
      <c r="K2721" s="6">
        <v>4.07</v>
      </c>
      <c r="L2721" t="s">
        <v>200</v>
      </c>
      <c r="M2721">
        <v>1</v>
      </c>
      <c r="N2721" t="s">
        <v>187</v>
      </c>
      <c r="O2721">
        <v>2</v>
      </c>
      <c r="P2721">
        <v>0</v>
      </c>
      <c r="Q2721" s="6">
        <v>59.9</v>
      </c>
      <c r="R2721">
        <v>1</v>
      </c>
      <c r="S2721" s="6">
        <v>1715</v>
      </c>
      <c r="T2721">
        <v>0</v>
      </c>
      <c r="U2721" s="6">
        <v>2901</v>
      </c>
      <c r="V2721">
        <v>1</v>
      </c>
      <c r="W2721">
        <v>0</v>
      </c>
      <c r="X2721">
        <v>0</v>
      </c>
      <c r="Y2721" s="6">
        <v>47.7</v>
      </c>
      <c r="Z2721">
        <v>0.752</v>
      </c>
      <c r="AA2721">
        <v>0.11799999999999999</v>
      </c>
      <c r="AB2721">
        <v>8.4000000000000005E-2</v>
      </c>
      <c r="AC2721">
        <v>6</v>
      </c>
      <c r="AD2721" s="6">
        <v>119</v>
      </c>
      <c r="AE2721" s="6">
        <v>25</v>
      </c>
      <c r="AF2721" s="6">
        <v>0</v>
      </c>
      <c r="AG2721" s="6">
        <v>142.33000000000001</v>
      </c>
      <c r="AH2721" s="6">
        <v>178.19</v>
      </c>
      <c r="AI2721" s="6">
        <f t="shared" si="84"/>
        <v>35.859999999999985</v>
      </c>
      <c r="AJ2721" s="5">
        <f t="shared" si="85"/>
        <v>0.20124586115943649</v>
      </c>
    </row>
    <row r="2722" spans="1:36">
      <c r="A2722" t="s">
        <v>528</v>
      </c>
      <c r="B2722" t="s">
        <v>3007</v>
      </c>
      <c r="C2722" t="s">
        <v>120</v>
      </c>
      <c r="D2722" t="s">
        <v>60</v>
      </c>
      <c r="E2722" t="s">
        <v>55</v>
      </c>
      <c r="F2722">
        <v>0</v>
      </c>
      <c r="G2722">
        <v>2255</v>
      </c>
      <c r="H2722">
        <v>1.22</v>
      </c>
      <c r="I2722" t="s">
        <v>220</v>
      </c>
      <c r="J2722">
        <v>2</v>
      </c>
      <c r="K2722" s="6">
        <v>4.12</v>
      </c>
      <c r="L2722" t="s">
        <v>200</v>
      </c>
      <c r="M2722">
        <v>1</v>
      </c>
      <c r="N2722" t="s">
        <v>187</v>
      </c>
      <c r="O2722">
        <v>2</v>
      </c>
      <c r="P2722">
        <v>0</v>
      </c>
      <c r="Q2722" s="6">
        <v>57.9</v>
      </c>
      <c r="R2722">
        <v>0</v>
      </c>
      <c r="S2722" s="6">
        <v>0</v>
      </c>
      <c r="T2722">
        <v>0</v>
      </c>
      <c r="U2722" s="6">
        <v>1338</v>
      </c>
      <c r="V2722">
        <v>0</v>
      </c>
      <c r="W2722">
        <v>0</v>
      </c>
      <c r="X2722">
        <v>0</v>
      </c>
      <c r="Y2722" s="6">
        <v>47.7</v>
      </c>
      <c r="Z2722">
        <v>0.752</v>
      </c>
      <c r="AA2722">
        <v>0.11799999999999999</v>
      </c>
      <c r="AB2722">
        <v>8.4000000000000005E-2</v>
      </c>
      <c r="AC2722">
        <v>6</v>
      </c>
      <c r="AD2722" s="6">
        <v>119</v>
      </c>
      <c r="AE2722" s="6">
        <v>0</v>
      </c>
      <c r="AF2722" s="6">
        <v>0</v>
      </c>
      <c r="AG2722" s="6">
        <v>100.83</v>
      </c>
      <c r="AH2722" s="6">
        <v>130.83000000000001</v>
      </c>
      <c r="AI2722" s="6">
        <f t="shared" si="84"/>
        <v>30.000000000000014</v>
      </c>
      <c r="AJ2722" s="5">
        <f t="shared" si="85"/>
        <v>0.22930520522815875</v>
      </c>
    </row>
    <row r="2723" spans="1:36">
      <c r="A2723" t="s">
        <v>284</v>
      </c>
      <c r="B2723" t="s">
        <v>3008</v>
      </c>
      <c r="C2723" t="s">
        <v>120</v>
      </c>
      <c r="D2723" t="s">
        <v>60</v>
      </c>
      <c r="E2723" t="s">
        <v>55</v>
      </c>
      <c r="F2723">
        <v>0</v>
      </c>
      <c r="G2723">
        <v>2255</v>
      </c>
      <c r="H2723">
        <v>1.22</v>
      </c>
      <c r="I2723" t="s">
        <v>173</v>
      </c>
      <c r="J2723">
        <v>1</v>
      </c>
      <c r="K2723" s="6">
        <v>1.46</v>
      </c>
      <c r="L2723" t="s">
        <v>200</v>
      </c>
      <c r="M2723">
        <v>1</v>
      </c>
      <c r="N2723" t="s">
        <v>175</v>
      </c>
      <c r="O2723">
        <v>1</v>
      </c>
      <c r="P2723">
        <v>0</v>
      </c>
      <c r="Q2723" s="6">
        <v>31</v>
      </c>
      <c r="R2723">
        <v>0</v>
      </c>
      <c r="S2723" s="6">
        <v>0</v>
      </c>
      <c r="T2723">
        <v>0</v>
      </c>
      <c r="U2723" s="6">
        <v>1395</v>
      </c>
      <c r="V2723">
        <v>0</v>
      </c>
      <c r="W2723">
        <v>0</v>
      </c>
      <c r="X2723">
        <v>0</v>
      </c>
      <c r="Y2723" s="6">
        <v>47.7</v>
      </c>
      <c r="Z2723">
        <v>0.752</v>
      </c>
      <c r="AA2723">
        <v>0.11799999999999999</v>
      </c>
      <c r="AB2723">
        <v>8.4000000000000005E-2</v>
      </c>
      <c r="AC2723">
        <v>6</v>
      </c>
      <c r="AD2723" s="6">
        <v>99</v>
      </c>
      <c r="AE2723" s="6">
        <v>0</v>
      </c>
      <c r="AF2723" s="6">
        <v>0</v>
      </c>
      <c r="AG2723" s="6">
        <v>86.83</v>
      </c>
      <c r="AH2723" s="6">
        <v>109.35</v>
      </c>
      <c r="AI2723" s="6">
        <f t="shared" si="84"/>
        <v>22.519999999999996</v>
      </c>
      <c r="AJ2723" s="5">
        <f t="shared" si="85"/>
        <v>0.205944215820759</v>
      </c>
    </row>
    <row r="2724" spans="1:36">
      <c r="A2724" t="s">
        <v>185</v>
      </c>
      <c r="B2724" t="s">
        <v>3009</v>
      </c>
      <c r="C2724" t="s">
        <v>120</v>
      </c>
      <c r="D2724" t="s">
        <v>60</v>
      </c>
      <c r="E2724" t="s">
        <v>55</v>
      </c>
      <c r="F2724">
        <v>0</v>
      </c>
      <c r="G2724">
        <v>2255</v>
      </c>
      <c r="H2724">
        <v>1.22</v>
      </c>
      <c r="I2724" t="s">
        <v>220</v>
      </c>
      <c r="J2724">
        <v>2</v>
      </c>
      <c r="K2724" s="6">
        <v>4.09</v>
      </c>
      <c r="L2724" t="s">
        <v>174</v>
      </c>
      <c r="M2724">
        <v>0</v>
      </c>
      <c r="N2724" t="s">
        <v>187</v>
      </c>
      <c r="O2724">
        <v>2</v>
      </c>
      <c r="P2724">
        <v>0</v>
      </c>
      <c r="Q2724" s="6">
        <v>45.7</v>
      </c>
      <c r="R2724">
        <v>1</v>
      </c>
      <c r="S2724" s="6">
        <v>1190</v>
      </c>
      <c r="T2724">
        <v>0</v>
      </c>
      <c r="U2724" s="6">
        <v>2708</v>
      </c>
      <c r="V2724">
        <v>0</v>
      </c>
      <c r="W2724">
        <v>0</v>
      </c>
      <c r="X2724">
        <v>0</v>
      </c>
      <c r="Y2724" s="6">
        <v>47.7</v>
      </c>
      <c r="Z2724">
        <v>0.752</v>
      </c>
      <c r="AA2724">
        <v>0.11799999999999999</v>
      </c>
      <c r="AB2724">
        <v>8.4000000000000005E-2</v>
      </c>
      <c r="AC2724">
        <v>6</v>
      </c>
      <c r="AD2724" s="6">
        <v>50</v>
      </c>
      <c r="AE2724" s="6">
        <v>25</v>
      </c>
      <c r="AF2724" s="6">
        <v>0</v>
      </c>
      <c r="AG2724" s="6">
        <v>70.34</v>
      </c>
      <c r="AH2724" s="6">
        <v>90.86</v>
      </c>
      <c r="AI2724" s="6">
        <f t="shared" si="84"/>
        <v>20.519999999999996</v>
      </c>
      <c r="AJ2724" s="5">
        <f t="shared" si="85"/>
        <v>0.22584195465551393</v>
      </c>
    </row>
    <row r="2725" spans="1:36">
      <c r="A2725" t="s">
        <v>397</v>
      </c>
      <c r="B2725" t="s">
        <v>3010</v>
      </c>
      <c r="C2725" t="s">
        <v>120</v>
      </c>
      <c r="D2725" t="s">
        <v>60</v>
      </c>
      <c r="E2725" t="s">
        <v>55</v>
      </c>
      <c r="F2725">
        <v>0</v>
      </c>
      <c r="G2725">
        <v>2255</v>
      </c>
      <c r="H2725">
        <v>1.22</v>
      </c>
      <c r="I2725" t="s">
        <v>220</v>
      </c>
      <c r="J2725">
        <v>2</v>
      </c>
      <c r="K2725" s="6">
        <v>1.83</v>
      </c>
      <c r="L2725" t="s">
        <v>200</v>
      </c>
      <c r="M2725">
        <v>1</v>
      </c>
      <c r="N2725" t="s">
        <v>175</v>
      </c>
      <c r="O2725">
        <v>1</v>
      </c>
      <c r="P2725">
        <v>1</v>
      </c>
      <c r="Q2725" s="6">
        <v>28.4</v>
      </c>
      <c r="R2725">
        <v>1</v>
      </c>
      <c r="S2725" s="6">
        <v>849</v>
      </c>
      <c r="T2725">
        <v>0</v>
      </c>
      <c r="U2725" s="6">
        <v>1582</v>
      </c>
      <c r="V2725">
        <v>0</v>
      </c>
      <c r="W2725">
        <v>0</v>
      </c>
      <c r="X2725">
        <v>0</v>
      </c>
      <c r="Y2725" s="6">
        <v>47.7</v>
      </c>
      <c r="Z2725">
        <v>0.752</v>
      </c>
      <c r="AA2725">
        <v>0.11799999999999999</v>
      </c>
      <c r="AB2725">
        <v>8.4000000000000005E-2</v>
      </c>
      <c r="AC2725">
        <v>6</v>
      </c>
      <c r="AD2725" s="6">
        <v>119</v>
      </c>
      <c r="AE2725" s="6">
        <v>25</v>
      </c>
      <c r="AF2725" s="6">
        <v>0</v>
      </c>
      <c r="AG2725" s="6">
        <v>133.13</v>
      </c>
      <c r="AH2725" s="6">
        <v>168.79</v>
      </c>
      <c r="AI2725" s="6">
        <f t="shared" si="84"/>
        <v>35.659999999999997</v>
      </c>
      <c r="AJ2725" s="5">
        <f t="shared" si="85"/>
        <v>0.21126844007346407</v>
      </c>
    </row>
    <row r="2726" spans="1:36">
      <c r="A2726" t="s">
        <v>179</v>
      </c>
      <c r="B2726" t="s">
        <v>3011</v>
      </c>
      <c r="C2726" t="s">
        <v>120</v>
      </c>
      <c r="D2726" t="s">
        <v>60</v>
      </c>
      <c r="E2726" t="s">
        <v>55</v>
      </c>
      <c r="F2726">
        <v>0</v>
      </c>
      <c r="G2726">
        <v>2255</v>
      </c>
      <c r="H2726">
        <v>1</v>
      </c>
      <c r="I2726" t="s">
        <v>173</v>
      </c>
      <c r="J2726">
        <v>1</v>
      </c>
      <c r="K2726" s="6">
        <v>1.75</v>
      </c>
      <c r="L2726" t="s">
        <v>200</v>
      </c>
      <c r="M2726">
        <v>1</v>
      </c>
      <c r="N2726" t="s">
        <v>182</v>
      </c>
      <c r="O2726">
        <v>3</v>
      </c>
      <c r="P2726">
        <v>0</v>
      </c>
      <c r="Q2726" s="6">
        <v>110.4</v>
      </c>
      <c r="R2726">
        <v>0</v>
      </c>
      <c r="S2726" s="6">
        <v>0</v>
      </c>
      <c r="T2726">
        <v>0</v>
      </c>
      <c r="U2726" s="6">
        <v>711</v>
      </c>
      <c r="V2726">
        <v>0</v>
      </c>
      <c r="W2726">
        <v>0</v>
      </c>
      <c r="X2726">
        <v>0</v>
      </c>
      <c r="Y2726" s="6">
        <v>47.7</v>
      </c>
      <c r="Z2726">
        <v>0.752</v>
      </c>
      <c r="AA2726">
        <v>0.11799999999999999</v>
      </c>
      <c r="AB2726">
        <v>8.4000000000000005E-2</v>
      </c>
      <c r="AC2726">
        <v>6</v>
      </c>
      <c r="AD2726" s="6">
        <v>99</v>
      </c>
      <c r="AE2726" s="6">
        <v>0</v>
      </c>
      <c r="AF2726" s="6">
        <v>0</v>
      </c>
      <c r="AG2726" s="6">
        <v>89.58</v>
      </c>
      <c r="AH2726" s="6">
        <v>112.53</v>
      </c>
      <c r="AI2726" s="6">
        <f t="shared" si="84"/>
        <v>22.950000000000003</v>
      </c>
      <c r="AJ2726" s="5">
        <f t="shared" si="85"/>
        <v>0.20394561450279927</v>
      </c>
    </row>
    <row r="2727" spans="1:36">
      <c r="A2727" t="s">
        <v>306</v>
      </c>
      <c r="B2727" t="s">
        <v>3012</v>
      </c>
      <c r="C2727" t="s">
        <v>120</v>
      </c>
      <c r="D2727" t="s">
        <v>60</v>
      </c>
      <c r="E2727" t="s">
        <v>55</v>
      </c>
      <c r="F2727">
        <v>0</v>
      </c>
      <c r="G2727">
        <v>2255</v>
      </c>
      <c r="H2727">
        <v>1.22</v>
      </c>
      <c r="I2727" t="s">
        <v>181</v>
      </c>
      <c r="J2727">
        <v>3</v>
      </c>
      <c r="K2727" s="6">
        <v>10.73</v>
      </c>
      <c r="L2727" t="s">
        <v>174</v>
      </c>
      <c r="M2727">
        <v>0</v>
      </c>
      <c r="N2727" t="s">
        <v>175</v>
      </c>
      <c r="O2727">
        <v>1</v>
      </c>
      <c r="P2727">
        <v>0</v>
      </c>
      <c r="Q2727" s="6">
        <v>34.799999999999997</v>
      </c>
      <c r="R2727">
        <v>1</v>
      </c>
      <c r="S2727" s="6">
        <v>1996</v>
      </c>
      <c r="T2727">
        <v>0</v>
      </c>
      <c r="U2727" s="6">
        <v>838</v>
      </c>
      <c r="V2727">
        <v>0</v>
      </c>
      <c r="W2727">
        <v>0</v>
      </c>
      <c r="X2727">
        <v>0</v>
      </c>
      <c r="Y2727" s="6">
        <v>47.7</v>
      </c>
      <c r="Z2727">
        <v>0.752</v>
      </c>
      <c r="AA2727">
        <v>0.11799999999999999</v>
      </c>
      <c r="AB2727">
        <v>8.4000000000000005E-2</v>
      </c>
      <c r="AC2727">
        <v>6</v>
      </c>
      <c r="AD2727" s="6">
        <v>60</v>
      </c>
      <c r="AE2727" s="6">
        <v>25</v>
      </c>
      <c r="AF2727" s="6">
        <v>0</v>
      </c>
      <c r="AG2727" s="6">
        <v>104.18</v>
      </c>
      <c r="AH2727" s="6">
        <v>130.84</v>
      </c>
      <c r="AI2727" s="6">
        <f t="shared" si="84"/>
        <v>26.659999999999997</v>
      </c>
      <c r="AJ2727" s="5">
        <f t="shared" si="85"/>
        <v>0.20376031794558236</v>
      </c>
    </row>
    <row r="2728" spans="1:36">
      <c r="A2728" t="s">
        <v>300</v>
      </c>
      <c r="B2728" t="s">
        <v>3013</v>
      </c>
      <c r="C2728" t="s">
        <v>120</v>
      </c>
      <c r="D2728" t="s">
        <v>60</v>
      </c>
      <c r="E2728" t="s">
        <v>55</v>
      </c>
      <c r="F2728">
        <v>0</v>
      </c>
      <c r="G2728">
        <v>2255</v>
      </c>
      <c r="H2728">
        <v>1.22</v>
      </c>
      <c r="I2728" t="s">
        <v>173</v>
      </c>
      <c r="J2728">
        <v>1</v>
      </c>
      <c r="K2728" s="6">
        <v>1.82</v>
      </c>
      <c r="L2728" t="s">
        <v>200</v>
      </c>
      <c r="M2728">
        <v>1</v>
      </c>
      <c r="N2728" t="s">
        <v>182</v>
      </c>
      <c r="O2728">
        <v>3</v>
      </c>
      <c r="P2728">
        <v>0</v>
      </c>
      <c r="Q2728" s="6">
        <v>81.400000000000006</v>
      </c>
      <c r="R2728">
        <v>0</v>
      </c>
      <c r="S2728" s="6">
        <v>0</v>
      </c>
      <c r="T2728">
        <v>0</v>
      </c>
      <c r="U2728" s="6">
        <v>1149</v>
      </c>
      <c r="V2728">
        <v>1</v>
      </c>
      <c r="W2728">
        <v>0</v>
      </c>
      <c r="X2728">
        <v>0</v>
      </c>
      <c r="Y2728" s="6">
        <v>47.7</v>
      </c>
      <c r="Z2728">
        <v>0.752</v>
      </c>
      <c r="AA2728">
        <v>0.11799999999999999</v>
      </c>
      <c r="AB2728">
        <v>8.4000000000000005E-2</v>
      </c>
      <c r="AC2728">
        <v>6</v>
      </c>
      <c r="AD2728" s="6">
        <v>99</v>
      </c>
      <c r="AE2728" s="6">
        <v>0</v>
      </c>
      <c r="AF2728" s="6">
        <v>0</v>
      </c>
      <c r="AG2728" s="6">
        <v>142.66</v>
      </c>
      <c r="AH2728" s="6">
        <v>179.65</v>
      </c>
      <c r="AI2728" s="6">
        <f t="shared" si="84"/>
        <v>36.990000000000009</v>
      </c>
      <c r="AJ2728" s="5">
        <f t="shared" si="85"/>
        <v>0.20590036181463961</v>
      </c>
    </row>
    <row r="2729" spans="1:36">
      <c r="A2729" t="s">
        <v>253</v>
      </c>
      <c r="B2729" t="s">
        <v>3014</v>
      </c>
      <c r="C2729" t="s">
        <v>120</v>
      </c>
      <c r="D2729" t="s">
        <v>60</v>
      </c>
      <c r="E2729" t="s">
        <v>55</v>
      </c>
      <c r="F2729">
        <v>0</v>
      </c>
      <c r="G2729">
        <v>2255</v>
      </c>
      <c r="H2729">
        <v>1</v>
      </c>
      <c r="I2729" t="s">
        <v>181</v>
      </c>
      <c r="J2729">
        <v>3</v>
      </c>
      <c r="K2729" s="6">
        <v>12.04</v>
      </c>
      <c r="L2729" t="s">
        <v>174</v>
      </c>
      <c r="M2729">
        <v>0</v>
      </c>
      <c r="N2729" t="s">
        <v>182</v>
      </c>
      <c r="O2729">
        <v>3</v>
      </c>
      <c r="P2729">
        <v>0</v>
      </c>
      <c r="Q2729" s="6">
        <v>64.2</v>
      </c>
      <c r="R2729">
        <v>0</v>
      </c>
      <c r="S2729" s="6">
        <v>0</v>
      </c>
      <c r="T2729">
        <v>0</v>
      </c>
      <c r="U2729" s="6">
        <v>1029</v>
      </c>
      <c r="V2729">
        <v>0</v>
      </c>
      <c r="W2729">
        <v>0</v>
      </c>
      <c r="X2729">
        <v>0</v>
      </c>
      <c r="Y2729" s="6">
        <v>47.7</v>
      </c>
      <c r="Z2729">
        <v>0.752</v>
      </c>
      <c r="AA2729">
        <v>0.11799999999999999</v>
      </c>
      <c r="AB2729">
        <v>8.4000000000000005E-2</v>
      </c>
      <c r="AC2729">
        <v>6</v>
      </c>
      <c r="AD2729" s="6">
        <v>60</v>
      </c>
      <c r="AE2729" s="6">
        <v>0</v>
      </c>
      <c r="AF2729" s="6">
        <v>0</v>
      </c>
      <c r="AG2729" s="6">
        <v>102.9</v>
      </c>
      <c r="AH2729" s="6">
        <v>131.06</v>
      </c>
      <c r="AI2729" s="6">
        <f t="shared" si="84"/>
        <v>28.159999999999997</v>
      </c>
      <c r="AJ2729" s="5">
        <f t="shared" si="85"/>
        <v>0.21486342133374023</v>
      </c>
    </row>
    <row r="2730" spans="1:36">
      <c r="A2730" t="s">
        <v>296</v>
      </c>
      <c r="B2730" t="s">
        <v>3015</v>
      </c>
      <c r="C2730" t="s">
        <v>120</v>
      </c>
      <c r="D2730" t="s">
        <v>60</v>
      </c>
      <c r="E2730" t="s">
        <v>55</v>
      </c>
      <c r="F2730">
        <v>0</v>
      </c>
      <c r="G2730">
        <v>2255</v>
      </c>
      <c r="H2730">
        <v>1</v>
      </c>
      <c r="I2730" t="s">
        <v>220</v>
      </c>
      <c r="J2730">
        <v>2</v>
      </c>
      <c r="K2730" s="6">
        <v>4.53</v>
      </c>
      <c r="L2730" t="s">
        <v>200</v>
      </c>
      <c r="M2730">
        <v>1</v>
      </c>
      <c r="N2730" t="s">
        <v>175</v>
      </c>
      <c r="O2730">
        <v>1</v>
      </c>
      <c r="P2730">
        <v>0</v>
      </c>
      <c r="Q2730" s="6">
        <v>32.700000000000003</v>
      </c>
      <c r="R2730">
        <v>0</v>
      </c>
      <c r="S2730" s="6">
        <v>0</v>
      </c>
      <c r="T2730">
        <v>0</v>
      </c>
      <c r="U2730" s="6">
        <v>927</v>
      </c>
      <c r="V2730">
        <v>0</v>
      </c>
      <c r="W2730">
        <v>0</v>
      </c>
      <c r="X2730">
        <v>0</v>
      </c>
      <c r="Y2730" s="6">
        <v>47.7</v>
      </c>
      <c r="Z2730">
        <v>0.752</v>
      </c>
      <c r="AA2730">
        <v>0.11799999999999999</v>
      </c>
      <c r="AB2730">
        <v>8.4000000000000005E-2</v>
      </c>
      <c r="AC2730">
        <v>6</v>
      </c>
      <c r="AD2730" s="6">
        <v>119</v>
      </c>
      <c r="AE2730" s="6">
        <v>0</v>
      </c>
      <c r="AF2730" s="6">
        <v>0</v>
      </c>
      <c r="AG2730" s="6">
        <v>88.18</v>
      </c>
      <c r="AH2730" s="6">
        <v>120.2</v>
      </c>
      <c r="AI2730" s="6">
        <f t="shared" si="84"/>
        <v>32.019999999999996</v>
      </c>
      <c r="AJ2730" s="5">
        <f t="shared" si="85"/>
        <v>0.26638935108153072</v>
      </c>
    </row>
    <row r="2731" spans="1:36">
      <c r="A2731" t="s">
        <v>350</v>
      </c>
      <c r="B2731" t="s">
        <v>3016</v>
      </c>
      <c r="C2731" t="s">
        <v>120</v>
      </c>
      <c r="D2731" t="s">
        <v>60</v>
      </c>
      <c r="E2731" t="s">
        <v>55</v>
      </c>
      <c r="F2731">
        <v>0</v>
      </c>
      <c r="G2731">
        <v>2255</v>
      </c>
      <c r="H2731">
        <v>1.22</v>
      </c>
      <c r="I2731" t="s">
        <v>220</v>
      </c>
      <c r="J2731">
        <v>2</v>
      </c>
      <c r="K2731" s="6">
        <v>2.35</v>
      </c>
      <c r="L2731" t="s">
        <v>174</v>
      </c>
      <c r="M2731">
        <v>0</v>
      </c>
      <c r="N2731" t="s">
        <v>187</v>
      </c>
      <c r="O2731">
        <v>2</v>
      </c>
      <c r="P2731">
        <v>0</v>
      </c>
      <c r="Q2731" s="6">
        <v>48.2</v>
      </c>
      <c r="R2731">
        <v>0</v>
      </c>
      <c r="S2731" s="6">
        <v>0</v>
      </c>
      <c r="T2731">
        <v>0</v>
      </c>
      <c r="U2731" s="6">
        <v>2256</v>
      </c>
      <c r="V2731">
        <v>0</v>
      </c>
      <c r="W2731">
        <v>0</v>
      </c>
      <c r="X2731">
        <v>0</v>
      </c>
      <c r="Y2731" s="6">
        <v>47.7</v>
      </c>
      <c r="Z2731">
        <v>0.752</v>
      </c>
      <c r="AA2731">
        <v>0.11799999999999999</v>
      </c>
      <c r="AB2731">
        <v>8.4000000000000005E-2</v>
      </c>
      <c r="AC2731">
        <v>6</v>
      </c>
      <c r="AD2731" s="6">
        <v>50</v>
      </c>
      <c r="AE2731" s="6">
        <v>0</v>
      </c>
      <c r="AF2731" s="6">
        <v>0</v>
      </c>
      <c r="AG2731" s="6">
        <v>64.760000000000005</v>
      </c>
      <c r="AH2731" s="6">
        <v>82.35</v>
      </c>
      <c r="AI2731" s="6">
        <f t="shared" si="84"/>
        <v>17.589999999999989</v>
      </c>
      <c r="AJ2731" s="5">
        <f t="shared" si="85"/>
        <v>0.21360048573163315</v>
      </c>
    </row>
    <row r="2732" spans="1:36">
      <c r="A2732" t="s">
        <v>602</v>
      </c>
      <c r="B2732" t="s">
        <v>3017</v>
      </c>
      <c r="C2732" t="s">
        <v>120</v>
      </c>
      <c r="D2732" t="s">
        <v>60</v>
      </c>
      <c r="E2732" t="s">
        <v>55</v>
      </c>
      <c r="F2732">
        <v>0</v>
      </c>
      <c r="G2732">
        <v>2255</v>
      </c>
      <c r="H2732">
        <v>1</v>
      </c>
      <c r="I2732" t="s">
        <v>181</v>
      </c>
      <c r="J2732">
        <v>3</v>
      </c>
      <c r="K2732" s="6">
        <v>8.2899999999999991</v>
      </c>
      <c r="L2732" t="s">
        <v>174</v>
      </c>
      <c r="M2732">
        <v>0</v>
      </c>
      <c r="N2732" t="s">
        <v>182</v>
      </c>
      <c r="O2732">
        <v>3</v>
      </c>
      <c r="P2732">
        <v>0</v>
      </c>
      <c r="Q2732" s="6">
        <v>69</v>
      </c>
      <c r="R2732">
        <v>0</v>
      </c>
      <c r="S2732" s="6">
        <v>0</v>
      </c>
      <c r="T2732">
        <v>0</v>
      </c>
      <c r="U2732" s="6">
        <v>1471</v>
      </c>
      <c r="V2732">
        <v>0</v>
      </c>
      <c r="W2732">
        <v>0</v>
      </c>
      <c r="X2732">
        <v>0</v>
      </c>
      <c r="Y2732" s="6">
        <v>47.7</v>
      </c>
      <c r="Z2732">
        <v>0.752</v>
      </c>
      <c r="AA2732">
        <v>0.11799999999999999</v>
      </c>
      <c r="AB2732">
        <v>8.4000000000000005E-2</v>
      </c>
      <c r="AC2732">
        <v>6</v>
      </c>
      <c r="AD2732" s="6">
        <v>60</v>
      </c>
      <c r="AE2732" s="6">
        <v>0</v>
      </c>
      <c r="AF2732" s="6">
        <v>0</v>
      </c>
      <c r="AG2732" s="6">
        <v>101.38</v>
      </c>
      <c r="AH2732" s="6">
        <v>129.01</v>
      </c>
      <c r="AI2732" s="6">
        <f t="shared" si="84"/>
        <v>27.629999999999995</v>
      </c>
      <c r="AJ2732" s="5">
        <f t="shared" si="85"/>
        <v>0.21416944422912951</v>
      </c>
    </row>
    <row r="2733" spans="1:36">
      <c r="A2733" t="s">
        <v>391</v>
      </c>
      <c r="B2733" t="s">
        <v>3018</v>
      </c>
      <c r="C2733" t="s">
        <v>120</v>
      </c>
      <c r="D2733" t="s">
        <v>60</v>
      </c>
      <c r="E2733" t="s">
        <v>55</v>
      </c>
      <c r="F2733">
        <v>0</v>
      </c>
      <c r="G2733">
        <v>2255</v>
      </c>
      <c r="H2733">
        <v>1</v>
      </c>
      <c r="I2733" t="s">
        <v>173</v>
      </c>
      <c r="J2733">
        <v>1</v>
      </c>
      <c r="K2733" s="6">
        <v>2.15</v>
      </c>
      <c r="L2733" t="s">
        <v>174</v>
      </c>
      <c r="M2733">
        <v>0</v>
      </c>
      <c r="N2733" t="s">
        <v>182</v>
      </c>
      <c r="O2733">
        <v>3</v>
      </c>
      <c r="P2733">
        <v>0</v>
      </c>
      <c r="Q2733" s="6">
        <v>111.4</v>
      </c>
      <c r="R2733">
        <v>0</v>
      </c>
      <c r="S2733" s="6">
        <v>0</v>
      </c>
      <c r="T2733">
        <v>0</v>
      </c>
      <c r="U2733" s="6">
        <v>1392</v>
      </c>
      <c r="V2733">
        <v>0</v>
      </c>
      <c r="W2733">
        <v>0</v>
      </c>
      <c r="X2733">
        <v>0</v>
      </c>
      <c r="Y2733" s="6">
        <v>47.7</v>
      </c>
      <c r="Z2733">
        <v>0.752</v>
      </c>
      <c r="AA2733">
        <v>0.11799999999999999</v>
      </c>
      <c r="AB2733">
        <v>8.4000000000000005E-2</v>
      </c>
      <c r="AC2733">
        <v>6</v>
      </c>
      <c r="AD2733" s="6">
        <v>50</v>
      </c>
      <c r="AE2733" s="6">
        <v>0</v>
      </c>
      <c r="AF2733" s="6">
        <v>0</v>
      </c>
      <c r="AG2733" s="6">
        <v>65.260000000000005</v>
      </c>
      <c r="AH2733" s="6">
        <v>84.96</v>
      </c>
      <c r="AI2733" s="6">
        <f t="shared" si="84"/>
        <v>19.699999999999989</v>
      </c>
      <c r="AJ2733" s="5">
        <f t="shared" si="85"/>
        <v>0.23187382297551778</v>
      </c>
    </row>
    <row r="2734" spans="1:36">
      <c r="A2734" t="s">
        <v>249</v>
      </c>
      <c r="B2734" t="s">
        <v>3019</v>
      </c>
      <c r="C2734" t="s">
        <v>120</v>
      </c>
      <c r="D2734" t="s">
        <v>60</v>
      </c>
      <c r="E2734" t="s">
        <v>55</v>
      </c>
      <c r="F2734">
        <v>0</v>
      </c>
      <c r="G2734">
        <v>2255</v>
      </c>
      <c r="H2734">
        <v>1</v>
      </c>
      <c r="I2734" t="s">
        <v>220</v>
      </c>
      <c r="J2734">
        <v>2</v>
      </c>
      <c r="K2734" s="6">
        <v>2.82</v>
      </c>
      <c r="L2734" t="s">
        <v>200</v>
      </c>
      <c r="M2734">
        <v>1</v>
      </c>
      <c r="N2734" t="s">
        <v>175</v>
      </c>
      <c r="O2734">
        <v>1</v>
      </c>
      <c r="P2734">
        <v>0</v>
      </c>
      <c r="Q2734" s="6">
        <v>31.5</v>
      </c>
      <c r="R2734">
        <v>1</v>
      </c>
      <c r="S2734" s="6">
        <v>4333</v>
      </c>
      <c r="T2734">
        <v>0</v>
      </c>
      <c r="U2734" s="6">
        <v>2337</v>
      </c>
      <c r="V2734">
        <v>0</v>
      </c>
      <c r="W2734">
        <v>0</v>
      </c>
      <c r="X2734">
        <v>0</v>
      </c>
      <c r="Y2734" s="6">
        <v>47.7</v>
      </c>
      <c r="Z2734">
        <v>0.752</v>
      </c>
      <c r="AA2734">
        <v>0.11799999999999999</v>
      </c>
      <c r="AB2734">
        <v>8.4000000000000005E-2</v>
      </c>
      <c r="AC2734">
        <v>6</v>
      </c>
      <c r="AD2734" s="6">
        <v>119</v>
      </c>
      <c r="AE2734" s="6">
        <v>40</v>
      </c>
      <c r="AF2734" s="6">
        <v>0</v>
      </c>
      <c r="AG2734" s="6">
        <v>90.42</v>
      </c>
      <c r="AH2734" s="6">
        <v>123.58</v>
      </c>
      <c r="AI2734" s="6">
        <f t="shared" si="84"/>
        <v>33.159999999999997</v>
      </c>
      <c r="AJ2734" s="5">
        <f t="shared" si="85"/>
        <v>0.2683282084479689</v>
      </c>
    </row>
    <row r="2735" spans="1:36">
      <c r="A2735" t="s">
        <v>247</v>
      </c>
      <c r="B2735" t="s">
        <v>3020</v>
      </c>
      <c r="C2735" t="s">
        <v>120</v>
      </c>
      <c r="D2735" t="s">
        <v>60</v>
      </c>
      <c r="E2735" t="s">
        <v>55</v>
      </c>
      <c r="F2735">
        <v>0</v>
      </c>
      <c r="G2735">
        <v>2255</v>
      </c>
      <c r="H2735">
        <v>1</v>
      </c>
      <c r="I2735" t="s">
        <v>173</v>
      </c>
      <c r="J2735">
        <v>1</v>
      </c>
      <c r="K2735" s="6">
        <v>2.52</v>
      </c>
      <c r="L2735" t="s">
        <v>200</v>
      </c>
      <c r="M2735">
        <v>1</v>
      </c>
      <c r="N2735" t="s">
        <v>187</v>
      </c>
      <c r="O2735">
        <v>2</v>
      </c>
      <c r="P2735">
        <v>0</v>
      </c>
      <c r="Q2735" s="6">
        <v>50.1</v>
      </c>
      <c r="R2735">
        <v>0</v>
      </c>
      <c r="S2735" s="6">
        <v>0</v>
      </c>
      <c r="T2735">
        <v>0</v>
      </c>
      <c r="U2735" s="6">
        <v>1279</v>
      </c>
      <c r="V2735">
        <v>0</v>
      </c>
      <c r="W2735">
        <v>0</v>
      </c>
      <c r="X2735">
        <v>0</v>
      </c>
      <c r="Y2735" s="6">
        <v>47.7</v>
      </c>
      <c r="Z2735">
        <v>0.752</v>
      </c>
      <c r="AA2735">
        <v>0.11799999999999999</v>
      </c>
      <c r="AB2735">
        <v>8.4000000000000005E-2</v>
      </c>
      <c r="AC2735">
        <v>6</v>
      </c>
      <c r="AD2735" s="6">
        <v>99</v>
      </c>
      <c r="AE2735" s="6">
        <v>0</v>
      </c>
      <c r="AF2735" s="6">
        <v>0</v>
      </c>
      <c r="AG2735" s="6">
        <v>76.19</v>
      </c>
      <c r="AH2735" s="6">
        <v>99.66</v>
      </c>
      <c r="AI2735" s="6">
        <f t="shared" si="84"/>
        <v>23.47</v>
      </c>
      <c r="AJ2735" s="5">
        <f t="shared" si="85"/>
        <v>0.2355007023881196</v>
      </c>
    </row>
    <row r="2736" spans="1:36">
      <c r="A2736" t="s">
        <v>469</v>
      </c>
      <c r="B2736" t="s">
        <v>3021</v>
      </c>
      <c r="C2736" t="s">
        <v>120</v>
      </c>
      <c r="D2736" t="s">
        <v>60</v>
      </c>
      <c r="E2736" t="s">
        <v>55</v>
      </c>
      <c r="F2736">
        <v>0</v>
      </c>
      <c r="G2736">
        <v>2255</v>
      </c>
      <c r="H2736">
        <v>1</v>
      </c>
      <c r="I2736" t="s">
        <v>173</v>
      </c>
      <c r="J2736">
        <v>1</v>
      </c>
      <c r="K2736" s="6">
        <v>1.63</v>
      </c>
      <c r="L2736" t="s">
        <v>200</v>
      </c>
      <c r="M2736">
        <v>1</v>
      </c>
      <c r="N2736" t="s">
        <v>175</v>
      </c>
      <c r="O2736">
        <v>1</v>
      </c>
      <c r="P2736">
        <v>0</v>
      </c>
      <c r="Q2736" s="6">
        <v>31.7</v>
      </c>
      <c r="R2736">
        <v>1</v>
      </c>
      <c r="S2736" s="6">
        <v>2405</v>
      </c>
      <c r="T2736">
        <v>0</v>
      </c>
      <c r="U2736" s="6">
        <v>1309</v>
      </c>
      <c r="V2736">
        <v>0</v>
      </c>
      <c r="W2736">
        <v>0</v>
      </c>
      <c r="X2736">
        <v>0</v>
      </c>
      <c r="Y2736" s="6">
        <v>47.7</v>
      </c>
      <c r="Z2736">
        <v>0.752</v>
      </c>
      <c r="AA2736">
        <v>0.11799999999999999</v>
      </c>
      <c r="AB2736">
        <v>8.4000000000000005E-2</v>
      </c>
      <c r="AC2736">
        <v>6</v>
      </c>
      <c r="AD2736" s="6">
        <v>99</v>
      </c>
      <c r="AE2736" s="6">
        <v>40</v>
      </c>
      <c r="AF2736" s="6">
        <v>0</v>
      </c>
      <c r="AG2736" s="6">
        <v>82.61</v>
      </c>
      <c r="AH2736" s="6">
        <v>106.95</v>
      </c>
      <c r="AI2736" s="6">
        <f t="shared" si="84"/>
        <v>24.340000000000003</v>
      </c>
      <c r="AJ2736" s="5">
        <f t="shared" si="85"/>
        <v>0.22758298270219732</v>
      </c>
    </row>
    <row r="2737" spans="1:36">
      <c r="A2737" t="s">
        <v>469</v>
      </c>
      <c r="B2737" t="s">
        <v>3022</v>
      </c>
      <c r="C2737" t="s">
        <v>120</v>
      </c>
      <c r="D2737" t="s">
        <v>60</v>
      </c>
      <c r="E2737" t="s">
        <v>55</v>
      </c>
      <c r="F2737">
        <v>0</v>
      </c>
      <c r="G2737">
        <v>2255</v>
      </c>
      <c r="H2737">
        <v>1</v>
      </c>
      <c r="I2737" t="s">
        <v>220</v>
      </c>
      <c r="J2737">
        <v>2</v>
      </c>
      <c r="K2737" s="6">
        <v>5.37</v>
      </c>
      <c r="L2737" t="s">
        <v>200</v>
      </c>
      <c r="M2737">
        <v>1</v>
      </c>
      <c r="N2737" t="s">
        <v>175</v>
      </c>
      <c r="O2737">
        <v>1</v>
      </c>
      <c r="P2737">
        <v>0</v>
      </c>
      <c r="Q2737" s="6">
        <v>35.1</v>
      </c>
      <c r="R2737">
        <v>1</v>
      </c>
      <c r="S2737" s="6">
        <v>1719</v>
      </c>
      <c r="T2737">
        <v>0</v>
      </c>
      <c r="U2737" s="6">
        <v>2592</v>
      </c>
      <c r="V2737">
        <v>0</v>
      </c>
      <c r="W2737">
        <v>0</v>
      </c>
      <c r="X2737">
        <v>0</v>
      </c>
      <c r="Y2737" s="6">
        <v>47.7</v>
      </c>
      <c r="Z2737">
        <v>0.752</v>
      </c>
      <c r="AA2737">
        <v>0.11799999999999999</v>
      </c>
      <c r="AB2737">
        <v>8.4000000000000005E-2</v>
      </c>
      <c r="AC2737">
        <v>6</v>
      </c>
      <c r="AD2737" s="6">
        <v>119</v>
      </c>
      <c r="AE2737" s="6">
        <v>25</v>
      </c>
      <c r="AF2737" s="6">
        <v>0</v>
      </c>
      <c r="AG2737" s="6">
        <v>95.69</v>
      </c>
      <c r="AH2737" s="6">
        <v>121.85</v>
      </c>
      <c r="AI2737" s="6">
        <f t="shared" si="84"/>
        <v>26.159999999999997</v>
      </c>
      <c r="AJ2737" s="5">
        <f t="shared" si="85"/>
        <v>0.21469019286007385</v>
      </c>
    </row>
    <row r="2738" spans="1:36">
      <c r="A2738" t="s">
        <v>215</v>
      </c>
      <c r="B2738" t="s">
        <v>3023</v>
      </c>
      <c r="C2738" t="s">
        <v>120</v>
      </c>
      <c r="D2738" t="s">
        <v>60</v>
      </c>
      <c r="E2738" t="s">
        <v>55</v>
      </c>
      <c r="F2738">
        <v>0</v>
      </c>
      <c r="G2738">
        <v>2255</v>
      </c>
      <c r="H2738">
        <v>1.22</v>
      </c>
      <c r="I2738" t="s">
        <v>220</v>
      </c>
      <c r="J2738">
        <v>2</v>
      </c>
      <c r="K2738" s="6">
        <v>4.01</v>
      </c>
      <c r="L2738" t="s">
        <v>200</v>
      </c>
      <c r="M2738">
        <v>1</v>
      </c>
      <c r="N2738" t="s">
        <v>187</v>
      </c>
      <c r="O2738">
        <v>2</v>
      </c>
      <c r="P2738">
        <v>0</v>
      </c>
      <c r="Q2738" s="6">
        <v>28.9</v>
      </c>
      <c r="R2738">
        <v>1</v>
      </c>
      <c r="S2738" s="6">
        <v>1119</v>
      </c>
      <c r="T2738">
        <v>0</v>
      </c>
      <c r="U2738" s="6">
        <v>767</v>
      </c>
      <c r="V2738">
        <v>1</v>
      </c>
      <c r="W2738">
        <v>0</v>
      </c>
      <c r="X2738">
        <v>0</v>
      </c>
      <c r="Y2738" s="6">
        <v>47.7</v>
      </c>
      <c r="Z2738">
        <v>0.752</v>
      </c>
      <c r="AA2738">
        <v>0.11799999999999999</v>
      </c>
      <c r="AB2738">
        <v>8.4000000000000005E-2</v>
      </c>
      <c r="AC2738">
        <v>6</v>
      </c>
      <c r="AD2738" s="6">
        <v>119</v>
      </c>
      <c r="AE2738" s="6">
        <v>25</v>
      </c>
      <c r="AF2738" s="6">
        <v>0</v>
      </c>
      <c r="AG2738" s="6">
        <v>138.65</v>
      </c>
      <c r="AH2738" s="6">
        <v>174.09</v>
      </c>
      <c r="AI2738" s="6">
        <f t="shared" si="84"/>
        <v>35.44</v>
      </c>
      <c r="AJ2738" s="5">
        <f t="shared" si="85"/>
        <v>0.20357286461025906</v>
      </c>
    </row>
    <row r="2739" spans="1:36">
      <c r="A2739" t="s">
        <v>261</v>
      </c>
      <c r="B2739" t="s">
        <v>3024</v>
      </c>
      <c r="C2739" t="s">
        <v>120</v>
      </c>
      <c r="D2739" t="s">
        <v>60</v>
      </c>
      <c r="E2739" t="s">
        <v>55</v>
      </c>
      <c r="F2739">
        <v>0</v>
      </c>
      <c r="G2739">
        <v>2255</v>
      </c>
      <c r="H2739">
        <v>1</v>
      </c>
      <c r="I2739" t="s">
        <v>173</v>
      </c>
      <c r="J2739">
        <v>1</v>
      </c>
      <c r="K2739" s="6">
        <v>1.55</v>
      </c>
      <c r="L2739" t="s">
        <v>200</v>
      </c>
      <c r="M2739">
        <v>1</v>
      </c>
      <c r="N2739" t="s">
        <v>182</v>
      </c>
      <c r="O2739">
        <v>3</v>
      </c>
      <c r="P2739">
        <v>0</v>
      </c>
      <c r="Q2739" s="6">
        <v>86.7</v>
      </c>
      <c r="R2739">
        <v>0</v>
      </c>
      <c r="S2739" s="6">
        <v>0</v>
      </c>
      <c r="T2739">
        <v>0</v>
      </c>
      <c r="U2739" s="6">
        <v>5866</v>
      </c>
      <c r="V2739">
        <v>0</v>
      </c>
      <c r="W2739">
        <v>0</v>
      </c>
      <c r="X2739">
        <v>0</v>
      </c>
      <c r="Y2739" s="6">
        <v>47.7</v>
      </c>
      <c r="Z2739">
        <v>0.752</v>
      </c>
      <c r="AA2739">
        <v>0.11799999999999999</v>
      </c>
      <c r="AB2739">
        <v>8.4000000000000005E-2</v>
      </c>
      <c r="AC2739">
        <v>6</v>
      </c>
      <c r="AD2739" s="6">
        <v>99</v>
      </c>
      <c r="AE2739" s="6">
        <v>0</v>
      </c>
      <c r="AF2739" s="6">
        <v>0</v>
      </c>
      <c r="AG2739" s="6">
        <v>83.03</v>
      </c>
      <c r="AH2739" s="6">
        <v>106.69</v>
      </c>
      <c r="AI2739" s="6">
        <f t="shared" si="84"/>
        <v>23.659999999999997</v>
      </c>
      <c r="AJ2739" s="5">
        <f t="shared" si="85"/>
        <v>0.22176398912737835</v>
      </c>
    </row>
    <row r="2740" spans="1:36">
      <c r="A2740" t="s">
        <v>469</v>
      </c>
      <c r="B2740" t="s">
        <v>3025</v>
      </c>
      <c r="C2740" t="s">
        <v>120</v>
      </c>
      <c r="D2740" t="s">
        <v>60</v>
      </c>
      <c r="E2740" t="s">
        <v>55</v>
      </c>
      <c r="F2740">
        <v>0</v>
      </c>
      <c r="G2740">
        <v>2255</v>
      </c>
      <c r="H2740">
        <v>1</v>
      </c>
      <c r="I2740" t="s">
        <v>220</v>
      </c>
      <c r="J2740">
        <v>2</v>
      </c>
      <c r="K2740" s="6">
        <v>3.17</v>
      </c>
      <c r="L2740" t="s">
        <v>200</v>
      </c>
      <c r="M2740">
        <v>1</v>
      </c>
      <c r="N2740" t="s">
        <v>175</v>
      </c>
      <c r="O2740">
        <v>1</v>
      </c>
      <c r="P2740">
        <v>0</v>
      </c>
      <c r="Q2740" s="6">
        <v>18.8</v>
      </c>
      <c r="R2740">
        <v>1</v>
      </c>
      <c r="S2740" s="6">
        <v>589</v>
      </c>
      <c r="T2740">
        <v>0</v>
      </c>
      <c r="U2740" s="6">
        <v>650</v>
      </c>
      <c r="V2740">
        <v>0</v>
      </c>
      <c r="W2740">
        <v>0</v>
      </c>
      <c r="X2740">
        <v>0</v>
      </c>
      <c r="Y2740" s="6">
        <v>47.7</v>
      </c>
      <c r="Z2740">
        <v>0.752</v>
      </c>
      <c r="AA2740">
        <v>0.11799999999999999</v>
      </c>
      <c r="AB2740">
        <v>8.4000000000000005E-2</v>
      </c>
      <c r="AC2740">
        <v>6</v>
      </c>
      <c r="AD2740" s="6">
        <v>119</v>
      </c>
      <c r="AE2740" s="6">
        <v>25</v>
      </c>
      <c r="AF2740" s="6">
        <v>0</v>
      </c>
      <c r="AG2740" s="6">
        <v>84.28</v>
      </c>
      <c r="AH2740" s="6">
        <v>122.81</v>
      </c>
      <c r="AI2740" s="6">
        <f t="shared" si="84"/>
        <v>38.53</v>
      </c>
      <c r="AJ2740" s="5">
        <f t="shared" si="85"/>
        <v>0.31373666639524467</v>
      </c>
    </row>
    <row r="2741" spans="1:36">
      <c r="A2741" t="s">
        <v>284</v>
      </c>
      <c r="B2741" t="s">
        <v>3026</v>
      </c>
      <c r="C2741" t="s">
        <v>120</v>
      </c>
      <c r="D2741" t="s">
        <v>60</v>
      </c>
      <c r="E2741" t="s">
        <v>55</v>
      </c>
      <c r="F2741">
        <v>0</v>
      </c>
      <c r="G2741">
        <v>2255</v>
      </c>
      <c r="H2741">
        <v>1.22</v>
      </c>
      <c r="I2741" t="s">
        <v>220</v>
      </c>
      <c r="J2741">
        <v>2</v>
      </c>
      <c r="K2741" s="6">
        <v>1.53</v>
      </c>
      <c r="L2741" t="s">
        <v>200</v>
      </c>
      <c r="M2741">
        <v>1</v>
      </c>
      <c r="N2741" t="s">
        <v>175</v>
      </c>
      <c r="O2741">
        <v>1</v>
      </c>
      <c r="P2741">
        <v>1</v>
      </c>
      <c r="Q2741" s="6">
        <v>45.1</v>
      </c>
      <c r="R2741">
        <v>0</v>
      </c>
      <c r="S2741" s="6">
        <v>0</v>
      </c>
      <c r="T2741">
        <v>0</v>
      </c>
      <c r="U2741" s="6">
        <v>3452</v>
      </c>
      <c r="V2741">
        <v>0</v>
      </c>
      <c r="W2741">
        <v>0</v>
      </c>
      <c r="X2741">
        <v>0</v>
      </c>
      <c r="Y2741" s="6">
        <v>47.7</v>
      </c>
      <c r="Z2741">
        <v>0.752</v>
      </c>
      <c r="AA2741">
        <v>0.11799999999999999</v>
      </c>
      <c r="AB2741">
        <v>8.4000000000000005E-2</v>
      </c>
      <c r="AC2741">
        <v>6</v>
      </c>
      <c r="AD2741" s="6">
        <v>119</v>
      </c>
      <c r="AE2741" s="6">
        <v>0</v>
      </c>
      <c r="AF2741" s="6">
        <v>0</v>
      </c>
      <c r="AG2741" s="6">
        <v>132.07</v>
      </c>
      <c r="AH2741" s="6">
        <v>165.88</v>
      </c>
      <c r="AI2741" s="6">
        <f t="shared" si="84"/>
        <v>33.81</v>
      </c>
      <c r="AJ2741" s="5">
        <f t="shared" si="85"/>
        <v>0.20382204002893661</v>
      </c>
    </row>
    <row r="2742" spans="1:36">
      <c r="A2742" t="s">
        <v>210</v>
      </c>
      <c r="B2742" t="s">
        <v>3027</v>
      </c>
      <c r="C2742" t="s">
        <v>120</v>
      </c>
      <c r="D2742" t="s">
        <v>60</v>
      </c>
      <c r="E2742" t="s">
        <v>55</v>
      </c>
      <c r="F2742">
        <v>0</v>
      </c>
      <c r="G2742">
        <v>2255</v>
      </c>
      <c r="H2742">
        <v>1</v>
      </c>
      <c r="I2742" t="s">
        <v>220</v>
      </c>
      <c r="J2742">
        <v>2</v>
      </c>
      <c r="K2742" s="6">
        <v>3.37</v>
      </c>
      <c r="L2742" t="s">
        <v>200</v>
      </c>
      <c r="M2742">
        <v>1</v>
      </c>
      <c r="N2742" t="s">
        <v>175</v>
      </c>
      <c r="O2742">
        <v>1</v>
      </c>
      <c r="P2742">
        <v>0</v>
      </c>
      <c r="Q2742" s="6">
        <v>32.700000000000003</v>
      </c>
      <c r="R2742">
        <v>1</v>
      </c>
      <c r="S2742" s="6">
        <v>3455</v>
      </c>
      <c r="T2742">
        <v>0</v>
      </c>
      <c r="U2742" s="6">
        <v>1501</v>
      </c>
      <c r="V2742">
        <v>0</v>
      </c>
      <c r="W2742">
        <v>0</v>
      </c>
      <c r="X2742">
        <v>0</v>
      </c>
      <c r="Y2742" s="6">
        <v>47.7</v>
      </c>
      <c r="Z2742">
        <v>0.752</v>
      </c>
      <c r="AA2742">
        <v>0.11799999999999999</v>
      </c>
      <c r="AB2742">
        <v>8.4000000000000005E-2</v>
      </c>
      <c r="AC2742">
        <v>6</v>
      </c>
      <c r="AD2742" s="6">
        <v>119</v>
      </c>
      <c r="AE2742" s="6">
        <v>40</v>
      </c>
      <c r="AF2742" s="6">
        <v>0</v>
      </c>
      <c r="AG2742" s="6">
        <v>92.54</v>
      </c>
      <c r="AH2742" s="6">
        <v>119.41</v>
      </c>
      <c r="AI2742" s="6">
        <f t="shared" si="84"/>
        <v>26.86999999999999</v>
      </c>
      <c r="AJ2742" s="5">
        <f t="shared" si="85"/>
        <v>0.22502302989699347</v>
      </c>
    </row>
    <row r="2743" spans="1:36">
      <c r="A2743" t="s">
        <v>765</v>
      </c>
      <c r="B2743" t="s">
        <v>3028</v>
      </c>
      <c r="C2743" t="s">
        <v>120</v>
      </c>
      <c r="D2743" t="s">
        <v>60</v>
      </c>
      <c r="E2743" t="s">
        <v>55</v>
      </c>
      <c r="F2743">
        <v>0</v>
      </c>
      <c r="G2743">
        <v>2255</v>
      </c>
      <c r="H2743">
        <v>1.22</v>
      </c>
      <c r="I2743" t="s">
        <v>220</v>
      </c>
      <c r="J2743">
        <v>2</v>
      </c>
      <c r="K2743" s="6">
        <v>5.6</v>
      </c>
      <c r="L2743" t="s">
        <v>200</v>
      </c>
      <c r="M2743">
        <v>1</v>
      </c>
      <c r="N2743" t="s">
        <v>175</v>
      </c>
      <c r="O2743">
        <v>1</v>
      </c>
      <c r="P2743">
        <v>0</v>
      </c>
      <c r="Q2743" s="6">
        <v>35.700000000000003</v>
      </c>
      <c r="R2743">
        <v>0</v>
      </c>
      <c r="S2743" s="6">
        <v>0</v>
      </c>
      <c r="T2743">
        <v>0</v>
      </c>
      <c r="U2743" s="6">
        <v>861</v>
      </c>
      <c r="V2743">
        <v>0</v>
      </c>
      <c r="W2743">
        <v>0</v>
      </c>
      <c r="X2743">
        <v>0</v>
      </c>
      <c r="Y2743" s="6">
        <v>47.7</v>
      </c>
      <c r="Z2743">
        <v>0.752</v>
      </c>
      <c r="AA2743">
        <v>0.11799999999999999</v>
      </c>
      <c r="AB2743">
        <v>8.4000000000000005E-2</v>
      </c>
      <c r="AC2743">
        <v>6</v>
      </c>
      <c r="AD2743" s="6">
        <v>119</v>
      </c>
      <c r="AE2743" s="6">
        <v>0</v>
      </c>
      <c r="AF2743" s="6">
        <v>0</v>
      </c>
      <c r="AG2743" s="6">
        <v>96.59</v>
      </c>
      <c r="AH2743" s="6">
        <v>120.8</v>
      </c>
      <c r="AI2743" s="6">
        <f t="shared" si="84"/>
        <v>24.209999999999994</v>
      </c>
      <c r="AJ2743" s="5">
        <f t="shared" si="85"/>
        <v>0.20041390728476816</v>
      </c>
    </row>
    <row r="2744" spans="1:36">
      <c r="A2744" t="s">
        <v>381</v>
      </c>
      <c r="B2744" t="s">
        <v>3029</v>
      </c>
      <c r="C2744" t="s">
        <v>120</v>
      </c>
      <c r="D2744" t="s">
        <v>60</v>
      </c>
      <c r="E2744" t="s">
        <v>55</v>
      </c>
      <c r="F2744">
        <v>0</v>
      </c>
      <c r="G2744">
        <v>2255</v>
      </c>
      <c r="H2744">
        <v>1</v>
      </c>
      <c r="I2744" t="s">
        <v>220</v>
      </c>
      <c r="J2744">
        <v>2</v>
      </c>
      <c r="K2744" s="6">
        <v>5.29</v>
      </c>
      <c r="L2744" t="s">
        <v>174</v>
      </c>
      <c r="M2744">
        <v>0</v>
      </c>
      <c r="N2744" t="s">
        <v>182</v>
      </c>
      <c r="O2744">
        <v>3</v>
      </c>
      <c r="P2744">
        <v>0</v>
      </c>
      <c r="Q2744" s="6">
        <v>97.9</v>
      </c>
      <c r="R2744">
        <v>1</v>
      </c>
      <c r="S2744" s="6">
        <v>901</v>
      </c>
      <c r="T2744">
        <v>0</v>
      </c>
      <c r="U2744" s="6">
        <v>1360</v>
      </c>
      <c r="V2744">
        <v>0</v>
      </c>
      <c r="W2744">
        <v>0</v>
      </c>
      <c r="X2744">
        <v>1</v>
      </c>
      <c r="Y2744" s="6">
        <v>47.7</v>
      </c>
      <c r="Z2744">
        <v>0.752</v>
      </c>
      <c r="AA2744">
        <v>0.11799999999999999</v>
      </c>
      <c r="AB2744">
        <v>8.4000000000000005E-2</v>
      </c>
      <c r="AC2744">
        <v>6</v>
      </c>
      <c r="AD2744" s="6">
        <v>50</v>
      </c>
      <c r="AE2744" s="6">
        <v>25</v>
      </c>
      <c r="AF2744" s="6">
        <v>0</v>
      </c>
      <c r="AG2744" s="6">
        <v>71.319999999999993</v>
      </c>
      <c r="AH2744" s="6">
        <v>90.09</v>
      </c>
      <c r="AI2744" s="6">
        <f t="shared" si="84"/>
        <v>18.77000000000001</v>
      </c>
      <c r="AJ2744" s="5">
        <f t="shared" si="85"/>
        <v>0.20834720834720846</v>
      </c>
    </row>
    <row r="2745" spans="1:36">
      <c r="A2745" t="s">
        <v>212</v>
      </c>
      <c r="B2745" t="s">
        <v>3030</v>
      </c>
      <c r="C2745" t="s">
        <v>120</v>
      </c>
      <c r="D2745" t="s">
        <v>60</v>
      </c>
      <c r="E2745" t="s">
        <v>55</v>
      </c>
      <c r="F2745">
        <v>0</v>
      </c>
      <c r="G2745">
        <v>2255</v>
      </c>
      <c r="H2745">
        <v>1.22</v>
      </c>
      <c r="I2745" t="s">
        <v>173</v>
      </c>
      <c r="J2745">
        <v>1</v>
      </c>
      <c r="K2745" s="6">
        <v>2.02</v>
      </c>
      <c r="L2745" t="s">
        <v>174</v>
      </c>
      <c r="M2745">
        <v>0</v>
      </c>
      <c r="N2745" t="s">
        <v>175</v>
      </c>
      <c r="O2745">
        <v>1</v>
      </c>
      <c r="P2745">
        <v>0</v>
      </c>
      <c r="Q2745" s="6">
        <v>31</v>
      </c>
      <c r="R2745">
        <v>1</v>
      </c>
      <c r="S2745" s="6">
        <v>726</v>
      </c>
      <c r="T2745">
        <v>0</v>
      </c>
      <c r="U2745" s="6">
        <v>1152</v>
      </c>
      <c r="V2745">
        <v>0</v>
      </c>
      <c r="W2745">
        <v>0</v>
      </c>
      <c r="X2745">
        <v>0</v>
      </c>
      <c r="Y2745" s="6">
        <v>47.7</v>
      </c>
      <c r="Z2745">
        <v>0.752</v>
      </c>
      <c r="AA2745">
        <v>0.11799999999999999</v>
      </c>
      <c r="AB2745">
        <v>8.4000000000000005E-2</v>
      </c>
      <c r="AC2745">
        <v>6</v>
      </c>
      <c r="AD2745" s="6">
        <v>50</v>
      </c>
      <c r="AE2745" s="6">
        <v>25</v>
      </c>
      <c r="AF2745" s="6">
        <v>0</v>
      </c>
      <c r="AG2745" s="6">
        <v>64.5</v>
      </c>
      <c r="AH2745" s="6">
        <v>80.760000000000005</v>
      </c>
      <c r="AI2745" s="6">
        <f t="shared" si="84"/>
        <v>16.260000000000005</v>
      </c>
      <c r="AJ2745" s="5">
        <f t="shared" si="85"/>
        <v>0.20133729569093617</v>
      </c>
    </row>
    <row r="2746" spans="1:36">
      <c r="A2746" t="s">
        <v>204</v>
      </c>
      <c r="B2746" t="s">
        <v>3031</v>
      </c>
      <c r="C2746" t="s">
        <v>120</v>
      </c>
      <c r="D2746" t="s">
        <v>60</v>
      </c>
      <c r="E2746" t="s">
        <v>55</v>
      </c>
      <c r="F2746">
        <v>0</v>
      </c>
      <c r="G2746">
        <v>2255</v>
      </c>
      <c r="H2746">
        <v>1.22</v>
      </c>
      <c r="I2746" t="s">
        <v>220</v>
      </c>
      <c r="J2746">
        <v>2</v>
      </c>
      <c r="K2746" s="6">
        <v>4.55</v>
      </c>
      <c r="L2746" t="s">
        <v>174</v>
      </c>
      <c r="M2746">
        <v>0</v>
      </c>
      <c r="N2746" t="s">
        <v>175</v>
      </c>
      <c r="O2746">
        <v>1</v>
      </c>
      <c r="P2746">
        <v>0</v>
      </c>
      <c r="Q2746" s="6">
        <v>31.7</v>
      </c>
      <c r="R2746">
        <v>0</v>
      </c>
      <c r="S2746" s="6">
        <v>0</v>
      </c>
      <c r="T2746">
        <v>0</v>
      </c>
      <c r="U2746" s="6">
        <v>3331</v>
      </c>
      <c r="V2746">
        <v>0</v>
      </c>
      <c r="W2746">
        <v>0</v>
      </c>
      <c r="X2746">
        <v>0</v>
      </c>
      <c r="Y2746" s="6">
        <v>47.7</v>
      </c>
      <c r="Z2746">
        <v>0.752</v>
      </c>
      <c r="AA2746">
        <v>0.11799999999999999</v>
      </c>
      <c r="AB2746">
        <v>8.4000000000000005E-2</v>
      </c>
      <c r="AC2746">
        <v>6</v>
      </c>
      <c r="AD2746" s="6">
        <v>50</v>
      </c>
      <c r="AE2746" s="6">
        <v>0</v>
      </c>
      <c r="AF2746" s="6">
        <v>0</v>
      </c>
      <c r="AG2746" s="6">
        <v>70.09</v>
      </c>
      <c r="AH2746" s="6">
        <v>88.46</v>
      </c>
      <c r="AI2746" s="6">
        <f t="shared" si="84"/>
        <v>18.36999999999999</v>
      </c>
      <c r="AJ2746" s="5">
        <f t="shared" si="85"/>
        <v>0.2076644811214107</v>
      </c>
    </row>
    <row r="2747" spans="1:36">
      <c r="A2747" t="s">
        <v>521</v>
      </c>
      <c r="B2747" t="s">
        <v>3032</v>
      </c>
      <c r="C2747" t="s">
        <v>120</v>
      </c>
      <c r="D2747" t="s">
        <v>60</v>
      </c>
      <c r="E2747" t="s">
        <v>55</v>
      </c>
      <c r="F2747">
        <v>0</v>
      </c>
      <c r="G2747">
        <v>2255</v>
      </c>
      <c r="H2747">
        <v>1</v>
      </c>
      <c r="I2747" t="s">
        <v>181</v>
      </c>
      <c r="J2747">
        <v>3</v>
      </c>
      <c r="K2747" s="6">
        <v>6.6</v>
      </c>
      <c r="L2747" t="s">
        <v>200</v>
      </c>
      <c r="M2747">
        <v>1</v>
      </c>
      <c r="N2747" t="s">
        <v>182</v>
      </c>
      <c r="O2747">
        <v>3</v>
      </c>
      <c r="P2747">
        <v>0</v>
      </c>
      <c r="Q2747" s="6">
        <v>93.7</v>
      </c>
      <c r="R2747">
        <v>0</v>
      </c>
      <c r="S2747" s="6">
        <v>0</v>
      </c>
      <c r="T2747">
        <v>0</v>
      </c>
      <c r="U2747" s="6">
        <v>1339</v>
      </c>
      <c r="V2747">
        <v>0</v>
      </c>
      <c r="W2747">
        <v>0</v>
      </c>
      <c r="X2747">
        <v>0</v>
      </c>
      <c r="Y2747" s="6">
        <v>47.7</v>
      </c>
      <c r="Z2747">
        <v>0.752</v>
      </c>
      <c r="AA2747">
        <v>0.11799999999999999</v>
      </c>
      <c r="AB2747">
        <v>8.4000000000000005E-2</v>
      </c>
      <c r="AC2747">
        <v>6</v>
      </c>
      <c r="AD2747" s="6">
        <v>139</v>
      </c>
      <c r="AE2747" s="6">
        <v>0</v>
      </c>
      <c r="AF2747" s="6">
        <v>0</v>
      </c>
      <c r="AG2747" s="6">
        <v>113.92</v>
      </c>
      <c r="AH2747" s="6">
        <v>145.44</v>
      </c>
      <c r="AI2747" s="6">
        <f t="shared" si="84"/>
        <v>31.519999999999996</v>
      </c>
      <c r="AJ2747" s="5">
        <f t="shared" si="85"/>
        <v>0.21672167216721669</v>
      </c>
    </row>
    <row r="2748" spans="1:36">
      <c r="A2748" t="s">
        <v>457</v>
      </c>
      <c r="B2748" t="s">
        <v>3033</v>
      </c>
      <c r="C2748" t="s">
        <v>120</v>
      </c>
      <c r="D2748" t="s">
        <v>60</v>
      </c>
      <c r="E2748" t="s">
        <v>55</v>
      </c>
      <c r="F2748">
        <v>0</v>
      </c>
      <c r="G2748">
        <v>2255</v>
      </c>
      <c r="H2748">
        <v>1</v>
      </c>
      <c r="I2748" t="s">
        <v>173</v>
      </c>
      <c r="J2748">
        <v>1</v>
      </c>
      <c r="K2748" s="6">
        <v>2.2400000000000002</v>
      </c>
      <c r="L2748" t="s">
        <v>200</v>
      </c>
      <c r="M2748">
        <v>1</v>
      </c>
      <c r="N2748" t="s">
        <v>175</v>
      </c>
      <c r="O2748">
        <v>1</v>
      </c>
      <c r="P2748">
        <v>0</v>
      </c>
      <c r="Q2748" s="6">
        <v>38.6</v>
      </c>
      <c r="R2748">
        <v>1</v>
      </c>
      <c r="S2748" s="6">
        <v>465</v>
      </c>
      <c r="T2748">
        <v>0</v>
      </c>
      <c r="U2748" s="6">
        <v>2507</v>
      </c>
      <c r="V2748">
        <v>0</v>
      </c>
      <c r="W2748">
        <v>0</v>
      </c>
      <c r="X2748">
        <v>0</v>
      </c>
      <c r="Y2748" s="6">
        <v>47.7</v>
      </c>
      <c r="Z2748">
        <v>0.752</v>
      </c>
      <c r="AA2748">
        <v>0.11799999999999999</v>
      </c>
      <c r="AB2748">
        <v>8.4000000000000005E-2</v>
      </c>
      <c r="AC2748">
        <v>6</v>
      </c>
      <c r="AD2748" s="6">
        <v>99</v>
      </c>
      <c r="AE2748" s="6">
        <v>25</v>
      </c>
      <c r="AF2748" s="6">
        <v>0</v>
      </c>
      <c r="AG2748" s="6">
        <v>83.75</v>
      </c>
      <c r="AH2748" s="6">
        <v>105.21</v>
      </c>
      <c r="AI2748" s="6">
        <f t="shared" si="84"/>
        <v>21.459999999999994</v>
      </c>
      <c r="AJ2748" s="5">
        <f t="shared" si="85"/>
        <v>0.20397300636821591</v>
      </c>
    </row>
    <row r="2749" spans="1:36">
      <c r="A2749" t="s">
        <v>537</v>
      </c>
      <c r="B2749" t="s">
        <v>3034</v>
      </c>
      <c r="C2749" t="s">
        <v>120</v>
      </c>
      <c r="D2749" t="s">
        <v>60</v>
      </c>
      <c r="E2749" t="s">
        <v>55</v>
      </c>
      <c r="F2749">
        <v>0</v>
      </c>
      <c r="G2749">
        <v>2255</v>
      </c>
      <c r="H2749">
        <v>1.22</v>
      </c>
      <c r="I2749" t="s">
        <v>173</v>
      </c>
      <c r="J2749">
        <v>1</v>
      </c>
      <c r="K2749" s="6">
        <v>1.65</v>
      </c>
      <c r="L2749" t="s">
        <v>200</v>
      </c>
      <c r="M2749">
        <v>1</v>
      </c>
      <c r="N2749" t="s">
        <v>272</v>
      </c>
      <c r="O2749">
        <v>5</v>
      </c>
      <c r="P2749">
        <v>1</v>
      </c>
      <c r="Q2749" s="6">
        <v>243.6</v>
      </c>
      <c r="R2749">
        <v>0</v>
      </c>
      <c r="S2749" s="6">
        <v>0</v>
      </c>
      <c r="T2749">
        <v>0</v>
      </c>
      <c r="U2749" s="6">
        <v>1832</v>
      </c>
      <c r="V2749">
        <v>1</v>
      </c>
      <c r="W2749">
        <v>0</v>
      </c>
      <c r="X2749">
        <v>0</v>
      </c>
      <c r="Y2749" s="6">
        <v>47.7</v>
      </c>
      <c r="Z2749">
        <v>0.752</v>
      </c>
      <c r="AA2749">
        <v>0.11799999999999999</v>
      </c>
      <c r="AB2749">
        <v>8.4000000000000005E-2</v>
      </c>
      <c r="AC2749">
        <v>6</v>
      </c>
      <c r="AD2749" s="6">
        <v>99</v>
      </c>
      <c r="AE2749" s="6">
        <v>0</v>
      </c>
      <c r="AF2749" s="6">
        <v>0</v>
      </c>
      <c r="AG2749" s="6">
        <v>256.70999999999998</v>
      </c>
      <c r="AH2749" s="6">
        <v>325.13</v>
      </c>
      <c r="AI2749" s="6">
        <f t="shared" si="84"/>
        <v>68.420000000000016</v>
      </c>
      <c r="AJ2749" s="5">
        <f t="shared" si="85"/>
        <v>0.21043890136253196</v>
      </c>
    </row>
    <row r="2750" spans="1:36">
      <c r="A2750" t="s">
        <v>218</v>
      </c>
      <c r="B2750" t="s">
        <v>3035</v>
      </c>
      <c r="C2750" t="s">
        <v>120</v>
      </c>
      <c r="D2750" t="s">
        <v>60</v>
      </c>
      <c r="E2750" t="s">
        <v>55</v>
      </c>
      <c r="F2750">
        <v>0</v>
      </c>
      <c r="G2750">
        <v>2255</v>
      </c>
      <c r="H2750">
        <v>1.22</v>
      </c>
      <c r="I2750" t="s">
        <v>220</v>
      </c>
      <c r="J2750">
        <v>2</v>
      </c>
      <c r="K2750" s="6">
        <v>5.73</v>
      </c>
      <c r="L2750" t="s">
        <v>200</v>
      </c>
      <c r="M2750">
        <v>1</v>
      </c>
      <c r="N2750" t="s">
        <v>175</v>
      </c>
      <c r="O2750">
        <v>1</v>
      </c>
      <c r="P2750">
        <v>0</v>
      </c>
      <c r="Q2750" s="6">
        <v>44.6</v>
      </c>
      <c r="R2750">
        <v>0</v>
      </c>
      <c r="S2750" s="6">
        <v>0</v>
      </c>
      <c r="T2750">
        <v>0</v>
      </c>
      <c r="U2750" s="6">
        <v>1450</v>
      </c>
      <c r="V2750">
        <v>0</v>
      </c>
      <c r="W2750">
        <v>0</v>
      </c>
      <c r="X2750">
        <v>0</v>
      </c>
      <c r="Y2750" s="6">
        <v>47.7</v>
      </c>
      <c r="Z2750">
        <v>0.752</v>
      </c>
      <c r="AA2750">
        <v>0.11799999999999999</v>
      </c>
      <c r="AB2750">
        <v>8.4000000000000005E-2</v>
      </c>
      <c r="AC2750">
        <v>6</v>
      </c>
      <c r="AD2750" s="6">
        <v>119</v>
      </c>
      <c r="AE2750" s="6">
        <v>0</v>
      </c>
      <c r="AF2750" s="6">
        <v>0</v>
      </c>
      <c r="AG2750" s="6">
        <v>102.89</v>
      </c>
      <c r="AH2750" s="6">
        <v>130.78</v>
      </c>
      <c r="AI2750" s="6">
        <f t="shared" si="84"/>
        <v>27.89</v>
      </c>
      <c r="AJ2750" s="5">
        <f t="shared" si="85"/>
        <v>0.21325890808992201</v>
      </c>
    </row>
    <row r="2751" spans="1:36">
      <c r="A2751" t="s">
        <v>230</v>
      </c>
      <c r="B2751" t="s">
        <v>3036</v>
      </c>
      <c r="C2751" t="s">
        <v>120</v>
      </c>
      <c r="D2751" t="s">
        <v>60</v>
      </c>
      <c r="E2751" t="s">
        <v>55</v>
      </c>
      <c r="F2751">
        <v>0</v>
      </c>
      <c r="G2751">
        <v>2255</v>
      </c>
      <c r="H2751">
        <v>1</v>
      </c>
      <c r="I2751" t="s">
        <v>173</v>
      </c>
      <c r="J2751">
        <v>1</v>
      </c>
      <c r="K2751" s="6">
        <v>1.43</v>
      </c>
      <c r="L2751" t="s">
        <v>200</v>
      </c>
      <c r="M2751">
        <v>1</v>
      </c>
      <c r="N2751" t="s">
        <v>187</v>
      </c>
      <c r="O2751">
        <v>2</v>
      </c>
      <c r="P2751">
        <v>1</v>
      </c>
      <c r="Q2751" s="6">
        <v>46.9</v>
      </c>
      <c r="R2751">
        <v>0</v>
      </c>
      <c r="S2751" s="6">
        <v>0</v>
      </c>
      <c r="T2751">
        <v>0</v>
      </c>
      <c r="U2751" s="6">
        <v>2302</v>
      </c>
      <c r="V2751">
        <v>0</v>
      </c>
      <c r="W2751">
        <v>0</v>
      </c>
      <c r="X2751">
        <v>0</v>
      </c>
      <c r="Y2751" s="6">
        <v>47.7</v>
      </c>
      <c r="Z2751">
        <v>0.752</v>
      </c>
      <c r="AA2751">
        <v>0.11799999999999999</v>
      </c>
      <c r="AB2751">
        <v>8.4000000000000005E-2</v>
      </c>
      <c r="AC2751">
        <v>6</v>
      </c>
      <c r="AD2751" s="6">
        <v>99</v>
      </c>
      <c r="AE2751" s="6">
        <v>0</v>
      </c>
      <c r="AF2751" s="6">
        <v>0</v>
      </c>
      <c r="AG2751" s="6">
        <v>129.80000000000001</v>
      </c>
      <c r="AH2751" s="6">
        <v>163.61000000000001</v>
      </c>
      <c r="AI2751" s="6">
        <f t="shared" si="84"/>
        <v>33.81</v>
      </c>
      <c r="AJ2751" s="5">
        <f t="shared" si="85"/>
        <v>0.20664996027137705</v>
      </c>
    </row>
    <row r="2752" spans="1:36">
      <c r="A2752" t="s">
        <v>296</v>
      </c>
      <c r="B2752" t="s">
        <v>3037</v>
      </c>
      <c r="C2752" t="s">
        <v>122</v>
      </c>
      <c r="D2752" t="s">
        <v>63</v>
      </c>
      <c r="E2752" t="s">
        <v>55</v>
      </c>
      <c r="F2752">
        <v>0</v>
      </c>
      <c r="G2752">
        <v>1445</v>
      </c>
      <c r="H2752">
        <v>1</v>
      </c>
      <c r="I2752" t="s">
        <v>173</v>
      </c>
      <c r="J2752">
        <v>1</v>
      </c>
      <c r="K2752" s="6">
        <v>2.2599999999999998</v>
      </c>
      <c r="L2752" t="s">
        <v>174</v>
      </c>
      <c r="M2752">
        <v>0</v>
      </c>
      <c r="N2752" t="s">
        <v>187</v>
      </c>
      <c r="O2752">
        <v>2</v>
      </c>
      <c r="P2752">
        <v>0</v>
      </c>
      <c r="Q2752" s="6">
        <v>42.3</v>
      </c>
      <c r="R2752">
        <v>0</v>
      </c>
      <c r="S2752" s="6">
        <v>0</v>
      </c>
      <c r="T2752">
        <v>0</v>
      </c>
      <c r="U2752" s="6">
        <v>2343</v>
      </c>
      <c r="V2752">
        <v>0</v>
      </c>
      <c r="W2752">
        <v>0</v>
      </c>
      <c r="X2752">
        <v>1</v>
      </c>
      <c r="Y2752" s="6">
        <v>40</v>
      </c>
      <c r="Z2752">
        <v>4.5999999999999999E-2</v>
      </c>
      <c r="AA2752">
        <v>9.5000000000000001E-2</v>
      </c>
      <c r="AB2752">
        <v>7.6999999999999999E-2</v>
      </c>
      <c r="AC2752">
        <v>6</v>
      </c>
      <c r="AD2752" s="6">
        <v>50</v>
      </c>
      <c r="AE2752" s="6">
        <v>0</v>
      </c>
      <c r="AF2752" s="6">
        <v>0</v>
      </c>
      <c r="AG2752" s="6">
        <v>40.21</v>
      </c>
      <c r="AH2752" s="6">
        <v>54.44</v>
      </c>
      <c r="AI2752" s="6">
        <f t="shared" si="84"/>
        <v>14.229999999999997</v>
      </c>
      <c r="AJ2752" s="5">
        <f t="shared" si="85"/>
        <v>0.26138868479059513</v>
      </c>
    </row>
    <row r="2753" spans="1:36">
      <c r="A2753" t="s">
        <v>343</v>
      </c>
      <c r="B2753" t="s">
        <v>3038</v>
      </c>
      <c r="C2753" t="s">
        <v>122</v>
      </c>
      <c r="D2753" t="s">
        <v>63</v>
      </c>
      <c r="E2753" t="s">
        <v>55</v>
      </c>
      <c r="F2753">
        <v>0</v>
      </c>
      <c r="G2753">
        <v>1445</v>
      </c>
      <c r="H2753">
        <v>1</v>
      </c>
      <c r="I2753" t="s">
        <v>173</v>
      </c>
      <c r="J2753">
        <v>1</v>
      </c>
      <c r="K2753" s="6">
        <v>1.96</v>
      </c>
      <c r="L2753" t="s">
        <v>174</v>
      </c>
      <c r="M2753">
        <v>0</v>
      </c>
      <c r="N2753" t="s">
        <v>175</v>
      </c>
      <c r="O2753">
        <v>1</v>
      </c>
      <c r="P2753">
        <v>0</v>
      </c>
      <c r="Q2753" s="6">
        <v>29.2</v>
      </c>
      <c r="R2753">
        <v>0</v>
      </c>
      <c r="S2753" s="6">
        <v>0</v>
      </c>
      <c r="T2753">
        <v>0</v>
      </c>
      <c r="U2753" s="6">
        <v>2056</v>
      </c>
      <c r="V2753">
        <v>1</v>
      </c>
      <c r="W2753">
        <v>0</v>
      </c>
      <c r="X2753">
        <v>0</v>
      </c>
      <c r="Y2753" s="6">
        <v>40</v>
      </c>
      <c r="Z2753">
        <v>4.5999999999999999E-2</v>
      </c>
      <c r="AA2753">
        <v>9.5000000000000001E-2</v>
      </c>
      <c r="AB2753">
        <v>7.6999999999999999E-2</v>
      </c>
      <c r="AC2753">
        <v>6</v>
      </c>
      <c r="AD2753" s="6">
        <v>50</v>
      </c>
      <c r="AE2753" s="6">
        <v>0</v>
      </c>
      <c r="AF2753" s="6">
        <v>0</v>
      </c>
      <c r="AG2753" s="6">
        <v>86.6</v>
      </c>
      <c r="AH2753" s="6">
        <v>112.34</v>
      </c>
      <c r="AI2753" s="6">
        <f t="shared" si="84"/>
        <v>25.740000000000009</v>
      </c>
      <c r="AJ2753" s="5">
        <f t="shared" si="85"/>
        <v>0.22912586790101486</v>
      </c>
    </row>
    <row r="2754" spans="1:36">
      <c r="A2754" t="s">
        <v>206</v>
      </c>
      <c r="B2754" t="s">
        <v>3039</v>
      </c>
      <c r="C2754" t="s">
        <v>122</v>
      </c>
      <c r="D2754" t="s">
        <v>63</v>
      </c>
      <c r="E2754" t="s">
        <v>55</v>
      </c>
      <c r="F2754">
        <v>0</v>
      </c>
      <c r="G2754">
        <v>1445</v>
      </c>
      <c r="H2754">
        <v>1</v>
      </c>
      <c r="I2754" t="s">
        <v>220</v>
      </c>
      <c r="J2754">
        <v>2</v>
      </c>
      <c r="K2754" s="6">
        <v>2.58</v>
      </c>
      <c r="L2754" t="s">
        <v>174</v>
      </c>
      <c r="M2754">
        <v>0</v>
      </c>
      <c r="N2754" t="s">
        <v>187</v>
      </c>
      <c r="O2754">
        <v>2</v>
      </c>
      <c r="P2754">
        <v>0</v>
      </c>
      <c r="Q2754" s="6">
        <v>55</v>
      </c>
      <c r="R2754">
        <v>0</v>
      </c>
      <c r="S2754" s="6">
        <v>0</v>
      </c>
      <c r="T2754">
        <v>0</v>
      </c>
      <c r="U2754" s="6">
        <v>988</v>
      </c>
      <c r="V2754">
        <v>0</v>
      </c>
      <c r="W2754">
        <v>0</v>
      </c>
      <c r="X2754">
        <v>1</v>
      </c>
      <c r="Y2754" s="6">
        <v>40</v>
      </c>
      <c r="Z2754">
        <v>4.5999999999999999E-2</v>
      </c>
      <c r="AA2754">
        <v>9.5000000000000001E-2</v>
      </c>
      <c r="AB2754">
        <v>7.6999999999999999E-2</v>
      </c>
      <c r="AC2754">
        <v>6</v>
      </c>
      <c r="AD2754" s="6">
        <v>50</v>
      </c>
      <c r="AE2754" s="6">
        <v>0</v>
      </c>
      <c r="AF2754" s="6">
        <v>0</v>
      </c>
      <c r="AG2754" s="6">
        <v>59.66</v>
      </c>
      <c r="AH2754" s="6">
        <v>78.290000000000006</v>
      </c>
      <c r="AI2754" s="6">
        <f t="shared" ref="AI2754:AI2817" si="86">AH2754-AG2754</f>
        <v>18.63000000000001</v>
      </c>
      <c r="AJ2754" s="5">
        <f t="shared" ref="AJ2754:AJ2817" si="87">IFERROR(AI2754/AH2754,0)</f>
        <v>0.23796142546940871</v>
      </c>
    </row>
    <row r="2755" spans="1:36">
      <c r="A2755" t="s">
        <v>274</v>
      </c>
      <c r="B2755" t="s">
        <v>3040</v>
      </c>
      <c r="C2755" t="s">
        <v>122</v>
      </c>
      <c r="D2755" t="s">
        <v>63</v>
      </c>
      <c r="E2755" t="s">
        <v>55</v>
      </c>
      <c r="F2755">
        <v>0</v>
      </c>
      <c r="G2755">
        <v>1445</v>
      </c>
      <c r="H2755">
        <v>1</v>
      </c>
      <c r="I2755" t="s">
        <v>173</v>
      </c>
      <c r="J2755">
        <v>1</v>
      </c>
      <c r="K2755" s="6">
        <v>0.43</v>
      </c>
      <c r="L2755" t="s">
        <v>174</v>
      </c>
      <c r="M2755">
        <v>0</v>
      </c>
      <c r="N2755" t="s">
        <v>217</v>
      </c>
      <c r="O2755">
        <v>4</v>
      </c>
      <c r="P2755">
        <v>1</v>
      </c>
      <c r="Q2755" s="6">
        <v>159.80000000000001</v>
      </c>
      <c r="R2755">
        <v>0</v>
      </c>
      <c r="S2755" s="6">
        <v>0</v>
      </c>
      <c r="T2755">
        <v>0</v>
      </c>
      <c r="U2755" s="6">
        <v>2780</v>
      </c>
      <c r="V2755">
        <v>0</v>
      </c>
      <c r="W2755">
        <v>0</v>
      </c>
      <c r="X2755">
        <v>0</v>
      </c>
      <c r="Y2755" s="6">
        <v>40</v>
      </c>
      <c r="Z2755">
        <v>4.5999999999999999E-2</v>
      </c>
      <c r="AA2755">
        <v>9.5000000000000001E-2</v>
      </c>
      <c r="AB2755">
        <v>7.6999999999999999E-2</v>
      </c>
      <c r="AC2755">
        <v>6</v>
      </c>
      <c r="AD2755" s="6">
        <v>50</v>
      </c>
      <c r="AE2755" s="6">
        <v>0</v>
      </c>
      <c r="AF2755" s="6">
        <v>0</v>
      </c>
      <c r="AG2755" s="6">
        <v>102.5</v>
      </c>
      <c r="AH2755" s="6">
        <v>129</v>
      </c>
      <c r="AI2755" s="6">
        <f t="shared" si="86"/>
        <v>26.5</v>
      </c>
      <c r="AJ2755" s="5">
        <f t="shared" si="87"/>
        <v>0.20542635658914729</v>
      </c>
    </row>
    <row r="2756" spans="1:36">
      <c r="A2756" t="s">
        <v>353</v>
      </c>
      <c r="B2756" t="s">
        <v>3041</v>
      </c>
      <c r="C2756" t="s">
        <v>122</v>
      </c>
      <c r="D2756" t="s">
        <v>63</v>
      </c>
      <c r="E2756" t="s">
        <v>55</v>
      </c>
      <c r="F2756">
        <v>0</v>
      </c>
      <c r="G2756">
        <v>1445</v>
      </c>
      <c r="H2756">
        <v>1</v>
      </c>
      <c r="I2756" t="s">
        <v>173</v>
      </c>
      <c r="J2756">
        <v>1</v>
      </c>
      <c r="K2756" s="6">
        <v>1.86</v>
      </c>
      <c r="L2756" t="s">
        <v>174</v>
      </c>
      <c r="M2756">
        <v>0</v>
      </c>
      <c r="N2756" t="s">
        <v>217</v>
      </c>
      <c r="O2756">
        <v>4</v>
      </c>
      <c r="P2756">
        <v>1</v>
      </c>
      <c r="Q2756" s="6">
        <v>139.69999999999999</v>
      </c>
      <c r="R2756">
        <v>1</v>
      </c>
      <c r="S2756" s="6">
        <v>1049</v>
      </c>
      <c r="T2756">
        <v>0</v>
      </c>
      <c r="U2756" s="6">
        <v>807</v>
      </c>
      <c r="V2756">
        <v>0</v>
      </c>
      <c r="W2756">
        <v>0</v>
      </c>
      <c r="X2756">
        <v>0</v>
      </c>
      <c r="Y2756" s="6">
        <v>40</v>
      </c>
      <c r="Z2756">
        <v>4.5999999999999999E-2</v>
      </c>
      <c r="AA2756">
        <v>9.5000000000000001E-2</v>
      </c>
      <c r="AB2756">
        <v>7.6999999999999999E-2</v>
      </c>
      <c r="AC2756">
        <v>6</v>
      </c>
      <c r="AD2756" s="6">
        <v>50</v>
      </c>
      <c r="AE2756" s="6">
        <v>25</v>
      </c>
      <c r="AF2756" s="6">
        <v>0</v>
      </c>
      <c r="AG2756" s="6">
        <v>105.17</v>
      </c>
      <c r="AH2756" s="6">
        <v>135.79</v>
      </c>
      <c r="AI2756" s="6">
        <f t="shared" si="86"/>
        <v>30.61999999999999</v>
      </c>
      <c r="AJ2756" s="5">
        <f t="shared" si="87"/>
        <v>0.22549525001841073</v>
      </c>
    </row>
    <row r="2757" spans="1:36">
      <c r="A2757" t="s">
        <v>208</v>
      </c>
      <c r="B2757" t="s">
        <v>3042</v>
      </c>
      <c r="C2757" t="s">
        <v>122</v>
      </c>
      <c r="D2757" t="s">
        <v>63</v>
      </c>
      <c r="E2757" t="s">
        <v>55</v>
      </c>
      <c r="F2757">
        <v>0</v>
      </c>
      <c r="G2757">
        <v>1445</v>
      </c>
      <c r="H2757">
        <v>1</v>
      </c>
      <c r="I2757" t="s">
        <v>181</v>
      </c>
      <c r="J2757">
        <v>3</v>
      </c>
      <c r="K2757" s="6">
        <v>4.72</v>
      </c>
      <c r="L2757" t="s">
        <v>174</v>
      </c>
      <c r="M2757">
        <v>0</v>
      </c>
      <c r="N2757" t="s">
        <v>187</v>
      </c>
      <c r="O2757">
        <v>2</v>
      </c>
      <c r="P2757">
        <v>0</v>
      </c>
      <c r="Q2757" s="6">
        <v>79.7</v>
      </c>
      <c r="R2757">
        <v>1</v>
      </c>
      <c r="S2757" s="6">
        <v>2454</v>
      </c>
      <c r="T2757">
        <v>0</v>
      </c>
      <c r="U2757" s="6">
        <v>864</v>
      </c>
      <c r="V2757">
        <v>0</v>
      </c>
      <c r="W2757">
        <v>0</v>
      </c>
      <c r="X2757">
        <v>0</v>
      </c>
      <c r="Y2757" s="6">
        <v>40</v>
      </c>
      <c r="Z2757">
        <v>4.5999999999999999E-2</v>
      </c>
      <c r="AA2757">
        <v>9.5000000000000001E-2</v>
      </c>
      <c r="AB2757">
        <v>7.6999999999999999E-2</v>
      </c>
      <c r="AC2757">
        <v>6</v>
      </c>
      <c r="AD2757" s="6">
        <v>60</v>
      </c>
      <c r="AE2757" s="6">
        <v>40</v>
      </c>
      <c r="AF2757" s="6">
        <v>0</v>
      </c>
      <c r="AG2757" s="6">
        <v>82.49</v>
      </c>
      <c r="AH2757" s="6">
        <v>104.98</v>
      </c>
      <c r="AI2757" s="6">
        <f t="shared" si="86"/>
        <v>22.490000000000009</v>
      </c>
      <c r="AJ2757" s="5">
        <f t="shared" si="87"/>
        <v>0.21423128214898085</v>
      </c>
    </row>
    <row r="2758" spans="1:36">
      <c r="A2758" t="s">
        <v>303</v>
      </c>
      <c r="B2758" t="s">
        <v>3043</v>
      </c>
      <c r="C2758" t="s">
        <v>122</v>
      </c>
      <c r="D2758" t="s">
        <v>63</v>
      </c>
      <c r="E2758" t="s">
        <v>55</v>
      </c>
      <c r="F2758">
        <v>0</v>
      </c>
      <c r="G2758">
        <v>1445</v>
      </c>
      <c r="H2758">
        <v>1</v>
      </c>
      <c r="I2758" t="s">
        <v>173</v>
      </c>
      <c r="J2758">
        <v>1</v>
      </c>
      <c r="K2758" s="6">
        <v>1.66</v>
      </c>
      <c r="L2758" t="s">
        <v>174</v>
      </c>
      <c r="M2758">
        <v>0</v>
      </c>
      <c r="N2758" t="s">
        <v>217</v>
      </c>
      <c r="O2758">
        <v>4</v>
      </c>
      <c r="P2758">
        <v>1</v>
      </c>
      <c r="Q2758" s="6">
        <v>237.1</v>
      </c>
      <c r="R2758">
        <v>1</v>
      </c>
      <c r="S2758" s="6">
        <v>791</v>
      </c>
      <c r="T2758">
        <v>0</v>
      </c>
      <c r="U2758" s="6">
        <v>1500</v>
      </c>
      <c r="V2758">
        <v>0</v>
      </c>
      <c r="W2758">
        <v>0</v>
      </c>
      <c r="X2758">
        <v>0</v>
      </c>
      <c r="Y2758" s="6">
        <v>40</v>
      </c>
      <c r="Z2758">
        <v>4.5999999999999999E-2</v>
      </c>
      <c r="AA2758">
        <v>9.5000000000000001E-2</v>
      </c>
      <c r="AB2758">
        <v>7.6999999999999999E-2</v>
      </c>
      <c r="AC2758">
        <v>6</v>
      </c>
      <c r="AD2758" s="6">
        <v>50</v>
      </c>
      <c r="AE2758" s="6">
        <v>25</v>
      </c>
      <c r="AF2758" s="6">
        <v>0</v>
      </c>
      <c r="AG2758" s="6">
        <v>113.3</v>
      </c>
      <c r="AH2758" s="6">
        <v>146.51</v>
      </c>
      <c r="AI2758" s="6">
        <f t="shared" si="86"/>
        <v>33.209999999999994</v>
      </c>
      <c r="AJ2758" s="5">
        <f t="shared" si="87"/>
        <v>0.22667394717084155</v>
      </c>
    </row>
    <row r="2759" spans="1:36">
      <c r="A2759" t="s">
        <v>198</v>
      </c>
      <c r="B2759" t="s">
        <v>3044</v>
      </c>
      <c r="C2759" t="s">
        <v>122</v>
      </c>
      <c r="D2759" t="s">
        <v>63</v>
      </c>
      <c r="E2759" t="s">
        <v>55</v>
      </c>
      <c r="F2759">
        <v>0</v>
      </c>
      <c r="G2759">
        <v>1445</v>
      </c>
      <c r="H2759">
        <v>1</v>
      </c>
      <c r="I2759" t="s">
        <v>173</v>
      </c>
      <c r="J2759">
        <v>1</v>
      </c>
      <c r="K2759" s="6">
        <v>1.23</v>
      </c>
      <c r="L2759" t="s">
        <v>174</v>
      </c>
      <c r="M2759">
        <v>0</v>
      </c>
      <c r="N2759" t="s">
        <v>182</v>
      </c>
      <c r="O2759">
        <v>3</v>
      </c>
      <c r="P2759">
        <v>0</v>
      </c>
      <c r="Q2759" s="6">
        <v>139.5</v>
      </c>
      <c r="R2759">
        <v>1</v>
      </c>
      <c r="S2759" s="6">
        <v>1222</v>
      </c>
      <c r="T2759">
        <v>0</v>
      </c>
      <c r="U2759" s="6">
        <v>1420</v>
      </c>
      <c r="V2759">
        <v>0</v>
      </c>
      <c r="W2759">
        <v>0</v>
      </c>
      <c r="X2759">
        <v>0</v>
      </c>
      <c r="Y2759" s="6">
        <v>40</v>
      </c>
      <c r="Z2759">
        <v>4.5999999999999999E-2</v>
      </c>
      <c r="AA2759">
        <v>9.5000000000000001E-2</v>
      </c>
      <c r="AB2759">
        <v>7.6999999999999999E-2</v>
      </c>
      <c r="AC2759">
        <v>6</v>
      </c>
      <c r="AD2759" s="6">
        <v>50</v>
      </c>
      <c r="AE2759" s="6">
        <v>25</v>
      </c>
      <c r="AF2759" s="6">
        <v>0</v>
      </c>
      <c r="AG2759" s="6">
        <v>73.48</v>
      </c>
      <c r="AH2759" s="6">
        <v>94.88</v>
      </c>
      <c r="AI2759" s="6">
        <f t="shared" si="86"/>
        <v>21.399999999999991</v>
      </c>
      <c r="AJ2759" s="5">
        <f t="shared" si="87"/>
        <v>0.225548060708263</v>
      </c>
    </row>
    <row r="2760" spans="1:36">
      <c r="A2760" t="s">
        <v>406</v>
      </c>
      <c r="B2760" t="s">
        <v>3045</v>
      </c>
      <c r="C2760" t="s">
        <v>122</v>
      </c>
      <c r="D2760" t="s">
        <v>63</v>
      </c>
      <c r="E2760" t="s">
        <v>55</v>
      </c>
      <c r="F2760">
        <v>0</v>
      </c>
      <c r="G2760">
        <v>1445</v>
      </c>
      <c r="H2760">
        <v>1</v>
      </c>
      <c r="I2760" t="s">
        <v>173</v>
      </c>
      <c r="J2760">
        <v>1</v>
      </c>
      <c r="K2760" s="6">
        <v>2.19</v>
      </c>
      <c r="L2760" t="s">
        <v>174</v>
      </c>
      <c r="M2760">
        <v>0</v>
      </c>
      <c r="N2760" t="s">
        <v>182</v>
      </c>
      <c r="O2760">
        <v>3</v>
      </c>
      <c r="P2760">
        <v>0</v>
      </c>
      <c r="Q2760" s="6">
        <v>63.1</v>
      </c>
      <c r="R2760">
        <v>0</v>
      </c>
      <c r="S2760" s="6">
        <v>0</v>
      </c>
      <c r="T2760">
        <v>0</v>
      </c>
      <c r="U2760" s="6">
        <v>478</v>
      </c>
      <c r="V2760">
        <v>0</v>
      </c>
      <c r="W2760">
        <v>0</v>
      </c>
      <c r="X2760">
        <v>1</v>
      </c>
      <c r="Y2760" s="6">
        <v>40</v>
      </c>
      <c r="Z2760">
        <v>4.5999999999999999E-2</v>
      </c>
      <c r="AA2760">
        <v>9.5000000000000001E-2</v>
      </c>
      <c r="AB2760">
        <v>7.6999999999999999E-2</v>
      </c>
      <c r="AC2760">
        <v>6</v>
      </c>
      <c r="AD2760" s="6">
        <v>50</v>
      </c>
      <c r="AE2760" s="6">
        <v>0</v>
      </c>
      <c r="AF2760" s="6">
        <v>0</v>
      </c>
      <c r="AG2760" s="6">
        <v>50.18</v>
      </c>
      <c r="AH2760" s="6">
        <v>65.88</v>
      </c>
      <c r="AI2760" s="6">
        <f t="shared" si="86"/>
        <v>15.699999999999996</v>
      </c>
      <c r="AJ2760" s="5">
        <f t="shared" si="87"/>
        <v>0.23831208257437761</v>
      </c>
    </row>
    <row r="2761" spans="1:36">
      <c r="A2761" t="s">
        <v>316</v>
      </c>
      <c r="B2761" t="s">
        <v>3046</v>
      </c>
      <c r="C2761" t="s">
        <v>122</v>
      </c>
      <c r="D2761" t="s">
        <v>63</v>
      </c>
      <c r="E2761" t="s">
        <v>55</v>
      </c>
      <c r="F2761">
        <v>0</v>
      </c>
      <c r="G2761">
        <v>1445</v>
      </c>
      <c r="H2761">
        <v>1</v>
      </c>
      <c r="I2761" t="s">
        <v>173</v>
      </c>
      <c r="J2761">
        <v>1</v>
      </c>
      <c r="K2761" s="6">
        <v>1.27</v>
      </c>
      <c r="L2761" t="s">
        <v>174</v>
      </c>
      <c r="M2761">
        <v>0</v>
      </c>
      <c r="N2761" t="s">
        <v>175</v>
      </c>
      <c r="O2761">
        <v>1</v>
      </c>
      <c r="P2761">
        <v>0</v>
      </c>
      <c r="Q2761" s="6">
        <v>44.5</v>
      </c>
      <c r="R2761">
        <v>1</v>
      </c>
      <c r="S2761" s="6">
        <v>3172</v>
      </c>
      <c r="T2761">
        <v>0</v>
      </c>
      <c r="U2761" s="6">
        <v>2158</v>
      </c>
      <c r="V2761">
        <v>0</v>
      </c>
      <c r="W2761">
        <v>0</v>
      </c>
      <c r="X2761">
        <v>0</v>
      </c>
      <c r="Y2761" s="6">
        <v>40</v>
      </c>
      <c r="Z2761">
        <v>4.5999999999999999E-2</v>
      </c>
      <c r="AA2761">
        <v>9.5000000000000001E-2</v>
      </c>
      <c r="AB2761">
        <v>7.6999999999999999E-2</v>
      </c>
      <c r="AC2761">
        <v>6</v>
      </c>
      <c r="AD2761" s="6">
        <v>50</v>
      </c>
      <c r="AE2761" s="6">
        <v>40</v>
      </c>
      <c r="AF2761" s="6">
        <v>0</v>
      </c>
      <c r="AG2761" s="6">
        <v>59.86</v>
      </c>
      <c r="AH2761" s="6">
        <v>75.17</v>
      </c>
      <c r="AI2761" s="6">
        <f t="shared" si="86"/>
        <v>15.310000000000002</v>
      </c>
      <c r="AJ2761" s="5">
        <f t="shared" si="87"/>
        <v>0.20367167753092991</v>
      </c>
    </row>
    <row r="2762" spans="1:36">
      <c r="A2762" t="s">
        <v>208</v>
      </c>
      <c r="B2762" t="s">
        <v>3047</v>
      </c>
      <c r="C2762" t="s">
        <v>122</v>
      </c>
      <c r="D2762" t="s">
        <v>63</v>
      </c>
      <c r="E2762" t="s">
        <v>55</v>
      </c>
      <c r="F2762">
        <v>0</v>
      </c>
      <c r="G2762">
        <v>1445</v>
      </c>
      <c r="H2762">
        <v>1</v>
      </c>
      <c r="I2762" t="s">
        <v>181</v>
      </c>
      <c r="J2762">
        <v>3</v>
      </c>
      <c r="K2762" s="6">
        <v>7.8</v>
      </c>
      <c r="L2762" t="s">
        <v>174</v>
      </c>
      <c r="M2762">
        <v>0</v>
      </c>
      <c r="N2762" t="s">
        <v>217</v>
      </c>
      <c r="O2762">
        <v>4</v>
      </c>
      <c r="P2762">
        <v>1</v>
      </c>
      <c r="Q2762" s="6">
        <v>165.2</v>
      </c>
      <c r="R2762">
        <v>1</v>
      </c>
      <c r="S2762" s="6">
        <v>2190</v>
      </c>
      <c r="T2762">
        <v>0</v>
      </c>
      <c r="U2762" s="6">
        <v>860</v>
      </c>
      <c r="V2762">
        <v>0</v>
      </c>
      <c r="W2762">
        <v>0</v>
      </c>
      <c r="X2762">
        <v>0</v>
      </c>
      <c r="Y2762" s="6">
        <v>40</v>
      </c>
      <c r="Z2762">
        <v>4.5999999999999999E-2</v>
      </c>
      <c r="AA2762">
        <v>9.5000000000000001E-2</v>
      </c>
      <c r="AB2762">
        <v>7.6999999999999999E-2</v>
      </c>
      <c r="AC2762">
        <v>6</v>
      </c>
      <c r="AD2762" s="6">
        <v>60</v>
      </c>
      <c r="AE2762" s="6">
        <v>40</v>
      </c>
      <c r="AF2762" s="6">
        <v>0</v>
      </c>
      <c r="AG2762" s="6">
        <v>122.03</v>
      </c>
      <c r="AH2762" s="6">
        <v>157</v>
      </c>
      <c r="AI2762" s="6">
        <f t="shared" si="86"/>
        <v>34.97</v>
      </c>
      <c r="AJ2762" s="5">
        <f t="shared" si="87"/>
        <v>0.2227388535031847</v>
      </c>
    </row>
    <row r="2763" spans="1:36">
      <c r="A2763" t="s">
        <v>221</v>
      </c>
      <c r="B2763" t="s">
        <v>3048</v>
      </c>
      <c r="C2763" t="s">
        <v>122</v>
      </c>
      <c r="D2763" t="s">
        <v>63</v>
      </c>
      <c r="E2763" t="s">
        <v>55</v>
      </c>
      <c r="F2763">
        <v>0</v>
      </c>
      <c r="G2763">
        <v>1445</v>
      </c>
      <c r="H2763">
        <v>1</v>
      </c>
      <c r="I2763" t="s">
        <v>173</v>
      </c>
      <c r="J2763">
        <v>1</v>
      </c>
      <c r="K2763" s="6">
        <v>2.09</v>
      </c>
      <c r="L2763" t="s">
        <v>174</v>
      </c>
      <c r="M2763">
        <v>0</v>
      </c>
      <c r="N2763" t="s">
        <v>175</v>
      </c>
      <c r="O2763">
        <v>1</v>
      </c>
      <c r="P2763">
        <v>1</v>
      </c>
      <c r="Q2763" s="6">
        <v>31.3</v>
      </c>
      <c r="R2763">
        <v>1</v>
      </c>
      <c r="S2763" s="6">
        <v>3316</v>
      </c>
      <c r="T2763">
        <v>0</v>
      </c>
      <c r="U2763" s="6">
        <v>581</v>
      </c>
      <c r="V2763">
        <v>0</v>
      </c>
      <c r="W2763">
        <v>0</v>
      </c>
      <c r="X2763">
        <v>0</v>
      </c>
      <c r="Y2763" s="6">
        <v>40</v>
      </c>
      <c r="Z2763">
        <v>4.5999999999999999E-2</v>
      </c>
      <c r="AA2763">
        <v>9.5000000000000001E-2</v>
      </c>
      <c r="AB2763">
        <v>7.6999999999999999E-2</v>
      </c>
      <c r="AC2763">
        <v>6</v>
      </c>
      <c r="AD2763" s="6">
        <v>50</v>
      </c>
      <c r="AE2763" s="6">
        <v>40</v>
      </c>
      <c r="AF2763" s="6">
        <v>0</v>
      </c>
      <c r="AG2763" s="6">
        <v>83.96</v>
      </c>
      <c r="AH2763" s="6">
        <v>105.72</v>
      </c>
      <c r="AI2763" s="6">
        <f t="shared" si="86"/>
        <v>21.760000000000005</v>
      </c>
      <c r="AJ2763" s="5">
        <f t="shared" si="87"/>
        <v>0.20582671206961792</v>
      </c>
    </row>
    <row r="2764" spans="1:36">
      <c r="A2764" t="s">
        <v>311</v>
      </c>
      <c r="B2764" t="s">
        <v>3049</v>
      </c>
      <c r="C2764" t="s">
        <v>122</v>
      </c>
      <c r="D2764" t="s">
        <v>63</v>
      </c>
      <c r="E2764" t="s">
        <v>55</v>
      </c>
      <c r="F2764">
        <v>0</v>
      </c>
      <c r="G2764">
        <v>1445</v>
      </c>
      <c r="H2764">
        <v>1</v>
      </c>
      <c r="I2764" t="s">
        <v>173</v>
      </c>
      <c r="J2764">
        <v>1</v>
      </c>
      <c r="K2764" s="6">
        <v>2.39</v>
      </c>
      <c r="L2764" t="s">
        <v>174</v>
      </c>
      <c r="M2764">
        <v>0</v>
      </c>
      <c r="N2764" t="s">
        <v>272</v>
      </c>
      <c r="O2764">
        <v>5</v>
      </c>
      <c r="P2764">
        <v>1</v>
      </c>
      <c r="Q2764" s="6">
        <v>239</v>
      </c>
      <c r="R2764">
        <v>0</v>
      </c>
      <c r="S2764" s="6">
        <v>0</v>
      </c>
      <c r="T2764">
        <v>0</v>
      </c>
      <c r="U2764" s="6">
        <v>397</v>
      </c>
      <c r="V2764">
        <v>0</v>
      </c>
      <c r="W2764">
        <v>0</v>
      </c>
      <c r="X2764">
        <v>0</v>
      </c>
      <c r="Y2764" s="6">
        <v>40</v>
      </c>
      <c r="Z2764">
        <v>4.5999999999999999E-2</v>
      </c>
      <c r="AA2764">
        <v>9.5000000000000001E-2</v>
      </c>
      <c r="AB2764">
        <v>7.6999999999999999E-2</v>
      </c>
      <c r="AC2764">
        <v>6</v>
      </c>
      <c r="AD2764" s="6">
        <v>50</v>
      </c>
      <c r="AE2764" s="6">
        <v>0</v>
      </c>
      <c r="AF2764" s="6">
        <v>0</v>
      </c>
      <c r="AG2764" s="6">
        <v>145.12</v>
      </c>
      <c r="AH2764" s="6">
        <v>181.44</v>
      </c>
      <c r="AI2764" s="6">
        <f t="shared" si="86"/>
        <v>36.319999999999993</v>
      </c>
      <c r="AJ2764" s="5">
        <f t="shared" si="87"/>
        <v>0.20017636684303347</v>
      </c>
    </row>
    <row r="2765" spans="1:36">
      <c r="A2765" t="s">
        <v>233</v>
      </c>
      <c r="B2765" t="s">
        <v>3050</v>
      </c>
      <c r="C2765" t="s">
        <v>122</v>
      </c>
      <c r="D2765" t="s">
        <v>63</v>
      </c>
      <c r="E2765" t="s">
        <v>55</v>
      </c>
      <c r="F2765">
        <v>0</v>
      </c>
      <c r="G2765">
        <v>1445</v>
      </c>
      <c r="H2765">
        <v>1</v>
      </c>
      <c r="I2765" t="s">
        <v>173</v>
      </c>
      <c r="J2765">
        <v>1</v>
      </c>
      <c r="K2765" s="6">
        <v>1.78</v>
      </c>
      <c r="L2765" t="s">
        <v>174</v>
      </c>
      <c r="M2765">
        <v>0</v>
      </c>
      <c r="N2765" t="s">
        <v>217</v>
      </c>
      <c r="O2765">
        <v>4</v>
      </c>
      <c r="P2765">
        <v>1</v>
      </c>
      <c r="Q2765" s="6">
        <v>91.7</v>
      </c>
      <c r="R2765">
        <v>0</v>
      </c>
      <c r="S2765" s="6">
        <v>0</v>
      </c>
      <c r="T2765">
        <v>0</v>
      </c>
      <c r="U2765" s="6">
        <v>1328</v>
      </c>
      <c r="V2765">
        <v>1</v>
      </c>
      <c r="W2765">
        <v>0</v>
      </c>
      <c r="X2765">
        <v>0</v>
      </c>
      <c r="Y2765" s="6">
        <v>40</v>
      </c>
      <c r="Z2765">
        <v>4.5999999999999999E-2</v>
      </c>
      <c r="AA2765">
        <v>9.5000000000000001E-2</v>
      </c>
      <c r="AB2765">
        <v>7.6999999999999999E-2</v>
      </c>
      <c r="AC2765">
        <v>6</v>
      </c>
      <c r="AD2765" s="6">
        <v>50</v>
      </c>
      <c r="AE2765" s="6">
        <v>0</v>
      </c>
      <c r="AF2765" s="6">
        <v>0</v>
      </c>
      <c r="AG2765" s="6">
        <v>153.87</v>
      </c>
      <c r="AH2765" s="6">
        <v>194.9</v>
      </c>
      <c r="AI2765" s="6">
        <f t="shared" si="86"/>
        <v>41.03</v>
      </c>
      <c r="AJ2765" s="5">
        <f t="shared" si="87"/>
        <v>0.21051821446895844</v>
      </c>
    </row>
    <row r="2766" spans="1:36">
      <c r="A2766" t="s">
        <v>171</v>
      </c>
      <c r="B2766" t="s">
        <v>3051</v>
      </c>
      <c r="C2766" t="s">
        <v>122</v>
      </c>
      <c r="D2766" t="s">
        <v>63</v>
      </c>
      <c r="E2766" t="s">
        <v>55</v>
      </c>
      <c r="F2766">
        <v>0</v>
      </c>
      <c r="G2766">
        <v>1445</v>
      </c>
      <c r="H2766">
        <v>1</v>
      </c>
      <c r="I2766" t="s">
        <v>173</v>
      </c>
      <c r="J2766">
        <v>1</v>
      </c>
      <c r="K2766" s="6">
        <v>2.2999999999999998</v>
      </c>
      <c r="L2766" t="s">
        <v>174</v>
      </c>
      <c r="M2766">
        <v>0</v>
      </c>
      <c r="N2766" t="s">
        <v>175</v>
      </c>
      <c r="O2766">
        <v>1</v>
      </c>
      <c r="P2766">
        <v>0</v>
      </c>
      <c r="Q2766" s="6">
        <v>50.1</v>
      </c>
      <c r="R2766">
        <v>0</v>
      </c>
      <c r="S2766" s="6">
        <v>0</v>
      </c>
      <c r="T2766">
        <v>0</v>
      </c>
      <c r="U2766" s="6">
        <v>607</v>
      </c>
      <c r="V2766">
        <v>0</v>
      </c>
      <c r="W2766">
        <v>0</v>
      </c>
      <c r="X2766">
        <v>0</v>
      </c>
      <c r="Y2766" s="6">
        <v>40</v>
      </c>
      <c r="Z2766">
        <v>4.5999999999999999E-2</v>
      </c>
      <c r="AA2766">
        <v>9.5000000000000001E-2</v>
      </c>
      <c r="AB2766">
        <v>7.6999999999999999E-2</v>
      </c>
      <c r="AC2766">
        <v>6</v>
      </c>
      <c r="AD2766" s="6">
        <v>50</v>
      </c>
      <c r="AE2766" s="6">
        <v>0</v>
      </c>
      <c r="AF2766" s="6">
        <v>0</v>
      </c>
      <c r="AG2766" s="6">
        <v>44.14</v>
      </c>
      <c r="AH2766" s="6">
        <v>55.32</v>
      </c>
      <c r="AI2766" s="6">
        <f t="shared" si="86"/>
        <v>11.18</v>
      </c>
      <c r="AJ2766" s="5">
        <f t="shared" si="87"/>
        <v>0.20209689081706433</v>
      </c>
    </row>
    <row r="2767" spans="1:36">
      <c r="A2767" t="s">
        <v>521</v>
      </c>
      <c r="B2767" t="s">
        <v>3052</v>
      </c>
      <c r="C2767" t="s">
        <v>122</v>
      </c>
      <c r="D2767" t="s">
        <v>63</v>
      </c>
      <c r="E2767" t="s">
        <v>55</v>
      </c>
      <c r="F2767">
        <v>0</v>
      </c>
      <c r="G2767">
        <v>1445</v>
      </c>
      <c r="H2767">
        <v>1</v>
      </c>
      <c r="I2767" t="s">
        <v>173</v>
      </c>
      <c r="J2767">
        <v>1</v>
      </c>
      <c r="K2767" s="6">
        <v>0.69</v>
      </c>
      <c r="L2767" t="s">
        <v>174</v>
      </c>
      <c r="M2767">
        <v>0</v>
      </c>
      <c r="N2767" t="s">
        <v>175</v>
      </c>
      <c r="O2767">
        <v>1</v>
      </c>
      <c r="P2767">
        <v>1</v>
      </c>
      <c r="Q2767" s="6">
        <v>38.299999999999997</v>
      </c>
      <c r="R2767">
        <v>0</v>
      </c>
      <c r="S2767" s="6">
        <v>0</v>
      </c>
      <c r="T2767">
        <v>0</v>
      </c>
      <c r="U2767" s="6">
        <v>226</v>
      </c>
      <c r="V2767">
        <v>0</v>
      </c>
      <c r="W2767">
        <v>0</v>
      </c>
      <c r="X2767">
        <v>0</v>
      </c>
      <c r="Y2767" s="6">
        <v>40</v>
      </c>
      <c r="Z2767">
        <v>4.5999999999999999E-2</v>
      </c>
      <c r="AA2767">
        <v>9.5000000000000001E-2</v>
      </c>
      <c r="AB2767">
        <v>7.6999999999999999E-2</v>
      </c>
      <c r="AC2767">
        <v>6</v>
      </c>
      <c r="AD2767" s="6">
        <v>50</v>
      </c>
      <c r="AE2767" s="6">
        <v>0</v>
      </c>
      <c r="AF2767" s="6">
        <v>0</v>
      </c>
      <c r="AG2767" s="6">
        <v>69.78</v>
      </c>
      <c r="AH2767" s="6">
        <v>87.74</v>
      </c>
      <c r="AI2767" s="6">
        <f t="shared" si="86"/>
        <v>17.959999999999994</v>
      </c>
      <c r="AJ2767" s="5">
        <f t="shared" si="87"/>
        <v>0.2046956918167312</v>
      </c>
    </row>
    <row r="2768" spans="1:36">
      <c r="A2768" t="s">
        <v>251</v>
      </c>
      <c r="B2768" t="s">
        <v>3053</v>
      </c>
      <c r="C2768" t="s">
        <v>122</v>
      </c>
      <c r="D2768" t="s">
        <v>63</v>
      </c>
      <c r="E2768" t="s">
        <v>55</v>
      </c>
      <c r="F2768">
        <v>0</v>
      </c>
      <c r="G2768">
        <v>1445</v>
      </c>
      <c r="H2768">
        <v>1</v>
      </c>
      <c r="I2768" t="s">
        <v>181</v>
      </c>
      <c r="J2768">
        <v>3</v>
      </c>
      <c r="K2768" s="6">
        <v>8.58</v>
      </c>
      <c r="L2768" t="s">
        <v>174</v>
      </c>
      <c r="M2768">
        <v>0</v>
      </c>
      <c r="N2768" t="s">
        <v>182</v>
      </c>
      <c r="O2768">
        <v>3</v>
      </c>
      <c r="P2768">
        <v>0</v>
      </c>
      <c r="Q2768" s="6">
        <v>114.7</v>
      </c>
      <c r="R2768">
        <v>1</v>
      </c>
      <c r="S2768" s="6">
        <v>869</v>
      </c>
      <c r="T2768">
        <v>0</v>
      </c>
      <c r="U2768" s="6">
        <v>1380</v>
      </c>
      <c r="V2768">
        <v>0</v>
      </c>
      <c r="W2768">
        <v>0</v>
      </c>
      <c r="X2768">
        <v>0</v>
      </c>
      <c r="Y2768" s="6">
        <v>40</v>
      </c>
      <c r="Z2768">
        <v>4.5999999999999999E-2</v>
      </c>
      <c r="AA2768">
        <v>9.5000000000000001E-2</v>
      </c>
      <c r="AB2768">
        <v>7.6999999999999999E-2</v>
      </c>
      <c r="AC2768">
        <v>6</v>
      </c>
      <c r="AD2768" s="6">
        <v>60</v>
      </c>
      <c r="AE2768" s="6">
        <v>25</v>
      </c>
      <c r="AF2768" s="6">
        <v>0</v>
      </c>
      <c r="AG2768" s="6">
        <v>116.74</v>
      </c>
      <c r="AH2768" s="6">
        <v>149.91</v>
      </c>
      <c r="AI2768" s="6">
        <f t="shared" si="86"/>
        <v>33.17</v>
      </c>
      <c r="AJ2768" s="5">
        <f t="shared" si="87"/>
        <v>0.22126609298912683</v>
      </c>
    </row>
    <row r="2769" spans="1:36">
      <c r="A2769" t="s">
        <v>330</v>
      </c>
      <c r="B2769" t="s">
        <v>3054</v>
      </c>
      <c r="C2769" t="s">
        <v>122</v>
      </c>
      <c r="D2769" t="s">
        <v>63</v>
      </c>
      <c r="E2769" t="s">
        <v>55</v>
      </c>
      <c r="F2769">
        <v>0</v>
      </c>
      <c r="G2769">
        <v>1445</v>
      </c>
      <c r="H2769">
        <v>1</v>
      </c>
      <c r="I2769" t="s">
        <v>173</v>
      </c>
      <c r="J2769">
        <v>1</v>
      </c>
      <c r="K2769" s="6">
        <v>1.54</v>
      </c>
      <c r="L2769" t="s">
        <v>174</v>
      </c>
      <c r="M2769">
        <v>0</v>
      </c>
      <c r="N2769" t="s">
        <v>175</v>
      </c>
      <c r="O2769">
        <v>1</v>
      </c>
      <c r="P2769">
        <v>0</v>
      </c>
      <c r="Q2769" s="6">
        <v>38.6</v>
      </c>
      <c r="R2769">
        <v>0</v>
      </c>
      <c r="S2769" s="6">
        <v>0</v>
      </c>
      <c r="T2769">
        <v>0</v>
      </c>
      <c r="U2769" s="6">
        <v>847</v>
      </c>
      <c r="V2769">
        <v>0</v>
      </c>
      <c r="W2769">
        <v>0</v>
      </c>
      <c r="X2769">
        <v>0</v>
      </c>
      <c r="Y2769" s="6">
        <v>40</v>
      </c>
      <c r="Z2769">
        <v>4.5999999999999999E-2</v>
      </c>
      <c r="AA2769">
        <v>9.5000000000000001E-2</v>
      </c>
      <c r="AB2769">
        <v>7.6999999999999999E-2</v>
      </c>
      <c r="AC2769">
        <v>6</v>
      </c>
      <c r="AD2769" s="6">
        <v>50</v>
      </c>
      <c r="AE2769" s="6">
        <v>0</v>
      </c>
      <c r="AF2769" s="6">
        <v>0</v>
      </c>
      <c r="AG2769" s="6">
        <v>50.82</v>
      </c>
      <c r="AH2769" s="6">
        <v>67.86</v>
      </c>
      <c r="AI2769" s="6">
        <f t="shared" si="86"/>
        <v>17.04</v>
      </c>
      <c r="AJ2769" s="5">
        <f t="shared" si="87"/>
        <v>0.25110521662245799</v>
      </c>
    </row>
    <row r="2770" spans="1:36">
      <c r="A2770" t="s">
        <v>338</v>
      </c>
      <c r="B2770" t="s">
        <v>3055</v>
      </c>
      <c r="C2770" t="s">
        <v>122</v>
      </c>
      <c r="D2770" t="s">
        <v>63</v>
      </c>
      <c r="E2770" t="s">
        <v>55</v>
      </c>
      <c r="F2770">
        <v>0</v>
      </c>
      <c r="G2770">
        <v>1445</v>
      </c>
      <c r="H2770">
        <v>1</v>
      </c>
      <c r="I2770" t="s">
        <v>173</v>
      </c>
      <c r="J2770">
        <v>1</v>
      </c>
      <c r="K2770" s="6">
        <v>1.83</v>
      </c>
      <c r="L2770" t="s">
        <v>174</v>
      </c>
      <c r="M2770">
        <v>0</v>
      </c>
      <c r="N2770" t="s">
        <v>182</v>
      </c>
      <c r="O2770">
        <v>3</v>
      </c>
      <c r="P2770">
        <v>0</v>
      </c>
      <c r="Q2770" s="6">
        <v>102.5</v>
      </c>
      <c r="R2770">
        <v>1</v>
      </c>
      <c r="S2770" s="6">
        <v>3504</v>
      </c>
      <c r="T2770">
        <v>0</v>
      </c>
      <c r="U2770" s="6">
        <v>612</v>
      </c>
      <c r="V2770">
        <v>0</v>
      </c>
      <c r="W2770">
        <v>0</v>
      </c>
      <c r="X2770">
        <v>0</v>
      </c>
      <c r="Y2770" s="6">
        <v>40</v>
      </c>
      <c r="Z2770">
        <v>4.5999999999999999E-2</v>
      </c>
      <c r="AA2770">
        <v>9.5000000000000001E-2</v>
      </c>
      <c r="AB2770">
        <v>7.6999999999999999E-2</v>
      </c>
      <c r="AC2770">
        <v>6</v>
      </c>
      <c r="AD2770" s="6">
        <v>50</v>
      </c>
      <c r="AE2770" s="6">
        <v>40</v>
      </c>
      <c r="AF2770" s="6">
        <v>0</v>
      </c>
      <c r="AG2770" s="6">
        <v>65.67</v>
      </c>
      <c r="AH2770" s="6">
        <v>82.22</v>
      </c>
      <c r="AI2770" s="6">
        <f t="shared" si="86"/>
        <v>16.549999999999997</v>
      </c>
      <c r="AJ2770" s="5">
        <f t="shared" si="87"/>
        <v>0.20128922403308194</v>
      </c>
    </row>
    <row r="2771" spans="1:36">
      <c r="A2771" t="s">
        <v>397</v>
      </c>
      <c r="B2771" t="s">
        <v>3056</v>
      </c>
      <c r="C2771" t="s">
        <v>122</v>
      </c>
      <c r="D2771" t="s">
        <v>63</v>
      </c>
      <c r="E2771" t="s">
        <v>55</v>
      </c>
      <c r="F2771">
        <v>0</v>
      </c>
      <c r="G2771">
        <v>1445</v>
      </c>
      <c r="H2771">
        <v>1</v>
      </c>
      <c r="I2771" t="s">
        <v>181</v>
      </c>
      <c r="J2771">
        <v>3</v>
      </c>
      <c r="K2771" s="6">
        <v>4.4000000000000004</v>
      </c>
      <c r="L2771" t="s">
        <v>174</v>
      </c>
      <c r="M2771">
        <v>0</v>
      </c>
      <c r="N2771" t="s">
        <v>272</v>
      </c>
      <c r="O2771">
        <v>5</v>
      </c>
      <c r="P2771">
        <v>1</v>
      </c>
      <c r="Q2771" s="6">
        <v>204.9</v>
      </c>
      <c r="R2771">
        <v>0</v>
      </c>
      <c r="S2771" s="6">
        <v>0</v>
      </c>
      <c r="T2771">
        <v>0</v>
      </c>
      <c r="U2771" s="6">
        <v>447</v>
      </c>
      <c r="V2771">
        <v>1</v>
      </c>
      <c r="W2771">
        <v>0</v>
      </c>
      <c r="X2771">
        <v>0</v>
      </c>
      <c r="Y2771" s="6">
        <v>40</v>
      </c>
      <c r="Z2771">
        <v>4.5999999999999999E-2</v>
      </c>
      <c r="AA2771">
        <v>9.5000000000000001E-2</v>
      </c>
      <c r="AB2771">
        <v>7.6999999999999999E-2</v>
      </c>
      <c r="AC2771">
        <v>6</v>
      </c>
      <c r="AD2771" s="6">
        <v>60</v>
      </c>
      <c r="AE2771" s="6">
        <v>0</v>
      </c>
      <c r="AF2771" s="6">
        <v>0</v>
      </c>
      <c r="AG2771" s="6">
        <v>222.15</v>
      </c>
      <c r="AH2771" s="6">
        <v>281.82</v>
      </c>
      <c r="AI2771" s="6">
        <f t="shared" si="86"/>
        <v>59.669999999999987</v>
      </c>
      <c r="AJ2771" s="5">
        <f t="shared" si="87"/>
        <v>0.21173089205876086</v>
      </c>
    </row>
    <row r="2772" spans="1:36">
      <c r="A2772" t="s">
        <v>765</v>
      </c>
      <c r="B2772" t="s">
        <v>3057</v>
      </c>
      <c r="C2772" t="s">
        <v>122</v>
      </c>
      <c r="D2772" t="s">
        <v>63</v>
      </c>
      <c r="E2772" t="s">
        <v>55</v>
      </c>
      <c r="F2772">
        <v>0</v>
      </c>
      <c r="G2772">
        <v>1445</v>
      </c>
      <c r="H2772">
        <v>1</v>
      </c>
      <c r="I2772" t="s">
        <v>173</v>
      </c>
      <c r="J2772">
        <v>1</v>
      </c>
      <c r="K2772" s="6">
        <v>1.1499999999999999</v>
      </c>
      <c r="L2772" t="s">
        <v>174</v>
      </c>
      <c r="M2772">
        <v>0</v>
      </c>
      <c r="N2772" t="s">
        <v>182</v>
      </c>
      <c r="O2772">
        <v>3</v>
      </c>
      <c r="P2772">
        <v>1</v>
      </c>
      <c r="Q2772" s="6">
        <v>67.599999999999994</v>
      </c>
      <c r="R2772">
        <v>0</v>
      </c>
      <c r="S2772" s="6">
        <v>0</v>
      </c>
      <c r="T2772">
        <v>0</v>
      </c>
      <c r="U2772" s="6">
        <v>677</v>
      </c>
      <c r="V2772">
        <v>0</v>
      </c>
      <c r="W2772">
        <v>0</v>
      </c>
      <c r="X2772">
        <v>0</v>
      </c>
      <c r="Y2772" s="6">
        <v>40</v>
      </c>
      <c r="Z2772">
        <v>4.5999999999999999E-2</v>
      </c>
      <c r="AA2772">
        <v>9.5000000000000001E-2</v>
      </c>
      <c r="AB2772">
        <v>7.6999999999999999E-2</v>
      </c>
      <c r="AC2772">
        <v>6</v>
      </c>
      <c r="AD2772" s="6">
        <v>50</v>
      </c>
      <c r="AE2772" s="6">
        <v>0</v>
      </c>
      <c r="AF2772" s="6">
        <v>0</v>
      </c>
      <c r="AG2772" s="6">
        <v>77.02</v>
      </c>
      <c r="AH2772" s="6">
        <v>98.33</v>
      </c>
      <c r="AI2772" s="6">
        <f t="shared" si="86"/>
        <v>21.310000000000002</v>
      </c>
      <c r="AJ2772" s="5">
        <f t="shared" si="87"/>
        <v>0.2167192108207058</v>
      </c>
    </row>
    <row r="2773" spans="1:36">
      <c r="A2773" t="s">
        <v>206</v>
      </c>
      <c r="B2773" t="s">
        <v>3058</v>
      </c>
      <c r="C2773" t="s">
        <v>122</v>
      </c>
      <c r="D2773" t="s">
        <v>63</v>
      </c>
      <c r="E2773" t="s">
        <v>55</v>
      </c>
      <c r="F2773">
        <v>0</v>
      </c>
      <c r="G2773">
        <v>1445</v>
      </c>
      <c r="H2773">
        <v>1</v>
      </c>
      <c r="I2773" t="s">
        <v>173</v>
      </c>
      <c r="J2773">
        <v>1</v>
      </c>
      <c r="K2773" s="6">
        <v>2.19</v>
      </c>
      <c r="L2773" t="s">
        <v>174</v>
      </c>
      <c r="M2773">
        <v>0</v>
      </c>
      <c r="N2773" t="s">
        <v>182</v>
      </c>
      <c r="O2773">
        <v>3</v>
      </c>
      <c r="P2773">
        <v>0</v>
      </c>
      <c r="Q2773" s="6">
        <v>69.7</v>
      </c>
      <c r="R2773">
        <v>0</v>
      </c>
      <c r="S2773" s="6">
        <v>0</v>
      </c>
      <c r="T2773">
        <v>0</v>
      </c>
      <c r="U2773" s="6">
        <v>729</v>
      </c>
      <c r="V2773">
        <v>0</v>
      </c>
      <c r="W2773">
        <v>0</v>
      </c>
      <c r="X2773">
        <v>0</v>
      </c>
      <c r="Y2773" s="6">
        <v>40</v>
      </c>
      <c r="Z2773">
        <v>4.5999999999999999E-2</v>
      </c>
      <c r="AA2773">
        <v>9.5000000000000001E-2</v>
      </c>
      <c r="AB2773">
        <v>7.6999999999999999E-2</v>
      </c>
      <c r="AC2773">
        <v>6</v>
      </c>
      <c r="AD2773" s="6">
        <v>50</v>
      </c>
      <c r="AE2773" s="6">
        <v>0</v>
      </c>
      <c r="AF2773" s="6">
        <v>0</v>
      </c>
      <c r="AG2773" s="6">
        <v>65.83</v>
      </c>
      <c r="AH2773" s="6">
        <v>84.69</v>
      </c>
      <c r="AI2773" s="6">
        <f t="shared" si="86"/>
        <v>18.86</v>
      </c>
      <c r="AJ2773" s="5">
        <f t="shared" si="87"/>
        <v>0.2226945330027158</v>
      </c>
    </row>
    <row r="2774" spans="1:36">
      <c r="A2774" t="s">
        <v>381</v>
      </c>
      <c r="B2774" t="s">
        <v>3059</v>
      </c>
      <c r="C2774" t="s">
        <v>122</v>
      </c>
      <c r="D2774" t="s">
        <v>63</v>
      </c>
      <c r="E2774" t="s">
        <v>55</v>
      </c>
      <c r="F2774">
        <v>0</v>
      </c>
      <c r="G2774">
        <v>1445</v>
      </c>
      <c r="H2774">
        <v>1</v>
      </c>
      <c r="I2774" t="s">
        <v>173</v>
      </c>
      <c r="J2774">
        <v>1</v>
      </c>
      <c r="K2774" s="6">
        <v>1.71</v>
      </c>
      <c r="L2774" t="s">
        <v>174</v>
      </c>
      <c r="M2774">
        <v>0</v>
      </c>
      <c r="N2774" t="s">
        <v>175</v>
      </c>
      <c r="O2774">
        <v>1</v>
      </c>
      <c r="P2774">
        <v>0</v>
      </c>
      <c r="Q2774" s="6">
        <v>32.799999999999997</v>
      </c>
      <c r="R2774">
        <v>1</v>
      </c>
      <c r="S2774" s="6">
        <v>876</v>
      </c>
      <c r="T2774">
        <v>0</v>
      </c>
      <c r="U2774" s="6">
        <v>350</v>
      </c>
      <c r="V2774">
        <v>0</v>
      </c>
      <c r="W2774">
        <v>0</v>
      </c>
      <c r="X2774">
        <v>0</v>
      </c>
      <c r="Y2774" s="6">
        <v>40</v>
      </c>
      <c r="Z2774">
        <v>4.5999999999999999E-2</v>
      </c>
      <c r="AA2774">
        <v>9.5000000000000001E-2</v>
      </c>
      <c r="AB2774">
        <v>7.6999999999999999E-2</v>
      </c>
      <c r="AC2774">
        <v>6</v>
      </c>
      <c r="AD2774" s="6">
        <v>50</v>
      </c>
      <c r="AE2774" s="6">
        <v>25</v>
      </c>
      <c r="AF2774" s="6">
        <v>0</v>
      </c>
      <c r="AG2774" s="6">
        <v>53.55</v>
      </c>
      <c r="AH2774" s="6">
        <v>69.83</v>
      </c>
      <c r="AI2774" s="6">
        <f t="shared" si="86"/>
        <v>16.28</v>
      </c>
      <c r="AJ2774" s="5">
        <f t="shared" si="87"/>
        <v>0.23313761993412577</v>
      </c>
    </row>
    <row r="2775" spans="1:36">
      <c r="A2775" t="s">
        <v>457</v>
      </c>
      <c r="B2775" t="s">
        <v>3060</v>
      </c>
      <c r="C2775" t="s">
        <v>122</v>
      </c>
      <c r="D2775" t="s">
        <v>63</v>
      </c>
      <c r="E2775" t="s">
        <v>55</v>
      </c>
      <c r="F2775">
        <v>0</v>
      </c>
      <c r="G2775">
        <v>1445</v>
      </c>
      <c r="H2775">
        <v>1</v>
      </c>
      <c r="I2775" t="s">
        <v>173</v>
      </c>
      <c r="J2775">
        <v>1</v>
      </c>
      <c r="K2775" s="6">
        <v>1.53</v>
      </c>
      <c r="L2775" t="s">
        <v>174</v>
      </c>
      <c r="M2775">
        <v>0</v>
      </c>
      <c r="N2775" t="s">
        <v>187</v>
      </c>
      <c r="O2775">
        <v>2</v>
      </c>
      <c r="P2775">
        <v>1</v>
      </c>
      <c r="Q2775" s="6">
        <v>50.8</v>
      </c>
      <c r="R2775">
        <v>1</v>
      </c>
      <c r="S2775" s="6">
        <v>1806</v>
      </c>
      <c r="T2775">
        <v>0</v>
      </c>
      <c r="U2775" s="6">
        <v>1094</v>
      </c>
      <c r="V2775">
        <v>0</v>
      </c>
      <c r="W2775">
        <v>0</v>
      </c>
      <c r="X2775">
        <v>0</v>
      </c>
      <c r="Y2775" s="6">
        <v>40</v>
      </c>
      <c r="Z2775">
        <v>4.5999999999999999E-2</v>
      </c>
      <c r="AA2775">
        <v>9.5000000000000001E-2</v>
      </c>
      <c r="AB2775">
        <v>7.6999999999999999E-2</v>
      </c>
      <c r="AC2775">
        <v>6</v>
      </c>
      <c r="AD2775" s="6">
        <v>50</v>
      </c>
      <c r="AE2775" s="6">
        <v>25</v>
      </c>
      <c r="AF2775" s="6">
        <v>0</v>
      </c>
      <c r="AG2775" s="6">
        <v>84.04</v>
      </c>
      <c r="AH2775" s="6">
        <v>108.18</v>
      </c>
      <c r="AI2775" s="6">
        <f t="shared" si="86"/>
        <v>24.14</v>
      </c>
      <c r="AJ2775" s="5">
        <f t="shared" si="87"/>
        <v>0.22314660750600848</v>
      </c>
    </row>
    <row r="2776" spans="1:36">
      <c r="A2776" t="s">
        <v>240</v>
      </c>
      <c r="B2776" t="s">
        <v>3061</v>
      </c>
      <c r="C2776" t="s">
        <v>122</v>
      </c>
      <c r="D2776" t="s">
        <v>63</v>
      </c>
      <c r="E2776" t="s">
        <v>55</v>
      </c>
      <c r="F2776">
        <v>0</v>
      </c>
      <c r="G2776">
        <v>1445</v>
      </c>
      <c r="H2776">
        <v>1</v>
      </c>
      <c r="I2776" t="s">
        <v>181</v>
      </c>
      <c r="J2776">
        <v>3</v>
      </c>
      <c r="K2776" s="6">
        <v>5.83</v>
      </c>
      <c r="L2776" t="s">
        <v>174</v>
      </c>
      <c r="M2776">
        <v>0</v>
      </c>
      <c r="N2776" t="s">
        <v>217</v>
      </c>
      <c r="O2776">
        <v>4</v>
      </c>
      <c r="P2776">
        <v>1</v>
      </c>
      <c r="Q2776" s="6">
        <v>182.9</v>
      </c>
      <c r="R2776">
        <v>0</v>
      </c>
      <c r="S2776" s="6">
        <v>0</v>
      </c>
      <c r="T2776">
        <v>0</v>
      </c>
      <c r="U2776" s="6">
        <v>378</v>
      </c>
      <c r="V2776">
        <v>0</v>
      </c>
      <c r="W2776">
        <v>0</v>
      </c>
      <c r="X2776">
        <v>0</v>
      </c>
      <c r="Y2776" s="6">
        <v>40</v>
      </c>
      <c r="Z2776">
        <v>4.5999999999999999E-2</v>
      </c>
      <c r="AA2776">
        <v>9.5000000000000001E-2</v>
      </c>
      <c r="AB2776">
        <v>7.6999999999999999E-2</v>
      </c>
      <c r="AC2776">
        <v>6</v>
      </c>
      <c r="AD2776" s="6">
        <v>60</v>
      </c>
      <c r="AE2776" s="6">
        <v>0</v>
      </c>
      <c r="AF2776" s="6">
        <v>0</v>
      </c>
      <c r="AG2776" s="6">
        <v>117.81</v>
      </c>
      <c r="AH2776" s="6">
        <v>151.21</v>
      </c>
      <c r="AI2776" s="6">
        <f t="shared" si="86"/>
        <v>33.400000000000006</v>
      </c>
      <c r="AJ2776" s="5">
        <f t="shared" si="87"/>
        <v>0.22088486211229419</v>
      </c>
    </row>
    <row r="2777" spans="1:36">
      <c r="A2777" t="s">
        <v>269</v>
      </c>
      <c r="B2777" t="s">
        <v>3062</v>
      </c>
      <c r="C2777" t="s">
        <v>122</v>
      </c>
      <c r="D2777" t="s">
        <v>63</v>
      </c>
      <c r="E2777" t="s">
        <v>55</v>
      </c>
      <c r="F2777">
        <v>0</v>
      </c>
      <c r="G2777">
        <v>1445</v>
      </c>
      <c r="H2777">
        <v>1</v>
      </c>
      <c r="I2777" t="s">
        <v>181</v>
      </c>
      <c r="J2777">
        <v>3</v>
      </c>
      <c r="K2777" s="6">
        <v>10.8</v>
      </c>
      <c r="L2777" t="s">
        <v>174</v>
      </c>
      <c r="M2777">
        <v>0</v>
      </c>
      <c r="N2777" t="s">
        <v>272</v>
      </c>
      <c r="O2777">
        <v>5</v>
      </c>
      <c r="P2777">
        <v>1</v>
      </c>
      <c r="Q2777" s="6">
        <v>229.4</v>
      </c>
      <c r="R2777">
        <v>0</v>
      </c>
      <c r="S2777" s="6">
        <v>0</v>
      </c>
      <c r="T2777">
        <v>0</v>
      </c>
      <c r="U2777" s="6">
        <v>736</v>
      </c>
      <c r="V2777">
        <v>0</v>
      </c>
      <c r="W2777">
        <v>0</v>
      </c>
      <c r="X2777">
        <v>0</v>
      </c>
      <c r="Y2777" s="6">
        <v>40</v>
      </c>
      <c r="Z2777">
        <v>4.5999999999999999E-2</v>
      </c>
      <c r="AA2777">
        <v>9.5000000000000001E-2</v>
      </c>
      <c r="AB2777">
        <v>7.6999999999999999E-2</v>
      </c>
      <c r="AC2777">
        <v>6</v>
      </c>
      <c r="AD2777" s="6">
        <v>60</v>
      </c>
      <c r="AE2777" s="6">
        <v>0</v>
      </c>
      <c r="AF2777" s="6">
        <v>0</v>
      </c>
      <c r="AG2777" s="6">
        <v>192.62</v>
      </c>
      <c r="AH2777" s="6">
        <v>242.97</v>
      </c>
      <c r="AI2777" s="6">
        <f t="shared" si="86"/>
        <v>50.349999999999994</v>
      </c>
      <c r="AJ2777" s="5">
        <f t="shared" si="87"/>
        <v>0.20722722969913979</v>
      </c>
    </row>
    <row r="2778" spans="1:36">
      <c r="A2778" t="s">
        <v>284</v>
      </c>
      <c r="B2778" t="s">
        <v>3063</v>
      </c>
      <c r="C2778" t="s">
        <v>122</v>
      </c>
      <c r="D2778" t="s">
        <v>63</v>
      </c>
      <c r="E2778" t="s">
        <v>55</v>
      </c>
      <c r="F2778">
        <v>0</v>
      </c>
      <c r="G2778">
        <v>1445</v>
      </c>
      <c r="H2778">
        <v>1</v>
      </c>
      <c r="I2778" t="s">
        <v>181</v>
      </c>
      <c r="J2778">
        <v>3</v>
      </c>
      <c r="K2778" s="6">
        <v>8.4499999999999993</v>
      </c>
      <c r="L2778" t="s">
        <v>174</v>
      </c>
      <c r="M2778">
        <v>0</v>
      </c>
      <c r="N2778" t="s">
        <v>182</v>
      </c>
      <c r="O2778">
        <v>3</v>
      </c>
      <c r="P2778">
        <v>0</v>
      </c>
      <c r="Q2778" s="6">
        <v>100.2</v>
      </c>
      <c r="R2778">
        <v>1</v>
      </c>
      <c r="S2778" s="6">
        <v>2229</v>
      </c>
      <c r="T2778">
        <v>0</v>
      </c>
      <c r="U2778" s="6">
        <v>1240</v>
      </c>
      <c r="V2778">
        <v>0</v>
      </c>
      <c r="W2778">
        <v>0</v>
      </c>
      <c r="X2778">
        <v>0</v>
      </c>
      <c r="Y2778" s="6">
        <v>40</v>
      </c>
      <c r="Z2778">
        <v>4.5999999999999999E-2</v>
      </c>
      <c r="AA2778">
        <v>9.5000000000000001E-2</v>
      </c>
      <c r="AB2778">
        <v>7.6999999999999999E-2</v>
      </c>
      <c r="AC2778">
        <v>6</v>
      </c>
      <c r="AD2778" s="6">
        <v>60</v>
      </c>
      <c r="AE2778" s="6">
        <v>40</v>
      </c>
      <c r="AF2778" s="6">
        <v>0</v>
      </c>
      <c r="AG2778" s="6">
        <v>112.34</v>
      </c>
      <c r="AH2778" s="6">
        <v>143.52000000000001</v>
      </c>
      <c r="AI2778" s="6">
        <f t="shared" si="86"/>
        <v>31.180000000000007</v>
      </c>
      <c r="AJ2778" s="5">
        <f t="shared" si="87"/>
        <v>0.21725195094760316</v>
      </c>
    </row>
    <row r="2779" spans="1:36">
      <c r="A2779" t="s">
        <v>286</v>
      </c>
      <c r="B2779" t="s">
        <v>3064</v>
      </c>
      <c r="C2779" t="s">
        <v>122</v>
      </c>
      <c r="D2779" t="s">
        <v>63</v>
      </c>
      <c r="E2779" t="s">
        <v>55</v>
      </c>
      <c r="F2779">
        <v>0</v>
      </c>
      <c r="G2779">
        <v>1445</v>
      </c>
      <c r="H2779">
        <v>1</v>
      </c>
      <c r="I2779" t="s">
        <v>181</v>
      </c>
      <c r="J2779">
        <v>3</v>
      </c>
      <c r="K2779" s="6">
        <v>3.34</v>
      </c>
      <c r="L2779" t="s">
        <v>174</v>
      </c>
      <c r="M2779">
        <v>0</v>
      </c>
      <c r="N2779" t="s">
        <v>187</v>
      </c>
      <c r="O2779">
        <v>2</v>
      </c>
      <c r="P2779">
        <v>0</v>
      </c>
      <c r="Q2779" s="6">
        <v>61.7</v>
      </c>
      <c r="R2779">
        <v>0</v>
      </c>
      <c r="S2779" s="6">
        <v>0</v>
      </c>
      <c r="T2779">
        <v>0</v>
      </c>
      <c r="U2779" s="6">
        <v>1163</v>
      </c>
      <c r="V2779">
        <v>0</v>
      </c>
      <c r="W2779">
        <v>0</v>
      </c>
      <c r="X2779">
        <v>0</v>
      </c>
      <c r="Y2779" s="6">
        <v>40</v>
      </c>
      <c r="Z2779">
        <v>4.5999999999999999E-2</v>
      </c>
      <c r="AA2779">
        <v>9.5000000000000001E-2</v>
      </c>
      <c r="AB2779">
        <v>7.6999999999999999E-2</v>
      </c>
      <c r="AC2779">
        <v>6</v>
      </c>
      <c r="AD2779" s="6">
        <v>60</v>
      </c>
      <c r="AE2779" s="6">
        <v>0</v>
      </c>
      <c r="AF2779" s="6">
        <v>0</v>
      </c>
      <c r="AG2779" s="6">
        <v>81.91</v>
      </c>
      <c r="AH2779" s="6">
        <v>106.85</v>
      </c>
      <c r="AI2779" s="6">
        <f t="shared" si="86"/>
        <v>24.939999999999998</v>
      </c>
      <c r="AJ2779" s="5">
        <f t="shared" si="87"/>
        <v>0.23341132428638278</v>
      </c>
    </row>
    <row r="2780" spans="1:36">
      <c r="A2780" t="s">
        <v>517</v>
      </c>
      <c r="B2780" t="s">
        <v>3065</v>
      </c>
      <c r="C2780" t="s">
        <v>122</v>
      </c>
      <c r="D2780" t="s">
        <v>63</v>
      </c>
      <c r="E2780" t="s">
        <v>55</v>
      </c>
      <c r="F2780">
        <v>0</v>
      </c>
      <c r="G2780">
        <v>1445</v>
      </c>
      <c r="H2780">
        <v>1</v>
      </c>
      <c r="I2780" t="s">
        <v>173</v>
      </c>
      <c r="J2780">
        <v>1</v>
      </c>
      <c r="K2780" s="6">
        <v>1.83</v>
      </c>
      <c r="L2780" t="s">
        <v>174</v>
      </c>
      <c r="M2780">
        <v>0</v>
      </c>
      <c r="N2780" t="s">
        <v>182</v>
      </c>
      <c r="O2780">
        <v>3</v>
      </c>
      <c r="P2780">
        <v>0</v>
      </c>
      <c r="Q2780" s="6">
        <v>127.2</v>
      </c>
      <c r="R2780">
        <v>0</v>
      </c>
      <c r="S2780" s="6">
        <v>0</v>
      </c>
      <c r="T2780">
        <v>0</v>
      </c>
      <c r="U2780" s="6">
        <v>1272</v>
      </c>
      <c r="V2780">
        <v>1</v>
      </c>
      <c r="W2780">
        <v>0</v>
      </c>
      <c r="X2780">
        <v>0</v>
      </c>
      <c r="Y2780" s="6">
        <v>40</v>
      </c>
      <c r="Z2780">
        <v>4.5999999999999999E-2</v>
      </c>
      <c r="AA2780">
        <v>9.5000000000000001E-2</v>
      </c>
      <c r="AB2780">
        <v>7.6999999999999999E-2</v>
      </c>
      <c r="AC2780">
        <v>6</v>
      </c>
      <c r="AD2780" s="6">
        <v>50</v>
      </c>
      <c r="AE2780" s="6">
        <v>0</v>
      </c>
      <c r="AF2780" s="6">
        <v>0</v>
      </c>
      <c r="AG2780" s="6">
        <v>108.21</v>
      </c>
      <c r="AH2780" s="6">
        <v>138.03</v>
      </c>
      <c r="AI2780" s="6">
        <f t="shared" si="86"/>
        <v>29.820000000000007</v>
      </c>
      <c r="AJ2780" s="5">
        <f t="shared" si="87"/>
        <v>0.21603999130623783</v>
      </c>
    </row>
    <row r="2781" spans="1:36">
      <c r="A2781" t="s">
        <v>353</v>
      </c>
      <c r="B2781" t="s">
        <v>3066</v>
      </c>
      <c r="C2781" t="s">
        <v>122</v>
      </c>
      <c r="D2781" t="s">
        <v>63</v>
      </c>
      <c r="E2781" t="s">
        <v>55</v>
      </c>
      <c r="F2781">
        <v>0</v>
      </c>
      <c r="G2781">
        <v>1445</v>
      </c>
      <c r="H2781">
        <v>1</v>
      </c>
      <c r="I2781" t="s">
        <v>173</v>
      </c>
      <c r="J2781">
        <v>1</v>
      </c>
      <c r="K2781" s="6">
        <v>1.51</v>
      </c>
      <c r="L2781" t="s">
        <v>174</v>
      </c>
      <c r="M2781">
        <v>0</v>
      </c>
      <c r="N2781" t="s">
        <v>187</v>
      </c>
      <c r="O2781">
        <v>2</v>
      </c>
      <c r="P2781">
        <v>0</v>
      </c>
      <c r="Q2781" s="6">
        <v>68.400000000000006</v>
      </c>
      <c r="R2781">
        <v>0</v>
      </c>
      <c r="S2781" s="6">
        <v>0</v>
      </c>
      <c r="T2781">
        <v>0</v>
      </c>
      <c r="U2781" s="6">
        <v>803</v>
      </c>
      <c r="V2781">
        <v>0</v>
      </c>
      <c r="W2781">
        <v>0</v>
      </c>
      <c r="X2781">
        <v>0</v>
      </c>
      <c r="Y2781" s="6">
        <v>40</v>
      </c>
      <c r="Z2781">
        <v>4.5999999999999999E-2</v>
      </c>
      <c r="AA2781">
        <v>9.5000000000000001E-2</v>
      </c>
      <c r="AB2781">
        <v>7.6999999999999999E-2</v>
      </c>
      <c r="AC2781">
        <v>6</v>
      </c>
      <c r="AD2781" s="6">
        <v>50</v>
      </c>
      <c r="AE2781" s="6">
        <v>0</v>
      </c>
      <c r="AF2781" s="6">
        <v>0</v>
      </c>
      <c r="AG2781" s="6">
        <v>51.85</v>
      </c>
      <c r="AH2781" s="6">
        <v>68.17</v>
      </c>
      <c r="AI2781" s="6">
        <f t="shared" si="86"/>
        <v>16.32</v>
      </c>
      <c r="AJ2781" s="5">
        <f t="shared" si="87"/>
        <v>0.23940149625935161</v>
      </c>
    </row>
    <row r="2782" spans="1:36">
      <c r="A2782" t="s">
        <v>269</v>
      </c>
      <c r="B2782" t="s">
        <v>3067</v>
      </c>
      <c r="C2782" t="s">
        <v>122</v>
      </c>
      <c r="D2782" t="s">
        <v>63</v>
      </c>
      <c r="E2782" t="s">
        <v>55</v>
      </c>
      <c r="F2782">
        <v>0</v>
      </c>
      <c r="G2782">
        <v>1445</v>
      </c>
      <c r="H2782">
        <v>1</v>
      </c>
      <c r="I2782" t="s">
        <v>220</v>
      </c>
      <c r="J2782">
        <v>2</v>
      </c>
      <c r="K2782" s="6">
        <v>4.55</v>
      </c>
      <c r="L2782" t="s">
        <v>200</v>
      </c>
      <c r="M2782">
        <v>1</v>
      </c>
      <c r="N2782" t="s">
        <v>187</v>
      </c>
      <c r="O2782">
        <v>2</v>
      </c>
      <c r="P2782">
        <v>0</v>
      </c>
      <c r="Q2782" s="6">
        <v>42.8</v>
      </c>
      <c r="R2782">
        <v>1</v>
      </c>
      <c r="S2782" s="6">
        <v>877</v>
      </c>
      <c r="T2782">
        <v>0</v>
      </c>
      <c r="U2782" s="6">
        <v>1200</v>
      </c>
      <c r="V2782">
        <v>1</v>
      </c>
      <c r="W2782">
        <v>0</v>
      </c>
      <c r="X2782">
        <v>0</v>
      </c>
      <c r="Y2782" s="6">
        <v>40</v>
      </c>
      <c r="Z2782">
        <v>4.5999999999999999E-2</v>
      </c>
      <c r="AA2782">
        <v>9.5000000000000001E-2</v>
      </c>
      <c r="AB2782">
        <v>7.6999999999999999E-2</v>
      </c>
      <c r="AC2782">
        <v>6</v>
      </c>
      <c r="AD2782" s="6">
        <v>119</v>
      </c>
      <c r="AE2782" s="6">
        <v>25</v>
      </c>
      <c r="AF2782" s="6">
        <v>0</v>
      </c>
      <c r="AG2782" s="6">
        <v>128.9</v>
      </c>
      <c r="AH2782" s="6">
        <v>163.88</v>
      </c>
      <c r="AI2782" s="6">
        <f t="shared" si="86"/>
        <v>34.97999999999999</v>
      </c>
      <c r="AJ2782" s="5">
        <f t="shared" si="87"/>
        <v>0.21344886502318763</v>
      </c>
    </row>
    <row r="2783" spans="1:36">
      <c r="A2783" t="s">
        <v>198</v>
      </c>
      <c r="B2783" t="s">
        <v>3068</v>
      </c>
      <c r="C2783" t="s">
        <v>122</v>
      </c>
      <c r="D2783" t="s">
        <v>63</v>
      </c>
      <c r="E2783" t="s">
        <v>55</v>
      </c>
      <c r="F2783">
        <v>0</v>
      </c>
      <c r="G2783">
        <v>1445</v>
      </c>
      <c r="H2783">
        <v>1</v>
      </c>
      <c r="I2783" t="s">
        <v>173</v>
      </c>
      <c r="J2783">
        <v>1</v>
      </c>
      <c r="K2783" s="6">
        <v>1.39</v>
      </c>
      <c r="L2783" t="s">
        <v>174</v>
      </c>
      <c r="M2783">
        <v>0</v>
      </c>
      <c r="N2783" t="s">
        <v>217</v>
      </c>
      <c r="O2783">
        <v>4</v>
      </c>
      <c r="P2783">
        <v>1</v>
      </c>
      <c r="Q2783" s="6">
        <v>118.5</v>
      </c>
      <c r="R2783">
        <v>0</v>
      </c>
      <c r="S2783" s="6">
        <v>0</v>
      </c>
      <c r="T2783">
        <v>0</v>
      </c>
      <c r="U2783" s="6">
        <v>517</v>
      </c>
      <c r="V2783">
        <v>0</v>
      </c>
      <c r="W2783">
        <v>0</v>
      </c>
      <c r="X2783">
        <v>0</v>
      </c>
      <c r="Y2783" s="6">
        <v>40</v>
      </c>
      <c r="Z2783">
        <v>4.5999999999999999E-2</v>
      </c>
      <c r="AA2783">
        <v>9.5000000000000001E-2</v>
      </c>
      <c r="AB2783">
        <v>7.6999999999999999E-2</v>
      </c>
      <c r="AC2783">
        <v>6</v>
      </c>
      <c r="AD2783" s="6">
        <v>50</v>
      </c>
      <c r="AE2783" s="6">
        <v>0</v>
      </c>
      <c r="AF2783" s="6">
        <v>0</v>
      </c>
      <c r="AG2783" s="6">
        <v>99.41</v>
      </c>
      <c r="AH2783" s="6">
        <v>125.8</v>
      </c>
      <c r="AI2783" s="6">
        <f t="shared" si="86"/>
        <v>26.39</v>
      </c>
      <c r="AJ2783" s="5">
        <f t="shared" si="87"/>
        <v>0.20977742448330686</v>
      </c>
    </row>
    <row r="2784" spans="1:36">
      <c r="A2784" t="s">
        <v>537</v>
      </c>
      <c r="B2784" t="s">
        <v>3069</v>
      </c>
      <c r="C2784" t="s">
        <v>122</v>
      </c>
      <c r="D2784" t="s">
        <v>63</v>
      </c>
      <c r="E2784" t="s">
        <v>55</v>
      </c>
      <c r="F2784">
        <v>0</v>
      </c>
      <c r="G2784">
        <v>1445</v>
      </c>
      <c r="H2784">
        <v>1</v>
      </c>
      <c r="I2784" t="s">
        <v>173</v>
      </c>
      <c r="J2784">
        <v>1</v>
      </c>
      <c r="K2784" s="6">
        <v>2.02</v>
      </c>
      <c r="L2784" t="s">
        <v>174</v>
      </c>
      <c r="M2784">
        <v>0</v>
      </c>
      <c r="N2784" t="s">
        <v>187</v>
      </c>
      <c r="O2784">
        <v>2</v>
      </c>
      <c r="P2784">
        <v>0</v>
      </c>
      <c r="Q2784" s="6">
        <v>36.9</v>
      </c>
      <c r="R2784">
        <v>0</v>
      </c>
      <c r="S2784" s="6">
        <v>0</v>
      </c>
      <c r="T2784">
        <v>0</v>
      </c>
      <c r="U2784" s="6">
        <v>2537</v>
      </c>
      <c r="V2784">
        <v>0</v>
      </c>
      <c r="W2784">
        <v>0</v>
      </c>
      <c r="X2784">
        <v>0</v>
      </c>
      <c r="Y2784" s="6">
        <v>40</v>
      </c>
      <c r="Z2784">
        <v>4.5999999999999999E-2</v>
      </c>
      <c r="AA2784">
        <v>9.5000000000000001E-2</v>
      </c>
      <c r="AB2784">
        <v>7.6999999999999999E-2</v>
      </c>
      <c r="AC2784">
        <v>6</v>
      </c>
      <c r="AD2784" s="6">
        <v>50</v>
      </c>
      <c r="AE2784" s="6">
        <v>0</v>
      </c>
      <c r="AF2784" s="6">
        <v>0</v>
      </c>
      <c r="AG2784" s="6">
        <v>50.27</v>
      </c>
      <c r="AH2784" s="6">
        <v>67.09</v>
      </c>
      <c r="AI2784" s="6">
        <f t="shared" si="86"/>
        <v>16.82</v>
      </c>
      <c r="AJ2784" s="5">
        <f t="shared" si="87"/>
        <v>0.25070800417349826</v>
      </c>
    </row>
    <row r="2785" spans="1:36">
      <c r="A2785" t="s">
        <v>323</v>
      </c>
      <c r="B2785" t="s">
        <v>3070</v>
      </c>
      <c r="C2785" t="s">
        <v>122</v>
      </c>
      <c r="D2785" t="s">
        <v>63</v>
      </c>
      <c r="E2785" t="s">
        <v>55</v>
      </c>
      <c r="F2785">
        <v>0</v>
      </c>
      <c r="G2785">
        <v>1445</v>
      </c>
      <c r="H2785">
        <v>1</v>
      </c>
      <c r="I2785" t="s">
        <v>173</v>
      </c>
      <c r="J2785">
        <v>1</v>
      </c>
      <c r="K2785" s="6">
        <v>1.43</v>
      </c>
      <c r="L2785" t="s">
        <v>174</v>
      </c>
      <c r="M2785">
        <v>0</v>
      </c>
      <c r="N2785" t="s">
        <v>182</v>
      </c>
      <c r="O2785">
        <v>3</v>
      </c>
      <c r="P2785">
        <v>0</v>
      </c>
      <c r="Q2785" s="6">
        <v>84</v>
      </c>
      <c r="R2785">
        <v>0</v>
      </c>
      <c r="S2785" s="6">
        <v>0</v>
      </c>
      <c r="T2785">
        <v>0</v>
      </c>
      <c r="U2785" s="6">
        <v>725</v>
      </c>
      <c r="V2785">
        <v>0</v>
      </c>
      <c r="W2785">
        <v>0</v>
      </c>
      <c r="X2785">
        <v>0</v>
      </c>
      <c r="Y2785" s="6">
        <v>40</v>
      </c>
      <c r="Z2785">
        <v>4.5999999999999999E-2</v>
      </c>
      <c r="AA2785">
        <v>9.5000000000000001E-2</v>
      </c>
      <c r="AB2785">
        <v>7.6999999999999999E-2</v>
      </c>
      <c r="AC2785">
        <v>6</v>
      </c>
      <c r="AD2785" s="6">
        <v>50</v>
      </c>
      <c r="AE2785" s="6">
        <v>0</v>
      </c>
      <c r="AF2785" s="6">
        <v>0</v>
      </c>
      <c r="AG2785" s="6">
        <v>58.74</v>
      </c>
      <c r="AH2785" s="6">
        <v>74.78</v>
      </c>
      <c r="AI2785" s="6">
        <f t="shared" si="86"/>
        <v>16.04</v>
      </c>
      <c r="AJ2785" s="5">
        <f t="shared" si="87"/>
        <v>0.21449585450655254</v>
      </c>
    </row>
    <row r="2786" spans="1:36">
      <c r="A2786" t="s">
        <v>240</v>
      </c>
      <c r="B2786" t="s">
        <v>3071</v>
      </c>
      <c r="C2786" t="s">
        <v>122</v>
      </c>
      <c r="D2786" t="s">
        <v>63</v>
      </c>
      <c r="E2786" t="s">
        <v>55</v>
      </c>
      <c r="F2786">
        <v>0</v>
      </c>
      <c r="G2786">
        <v>1445</v>
      </c>
      <c r="H2786">
        <v>1</v>
      </c>
      <c r="I2786" t="s">
        <v>173</v>
      </c>
      <c r="J2786">
        <v>1</v>
      </c>
      <c r="K2786" s="6">
        <v>2.69</v>
      </c>
      <c r="L2786" t="s">
        <v>174</v>
      </c>
      <c r="M2786">
        <v>0</v>
      </c>
      <c r="N2786" t="s">
        <v>175</v>
      </c>
      <c r="O2786">
        <v>1</v>
      </c>
      <c r="P2786">
        <v>0</v>
      </c>
      <c r="Q2786" s="6">
        <v>26.7</v>
      </c>
      <c r="R2786">
        <v>0</v>
      </c>
      <c r="S2786" s="6">
        <v>0</v>
      </c>
      <c r="T2786">
        <v>0</v>
      </c>
      <c r="U2786" s="6">
        <v>1060</v>
      </c>
      <c r="V2786">
        <v>0</v>
      </c>
      <c r="W2786">
        <v>0</v>
      </c>
      <c r="X2786">
        <v>0</v>
      </c>
      <c r="Y2786" s="6">
        <v>40</v>
      </c>
      <c r="Z2786">
        <v>4.5999999999999999E-2</v>
      </c>
      <c r="AA2786">
        <v>9.5000000000000001E-2</v>
      </c>
      <c r="AB2786">
        <v>7.6999999999999999E-2</v>
      </c>
      <c r="AC2786">
        <v>6</v>
      </c>
      <c r="AD2786" s="6">
        <v>50</v>
      </c>
      <c r="AE2786" s="6">
        <v>0</v>
      </c>
      <c r="AF2786" s="6">
        <v>0</v>
      </c>
      <c r="AG2786" s="6">
        <v>52.21</v>
      </c>
      <c r="AH2786" s="6">
        <v>69.680000000000007</v>
      </c>
      <c r="AI2786" s="6">
        <f t="shared" si="86"/>
        <v>17.470000000000006</v>
      </c>
      <c r="AJ2786" s="5">
        <f t="shared" si="87"/>
        <v>0.25071756601607353</v>
      </c>
    </row>
    <row r="2787" spans="1:36">
      <c r="A2787" t="s">
        <v>375</v>
      </c>
      <c r="B2787" t="s">
        <v>3072</v>
      </c>
      <c r="C2787" t="s">
        <v>122</v>
      </c>
      <c r="D2787" t="s">
        <v>63</v>
      </c>
      <c r="E2787" t="s">
        <v>55</v>
      </c>
      <c r="F2787">
        <v>0</v>
      </c>
      <c r="G2787">
        <v>1445</v>
      </c>
      <c r="H2787">
        <v>1</v>
      </c>
      <c r="I2787" t="s">
        <v>173</v>
      </c>
      <c r="J2787">
        <v>1</v>
      </c>
      <c r="K2787" s="6">
        <v>1.24</v>
      </c>
      <c r="L2787" t="s">
        <v>174</v>
      </c>
      <c r="M2787">
        <v>0</v>
      </c>
      <c r="N2787" t="s">
        <v>175</v>
      </c>
      <c r="O2787">
        <v>1</v>
      </c>
      <c r="P2787">
        <v>0</v>
      </c>
      <c r="Q2787" s="6">
        <v>32.9</v>
      </c>
      <c r="R2787">
        <v>1</v>
      </c>
      <c r="S2787" s="6">
        <v>4074</v>
      </c>
      <c r="T2787">
        <v>0</v>
      </c>
      <c r="U2787" s="6">
        <v>1281</v>
      </c>
      <c r="V2787">
        <v>0</v>
      </c>
      <c r="W2787">
        <v>0</v>
      </c>
      <c r="X2787">
        <v>0</v>
      </c>
      <c r="Y2787" s="6">
        <v>40</v>
      </c>
      <c r="Z2787">
        <v>4.5999999999999999E-2</v>
      </c>
      <c r="AA2787">
        <v>9.5000000000000001E-2</v>
      </c>
      <c r="AB2787">
        <v>7.6999999999999999E-2</v>
      </c>
      <c r="AC2787">
        <v>6</v>
      </c>
      <c r="AD2787" s="6">
        <v>50</v>
      </c>
      <c r="AE2787" s="6">
        <v>40</v>
      </c>
      <c r="AF2787" s="6">
        <v>0</v>
      </c>
      <c r="AG2787" s="6">
        <v>51.84</v>
      </c>
      <c r="AH2787" s="6">
        <v>66.150000000000006</v>
      </c>
      <c r="AI2787" s="6">
        <f t="shared" si="86"/>
        <v>14.310000000000002</v>
      </c>
      <c r="AJ2787" s="5">
        <f t="shared" si="87"/>
        <v>0.21632653061224491</v>
      </c>
    </row>
    <row r="2788" spans="1:36">
      <c r="A2788" t="s">
        <v>393</v>
      </c>
      <c r="B2788" t="s">
        <v>3073</v>
      </c>
      <c r="C2788" t="s">
        <v>122</v>
      </c>
      <c r="D2788" t="s">
        <v>63</v>
      </c>
      <c r="E2788" t="s">
        <v>55</v>
      </c>
      <c r="F2788">
        <v>0</v>
      </c>
      <c r="G2788">
        <v>1445</v>
      </c>
      <c r="H2788">
        <v>1</v>
      </c>
      <c r="I2788" t="s">
        <v>173</v>
      </c>
      <c r="J2788">
        <v>1</v>
      </c>
      <c r="K2788" s="6">
        <v>1.41</v>
      </c>
      <c r="L2788" t="s">
        <v>174</v>
      </c>
      <c r="M2788">
        <v>0</v>
      </c>
      <c r="N2788" t="s">
        <v>187</v>
      </c>
      <c r="O2788">
        <v>2</v>
      </c>
      <c r="P2788">
        <v>1</v>
      </c>
      <c r="Q2788" s="6">
        <v>72.400000000000006</v>
      </c>
      <c r="R2788">
        <v>1</v>
      </c>
      <c r="S2788" s="6">
        <v>1029</v>
      </c>
      <c r="T2788">
        <v>0</v>
      </c>
      <c r="U2788" s="6">
        <v>1027</v>
      </c>
      <c r="V2788">
        <v>0</v>
      </c>
      <c r="W2788">
        <v>0</v>
      </c>
      <c r="X2788">
        <v>0</v>
      </c>
      <c r="Y2788" s="6">
        <v>40</v>
      </c>
      <c r="Z2788">
        <v>4.5999999999999999E-2</v>
      </c>
      <c r="AA2788">
        <v>9.5000000000000001E-2</v>
      </c>
      <c r="AB2788">
        <v>7.6999999999999999E-2</v>
      </c>
      <c r="AC2788">
        <v>6</v>
      </c>
      <c r="AD2788" s="6">
        <v>50</v>
      </c>
      <c r="AE2788" s="6">
        <v>25</v>
      </c>
      <c r="AF2788" s="6">
        <v>0</v>
      </c>
      <c r="AG2788" s="6">
        <v>66.040000000000006</v>
      </c>
      <c r="AH2788" s="6">
        <v>83.71</v>
      </c>
      <c r="AI2788" s="6">
        <f t="shared" si="86"/>
        <v>17.669999999999987</v>
      </c>
      <c r="AJ2788" s="5">
        <f t="shared" si="87"/>
        <v>0.21108589176920306</v>
      </c>
    </row>
    <row r="2789" spans="1:36">
      <c r="A2789" t="s">
        <v>457</v>
      </c>
      <c r="B2789" t="s">
        <v>3074</v>
      </c>
      <c r="C2789" t="s">
        <v>122</v>
      </c>
      <c r="D2789" t="s">
        <v>63</v>
      </c>
      <c r="E2789" t="s">
        <v>55</v>
      </c>
      <c r="F2789">
        <v>0</v>
      </c>
      <c r="G2789">
        <v>1445</v>
      </c>
      <c r="H2789">
        <v>1</v>
      </c>
      <c r="I2789" t="s">
        <v>220</v>
      </c>
      <c r="J2789">
        <v>2</v>
      </c>
      <c r="K2789" s="6">
        <v>2.2200000000000002</v>
      </c>
      <c r="L2789" t="s">
        <v>174</v>
      </c>
      <c r="M2789">
        <v>0</v>
      </c>
      <c r="N2789" t="s">
        <v>175</v>
      </c>
      <c r="O2789">
        <v>1</v>
      </c>
      <c r="P2789">
        <v>0</v>
      </c>
      <c r="Q2789" s="6">
        <v>53.6</v>
      </c>
      <c r="R2789">
        <v>0</v>
      </c>
      <c r="S2789" s="6">
        <v>0</v>
      </c>
      <c r="T2789">
        <v>0</v>
      </c>
      <c r="U2789" s="6">
        <v>636</v>
      </c>
      <c r="V2789">
        <v>0</v>
      </c>
      <c r="W2789">
        <v>0</v>
      </c>
      <c r="X2789">
        <v>0</v>
      </c>
      <c r="Y2789" s="6">
        <v>40</v>
      </c>
      <c r="Z2789">
        <v>4.5999999999999999E-2</v>
      </c>
      <c r="AA2789">
        <v>9.5000000000000001E-2</v>
      </c>
      <c r="AB2789">
        <v>7.6999999999999999E-2</v>
      </c>
      <c r="AC2789">
        <v>6</v>
      </c>
      <c r="AD2789" s="6">
        <v>50</v>
      </c>
      <c r="AE2789" s="6">
        <v>0</v>
      </c>
      <c r="AF2789" s="6">
        <v>0</v>
      </c>
      <c r="AG2789" s="6">
        <v>58.49</v>
      </c>
      <c r="AH2789" s="6">
        <v>73.83</v>
      </c>
      <c r="AI2789" s="6">
        <f t="shared" si="86"/>
        <v>15.339999999999996</v>
      </c>
      <c r="AJ2789" s="5">
        <f t="shared" si="87"/>
        <v>0.20777461736421504</v>
      </c>
    </row>
    <row r="2790" spans="1:36">
      <c r="A2790" t="s">
        <v>225</v>
      </c>
      <c r="B2790" t="s">
        <v>3075</v>
      </c>
      <c r="C2790" t="s">
        <v>122</v>
      </c>
      <c r="D2790" t="s">
        <v>63</v>
      </c>
      <c r="E2790" t="s">
        <v>55</v>
      </c>
      <c r="F2790">
        <v>0</v>
      </c>
      <c r="G2790">
        <v>1445</v>
      </c>
      <c r="H2790">
        <v>1</v>
      </c>
      <c r="I2790" t="s">
        <v>173</v>
      </c>
      <c r="J2790">
        <v>1</v>
      </c>
      <c r="K2790" s="6">
        <v>1.87</v>
      </c>
      <c r="L2790" t="s">
        <v>174</v>
      </c>
      <c r="M2790">
        <v>0</v>
      </c>
      <c r="N2790" t="s">
        <v>182</v>
      </c>
      <c r="O2790">
        <v>3</v>
      </c>
      <c r="P2790">
        <v>1</v>
      </c>
      <c r="Q2790" s="6">
        <v>117.7</v>
      </c>
      <c r="R2790">
        <v>0</v>
      </c>
      <c r="S2790" s="6">
        <v>0</v>
      </c>
      <c r="T2790">
        <v>0</v>
      </c>
      <c r="U2790" s="6">
        <v>722</v>
      </c>
      <c r="V2790">
        <v>1</v>
      </c>
      <c r="W2790">
        <v>0</v>
      </c>
      <c r="X2790">
        <v>0</v>
      </c>
      <c r="Y2790" s="6">
        <v>40</v>
      </c>
      <c r="Z2790">
        <v>4.5999999999999999E-2</v>
      </c>
      <c r="AA2790">
        <v>9.5000000000000001E-2</v>
      </c>
      <c r="AB2790">
        <v>7.6999999999999999E-2</v>
      </c>
      <c r="AC2790">
        <v>6</v>
      </c>
      <c r="AD2790" s="6">
        <v>50</v>
      </c>
      <c r="AE2790" s="6">
        <v>0</v>
      </c>
      <c r="AF2790" s="6">
        <v>0</v>
      </c>
      <c r="AG2790" s="6">
        <v>137.26</v>
      </c>
      <c r="AH2790" s="6">
        <v>171.86</v>
      </c>
      <c r="AI2790" s="6">
        <f t="shared" si="86"/>
        <v>34.600000000000023</v>
      </c>
      <c r="AJ2790" s="5">
        <f t="shared" si="87"/>
        <v>0.2013266612358898</v>
      </c>
    </row>
    <row r="2791" spans="1:36">
      <c r="A2791" t="s">
        <v>691</v>
      </c>
      <c r="B2791" t="s">
        <v>3076</v>
      </c>
      <c r="C2791" t="s">
        <v>122</v>
      </c>
      <c r="D2791" t="s">
        <v>63</v>
      </c>
      <c r="E2791" t="s">
        <v>55</v>
      </c>
      <c r="F2791">
        <v>0</v>
      </c>
      <c r="G2791">
        <v>1445</v>
      </c>
      <c r="H2791">
        <v>1</v>
      </c>
      <c r="I2791" t="s">
        <v>173</v>
      </c>
      <c r="J2791">
        <v>1</v>
      </c>
      <c r="K2791" s="6">
        <v>1.58</v>
      </c>
      <c r="L2791" t="s">
        <v>174</v>
      </c>
      <c r="M2791">
        <v>0</v>
      </c>
      <c r="N2791" t="s">
        <v>182</v>
      </c>
      <c r="O2791">
        <v>3</v>
      </c>
      <c r="P2791">
        <v>0</v>
      </c>
      <c r="Q2791" s="6">
        <v>103.4</v>
      </c>
      <c r="R2791">
        <v>1</v>
      </c>
      <c r="S2791" s="6">
        <v>1684</v>
      </c>
      <c r="T2791">
        <v>0</v>
      </c>
      <c r="U2791" s="6">
        <v>987</v>
      </c>
      <c r="V2791">
        <v>0</v>
      </c>
      <c r="W2791">
        <v>0</v>
      </c>
      <c r="X2791">
        <v>0</v>
      </c>
      <c r="Y2791" s="6">
        <v>40</v>
      </c>
      <c r="Z2791">
        <v>4.5999999999999999E-2</v>
      </c>
      <c r="AA2791">
        <v>9.5000000000000001E-2</v>
      </c>
      <c r="AB2791">
        <v>7.6999999999999999E-2</v>
      </c>
      <c r="AC2791">
        <v>6</v>
      </c>
      <c r="AD2791" s="6">
        <v>50</v>
      </c>
      <c r="AE2791" s="6">
        <v>25</v>
      </c>
      <c r="AF2791" s="6">
        <v>0</v>
      </c>
      <c r="AG2791" s="6">
        <v>63.15</v>
      </c>
      <c r="AH2791" s="6">
        <v>80</v>
      </c>
      <c r="AI2791" s="6">
        <f t="shared" si="86"/>
        <v>16.850000000000001</v>
      </c>
      <c r="AJ2791" s="5">
        <f t="shared" si="87"/>
        <v>0.21062500000000001</v>
      </c>
    </row>
    <row r="2792" spans="1:36">
      <c r="A2792" t="s">
        <v>223</v>
      </c>
      <c r="B2792" t="s">
        <v>3077</v>
      </c>
      <c r="C2792" t="s">
        <v>122</v>
      </c>
      <c r="D2792" t="s">
        <v>63</v>
      </c>
      <c r="E2792" t="s">
        <v>55</v>
      </c>
      <c r="F2792">
        <v>0</v>
      </c>
      <c r="G2792">
        <v>1445</v>
      </c>
      <c r="H2792">
        <v>1</v>
      </c>
      <c r="I2792" t="s">
        <v>173</v>
      </c>
      <c r="J2792">
        <v>1</v>
      </c>
      <c r="K2792" s="6">
        <v>1.95</v>
      </c>
      <c r="L2792" t="s">
        <v>174</v>
      </c>
      <c r="M2792">
        <v>0</v>
      </c>
      <c r="N2792" t="s">
        <v>217</v>
      </c>
      <c r="O2792">
        <v>4</v>
      </c>
      <c r="P2792">
        <v>1</v>
      </c>
      <c r="Q2792" s="6">
        <v>226.9</v>
      </c>
      <c r="R2792">
        <v>1</v>
      </c>
      <c r="S2792" s="6">
        <v>1063</v>
      </c>
      <c r="T2792">
        <v>0</v>
      </c>
      <c r="U2792" s="6">
        <v>724</v>
      </c>
      <c r="V2792">
        <v>0</v>
      </c>
      <c r="W2792">
        <v>0</v>
      </c>
      <c r="X2792">
        <v>0</v>
      </c>
      <c r="Y2792" s="6">
        <v>40</v>
      </c>
      <c r="Z2792">
        <v>4.5999999999999999E-2</v>
      </c>
      <c r="AA2792">
        <v>9.5000000000000001E-2</v>
      </c>
      <c r="AB2792">
        <v>7.6999999999999999E-2</v>
      </c>
      <c r="AC2792">
        <v>6</v>
      </c>
      <c r="AD2792" s="6">
        <v>50</v>
      </c>
      <c r="AE2792" s="6">
        <v>25</v>
      </c>
      <c r="AF2792" s="6">
        <v>0</v>
      </c>
      <c r="AG2792" s="6">
        <v>105.4</v>
      </c>
      <c r="AH2792" s="6">
        <v>133.91</v>
      </c>
      <c r="AI2792" s="6">
        <f t="shared" si="86"/>
        <v>28.509999999999991</v>
      </c>
      <c r="AJ2792" s="5">
        <f t="shared" si="87"/>
        <v>0.21290418938092742</v>
      </c>
    </row>
    <row r="2793" spans="1:36">
      <c r="A2793" t="s">
        <v>255</v>
      </c>
      <c r="B2793" t="s">
        <v>3078</v>
      </c>
      <c r="C2793" t="s">
        <v>122</v>
      </c>
      <c r="D2793" t="s">
        <v>63</v>
      </c>
      <c r="E2793" t="s">
        <v>55</v>
      </c>
      <c r="F2793">
        <v>0</v>
      </c>
      <c r="G2793">
        <v>1445</v>
      </c>
      <c r="H2793">
        <v>1</v>
      </c>
      <c r="I2793" t="s">
        <v>173</v>
      </c>
      <c r="J2793">
        <v>1</v>
      </c>
      <c r="K2793" s="6">
        <v>1.47</v>
      </c>
      <c r="L2793" t="s">
        <v>174</v>
      </c>
      <c r="M2793">
        <v>0</v>
      </c>
      <c r="N2793" t="s">
        <v>187</v>
      </c>
      <c r="O2793">
        <v>2</v>
      </c>
      <c r="P2793">
        <v>0</v>
      </c>
      <c r="Q2793" s="6">
        <v>40.1</v>
      </c>
      <c r="R2793">
        <v>1</v>
      </c>
      <c r="S2793" s="6">
        <v>419</v>
      </c>
      <c r="T2793">
        <v>0</v>
      </c>
      <c r="U2793" s="6">
        <v>470</v>
      </c>
      <c r="V2793">
        <v>0</v>
      </c>
      <c r="W2793">
        <v>0</v>
      </c>
      <c r="X2793">
        <v>0</v>
      </c>
      <c r="Y2793" s="6">
        <v>40</v>
      </c>
      <c r="Z2793">
        <v>4.5999999999999999E-2</v>
      </c>
      <c r="AA2793">
        <v>9.5000000000000001E-2</v>
      </c>
      <c r="AB2793">
        <v>7.6999999999999999E-2</v>
      </c>
      <c r="AC2793">
        <v>6</v>
      </c>
      <c r="AD2793" s="6">
        <v>50</v>
      </c>
      <c r="AE2793" s="6">
        <v>25</v>
      </c>
      <c r="AF2793" s="6">
        <v>0</v>
      </c>
      <c r="AG2793" s="6">
        <v>61.67</v>
      </c>
      <c r="AH2793" s="6">
        <v>80.09</v>
      </c>
      <c r="AI2793" s="6">
        <f t="shared" si="86"/>
        <v>18.420000000000002</v>
      </c>
      <c r="AJ2793" s="5">
        <f t="shared" si="87"/>
        <v>0.22999125983268823</v>
      </c>
    </row>
    <row r="2794" spans="1:36">
      <c r="A2794" t="s">
        <v>579</v>
      </c>
      <c r="B2794" t="s">
        <v>3079</v>
      </c>
      <c r="C2794" t="s">
        <v>122</v>
      </c>
      <c r="D2794" t="s">
        <v>63</v>
      </c>
      <c r="E2794" t="s">
        <v>55</v>
      </c>
      <c r="F2794">
        <v>0</v>
      </c>
      <c r="G2794">
        <v>1445</v>
      </c>
      <c r="H2794">
        <v>1</v>
      </c>
      <c r="I2794" t="s">
        <v>173</v>
      </c>
      <c r="J2794">
        <v>1</v>
      </c>
      <c r="K2794" s="6">
        <v>0.98</v>
      </c>
      <c r="L2794" t="s">
        <v>174</v>
      </c>
      <c r="M2794">
        <v>0</v>
      </c>
      <c r="N2794" t="s">
        <v>182</v>
      </c>
      <c r="O2794">
        <v>3</v>
      </c>
      <c r="P2794">
        <v>0</v>
      </c>
      <c r="Q2794" s="6">
        <v>82.9</v>
      </c>
      <c r="R2794">
        <v>0</v>
      </c>
      <c r="S2794" s="6">
        <v>0</v>
      </c>
      <c r="T2794">
        <v>0</v>
      </c>
      <c r="U2794" s="6">
        <v>2729</v>
      </c>
      <c r="V2794">
        <v>1</v>
      </c>
      <c r="W2794">
        <v>0</v>
      </c>
      <c r="X2794">
        <v>0</v>
      </c>
      <c r="Y2794" s="6">
        <v>40</v>
      </c>
      <c r="Z2794">
        <v>4.5999999999999999E-2</v>
      </c>
      <c r="AA2794">
        <v>9.5000000000000001E-2</v>
      </c>
      <c r="AB2794">
        <v>7.6999999999999999E-2</v>
      </c>
      <c r="AC2794">
        <v>6</v>
      </c>
      <c r="AD2794" s="6">
        <v>50</v>
      </c>
      <c r="AE2794" s="6">
        <v>0</v>
      </c>
      <c r="AF2794" s="6">
        <v>0</v>
      </c>
      <c r="AG2794" s="6">
        <v>91.77</v>
      </c>
      <c r="AH2794" s="6">
        <v>115.46</v>
      </c>
      <c r="AI2794" s="6">
        <f t="shared" si="86"/>
        <v>23.689999999999998</v>
      </c>
      <c r="AJ2794" s="5">
        <f t="shared" si="87"/>
        <v>0.20517928286852588</v>
      </c>
    </row>
    <row r="2795" spans="1:36">
      <c r="A2795" t="s">
        <v>372</v>
      </c>
      <c r="B2795" t="s">
        <v>3080</v>
      </c>
      <c r="C2795" t="s">
        <v>122</v>
      </c>
      <c r="D2795" t="s">
        <v>63</v>
      </c>
      <c r="E2795" t="s">
        <v>55</v>
      </c>
      <c r="F2795">
        <v>0</v>
      </c>
      <c r="G2795">
        <v>1445</v>
      </c>
      <c r="H2795">
        <v>1</v>
      </c>
      <c r="I2795" t="s">
        <v>173</v>
      </c>
      <c r="J2795">
        <v>1</v>
      </c>
      <c r="K2795" s="6">
        <v>2.0299999999999998</v>
      </c>
      <c r="L2795" t="s">
        <v>174</v>
      </c>
      <c r="M2795">
        <v>0</v>
      </c>
      <c r="N2795" t="s">
        <v>175</v>
      </c>
      <c r="O2795">
        <v>1</v>
      </c>
      <c r="P2795">
        <v>0</v>
      </c>
      <c r="Q2795" s="6">
        <v>38.799999999999997</v>
      </c>
      <c r="R2795">
        <v>1</v>
      </c>
      <c r="S2795" s="6">
        <v>1741</v>
      </c>
      <c r="T2795">
        <v>0</v>
      </c>
      <c r="U2795" s="6">
        <v>704</v>
      </c>
      <c r="V2795">
        <v>0</v>
      </c>
      <c r="W2795">
        <v>1</v>
      </c>
      <c r="X2795">
        <v>0</v>
      </c>
      <c r="Y2795" s="6">
        <v>40</v>
      </c>
      <c r="Z2795">
        <v>4.5999999999999999E-2</v>
      </c>
      <c r="AA2795">
        <v>9.5000000000000001E-2</v>
      </c>
      <c r="AB2795">
        <v>7.6999999999999999E-2</v>
      </c>
      <c r="AC2795">
        <v>6</v>
      </c>
      <c r="AD2795" s="6">
        <v>50</v>
      </c>
      <c r="AE2795" s="6">
        <v>25</v>
      </c>
      <c r="AF2795" s="6">
        <v>0</v>
      </c>
      <c r="AG2795" s="6">
        <v>82.37</v>
      </c>
      <c r="AH2795" s="6">
        <v>103.58</v>
      </c>
      <c r="AI2795" s="6">
        <f t="shared" si="86"/>
        <v>21.209999999999994</v>
      </c>
      <c r="AJ2795" s="5">
        <f t="shared" si="87"/>
        <v>0.20476926047499511</v>
      </c>
    </row>
    <row r="2796" spans="1:36">
      <c r="A2796" t="s">
        <v>218</v>
      </c>
      <c r="B2796" t="s">
        <v>3081</v>
      </c>
      <c r="C2796" t="s">
        <v>122</v>
      </c>
      <c r="D2796" t="s">
        <v>63</v>
      </c>
      <c r="E2796" t="s">
        <v>55</v>
      </c>
      <c r="F2796">
        <v>0</v>
      </c>
      <c r="G2796">
        <v>1445</v>
      </c>
      <c r="H2796">
        <v>1</v>
      </c>
      <c r="I2796" t="s">
        <v>173</v>
      </c>
      <c r="J2796">
        <v>1</v>
      </c>
      <c r="K2796" s="6">
        <v>1.6</v>
      </c>
      <c r="L2796" t="s">
        <v>174</v>
      </c>
      <c r="M2796">
        <v>0</v>
      </c>
      <c r="N2796" t="s">
        <v>182</v>
      </c>
      <c r="O2796">
        <v>3</v>
      </c>
      <c r="P2796">
        <v>0</v>
      </c>
      <c r="Q2796" s="6">
        <v>101.5</v>
      </c>
      <c r="R2796">
        <v>0</v>
      </c>
      <c r="S2796" s="6">
        <v>0</v>
      </c>
      <c r="T2796">
        <v>0</v>
      </c>
      <c r="U2796" s="6">
        <v>605</v>
      </c>
      <c r="V2796">
        <v>0</v>
      </c>
      <c r="W2796">
        <v>0</v>
      </c>
      <c r="X2796">
        <v>0</v>
      </c>
      <c r="Y2796" s="6">
        <v>40</v>
      </c>
      <c r="Z2796">
        <v>4.5999999999999999E-2</v>
      </c>
      <c r="AA2796">
        <v>9.5000000000000001E-2</v>
      </c>
      <c r="AB2796">
        <v>7.6999999999999999E-2</v>
      </c>
      <c r="AC2796">
        <v>6</v>
      </c>
      <c r="AD2796" s="6">
        <v>50</v>
      </c>
      <c r="AE2796" s="6">
        <v>0</v>
      </c>
      <c r="AF2796" s="6">
        <v>0</v>
      </c>
      <c r="AG2796" s="6">
        <v>59.23</v>
      </c>
      <c r="AH2796" s="6">
        <v>78.010000000000005</v>
      </c>
      <c r="AI2796" s="6">
        <f t="shared" si="86"/>
        <v>18.780000000000008</v>
      </c>
      <c r="AJ2796" s="5">
        <f t="shared" si="87"/>
        <v>0.24073836687604161</v>
      </c>
    </row>
    <row r="2797" spans="1:36">
      <c r="A2797" t="s">
        <v>277</v>
      </c>
      <c r="B2797" t="s">
        <v>3082</v>
      </c>
      <c r="C2797" t="s">
        <v>122</v>
      </c>
      <c r="D2797" t="s">
        <v>63</v>
      </c>
      <c r="E2797" t="s">
        <v>55</v>
      </c>
      <c r="F2797">
        <v>0</v>
      </c>
      <c r="G2797">
        <v>1445</v>
      </c>
      <c r="H2797">
        <v>1</v>
      </c>
      <c r="I2797" t="s">
        <v>220</v>
      </c>
      <c r="J2797">
        <v>2</v>
      </c>
      <c r="K2797" s="6">
        <v>3.92</v>
      </c>
      <c r="L2797" t="s">
        <v>174</v>
      </c>
      <c r="M2797">
        <v>0</v>
      </c>
      <c r="N2797" t="s">
        <v>175</v>
      </c>
      <c r="O2797">
        <v>1</v>
      </c>
      <c r="P2797">
        <v>0</v>
      </c>
      <c r="Q2797" s="6">
        <v>39.700000000000003</v>
      </c>
      <c r="R2797">
        <v>0</v>
      </c>
      <c r="S2797" s="6">
        <v>0</v>
      </c>
      <c r="T2797">
        <v>0</v>
      </c>
      <c r="U2797" s="6">
        <v>290</v>
      </c>
      <c r="V2797">
        <v>0</v>
      </c>
      <c r="W2797">
        <v>0</v>
      </c>
      <c r="X2797">
        <v>0</v>
      </c>
      <c r="Y2797" s="6">
        <v>40</v>
      </c>
      <c r="Z2797">
        <v>4.5999999999999999E-2</v>
      </c>
      <c r="AA2797">
        <v>9.5000000000000001E-2</v>
      </c>
      <c r="AB2797">
        <v>7.6999999999999999E-2</v>
      </c>
      <c r="AC2797">
        <v>6</v>
      </c>
      <c r="AD2797" s="6">
        <v>50</v>
      </c>
      <c r="AE2797" s="6">
        <v>0</v>
      </c>
      <c r="AF2797" s="6">
        <v>0</v>
      </c>
      <c r="AG2797" s="6">
        <v>61.94</v>
      </c>
      <c r="AH2797" s="6">
        <v>80.459999999999994</v>
      </c>
      <c r="AI2797" s="6">
        <f t="shared" si="86"/>
        <v>18.519999999999996</v>
      </c>
      <c r="AJ2797" s="5">
        <f t="shared" si="87"/>
        <v>0.23017648521004222</v>
      </c>
    </row>
    <row r="2798" spans="1:36">
      <c r="A2798" t="s">
        <v>249</v>
      </c>
      <c r="B2798" t="s">
        <v>3083</v>
      </c>
      <c r="C2798" t="s">
        <v>122</v>
      </c>
      <c r="D2798" t="s">
        <v>63</v>
      </c>
      <c r="E2798" t="s">
        <v>55</v>
      </c>
      <c r="F2798">
        <v>0</v>
      </c>
      <c r="G2798">
        <v>1445</v>
      </c>
      <c r="H2798">
        <v>1</v>
      </c>
      <c r="I2798" t="s">
        <v>173</v>
      </c>
      <c r="J2798">
        <v>1</v>
      </c>
      <c r="K2798" s="6">
        <v>1.06</v>
      </c>
      <c r="L2798" t="s">
        <v>200</v>
      </c>
      <c r="M2798">
        <v>1</v>
      </c>
      <c r="N2798" t="s">
        <v>187</v>
      </c>
      <c r="O2798">
        <v>2</v>
      </c>
      <c r="P2798">
        <v>0</v>
      </c>
      <c r="Q2798" s="6">
        <v>78.3</v>
      </c>
      <c r="R2798">
        <v>0</v>
      </c>
      <c r="S2798" s="6">
        <v>0</v>
      </c>
      <c r="T2798">
        <v>0</v>
      </c>
      <c r="U2798" s="6">
        <v>665</v>
      </c>
      <c r="V2798">
        <v>0</v>
      </c>
      <c r="W2798">
        <v>0</v>
      </c>
      <c r="X2798">
        <v>0</v>
      </c>
      <c r="Y2798" s="6">
        <v>40</v>
      </c>
      <c r="Z2798">
        <v>4.5999999999999999E-2</v>
      </c>
      <c r="AA2798">
        <v>9.5000000000000001E-2</v>
      </c>
      <c r="AB2798">
        <v>7.6999999999999999E-2</v>
      </c>
      <c r="AC2798">
        <v>6</v>
      </c>
      <c r="AD2798" s="6">
        <v>99</v>
      </c>
      <c r="AE2798" s="6">
        <v>0</v>
      </c>
      <c r="AF2798" s="6">
        <v>0</v>
      </c>
      <c r="AG2798" s="6">
        <v>86.01</v>
      </c>
      <c r="AH2798" s="6">
        <v>109.51</v>
      </c>
      <c r="AI2798" s="6">
        <f t="shared" si="86"/>
        <v>23.5</v>
      </c>
      <c r="AJ2798" s="5">
        <f t="shared" si="87"/>
        <v>0.21459227467811157</v>
      </c>
    </row>
    <row r="2799" spans="1:36">
      <c r="A2799" t="s">
        <v>406</v>
      </c>
      <c r="B2799" t="s">
        <v>3084</v>
      </c>
      <c r="C2799" t="s">
        <v>122</v>
      </c>
      <c r="D2799" t="s">
        <v>63</v>
      </c>
      <c r="E2799" t="s">
        <v>55</v>
      </c>
      <c r="F2799">
        <v>0</v>
      </c>
      <c r="G2799">
        <v>1445</v>
      </c>
      <c r="H2799">
        <v>1</v>
      </c>
      <c r="I2799" t="s">
        <v>181</v>
      </c>
      <c r="J2799">
        <v>3</v>
      </c>
      <c r="K2799" s="6">
        <v>8.3000000000000007</v>
      </c>
      <c r="L2799" t="s">
        <v>174</v>
      </c>
      <c r="M2799">
        <v>0</v>
      </c>
      <c r="N2799" t="s">
        <v>272</v>
      </c>
      <c r="O2799">
        <v>5</v>
      </c>
      <c r="P2799">
        <v>1</v>
      </c>
      <c r="Q2799" s="6">
        <v>161.9</v>
      </c>
      <c r="R2799">
        <v>0</v>
      </c>
      <c r="S2799" s="6">
        <v>0</v>
      </c>
      <c r="T2799">
        <v>0</v>
      </c>
      <c r="U2799" s="6">
        <v>705</v>
      </c>
      <c r="V2799">
        <v>0</v>
      </c>
      <c r="W2799">
        <v>0</v>
      </c>
      <c r="X2799">
        <v>0</v>
      </c>
      <c r="Y2799" s="6">
        <v>40</v>
      </c>
      <c r="Z2799">
        <v>4.5999999999999999E-2</v>
      </c>
      <c r="AA2799">
        <v>9.5000000000000001E-2</v>
      </c>
      <c r="AB2799">
        <v>7.6999999999999999E-2</v>
      </c>
      <c r="AC2799">
        <v>6</v>
      </c>
      <c r="AD2799" s="6">
        <v>60</v>
      </c>
      <c r="AE2799" s="6">
        <v>0</v>
      </c>
      <c r="AF2799" s="6">
        <v>0</v>
      </c>
      <c r="AG2799" s="6">
        <v>187.91</v>
      </c>
      <c r="AH2799" s="6">
        <v>236.87</v>
      </c>
      <c r="AI2799" s="6">
        <f t="shared" si="86"/>
        <v>48.960000000000008</v>
      </c>
      <c r="AJ2799" s="5">
        <f t="shared" si="87"/>
        <v>0.20669565584497829</v>
      </c>
    </row>
    <row r="2800" spans="1:36">
      <c r="A2800" t="s">
        <v>266</v>
      </c>
      <c r="B2800" t="s">
        <v>3085</v>
      </c>
      <c r="C2800" t="s">
        <v>122</v>
      </c>
      <c r="D2800" t="s">
        <v>63</v>
      </c>
      <c r="E2800" t="s">
        <v>55</v>
      </c>
      <c r="F2800">
        <v>0</v>
      </c>
      <c r="G2800">
        <v>1445</v>
      </c>
      <c r="H2800">
        <v>1</v>
      </c>
      <c r="I2800" t="s">
        <v>173</v>
      </c>
      <c r="J2800">
        <v>1</v>
      </c>
      <c r="K2800" s="6">
        <v>0.84</v>
      </c>
      <c r="L2800" t="s">
        <v>174</v>
      </c>
      <c r="M2800">
        <v>0</v>
      </c>
      <c r="N2800" t="s">
        <v>175</v>
      </c>
      <c r="O2800">
        <v>1</v>
      </c>
      <c r="P2800">
        <v>0</v>
      </c>
      <c r="Q2800" s="6">
        <v>39.9</v>
      </c>
      <c r="R2800">
        <v>1</v>
      </c>
      <c r="S2800" s="6">
        <v>2157</v>
      </c>
      <c r="T2800">
        <v>0</v>
      </c>
      <c r="U2800" s="6">
        <v>1020</v>
      </c>
      <c r="V2800">
        <v>0</v>
      </c>
      <c r="W2800">
        <v>0</v>
      </c>
      <c r="X2800">
        <v>0</v>
      </c>
      <c r="Y2800" s="6">
        <v>40</v>
      </c>
      <c r="Z2800">
        <v>4.5999999999999999E-2</v>
      </c>
      <c r="AA2800">
        <v>9.5000000000000001E-2</v>
      </c>
      <c r="AB2800">
        <v>7.6999999999999999E-2</v>
      </c>
      <c r="AC2800">
        <v>6</v>
      </c>
      <c r="AD2800" s="6">
        <v>50</v>
      </c>
      <c r="AE2800" s="6">
        <v>40</v>
      </c>
      <c r="AF2800" s="6">
        <v>0</v>
      </c>
      <c r="AG2800" s="6">
        <v>48.91</v>
      </c>
      <c r="AH2800" s="6">
        <v>64.34</v>
      </c>
      <c r="AI2800" s="6">
        <f t="shared" si="86"/>
        <v>15.430000000000007</v>
      </c>
      <c r="AJ2800" s="5">
        <f t="shared" si="87"/>
        <v>0.23981970780230039</v>
      </c>
    </row>
    <row r="2801" spans="1:36">
      <c r="A2801" t="s">
        <v>176</v>
      </c>
      <c r="B2801" t="s">
        <v>3086</v>
      </c>
      <c r="C2801" t="s">
        <v>122</v>
      </c>
      <c r="D2801" t="s">
        <v>63</v>
      </c>
      <c r="E2801" t="s">
        <v>55</v>
      </c>
      <c r="F2801">
        <v>0</v>
      </c>
      <c r="G2801">
        <v>1445</v>
      </c>
      <c r="H2801">
        <v>1</v>
      </c>
      <c r="I2801" t="s">
        <v>173</v>
      </c>
      <c r="J2801">
        <v>1</v>
      </c>
      <c r="K2801" s="6">
        <v>1.45</v>
      </c>
      <c r="L2801" t="s">
        <v>174</v>
      </c>
      <c r="M2801">
        <v>0</v>
      </c>
      <c r="N2801" t="s">
        <v>182</v>
      </c>
      <c r="O2801">
        <v>3</v>
      </c>
      <c r="P2801">
        <v>0</v>
      </c>
      <c r="Q2801" s="6">
        <v>70.7</v>
      </c>
      <c r="R2801">
        <v>1</v>
      </c>
      <c r="S2801" s="6">
        <v>7041</v>
      </c>
      <c r="T2801">
        <v>0</v>
      </c>
      <c r="U2801" s="6">
        <v>903</v>
      </c>
      <c r="V2801">
        <v>0</v>
      </c>
      <c r="W2801">
        <v>0</v>
      </c>
      <c r="X2801">
        <v>0</v>
      </c>
      <c r="Y2801" s="6">
        <v>40</v>
      </c>
      <c r="Z2801">
        <v>4.5999999999999999E-2</v>
      </c>
      <c r="AA2801">
        <v>9.5000000000000001E-2</v>
      </c>
      <c r="AB2801">
        <v>7.6999999999999999E-2</v>
      </c>
      <c r="AC2801">
        <v>6</v>
      </c>
      <c r="AD2801" s="6">
        <v>50</v>
      </c>
      <c r="AE2801" s="6">
        <v>50</v>
      </c>
      <c r="AF2801" s="6">
        <v>0</v>
      </c>
      <c r="AG2801" s="6">
        <v>70.260000000000005</v>
      </c>
      <c r="AH2801" s="6">
        <v>89.13</v>
      </c>
      <c r="AI2801" s="6">
        <f t="shared" si="86"/>
        <v>18.86999999999999</v>
      </c>
      <c r="AJ2801" s="5">
        <f t="shared" si="87"/>
        <v>0.21171322786940414</v>
      </c>
    </row>
    <row r="2802" spans="1:36">
      <c r="A2802" t="s">
        <v>218</v>
      </c>
      <c r="B2802" t="s">
        <v>3087</v>
      </c>
      <c r="C2802" t="s">
        <v>122</v>
      </c>
      <c r="D2802" t="s">
        <v>63</v>
      </c>
      <c r="E2802" t="s">
        <v>55</v>
      </c>
      <c r="F2802">
        <v>0</v>
      </c>
      <c r="G2802">
        <v>1445</v>
      </c>
      <c r="H2802">
        <v>1</v>
      </c>
      <c r="I2802" t="s">
        <v>220</v>
      </c>
      <c r="J2802">
        <v>2</v>
      </c>
      <c r="K2802" s="6">
        <v>5.71</v>
      </c>
      <c r="L2802" t="s">
        <v>174</v>
      </c>
      <c r="M2802">
        <v>0</v>
      </c>
      <c r="N2802" t="s">
        <v>175</v>
      </c>
      <c r="O2802">
        <v>1</v>
      </c>
      <c r="P2802">
        <v>0</v>
      </c>
      <c r="Q2802" s="6">
        <v>39</v>
      </c>
      <c r="R2802">
        <v>0</v>
      </c>
      <c r="S2802" s="6">
        <v>0</v>
      </c>
      <c r="T2802">
        <v>0</v>
      </c>
      <c r="U2802" s="6">
        <v>2199</v>
      </c>
      <c r="V2802">
        <v>0</v>
      </c>
      <c r="W2802">
        <v>0</v>
      </c>
      <c r="X2802">
        <v>0</v>
      </c>
      <c r="Y2802" s="6">
        <v>40</v>
      </c>
      <c r="Z2802">
        <v>4.5999999999999999E-2</v>
      </c>
      <c r="AA2802">
        <v>9.5000000000000001E-2</v>
      </c>
      <c r="AB2802">
        <v>7.6999999999999999E-2</v>
      </c>
      <c r="AC2802">
        <v>6</v>
      </c>
      <c r="AD2802" s="6">
        <v>50</v>
      </c>
      <c r="AE2802" s="6">
        <v>0</v>
      </c>
      <c r="AF2802" s="6">
        <v>0</v>
      </c>
      <c r="AG2802" s="6">
        <v>58.81</v>
      </c>
      <c r="AH2802" s="6">
        <v>77.78</v>
      </c>
      <c r="AI2802" s="6">
        <f t="shared" si="86"/>
        <v>18.97</v>
      </c>
      <c r="AJ2802" s="5">
        <f t="shared" si="87"/>
        <v>0.24389303162766776</v>
      </c>
    </row>
    <row r="2803" spans="1:36">
      <c r="A2803" t="s">
        <v>313</v>
      </c>
      <c r="B2803" t="s">
        <v>3088</v>
      </c>
      <c r="C2803" t="s">
        <v>122</v>
      </c>
      <c r="D2803" t="s">
        <v>63</v>
      </c>
      <c r="E2803" t="s">
        <v>55</v>
      </c>
      <c r="F2803">
        <v>0</v>
      </c>
      <c r="G2803">
        <v>1445</v>
      </c>
      <c r="H2803">
        <v>1</v>
      </c>
      <c r="I2803" t="s">
        <v>173</v>
      </c>
      <c r="J2803">
        <v>1</v>
      </c>
      <c r="K2803" s="6">
        <v>1.52</v>
      </c>
      <c r="L2803" t="s">
        <v>174</v>
      </c>
      <c r="M2803">
        <v>0</v>
      </c>
      <c r="N2803" t="s">
        <v>187</v>
      </c>
      <c r="O2803">
        <v>2</v>
      </c>
      <c r="P2803">
        <v>0</v>
      </c>
      <c r="Q2803" s="6">
        <v>45.6</v>
      </c>
      <c r="R2803">
        <v>1</v>
      </c>
      <c r="S2803" s="6">
        <v>1398</v>
      </c>
      <c r="T2803">
        <v>0</v>
      </c>
      <c r="U2803" s="6">
        <v>1174</v>
      </c>
      <c r="V2803">
        <v>0</v>
      </c>
      <c r="W2803">
        <v>0</v>
      </c>
      <c r="X2803">
        <v>0</v>
      </c>
      <c r="Y2803" s="6">
        <v>40</v>
      </c>
      <c r="Z2803">
        <v>4.5999999999999999E-2</v>
      </c>
      <c r="AA2803">
        <v>9.5000000000000001E-2</v>
      </c>
      <c r="AB2803">
        <v>7.6999999999999999E-2</v>
      </c>
      <c r="AC2803">
        <v>6</v>
      </c>
      <c r="AD2803" s="6">
        <v>50</v>
      </c>
      <c r="AE2803" s="6">
        <v>25</v>
      </c>
      <c r="AF2803" s="6">
        <v>0</v>
      </c>
      <c r="AG2803" s="6">
        <v>51.44</v>
      </c>
      <c r="AH2803" s="6">
        <v>65.28</v>
      </c>
      <c r="AI2803" s="6">
        <f t="shared" si="86"/>
        <v>13.840000000000003</v>
      </c>
      <c r="AJ2803" s="5">
        <f t="shared" si="87"/>
        <v>0.21200980392156868</v>
      </c>
    </row>
    <row r="2804" spans="1:36">
      <c r="A2804" t="s">
        <v>360</v>
      </c>
      <c r="B2804" t="s">
        <v>3089</v>
      </c>
      <c r="C2804" t="s">
        <v>122</v>
      </c>
      <c r="D2804" t="s">
        <v>63</v>
      </c>
      <c r="E2804" t="s">
        <v>55</v>
      </c>
      <c r="F2804">
        <v>0</v>
      </c>
      <c r="G2804">
        <v>1445</v>
      </c>
      <c r="H2804">
        <v>1</v>
      </c>
      <c r="I2804" t="s">
        <v>173</v>
      </c>
      <c r="J2804">
        <v>1</v>
      </c>
      <c r="K2804" s="6">
        <v>2.2799999999999998</v>
      </c>
      <c r="L2804" t="s">
        <v>174</v>
      </c>
      <c r="M2804">
        <v>0</v>
      </c>
      <c r="N2804" t="s">
        <v>175</v>
      </c>
      <c r="O2804">
        <v>1</v>
      </c>
      <c r="P2804">
        <v>0</v>
      </c>
      <c r="Q2804" s="6">
        <v>45.8</v>
      </c>
      <c r="R2804">
        <v>0</v>
      </c>
      <c r="S2804" s="6">
        <v>0</v>
      </c>
      <c r="T2804">
        <v>0</v>
      </c>
      <c r="U2804" s="6">
        <v>1081</v>
      </c>
      <c r="V2804">
        <v>0</v>
      </c>
      <c r="W2804">
        <v>0</v>
      </c>
      <c r="X2804">
        <v>0</v>
      </c>
      <c r="Y2804" s="6">
        <v>40</v>
      </c>
      <c r="Z2804">
        <v>4.5999999999999999E-2</v>
      </c>
      <c r="AA2804">
        <v>9.5000000000000001E-2</v>
      </c>
      <c r="AB2804">
        <v>7.6999999999999999E-2</v>
      </c>
      <c r="AC2804">
        <v>6</v>
      </c>
      <c r="AD2804" s="6">
        <v>50</v>
      </c>
      <c r="AE2804" s="6">
        <v>0</v>
      </c>
      <c r="AF2804" s="6">
        <v>0</v>
      </c>
      <c r="AG2804" s="6">
        <v>50.68</v>
      </c>
      <c r="AH2804" s="6">
        <v>64.09</v>
      </c>
      <c r="AI2804" s="6">
        <f t="shared" si="86"/>
        <v>13.410000000000004</v>
      </c>
      <c r="AJ2804" s="5">
        <f t="shared" si="87"/>
        <v>0.20923701045404905</v>
      </c>
    </row>
    <row r="2805" spans="1:36">
      <c r="A2805" t="s">
        <v>298</v>
      </c>
      <c r="B2805" t="s">
        <v>3090</v>
      </c>
      <c r="C2805" t="s">
        <v>122</v>
      </c>
      <c r="D2805" t="s">
        <v>63</v>
      </c>
      <c r="E2805" t="s">
        <v>55</v>
      </c>
      <c r="F2805">
        <v>0</v>
      </c>
      <c r="G2805">
        <v>1445</v>
      </c>
      <c r="H2805">
        <v>1</v>
      </c>
      <c r="I2805" t="s">
        <v>173</v>
      </c>
      <c r="J2805">
        <v>1</v>
      </c>
      <c r="K2805" s="6">
        <v>1.31</v>
      </c>
      <c r="L2805" t="s">
        <v>174</v>
      </c>
      <c r="M2805">
        <v>0</v>
      </c>
      <c r="N2805" t="s">
        <v>187</v>
      </c>
      <c r="O2805">
        <v>2</v>
      </c>
      <c r="P2805">
        <v>0</v>
      </c>
      <c r="Q2805" s="6">
        <v>49.7</v>
      </c>
      <c r="R2805">
        <v>0</v>
      </c>
      <c r="S2805" s="6">
        <v>0</v>
      </c>
      <c r="T2805">
        <v>0</v>
      </c>
      <c r="U2805" s="6">
        <v>1336</v>
      </c>
      <c r="V2805">
        <v>0</v>
      </c>
      <c r="W2805">
        <v>0</v>
      </c>
      <c r="X2805">
        <v>0</v>
      </c>
      <c r="Y2805" s="6">
        <v>40</v>
      </c>
      <c r="Z2805">
        <v>4.5999999999999999E-2</v>
      </c>
      <c r="AA2805">
        <v>9.5000000000000001E-2</v>
      </c>
      <c r="AB2805">
        <v>7.6999999999999999E-2</v>
      </c>
      <c r="AC2805">
        <v>6</v>
      </c>
      <c r="AD2805" s="6">
        <v>50</v>
      </c>
      <c r="AE2805" s="6">
        <v>0</v>
      </c>
      <c r="AF2805" s="6">
        <v>0</v>
      </c>
      <c r="AG2805" s="6">
        <v>55.08</v>
      </c>
      <c r="AH2805" s="6">
        <v>72.23</v>
      </c>
      <c r="AI2805" s="6">
        <f t="shared" si="86"/>
        <v>17.150000000000006</v>
      </c>
      <c r="AJ2805" s="5">
        <f t="shared" si="87"/>
        <v>0.2374359684341687</v>
      </c>
    </row>
    <row r="2806" spans="1:36">
      <c r="A2806" t="s">
        <v>243</v>
      </c>
      <c r="B2806" t="s">
        <v>3091</v>
      </c>
      <c r="C2806" t="s">
        <v>122</v>
      </c>
      <c r="D2806" t="s">
        <v>63</v>
      </c>
      <c r="E2806" t="s">
        <v>55</v>
      </c>
      <c r="F2806">
        <v>0</v>
      </c>
      <c r="G2806">
        <v>1445</v>
      </c>
      <c r="H2806">
        <v>1</v>
      </c>
      <c r="I2806" t="s">
        <v>173</v>
      </c>
      <c r="J2806">
        <v>1</v>
      </c>
      <c r="K2806" s="6">
        <v>1.82</v>
      </c>
      <c r="L2806" t="s">
        <v>174</v>
      </c>
      <c r="M2806">
        <v>0</v>
      </c>
      <c r="N2806" t="s">
        <v>187</v>
      </c>
      <c r="O2806">
        <v>2</v>
      </c>
      <c r="P2806">
        <v>1</v>
      </c>
      <c r="Q2806" s="6">
        <v>53</v>
      </c>
      <c r="R2806">
        <v>1</v>
      </c>
      <c r="S2806" s="6">
        <v>396</v>
      </c>
      <c r="T2806">
        <v>0</v>
      </c>
      <c r="U2806" s="6">
        <v>2588</v>
      </c>
      <c r="V2806">
        <v>0</v>
      </c>
      <c r="W2806">
        <v>0</v>
      </c>
      <c r="X2806">
        <v>0</v>
      </c>
      <c r="Y2806" s="6">
        <v>40</v>
      </c>
      <c r="Z2806">
        <v>4.5999999999999999E-2</v>
      </c>
      <c r="AA2806">
        <v>9.5000000000000001E-2</v>
      </c>
      <c r="AB2806">
        <v>7.6999999999999999E-2</v>
      </c>
      <c r="AC2806">
        <v>6</v>
      </c>
      <c r="AD2806" s="6">
        <v>50</v>
      </c>
      <c r="AE2806" s="6">
        <v>25</v>
      </c>
      <c r="AF2806" s="6">
        <v>0</v>
      </c>
      <c r="AG2806" s="6">
        <v>72.709999999999994</v>
      </c>
      <c r="AH2806" s="6">
        <v>91.35</v>
      </c>
      <c r="AI2806" s="6">
        <f t="shared" si="86"/>
        <v>18.64</v>
      </c>
      <c r="AJ2806" s="5">
        <f t="shared" si="87"/>
        <v>0.20405035577449374</v>
      </c>
    </row>
    <row r="2807" spans="1:36">
      <c r="A2807" t="s">
        <v>198</v>
      </c>
      <c r="B2807" t="s">
        <v>3092</v>
      </c>
      <c r="C2807" t="s">
        <v>122</v>
      </c>
      <c r="D2807" t="s">
        <v>63</v>
      </c>
      <c r="E2807" t="s">
        <v>55</v>
      </c>
      <c r="F2807">
        <v>0</v>
      </c>
      <c r="G2807">
        <v>1445</v>
      </c>
      <c r="H2807">
        <v>1</v>
      </c>
      <c r="I2807" t="s">
        <v>173</v>
      </c>
      <c r="J2807">
        <v>1</v>
      </c>
      <c r="K2807" s="6">
        <v>2.61</v>
      </c>
      <c r="L2807" t="s">
        <v>174</v>
      </c>
      <c r="M2807">
        <v>0</v>
      </c>
      <c r="N2807" t="s">
        <v>187</v>
      </c>
      <c r="O2807">
        <v>2</v>
      </c>
      <c r="P2807">
        <v>0</v>
      </c>
      <c r="Q2807" s="6">
        <v>53.6</v>
      </c>
      <c r="R2807">
        <v>0</v>
      </c>
      <c r="S2807" s="6">
        <v>0</v>
      </c>
      <c r="T2807">
        <v>0</v>
      </c>
      <c r="U2807" s="6">
        <v>919</v>
      </c>
      <c r="V2807">
        <v>0</v>
      </c>
      <c r="W2807">
        <v>0</v>
      </c>
      <c r="X2807">
        <v>0</v>
      </c>
      <c r="Y2807" s="6">
        <v>40</v>
      </c>
      <c r="Z2807">
        <v>4.5999999999999999E-2</v>
      </c>
      <c r="AA2807">
        <v>9.5000000000000001E-2</v>
      </c>
      <c r="AB2807">
        <v>7.6999999999999999E-2</v>
      </c>
      <c r="AC2807">
        <v>6</v>
      </c>
      <c r="AD2807" s="6">
        <v>50</v>
      </c>
      <c r="AE2807" s="6">
        <v>0</v>
      </c>
      <c r="AF2807" s="6">
        <v>0</v>
      </c>
      <c r="AG2807" s="6">
        <v>51.98</v>
      </c>
      <c r="AH2807" s="6">
        <v>65.040000000000006</v>
      </c>
      <c r="AI2807" s="6">
        <f t="shared" si="86"/>
        <v>13.060000000000009</v>
      </c>
      <c r="AJ2807" s="5">
        <f t="shared" si="87"/>
        <v>0.20079950799508006</v>
      </c>
    </row>
    <row r="2808" spans="1:36">
      <c r="A2808" t="s">
        <v>521</v>
      </c>
      <c r="B2808" t="s">
        <v>3093</v>
      </c>
      <c r="C2808" t="s">
        <v>122</v>
      </c>
      <c r="D2808" t="s">
        <v>63</v>
      </c>
      <c r="E2808" t="s">
        <v>55</v>
      </c>
      <c r="F2808">
        <v>0</v>
      </c>
      <c r="G2808">
        <v>1445</v>
      </c>
      <c r="H2808">
        <v>1</v>
      </c>
      <c r="I2808" t="s">
        <v>220</v>
      </c>
      <c r="J2808">
        <v>2</v>
      </c>
      <c r="K2808" s="6">
        <v>3.71</v>
      </c>
      <c r="L2808" t="s">
        <v>174</v>
      </c>
      <c r="M2808">
        <v>0</v>
      </c>
      <c r="N2808" t="s">
        <v>187</v>
      </c>
      <c r="O2808">
        <v>2</v>
      </c>
      <c r="P2808">
        <v>0</v>
      </c>
      <c r="Q2808" s="6">
        <v>65.5</v>
      </c>
      <c r="R2808">
        <v>0</v>
      </c>
      <c r="S2808" s="6">
        <v>0</v>
      </c>
      <c r="T2808">
        <v>0</v>
      </c>
      <c r="U2808" s="6">
        <v>310</v>
      </c>
      <c r="V2808">
        <v>0</v>
      </c>
      <c r="W2808">
        <v>0</v>
      </c>
      <c r="X2808">
        <v>0</v>
      </c>
      <c r="Y2808" s="6">
        <v>40</v>
      </c>
      <c r="Z2808">
        <v>4.5999999999999999E-2</v>
      </c>
      <c r="AA2808">
        <v>9.5000000000000001E-2</v>
      </c>
      <c r="AB2808">
        <v>7.6999999999999999E-2</v>
      </c>
      <c r="AC2808">
        <v>6</v>
      </c>
      <c r="AD2808" s="6">
        <v>50</v>
      </c>
      <c r="AE2808" s="6">
        <v>0</v>
      </c>
      <c r="AF2808" s="6">
        <v>0</v>
      </c>
      <c r="AG2808" s="6">
        <v>54.96</v>
      </c>
      <c r="AH2808" s="6">
        <v>70.59</v>
      </c>
      <c r="AI2808" s="6">
        <f t="shared" si="86"/>
        <v>15.630000000000003</v>
      </c>
      <c r="AJ2808" s="5">
        <f t="shared" si="87"/>
        <v>0.2214194645133872</v>
      </c>
    </row>
    <row r="2809" spans="1:36">
      <c r="A2809" t="s">
        <v>469</v>
      </c>
      <c r="B2809" t="s">
        <v>3094</v>
      </c>
      <c r="C2809" t="s">
        <v>122</v>
      </c>
      <c r="D2809" t="s">
        <v>63</v>
      </c>
      <c r="E2809" t="s">
        <v>55</v>
      </c>
      <c r="F2809">
        <v>0</v>
      </c>
      <c r="G2809">
        <v>1445</v>
      </c>
      <c r="H2809">
        <v>1</v>
      </c>
      <c r="I2809" t="s">
        <v>181</v>
      </c>
      <c r="J2809">
        <v>3</v>
      </c>
      <c r="K2809" s="6">
        <v>6.43</v>
      </c>
      <c r="L2809" t="s">
        <v>174</v>
      </c>
      <c r="M2809">
        <v>0</v>
      </c>
      <c r="N2809" t="s">
        <v>187</v>
      </c>
      <c r="O2809">
        <v>2</v>
      </c>
      <c r="P2809">
        <v>0</v>
      </c>
      <c r="Q2809" s="6">
        <v>66.599999999999994</v>
      </c>
      <c r="R2809">
        <v>1</v>
      </c>
      <c r="S2809" s="6">
        <v>435</v>
      </c>
      <c r="T2809">
        <v>0</v>
      </c>
      <c r="U2809" s="6">
        <v>283</v>
      </c>
      <c r="V2809">
        <v>0</v>
      </c>
      <c r="W2809">
        <v>0</v>
      </c>
      <c r="X2809">
        <v>0</v>
      </c>
      <c r="Y2809" s="6">
        <v>40</v>
      </c>
      <c r="Z2809">
        <v>4.5999999999999999E-2</v>
      </c>
      <c r="AA2809">
        <v>9.5000000000000001E-2</v>
      </c>
      <c r="AB2809">
        <v>7.6999999999999999E-2</v>
      </c>
      <c r="AC2809">
        <v>6</v>
      </c>
      <c r="AD2809" s="6">
        <v>60</v>
      </c>
      <c r="AE2809" s="6">
        <v>25</v>
      </c>
      <c r="AF2809" s="6">
        <v>0</v>
      </c>
      <c r="AG2809" s="6">
        <v>82.45</v>
      </c>
      <c r="AH2809" s="6">
        <v>107.08</v>
      </c>
      <c r="AI2809" s="6">
        <f t="shared" si="86"/>
        <v>24.629999999999995</v>
      </c>
      <c r="AJ2809" s="5">
        <f t="shared" si="87"/>
        <v>0.23001494209936493</v>
      </c>
    </row>
    <row r="2810" spans="1:36">
      <c r="A2810" t="s">
        <v>233</v>
      </c>
      <c r="B2810" t="s">
        <v>3095</v>
      </c>
      <c r="C2810" t="s">
        <v>122</v>
      </c>
      <c r="D2810" t="s">
        <v>63</v>
      </c>
      <c r="E2810" t="s">
        <v>55</v>
      </c>
      <c r="F2810">
        <v>0</v>
      </c>
      <c r="G2810">
        <v>1445</v>
      </c>
      <c r="H2810">
        <v>1</v>
      </c>
      <c r="I2810" t="s">
        <v>220</v>
      </c>
      <c r="J2810">
        <v>2</v>
      </c>
      <c r="K2810" s="6">
        <v>4.2300000000000004</v>
      </c>
      <c r="L2810" t="s">
        <v>174</v>
      </c>
      <c r="M2810">
        <v>0</v>
      </c>
      <c r="N2810" t="s">
        <v>175</v>
      </c>
      <c r="O2810">
        <v>1</v>
      </c>
      <c r="P2810">
        <v>0</v>
      </c>
      <c r="Q2810" s="6">
        <v>32.5</v>
      </c>
      <c r="R2810">
        <v>1</v>
      </c>
      <c r="S2810" s="6">
        <v>6054</v>
      </c>
      <c r="T2810">
        <v>0</v>
      </c>
      <c r="U2810" s="6">
        <v>1493</v>
      </c>
      <c r="V2810">
        <v>0</v>
      </c>
      <c r="W2810">
        <v>0</v>
      </c>
      <c r="X2810">
        <v>0</v>
      </c>
      <c r="Y2810" s="6">
        <v>40</v>
      </c>
      <c r="Z2810">
        <v>4.5999999999999999E-2</v>
      </c>
      <c r="AA2810">
        <v>9.5000000000000001E-2</v>
      </c>
      <c r="AB2810">
        <v>7.6999999999999999E-2</v>
      </c>
      <c r="AC2810">
        <v>6</v>
      </c>
      <c r="AD2810" s="6">
        <v>50</v>
      </c>
      <c r="AE2810" s="6">
        <v>50</v>
      </c>
      <c r="AF2810" s="6">
        <v>0</v>
      </c>
      <c r="AG2810" s="6">
        <v>60.64</v>
      </c>
      <c r="AH2810" s="6">
        <v>79.150000000000006</v>
      </c>
      <c r="AI2810" s="6">
        <f t="shared" si="86"/>
        <v>18.510000000000005</v>
      </c>
      <c r="AJ2810" s="5">
        <f t="shared" si="87"/>
        <v>0.23385975994946309</v>
      </c>
    </row>
    <row r="2811" spans="1:36">
      <c r="A2811" t="s">
        <v>190</v>
      </c>
      <c r="B2811" t="s">
        <v>3096</v>
      </c>
      <c r="C2811" t="s">
        <v>122</v>
      </c>
      <c r="D2811" t="s">
        <v>63</v>
      </c>
      <c r="E2811" t="s">
        <v>55</v>
      </c>
      <c r="F2811">
        <v>0</v>
      </c>
      <c r="G2811">
        <v>1445</v>
      </c>
      <c r="H2811">
        <v>1</v>
      </c>
      <c r="I2811" t="s">
        <v>173</v>
      </c>
      <c r="J2811">
        <v>1</v>
      </c>
      <c r="K2811" s="6">
        <v>1.53</v>
      </c>
      <c r="L2811" t="s">
        <v>174</v>
      </c>
      <c r="M2811">
        <v>0</v>
      </c>
      <c r="N2811" t="s">
        <v>175</v>
      </c>
      <c r="O2811">
        <v>1</v>
      </c>
      <c r="P2811">
        <v>0</v>
      </c>
      <c r="Q2811" s="6">
        <v>38.799999999999997</v>
      </c>
      <c r="R2811">
        <v>1</v>
      </c>
      <c r="S2811" s="6">
        <v>777</v>
      </c>
      <c r="T2811">
        <v>0</v>
      </c>
      <c r="U2811" s="6">
        <v>482</v>
      </c>
      <c r="V2811">
        <v>0</v>
      </c>
      <c r="W2811">
        <v>0</v>
      </c>
      <c r="X2811">
        <v>0</v>
      </c>
      <c r="Y2811" s="6">
        <v>40</v>
      </c>
      <c r="Z2811">
        <v>4.5999999999999999E-2</v>
      </c>
      <c r="AA2811">
        <v>9.5000000000000001E-2</v>
      </c>
      <c r="AB2811">
        <v>7.6999999999999999E-2</v>
      </c>
      <c r="AC2811">
        <v>6</v>
      </c>
      <c r="AD2811" s="6">
        <v>50</v>
      </c>
      <c r="AE2811" s="6">
        <v>25</v>
      </c>
      <c r="AF2811" s="6">
        <v>0</v>
      </c>
      <c r="AG2811" s="6">
        <v>44.64</v>
      </c>
      <c r="AH2811" s="6">
        <v>60.61</v>
      </c>
      <c r="AI2811" s="6">
        <f t="shared" si="86"/>
        <v>15.969999999999999</v>
      </c>
      <c r="AJ2811" s="5">
        <f t="shared" si="87"/>
        <v>0.26348787328823625</v>
      </c>
    </row>
    <row r="2812" spans="1:36">
      <c r="A2812" t="s">
        <v>269</v>
      </c>
      <c r="B2812" t="s">
        <v>3097</v>
      </c>
      <c r="C2812" t="s">
        <v>122</v>
      </c>
      <c r="D2812" t="s">
        <v>63</v>
      </c>
      <c r="E2812" t="s">
        <v>55</v>
      </c>
      <c r="F2812">
        <v>0</v>
      </c>
      <c r="G2812">
        <v>1445</v>
      </c>
      <c r="H2812">
        <v>1</v>
      </c>
      <c r="I2812" t="s">
        <v>173</v>
      </c>
      <c r="J2812">
        <v>1</v>
      </c>
      <c r="K2812" s="6">
        <v>1.77</v>
      </c>
      <c r="L2812" t="s">
        <v>174</v>
      </c>
      <c r="M2812">
        <v>0</v>
      </c>
      <c r="N2812" t="s">
        <v>175</v>
      </c>
      <c r="O2812">
        <v>1</v>
      </c>
      <c r="P2812">
        <v>1</v>
      </c>
      <c r="Q2812" s="6">
        <v>41.1</v>
      </c>
      <c r="R2812">
        <v>0</v>
      </c>
      <c r="S2812" s="6">
        <v>0</v>
      </c>
      <c r="T2812">
        <v>0</v>
      </c>
      <c r="U2812" s="6">
        <v>1106</v>
      </c>
      <c r="V2812">
        <v>0</v>
      </c>
      <c r="W2812">
        <v>0</v>
      </c>
      <c r="X2812">
        <v>0</v>
      </c>
      <c r="Y2812" s="6">
        <v>40</v>
      </c>
      <c r="Z2812">
        <v>4.5999999999999999E-2</v>
      </c>
      <c r="AA2812">
        <v>9.5000000000000001E-2</v>
      </c>
      <c r="AB2812">
        <v>7.6999999999999999E-2</v>
      </c>
      <c r="AC2812">
        <v>6</v>
      </c>
      <c r="AD2812" s="6">
        <v>50</v>
      </c>
      <c r="AE2812" s="6">
        <v>0</v>
      </c>
      <c r="AF2812" s="6">
        <v>0</v>
      </c>
      <c r="AG2812" s="6">
        <v>75.709999999999994</v>
      </c>
      <c r="AH2812" s="6">
        <v>95.71</v>
      </c>
      <c r="AI2812" s="6">
        <f t="shared" si="86"/>
        <v>20</v>
      </c>
      <c r="AJ2812" s="5">
        <f t="shared" si="87"/>
        <v>0.20896458050360464</v>
      </c>
    </row>
    <row r="2813" spans="1:36">
      <c r="A2813" t="s">
        <v>194</v>
      </c>
      <c r="B2813" t="s">
        <v>3098</v>
      </c>
      <c r="C2813" t="s">
        <v>122</v>
      </c>
      <c r="D2813" t="s">
        <v>63</v>
      </c>
      <c r="E2813" t="s">
        <v>55</v>
      </c>
      <c r="F2813">
        <v>0</v>
      </c>
      <c r="G2813">
        <v>1445</v>
      </c>
      <c r="H2813">
        <v>1</v>
      </c>
      <c r="I2813" t="s">
        <v>173</v>
      </c>
      <c r="J2813">
        <v>1</v>
      </c>
      <c r="K2813" s="6">
        <v>1.1599999999999999</v>
      </c>
      <c r="L2813" t="s">
        <v>174</v>
      </c>
      <c r="M2813">
        <v>0</v>
      </c>
      <c r="N2813" t="s">
        <v>175</v>
      </c>
      <c r="O2813">
        <v>1</v>
      </c>
      <c r="P2813">
        <v>0</v>
      </c>
      <c r="Q2813" s="6">
        <v>34.200000000000003</v>
      </c>
      <c r="R2813">
        <v>1</v>
      </c>
      <c r="S2813" s="6">
        <v>1424</v>
      </c>
      <c r="T2813">
        <v>0</v>
      </c>
      <c r="U2813" s="6">
        <v>650</v>
      </c>
      <c r="V2813">
        <v>0</v>
      </c>
      <c r="W2813">
        <v>0</v>
      </c>
      <c r="X2813">
        <v>0</v>
      </c>
      <c r="Y2813" s="6">
        <v>40</v>
      </c>
      <c r="Z2813">
        <v>4.5999999999999999E-2</v>
      </c>
      <c r="AA2813">
        <v>9.5000000000000001E-2</v>
      </c>
      <c r="AB2813">
        <v>7.6999999999999999E-2</v>
      </c>
      <c r="AC2813">
        <v>6</v>
      </c>
      <c r="AD2813" s="6">
        <v>50</v>
      </c>
      <c r="AE2813" s="6">
        <v>25</v>
      </c>
      <c r="AF2813" s="6">
        <v>0</v>
      </c>
      <c r="AG2813" s="6">
        <v>48.21</v>
      </c>
      <c r="AH2813" s="6">
        <v>63.82</v>
      </c>
      <c r="AI2813" s="6">
        <f t="shared" si="86"/>
        <v>15.61</v>
      </c>
      <c r="AJ2813" s="5">
        <f t="shared" si="87"/>
        <v>0.24459417110623627</v>
      </c>
    </row>
    <row r="2814" spans="1:36">
      <c r="A2814" t="s">
        <v>204</v>
      </c>
      <c r="B2814" t="s">
        <v>3099</v>
      </c>
      <c r="C2814" t="s">
        <v>122</v>
      </c>
      <c r="D2814" t="s">
        <v>63</v>
      </c>
      <c r="E2814" t="s">
        <v>55</v>
      </c>
      <c r="F2814">
        <v>0</v>
      </c>
      <c r="G2814">
        <v>1445</v>
      </c>
      <c r="H2814">
        <v>1</v>
      </c>
      <c r="I2814" t="s">
        <v>181</v>
      </c>
      <c r="J2814">
        <v>3</v>
      </c>
      <c r="K2814" s="6">
        <v>5.92</v>
      </c>
      <c r="L2814" t="s">
        <v>174</v>
      </c>
      <c r="M2814">
        <v>0</v>
      </c>
      <c r="N2814" t="s">
        <v>175</v>
      </c>
      <c r="O2814">
        <v>1</v>
      </c>
      <c r="P2814">
        <v>0</v>
      </c>
      <c r="Q2814" s="6">
        <v>28.1</v>
      </c>
      <c r="R2814">
        <v>1</v>
      </c>
      <c r="S2814" s="6">
        <v>609</v>
      </c>
      <c r="T2814">
        <v>0</v>
      </c>
      <c r="U2814" s="6">
        <v>986</v>
      </c>
      <c r="V2814">
        <v>0</v>
      </c>
      <c r="W2814">
        <v>0</v>
      </c>
      <c r="X2814">
        <v>0</v>
      </c>
      <c r="Y2814" s="6">
        <v>40</v>
      </c>
      <c r="Z2814">
        <v>4.5999999999999999E-2</v>
      </c>
      <c r="AA2814">
        <v>9.5000000000000001E-2</v>
      </c>
      <c r="AB2814">
        <v>7.6999999999999999E-2</v>
      </c>
      <c r="AC2814">
        <v>6</v>
      </c>
      <c r="AD2814" s="6">
        <v>60</v>
      </c>
      <c r="AE2814" s="6">
        <v>25</v>
      </c>
      <c r="AF2814" s="6">
        <v>0</v>
      </c>
      <c r="AG2814" s="6">
        <v>77.290000000000006</v>
      </c>
      <c r="AH2814" s="6">
        <v>98.42</v>
      </c>
      <c r="AI2814" s="6">
        <f t="shared" si="86"/>
        <v>21.129999999999995</v>
      </c>
      <c r="AJ2814" s="5">
        <f t="shared" si="87"/>
        <v>0.21469213574476728</v>
      </c>
    </row>
    <row r="2815" spans="1:36">
      <c r="A2815" t="s">
        <v>221</v>
      </c>
      <c r="B2815" t="s">
        <v>3100</v>
      </c>
      <c r="C2815" t="s">
        <v>122</v>
      </c>
      <c r="D2815" t="s">
        <v>63</v>
      </c>
      <c r="E2815" t="s">
        <v>55</v>
      </c>
      <c r="F2815">
        <v>0</v>
      </c>
      <c r="G2815">
        <v>1445</v>
      </c>
      <c r="H2815">
        <v>1</v>
      </c>
      <c r="I2815" t="s">
        <v>173</v>
      </c>
      <c r="J2815">
        <v>1</v>
      </c>
      <c r="K2815" s="6">
        <v>2.2400000000000002</v>
      </c>
      <c r="L2815" t="s">
        <v>174</v>
      </c>
      <c r="M2815">
        <v>0</v>
      </c>
      <c r="N2815" t="s">
        <v>182</v>
      </c>
      <c r="O2815">
        <v>3</v>
      </c>
      <c r="P2815">
        <v>0</v>
      </c>
      <c r="Q2815" s="6">
        <v>64.599999999999994</v>
      </c>
      <c r="R2815">
        <v>0</v>
      </c>
      <c r="S2815" s="6">
        <v>0</v>
      </c>
      <c r="T2815">
        <v>0</v>
      </c>
      <c r="U2815" s="6">
        <v>785</v>
      </c>
      <c r="V2815">
        <v>0</v>
      </c>
      <c r="W2815">
        <v>0</v>
      </c>
      <c r="X2815">
        <v>0</v>
      </c>
      <c r="Y2815" s="6">
        <v>40</v>
      </c>
      <c r="Z2815">
        <v>4.5999999999999999E-2</v>
      </c>
      <c r="AA2815">
        <v>9.5000000000000001E-2</v>
      </c>
      <c r="AB2815">
        <v>7.6999999999999999E-2</v>
      </c>
      <c r="AC2815">
        <v>6</v>
      </c>
      <c r="AD2815" s="6">
        <v>50</v>
      </c>
      <c r="AE2815" s="6">
        <v>0</v>
      </c>
      <c r="AF2815" s="6">
        <v>0</v>
      </c>
      <c r="AG2815" s="6">
        <v>61.02</v>
      </c>
      <c r="AH2815" s="6">
        <v>79.86</v>
      </c>
      <c r="AI2815" s="6">
        <f t="shared" si="86"/>
        <v>18.839999999999996</v>
      </c>
      <c r="AJ2815" s="5">
        <f t="shared" si="87"/>
        <v>0.23591284748309538</v>
      </c>
    </row>
    <row r="2816" spans="1:36">
      <c r="A2816" t="s">
        <v>635</v>
      </c>
      <c r="B2816" t="s">
        <v>3101</v>
      </c>
      <c r="C2816" t="s">
        <v>122</v>
      </c>
      <c r="D2816" t="s">
        <v>63</v>
      </c>
      <c r="E2816" t="s">
        <v>55</v>
      </c>
      <c r="F2816">
        <v>0</v>
      </c>
      <c r="G2816">
        <v>1445</v>
      </c>
      <c r="H2816">
        <v>1</v>
      </c>
      <c r="I2816" t="s">
        <v>173</v>
      </c>
      <c r="J2816">
        <v>1</v>
      </c>
      <c r="K2816" s="6">
        <v>2.5</v>
      </c>
      <c r="L2816" t="s">
        <v>174</v>
      </c>
      <c r="M2816">
        <v>0</v>
      </c>
      <c r="N2816" t="s">
        <v>175</v>
      </c>
      <c r="O2816">
        <v>1</v>
      </c>
      <c r="P2816">
        <v>0</v>
      </c>
      <c r="Q2816" s="6">
        <v>9.9</v>
      </c>
      <c r="R2816">
        <v>1</v>
      </c>
      <c r="S2816" s="6">
        <v>1325</v>
      </c>
      <c r="T2816">
        <v>0</v>
      </c>
      <c r="U2816" s="6">
        <v>1127</v>
      </c>
      <c r="V2816">
        <v>0</v>
      </c>
      <c r="W2816">
        <v>0</v>
      </c>
      <c r="X2816">
        <v>0</v>
      </c>
      <c r="Y2816" s="6">
        <v>40</v>
      </c>
      <c r="Z2816">
        <v>4.5999999999999999E-2</v>
      </c>
      <c r="AA2816">
        <v>9.5000000000000001E-2</v>
      </c>
      <c r="AB2816">
        <v>7.6999999999999999E-2</v>
      </c>
      <c r="AC2816">
        <v>6</v>
      </c>
      <c r="AD2816" s="6">
        <v>50</v>
      </c>
      <c r="AE2816" s="6">
        <v>25</v>
      </c>
      <c r="AF2816" s="6">
        <v>0</v>
      </c>
      <c r="AG2816" s="6">
        <v>49.69</v>
      </c>
      <c r="AH2816" s="6">
        <v>63.3</v>
      </c>
      <c r="AI2816" s="6">
        <f t="shared" si="86"/>
        <v>13.61</v>
      </c>
      <c r="AJ2816" s="5">
        <f t="shared" si="87"/>
        <v>0.21500789889415481</v>
      </c>
    </row>
    <row r="2817" spans="1:36">
      <c r="A2817" t="s">
        <v>436</v>
      </c>
      <c r="B2817" t="s">
        <v>3102</v>
      </c>
      <c r="C2817" t="s">
        <v>122</v>
      </c>
      <c r="D2817" t="s">
        <v>63</v>
      </c>
      <c r="E2817" t="s">
        <v>55</v>
      </c>
      <c r="F2817">
        <v>0</v>
      </c>
      <c r="G2817">
        <v>1445</v>
      </c>
      <c r="H2817">
        <v>1</v>
      </c>
      <c r="I2817" t="s">
        <v>181</v>
      </c>
      <c r="J2817">
        <v>3</v>
      </c>
      <c r="K2817" s="6">
        <v>10.01</v>
      </c>
      <c r="L2817" t="s">
        <v>174</v>
      </c>
      <c r="M2817">
        <v>0</v>
      </c>
      <c r="N2817" t="s">
        <v>175</v>
      </c>
      <c r="O2817">
        <v>1</v>
      </c>
      <c r="P2817">
        <v>0</v>
      </c>
      <c r="Q2817" s="6">
        <v>23.9</v>
      </c>
      <c r="R2817">
        <v>1</v>
      </c>
      <c r="S2817" s="6">
        <v>4090</v>
      </c>
      <c r="T2817">
        <v>0</v>
      </c>
      <c r="U2817" s="6">
        <v>742</v>
      </c>
      <c r="V2817">
        <v>0</v>
      </c>
      <c r="W2817">
        <v>0</v>
      </c>
      <c r="X2817">
        <v>0</v>
      </c>
      <c r="Y2817" s="6">
        <v>40</v>
      </c>
      <c r="Z2817">
        <v>4.5999999999999999E-2</v>
      </c>
      <c r="AA2817">
        <v>9.5000000000000001E-2</v>
      </c>
      <c r="AB2817">
        <v>7.6999999999999999E-2</v>
      </c>
      <c r="AC2817">
        <v>6</v>
      </c>
      <c r="AD2817" s="6">
        <v>60</v>
      </c>
      <c r="AE2817" s="6">
        <v>40</v>
      </c>
      <c r="AF2817" s="6">
        <v>0</v>
      </c>
      <c r="AG2817" s="6">
        <v>91.48</v>
      </c>
      <c r="AH2817" s="6">
        <v>117</v>
      </c>
      <c r="AI2817" s="6">
        <f t="shared" si="86"/>
        <v>25.519999999999996</v>
      </c>
      <c r="AJ2817" s="5">
        <f t="shared" si="87"/>
        <v>0.21811965811965808</v>
      </c>
    </row>
    <row r="2818" spans="1:36">
      <c r="A2818" t="s">
        <v>459</v>
      </c>
      <c r="B2818" t="s">
        <v>3103</v>
      </c>
      <c r="C2818" t="s">
        <v>122</v>
      </c>
      <c r="D2818" t="s">
        <v>63</v>
      </c>
      <c r="E2818" t="s">
        <v>55</v>
      </c>
      <c r="F2818">
        <v>0</v>
      </c>
      <c r="G2818">
        <v>1445</v>
      </c>
      <c r="H2818">
        <v>1</v>
      </c>
      <c r="I2818" t="s">
        <v>173</v>
      </c>
      <c r="J2818">
        <v>1</v>
      </c>
      <c r="K2818" s="6">
        <v>2.0699999999999998</v>
      </c>
      <c r="L2818" t="s">
        <v>174</v>
      </c>
      <c r="M2818">
        <v>0</v>
      </c>
      <c r="N2818" t="s">
        <v>187</v>
      </c>
      <c r="O2818">
        <v>2</v>
      </c>
      <c r="P2818">
        <v>0</v>
      </c>
      <c r="Q2818" s="6">
        <v>49.2</v>
      </c>
      <c r="R2818">
        <v>0</v>
      </c>
      <c r="S2818" s="6">
        <v>0</v>
      </c>
      <c r="T2818">
        <v>0</v>
      </c>
      <c r="U2818" s="6">
        <v>855</v>
      </c>
      <c r="V2818">
        <v>0</v>
      </c>
      <c r="W2818">
        <v>0</v>
      </c>
      <c r="X2818">
        <v>0</v>
      </c>
      <c r="Y2818" s="6">
        <v>40</v>
      </c>
      <c r="Z2818">
        <v>4.5999999999999999E-2</v>
      </c>
      <c r="AA2818">
        <v>9.5000000000000001E-2</v>
      </c>
      <c r="AB2818">
        <v>7.6999999999999999E-2</v>
      </c>
      <c r="AC2818">
        <v>6</v>
      </c>
      <c r="AD2818" s="6">
        <v>50</v>
      </c>
      <c r="AE2818" s="6">
        <v>0</v>
      </c>
      <c r="AF2818" s="6">
        <v>0</v>
      </c>
      <c r="AG2818" s="6">
        <v>55.5</v>
      </c>
      <c r="AH2818" s="6">
        <v>70.97</v>
      </c>
      <c r="AI2818" s="6">
        <f t="shared" ref="AI2818:AI2881" si="88">AH2818-AG2818</f>
        <v>15.469999999999999</v>
      </c>
      <c r="AJ2818" s="5">
        <f t="shared" ref="AJ2818:AJ2881" si="89">IFERROR(AI2818/AH2818,0)</f>
        <v>0.21797942792729322</v>
      </c>
    </row>
    <row r="2819" spans="1:36">
      <c r="A2819" t="s">
        <v>176</v>
      </c>
      <c r="B2819" t="s">
        <v>3104</v>
      </c>
      <c r="C2819" t="s">
        <v>122</v>
      </c>
      <c r="D2819" t="s">
        <v>63</v>
      </c>
      <c r="E2819" t="s">
        <v>55</v>
      </c>
      <c r="F2819">
        <v>0</v>
      </c>
      <c r="G2819">
        <v>1445</v>
      </c>
      <c r="H2819">
        <v>1</v>
      </c>
      <c r="I2819" t="s">
        <v>173</v>
      </c>
      <c r="J2819">
        <v>1</v>
      </c>
      <c r="K2819" s="6">
        <v>1.43</v>
      </c>
      <c r="L2819" t="s">
        <v>174</v>
      </c>
      <c r="M2819">
        <v>0</v>
      </c>
      <c r="N2819" t="s">
        <v>175</v>
      </c>
      <c r="O2819">
        <v>1</v>
      </c>
      <c r="P2819">
        <v>1</v>
      </c>
      <c r="Q2819" s="6">
        <v>27.6</v>
      </c>
      <c r="R2819">
        <v>1</v>
      </c>
      <c r="S2819" s="6">
        <v>4425</v>
      </c>
      <c r="T2819">
        <v>0</v>
      </c>
      <c r="U2819" s="6">
        <v>668</v>
      </c>
      <c r="V2819">
        <v>0</v>
      </c>
      <c r="W2819">
        <v>0</v>
      </c>
      <c r="X2819">
        <v>0</v>
      </c>
      <c r="Y2819" s="6">
        <v>40</v>
      </c>
      <c r="Z2819">
        <v>4.5999999999999999E-2</v>
      </c>
      <c r="AA2819">
        <v>9.5000000000000001E-2</v>
      </c>
      <c r="AB2819">
        <v>7.6999999999999999E-2</v>
      </c>
      <c r="AC2819">
        <v>6</v>
      </c>
      <c r="AD2819" s="6">
        <v>50</v>
      </c>
      <c r="AE2819" s="6">
        <v>40</v>
      </c>
      <c r="AF2819" s="6">
        <v>0</v>
      </c>
      <c r="AG2819" s="6">
        <v>69.77</v>
      </c>
      <c r="AH2819" s="6">
        <v>91.42</v>
      </c>
      <c r="AI2819" s="6">
        <f t="shared" si="88"/>
        <v>21.650000000000006</v>
      </c>
      <c r="AJ2819" s="5">
        <f t="shared" si="89"/>
        <v>0.23681907678844896</v>
      </c>
    </row>
    <row r="2820" spans="1:36">
      <c r="A2820" t="s">
        <v>316</v>
      </c>
      <c r="B2820" t="s">
        <v>3105</v>
      </c>
      <c r="C2820" t="s">
        <v>122</v>
      </c>
      <c r="D2820" t="s">
        <v>63</v>
      </c>
      <c r="E2820" t="s">
        <v>55</v>
      </c>
      <c r="F2820">
        <v>0</v>
      </c>
      <c r="G2820">
        <v>1445</v>
      </c>
      <c r="H2820">
        <v>1</v>
      </c>
      <c r="I2820" t="s">
        <v>173</v>
      </c>
      <c r="J2820">
        <v>1</v>
      </c>
      <c r="K2820" s="6">
        <v>1.76</v>
      </c>
      <c r="L2820" t="s">
        <v>174</v>
      </c>
      <c r="M2820">
        <v>0</v>
      </c>
      <c r="N2820" t="s">
        <v>217</v>
      </c>
      <c r="O2820">
        <v>4</v>
      </c>
      <c r="P2820">
        <v>1</v>
      </c>
      <c r="Q2820" s="6">
        <v>178.2</v>
      </c>
      <c r="R2820">
        <v>1</v>
      </c>
      <c r="S2820" s="6">
        <v>713</v>
      </c>
      <c r="T2820">
        <v>0</v>
      </c>
      <c r="U2820" s="6">
        <v>736</v>
      </c>
      <c r="V2820">
        <v>0</v>
      </c>
      <c r="W2820">
        <v>0</v>
      </c>
      <c r="X2820">
        <v>0</v>
      </c>
      <c r="Y2820" s="6">
        <v>40</v>
      </c>
      <c r="Z2820">
        <v>4.5999999999999999E-2</v>
      </c>
      <c r="AA2820">
        <v>9.5000000000000001E-2</v>
      </c>
      <c r="AB2820">
        <v>7.6999999999999999E-2</v>
      </c>
      <c r="AC2820">
        <v>6</v>
      </c>
      <c r="AD2820" s="6">
        <v>50</v>
      </c>
      <c r="AE2820" s="6">
        <v>25</v>
      </c>
      <c r="AF2820" s="6">
        <v>0</v>
      </c>
      <c r="AG2820" s="6">
        <v>108.34</v>
      </c>
      <c r="AH2820" s="6">
        <v>135.65</v>
      </c>
      <c r="AI2820" s="6">
        <f t="shared" si="88"/>
        <v>27.310000000000002</v>
      </c>
      <c r="AJ2820" s="5">
        <f t="shared" si="89"/>
        <v>0.20132694434205678</v>
      </c>
    </row>
    <row r="2821" spans="1:36">
      <c r="A2821" t="s">
        <v>602</v>
      </c>
      <c r="B2821" t="s">
        <v>3106</v>
      </c>
      <c r="C2821" t="s">
        <v>122</v>
      </c>
      <c r="D2821" t="s">
        <v>63</v>
      </c>
      <c r="E2821" t="s">
        <v>55</v>
      </c>
      <c r="F2821">
        <v>0</v>
      </c>
      <c r="G2821">
        <v>1445</v>
      </c>
      <c r="H2821">
        <v>1</v>
      </c>
      <c r="I2821" t="s">
        <v>173</v>
      </c>
      <c r="J2821">
        <v>1</v>
      </c>
      <c r="K2821" s="6">
        <v>1.52</v>
      </c>
      <c r="L2821" t="s">
        <v>174</v>
      </c>
      <c r="M2821">
        <v>0</v>
      </c>
      <c r="N2821" t="s">
        <v>217</v>
      </c>
      <c r="O2821">
        <v>4</v>
      </c>
      <c r="P2821">
        <v>1</v>
      </c>
      <c r="Q2821" s="6">
        <v>162.80000000000001</v>
      </c>
      <c r="R2821">
        <v>1</v>
      </c>
      <c r="S2821" s="6">
        <v>1516</v>
      </c>
      <c r="T2821">
        <v>0</v>
      </c>
      <c r="U2821" s="6">
        <v>834</v>
      </c>
      <c r="V2821">
        <v>0</v>
      </c>
      <c r="W2821">
        <v>0</v>
      </c>
      <c r="X2821">
        <v>0</v>
      </c>
      <c r="Y2821" s="6">
        <v>40</v>
      </c>
      <c r="Z2821">
        <v>4.5999999999999999E-2</v>
      </c>
      <c r="AA2821">
        <v>9.5000000000000001E-2</v>
      </c>
      <c r="AB2821">
        <v>7.6999999999999999E-2</v>
      </c>
      <c r="AC2821">
        <v>6</v>
      </c>
      <c r="AD2821" s="6">
        <v>50</v>
      </c>
      <c r="AE2821" s="6">
        <v>25</v>
      </c>
      <c r="AF2821" s="6">
        <v>0</v>
      </c>
      <c r="AG2821" s="6">
        <v>102.86</v>
      </c>
      <c r="AH2821" s="6">
        <v>133.21</v>
      </c>
      <c r="AI2821" s="6">
        <f t="shared" si="88"/>
        <v>30.350000000000009</v>
      </c>
      <c r="AJ2821" s="5">
        <f t="shared" si="89"/>
        <v>0.227835748066962</v>
      </c>
    </row>
    <row r="2822" spans="1:36">
      <c r="A2822" t="s">
        <v>263</v>
      </c>
      <c r="B2822" t="s">
        <v>3107</v>
      </c>
      <c r="C2822" t="s">
        <v>122</v>
      </c>
      <c r="D2822" t="s">
        <v>63</v>
      </c>
      <c r="E2822" t="s">
        <v>55</v>
      </c>
      <c r="F2822">
        <v>0</v>
      </c>
      <c r="G2822">
        <v>1445</v>
      </c>
      <c r="H2822">
        <v>1</v>
      </c>
      <c r="I2822" t="s">
        <v>173</v>
      </c>
      <c r="J2822">
        <v>1</v>
      </c>
      <c r="K2822" s="6">
        <v>1.75</v>
      </c>
      <c r="L2822" t="s">
        <v>174</v>
      </c>
      <c r="M2822">
        <v>0</v>
      </c>
      <c r="N2822" t="s">
        <v>182</v>
      </c>
      <c r="O2822">
        <v>3</v>
      </c>
      <c r="P2822">
        <v>0</v>
      </c>
      <c r="Q2822" s="6">
        <v>80.599999999999994</v>
      </c>
      <c r="R2822">
        <v>1</v>
      </c>
      <c r="S2822" s="6">
        <v>1469</v>
      </c>
      <c r="T2822">
        <v>0</v>
      </c>
      <c r="U2822" s="6">
        <v>507</v>
      </c>
      <c r="V2822">
        <v>0</v>
      </c>
      <c r="W2822">
        <v>0</v>
      </c>
      <c r="X2822">
        <v>0</v>
      </c>
      <c r="Y2822" s="6">
        <v>40</v>
      </c>
      <c r="Z2822">
        <v>4.5999999999999999E-2</v>
      </c>
      <c r="AA2822">
        <v>9.5000000000000001E-2</v>
      </c>
      <c r="AB2822">
        <v>7.6999999999999999E-2</v>
      </c>
      <c r="AC2822">
        <v>6</v>
      </c>
      <c r="AD2822" s="6">
        <v>50</v>
      </c>
      <c r="AE2822" s="6">
        <v>25</v>
      </c>
      <c r="AF2822" s="6">
        <v>0</v>
      </c>
      <c r="AG2822" s="6">
        <v>62.39</v>
      </c>
      <c r="AH2822" s="6">
        <v>79.069999999999993</v>
      </c>
      <c r="AI2822" s="6">
        <f t="shared" si="88"/>
        <v>16.679999999999993</v>
      </c>
      <c r="AJ2822" s="5">
        <f t="shared" si="89"/>
        <v>0.21095232072846837</v>
      </c>
    </row>
    <row r="2823" spans="1:36">
      <c r="A2823" t="s">
        <v>469</v>
      </c>
      <c r="B2823" t="s">
        <v>3108</v>
      </c>
      <c r="C2823" t="s">
        <v>122</v>
      </c>
      <c r="D2823" t="s">
        <v>63</v>
      </c>
      <c r="E2823" t="s">
        <v>55</v>
      </c>
      <c r="F2823">
        <v>0</v>
      </c>
      <c r="G2823">
        <v>1445</v>
      </c>
      <c r="H2823">
        <v>1</v>
      </c>
      <c r="I2823" t="s">
        <v>173</v>
      </c>
      <c r="J2823">
        <v>1</v>
      </c>
      <c r="K2823" s="6">
        <v>1.18</v>
      </c>
      <c r="L2823" t="s">
        <v>174</v>
      </c>
      <c r="M2823">
        <v>0</v>
      </c>
      <c r="N2823" t="s">
        <v>175</v>
      </c>
      <c r="O2823">
        <v>1</v>
      </c>
      <c r="P2823">
        <v>1</v>
      </c>
      <c r="Q2823" s="6">
        <v>27.2</v>
      </c>
      <c r="R2823">
        <v>0</v>
      </c>
      <c r="S2823" s="6">
        <v>0</v>
      </c>
      <c r="T2823">
        <v>0</v>
      </c>
      <c r="U2823" s="6">
        <v>372</v>
      </c>
      <c r="V2823">
        <v>0</v>
      </c>
      <c r="W2823">
        <v>0</v>
      </c>
      <c r="X2823">
        <v>0</v>
      </c>
      <c r="Y2823" s="6">
        <v>40</v>
      </c>
      <c r="Z2823">
        <v>4.5999999999999999E-2</v>
      </c>
      <c r="AA2823">
        <v>9.5000000000000001E-2</v>
      </c>
      <c r="AB2823">
        <v>7.6999999999999999E-2</v>
      </c>
      <c r="AC2823">
        <v>6</v>
      </c>
      <c r="AD2823" s="6">
        <v>50</v>
      </c>
      <c r="AE2823" s="6">
        <v>0</v>
      </c>
      <c r="AF2823" s="6">
        <v>0</v>
      </c>
      <c r="AG2823" s="6">
        <v>65.510000000000005</v>
      </c>
      <c r="AH2823" s="6">
        <v>84.46</v>
      </c>
      <c r="AI2823" s="6">
        <f t="shared" si="88"/>
        <v>18.949999999999989</v>
      </c>
      <c r="AJ2823" s="5">
        <f t="shared" si="89"/>
        <v>0.22436656405398994</v>
      </c>
    </row>
    <row r="2824" spans="1:36">
      <c r="A2824" t="s">
        <v>188</v>
      </c>
      <c r="B2824" t="s">
        <v>3109</v>
      </c>
      <c r="C2824" t="s">
        <v>122</v>
      </c>
      <c r="D2824" t="s">
        <v>63</v>
      </c>
      <c r="E2824" t="s">
        <v>55</v>
      </c>
      <c r="F2824">
        <v>0</v>
      </c>
      <c r="G2824">
        <v>1445</v>
      </c>
      <c r="H2824">
        <v>1</v>
      </c>
      <c r="I2824" t="s">
        <v>173</v>
      </c>
      <c r="J2824">
        <v>1</v>
      </c>
      <c r="K2824" s="6">
        <v>1.99</v>
      </c>
      <c r="L2824" t="s">
        <v>174</v>
      </c>
      <c r="M2824">
        <v>0</v>
      </c>
      <c r="N2824" t="s">
        <v>175</v>
      </c>
      <c r="O2824">
        <v>1</v>
      </c>
      <c r="P2824">
        <v>0</v>
      </c>
      <c r="Q2824" s="6">
        <v>37.6</v>
      </c>
      <c r="R2824">
        <v>1</v>
      </c>
      <c r="S2824" s="6">
        <v>2162</v>
      </c>
      <c r="T2824">
        <v>0</v>
      </c>
      <c r="U2824" s="6">
        <v>1061</v>
      </c>
      <c r="V2824">
        <v>0</v>
      </c>
      <c r="W2824">
        <v>0</v>
      </c>
      <c r="X2824">
        <v>0</v>
      </c>
      <c r="Y2824" s="6">
        <v>40</v>
      </c>
      <c r="Z2824">
        <v>4.5999999999999999E-2</v>
      </c>
      <c r="AA2824">
        <v>9.5000000000000001E-2</v>
      </c>
      <c r="AB2824">
        <v>7.6999999999999999E-2</v>
      </c>
      <c r="AC2824">
        <v>6</v>
      </c>
      <c r="AD2824" s="6">
        <v>50</v>
      </c>
      <c r="AE2824" s="6">
        <v>40</v>
      </c>
      <c r="AF2824" s="6">
        <v>0</v>
      </c>
      <c r="AG2824" s="6">
        <v>52.97</v>
      </c>
      <c r="AH2824" s="6">
        <v>71.09</v>
      </c>
      <c r="AI2824" s="6">
        <f t="shared" si="88"/>
        <v>18.120000000000005</v>
      </c>
      <c r="AJ2824" s="5">
        <f t="shared" si="89"/>
        <v>0.25488816992544666</v>
      </c>
    </row>
    <row r="2825" spans="1:36">
      <c r="A2825" t="s">
        <v>330</v>
      </c>
      <c r="B2825" t="s">
        <v>3110</v>
      </c>
      <c r="C2825" t="s">
        <v>122</v>
      </c>
      <c r="D2825" t="s">
        <v>63</v>
      </c>
      <c r="E2825" t="s">
        <v>55</v>
      </c>
      <c r="F2825">
        <v>0</v>
      </c>
      <c r="G2825">
        <v>1445</v>
      </c>
      <c r="H2825">
        <v>1</v>
      </c>
      <c r="I2825" t="s">
        <v>220</v>
      </c>
      <c r="J2825">
        <v>2</v>
      </c>
      <c r="K2825" s="6">
        <v>4.37</v>
      </c>
      <c r="L2825" t="s">
        <v>174</v>
      </c>
      <c r="M2825">
        <v>0</v>
      </c>
      <c r="N2825" t="s">
        <v>175</v>
      </c>
      <c r="O2825">
        <v>1</v>
      </c>
      <c r="P2825">
        <v>0</v>
      </c>
      <c r="Q2825" s="6">
        <v>31</v>
      </c>
      <c r="R2825">
        <v>1</v>
      </c>
      <c r="S2825" s="6">
        <v>744</v>
      </c>
      <c r="T2825">
        <v>0</v>
      </c>
      <c r="U2825" s="6">
        <v>823</v>
      </c>
      <c r="V2825">
        <v>0</v>
      </c>
      <c r="W2825">
        <v>0</v>
      </c>
      <c r="X2825">
        <v>0</v>
      </c>
      <c r="Y2825" s="6">
        <v>40</v>
      </c>
      <c r="Z2825">
        <v>4.5999999999999999E-2</v>
      </c>
      <c r="AA2825">
        <v>9.5000000000000001E-2</v>
      </c>
      <c r="AB2825">
        <v>7.6999999999999999E-2</v>
      </c>
      <c r="AC2825">
        <v>6</v>
      </c>
      <c r="AD2825" s="6">
        <v>50</v>
      </c>
      <c r="AE2825" s="6">
        <v>25</v>
      </c>
      <c r="AF2825" s="6">
        <v>0</v>
      </c>
      <c r="AG2825" s="6">
        <v>62.75</v>
      </c>
      <c r="AH2825" s="6">
        <v>82.37</v>
      </c>
      <c r="AI2825" s="6">
        <f t="shared" si="88"/>
        <v>19.620000000000005</v>
      </c>
      <c r="AJ2825" s="5">
        <f t="shared" si="89"/>
        <v>0.23819351705718106</v>
      </c>
    </row>
    <row r="2826" spans="1:36">
      <c r="A2826" t="s">
        <v>635</v>
      </c>
      <c r="B2826" t="s">
        <v>3111</v>
      </c>
      <c r="C2826" t="s">
        <v>122</v>
      </c>
      <c r="D2826" t="s">
        <v>63</v>
      </c>
      <c r="E2826" t="s">
        <v>55</v>
      </c>
      <c r="F2826">
        <v>0</v>
      </c>
      <c r="G2826">
        <v>1445</v>
      </c>
      <c r="H2826">
        <v>1</v>
      </c>
      <c r="I2826" t="s">
        <v>173</v>
      </c>
      <c r="J2826">
        <v>1</v>
      </c>
      <c r="K2826" s="6">
        <v>2.37</v>
      </c>
      <c r="L2826" t="s">
        <v>174</v>
      </c>
      <c r="M2826">
        <v>0</v>
      </c>
      <c r="N2826" t="s">
        <v>175</v>
      </c>
      <c r="O2826">
        <v>1</v>
      </c>
      <c r="P2826">
        <v>0</v>
      </c>
      <c r="Q2826" s="6">
        <v>38.1</v>
      </c>
      <c r="R2826">
        <v>0</v>
      </c>
      <c r="S2826" s="6">
        <v>0</v>
      </c>
      <c r="T2826">
        <v>0</v>
      </c>
      <c r="U2826" s="6">
        <v>236</v>
      </c>
      <c r="V2826">
        <v>0</v>
      </c>
      <c r="W2826">
        <v>0</v>
      </c>
      <c r="X2826">
        <v>0</v>
      </c>
      <c r="Y2826" s="6">
        <v>40</v>
      </c>
      <c r="Z2826">
        <v>4.5999999999999999E-2</v>
      </c>
      <c r="AA2826">
        <v>9.5000000000000001E-2</v>
      </c>
      <c r="AB2826">
        <v>7.6999999999999999E-2</v>
      </c>
      <c r="AC2826">
        <v>6</v>
      </c>
      <c r="AD2826" s="6">
        <v>50</v>
      </c>
      <c r="AE2826" s="6">
        <v>0</v>
      </c>
      <c r="AF2826" s="6">
        <v>0</v>
      </c>
      <c r="AG2826" s="6">
        <v>54.78</v>
      </c>
      <c r="AH2826" s="6">
        <v>69.989999999999995</v>
      </c>
      <c r="AI2826" s="6">
        <f t="shared" si="88"/>
        <v>15.209999999999994</v>
      </c>
      <c r="AJ2826" s="5">
        <f t="shared" si="89"/>
        <v>0.21731675953707666</v>
      </c>
    </row>
    <row r="2827" spans="1:36">
      <c r="A2827" t="s">
        <v>206</v>
      </c>
      <c r="B2827" t="s">
        <v>3112</v>
      </c>
      <c r="C2827" t="s">
        <v>122</v>
      </c>
      <c r="D2827" t="s">
        <v>63</v>
      </c>
      <c r="E2827" t="s">
        <v>55</v>
      </c>
      <c r="F2827">
        <v>0</v>
      </c>
      <c r="G2827">
        <v>1445</v>
      </c>
      <c r="H2827">
        <v>1</v>
      </c>
      <c r="I2827" t="s">
        <v>173</v>
      </c>
      <c r="J2827">
        <v>1</v>
      </c>
      <c r="K2827" s="6">
        <v>1.24</v>
      </c>
      <c r="L2827" t="s">
        <v>174</v>
      </c>
      <c r="M2827">
        <v>0</v>
      </c>
      <c r="N2827" t="s">
        <v>175</v>
      </c>
      <c r="O2827">
        <v>1</v>
      </c>
      <c r="P2827">
        <v>0</v>
      </c>
      <c r="Q2827" s="6">
        <v>48.4</v>
      </c>
      <c r="R2827">
        <v>0</v>
      </c>
      <c r="S2827" s="6">
        <v>0</v>
      </c>
      <c r="T2827">
        <v>0</v>
      </c>
      <c r="U2827" s="6">
        <v>596</v>
      </c>
      <c r="V2827">
        <v>0</v>
      </c>
      <c r="W2827">
        <v>0</v>
      </c>
      <c r="X2827">
        <v>0</v>
      </c>
      <c r="Y2827" s="6">
        <v>40</v>
      </c>
      <c r="Z2827">
        <v>4.5999999999999999E-2</v>
      </c>
      <c r="AA2827">
        <v>9.5000000000000001E-2</v>
      </c>
      <c r="AB2827">
        <v>7.6999999999999999E-2</v>
      </c>
      <c r="AC2827">
        <v>6</v>
      </c>
      <c r="AD2827" s="6">
        <v>50</v>
      </c>
      <c r="AE2827" s="6">
        <v>0</v>
      </c>
      <c r="AF2827" s="6">
        <v>0</v>
      </c>
      <c r="AG2827" s="6">
        <v>56.37</v>
      </c>
      <c r="AH2827" s="6">
        <v>74.86</v>
      </c>
      <c r="AI2827" s="6">
        <f t="shared" si="88"/>
        <v>18.490000000000002</v>
      </c>
      <c r="AJ2827" s="5">
        <f t="shared" si="89"/>
        <v>0.2469943895271173</v>
      </c>
    </row>
    <row r="2828" spans="1:36">
      <c r="A2828" t="s">
        <v>360</v>
      </c>
      <c r="B2828" t="s">
        <v>3113</v>
      </c>
      <c r="C2828" t="s">
        <v>122</v>
      </c>
      <c r="D2828" t="s">
        <v>63</v>
      </c>
      <c r="E2828" t="s">
        <v>55</v>
      </c>
      <c r="F2828">
        <v>0</v>
      </c>
      <c r="G2828">
        <v>1445</v>
      </c>
      <c r="H2828">
        <v>1</v>
      </c>
      <c r="I2828" t="s">
        <v>181</v>
      </c>
      <c r="J2828">
        <v>3</v>
      </c>
      <c r="K2828" s="6">
        <v>11.1</v>
      </c>
      <c r="L2828" t="s">
        <v>174</v>
      </c>
      <c r="M2828">
        <v>0</v>
      </c>
      <c r="N2828" t="s">
        <v>175</v>
      </c>
      <c r="O2828">
        <v>1</v>
      </c>
      <c r="P2828">
        <v>0</v>
      </c>
      <c r="Q2828" s="6">
        <v>33.200000000000003</v>
      </c>
      <c r="R2828">
        <v>1</v>
      </c>
      <c r="S2828" s="6">
        <v>424</v>
      </c>
      <c r="T2828">
        <v>0</v>
      </c>
      <c r="U2828" s="6">
        <v>530</v>
      </c>
      <c r="V2828">
        <v>0</v>
      </c>
      <c r="W2828">
        <v>0</v>
      </c>
      <c r="X2828">
        <v>0</v>
      </c>
      <c r="Y2828" s="6">
        <v>40</v>
      </c>
      <c r="Z2828">
        <v>4.5999999999999999E-2</v>
      </c>
      <c r="AA2828">
        <v>9.5000000000000001E-2</v>
      </c>
      <c r="AB2828">
        <v>7.6999999999999999E-2</v>
      </c>
      <c r="AC2828">
        <v>6</v>
      </c>
      <c r="AD2828" s="6">
        <v>60</v>
      </c>
      <c r="AE2828" s="6">
        <v>25</v>
      </c>
      <c r="AF2828" s="6">
        <v>0</v>
      </c>
      <c r="AG2828" s="6">
        <v>105.99</v>
      </c>
      <c r="AH2828" s="6">
        <v>136.86000000000001</v>
      </c>
      <c r="AI2828" s="6">
        <f t="shared" si="88"/>
        <v>30.870000000000019</v>
      </c>
      <c r="AJ2828" s="5">
        <f t="shared" si="89"/>
        <v>0.22555896536606762</v>
      </c>
    </row>
    <row r="2829" spans="1:36">
      <c r="A2829" t="s">
        <v>176</v>
      </c>
      <c r="B2829" t="s">
        <v>3114</v>
      </c>
      <c r="C2829" t="s">
        <v>122</v>
      </c>
      <c r="D2829" t="s">
        <v>63</v>
      </c>
      <c r="E2829" t="s">
        <v>55</v>
      </c>
      <c r="F2829">
        <v>0</v>
      </c>
      <c r="G2829">
        <v>1445</v>
      </c>
      <c r="H2829">
        <v>1</v>
      </c>
      <c r="I2829" t="s">
        <v>173</v>
      </c>
      <c r="J2829">
        <v>1</v>
      </c>
      <c r="K2829" s="6">
        <v>1.54</v>
      </c>
      <c r="L2829" t="s">
        <v>174</v>
      </c>
      <c r="M2829">
        <v>0</v>
      </c>
      <c r="N2829" t="s">
        <v>175</v>
      </c>
      <c r="O2829">
        <v>1</v>
      </c>
      <c r="P2829">
        <v>0</v>
      </c>
      <c r="Q2829" s="6">
        <v>37.1</v>
      </c>
      <c r="R2829">
        <v>1</v>
      </c>
      <c r="S2829" s="6">
        <v>1487</v>
      </c>
      <c r="T2829">
        <v>0</v>
      </c>
      <c r="U2829" s="6">
        <v>923</v>
      </c>
      <c r="V2829">
        <v>0</v>
      </c>
      <c r="W2829">
        <v>0</v>
      </c>
      <c r="X2829">
        <v>0</v>
      </c>
      <c r="Y2829" s="6">
        <v>40</v>
      </c>
      <c r="Z2829">
        <v>4.5999999999999999E-2</v>
      </c>
      <c r="AA2829">
        <v>9.5000000000000001E-2</v>
      </c>
      <c r="AB2829">
        <v>7.6999999999999999E-2</v>
      </c>
      <c r="AC2829">
        <v>6</v>
      </c>
      <c r="AD2829" s="6">
        <v>50</v>
      </c>
      <c r="AE2829" s="6">
        <v>25</v>
      </c>
      <c r="AF2829" s="6">
        <v>0</v>
      </c>
      <c r="AG2829" s="6">
        <v>50.72</v>
      </c>
      <c r="AH2829" s="6">
        <v>67.650000000000006</v>
      </c>
      <c r="AI2829" s="6">
        <f t="shared" si="88"/>
        <v>16.930000000000007</v>
      </c>
      <c r="AJ2829" s="5">
        <f t="shared" si="89"/>
        <v>0.25025868440502597</v>
      </c>
    </row>
    <row r="2830" spans="1:36">
      <c r="A2830" t="s">
        <v>362</v>
      </c>
      <c r="B2830" t="s">
        <v>3115</v>
      </c>
      <c r="C2830" t="s">
        <v>124</v>
      </c>
      <c r="D2830" t="s">
        <v>77</v>
      </c>
      <c r="E2830" t="s">
        <v>55</v>
      </c>
      <c r="F2830">
        <v>0</v>
      </c>
      <c r="G2830">
        <v>658</v>
      </c>
      <c r="H2830">
        <v>1</v>
      </c>
      <c r="I2830" t="s">
        <v>220</v>
      </c>
      <c r="J2830">
        <v>2</v>
      </c>
      <c r="K2830" s="6">
        <v>5.69</v>
      </c>
      <c r="L2830" t="s">
        <v>174</v>
      </c>
      <c r="M2830">
        <v>0</v>
      </c>
      <c r="N2830" t="s">
        <v>182</v>
      </c>
      <c r="O2830">
        <v>3</v>
      </c>
      <c r="P2830">
        <v>0</v>
      </c>
      <c r="Q2830" s="6">
        <v>81</v>
      </c>
      <c r="R2830">
        <v>0</v>
      </c>
      <c r="S2830" s="6">
        <v>0</v>
      </c>
      <c r="T2830">
        <v>0</v>
      </c>
      <c r="U2830" s="6">
        <v>755</v>
      </c>
      <c r="V2830">
        <v>0</v>
      </c>
      <c r="W2830">
        <v>0</v>
      </c>
      <c r="X2830">
        <v>0</v>
      </c>
      <c r="Y2830" s="6">
        <v>41.7</v>
      </c>
      <c r="Z2830">
        <v>7.0999999999999994E-2</v>
      </c>
      <c r="AA2830">
        <v>0.14199999999999999</v>
      </c>
      <c r="AB2830">
        <v>2.9000000000000001E-2</v>
      </c>
      <c r="AC2830">
        <v>5</v>
      </c>
      <c r="AD2830" s="6">
        <v>51</v>
      </c>
      <c r="AE2830" s="6">
        <v>0</v>
      </c>
      <c r="AF2830" s="6">
        <v>0</v>
      </c>
      <c r="AG2830" s="6">
        <v>78.33</v>
      </c>
      <c r="AH2830" s="6">
        <v>97.98</v>
      </c>
      <c r="AI2830" s="6">
        <f t="shared" si="88"/>
        <v>19.650000000000006</v>
      </c>
      <c r="AJ2830" s="5">
        <f t="shared" si="89"/>
        <v>0.20055113288426216</v>
      </c>
    </row>
    <row r="2831" spans="1:36">
      <c r="A2831" t="s">
        <v>313</v>
      </c>
      <c r="B2831" t="s">
        <v>3116</v>
      </c>
      <c r="C2831" t="s">
        <v>124</v>
      </c>
      <c r="D2831" t="s">
        <v>77</v>
      </c>
      <c r="E2831" t="s">
        <v>55</v>
      </c>
      <c r="F2831">
        <v>0</v>
      </c>
      <c r="G2831">
        <v>658</v>
      </c>
      <c r="H2831">
        <v>1</v>
      </c>
      <c r="I2831" t="s">
        <v>220</v>
      </c>
      <c r="J2831">
        <v>2</v>
      </c>
      <c r="K2831" s="6">
        <v>3.1</v>
      </c>
      <c r="L2831" t="s">
        <v>200</v>
      </c>
      <c r="M2831">
        <v>1</v>
      </c>
      <c r="N2831" t="s">
        <v>175</v>
      </c>
      <c r="O2831">
        <v>1</v>
      </c>
      <c r="P2831">
        <v>0</v>
      </c>
      <c r="Q2831" s="6">
        <v>28.5</v>
      </c>
      <c r="R2831">
        <v>1</v>
      </c>
      <c r="S2831" s="6">
        <v>2027</v>
      </c>
      <c r="T2831">
        <v>0</v>
      </c>
      <c r="U2831" s="6">
        <v>7893</v>
      </c>
      <c r="V2831">
        <v>0</v>
      </c>
      <c r="W2831">
        <v>0</v>
      </c>
      <c r="X2831">
        <v>0</v>
      </c>
      <c r="Y2831" s="6">
        <v>41.7</v>
      </c>
      <c r="Z2831">
        <v>7.0999999999999994E-2</v>
      </c>
      <c r="AA2831">
        <v>0.14199999999999999</v>
      </c>
      <c r="AB2831">
        <v>2.9000000000000001E-2</v>
      </c>
      <c r="AC2831">
        <v>5</v>
      </c>
      <c r="AD2831" s="6">
        <v>120</v>
      </c>
      <c r="AE2831" s="6">
        <v>40</v>
      </c>
      <c r="AF2831" s="6">
        <v>0</v>
      </c>
      <c r="AG2831" s="6">
        <v>100.42</v>
      </c>
      <c r="AH2831" s="6">
        <v>129.51</v>
      </c>
      <c r="AI2831" s="6">
        <f t="shared" si="88"/>
        <v>29.089999999999989</v>
      </c>
      <c r="AJ2831" s="5">
        <f t="shared" si="89"/>
        <v>0.22461585977916756</v>
      </c>
    </row>
    <row r="2832" spans="1:36">
      <c r="A2832" t="s">
        <v>562</v>
      </c>
      <c r="B2832" t="s">
        <v>3117</v>
      </c>
      <c r="C2832" t="s">
        <v>124</v>
      </c>
      <c r="D2832" t="s">
        <v>77</v>
      </c>
      <c r="E2832" t="s">
        <v>55</v>
      </c>
      <c r="F2832">
        <v>0</v>
      </c>
      <c r="G2832">
        <v>658</v>
      </c>
      <c r="H2832">
        <v>1</v>
      </c>
      <c r="I2832" t="s">
        <v>220</v>
      </c>
      <c r="J2832">
        <v>2</v>
      </c>
      <c r="K2832" s="6">
        <v>5.65</v>
      </c>
      <c r="L2832" t="s">
        <v>174</v>
      </c>
      <c r="M2832">
        <v>0</v>
      </c>
      <c r="N2832" t="s">
        <v>187</v>
      </c>
      <c r="O2832">
        <v>2</v>
      </c>
      <c r="P2832">
        <v>1</v>
      </c>
      <c r="Q2832" s="6">
        <v>78.7</v>
      </c>
      <c r="R2832">
        <v>0</v>
      </c>
      <c r="S2832" s="6">
        <v>0</v>
      </c>
      <c r="T2832">
        <v>0</v>
      </c>
      <c r="U2832" s="6">
        <v>2020</v>
      </c>
      <c r="V2832">
        <v>0</v>
      </c>
      <c r="W2832">
        <v>0</v>
      </c>
      <c r="X2832">
        <v>0</v>
      </c>
      <c r="Y2832" s="6">
        <v>41.7</v>
      </c>
      <c r="Z2832">
        <v>7.0999999999999994E-2</v>
      </c>
      <c r="AA2832">
        <v>0.14199999999999999</v>
      </c>
      <c r="AB2832">
        <v>2.9000000000000001E-2</v>
      </c>
      <c r="AC2832">
        <v>5</v>
      </c>
      <c r="AD2832" s="6">
        <v>51</v>
      </c>
      <c r="AE2832" s="6">
        <v>0</v>
      </c>
      <c r="AF2832" s="6">
        <v>0</v>
      </c>
      <c r="AG2832" s="6">
        <v>102.72</v>
      </c>
      <c r="AH2832" s="6">
        <v>132.57</v>
      </c>
      <c r="AI2832" s="6">
        <f t="shared" si="88"/>
        <v>29.849999999999994</v>
      </c>
      <c r="AJ2832" s="5">
        <f t="shared" si="89"/>
        <v>0.22516406426793389</v>
      </c>
    </row>
    <row r="2833" spans="1:36">
      <c r="A2833" t="s">
        <v>208</v>
      </c>
      <c r="B2833" t="s">
        <v>3118</v>
      </c>
      <c r="C2833" t="s">
        <v>124</v>
      </c>
      <c r="D2833" t="s">
        <v>77</v>
      </c>
      <c r="E2833" t="s">
        <v>55</v>
      </c>
      <c r="F2833">
        <v>0</v>
      </c>
      <c r="G2833">
        <v>658</v>
      </c>
      <c r="H2833">
        <v>1</v>
      </c>
      <c r="I2833" t="s">
        <v>220</v>
      </c>
      <c r="J2833">
        <v>2</v>
      </c>
      <c r="K2833" s="6">
        <v>4.67</v>
      </c>
      <c r="L2833" t="s">
        <v>174</v>
      </c>
      <c r="M2833">
        <v>0</v>
      </c>
      <c r="N2833" t="s">
        <v>175</v>
      </c>
      <c r="O2833">
        <v>1</v>
      </c>
      <c r="P2833">
        <v>0</v>
      </c>
      <c r="Q2833" s="6">
        <v>25.9</v>
      </c>
      <c r="R2833">
        <v>0</v>
      </c>
      <c r="S2833" s="6">
        <v>0</v>
      </c>
      <c r="T2833">
        <v>0</v>
      </c>
      <c r="U2833" s="6">
        <v>4107</v>
      </c>
      <c r="V2833">
        <v>0</v>
      </c>
      <c r="W2833">
        <v>0</v>
      </c>
      <c r="X2833">
        <v>0</v>
      </c>
      <c r="Y2833" s="6">
        <v>41.7</v>
      </c>
      <c r="Z2833">
        <v>7.0999999999999994E-2</v>
      </c>
      <c r="AA2833">
        <v>0.14199999999999999</v>
      </c>
      <c r="AB2833">
        <v>2.9000000000000001E-2</v>
      </c>
      <c r="AC2833">
        <v>5</v>
      </c>
      <c r="AD2833" s="6">
        <v>51</v>
      </c>
      <c r="AE2833" s="6">
        <v>0</v>
      </c>
      <c r="AF2833" s="6">
        <v>0</v>
      </c>
      <c r="AG2833" s="6">
        <v>62.7</v>
      </c>
      <c r="AH2833" s="6">
        <v>82.95</v>
      </c>
      <c r="AI2833" s="6">
        <f t="shared" si="88"/>
        <v>20.25</v>
      </c>
      <c r="AJ2833" s="5">
        <f t="shared" si="89"/>
        <v>0.24412296564195299</v>
      </c>
    </row>
    <row r="2834" spans="1:36">
      <c r="A2834" t="s">
        <v>183</v>
      </c>
      <c r="B2834" t="s">
        <v>3119</v>
      </c>
      <c r="C2834" t="s">
        <v>124</v>
      </c>
      <c r="D2834" t="s">
        <v>77</v>
      </c>
      <c r="E2834" t="s">
        <v>55</v>
      </c>
      <c r="F2834">
        <v>0</v>
      </c>
      <c r="G2834">
        <v>658</v>
      </c>
      <c r="H2834">
        <v>1</v>
      </c>
      <c r="I2834" t="s">
        <v>181</v>
      </c>
      <c r="J2834">
        <v>3</v>
      </c>
      <c r="K2834" s="6">
        <v>7.06</v>
      </c>
      <c r="L2834" t="s">
        <v>174</v>
      </c>
      <c r="M2834">
        <v>0</v>
      </c>
      <c r="N2834" t="s">
        <v>217</v>
      </c>
      <c r="O2834">
        <v>4</v>
      </c>
      <c r="P2834">
        <v>1</v>
      </c>
      <c r="Q2834" s="6">
        <v>156.69999999999999</v>
      </c>
      <c r="R2834">
        <v>0</v>
      </c>
      <c r="S2834" s="6">
        <v>0</v>
      </c>
      <c r="T2834">
        <v>0</v>
      </c>
      <c r="U2834" s="6">
        <v>3210</v>
      </c>
      <c r="V2834">
        <v>0</v>
      </c>
      <c r="W2834">
        <v>0</v>
      </c>
      <c r="X2834">
        <v>0</v>
      </c>
      <c r="Y2834" s="6">
        <v>41.7</v>
      </c>
      <c r="Z2834">
        <v>7.0999999999999994E-2</v>
      </c>
      <c r="AA2834">
        <v>0.14199999999999999</v>
      </c>
      <c r="AB2834">
        <v>2.9000000000000001E-2</v>
      </c>
      <c r="AC2834">
        <v>5</v>
      </c>
      <c r="AD2834" s="6">
        <v>61</v>
      </c>
      <c r="AE2834" s="6">
        <v>0</v>
      </c>
      <c r="AF2834" s="6">
        <v>0</v>
      </c>
      <c r="AG2834" s="6">
        <v>133.76</v>
      </c>
      <c r="AH2834" s="6">
        <v>170.39</v>
      </c>
      <c r="AI2834" s="6">
        <f t="shared" si="88"/>
        <v>36.629999999999995</v>
      </c>
      <c r="AJ2834" s="5">
        <f t="shared" si="89"/>
        <v>0.21497740477727564</v>
      </c>
    </row>
    <row r="2835" spans="1:36">
      <c r="A2835" t="s">
        <v>537</v>
      </c>
      <c r="B2835" t="s">
        <v>3120</v>
      </c>
      <c r="C2835" t="s">
        <v>124</v>
      </c>
      <c r="D2835" t="s">
        <v>77</v>
      </c>
      <c r="E2835" t="s">
        <v>55</v>
      </c>
      <c r="F2835">
        <v>0</v>
      </c>
      <c r="G2835">
        <v>658</v>
      </c>
      <c r="H2835">
        <v>1</v>
      </c>
      <c r="I2835" t="s">
        <v>220</v>
      </c>
      <c r="J2835">
        <v>2</v>
      </c>
      <c r="K2835" s="6">
        <v>6.66</v>
      </c>
      <c r="L2835" t="s">
        <v>174</v>
      </c>
      <c r="M2835">
        <v>0</v>
      </c>
      <c r="N2835" t="s">
        <v>175</v>
      </c>
      <c r="O2835">
        <v>1</v>
      </c>
      <c r="P2835">
        <v>0</v>
      </c>
      <c r="Q2835" s="6">
        <v>28.4</v>
      </c>
      <c r="R2835">
        <v>1</v>
      </c>
      <c r="S2835" s="6">
        <v>985</v>
      </c>
      <c r="T2835">
        <v>0</v>
      </c>
      <c r="U2835" s="6">
        <v>5550</v>
      </c>
      <c r="V2835">
        <v>0</v>
      </c>
      <c r="W2835">
        <v>0</v>
      </c>
      <c r="X2835">
        <v>0</v>
      </c>
      <c r="Y2835" s="6">
        <v>41.7</v>
      </c>
      <c r="Z2835">
        <v>7.0999999999999994E-2</v>
      </c>
      <c r="AA2835">
        <v>0.14199999999999999</v>
      </c>
      <c r="AB2835">
        <v>2.9000000000000001E-2</v>
      </c>
      <c r="AC2835">
        <v>5</v>
      </c>
      <c r="AD2835" s="6">
        <v>51</v>
      </c>
      <c r="AE2835" s="6">
        <v>25</v>
      </c>
      <c r="AF2835" s="6">
        <v>0</v>
      </c>
      <c r="AG2835" s="6">
        <v>65.069999999999993</v>
      </c>
      <c r="AH2835" s="6">
        <v>83.45</v>
      </c>
      <c r="AI2835" s="6">
        <f t="shared" si="88"/>
        <v>18.38000000000001</v>
      </c>
      <c r="AJ2835" s="5">
        <f t="shared" si="89"/>
        <v>0.22025164769322958</v>
      </c>
    </row>
    <row r="2836" spans="1:36">
      <c r="A2836" t="s">
        <v>375</v>
      </c>
      <c r="B2836" t="s">
        <v>3121</v>
      </c>
      <c r="C2836" t="s">
        <v>124</v>
      </c>
      <c r="D2836" t="s">
        <v>77</v>
      </c>
      <c r="E2836" t="s">
        <v>55</v>
      </c>
      <c r="F2836">
        <v>0</v>
      </c>
      <c r="G2836">
        <v>658</v>
      </c>
      <c r="H2836">
        <v>1</v>
      </c>
      <c r="I2836" t="s">
        <v>220</v>
      </c>
      <c r="J2836">
        <v>2</v>
      </c>
      <c r="K2836" s="6">
        <v>4.1100000000000003</v>
      </c>
      <c r="L2836" t="s">
        <v>174</v>
      </c>
      <c r="M2836">
        <v>0</v>
      </c>
      <c r="N2836" t="s">
        <v>182</v>
      </c>
      <c r="O2836">
        <v>3</v>
      </c>
      <c r="P2836">
        <v>1</v>
      </c>
      <c r="Q2836" s="6">
        <v>84.1</v>
      </c>
      <c r="R2836">
        <v>1</v>
      </c>
      <c r="S2836" s="6">
        <v>2337</v>
      </c>
      <c r="T2836">
        <v>0</v>
      </c>
      <c r="U2836" s="6">
        <v>2614</v>
      </c>
      <c r="V2836">
        <v>0</v>
      </c>
      <c r="W2836">
        <v>0</v>
      </c>
      <c r="X2836">
        <v>0</v>
      </c>
      <c r="Y2836" s="6">
        <v>41.7</v>
      </c>
      <c r="Z2836">
        <v>7.0999999999999994E-2</v>
      </c>
      <c r="AA2836">
        <v>0.14199999999999999</v>
      </c>
      <c r="AB2836">
        <v>2.9000000000000001E-2</v>
      </c>
      <c r="AC2836">
        <v>5</v>
      </c>
      <c r="AD2836" s="6">
        <v>51</v>
      </c>
      <c r="AE2836" s="6">
        <v>40</v>
      </c>
      <c r="AF2836" s="6">
        <v>0</v>
      </c>
      <c r="AG2836" s="6">
        <v>104.87</v>
      </c>
      <c r="AH2836" s="6">
        <v>135.72999999999999</v>
      </c>
      <c r="AI2836" s="6">
        <f t="shared" si="88"/>
        <v>30.859999999999985</v>
      </c>
      <c r="AJ2836" s="5">
        <f t="shared" si="89"/>
        <v>0.22736314742503491</v>
      </c>
    </row>
    <row r="2837" spans="1:36">
      <c r="A2837" t="s">
        <v>343</v>
      </c>
      <c r="B2837" t="s">
        <v>3122</v>
      </c>
      <c r="C2837" t="s">
        <v>124</v>
      </c>
      <c r="D2837" t="s">
        <v>77</v>
      </c>
      <c r="E2837" t="s">
        <v>55</v>
      </c>
      <c r="F2837">
        <v>0</v>
      </c>
      <c r="G2837">
        <v>658</v>
      </c>
      <c r="H2837">
        <v>1</v>
      </c>
      <c r="I2837" t="s">
        <v>220</v>
      </c>
      <c r="J2837">
        <v>2</v>
      </c>
      <c r="K2837" s="6">
        <v>4.5199999999999996</v>
      </c>
      <c r="L2837" t="s">
        <v>174</v>
      </c>
      <c r="M2837">
        <v>0</v>
      </c>
      <c r="N2837" t="s">
        <v>175</v>
      </c>
      <c r="O2837">
        <v>1</v>
      </c>
      <c r="P2837">
        <v>0</v>
      </c>
      <c r="Q2837" s="6">
        <v>30.7</v>
      </c>
      <c r="R2837">
        <v>1</v>
      </c>
      <c r="S2837" s="6">
        <v>533</v>
      </c>
      <c r="T2837">
        <v>0</v>
      </c>
      <c r="U2837" s="6">
        <v>1645</v>
      </c>
      <c r="V2837">
        <v>0</v>
      </c>
      <c r="W2837">
        <v>0</v>
      </c>
      <c r="X2837">
        <v>0</v>
      </c>
      <c r="Y2837" s="6">
        <v>41.7</v>
      </c>
      <c r="Z2837">
        <v>7.0999999999999994E-2</v>
      </c>
      <c r="AA2837">
        <v>0.14199999999999999</v>
      </c>
      <c r="AB2837">
        <v>2.9000000000000001E-2</v>
      </c>
      <c r="AC2837">
        <v>5</v>
      </c>
      <c r="AD2837" s="6">
        <v>51</v>
      </c>
      <c r="AE2837" s="6">
        <v>25</v>
      </c>
      <c r="AF2837" s="6">
        <v>0</v>
      </c>
      <c r="AG2837" s="6">
        <v>79.03</v>
      </c>
      <c r="AH2837" s="6">
        <v>101.96</v>
      </c>
      <c r="AI2837" s="6">
        <f t="shared" si="88"/>
        <v>22.929999999999993</v>
      </c>
      <c r="AJ2837" s="5">
        <f t="shared" si="89"/>
        <v>0.2248921145547273</v>
      </c>
    </row>
    <row r="2838" spans="1:36">
      <c r="A2838" t="s">
        <v>384</v>
      </c>
      <c r="B2838" t="s">
        <v>3123</v>
      </c>
      <c r="C2838" t="s">
        <v>124</v>
      </c>
      <c r="D2838" t="s">
        <v>77</v>
      </c>
      <c r="E2838" t="s">
        <v>55</v>
      </c>
      <c r="F2838">
        <v>0</v>
      </c>
      <c r="G2838">
        <v>658</v>
      </c>
      <c r="H2838">
        <v>1</v>
      </c>
      <c r="I2838" t="s">
        <v>181</v>
      </c>
      <c r="J2838">
        <v>3</v>
      </c>
      <c r="K2838" s="6">
        <v>5.2</v>
      </c>
      <c r="L2838" t="s">
        <v>174</v>
      </c>
      <c r="M2838">
        <v>0</v>
      </c>
      <c r="N2838" t="s">
        <v>182</v>
      </c>
      <c r="O2838">
        <v>3</v>
      </c>
      <c r="P2838">
        <v>0</v>
      </c>
      <c r="Q2838" s="6">
        <v>109.8</v>
      </c>
      <c r="R2838">
        <v>0</v>
      </c>
      <c r="S2838" s="6">
        <v>0</v>
      </c>
      <c r="T2838">
        <v>0</v>
      </c>
      <c r="U2838" s="6">
        <v>2188</v>
      </c>
      <c r="V2838">
        <v>0</v>
      </c>
      <c r="W2838">
        <v>0</v>
      </c>
      <c r="X2838">
        <v>0</v>
      </c>
      <c r="Y2838" s="6">
        <v>41.7</v>
      </c>
      <c r="Z2838">
        <v>7.0999999999999994E-2</v>
      </c>
      <c r="AA2838">
        <v>0.14199999999999999</v>
      </c>
      <c r="AB2838">
        <v>2.9000000000000001E-2</v>
      </c>
      <c r="AC2838">
        <v>5</v>
      </c>
      <c r="AD2838" s="6">
        <v>61</v>
      </c>
      <c r="AE2838" s="6">
        <v>0</v>
      </c>
      <c r="AF2838" s="6">
        <v>0</v>
      </c>
      <c r="AG2838" s="6">
        <v>98.12</v>
      </c>
      <c r="AH2838" s="6">
        <v>125.95</v>
      </c>
      <c r="AI2838" s="6">
        <f t="shared" si="88"/>
        <v>27.83</v>
      </c>
      <c r="AJ2838" s="5">
        <f t="shared" si="89"/>
        <v>0.22096069868995633</v>
      </c>
    </row>
    <row r="2839" spans="1:36">
      <c r="A2839" t="s">
        <v>693</v>
      </c>
      <c r="B2839" t="s">
        <v>3124</v>
      </c>
      <c r="C2839" t="s">
        <v>124</v>
      </c>
      <c r="D2839" t="s">
        <v>77</v>
      </c>
      <c r="E2839" t="s">
        <v>55</v>
      </c>
      <c r="F2839">
        <v>0</v>
      </c>
      <c r="G2839">
        <v>658</v>
      </c>
      <c r="H2839">
        <v>1</v>
      </c>
      <c r="I2839" t="s">
        <v>220</v>
      </c>
      <c r="J2839">
        <v>2</v>
      </c>
      <c r="K2839" s="6">
        <v>3.93</v>
      </c>
      <c r="L2839" t="s">
        <v>174</v>
      </c>
      <c r="M2839">
        <v>0</v>
      </c>
      <c r="N2839" t="s">
        <v>182</v>
      </c>
      <c r="O2839">
        <v>3</v>
      </c>
      <c r="P2839">
        <v>0</v>
      </c>
      <c r="Q2839" s="6">
        <v>61.6</v>
      </c>
      <c r="R2839">
        <v>0</v>
      </c>
      <c r="S2839" s="6">
        <v>0</v>
      </c>
      <c r="T2839">
        <v>0</v>
      </c>
      <c r="U2839" s="6">
        <v>3190</v>
      </c>
      <c r="V2839">
        <v>0</v>
      </c>
      <c r="W2839">
        <v>0</v>
      </c>
      <c r="X2839">
        <v>0</v>
      </c>
      <c r="Y2839" s="6">
        <v>41.7</v>
      </c>
      <c r="Z2839">
        <v>7.0999999999999994E-2</v>
      </c>
      <c r="AA2839">
        <v>0.14199999999999999</v>
      </c>
      <c r="AB2839">
        <v>2.9000000000000001E-2</v>
      </c>
      <c r="AC2839">
        <v>5</v>
      </c>
      <c r="AD2839" s="6">
        <v>51</v>
      </c>
      <c r="AE2839" s="6">
        <v>0</v>
      </c>
      <c r="AF2839" s="6">
        <v>0</v>
      </c>
      <c r="AG2839" s="6">
        <v>75.400000000000006</v>
      </c>
      <c r="AH2839" s="6">
        <v>94.26</v>
      </c>
      <c r="AI2839" s="6">
        <f t="shared" si="88"/>
        <v>18.86</v>
      </c>
      <c r="AJ2839" s="5">
        <f t="shared" si="89"/>
        <v>0.20008487163165711</v>
      </c>
    </row>
    <row r="2840" spans="1:36">
      <c r="A2840" t="s">
        <v>228</v>
      </c>
      <c r="B2840" t="s">
        <v>3125</v>
      </c>
      <c r="C2840" t="s">
        <v>124</v>
      </c>
      <c r="D2840" t="s">
        <v>77</v>
      </c>
      <c r="E2840" t="s">
        <v>55</v>
      </c>
      <c r="F2840">
        <v>0</v>
      </c>
      <c r="G2840">
        <v>658</v>
      </c>
      <c r="H2840">
        <v>1</v>
      </c>
      <c r="I2840" t="s">
        <v>220</v>
      </c>
      <c r="J2840">
        <v>2</v>
      </c>
      <c r="K2840" s="6">
        <v>3.74</v>
      </c>
      <c r="L2840" t="s">
        <v>174</v>
      </c>
      <c r="M2840">
        <v>0</v>
      </c>
      <c r="N2840" t="s">
        <v>175</v>
      </c>
      <c r="O2840">
        <v>1</v>
      </c>
      <c r="P2840">
        <v>0</v>
      </c>
      <c r="Q2840" s="6">
        <v>42.9</v>
      </c>
      <c r="R2840">
        <v>0</v>
      </c>
      <c r="S2840" s="6">
        <v>0</v>
      </c>
      <c r="T2840">
        <v>0</v>
      </c>
      <c r="U2840" s="6">
        <v>2042</v>
      </c>
      <c r="V2840">
        <v>0</v>
      </c>
      <c r="W2840">
        <v>0</v>
      </c>
      <c r="X2840">
        <v>1</v>
      </c>
      <c r="Y2840" s="6">
        <v>41.7</v>
      </c>
      <c r="Z2840">
        <v>7.0999999999999994E-2</v>
      </c>
      <c r="AA2840">
        <v>0.14199999999999999</v>
      </c>
      <c r="AB2840">
        <v>2.9000000000000001E-2</v>
      </c>
      <c r="AC2840">
        <v>5</v>
      </c>
      <c r="AD2840" s="6">
        <v>51</v>
      </c>
      <c r="AE2840" s="6">
        <v>0</v>
      </c>
      <c r="AF2840" s="6">
        <v>0</v>
      </c>
      <c r="AG2840" s="6">
        <v>63.55</v>
      </c>
      <c r="AH2840" s="6">
        <v>83.86</v>
      </c>
      <c r="AI2840" s="6">
        <f t="shared" si="88"/>
        <v>20.310000000000002</v>
      </c>
      <c r="AJ2840" s="5">
        <f t="shared" si="89"/>
        <v>0.24218936322442169</v>
      </c>
    </row>
    <row r="2841" spans="1:36">
      <c r="A2841" t="s">
        <v>343</v>
      </c>
      <c r="B2841" t="s">
        <v>3126</v>
      </c>
      <c r="C2841" t="s">
        <v>124</v>
      </c>
      <c r="D2841" t="s">
        <v>77</v>
      </c>
      <c r="E2841" t="s">
        <v>55</v>
      </c>
      <c r="F2841">
        <v>0</v>
      </c>
      <c r="G2841">
        <v>658</v>
      </c>
      <c r="H2841">
        <v>1</v>
      </c>
      <c r="I2841" t="s">
        <v>173</v>
      </c>
      <c r="J2841">
        <v>1</v>
      </c>
      <c r="K2841" s="6">
        <v>1.92</v>
      </c>
      <c r="L2841" t="s">
        <v>174</v>
      </c>
      <c r="M2841">
        <v>0</v>
      </c>
      <c r="N2841" t="s">
        <v>187</v>
      </c>
      <c r="O2841">
        <v>2</v>
      </c>
      <c r="P2841">
        <v>0</v>
      </c>
      <c r="Q2841" s="6">
        <v>30.7</v>
      </c>
      <c r="R2841">
        <v>0</v>
      </c>
      <c r="S2841" s="6">
        <v>0</v>
      </c>
      <c r="T2841">
        <v>0</v>
      </c>
      <c r="U2841" s="6">
        <v>1887</v>
      </c>
      <c r="V2841">
        <v>0</v>
      </c>
      <c r="W2841">
        <v>0</v>
      </c>
      <c r="X2841">
        <v>0</v>
      </c>
      <c r="Y2841" s="6">
        <v>41.7</v>
      </c>
      <c r="Z2841">
        <v>7.0999999999999994E-2</v>
      </c>
      <c r="AA2841">
        <v>0.14199999999999999</v>
      </c>
      <c r="AB2841">
        <v>2.9000000000000001E-2</v>
      </c>
      <c r="AC2841">
        <v>5</v>
      </c>
      <c r="AD2841" s="6">
        <v>51</v>
      </c>
      <c r="AE2841" s="6">
        <v>0</v>
      </c>
      <c r="AF2841" s="6">
        <v>0</v>
      </c>
      <c r="AG2841" s="6">
        <v>66.28</v>
      </c>
      <c r="AH2841" s="6">
        <v>83.22</v>
      </c>
      <c r="AI2841" s="6">
        <f t="shared" si="88"/>
        <v>16.939999999999998</v>
      </c>
      <c r="AJ2841" s="5">
        <f t="shared" si="89"/>
        <v>0.20355683729872626</v>
      </c>
    </row>
    <row r="2842" spans="1:36">
      <c r="A2842" t="s">
        <v>691</v>
      </c>
      <c r="B2842" t="s">
        <v>3127</v>
      </c>
      <c r="C2842" t="s">
        <v>124</v>
      </c>
      <c r="D2842" t="s">
        <v>77</v>
      </c>
      <c r="E2842" t="s">
        <v>55</v>
      </c>
      <c r="F2842">
        <v>0</v>
      </c>
      <c r="G2842">
        <v>658</v>
      </c>
      <c r="H2842">
        <v>1</v>
      </c>
      <c r="I2842" t="s">
        <v>220</v>
      </c>
      <c r="J2842">
        <v>2</v>
      </c>
      <c r="K2842" s="6">
        <v>3.79</v>
      </c>
      <c r="L2842" t="s">
        <v>174</v>
      </c>
      <c r="M2842">
        <v>0</v>
      </c>
      <c r="N2842" t="s">
        <v>187</v>
      </c>
      <c r="O2842">
        <v>2</v>
      </c>
      <c r="P2842">
        <v>0</v>
      </c>
      <c r="Q2842" s="6">
        <v>60.1</v>
      </c>
      <c r="R2842">
        <v>0</v>
      </c>
      <c r="S2842" s="6">
        <v>0</v>
      </c>
      <c r="T2842">
        <v>0</v>
      </c>
      <c r="U2842" s="6">
        <v>3804</v>
      </c>
      <c r="V2842">
        <v>0</v>
      </c>
      <c r="W2842">
        <v>0</v>
      </c>
      <c r="X2842">
        <v>0</v>
      </c>
      <c r="Y2842" s="6">
        <v>41.7</v>
      </c>
      <c r="Z2842">
        <v>7.0999999999999994E-2</v>
      </c>
      <c r="AA2842">
        <v>0.14199999999999999</v>
      </c>
      <c r="AB2842">
        <v>2.9000000000000001E-2</v>
      </c>
      <c r="AC2842">
        <v>5</v>
      </c>
      <c r="AD2842" s="6">
        <v>51</v>
      </c>
      <c r="AE2842" s="6">
        <v>0</v>
      </c>
      <c r="AF2842" s="6">
        <v>0</v>
      </c>
      <c r="AG2842" s="6">
        <v>64.459999999999994</v>
      </c>
      <c r="AH2842" s="6">
        <v>82.83</v>
      </c>
      <c r="AI2842" s="6">
        <f t="shared" si="88"/>
        <v>18.370000000000005</v>
      </c>
      <c r="AJ2842" s="5">
        <f t="shared" si="89"/>
        <v>0.22177954847277562</v>
      </c>
    </row>
    <row r="2843" spans="1:36">
      <c r="A2843" t="s">
        <v>691</v>
      </c>
      <c r="B2843" t="s">
        <v>3128</v>
      </c>
      <c r="C2843" t="s">
        <v>124</v>
      </c>
      <c r="D2843" t="s">
        <v>77</v>
      </c>
      <c r="E2843" t="s">
        <v>55</v>
      </c>
      <c r="F2843">
        <v>0</v>
      </c>
      <c r="G2843">
        <v>658</v>
      </c>
      <c r="H2843">
        <v>1</v>
      </c>
      <c r="I2843" t="s">
        <v>220</v>
      </c>
      <c r="J2843">
        <v>2</v>
      </c>
      <c r="K2843" s="6">
        <v>3.69</v>
      </c>
      <c r="L2843" t="s">
        <v>174</v>
      </c>
      <c r="M2843">
        <v>0</v>
      </c>
      <c r="N2843" t="s">
        <v>182</v>
      </c>
      <c r="O2843">
        <v>3</v>
      </c>
      <c r="P2843">
        <v>0</v>
      </c>
      <c r="Q2843" s="6">
        <v>75</v>
      </c>
      <c r="R2843">
        <v>1</v>
      </c>
      <c r="S2843" s="6">
        <v>1502</v>
      </c>
      <c r="T2843">
        <v>0</v>
      </c>
      <c r="U2843" s="6">
        <v>1963</v>
      </c>
      <c r="V2843">
        <v>0</v>
      </c>
      <c r="W2843">
        <v>0</v>
      </c>
      <c r="X2843">
        <v>0</v>
      </c>
      <c r="Y2843" s="6">
        <v>41.7</v>
      </c>
      <c r="Z2843">
        <v>7.0999999999999994E-2</v>
      </c>
      <c r="AA2843">
        <v>0.14199999999999999</v>
      </c>
      <c r="AB2843">
        <v>2.9000000000000001E-2</v>
      </c>
      <c r="AC2843">
        <v>5</v>
      </c>
      <c r="AD2843" s="6">
        <v>51</v>
      </c>
      <c r="AE2843" s="6">
        <v>25</v>
      </c>
      <c r="AF2843" s="6">
        <v>0</v>
      </c>
      <c r="AG2843" s="6">
        <v>81.22</v>
      </c>
      <c r="AH2843" s="6">
        <v>103.95</v>
      </c>
      <c r="AI2843" s="6">
        <f t="shared" si="88"/>
        <v>22.730000000000004</v>
      </c>
      <c r="AJ2843" s="5">
        <f t="shared" si="89"/>
        <v>0.2186628186628187</v>
      </c>
    </row>
    <row r="2844" spans="1:36">
      <c r="A2844" t="s">
        <v>391</v>
      </c>
      <c r="B2844" t="s">
        <v>3129</v>
      </c>
      <c r="C2844" t="s">
        <v>124</v>
      </c>
      <c r="D2844" t="s">
        <v>77</v>
      </c>
      <c r="E2844" t="s">
        <v>55</v>
      </c>
      <c r="F2844">
        <v>0</v>
      </c>
      <c r="G2844">
        <v>658</v>
      </c>
      <c r="H2844">
        <v>1</v>
      </c>
      <c r="I2844" t="s">
        <v>220</v>
      </c>
      <c r="J2844">
        <v>2</v>
      </c>
      <c r="K2844" s="6">
        <v>3.25</v>
      </c>
      <c r="L2844" t="s">
        <v>174</v>
      </c>
      <c r="M2844">
        <v>0</v>
      </c>
      <c r="N2844" t="s">
        <v>182</v>
      </c>
      <c r="O2844">
        <v>3</v>
      </c>
      <c r="P2844">
        <v>0</v>
      </c>
      <c r="Q2844" s="6">
        <v>87.7</v>
      </c>
      <c r="R2844">
        <v>0</v>
      </c>
      <c r="S2844" s="6">
        <v>0</v>
      </c>
      <c r="T2844">
        <v>0</v>
      </c>
      <c r="U2844" s="6">
        <v>3925</v>
      </c>
      <c r="V2844">
        <v>0</v>
      </c>
      <c r="W2844">
        <v>0</v>
      </c>
      <c r="X2844">
        <v>0</v>
      </c>
      <c r="Y2844" s="6">
        <v>41.7</v>
      </c>
      <c r="Z2844">
        <v>7.0999999999999994E-2</v>
      </c>
      <c r="AA2844">
        <v>0.14199999999999999</v>
      </c>
      <c r="AB2844">
        <v>2.9000000000000001E-2</v>
      </c>
      <c r="AC2844">
        <v>5</v>
      </c>
      <c r="AD2844" s="6">
        <v>51</v>
      </c>
      <c r="AE2844" s="6">
        <v>0</v>
      </c>
      <c r="AF2844" s="6">
        <v>0</v>
      </c>
      <c r="AG2844" s="6">
        <v>78.790000000000006</v>
      </c>
      <c r="AH2844" s="6">
        <v>100.46</v>
      </c>
      <c r="AI2844" s="6">
        <f t="shared" si="88"/>
        <v>21.669999999999987</v>
      </c>
      <c r="AJ2844" s="5">
        <f t="shared" si="89"/>
        <v>0.21570774437587087</v>
      </c>
    </row>
    <row r="2845" spans="1:36">
      <c r="A2845" t="s">
        <v>381</v>
      </c>
      <c r="B2845" t="s">
        <v>3130</v>
      </c>
      <c r="C2845" t="s">
        <v>124</v>
      </c>
      <c r="D2845" t="s">
        <v>77</v>
      </c>
      <c r="E2845" t="s">
        <v>55</v>
      </c>
      <c r="F2845">
        <v>0</v>
      </c>
      <c r="G2845">
        <v>658</v>
      </c>
      <c r="H2845">
        <v>1</v>
      </c>
      <c r="I2845" t="s">
        <v>220</v>
      </c>
      <c r="J2845">
        <v>2</v>
      </c>
      <c r="K2845" s="6">
        <v>3.57</v>
      </c>
      <c r="L2845" t="s">
        <v>200</v>
      </c>
      <c r="M2845">
        <v>1</v>
      </c>
      <c r="N2845" t="s">
        <v>175</v>
      </c>
      <c r="O2845">
        <v>1</v>
      </c>
      <c r="P2845">
        <v>0</v>
      </c>
      <c r="Q2845" s="6">
        <v>37.299999999999997</v>
      </c>
      <c r="R2845">
        <v>0</v>
      </c>
      <c r="S2845" s="6">
        <v>0</v>
      </c>
      <c r="T2845">
        <v>0</v>
      </c>
      <c r="U2845" s="6">
        <v>2620</v>
      </c>
      <c r="V2845">
        <v>0</v>
      </c>
      <c r="W2845">
        <v>0</v>
      </c>
      <c r="X2845">
        <v>0</v>
      </c>
      <c r="Y2845" s="6">
        <v>41.7</v>
      </c>
      <c r="Z2845">
        <v>7.0999999999999994E-2</v>
      </c>
      <c r="AA2845">
        <v>0.14199999999999999</v>
      </c>
      <c r="AB2845">
        <v>2.9000000000000001E-2</v>
      </c>
      <c r="AC2845">
        <v>5</v>
      </c>
      <c r="AD2845" s="6">
        <v>120</v>
      </c>
      <c r="AE2845" s="6">
        <v>0</v>
      </c>
      <c r="AF2845" s="6">
        <v>0</v>
      </c>
      <c r="AG2845" s="6">
        <v>91.93</v>
      </c>
      <c r="AH2845" s="6">
        <v>120.59</v>
      </c>
      <c r="AI2845" s="6">
        <f t="shared" si="88"/>
        <v>28.659999999999997</v>
      </c>
      <c r="AJ2845" s="5">
        <f t="shared" si="89"/>
        <v>0.23766481466124884</v>
      </c>
    </row>
    <row r="2846" spans="1:36">
      <c r="A2846" t="s">
        <v>635</v>
      </c>
      <c r="B2846" t="s">
        <v>3131</v>
      </c>
      <c r="C2846" t="s">
        <v>124</v>
      </c>
      <c r="D2846" t="s">
        <v>77</v>
      </c>
      <c r="E2846" t="s">
        <v>55</v>
      </c>
      <c r="F2846">
        <v>0</v>
      </c>
      <c r="G2846">
        <v>658</v>
      </c>
      <c r="H2846">
        <v>1</v>
      </c>
      <c r="I2846" t="s">
        <v>220</v>
      </c>
      <c r="J2846">
        <v>2</v>
      </c>
      <c r="K2846" s="6">
        <v>3.52</v>
      </c>
      <c r="L2846" t="s">
        <v>174</v>
      </c>
      <c r="M2846">
        <v>0</v>
      </c>
      <c r="N2846" t="s">
        <v>175</v>
      </c>
      <c r="O2846">
        <v>1</v>
      </c>
      <c r="P2846">
        <v>0</v>
      </c>
      <c r="Q2846" s="6">
        <v>33.200000000000003</v>
      </c>
      <c r="R2846">
        <v>0</v>
      </c>
      <c r="S2846" s="6">
        <v>0</v>
      </c>
      <c r="T2846">
        <v>0</v>
      </c>
      <c r="U2846" s="6">
        <v>3881</v>
      </c>
      <c r="V2846">
        <v>0</v>
      </c>
      <c r="W2846">
        <v>0</v>
      </c>
      <c r="X2846">
        <v>1</v>
      </c>
      <c r="Y2846" s="6">
        <v>41.7</v>
      </c>
      <c r="Z2846">
        <v>7.0999999999999994E-2</v>
      </c>
      <c r="AA2846">
        <v>0.14199999999999999</v>
      </c>
      <c r="AB2846">
        <v>2.9000000000000001E-2</v>
      </c>
      <c r="AC2846">
        <v>5</v>
      </c>
      <c r="AD2846" s="6">
        <v>51</v>
      </c>
      <c r="AE2846" s="6">
        <v>0</v>
      </c>
      <c r="AF2846" s="6">
        <v>0</v>
      </c>
      <c r="AG2846" s="6">
        <v>62.33</v>
      </c>
      <c r="AH2846" s="6">
        <v>82.18</v>
      </c>
      <c r="AI2846" s="6">
        <f t="shared" si="88"/>
        <v>19.850000000000009</v>
      </c>
      <c r="AJ2846" s="5">
        <f t="shared" si="89"/>
        <v>0.24154295449014368</v>
      </c>
    </row>
    <row r="2847" spans="1:36">
      <c r="A2847" t="s">
        <v>258</v>
      </c>
      <c r="B2847" t="s">
        <v>3132</v>
      </c>
      <c r="C2847" t="s">
        <v>124</v>
      </c>
      <c r="D2847" t="s">
        <v>77</v>
      </c>
      <c r="E2847" t="s">
        <v>55</v>
      </c>
      <c r="F2847">
        <v>0</v>
      </c>
      <c r="G2847">
        <v>658</v>
      </c>
      <c r="H2847">
        <v>1</v>
      </c>
      <c r="I2847" t="s">
        <v>220</v>
      </c>
      <c r="J2847">
        <v>2</v>
      </c>
      <c r="K2847" s="6">
        <v>3.52</v>
      </c>
      <c r="L2847" t="s">
        <v>174</v>
      </c>
      <c r="M2847">
        <v>0</v>
      </c>
      <c r="N2847" t="s">
        <v>187</v>
      </c>
      <c r="O2847">
        <v>2</v>
      </c>
      <c r="P2847">
        <v>0</v>
      </c>
      <c r="Q2847" s="6">
        <v>60.9</v>
      </c>
      <c r="R2847">
        <v>0</v>
      </c>
      <c r="S2847" s="6">
        <v>0</v>
      </c>
      <c r="T2847">
        <v>0</v>
      </c>
      <c r="U2847" s="6">
        <v>2726</v>
      </c>
      <c r="V2847">
        <v>0</v>
      </c>
      <c r="W2847">
        <v>0</v>
      </c>
      <c r="X2847">
        <v>0</v>
      </c>
      <c r="Y2847" s="6">
        <v>41.7</v>
      </c>
      <c r="Z2847">
        <v>7.0999999999999994E-2</v>
      </c>
      <c r="AA2847">
        <v>0.14199999999999999</v>
      </c>
      <c r="AB2847">
        <v>2.9000000000000001E-2</v>
      </c>
      <c r="AC2847">
        <v>5</v>
      </c>
      <c r="AD2847" s="6">
        <v>51</v>
      </c>
      <c r="AE2847" s="6">
        <v>0</v>
      </c>
      <c r="AF2847" s="6">
        <v>0</v>
      </c>
      <c r="AG2847" s="6">
        <v>77.13</v>
      </c>
      <c r="AH2847" s="6">
        <v>100.15</v>
      </c>
      <c r="AI2847" s="6">
        <f t="shared" si="88"/>
        <v>23.02000000000001</v>
      </c>
      <c r="AJ2847" s="5">
        <f t="shared" si="89"/>
        <v>0.22985521717423874</v>
      </c>
    </row>
    <row r="2848" spans="1:36">
      <c r="A2848" t="s">
        <v>459</v>
      </c>
      <c r="B2848" t="s">
        <v>3133</v>
      </c>
      <c r="C2848" t="s">
        <v>124</v>
      </c>
      <c r="D2848" t="s">
        <v>77</v>
      </c>
      <c r="E2848" t="s">
        <v>55</v>
      </c>
      <c r="F2848">
        <v>0</v>
      </c>
      <c r="G2848">
        <v>658</v>
      </c>
      <c r="H2848">
        <v>1</v>
      </c>
      <c r="I2848" t="s">
        <v>220</v>
      </c>
      <c r="J2848">
        <v>2</v>
      </c>
      <c r="K2848" s="6">
        <v>5.08</v>
      </c>
      <c r="L2848" t="s">
        <v>174</v>
      </c>
      <c r="M2848">
        <v>0</v>
      </c>
      <c r="N2848" t="s">
        <v>175</v>
      </c>
      <c r="O2848">
        <v>1</v>
      </c>
      <c r="P2848">
        <v>0</v>
      </c>
      <c r="Q2848" s="6">
        <v>50.7</v>
      </c>
      <c r="R2848">
        <v>1</v>
      </c>
      <c r="S2848" s="6">
        <v>1903</v>
      </c>
      <c r="T2848">
        <v>0</v>
      </c>
      <c r="U2848" s="6">
        <v>1644</v>
      </c>
      <c r="V2848">
        <v>0</v>
      </c>
      <c r="W2848">
        <v>0</v>
      </c>
      <c r="X2848">
        <v>0</v>
      </c>
      <c r="Y2848" s="6">
        <v>41.7</v>
      </c>
      <c r="Z2848">
        <v>7.0999999999999994E-2</v>
      </c>
      <c r="AA2848">
        <v>0.14199999999999999</v>
      </c>
      <c r="AB2848">
        <v>2.9000000000000001E-2</v>
      </c>
      <c r="AC2848">
        <v>5</v>
      </c>
      <c r="AD2848" s="6">
        <v>51</v>
      </c>
      <c r="AE2848" s="6">
        <v>25</v>
      </c>
      <c r="AF2848" s="6">
        <v>0</v>
      </c>
      <c r="AG2848" s="6">
        <v>68.349999999999994</v>
      </c>
      <c r="AH2848" s="6">
        <v>86.7</v>
      </c>
      <c r="AI2848" s="6">
        <f t="shared" si="88"/>
        <v>18.350000000000009</v>
      </c>
      <c r="AJ2848" s="5">
        <f t="shared" si="89"/>
        <v>0.21164936562860448</v>
      </c>
    </row>
    <row r="2849" spans="1:36">
      <c r="A2849" t="s">
        <v>236</v>
      </c>
      <c r="B2849" t="s">
        <v>3134</v>
      </c>
      <c r="C2849" t="s">
        <v>124</v>
      </c>
      <c r="D2849" t="s">
        <v>77</v>
      </c>
      <c r="E2849" t="s">
        <v>55</v>
      </c>
      <c r="F2849">
        <v>0</v>
      </c>
      <c r="G2849">
        <v>658</v>
      </c>
      <c r="H2849">
        <v>1</v>
      </c>
      <c r="I2849" t="s">
        <v>220</v>
      </c>
      <c r="J2849">
        <v>2</v>
      </c>
      <c r="K2849" s="6">
        <v>3.05</v>
      </c>
      <c r="L2849" t="s">
        <v>174</v>
      </c>
      <c r="M2849">
        <v>0</v>
      </c>
      <c r="N2849" t="s">
        <v>175</v>
      </c>
      <c r="O2849">
        <v>1</v>
      </c>
      <c r="P2849">
        <v>0</v>
      </c>
      <c r="Q2849" s="6">
        <v>40.200000000000003</v>
      </c>
      <c r="R2849">
        <v>0</v>
      </c>
      <c r="S2849" s="6">
        <v>0</v>
      </c>
      <c r="T2849">
        <v>0</v>
      </c>
      <c r="U2849" s="6">
        <v>3140</v>
      </c>
      <c r="V2849">
        <v>0</v>
      </c>
      <c r="W2849">
        <v>0</v>
      </c>
      <c r="X2849">
        <v>0</v>
      </c>
      <c r="Y2849" s="6">
        <v>41.7</v>
      </c>
      <c r="Z2849">
        <v>7.0999999999999994E-2</v>
      </c>
      <c r="AA2849">
        <v>0.14199999999999999</v>
      </c>
      <c r="AB2849">
        <v>2.9000000000000001E-2</v>
      </c>
      <c r="AC2849">
        <v>5</v>
      </c>
      <c r="AD2849" s="6">
        <v>51</v>
      </c>
      <c r="AE2849" s="6">
        <v>0</v>
      </c>
      <c r="AF2849" s="6">
        <v>0</v>
      </c>
      <c r="AG2849" s="6">
        <v>70.95</v>
      </c>
      <c r="AH2849" s="6">
        <v>90.89</v>
      </c>
      <c r="AI2849" s="6">
        <f t="shared" si="88"/>
        <v>19.939999999999998</v>
      </c>
      <c r="AJ2849" s="5">
        <f t="shared" si="89"/>
        <v>0.21938607107492572</v>
      </c>
    </row>
    <row r="2850" spans="1:36">
      <c r="A2850" t="s">
        <v>269</v>
      </c>
      <c r="B2850" t="s">
        <v>3135</v>
      </c>
      <c r="C2850" t="s">
        <v>124</v>
      </c>
      <c r="D2850" t="s">
        <v>77</v>
      </c>
      <c r="E2850" t="s">
        <v>55</v>
      </c>
      <c r="F2850">
        <v>0</v>
      </c>
      <c r="G2850">
        <v>658</v>
      </c>
      <c r="H2850">
        <v>1</v>
      </c>
      <c r="I2850" t="s">
        <v>178</v>
      </c>
      <c r="J2850">
        <v>4</v>
      </c>
      <c r="K2850" s="6">
        <v>10.46</v>
      </c>
      <c r="L2850" t="s">
        <v>174</v>
      </c>
      <c r="M2850">
        <v>0</v>
      </c>
      <c r="N2850" t="s">
        <v>175</v>
      </c>
      <c r="O2850">
        <v>1</v>
      </c>
      <c r="P2850">
        <v>0</v>
      </c>
      <c r="Q2850" s="6">
        <v>33.700000000000003</v>
      </c>
      <c r="R2850">
        <v>0</v>
      </c>
      <c r="S2850" s="6">
        <v>0</v>
      </c>
      <c r="T2850">
        <v>0</v>
      </c>
      <c r="U2850" s="6">
        <v>5919</v>
      </c>
      <c r="V2850">
        <v>1</v>
      </c>
      <c r="W2850">
        <v>0</v>
      </c>
      <c r="X2850">
        <v>0</v>
      </c>
      <c r="Y2850" s="6">
        <v>41.7</v>
      </c>
      <c r="Z2850">
        <v>7.0999999999999994E-2</v>
      </c>
      <c r="AA2850">
        <v>0.14199999999999999</v>
      </c>
      <c r="AB2850">
        <v>2.9000000000000001E-2</v>
      </c>
      <c r="AC2850">
        <v>5</v>
      </c>
      <c r="AD2850" s="6">
        <v>66</v>
      </c>
      <c r="AE2850" s="6">
        <v>0</v>
      </c>
      <c r="AF2850" s="6">
        <v>0</v>
      </c>
      <c r="AG2850" s="6">
        <v>159.97999999999999</v>
      </c>
      <c r="AH2850" s="6">
        <v>203.63</v>
      </c>
      <c r="AI2850" s="6">
        <f t="shared" si="88"/>
        <v>43.650000000000006</v>
      </c>
      <c r="AJ2850" s="5">
        <f t="shared" si="89"/>
        <v>0.2143593773019693</v>
      </c>
    </row>
    <row r="2851" spans="1:36">
      <c r="A2851" t="s">
        <v>201</v>
      </c>
      <c r="B2851" t="s">
        <v>3136</v>
      </c>
      <c r="C2851" t="s">
        <v>124</v>
      </c>
      <c r="D2851" t="s">
        <v>77</v>
      </c>
      <c r="E2851" t="s">
        <v>55</v>
      </c>
      <c r="F2851">
        <v>0</v>
      </c>
      <c r="G2851">
        <v>658</v>
      </c>
      <c r="H2851">
        <v>1</v>
      </c>
      <c r="I2851" t="s">
        <v>220</v>
      </c>
      <c r="J2851">
        <v>2</v>
      </c>
      <c r="K2851" s="6">
        <v>5.59</v>
      </c>
      <c r="L2851" t="s">
        <v>174</v>
      </c>
      <c r="M2851">
        <v>0</v>
      </c>
      <c r="N2851" t="s">
        <v>182</v>
      </c>
      <c r="O2851">
        <v>3</v>
      </c>
      <c r="P2851">
        <v>0</v>
      </c>
      <c r="Q2851" s="6">
        <v>75.8</v>
      </c>
      <c r="R2851">
        <v>0</v>
      </c>
      <c r="S2851" s="6">
        <v>0</v>
      </c>
      <c r="T2851">
        <v>0</v>
      </c>
      <c r="U2851" s="6">
        <v>5415</v>
      </c>
      <c r="V2851">
        <v>0</v>
      </c>
      <c r="W2851">
        <v>0</v>
      </c>
      <c r="X2851">
        <v>0</v>
      </c>
      <c r="Y2851" s="6">
        <v>41.7</v>
      </c>
      <c r="Z2851">
        <v>7.0999999999999994E-2</v>
      </c>
      <c r="AA2851">
        <v>0.14199999999999999</v>
      </c>
      <c r="AB2851">
        <v>2.9000000000000001E-2</v>
      </c>
      <c r="AC2851">
        <v>5</v>
      </c>
      <c r="AD2851" s="6">
        <v>51</v>
      </c>
      <c r="AE2851" s="6">
        <v>0</v>
      </c>
      <c r="AF2851" s="6">
        <v>0</v>
      </c>
      <c r="AG2851" s="6">
        <v>75.180000000000007</v>
      </c>
      <c r="AH2851" s="6">
        <v>96.07</v>
      </c>
      <c r="AI2851" s="6">
        <f t="shared" si="88"/>
        <v>20.889999999999986</v>
      </c>
      <c r="AJ2851" s="5">
        <f t="shared" si="89"/>
        <v>0.21744561257416453</v>
      </c>
    </row>
    <row r="2852" spans="1:36">
      <c r="A2852" t="s">
        <v>204</v>
      </c>
      <c r="B2852" t="s">
        <v>3137</v>
      </c>
      <c r="C2852" t="s">
        <v>124</v>
      </c>
      <c r="D2852" t="s">
        <v>77</v>
      </c>
      <c r="E2852" t="s">
        <v>55</v>
      </c>
      <c r="F2852">
        <v>0</v>
      </c>
      <c r="G2852">
        <v>658</v>
      </c>
      <c r="H2852">
        <v>1</v>
      </c>
      <c r="I2852" t="s">
        <v>220</v>
      </c>
      <c r="J2852">
        <v>2</v>
      </c>
      <c r="K2852" s="6">
        <v>3.6</v>
      </c>
      <c r="L2852" t="s">
        <v>174</v>
      </c>
      <c r="M2852">
        <v>0</v>
      </c>
      <c r="N2852" t="s">
        <v>182</v>
      </c>
      <c r="O2852">
        <v>3</v>
      </c>
      <c r="P2852">
        <v>0</v>
      </c>
      <c r="Q2852" s="6">
        <v>107.5</v>
      </c>
      <c r="R2852">
        <v>0</v>
      </c>
      <c r="S2852" s="6">
        <v>0</v>
      </c>
      <c r="T2852">
        <v>0</v>
      </c>
      <c r="U2852" s="6">
        <v>2157</v>
      </c>
      <c r="V2852">
        <v>0</v>
      </c>
      <c r="W2852">
        <v>0</v>
      </c>
      <c r="X2852">
        <v>0</v>
      </c>
      <c r="Y2852" s="6">
        <v>41.7</v>
      </c>
      <c r="Z2852">
        <v>7.0999999999999994E-2</v>
      </c>
      <c r="AA2852">
        <v>0.14199999999999999</v>
      </c>
      <c r="AB2852">
        <v>2.9000000000000001E-2</v>
      </c>
      <c r="AC2852">
        <v>5</v>
      </c>
      <c r="AD2852" s="6">
        <v>51</v>
      </c>
      <c r="AE2852" s="6">
        <v>0</v>
      </c>
      <c r="AF2852" s="6">
        <v>0</v>
      </c>
      <c r="AG2852" s="6">
        <v>74.83</v>
      </c>
      <c r="AH2852" s="6">
        <v>98.21</v>
      </c>
      <c r="AI2852" s="6">
        <f t="shared" si="88"/>
        <v>23.379999999999995</v>
      </c>
      <c r="AJ2852" s="5">
        <f t="shared" si="89"/>
        <v>0.2380612972202423</v>
      </c>
    </row>
    <row r="2853" spans="1:36">
      <c r="A2853" t="s">
        <v>562</v>
      </c>
      <c r="B2853" t="s">
        <v>3138</v>
      </c>
      <c r="C2853" t="s">
        <v>124</v>
      </c>
      <c r="D2853" t="s">
        <v>77</v>
      </c>
      <c r="E2853" t="s">
        <v>55</v>
      </c>
      <c r="F2853">
        <v>0</v>
      </c>
      <c r="G2853">
        <v>658</v>
      </c>
      <c r="H2853">
        <v>1</v>
      </c>
      <c r="I2853" t="s">
        <v>220</v>
      </c>
      <c r="J2853">
        <v>2</v>
      </c>
      <c r="K2853" s="6">
        <v>3.5</v>
      </c>
      <c r="L2853" t="s">
        <v>200</v>
      </c>
      <c r="M2853">
        <v>1</v>
      </c>
      <c r="N2853" t="s">
        <v>175</v>
      </c>
      <c r="O2853">
        <v>1</v>
      </c>
      <c r="P2853">
        <v>1</v>
      </c>
      <c r="Q2853" s="6">
        <v>38.9</v>
      </c>
      <c r="R2853">
        <v>1</v>
      </c>
      <c r="S2853" s="6">
        <v>1349</v>
      </c>
      <c r="T2853">
        <v>0</v>
      </c>
      <c r="U2853" s="6">
        <v>4347</v>
      </c>
      <c r="V2853">
        <v>0</v>
      </c>
      <c r="W2853">
        <v>0</v>
      </c>
      <c r="X2853">
        <v>0</v>
      </c>
      <c r="Y2853" s="6">
        <v>41.7</v>
      </c>
      <c r="Z2853">
        <v>7.0999999999999994E-2</v>
      </c>
      <c r="AA2853">
        <v>0.14199999999999999</v>
      </c>
      <c r="AB2853">
        <v>2.9000000000000001E-2</v>
      </c>
      <c r="AC2853">
        <v>5</v>
      </c>
      <c r="AD2853" s="6">
        <v>120</v>
      </c>
      <c r="AE2853" s="6">
        <v>25</v>
      </c>
      <c r="AF2853" s="6">
        <v>0</v>
      </c>
      <c r="AG2853" s="6">
        <v>140.41</v>
      </c>
      <c r="AH2853" s="6">
        <v>179.88</v>
      </c>
      <c r="AI2853" s="6">
        <f t="shared" si="88"/>
        <v>39.47</v>
      </c>
      <c r="AJ2853" s="5">
        <f t="shared" si="89"/>
        <v>0.21942406048476762</v>
      </c>
    </row>
    <row r="2854" spans="1:36">
      <c r="A2854" t="s">
        <v>459</v>
      </c>
      <c r="B2854" t="s">
        <v>3139</v>
      </c>
      <c r="C2854" t="s">
        <v>124</v>
      </c>
      <c r="D2854" t="s">
        <v>77</v>
      </c>
      <c r="E2854" t="s">
        <v>55</v>
      </c>
      <c r="F2854">
        <v>0</v>
      </c>
      <c r="G2854">
        <v>658</v>
      </c>
      <c r="H2854">
        <v>1</v>
      </c>
      <c r="I2854" t="s">
        <v>220</v>
      </c>
      <c r="J2854">
        <v>2</v>
      </c>
      <c r="K2854" s="6">
        <v>2.81</v>
      </c>
      <c r="L2854" t="s">
        <v>174</v>
      </c>
      <c r="M2854">
        <v>0</v>
      </c>
      <c r="N2854" t="s">
        <v>175</v>
      </c>
      <c r="O2854">
        <v>1</v>
      </c>
      <c r="P2854">
        <v>0</v>
      </c>
      <c r="Q2854" s="6">
        <v>29.8</v>
      </c>
      <c r="R2854">
        <v>1</v>
      </c>
      <c r="S2854" s="6">
        <v>754</v>
      </c>
      <c r="T2854">
        <v>0</v>
      </c>
      <c r="U2854" s="6">
        <v>2431</v>
      </c>
      <c r="V2854">
        <v>0</v>
      </c>
      <c r="W2854">
        <v>0</v>
      </c>
      <c r="X2854">
        <v>0</v>
      </c>
      <c r="Y2854" s="6">
        <v>41.7</v>
      </c>
      <c r="Z2854">
        <v>7.0999999999999994E-2</v>
      </c>
      <c r="AA2854">
        <v>0.14199999999999999</v>
      </c>
      <c r="AB2854">
        <v>2.9000000000000001E-2</v>
      </c>
      <c r="AC2854">
        <v>5</v>
      </c>
      <c r="AD2854" s="6">
        <v>51</v>
      </c>
      <c r="AE2854" s="6">
        <v>25</v>
      </c>
      <c r="AF2854" s="6">
        <v>0</v>
      </c>
      <c r="AG2854" s="6">
        <v>65</v>
      </c>
      <c r="AH2854" s="6">
        <v>85.07</v>
      </c>
      <c r="AI2854" s="6">
        <f t="shared" si="88"/>
        <v>20.069999999999993</v>
      </c>
      <c r="AJ2854" s="5">
        <f t="shared" si="89"/>
        <v>0.23592335723521798</v>
      </c>
    </row>
    <row r="2855" spans="1:36">
      <c r="A2855" t="s">
        <v>765</v>
      </c>
      <c r="B2855" t="s">
        <v>3140</v>
      </c>
      <c r="C2855" t="s">
        <v>124</v>
      </c>
      <c r="D2855" t="s">
        <v>77</v>
      </c>
      <c r="E2855" t="s">
        <v>55</v>
      </c>
      <c r="F2855">
        <v>0</v>
      </c>
      <c r="G2855">
        <v>658</v>
      </c>
      <c r="H2855">
        <v>1</v>
      </c>
      <c r="I2855" t="s">
        <v>181</v>
      </c>
      <c r="J2855">
        <v>3</v>
      </c>
      <c r="K2855" s="6">
        <v>4.96</v>
      </c>
      <c r="L2855" t="s">
        <v>174</v>
      </c>
      <c r="M2855">
        <v>0</v>
      </c>
      <c r="N2855" t="s">
        <v>187</v>
      </c>
      <c r="O2855">
        <v>2</v>
      </c>
      <c r="P2855">
        <v>0</v>
      </c>
      <c r="Q2855" s="6">
        <v>69.900000000000006</v>
      </c>
      <c r="R2855">
        <v>0</v>
      </c>
      <c r="S2855" s="6">
        <v>0</v>
      </c>
      <c r="T2855">
        <v>0</v>
      </c>
      <c r="U2855" s="6">
        <v>3671</v>
      </c>
      <c r="V2855">
        <v>0</v>
      </c>
      <c r="W2855">
        <v>0</v>
      </c>
      <c r="X2855">
        <v>0</v>
      </c>
      <c r="Y2855" s="6">
        <v>41.7</v>
      </c>
      <c r="Z2855">
        <v>7.0999999999999994E-2</v>
      </c>
      <c r="AA2855">
        <v>0.14199999999999999</v>
      </c>
      <c r="AB2855">
        <v>2.9000000000000001E-2</v>
      </c>
      <c r="AC2855">
        <v>5</v>
      </c>
      <c r="AD2855" s="6">
        <v>61</v>
      </c>
      <c r="AE2855" s="6">
        <v>0</v>
      </c>
      <c r="AF2855" s="6">
        <v>0</v>
      </c>
      <c r="AG2855" s="6">
        <v>78.81</v>
      </c>
      <c r="AH2855" s="6">
        <v>102.02</v>
      </c>
      <c r="AI2855" s="6">
        <f t="shared" si="88"/>
        <v>23.209999999999994</v>
      </c>
      <c r="AJ2855" s="5">
        <f t="shared" si="89"/>
        <v>0.22750441089982351</v>
      </c>
    </row>
    <row r="2856" spans="1:36">
      <c r="A2856" t="s">
        <v>693</v>
      </c>
      <c r="B2856" t="s">
        <v>3141</v>
      </c>
      <c r="C2856" t="s">
        <v>124</v>
      </c>
      <c r="D2856" t="s">
        <v>77</v>
      </c>
      <c r="E2856" t="s">
        <v>55</v>
      </c>
      <c r="F2856">
        <v>0</v>
      </c>
      <c r="G2856">
        <v>658</v>
      </c>
      <c r="H2856">
        <v>1</v>
      </c>
      <c r="I2856" t="s">
        <v>220</v>
      </c>
      <c r="J2856">
        <v>2</v>
      </c>
      <c r="K2856" s="6">
        <v>2.97</v>
      </c>
      <c r="L2856" t="s">
        <v>174</v>
      </c>
      <c r="M2856">
        <v>0</v>
      </c>
      <c r="N2856" t="s">
        <v>175</v>
      </c>
      <c r="O2856">
        <v>1</v>
      </c>
      <c r="P2856">
        <v>0</v>
      </c>
      <c r="Q2856" s="6">
        <v>24.3</v>
      </c>
      <c r="R2856">
        <v>0</v>
      </c>
      <c r="S2856" s="6">
        <v>0</v>
      </c>
      <c r="T2856">
        <v>0</v>
      </c>
      <c r="U2856" s="6">
        <v>1643</v>
      </c>
      <c r="V2856">
        <v>0</v>
      </c>
      <c r="W2856">
        <v>0</v>
      </c>
      <c r="X2856">
        <v>0</v>
      </c>
      <c r="Y2856" s="6">
        <v>41.7</v>
      </c>
      <c r="Z2856">
        <v>7.0999999999999994E-2</v>
      </c>
      <c r="AA2856">
        <v>0.14199999999999999</v>
      </c>
      <c r="AB2856">
        <v>2.9000000000000001E-2</v>
      </c>
      <c r="AC2856">
        <v>5</v>
      </c>
      <c r="AD2856" s="6">
        <v>51</v>
      </c>
      <c r="AE2856" s="6">
        <v>0</v>
      </c>
      <c r="AF2856" s="6">
        <v>0</v>
      </c>
      <c r="AG2856" s="6">
        <v>69.67</v>
      </c>
      <c r="AH2856" s="6">
        <v>89.1</v>
      </c>
      <c r="AI2856" s="6">
        <f t="shared" si="88"/>
        <v>19.429999999999993</v>
      </c>
      <c r="AJ2856" s="5">
        <f t="shared" si="89"/>
        <v>0.21806958473625132</v>
      </c>
    </row>
    <row r="2857" spans="1:36">
      <c r="A2857" t="s">
        <v>401</v>
      </c>
      <c r="B2857" t="s">
        <v>3142</v>
      </c>
      <c r="C2857" t="s">
        <v>124</v>
      </c>
      <c r="D2857" t="s">
        <v>77</v>
      </c>
      <c r="E2857" t="s">
        <v>55</v>
      </c>
      <c r="F2857">
        <v>0</v>
      </c>
      <c r="G2857">
        <v>658</v>
      </c>
      <c r="H2857">
        <v>1</v>
      </c>
      <c r="I2857" t="s">
        <v>181</v>
      </c>
      <c r="J2857">
        <v>3</v>
      </c>
      <c r="K2857" s="6">
        <v>8.35</v>
      </c>
      <c r="L2857" t="s">
        <v>174</v>
      </c>
      <c r="M2857">
        <v>0</v>
      </c>
      <c r="N2857" t="s">
        <v>182</v>
      </c>
      <c r="O2857">
        <v>3</v>
      </c>
      <c r="P2857">
        <v>0</v>
      </c>
      <c r="Q2857" s="6">
        <v>96.2</v>
      </c>
      <c r="R2857">
        <v>0</v>
      </c>
      <c r="S2857" s="6">
        <v>0</v>
      </c>
      <c r="T2857">
        <v>0</v>
      </c>
      <c r="U2857" s="6">
        <v>4117</v>
      </c>
      <c r="V2857">
        <v>0</v>
      </c>
      <c r="W2857">
        <v>0</v>
      </c>
      <c r="X2857">
        <v>0</v>
      </c>
      <c r="Y2857" s="6">
        <v>41.7</v>
      </c>
      <c r="Z2857">
        <v>7.0999999999999994E-2</v>
      </c>
      <c r="AA2857">
        <v>0.14199999999999999</v>
      </c>
      <c r="AB2857">
        <v>2.9000000000000001E-2</v>
      </c>
      <c r="AC2857">
        <v>5</v>
      </c>
      <c r="AD2857" s="6">
        <v>61</v>
      </c>
      <c r="AE2857" s="6">
        <v>0</v>
      </c>
      <c r="AF2857" s="6">
        <v>0</v>
      </c>
      <c r="AG2857" s="6">
        <v>106.72</v>
      </c>
      <c r="AH2857" s="6">
        <v>134.62</v>
      </c>
      <c r="AI2857" s="6">
        <f t="shared" si="88"/>
        <v>27.900000000000006</v>
      </c>
      <c r="AJ2857" s="5">
        <f t="shared" si="89"/>
        <v>0.20725003714158374</v>
      </c>
    </row>
    <row r="2858" spans="1:36">
      <c r="A2858" t="s">
        <v>365</v>
      </c>
      <c r="B2858" t="s">
        <v>3143</v>
      </c>
      <c r="C2858" t="s">
        <v>124</v>
      </c>
      <c r="D2858" t="s">
        <v>77</v>
      </c>
      <c r="E2858" t="s">
        <v>55</v>
      </c>
      <c r="F2858">
        <v>0</v>
      </c>
      <c r="G2858">
        <v>658</v>
      </c>
      <c r="H2858">
        <v>1</v>
      </c>
      <c r="I2858" t="s">
        <v>220</v>
      </c>
      <c r="J2858">
        <v>2</v>
      </c>
      <c r="K2858" s="6">
        <v>2.5299999999999998</v>
      </c>
      <c r="L2858" t="s">
        <v>174</v>
      </c>
      <c r="M2858">
        <v>0</v>
      </c>
      <c r="N2858" t="s">
        <v>175</v>
      </c>
      <c r="O2858">
        <v>1</v>
      </c>
      <c r="P2858">
        <v>0</v>
      </c>
      <c r="Q2858" s="6">
        <v>45</v>
      </c>
      <c r="R2858">
        <v>0</v>
      </c>
      <c r="S2858" s="6">
        <v>0</v>
      </c>
      <c r="T2858">
        <v>0</v>
      </c>
      <c r="U2858" s="6">
        <v>4155</v>
      </c>
      <c r="V2858">
        <v>0</v>
      </c>
      <c r="W2858">
        <v>0</v>
      </c>
      <c r="X2858">
        <v>0</v>
      </c>
      <c r="Y2858" s="6">
        <v>41.7</v>
      </c>
      <c r="Z2858">
        <v>7.0999999999999994E-2</v>
      </c>
      <c r="AA2858">
        <v>0.14199999999999999</v>
      </c>
      <c r="AB2858">
        <v>2.9000000000000001E-2</v>
      </c>
      <c r="AC2858">
        <v>5</v>
      </c>
      <c r="AD2858" s="6">
        <v>51</v>
      </c>
      <c r="AE2858" s="6">
        <v>0</v>
      </c>
      <c r="AF2858" s="6">
        <v>0</v>
      </c>
      <c r="AG2858" s="6">
        <v>72.12</v>
      </c>
      <c r="AH2858" s="6">
        <v>93.37</v>
      </c>
      <c r="AI2858" s="6">
        <f t="shared" si="88"/>
        <v>21.25</v>
      </c>
      <c r="AJ2858" s="5">
        <f t="shared" si="89"/>
        <v>0.2275891614008782</v>
      </c>
    </row>
    <row r="2859" spans="1:36">
      <c r="A2859" t="s">
        <v>279</v>
      </c>
      <c r="B2859" t="s">
        <v>3144</v>
      </c>
      <c r="C2859" t="s">
        <v>124</v>
      </c>
      <c r="D2859" t="s">
        <v>77</v>
      </c>
      <c r="E2859" t="s">
        <v>55</v>
      </c>
      <c r="F2859">
        <v>0</v>
      </c>
      <c r="G2859">
        <v>658</v>
      </c>
      <c r="H2859">
        <v>1</v>
      </c>
      <c r="I2859" t="s">
        <v>220</v>
      </c>
      <c r="J2859">
        <v>2</v>
      </c>
      <c r="K2859" s="6">
        <v>3.65</v>
      </c>
      <c r="L2859" t="s">
        <v>174</v>
      </c>
      <c r="M2859">
        <v>0</v>
      </c>
      <c r="N2859" t="s">
        <v>182</v>
      </c>
      <c r="O2859">
        <v>3</v>
      </c>
      <c r="P2859">
        <v>0</v>
      </c>
      <c r="Q2859" s="6">
        <v>89.9</v>
      </c>
      <c r="R2859">
        <v>1</v>
      </c>
      <c r="S2859" s="6">
        <v>3625</v>
      </c>
      <c r="T2859">
        <v>0</v>
      </c>
      <c r="U2859" s="6">
        <v>3126</v>
      </c>
      <c r="V2859">
        <v>0</v>
      </c>
      <c r="W2859">
        <v>0</v>
      </c>
      <c r="X2859">
        <v>0</v>
      </c>
      <c r="Y2859" s="6">
        <v>41.7</v>
      </c>
      <c r="Z2859">
        <v>7.0999999999999994E-2</v>
      </c>
      <c r="AA2859">
        <v>0.14199999999999999</v>
      </c>
      <c r="AB2859">
        <v>2.9000000000000001E-2</v>
      </c>
      <c r="AC2859">
        <v>5</v>
      </c>
      <c r="AD2859" s="6">
        <v>51</v>
      </c>
      <c r="AE2859" s="6">
        <v>40</v>
      </c>
      <c r="AF2859" s="6">
        <v>0</v>
      </c>
      <c r="AG2859" s="6">
        <v>80.75</v>
      </c>
      <c r="AH2859" s="6">
        <v>103.83</v>
      </c>
      <c r="AI2859" s="6">
        <f t="shared" si="88"/>
        <v>23.08</v>
      </c>
      <c r="AJ2859" s="5">
        <f t="shared" si="89"/>
        <v>0.22228642974092264</v>
      </c>
    </row>
    <row r="2860" spans="1:36">
      <c r="A2860" t="s">
        <v>204</v>
      </c>
      <c r="B2860" t="s">
        <v>3145</v>
      </c>
      <c r="C2860" t="s">
        <v>124</v>
      </c>
      <c r="D2860" t="s">
        <v>77</v>
      </c>
      <c r="E2860" t="s">
        <v>55</v>
      </c>
      <c r="F2860">
        <v>0</v>
      </c>
      <c r="G2860">
        <v>658</v>
      </c>
      <c r="H2860">
        <v>1</v>
      </c>
      <c r="I2860" t="s">
        <v>220</v>
      </c>
      <c r="J2860">
        <v>2</v>
      </c>
      <c r="K2860" s="6">
        <v>2.83</v>
      </c>
      <c r="L2860" t="s">
        <v>174</v>
      </c>
      <c r="M2860">
        <v>0</v>
      </c>
      <c r="N2860" t="s">
        <v>187</v>
      </c>
      <c r="O2860">
        <v>2</v>
      </c>
      <c r="P2860">
        <v>0</v>
      </c>
      <c r="Q2860" s="6">
        <v>54.6</v>
      </c>
      <c r="R2860">
        <v>1</v>
      </c>
      <c r="S2860" s="6">
        <v>1169</v>
      </c>
      <c r="T2860">
        <v>0</v>
      </c>
      <c r="U2860" s="6">
        <v>2247</v>
      </c>
      <c r="V2860">
        <v>0</v>
      </c>
      <c r="W2860">
        <v>0</v>
      </c>
      <c r="X2860">
        <v>0</v>
      </c>
      <c r="Y2860" s="6">
        <v>41.7</v>
      </c>
      <c r="Z2860">
        <v>7.0999999999999994E-2</v>
      </c>
      <c r="AA2860">
        <v>0.14199999999999999</v>
      </c>
      <c r="AB2860">
        <v>2.9000000000000001E-2</v>
      </c>
      <c r="AC2860">
        <v>5</v>
      </c>
      <c r="AD2860" s="6">
        <v>51</v>
      </c>
      <c r="AE2860" s="6">
        <v>25</v>
      </c>
      <c r="AF2860" s="6">
        <v>0</v>
      </c>
      <c r="AG2860" s="6">
        <v>74.58</v>
      </c>
      <c r="AH2860" s="6">
        <v>97.54</v>
      </c>
      <c r="AI2860" s="6">
        <f t="shared" si="88"/>
        <v>22.960000000000008</v>
      </c>
      <c r="AJ2860" s="5">
        <f t="shared" si="89"/>
        <v>0.23539060898093098</v>
      </c>
    </row>
    <row r="2861" spans="1:36">
      <c r="A2861" t="s">
        <v>431</v>
      </c>
      <c r="B2861" t="s">
        <v>3146</v>
      </c>
      <c r="C2861" t="s">
        <v>124</v>
      </c>
      <c r="D2861" t="s">
        <v>77</v>
      </c>
      <c r="E2861" t="s">
        <v>55</v>
      </c>
      <c r="F2861">
        <v>0</v>
      </c>
      <c r="G2861">
        <v>658</v>
      </c>
      <c r="H2861">
        <v>1</v>
      </c>
      <c r="I2861" t="s">
        <v>220</v>
      </c>
      <c r="J2861">
        <v>2</v>
      </c>
      <c r="K2861" s="6">
        <v>2.73</v>
      </c>
      <c r="L2861" t="s">
        <v>174</v>
      </c>
      <c r="M2861">
        <v>0</v>
      </c>
      <c r="N2861" t="s">
        <v>175</v>
      </c>
      <c r="O2861">
        <v>1</v>
      </c>
      <c r="P2861">
        <v>0</v>
      </c>
      <c r="Q2861" s="6">
        <v>22.7</v>
      </c>
      <c r="R2861">
        <v>0</v>
      </c>
      <c r="S2861" s="6">
        <v>0</v>
      </c>
      <c r="T2861">
        <v>0</v>
      </c>
      <c r="U2861" s="6">
        <v>1466</v>
      </c>
      <c r="V2861">
        <v>0</v>
      </c>
      <c r="W2861">
        <v>0</v>
      </c>
      <c r="X2861">
        <v>0</v>
      </c>
      <c r="Y2861" s="6">
        <v>41.7</v>
      </c>
      <c r="Z2861">
        <v>7.0999999999999994E-2</v>
      </c>
      <c r="AA2861">
        <v>0.14199999999999999</v>
      </c>
      <c r="AB2861">
        <v>2.9000000000000001E-2</v>
      </c>
      <c r="AC2861">
        <v>5</v>
      </c>
      <c r="AD2861" s="6">
        <v>51</v>
      </c>
      <c r="AE2861" s="6">
        <v>0</v>
      </c>
      <c r="AF2861" s="6">
        <v>0</v>
      </c>
      <c r="AG2861" s="6">
        <v>70.48</v>
      </c>
      <c r="AH2861" s="6">
        <v>90.75</v>
      </c>
      <c r="AI2861" s="6">
        <f t="shared" si="88"/>
        <v>20.269999999999996</v>
      </c>
      <c r="AJ2861" s="5">
        <f t="shared" si="89"/>
        <v>0.22336088154269967</v>
      </c>
    </row>
    <row r="2862" spans="1:36">
      <c r="A2862" t="s">
        <v>457</v>
      </c>
      <c r="B2862" t="s">
        <v>3147</v>
      </c>
      <c r="C2862" t="s">
        <v>124</v>
      </c>
      <c r="D2862" t="s">
        <v>77</v>
      </c>
      <c r="E2862" t="s">
        <v>55</v>
      </c>
      <c r="F2862">
        <v>0</v>
      </c>
      <c r="G2862">
        <v>658</v>
      </c>
      <c r="H2862">
        <v>1</v>
      </c>
      <c r="I2862" t="s">
        <v>181</v>
      </c>
      <c r="J2862">
        <v>3</v>
      </c>
      <c r="K2862" s="6">
        <v>10.84</v>
      </c>
      <c r="L2862" t="s">
        <v>174</v>
      </c>
      <c r="M2862">
        <v>0</v>
      </c>
      <c r="N2862" t="s">
        <v>175</v>
      </c>
      <c r="O2862">
        <v>1</v>
      </c>
      <c r="P2862">
        <v>0</v>
      </c>
      <c r="Q2862" s="6">
        <v>40.9</v>
      </c>
      <c r="R2862">
        <v>1</v>
      </c>
      <c r="S2862" s="6">
        <v>1368</v>
      </c>
      <c r="T2862">
        <v>0</v>
      </c>
      <c r="U2862" s="6">
        <v>3313</v>
      </c>
      <c r="V2862">
        <v>0</v>
      </c>
      <c r="W2862">
        <v>0</v>
      </c>
      <c r="X2862">
        <v>0</v>
      </c>
      <c r="Y2862" s="6">
        <v>41.7</v>
      </c>
      <c r="Z2862">
        <v>7.0999999999999994E-2</v>
      </c>
      <c r="AA2862">
        <v>0.14199999999999999</v>
      </c>
      <c r="AB2862">
        <v>2.9000000000000001E-2</v>
      </c>
      <c r="AC2862">
        <v>5</v>
      </c>
      <c r="AD2862" s="6">
        <v>61</v>
      </c>
      <c r="AE2862" s="6">
        <v>25</v>
      </c>
      <c r="AF2862" s="6">
        <v>0</v>
      </c>
      <c r="AG2862" s="6">
        <v>112</v>
      </c>
      <c r="AH2862" s="6">
        <v>143.61000000000001</v>
      </c>
      <c r="AI2862" s="6">
        <f t="shared" si="88"/>
        <v>31.610000000000014</v>
      </c>
      <c r="AJ2862" s="5">
        <f t="shared" si="89"/>
        <v>0.22011002019357992</v>
      </c>
    </row>
    <row r="2863" spans="1:36">
      <c r="A2863" t="s">
        <v>431</v>
      </c>
      <c r="B2863" t="s">
        <v>3148</v>
      </c>
      <c r="C2863" t="s">
        <v>124</v>
      </c>
      <c r="D2863" t="s">
        <v>77</v>
      </c>
      <c r="E2863" t="s">
        <v>55</v>
      </c>
      <c r="F2863">
        <v>0</v>
      </c>
      <c r="G2863">
        <v>658</v>
      </c>
      <c r="H2863">
        <v>1</v>
      </c>
      <c r="I2863" t="s">
        <v>173</v>
      </c>
      <c r="J2863">
        <v>1</v>
      </c>
      <c r="K2863" s="6">
        <v>1.61</v>
      </c>
      <c r="L2863" t="s">
        <v>174</v>
      </c>
      <c r="M2863">
        <v>0</v>
      </c>
      <c r="N2863" t="s">
        <v>175</v>
      </c>
      <c r="O2863">
        <v>1</v>
      </c>
      <c r="P2863">
        <v>0</v>
      </c>
      <c r="Q2863" s="6">
        <v>30</v>
      </c>
      <c r="R2863">
        <v>0</v>
      </c>
      <c r="S2863" s="6">
        <v>0</v>
      </c>
      <c r="T2863">
        <v>0</v>
      </c>
      <c r="U2863" s="6">
        <v>3664</v>
      </c>
      <c r="V2863">
        <v>0</v>
      </c>
      <c r="W2863">
        <v>0</v>
      </c>
      <c r="X2863">
        <v>0</v>
      </c>
      <c r="Y2863" s="6">
        <v>41.7</v>
      </c>
      <c r="Z2863">
        <v>7.0999999999999994E-2</v>
      </c>
      <c r="AA2863">
        <v>0.14199999999999999</v>
      </c>
      <c r="AB2863">
        <v>2.9000000000000001E-2</v>
      </c>
      <c r="AC2863">
        <v>5</v>
      </c>
      <c r="AD2863" s="6">
        <v>51</v>
      </c>
      <c r="AE2863" s="6">
        <v>0</v>
      </c>
      <c r="AF2863" s="6">
        <v>0</v>
      </c>
      <c r="AG2863" s="6">
        <v>51.22</v>
      </c>
      <c r="AH2863" s="6">
        <v>68.42</v>
      </c>
      <c r="AI2863" s="6">
        <f t="shared" si="88"/>
        <v>17.200000000000003</v>
      </c>
      <c r="AJ2863" s="5">
        <f t="shared" si="89"/>
        <v>0.25138848289973698</v>
      </c>
    </row>
    <row r="2864" spans="1:36">
      <c r="A2864" t="s">
        <v>230</v>
      </c>
      <c r="B2864" t="s">
        <v>3149</v>
      </c>
      <c r="C2864" t="s">
        <v>124</v>
      </c>
      <c r="D2864" t="s">
        <v>77</v>
      </c>
      <c r="E2864" t="s">
        <v>55</v>
      </c>
      <c r="F2864">
        <v>0</v>
      </c>
      <c r="G2864">
        <v>658</v>
      </c>
      <c r="H2864">
        <v>1</v>
      </c>
      <c r="I2864" t="s">
        <v>220</v>
      </c>
      <c r="J2864">
        <v>2</v>
      </c>
      <c r="K2864" s="6">
        <v>2.37</v>
      </c>
      <c r="L2864" t="s">
        <v>174</v>
      </c>
      <c r="M2864">
        <v>0</v>
      </c>
      <c r="N2864" t="s">
        <v>175</v>
      </c>
      <c r="O2864">
        <v>1</v>
      </c>
      <c r="P2864">
        <v>0</v>
      </c>
      <c r="Q2864" s="6">
        <v>36.6</v>
      </c>
      <c r="R2864">
        <v>0</v>
      </c>
      <c r="S2864" s="6">
        <v>0</v>
      </c>
      <c r="T2864">
        <v>0</v>
      </c>
      <c r="U2864" s="6">
        <v>2127</v>
      </c>
      <c r="V2864">
        <v>0</v>
      </c>
      <c r="W2864">
        <v>0</v>
      </c>
      <c r="X2864">
        <v>0</v>
      </c>
      <c r="Y2864" s="6">
        <v>41.7</v>
      </c>
      <c r="Z2864">
        <v>7.0999999999999994E-2</v>
      </c>
      <c r="AA2864">
        <v>0.14199999999999999</v>
      </c>
      <c r="AB2864">
        <v>2.9000000000000001E-2</v>
      </c>
      <c r="AC2864">
        <v>5</v>
      </c>
      <c r="AD2864" s="6">
        <v>51</v>
      </c>
      <c r="AE2864" s="6">
        <v>0</v>
      </c>
      <c r="AF2864" s="6">
        <v>0</v>
      </c>
      <c r="AG2864" s="6">
        <v>69.27</v>
      </c>
      <c r="AH2864" s="6">
        <v>89.95</v>
      </c>
      <c r="AI2864" s="6">
        <f t="shared" si="88"/>
        <v>20.680000000000007</v>
      </c>
      <c r="AJ2864" s="5">
        <f t="shared" si="89"/>
        <v>0.2299055030572541</v>
      </c>
    </row>
    <row r="2865" spans="1:36">
      <c r="A2865" t="s">
        <v>691</v>
      </c>
      <c r="B2865" t="s">
        <v>3150</v>
      </c>
      <c r="C2865" t="s">
        <v>124</v>
      </c>
      <c r="D2865" t="s">
        <v>77</v>
      </c>
      <c r="E2865" t="s">
        <v>55</v>
      </c>
      <c r="F2865">
        <v>0</v>
      </c>
      <c r="G2865">
        <v>658</v>
      </c>
      <c r="H2865">
        <v>1</v>
      </c>
      <c r="I2865" t="s">
        <v>181</v>
      </c>
      <c r="J2865">
        <v>3</v>
      </c>
      <c r="K2865" s="6">
        <v>9.2100000000000009</v>
      </c>
      <c r="L2865" t="s">
        <v>174</v>
      </c>
      <c r="M2865">
        <v>0</v>
      </c>
      <c r="N2865" t="s">
        <v>182</v>
      </c>
      <c r="O2865">
        <v>3</v>
      </c>
      <c r="P2865">
        <v>1</v>
      </c>
      <c r="Q2865" s="6">
        <v>87.5</v>
      </c>
      <c r="R2865">
        <v>0</v>
      </c>
      <c r="S2865" s="6">
        <v>0</v>
      </c>
      <c r="T2865">
        <v>0</v>
      </c>
      <c r="U2865" s="6">
        <v>2823</v>
      </c>
      <c r="V2865">
        <v>0</v>
      </c>
      <c r="W2865">
        <v>0</v>
      </c>
      <c r="X2865">
        <v>0</v>
      </c>
      <c r="Y2865" s="6">
        <v>41.7</v>
      </c>
      <c r="Z2865">
        <v>7.0999999999999994E-2</v>
      </c>
      <c r="AA2865">
        <v>0.14199999999999999</v>
      </c>
      <c r="AB2865">
        <v>2.9000000000000001E-2</v>
      </c>
      <c r="AC2865">
        <v>5</v>
      </c>
      <c r="AD2865" s="6">
        <v>61</v>
      </c>
      <c r="AE2865" s="6">
        <v>0</v>
      </c>
      <c r="AF2865" s="6">
        <v>0</v>
      </c>
      <c r="AG2865" s="6">
        <v>125.1</v>
      </c>
      <c r="AH2865" s="6">
        <v>160.81</v>
      </c>
      <c r="AI2865" s="6">
        <f t="shared" si="88"/>
        <v>35.710000000000008</v>
      </c>
      <c r="AJ2865" s="5">
        <f t="shared" si="89"/>
        <v>0.22206330452086318</v>
      </c>
    </row>
    <row r="2866" spans="1:36">
      <c r="A2866" t="s">
        <v>579</v>
      </c>
      <c r="B2866" t="s">
        <v>3151</v>
      </c>
      <c r="C2866" t="s">
        <v>124</v>
      </c>
      <c r="D2866" t="s">
        <v>77</v>
      </c>
      <c r="E2866" t="s">
        <v>55</v>
      </c>
      <c r="F2866">
        <v>0</v>
      </c>
      <c r="G2866">
        <v>658</v>
      </c>
      <c r="H2866">
        <v>1</v>
      </c>
      <c r="I2866" t="s">
        <v>220</v>
      </c>
      <c r="J2866">
        <v>2</v>
      </c>
      <c r="K2866" s="6">
        <v>6.43</v>
      </c>
      <c r="L2866" t="s">
        <v>174</v>
      </c>
      <c r="M2866">
        <v>0</v>
      </c>
      <c r="N2866" t="s">
        <v>175</v>
      </c>
      <c r="O2866">
        <v>1</v>
      </c>
      <c r="P2866">
        <v>1</v>
      </c>
      <c r="Q2866" s="6">
        <v>43.6</v>
      </c>
      <c r="R2866">
        <v>1</v>
      </c>
      <c r="S2866" s="6">
        <v>1860</v>
      </c>
      <c r="T2866">
        <v>0</v>
      </c>
      <c r="U2866" s="6">
        <v>3654</v>
      </c>
      <c r="V2866">
        <v>0</v>
      </c>
      <c r="W2866">
        <v>0</v>
      </c>
      <c r="X2866">
        <v>0</v>
      </c>
      <c r="Y2866" s="6">
        <v>41.7</v>
      </c>
      <c r="Z2866">
        <v>7.0999999999999994E-2</v>
      </c>
      <c r="AA2866">
        <v>0.14199999999999999</v>
      </c>
      <c r="AB2866">
        <v>2.9000000000000001E-2</v>
      </c>
      <c r="AC2866">
        <v>5</v>
      </c>
      <c r="AD2866" s="6">
        <v>51</v>
      </c>
      <c r="AE2866" s="6">
        <v>25</v>
      </c>
      <c r="AF2866" s="6">
        <v>0</v>
      </c>
      <c r="AG2866" s="6">
        <v>102.13</v>
      </c>
      <c r="AH2866" s="6">
        <v>129.66999999999999</v>
      </c>
      <c r="AI2866" s="6">
        <f t="shared" si="88"/>
        <v>27.539999999999992</v>
      </c>
      <c r="AJ2866" s="5">
        <f t="shared" si="89"/>
        <v>0.21238528572530266</v>
      </c>
    </row>
    <row r="2867" spans="1:36">
      <c r="A2867" t="s">
        <v>579</v>
      </c>
      <c r="B2867" t="s">
        <v>3152</v>
      </c>
      <c r="C2867" t="s">
        <v>124</v>
      </c>
      <c r="D2867" t="s">
        <v>77</v>
      </c>
      <c r="E2867" t="s">
        <v>55</v>
      </c>
      <c r="F2867">
        <v>0</v>
      </c>
      <c r="G2867">
        <v>658</v>
      </c>
      <c r="H2867">
        <v>1</v>
      </c>
      <c r="I2867" t="s">
        <v>220</v>
      </c>
      <c r="J2867">
        <v>2</v>
      </c>
      <c r="K2867" s="6">
        <v>4.21</v>
      </c>
      <c r="L2867" t="s">
        <v>174</v>
      </c>
      <c r="M2867">
        <v>0</v>
      </c>
      <c r="N2867" t="s">
        <v>187</v>
      </c>
      <c r="O2867">
        <v>2</v>
      </c>
      <c r="P2867">
        <v>0</v>
      </c>
      <c r="Q2867" s="6">
        <v>47.7</v>
      </c>
      <c r="R2867">
        <v>0</v>
      </c>
      <c r="S2867" s="6">
        <v>0</v>
      </c>
      <c r="T2867">
        <v>0</v>
      </c>
      <c r="U2867" s="6">
        <v>4414</v>
      </c>
      <c r="V2867">
        <v>0</v>
      </c>
      <c r="W2867">
        <v>0</v>
      </c>
      <c r="X2867">
        <v>0</v>
      </c>
      <c r="Y2867" s="6">
        <v>41.7</v>
      </c>
      <c r="Z2867">
        <v>7.0999999999999994E-2</v>
      </c>
      <c r="AA2867">
        <v>0.14199999999999999</v>
      </c>
      <c r="AB2867">
        <v>2.9000000000000001E-2</v>
      </c>
      <c r="AC2867">
        <v>5</v>
      </c>
      <c r="AD2867" s="6">
        <v>51</v>
      </c>
      <c r="AE2867" s="6">
        <v>0</v>
      </c>
      <c r="AF2867" s="6">
        <v>0</v>
      </c>
      <c r="AG2867" s="6">
        <v>77.22</v>
      </c>
      <c r="AH2867" s="6">
        <v>99.9</v>
      </c>
      <c r="AI2867" s="6">
        <f t="shared" si="88"/>
        <v>22.680000000000007</v>
      </c>
      <c r="AJ2867" s="5">
        <f t="shared" si="89"/>
        <v>0.2270270270270271</v>
      </c>
    </row>
    <row r="2868" spans="1:36">
      <c r="A2868" t="s">
        <v>431</v>
      </c>
      <c r="B2868" t="s">
        <v>3153</v>
      </c>
      <c r="C2868" t="s">
        <v>124</v>
      </c>
      <c r="D2868" t="s">
        <v>77</v>
      </c>
      <c r="E2868" t="s">
        <v>55</v>
      </c>
      <c r="F2868">
        <v>0</v>
      </c>
      <c r="G2868">
        <v>658</v>
      </c>
      <c r="H2868">
        <v>1</v>
      </c>
      <c r="I2868" t="s">
        <v>220</v>
      </c>
      <c r="J2868">
        <v>2</v>
      </c>
      <c r="K2868" s="6">
        <v>3.47</v>
      </c>
      <c r="L2868" t="s">
        <v>174</v>
      </c>
      <c r="M2868">
        <v>0</v>
      </c>
      <c r="N2868" t="s">
        <v>175</v>
      </c>
      <c r="O2868">
        <v>1</v>
      </c>
      <c r="P2868">
        <v>0</v>
      </c>
      <c r="Q2868" s="6">
        <v>42.1</v>
      </c>
      <c r="R2868">
        <v>0</v>
      </c>
      <c r="S2868" s="6">
        <v>0</v>
      </c>
      <c r="T2868">
        <v>0</v>
      </c>
      <c r="U2868" s="6">
        <v>1449</v>
      </c>
      <c r="V2868">
        <v>0</v>
      </c>
      <c r="W2868">
        <v>0</v>
      </c>
      <c r="X2868">
        <v>0</v>
      </c>
      <c r="Y2868" s="6">
        <v>41.7</v>
      </c>
      <c r="Z2868">
        <v>7.0999999999999994E-2</v>
      </c>
      <c r="AA2868">
        <v>0.14199999999999999</v>
      </c>
      <c r="AB2868">
        <v>2.9000000000000001E-2</v>
      </c>
      <c r="AC2868">
        <v>5</v>
      </c>
      <c r="AD2868" s="6">
        <v>51</v>
      </c>
      <c r="AE2868" s="6">
        <v>0</v>
      </c>
      <c r="AF2868" s="6">
        <v>0</v>
      </c>
      <c r="AG2868" s="6">
        <v>66.900000000000006</v>
      </c>
      <c r="AH2868" s="6">
        <v>88.11</v>
      </c>
      <c r="AI2868" s="6">
        <f t="shared" si="88"/>
        <v>21.209999999999994</v>
      </c>
      <c r="AJ2868" s="5">
        <f t="shared" si="89"/>
        <v>0.24072182499148784</v>
      </c>
    </row>
    <row r="2869" spans="1:36">
      <c r="A2869" t="s">
        <v>176</v>
      </c>
      <c r="B2869" t="s">
        <v>3154</v>
      </c>
      <c r="C2869" t="s">
        <v>124</v>
      </c>
      <c r="D2869" t="s">
        <v>77</v>
      </c>
      <c r="E2869" t="s">
        <v>55</v>
      </c>
      <c r="F2869">
        <v>0</v>
      </c>
      <c r="G2869">
        <v>658</v>
      </c>
      <c r="H2869">
        <v>1</v>
      </c>
      <c r="I2869" t="s">
        <v>173</v>
      </c>
      <c r="J2869">
        <v>1</v>
      </c>
      <c r="K2869" s="6">
        <v>2.3199999999999998</v>
      </c>
      <c r="L2869" t="s">
        <v>174</v>
      </c>
      <c r="M2869">
        <v>0</v>
      </c>
      <c r="N2869" t="s">
        <v>175</v>
      </c>
      <c r="O2869">
        <v>1</v>
      </c>
      <c r="P2869">
        <v>0</v>
      </c>
      <c r="Q2869" s="6">
        <v>30.1</v>
      </c>
      <c r="R2869">
        <v>0</v>
      </c>
      <c r="S2869" s="6">
        <v>0</v>
      </c>
      <c r="T2869">
        <v>0</v>
      </c>
      <c r="U2869" s="6">
        <v>2504</v>
      </c>
      <c r="V2869">
        <v>0</v>
      </c>
      <c r="W2869">
        <v>0</v>
      </c>
      <c r="X2869">
        <v>1</v>
      </c>
      <c r="Y2869" s="6">
        <v>41.7</v>
      </c>
      <c r="Z2869">
        <v>7.0999999999999994E-2</v>
      </c>
      <c r="AA2869">
        <v>0.14199999999999999</v>
      </c>
      <c r="AB2869">
        <v>2.9000000000000001E-2</v>
      </c>
      <c r="AC2869">
        <v>5</v>
      </c>
      <c r="AD2869" s="6">
        <v>51</v>
      </c>
      <c r="AE2869" s="6">
        <v>0</v>
      </c>
      <c r="AF2869" s="6">
        <v>0</v>
      </c>
      <c r="AG2869" s="6">
        <v>54.95</v>
      </c>
      <c r="AH2869" s="6">
        <v>71.66</v>
      </c>
      <c r="AI2869" s="6">
        <f t="shared" si="88"/>
        <v>16.709999999999994</v>
      </c>
      <c r="AJ2869" s="5">
        <f t="shared" si="89"/>
        <v>0.23318448227742108</v>
      </c>
    </row>
    <row r="2870" spans="1:36">
      <c r="A2870" t="s">
        <v>183</v>
      </c>
      <c r="B2870" t="s">
        <v>3155</v>
      </c>
      <c r="C2870" t="s">
        <v>124</v>
      </c>
      <c r="D2870" t="s">
        <v>77</v>
      </c>
      <c r="E2870" t="s">
        <v>55</v>
      </c>
      <c r="F2870">
        <v>0</v>
      </c>
      <c r="G2870">
        <v>658</v>
      </c>
      <c r="H2870">
        <v>1</v>
      </c>
      <c r="I2870" t="s">
        <v>220</v>
      </c>
      <c r="J2870">
        <v>2</v>
      </c>
      <c r="K2870" s="6">
        <v>3.19</v>
      </c>
      <c r="L2870" t="s">
        <v>174</v>
      </c>
      <c r="M2870">
        <v>0</v>
      </c>
      <c r="N2870" t="s">
        <v>272</v>
      </c>
      <c r="O2870">
        <v>5</v>
      </c>
      <c r="P2870">
        <v>1</v>
      </c>
      <c r="Q2870" s="6">
        <v>164.7</v>
      </c>
      <c r="R2870">
        <v>1</v>
      </c>
      <c r="S2870" s="6">
        <v>5229</v>
      </c>
      <c r="T2870">
        <v>0</v>
      </c>
      <c r="U2870" s="6">
        <v>1946</v>
      </c>
      <c r="V2870">
        <v>0</v>
      </c>
      <c r="W2870">
        <v>0</v>
      </c>
      <c r="X2870">
        <v>0</v>
      </c>
      <c r="Y2870" s="6">
        <v>41.7</v>
      </c>
      <c r="Z2870">
        <v>7.0999999999999994E-2</v>
      </c>
      <c r="AA2870">
        <v>0.14199999999999999</v>
      </c>
      <c r="AB2870">
        <v>2.9000000000000001E-2</v>
      </c>
      <c r="AC2870">
        <v>5</v>
      </c>
      <c r="AD2870" s="6">
        <v>51</v>
      </c>
      <c r="AE2870" s="6">
        <v>80</v>
      </c>
      <c r="AF2870" s="6">
        <v>0</v>
      </c>
      <c r="AG2870" s="6">
        <v>163.52000000000001</v>
      </c>
      <c r="AH2870" s="6">
        <v>205.86</v>
      </c>
      <c r="AI2870" s="6">
        <f t="shared" si="88"/>
        <v>42.34</v>
      </c>
      <c r="AJ2870" s="5">
        <f t="shared" si="89"/>
        <v>0.20567375886524822</v>
      </c>
    </row>
    <row r="2871" spans="1:36">
      <c r="A2871" t="s">
        <v>255</v>
      </c>
      <c r="B2871" t="s">
        <v>3156</v>
      </c>
      <c r="C2871" t="s">
        <v>124</v>
      </c>
      <c r="D2871" t="s">
        <v>77</v>
      </c>
      <c r="E2871" t="s">
        <v>55</v>
      </c>
      <c r="F2871">
        <v>0</v>
      </c>
      <c r="G2871">
        <v>658</v>
      </c>
      <c r="H2871">
        <v>1</v>
      </c>
      <c r="I2871" t="s">
        <v>220</v>
      </c>
      <c r="J2871">
        <v>2</v>
      </c>
      <c r="K2871" s="6">
        <v>5.3</v>
      </c>
      <c r="L2871" t="s">
        <v>174</v>
      </c>
      <c r="M2871">
        <v>0</v>
      </c>
      <c r="N2871" t="s">
        <v>182</v>
      </c>
      <c r="O2871">
        <v>3</v>
      </c>
      <c r="P2871">
        <v>0</v>
      </c>
      <c r="Q2871" s="6">
        <v>112.4</v>
      </c>
      <c r="R2871">
        <v>0</v>
      </c>
      <c r="S2871" s="6">
        <v>0</v>
      </c>
      <c r="T2871">
        <v>0</v>
      </c>
      <c r="U2871" s="6">
        <v>9335</v>
      </c>
      <c r="V2871">
        <v>0</v>
      </c>
      <c r="W2871">
        <v>0</v>
      </c>
      <c r="X2871">
        <v>0</v>
      </c>
      <c r="Y2871" s="6">
        <v>41.7</v>
      </c>
      <c r="Z2871">
        <v>7.0999999999999994E-2</v>
      </c>
      <c r="AA2871">
        <v>0.14199999999999999</v>
      </c>
      <c r="AB2871">
        <v>2.9000000000000001E-2</v>
      </c>
      <c r="AC2871">
        <v>5</v>
      </c>
      <c r="AD2871" s="6">
        <v>51</v>
      </c>
      <c r="AE2871" s="6">
        <v>0</v>
      </c>
      <c r="AF2871" s="6">
        <v>0</v>
      </c>
      <c r="AG2871" s="6">
        <v>84.34</v>
      </c>
      <c r="AH2871" s="6">
        <v>107.36</v>
      </c>
      <c r="AI2871" s="6">
        <f t="shared" si="88"/>
        <v>23.019999999999996</v>
      </c>
      <c r="AJ2871" s="5">
        <f t="shared" si="89"/>
        <v>0.21441877794336808</v>
      </c>
    </row>
    <row r="2872" spans="1:36">
      <c r="A2872" t="s">
        <v>291</v>
      </c>
      <c r="B2872" t="s">
        <v>3157</v>
      </c>
      <c r="C2872" t="s">
        <v>124</v>
      </c>
      <c r="D2872" t="s">
        <v>77</v>
      </c>
      <c r="E2872" t="s">
        <v>55</v>
      </c>
      <c r="F2872">
        <v>0</v>
      </c>
      <c r="G2872">
        <v>658</v>
      </c>
      <c r="H2872">
        <v>1</v>
      </c>
      <c r="I2872" t="s">
        <v>220</v>
      </c>
      <c r="J2872">
        <v>2</v>
      </c>
      <c r="K2872" s="6">
        <v>4.16</v>
      </c>
      <c r="L2872" t="s">
        <v>174</v>
      </c>
      <c r="M2872">
        <v>0</v>
      </c>
      <c r="N2872" t="s">
        <v>175</v>
      </c>
      <c r="O2872">
        <v>1</v>
      </c>
      <c r="P2872">
        <v>0</v>
      </c>
      <c r="Q2872" s="6">
        <v>27.2</v>
      </c>
      <c r="R2872">
        <v>1</v>
      </c>
      <c r="S2872" s="6">
        <v>2103</v>
      </c>
      <c r="T2872">
        <v>0</v>
      </c>
      <c r="U2872" s="6">
        <v>981</v>
      </c>
      <c r="V2872">
        <v>0</v>
      </c>
      <c r="W2872">
        <v>0</v>
      </c>
      <c r="X2872">
        <v>0</v>
      </c>
      <c r="Y2872" s="6">
        <v>41.7</v>
      </c>
      <c r="Z2872">
        <v>7.0999999999999994E-2</v>
      </c>
      <c r="AA2872">
        <v>0.14199999999999999</v>
      </c>
      <c r="AB2872">
        <v>2.9000000000000001E-2</v>
      </c>
      <c r="AC2872">
        <v>5</v>
      </c>
      <c r="AD2872" s="6">
        <v>51</v>
      </c>
      <c r="AE2872" s="6">
        <v>40</v>
      </c>
      <c r="AF2872" s="6">
        <v>0</v>
      </c>
      <c r="AG2872" s="6">
        <v>67.41</v>
      </c>
      <c r="AH2872" s="6">
        <v>84.86</v>
      </c>
      <c r="AI2872" s="6">
        <f t="shared" si="88"/>
        <v>17.450000000000003</v>
      </c>
      <c r="AJ2872" s="5">
        <f t="shared" si="89"/>
        <v>0.20563280697619613</v>
      </c>
    </row>
    <row r="2873" spans="1:36">
      <c r="A2873" t="s">
        <v>512</v>
      </c>
      <c r="B2873" t="s">
        <v>3158</v>
      </c>
      <c r="C2873" t="s">
        <v>124</v>
      </c>
      <c r="D2873" t="s">
        <v>77</v>
      </c>
      <c r="E2873" t="s">
        <v>55</v>
      </c>
      <c r="F2873">
        <v>0</v>
      </c>
      <c r="G2873">
        <v>658</v>
      </c>
      <c r="H2873">
        <v>1</v>
      </c>
      <c r="I2873" t="s">
        <v>220</v>
      </c>
      <c r="J2873">
        <v>2</v>
      </c>
      <c r="K2873" s="6">
        <v>3.79</v>
      </c>
      <c r="L2873" t="s">
        <v>174</v>
      </c>
      <c r="M2873">
        <v>0</v>
      </c>
      <c r="N2873" t="s">
        <v>175</v>
      </c>
      <c r="O2873">
        <v>1</v>
      </c>
      <c r="P2873">
        <v>0</v>
      </c>
      <c r="Q2873" s="6">
        <v>43.6</v>
      </c>
      <c r="R2873">
        <v>0</v>
      </c>
      <c r="S2873" s="6">
        <v>0</v>
      </c>
      <c r="T2873">
        <v>0</v>
      </c>
      <c r="U2873" s="6">
        <v>6356</v>
      </c>
      <c r="V2873">
        <v>0</v>
      </c>
      <c r="W2873">
        <v>0</v>
      </c>
      <c r="X2873">
        <v>0</v>
      </c>
      <c r="Y2873" s="6">
        <v>41.7</v>
      </c>
      <c r="Z2873">
        <v>7.0999999999999994E-2</v>
      </c>
      <c r="AA2873">
        <v>0.14199999999999999</v>
      </c>
      <c r="AB2873">
        <v>2.9000000000000001E-2</v>
      </c>
      <c r="AC2873">
        <v>5</v>
      </c>
      <c r="AD2873" s="6">
        <v>51</v>
      </c>
      <c r="AE2873" s="6">
        <v>0</v>
      </c>
      <c r="AF2873" s="6">
        <v>0</v>
      </c>
      <c r="AG2873" s="6">
        <v>64.16</v>
      </c>
      <c r="AH2873" s="6">
        <v>83.37</v>
      </c>
      <c r="AI2873" s="6">
        <f t="shared" si="88"/>
        <v>19.210000000000008</v>
      </c>
      <c r="AJ2873" s="5">
        <f t="shared" si="89"/>
        <v>0.2304186158090441</v>
      </c>
    </row>
    <row r="2874" spans="1:36">
      <c r="A2874" t="s">
        <v>258</v>
      </c>
      <c r="B2874" t="s">
        <v>3159</v>
      </c>
      <c r="C2874" t="s">
        <v>124</v>
      </c>
      <c r="D2874" t="s">
        <v>77</v>
      </c>
      <c r="E2874" t="s">
        <v>55</v>
      </c>
      <c r="F2874">
        <v>0</v>
      </c>
      <c r="G2874">
        <v>658</v>
      </c>
      <c r="H2874">
        <v>1</v>
      </c>
      <c r="I2874" t="s">
        <v>220</v>
      </c>
      <c r="J2874">
        <v>2</v>
      </c>
      <c r="K2874" s="6">
        <v>4.43</v>
      </c>
      <c r="L2874" t="s">
        <v>174</v>
      </c>
      <c r="M2874">
        <v>0</v>
      </c>
      <c r="N2874" t="s">
        <v>187</v>
      </c>
      <c r="O2874">
        <v>2</v>
      </c>
      <c r="P2874">
        <v>1</v>
      </c>
      <c r="Q2874" s="6">
        <v>74.400000000000006</v>
      </c>
      <c r="R2874">
        <v>0</v>
      </c>
      <c r="S2874" s="6">
        <v>0</v>
      </c>
      <c r="T2874">
        <v>0</v>
      </c>
      <c r="U2874" s="6">
        <v>3117</v>
      </c>
      <c r="V2874">
        <v>0</v>
      </c>
      <c r="W2874">
        <v>0</v>
      </c>
      <c r="X2874">
        <v>0</v>
      </c>
      <c r="Y2874" s="6">
        <v>41.7</v>
      </c>
      <c r="Z2874">
        <v>7.0999999999999994E-2</v>
      </c>
      <c r="AA2874">
        <v>0.14199999999999999</v>
      </c>
      <c r="AB2874">
        <v>2.9000000000000001E-2</v>
      </c>
      <c r="AC2874">
        <v>5</v>
      </c>
      <c r="AD2874" s="6">
        <v>51</v>
      </c>
      <c r="AE2874" s="6">
        <v>0</v>
      </c>
      <c r="AF2874" s="6">
        <v>0</v>
      </c>
      <c r="AG2874" s="6">
        <v>95.53</v>
      </c>
      <c r="AH2874" s="6">
        <v>123.18</v>
      </c>
      <c r="AI2874" s="6">
        <f t="shared" si="88"/>
        <v>27.650000000000006</v>
      </c>
      <c r="AJ2874" s="5">
        <f t="shared" si="89"/>
        <v>0.22446825783406402</v>
      </c>
    </row>
    <row r="2875" spans="1:36">
      <c r="A2875" t="s">
        <v>230</v>
      </c>
      <c r="B2875" t="s">
        <v>3160</v>
      </c>
      <c r="C2875" t="s">
        <v>124</v>
      </c>
      <c r="D2875" t="s">
        <v>77</v>
      </c>
      <c r="E2875" t="s">
        <v>55</v>
      </c>
      <c r="F2875">
        <v>0</v>
      </c>
      <c r="G2875">
        <v>658</v>
      </c>
      <c r="H2875">
        <v>1</v>
      </c>
      <c r="I2875" t="s">
        <v>181</v>
      </c>
      <c r="J2875">
        <v>3</v>
      </c>
      <c r="K2875" s="6">
        <v>6.9</v>
      </c>
      <c r="L2875" t="s">
        <v>174</v>
      </c>
      <c r="M2875">
        <v>0</v>
      </c>
      <c r="N2875" t="s">
        <v>175</v>
      </c>
      <c r="O2875">
        <v>1</v>
      </c>
      <c r="P2875">
        <v>0</v>
      </c>
      <c r="Q2875" s="6">
        <v>31.7</v>
      </c>
      <c r="R2875">
        <v>1</v>
      </c>
      <c r="S2875" s="6">
        <v>2560</v>
      </c>
      <c r="T2875">
        <v>0</v>
      </c>
      <c r="U2875" s="6">
        <v>2087</v>
      </c>
      <c r="V2875">
        <v>0</v>
      </c>
      <c r="W2875">
        <v>0</v>
      </c>
      <c r="X2875">
        <v>0</v>
      </c>
      <c r="Y2875" s="6">
        <v>41.7</v>
      </c>
      <c r="Z2875">
        <v>7.0999999999999994E-2</v>
      </c>
      <c r="AA2875">
        <v>0.14199999999999999</v>
      </c>
      <c r="AB2875">
        <v>2.9000000000000001E-2</v>
      </c>
      <c r="AC2875">
        <v>5</v>
      </c>
      <c r="AD2875" s="6">
        <v>61</v>
      </c>
      <c r="AE2875" s="6">
        <v>40</v>
      </c>
      <c r="AF2875" s="6">
        <v>0</v>
      </c>
      <c r="AG2875" s="6">
        <v>88.57</v>
      </c>
      <c r="AH2875" s="6">
        <v>114.87</v>
      </c>
      <c r="AI2875" s="6">
        <f t="shared" si="88"/>
        <v>26.300000000000011</v>
      </c>
      <c r="AJ2875" s="5">
        <f t="shared" si="89"/>
        <v>0.22895447027074092</v>
      </c>
    </row>
    <row r="2876" spans="1:36">
      <c r="A2876" t="s">
        <v>323</v>
      </c>
      <c r="B2876" t="s">
        <v>3161</v>
      </c>
      <c r="C2876" t="s">
        <v>124</v>
      </c>
      <c r="D2876" t="s">
        <v>77</v>
      </c>
      <c r="E2876" t="s">
        <v>55</v>
      </c>
      <c r="F2876">
        <v>0</v>
      </c>
      <c r="G2876">
        <v>658</v>
      </c>
      <c r="H2876">
        <v>1</v>
      </c>
      <c r="I2876" t="s">
        <v>220</v>
      </c>
      <c r="J2876">
        <v>2</v>
      </c>
      <c r="K2876" s="6">
        <v>3.63</v>
      </c>
      <c r="L2876" t="s">
        <v>174</v>
      </c>
      <c r="M2876">
        <v>0</v>
      </c>
      <c r="N2876" t="s">
        <v>217</v>
      </c>
      <c r="O2876">
        <v>4</v>
      </c>
      <c r="P2876">
        <v>1</v>
      </c>
      <c r="Q2876" s="6">
        <v>192.6</v>
      </c>
      <c r="R2876">
        <v>0</v>
      </c>
      <c r="S2876" s="6">
        <v>0</v>
      </c>
      <c r="T2876">
        <v>0</v>
      </c>
      <c r="U2876" s="6">
        <v>4088</v>
      </c>
      <c r="V2876">
        <v>0</v>
      </c>
      <c r="W2876">
        <v>0</v>
      </c>
      <c r="X2876">
        <v>0</v>
      </c>
      <c r="Y2876" s="6">
        <v>41.7</v>
      </c>
      <c r="Z2876">
        <v>7.0999999999999994E-2</v>
      </c>
      <c r="AA2876">
        <v>0.14199999999999999</v>
      </c>
      <c r="AB2876">
        <v>2.9000000000000001E-2</v>
      </c>
      <c r="AC2876">
        <v>5</v>
      </c>
      <c r="AD2876" s="6">
        <v>51</v>
      </c>
      <c r="AE2876" s="6">
        <v>0</v>
      </c>
      <c r="AF2876" s="6">
        <v>0</v>
      </c>
      <c r="AG2876" s="6">
        <v>120.46</v>
      </c>
      <c r="AH2876" s="6">
        <v>150.72999999999999</v>
      </c>
      <c r="AI2876" s="6">
        <f t="shared" si="88"/>
        <v>30.269999999999996</v>
      </c>
      <c r="AJ2876" s="5">
        <f t="shared" si="89"/>
        <v>0.20082266303987262</v>
      </c>
    </row>
    <row r="2877" spans="1:36">
      <c r="A2877" t="s">
        <v>375</v>
      </c>
      <c r="B2877" t="s">
        <v>3162</v>
      </c>
      <c r="C2877" t="s">
        <v>124</v>
      </c>
      <c r="D2877" t="s">
        <v>77</v>
      </c>
      <c r="E2877" t="s">
        <v>55</v>
      </c>
      <c r="F2877">
        <v>0</v>
      </c>
      <c r="G2877">
        <v>658</v>
      </c>
      <c r="H2877">
        <v>1</v>
      </c>
      <c r="I2877" t="s">
        <v>173</v>
      </c>
      <c r="J2877">
        <v>1</v>
      </c>
      <c r="K2877" s="6">
        <v>1.31</v>
      </c>
      <c r="L2877" t="s">
        <v>174</v>
      </c>
      <c r="M2877">
        <v>0</v>
      </c>
      <c r="N2877" t="s">
        <v>182</v>
      </c>
      <c r="O2877">
        <v>3</v>
      </c>
      <c r="P2877">
        <v>0</v>
      </c>
      <c r="Q2877" s="6">
        <v>73.2</v>
      </c>
      <c r="R2877">
        <v>1</v>
      </c>
      <c r="S2877" s="6">
        <v>1102</v>
      </c>
      <c r="T2877">
        <v>0</v>
      </c>
      <c r="U2877" s="6">
        <v>2296</v>
      </c>
      <c r="V2877">
        <v>0</v>
      </c>
      <c r="W2877">
        <v>0</v>
      </c>
      <c r="X2877">
        <v>0</v>
      </c>
      <c r="Y2877" s="6">
        <v>41.7</v>
      </c>
      <c r="Z2877">
        <v>7.0999999999999994E-2</v>
      </c>
      <c r="AA2877">
        <v>0.14199999999999999</v>
      </c>
      <c r="AB2877">
        <v>2.9000000000000001E-2</v>
      </c>
      <c r="AC2877">
        <v>5</v>
      </c>
      <c r="AD2877" s="6">
        <v>51</v>
      </c>
      <c r="AE2877" s="6">
        <v>25</v>
      </c>
      <c r="AF2877" s="6">
        <v>0</v>
      </c>
      <c r="AG2877" s="6">
        <v>63.93</v>
      </c>
      <c r="AH2877" s="6">
        <v>80.44</v>
      </c>
      <c r="AI2877" s="6">
        <f t="shared" si="88"/>
        <v>16.509999999999998</v>
      </c>
      <c r="AJ2877" s="5">
        <f t="shared" si="89"/>
        <v>0.20524614619592241</v>
      </c>
    </row>
    <row r="2878" spans="1:36">
      <c r="A2878" t="s">
        <v>233</v>
      </c>
      <c r="B2878" t="s">
        <v>3163</v>
      </c>
      <c r="C2878" t="s">
        <v>124</v>
      </c>
      <c r="D2878" t="s">
        <v>77</v>
      </c>
      <c r="E2878" t="s">
        <v>55</v>
      </c>
      <c r="F2878">
        <v>0</v>
      </c>
      <c r="G2878">
        <v>658</v>
      </c>
      <c r="H2878">
        <v>1</v>
      </c>
      <c r="I2878" t="s">
        <v>220</v>
      </c>
      <c r="J2878">
        <v>2</v>
      </c>
      <c r="K2878" s="6">
        <v>4.47</v>
      </c>
      <c r="L2878" t="s">
        <v>174</v>
      </c>
      <c r="M2878">
        <v>0</v>
      </c>
      <c r="N2878" t="s">
        <v>175</v>
      </c>
      <c r="O2878">
        <v>1</v>
      </c>
      <c r="P2878">
        <v>0</v>
      </c>
      <c r="Q2878" s="6">
        <v>34.4</v>
      </c>
      <c r="R2878">
        <v>0</v>
      </c>
      <c r="S2878" s="6">
        <v>0</v>
      </c>
      <c r="T2878">
        <v>0</v>
      </c>
      <c r="U2878" s="6">
        <v>2435</v>
      </c>
      <c r="V2878">
        <v>0</v>
      </c>
      <c r="W2878">
        <v>0</v>
      </c>
      <c r="X2878">
        <v>0</v>
      </c>
      <c r="Y2878" s="6">
        <v>41.7</v>
      </c>
      <c r="Z2878">
        <v>7.0999999999999994E-2</v>
      </c>
      <c r="AA2878">
        <v>0.14199999999999999</v>
      </c>
      <c r="AB2878">
        <v>2.9000000000000001E-2</v>
      </c>
      <c r="AC2878">
        <v>5</v>
      </c>
      <c r="AD2878" s="6">
        <v>51</v>
      </c>
      <c r="AE2878" s="6">
        <v>0</v>
      </c>
      <c r="AF2878" s="6">
        <v>0</v>
      </c>
      <c r="AG2878" s="6">
        <v>69.7</v>
      </c>
      <c r="AH2878" s="6">
        <v>88.03</v>
      </c>
      <c r="AI2878" s="6">
        <f t="shared" si="88"/>
        <v>18.329999999999998</v>
      </c>
      <c r="AJ2878" s="5">
        <f t="shared" si="89"/>
        <v>0.20822446893104621</v>
      </c>
    </row>
    <row r="2879" spans="1:36">
      <c r="A2879" t="s">
        <v>298</v>
      </c>
      <c r="B2879" t="s">
        <v>3164</v>
      </c>
      <c r="C2879" t="s">
        <v>124</v>
      </c>
      <c r="D2879" t="s">
        <v>77</v>
      </c>
      <c r="E2879" t="s">
        <v>55</v>
      </c>
      <c r="F2879">
        <v>0</v>
      </c>
      <c r="G2879">
        <v>658</v>
      </c>
      <c r="H2879">
        <v>1</v>
      </c>
      <c r="I2879" t="s">
        <v>220</v>
      </c>
      <c r="J2879">
        <v>2</v>
      </c>
      <c r="K2879" s="6">
        <v>4.04</v>
      </c>
      <c r="L2879" t="s">
        <v>174</v>
      </c>
      <c r="M2879">
        <v>0</v>
      </c>
      <c r="N2879" t="s">
        <v>187</v>
      </c>
      <c r="O2879">
        <v>2</v>
      </c>
      <c r="P2879">
        <v>0</v>
      </c>
      <c r="Q2879" s="6">
        <v>68.2</v>
      </c>
      <c r="R2879">
        <v>0</v>
      </c>
      <c r="S2879" s="6">
        <v>0</v>
      </c>
      <c r="T2879">
        <v>0</v>
      </c>
      <c r="U2879" s="6">
        <v>2462</v>
      </c>
      <c r="V2879">
        <v>0</v>
      </c>
      <c r="W2879">
        <v>0</v>
      </c>
      <c r="X2879">
        <v>0</v>
      </c>
      <c r="Y2879" s="6">
        <v>41.7</v>
      </c>
      <c r="Z2879">
        <v>7.0999999999999994E-2</v>
      </c>
      <c r="AA2879">
        <v>0.14199999999999999</v>
      </c>
      <c r="AB2879">
        <v>2.9000000000000001E-2</v>
      </c>
      <c r="AC2879">
        <v>5</v>
      </c>
      <c r="AD2879" s="6">
        <v>51</v>
      </c>
      <c r="AE2879" s="6">
        <v>0</v>
      </c>
      <c r="AF2879" s="6">
        <v>0</v>
      </c>
      <c r="AG2879" s="6">
        <v>71.06</v>
      </c>
      <c r="AH2879" s="6">
        <v>90.33</v>
      </c>
      <c r="AI2879" s="6">
        <f t="shared" si="88"/>
        <v>19.269999999999996</v>
      </c>
      <c r="AJ2879" s="5">
        <f t="shared" si="89"/>
        <v>0.21332890512565036</v>
      </c>
    </row>
    <row r="2880" spans="1:36">
      <c r="A2880" t="s">
        <v>263</v>
      </c>
      <c r="B2880" t="s">
        <v>3165</v>
      </c>
      <c r="C2880" t="s">
        <v>124</v>
      </c>
      <c r="D2880" t="s">
        <v>77</v>
      </c>
      <c r="E2880" t="s">
        <v>55</v>
      </c>
      <c r="F2880">
        <v>0</v>
      </c>
      <c r="G2880">
        <v>658</v>
      </c>
      <c r="H2880">
        <v>1</v>
      </c>
      <c r="I2880" t="s">
        <v>173</v>
      </c>
      <c r="J2880">
        <v>1</v>
      </c>
      <c r="K2880" s="6">
        <v>1.6</v>
      </c>
      <c r="L2880" t="s">
        <v>174</v>
      </c>
      <c r="M2880">
        <v>0</v>
      </c>
      <c r="N2880" t="s">
        <v>272</v>
      </c>
      <c r="O2880">
        <v>5</v>
      </c>
      <c r="P2880">
        <v>1</v>
      </c>
      <c r="Q2880" s="6">
        <v>201.5</v>
      </c>
      <c r="R2880">
        <v>0</v>
      </c>
      <c r="S2880" s="6">
        <v>0</v>
      </c>
      <c r="T2880">
        <v>0</v>
      </c>
      <c r="U2880" s="6">
        <v>3063</v>
      </c>
      <c r="V2880">
        <v>0</v>
      </c>
      <c r="W2880">
        <v>0</v>
      </c>
      <c r="X2880">
        <v>0</v>
      </c>
      <c r="Y2880" s="6">
        <v>41.7</v>
      </c>
      <c r="Z2880">
        <v>7.0999999999999994E-2</v>
      </c>
      <c r="AA2880">
        <v>0.14199999999999999</v>
      </c>
      <c r="AB2880">
        <v>2.9000000000000001E-2</v>
      </c>
      <c r="AC2880">
        <v>5</v>
      </c>
      <c r="AD2880" s="6">
        <v>51</v>
      </c>
      <c r="AE2880" s="6">
        <v>0</v>
      </c>
      <c r="AF2880" s="6">
        <v>0</v>
      </c>
      <c r="AG2880" s="6">
        <v>152.85</v>
      </c>
      <c r="AH2880" s="6">
        <v>194.25</v>
      </c>
      <c r="AI2880" s="6">
        <f t="shared" si="88"/>
        <v>41.400000000000006</v>
      </c>
      <c r="AJ2880" s="5">
        <f t="shared" si="89"/>
        <v>0.21312741312741315</v>
      </c>
    </row>
    <row r="2881" spans="1:36">
      <c r="A2881" t="s">
        <v>345</v>
      </c>
      <c r="B2881" t="s">
        <v>3166</v>
      </c>
      <c r="C2881" t="s">
        <v>124</v>
      </c>
      <c r="D2881" t="s">
        <v>77</v>
      </c>
      <c r="E2881" t="s">
        <v>55</v>
      </c>
      <c r="F2881">
        <v>0</v>
      </c>
      <c r="G2881">
        <v>658</v>
      </c>
      <c r="H2881">
        <v>1</v>
      </c>
      <c r="I2881" t="s">
        <v>220</v>
      </c>
      <c r="J2881">
        <v>2</v>
      </c>
      <c r="K2881" s="6">
        <v>4.5199999999999996</v>
      </c>
      <c r="L2881" t="s">
        <v>174</v>
      </c>
      <c r="M2881">
        <v>0</v>
      </c>
      <c r="N2881" t="s">
        <v>175</v>
      </c>
      <c r="O2881">
        <v>1</v>
      </c>
      <c r="P2881">
        <v>0</v>
      </c>
      <c r="Q2881" s="6">
        <v>31.2</v>
      </c>
      <c r="R2881">
        <v>0</v>
      </c>
      <c r="S2881" s="6">
        <v>0</v>
      </c>
      <c r="T2881">
        <v>0</v>
      </c>
      <c r="U2881" s="6">
        <v>4895</v>
      </c>
      <c r="V2881">
        <v>0</v>
      </c>
      <c r="W2881">
        <v>0</v>
      </c>
      <c r="X2881">
        <v>0</v>
      </c>
      <c r="Y2881" s="6">
        <v>41.7</v>
      </c>
      <c r="Z2881">
        <v>7.0999999999999994E-2</v>
      </c>
      <c r="AA2881">
        <v>0.14199999999999999</v>
      </c>
      <c r="AB2881">
        <v>2.9000000000000001E-2</v>
      </c>
      <c r="AC2881">
        <v>5</v>
      </c>
      <c r="AD2881" s="6">
        <v>51</v>
      </c>
      <c r="AE2881" s="6">
        <v>0</v>
      </c>
      <c r="AF2881" s="6">
        <v>0</v>
      </c>
      <c r="AG2881" s="6">
        <v>66.540000000000006</v>
      </c>
      <c r="AH2881" s="6">
        <v>85.31</v>
      </c>
      <c r="AI2881" s="6">
        <f t="shared" si="88"/>
        <v>18.769999999999996</v>
      </c>
      <c r="AJ2881" s="5">
        <f t="shared" si="89"/>
        <v>0.22002109951939977</v>
      </c>
    </row>
    <row r="2882" spans="1:36">
      <c r="A2882" t="s">
        <v>284</v>
      </c>
      <c r="B2882" t="s">
        <v>3167</v>
      </c>
      <c r="C2882" t="s">
        <v>124</v>
      </c>
      <c r="D2882" t="s">
        <v>77</v>
      </c>
      <c r="E2882" t="s">
        <v>55</v>
      </c>
      <c r="F2882">
        <v>0</v>
      </c>
      <c r="G2882">
        <v>658</v>
      </c>
      <c r="H2882">
        <v>1</v>
      </c>
      <c r="I2882" t="s">
        <v>220</v>
      </c>
      <c r="J2882">
        <v>2</v>
      </c>
      <c r="K2882" s="6">
        <v>2.57</v>
      </c>
      <c r="L2882" t="s">
        <v>174</v>
      </c>
      <c r="M2882">
        <v>0</v>
      </c>
      <c r="N2882" t="s">
        <v>187</v>
      </c>
      <c r="O2882">
        <v>2</v>
      </c>
      <c r="P2882">
        <v>1</v>
      </c>
      <c r="Q2882" s="6">
        <v>64.8</v>
      </c>
      <c r="R2882">
        <v>0</v>
      </c>
      <c r="S2882" s="6">
        <v>0</v>
      </c>
      <c r="T2882">
        <v>0</v>
      </c>
      <c r="U2882" s="6">
        <v>4031</v>
      </c>
      <c r="V2882">
        <v>0</v>
      </c>
      <c r="W2882">
        <v>0</v>
      </c>
      <c r="X2882">
        <v>0</v>
      </c>
      <c r="Y2882" s="6">
        <v>41.7</v>
      </c>
      <c r="Z2882">
        <v>7.0999999999999994E-2</v>
      </c>
      <c r="AA2882">
        <v>0.14199999999999999</v>
      </c>
      <c r="AB2882">
        <v>2.9000000000000001E-2</v>
      </c>
      <c r="AC2882">
        <v>5</v>
      </c>
      <c r="AD2882" s="6">
        <v>51</v>
      </c>
      <c r="AE2882" s="6">
        <v>0</v>
      </c>
      <c r="AF2882" s="6">
        <v>0</v>
      </c>
      <c r="AG2882" s="6">
        <v>96.58</v>
      </c>
      <c r="AH2882" s="6">
        <v>122.82</v>
      </c>
      <c r="AI2882" s="6">
        <f t="shared" ref="AI2882:AI2945" si="90">AH2882-AG2882</f>
        <v>26.239999999999995</v>
      </c>
      <c r="AJ2882" s="5">
        <f t="shared" ref="AJ2882:AJ2945" si="91">IFERROR(AI2882/AH2882,0)</f>
        <v>0.21364598599576612</v>
      </c>
    </row>
    <row r="2883" spans="1:36">
      <c r="A2883" t="s">
        <v>345</v>
      </c>
      <c r="B2883" t="s">
        <v>3168</v>
      </c>
      <c r="C2883" t="s">
        <v>124</v>
      </c>
      <c r="D2883" t="s">
        <v>77</v>
      </c>
      <c r="E2883" t="s">
        <v>55</v>
      </c>
      <c r="F2883">
        <v>0</v>
      </c>
      <c r="G2883">
        <v>658</v>
      </c>
      <c r="H2883">
        <v>1</v>
      </c>
      <c r="I2883" t="s">
        <v>220</v>
      </c>
      <c r="J2883">
        <v>2</v>
      </c>
      <c r="K2883" s="6">
        <v>3.57</v>
      </c>
      <c r="L2883" t="s">
        <v>174</v>
      </c>
      <c r="M2883">
        <v>0</v>
      </c>
      <c r="N2883" t="s">
        <v>175</v>
      </c>
      <c r="O2883">
        <v>1</v>
      </c>
      <c r="P2883">
        <v>0</v>
      </c>
      <c r="Q2883" s="6">
        <v>29.7</v>
      </c>
      <c r="R2883">
        <v>0</v>
      </c>
      <c r="S2883" s="6">
        <v>0</v>
      </c>
      <c r="T2883">
        <v>0</v>
      </c>
      <c r="U2883" s="6">
        <v>6449</v>
      </c>
      <c r="V2883">
        <v>0</v>
      </c>
      <c r="W2883">
        <v>0</v>
      </c>
      <c r="X2883">
        <v>0</v>
      </c>
      <c r="Y2883" s="6">
        <v>41.7</v>
      </c>
      <c r="Z2883">
        <v>7.0999999999999994E-2</v>
      </c>
      <c r="AA2883">
        <v>0.14199999999999999</v>
      </c>
      <c r="AB2883">
        <v>2.9000000000000001E-2</v>
      </c>
      <c r="AC2883">
        <v>5</v>
      </c>
      <c r="AD2883" s="6">
        <v>51</v>
      </c>
      <c r="AE2883" s="6">
        <v>0</v>
      </c>
      <c r="AF2883" s="6">
        <v>0</v>
      </c>
      <c r="AG2883" s="6">
        <v>67.73</v>
      </c>
      <c r="AH2883" s="6">
        <v>87.39</v>
      </c>
      <c r="AI2883" s="6">
        <f t="shared" si="90"/>
        <v>19.659999999999997</v>
      </c>
      <c r="AJ2883" s="5">
        <f t="shared" si="91"/>
        <v>0.2249685318686348</v>
      </c>
    </row>
    <row r="2884" spans="1:36">
      <c r="A2884" t="s">
        <v>188</v>
      </c>
      <c r="B2884" t="s">
        <v>3169</v>
      </c>
      <c r="C2884" t="s">
        <v>124</v>
      </c>
      <c r="D2884" t="s">
        <v>77</v>
      </c>
      <c r="E2884" t="s">
        <v>55</v>
      </c>
      <c r="F2884">
        <v>0</v>
      </c>
      <c r="G2884">
        <v>658</v>
      </c>
      <c r="H2884">
        <v>1</v>
      </c>
      <c r="I2884" t="s">
        <v>220</v>
      </c>
      <c r="J2884">
        <v>2</v>
      </c>
      <c r="K2884" s="6">
        <v>4.6100000000000003</v>
      </c>
      <c r="L2884" t="s">
        <v>174</v>
      </c>
      <c r="M2884">
        <v>0</v>
      </c>
      <c r="N2884" t="s">
        <v>182</v>
      </c>
      <c r="O2884">
        <v>3</v>
      </c>
      <c r="P2884">
        <v>1</v>
      </c>
      <c r="Q2884" s="6">
        <v>108.2</v>
      </c>
      <c r="R2884">
        <v>1</v>
      </c>
      <c r="S2884" s="6">
        <v>3277</v>
      </c>
      <c r="T2884">
        <v>0</v>
      </c>
      <c r="U2884" s="6">
        <v>1566</v>
      </c>
      <c r="V2884">
        <v>0</v>
      </c>
      <c r="W2884">
        <v>0</v>
      </c>
      <c r="X2884">
        <v>0</v>
      </c>
      <c r="Y2884" s="6">
        <v>41.7</v>
      </c>
      <c r="Z2884">
        <v>7.0999999999999994E-2</v>
      </c>
      <c r="AA2884">
        <v>0.14199999999999999</v>
      </c>
      <c r="AB2884">
        <v>2.9000000000000001E-2</v>
      </c>
      <c r="AC2884">
        <v>5</v>
      </c>
      <c r="AD2884" s="6">
        <v>51</v>
      </c>
      <c r="AE2884" s="6">
        <v>40</v>
      </c>
      <c r="AF2884" s="6">
        <v>0</v>
      </c>
      <c r="AG2884" s="6">
        <v>106.53</v>
      </c>
      <c r="AH2884" s="6">
        <v>137.56</v>
      </c>
      <c r="AI2884" s="6">
        <f t="shared" si="90"/>
        <v>31.03</v>
      </c>
      <c r="AJ2884" s="5">
        <f t="shared" si="91"/>
        <v>0.225574294853155</v>
      </c>
    </row>
    <row r="2885" spans="1:36">
      <c r="A2885" t="s">
        <v>343</v>
      </c>
      <c r="B2885" t="s">
        <v>3170</v>
      </c>
      <c r="C2885" t="s">
        <v>124</v>
      </c>
      <c r="D2885" t="s">
        <v>77</v>
      </c>
      <c r="E2885" t="s">
        <v>55</v>
      </c>
      <c r="F2885">
        <v>0</v>
      </c>
      <c r="G2885">
        <v>658</v>
      </c>
      <c r="H2885">
        <v>1</v>
      </c>
      <c r="I2885" t="s">
        <v>173</v>
      </c>
      <c r="J2885">
        <v>1</v>
      </c>
      <c r="K2885" s="6">
        <v>1.35</v>
      </c>
      <c r="L2885" t="s">
        <v>174</v>
      </c>
      <c r="M2885">
        <v>0</v>
      </c>
      <c r="N2885" t="s">
        <v>182</v>
      </c>
      <c r="O2885">
        <v>3</v>
      </c>
      <c r="P2885">
        <v>0</v>
      </c>
      <c r="Q2885" s="6">
        <v>129.9</v>
      </c>
      <c r="R2885">
        <v>0</v>
      </c>
      <c r="S2885" s="6">
        <v>0</v>
      </c>
      <c r="T2885">
        <v>0</v>
      </c>
      <c r="U2885" s="6">
        <v>3755</v>
      </c>
      <c r="V2885">
        <v>0</v>
      </c>
      <c r="W2885">
        <v>0</v>
      </c>
      <c r="X2885">
        <v>0</v>
      </c>
      <c r="Y2885" s="6">
        <v>41.7</v>
      </c>
      <c r="Z2885">
        <v>7.0999999999999994E-2</v>
      </c>
      <c r="AA2885">
        <v>0.14199999999999999</v>
      </c>
      <c r="AB2885">
        <v>2.9000000000000001E-2</v>
      </c>
      <c r="AC2885">
        <v>5</v>
      </c>
      <c r="AD2885" s="6">
        <v>51</v>
      </c>
      <c r="AE2885" s="6">
        <v>0</v>
      </c>
      <c r="AF2885" s="6">
        <v>0</v>
      </c>
      <c r="AG2885" s="6">
        <v>67.44</v>
      </c>
      <c r="AH2885" s="6">
        <v>89.18</v>
      </c>
      <c r="AI2885" s="6">
        <f t="shared" si="90"/>
        <v>21.740000000000009</v>
      </c>
      <c r="AJ2885" s="5">
        <f t="shared" si="91"/>
        <v>0.24377663153173365</v>
      </c>
    </row>
    <row r="2886" spans="1:36">
      <c r="A2886" t="s">
        <v>494</v>
      </c>
      <c r="B2886" t="s">
        <v>3171</v>
      </c>
      <c r="C2886" t="s">
        <v>124</v>
      </c>
      <c r="D2886" t="s">
        <v>77</v>
      </c>
      <c r="E2886" t="s">
        <v>55</v>
      </c>
      <c r="F2886">
        <v>0</v>
      </c>
      <c r="G2886">
        <v>658</v>
      </c>
      <c r="H2886">
        <v>1</v>
      </c>
      <c r="I2886" t="s">
        <v>220</v>
      </c>
      <c r="J2886">
        <v>2</v>
      </c>
      <c r="K2886" s="6">
        <v>4.43</v>
      </c>
      <c r="L2886" t="s">
        <v>174</v>
      </c>
      <c r="M2886">
        <v>0</v>
      </c>
      <c r="N2886" t="s">
        <v>272</v>
      </c>
      <c r="O2886">
        <v>5</v>
      </c>
      <c r="P2886">
        <v>1</v>
      </c>
      <c r="Q2886" s="6">
        <v>172.5</v>
      </c>
      <c r="R2886">
        <v>0</v>
      </c>
      <c r="S2886" s="6">
        <v>0</v>
      </c>
      <c r="T2886">
        <v>0</v>
      </c>
      <c r="U2886" s="6">
        <v>2207</v>
      </c>
      <c r="V2886">
        <v>0</v>
      </c>
      <c r="W2886">
        <v>0</v>
      </c>
      <c r="X2886">
        <v>0</v>
      </c>
      <c r="Y2886" s="6">
        <v>41.7</v>
      </c>
      <c r="Z2886">
        <v>7.0999999999999994E-2</v>
      </c>
      <c r="AA2886">
        <v>0.14199999999999999</v>
      </c>
      <c r="AB2886">
        <v>2.9000000000000001E-2</v>
      </c>
      <c r="AC2886">
        <v>5</v>
      </c>
      <c r="AD2886" s="6">
        <v>51</v>
      </c>
      <c r="AE2886" s="6">
        <v>0</v>
      </c>
      <c r="AF2886" s="6">
        <v>0</v>
      </c>
      <c r="AG2886" s="6">
        <v>163.43</v>
      </c>
      <c r="AH2886" s="6">
        <v>208.22</v>
      </c>
      <c r="AI2886" s="6">
        <f t="shared" si="90"/>
        <v>44.789999999999992</v>
      </c>
      <c r="AJ2886" s="5">
        <f t="shared" si="91"/>
        <v>0.2151090193065027</v>
      </c>
    </row>
    <row r="2887" spans="1:36">
      <c r="A2887" t="s">
        <v>221</v>
      </c>
      <c r="B2887" t="s">
        <v>3172</v>
      </c>
      <c r="C2887" t="s">
        <v>124</v>
      </c>
      <c r="D2887" t="s">
        <v>77</v>
      </c>
      <c r="E2887" t="s">
        <v>55</v>
      </c>
      <c r="F2887">
        <v>0</v>
      </c>
      <c r="G2887">
        <v>658</v>
      </c>
      <c r="H2887">
        <v>1</v>
      </c>
      <c r="I2887" t="s">
        <v>220</v>
      </c>
      <c r="J2887">
        <v>2</v>
      </c>
      <c r="K2887" s="6">
        <v>5.54</v>
      </c>
      <c r="L2887" t="s">
        <v>174</v>
      </c>
      <c r="M2887">
        <v>0</v>
      </c>
      <c r="N2887" t="s">
        <v>175</v>
      </c>
      <c r="O2887">
        <v>1</v>
      </c>
      <c r="P2887">
        <v>0</v>
      </c>
      <c r="Q2887" s="6">
        <v>16.3</v>
      </c>
      <c r="R2887">
        <v>0</v>
      </c>
      <c r="S2887" s="6">
        <v>0</v>
      </c>
      <c r="T2887">
        <v>0</v>
      </c>
      <c r="U2887" s="6">
        <v>3106</v>
      </c>
      <c r="V2887">
        <v>0</v>
      </c>
      <c r="W2887">
        <v>1</v>
      </c>
      <c r="X2887">
        <v>0</v>
      </c>
      <c r="Y2887" s="6">
        <v>41.7</v>
      </c>
      <c r="Z2887">
        <v>7.0999999999999994E-2</v>
      </c>
      <c r="AA2887">
        <v>0.14199999999999999</v>
      </c>
      <c r="AB2887">
        <v>2.9000000000000001E-2</v>
      </c>
      <c r="AC2887">
        <v>5</v>
      </c>
      <c r="AD2887" s="6">
        <v>51</v>
      </c>
      <c r="AE2887" s="6">
        <v>0</v>
      </c>
      <c r="AF2887" s="6">
        <v>0</v>
      </c>
      <c r="AG2887" s="6">
        <v>90.5</v>
      </c>
      <c r="AH2887" s="6">
        <v>113.86</v>
      </c>
      <c r="AI2887" s="6">
        <f t="shared" si="90"/>
        <v>23.36</v>
      </c>
      <c r="AJ2887" s="5">
        <f t="shared" si="91"/>
        <v>0.20516423678201298</v>
      </c>
    </row>
    <row r="2888" spans="1:36">
      <c r="A2888" t="s">
        <v>198</v>
      </c>
      <c r="B2888" t="s">
        <v>3173</v>
      </c>
      <c r="C2888" t="s">
        <v>124</v>
      </c>
      <c r="D2888" t="s">
        <v>77</v>
      </c>
      <c r="E2888" t="s">
        <v>55</v>
      </c>
      <c r="F2888">
        <v>0</v>
      </c>
      <c r="G2888">
        <v>658</v>
      </c>
      <c r="H2888">
        <v>1</v>
      </c>
      <c r="I2888" t="s">
        <v>181</v>
      </c>
      <c r="J2888">
        <v>3</v>
      </c>
      <c r="K2888" s="6">
        <v>8.23</v>
      </c>
      <c r="L2888" t="s">
        <v>200</v>
      </c>
      <c r="M2888">
        <v>1</v>
      </c>
      <c r="N2888" t="s">
        <v>187</v>
      </c>
      <c r="O2888">
        <v>2</v>
      </c>
      <c r="P2888">
        <v>0</v>
      </c>
      <c r="Q2888" s="6">
        <v>56.8</v>
      </c>
      <c r="R2888">
        <v>1</v>
      </c>
      <c r="S2888" s="6">
        <v>540</v>
      </c>
      <c r="T2888">
        <v>0</v>
      </c>
      <c r="U2888" s="6">
        <v>1213</v>
      </c>
      <c r="V2888">
        <v>0</v>
      </c>
      <c r="W2888">
        <v>0</v>
      </c>
      <c r="X2888">
        <v>0</v>
      </c>
      <c r="Y2888" s="6">
        <v>41.7</v>
      </c>
      <c r="Z2888">
        <v>7.0999999999999994E-2</v>
      </c>
      <c r="AA2888">
        <v>0.14199999999999999</v>
      </c>
      <c r="AB2888">
        <v>2.9000000000000001E-2</v>
      </c>
      <c r="AC2888">
        <v>5</v>
      </c>
      <c r="AD2888" s="6">
        <v>140</v>
      </c>
      <c r="AE2888" s="6">
        <v>25</v>
      </c>
      <c r="AF2888" s="6">
        <v>0</v>
      </c>
      <c r="AG2888" s="6">
        <v>133.80000000000001</v>
      </c>
      <c r="AH2888" s="6">
        <v>171.4</v>
      </c>
      <c r="AI2888" s="6">
        <f t="shared" si="90"/>
        <v>37.599999999999994</v>
      </c>
      <c r="AJ2888" s="5">
        <f t="shared" si="91"/>
        <v>0.21936989498249704</v>
      </c>
    </row>
    <row r="2889" spans="1:36">
      <c r="A2889" t="s">
        <v>183</v>
      </c>
      <c r="B2889" t="s">
        <v>3174</v>
      </c>
      <c r="C2889" t="s">
        <v>124</v>
      </c>
      <c r="D2889" t="s">
        <v>77</v>
      </c>
      <c r="E2889" t="s">
        <v>55</v>
      </c>
      <c r="F2889">
        <v>0</v>
      </c>
      <c r="G2889">
        <v>658</v>
      </c>
      <c r="H2889">
        <v>1</v>
      </c>
      <c r="I2889" t="s">
        <v>220</v>
      </c>
      <c r="J2889">
        <v>2</v>
      </c>
      <c r="K2889" s="6">
        <v>3.79</v>
      </c>
      <c r="L2889" t="s">
        <v>174</v>
      </c>
      <c r="M2889">
        <v>0</v>
      </c>
      <c r="N2889" t="s">
        <v>182</v>
      </c>
      <c r="O2889">
        <v>3</v>
      </c>
      <c r="P2889">
        <v>0</v>
      </c>
      <c r="Q2889" s="6">
        <v>74.2</v>
      </c>
      <c r="R2889">
        <v>1</v>
      </c>
      <c r="S2889" s="6">
        <v>2228</v>
      </c>
      <c r="T2889">
        <v>0</v>
      </c>
      <c r="U2889" s="6">
        <v>4315</v>
      </c>
      <c r="V2889">
        <v>0</v>
      </c>
      <c r="W2889">
        <v>0</v>
      </c>
      <c r="X2889">
        <v>0</v>
      </c>
      <c r="Y2889" s="6">
        <v>41.7</v>
      </c>
      <c r="Z2889">
        <v>7.0999999999999994E-2</v>
      </c>
      <c r="AA2889">
        <v>0.14199999999999999</v>
      </c>
      <c r="AB2889">
        <v>2.9000000000000001E-2</v>
      </c>
      <c r="AC2889">
        <v>5</v>
      </c>
      <c r="AD2889" s="6">
        <v>51</v>
      </c>
      <c r="AE2889" s="6">
        <v>40</v>
      </c>
      <c r="AF2889" s="6">
        <v>0</v>
      </c>
      <c r="AG2889" s="6">
        <v>77.05</v>
      </c>
      <c r="AH2889" s="6">
        <v>97.12</v>
      </c>
      <c r="AI2889" s="6">
        <f t="shared" si="90"/>
        <v>20.070000000000007</v>
      </c>
      <c r="AJ2889" s="5">
        <f t="shared" si="91"/>
        <v>0.20665156507413515</v>
      </c>
    </row>
    <row r="2890" spans="1:36">
      <c r="A2890" t="s">
        <v>350</v>
      </c>
      <c r="B2890" t="s">
        <v>3175</v>
      </c>
      <c r="C2890" t="s">
        <v>124</v>
      </c>
      <c r="D2890" t="s">
        <v>77</v>
      </c>
      <c r="E2890" t="s">
        <v>55</v>
      </c>
      <c r="F2890">
        <v>0</v>
      </c>
      <c r="G2890">
        <v>658</v>
      </c>
      <c r="H2890">
        <v>1</v>
      </c>
      <c r="I2890" t="s">
        <v>173</v>
      </c>
      <c r="J2890">
        <v>1</v>
      </c>
      <c r="K2890" s="6">
        <v>3.11</v>
      </c>
      <c r="L2890" t="s">
        <v>174</v>
      </c>
      <c r="M2890">
        <v>0</v>
      </c>
      <c r="N2890" t="s">
        <v>187</v>
      </c>
      <c r="O2890">
        <v>2</v>
      </c>
      <c r="P2890">
        <v>0</v>
      </c>
      <c r="Q2890" s="6">
        <v>47.9</v>
      </c>
      <c r="R2890">
        <v>0</v>
      </c>
      <c r="S2890" s="6">
        <v>0</v>
      </c>
      <c r="T2890">
        <v>0</v>
      </c>
      <c r="U2890" s="6">
        <v>2108</v>
      </c>
      <c r="V2890">
        <v>0</v>
      </c>
      <c r="W2890">
        <v>0</v>
      </c>
      <c r="X2890">
        <v>0</v>
      </c>
      <c r="Y2890" s="6">
        <v>41.7</v>
      </c>
      <c r="Z2890">
        <v>7.0999999999999994E-2</v>
      </c>
      <c r="AA2890">
        <v>0.14199999999999999</v>
      </c>
      <c r="AB2890">
        <v>2.9000000000000001E-2</v>
      </c>
      <c r="AC2890">
        <v>5</v>
      </c>
      <c r="AD2890" s="6">
        <v>51</v>
      </c>
      <c r="AE2890" s="6">
        <v>0</v>
      </c>
      <c r="AF2890" s="6">
        <v>0</v>
      </c>
      <c r="AG2890" s="6">
        <v>55.59</v>
      </c>
      <c r="AH2890" s="6">
        <v>74.3</v>
      </c>
      <c r="AI2890" s="6">
        <f t="shared" si="90"/>
        <v>18.709999999999994</v>
      </c>
      <c r="AJ2890" s="5">
        <f t="shared" si="91"/>
        <v>0.25181695827725431</v>
      </c>
    </row>
    <row r="2891" spans="1:36">
      <c r="A2891" t="s">
        <v>391</v>
      </c>
      <c r="B2891" t="s">
        <v>3176</v>
      </c>
      <c r="C2891" t="s">
        <v>124</v>
      </c>
      <c r="D2891" t="s">
        <v>77</v>
      </c>
      <c r="E2891" t="s">
        <v>55</v>
      </c>
      <c r="F2891">
        <v>0</v>
      </c>
      <c r="G2891">
        <v>658</v>
      </c>
      <c r="H2891">
        <v>1</v>
      </c>
      <c r="I2891" t="s">
        <v>220</v>
      </c>
      <c r="J2891">
        <v>2</v>
      </c>
      <c r="K2891" s="6">
        <v>4.1399999999999997</v>
      </c>
      <c r="L2891" t="s">
        <v>174</v>
      </c>
      <c r="M2891">
        <v>0</v>
      </c>
      <c r="N2891" t="s">
        <v>182</v>
      </c>
      <c r="O2891">
        <v>3</v>
      </c>
      <c r="P2891">
        <v>0</v>
      </c>
      <c r="Q2891" s="6">
        <v>103.4</v>
      </c>
      <c r="R2891">
        <v>0</v>
      </c>
      <c r="S2891" s="6">
        <v>0</v>
      </c>
      <c r="T2891">
        <v>0</v>
      </c>
      <c r="U2891" s="6">
        <v>1529</v>
      </c>
      <c r="V2891">
        <v>0</v>
      </c>
      <c r="W2891">
        <v>0</v>
      </c>
      <c r="X2891">
        <v>0</v>
      </c>
      <c r="Y2891" s="6">
        <v>41.7</v>
      </c>
      <c r="Z2891">
        <v>7.0999999999999994E-2</v>
      </c>
      <c r="AA2891">
        <v>0.14199999999999999</v>
      </c>
      <c r="AB2891">
        <v>2.9000000000000001E-2</v>
      </c>
      <c r="AC2891">
        <v>5</v>
      </c>
      <c r="AD2891" s="6">
        <v>51</v>
      </c>
      <c r="AE2891" s="6">
        <v>0</v>
      </c>
      <c r="AF2891" s="6">
        <v>0</v>
      </c>
      <c r="AG2891" s="6">
        <v>76.709999999999994</v>
      </c>
      <c r="AH2891" s="6">
        <v>100.05</v>
      </c>
      <c r="AI2891" s="6">
        <f t="shared" si="90"/>
        <v>23.340000000000003</v>
      </c>
      <c r="AJ2891" s="5">
        <f t="shared" si="91"/>
        <v>0.23328335832083963</v>
      </c>
    </row>
    <row r="2892" spans="1:36">
      <c r="A2892" t="s">
        <v>253</v>
      </c>
      <c r="B2892" t="s">
        <v>3177</v>
      </c>
      <c r="C2892" t="s">
        <v>124</v>
      </c>
      <c r="D2892" t="s">
        <v>77</v>
      </c>
      <c r="E2892" t="s">
        <v>55</v>
      </c>
      <c r="F2892">
        <v>0</v>
      </c>
      <c r="G2892">
        <v>658</v>
      </c>
      <c r="H2892">
        <v>1</v>
      </c>
      <c r="I2892" t="s">
        <v>181</v>
      </c>
      <c r="J2892">
        <v>3</v>
      </c>
      <c r="K2892" s="6">
        <v>7.97</v>
      </c>
      <c r="L2892" t="s">
        <v>174</v>
      </c>
      <c r="M2892">
        <v>0</v>
      </c>
      <c r="N2892" t="s">
        <v>182</v>
      </c>
      <c r="O2892">
        <v>3</v>
      </c>
      <c r="P2892">
        <v>0</v>
      </c>
      <c r="Q2892" s="6">
        <v>90</v>
      </c>
      <c r="R2892">
        <v>1</v>
      </c>
      <c r="S2892" s="6">
        <v>1873</v>
      </c>
      <c r="T2892">
        <v>0</v>
      </c>
      <c r="U2892" s="6">
        <v>5760</v>
      </c>
      <c r="V2892">
        <v>0</v>
      </c>
      <c r="W2892">
        <v>0</v>
      </c>
      <c r="X2892">
        <v>0</v>
      </c>
      <c r="Y2892" s="6">
        <v>41.7</v>
      </c>
      <c r="Z2892">
        <v>7.0999999999999994E-2</v>
      </c>
      <c r="AA2892">
        <v>0.14199999999999999</v>
      </c>
      <c r="AB2892">
        <v>2.9000000000000001E-2</v>
      </c>
      <c r="AC2892">
        <v>5</v>
      </c>
      <c r="AD2892" s="6">
        <v>61</v>
      </c>
      <c r="AE2892" s="6">
        <v>25</v>
      </c>
      <c r="AF2892" s="6">
        <v>0</v>
      </c>
      <c r="AG2892" s="6">
        <v>102.21</v>
      </c>
      <c r="AH2892" s="6">
        <v>132.01</v>
      </c>
      <c r="AI2892" s="6">
        <f t="shared" si="90"/>
        <v>29.799999999999997</v>
      </c>
      <c r="AJ2892" s="5">
        <f t="shared" si="91"/>
        <v>0.22574047420649951</v>
      </c>
    </row>
    <row r="2893" spans="1:36">
      <c r="A2893" t="s">
        <v>431</v>
      </c>
      <c r="B2893" t="s">
        <v>3178</v>
      </c>
      <c r="C2893" t="s">
        <v>124</v>
      </c>
      <c r="D2893" t="s">
        <v>77</v>
      </c>
      <c r="E2893" t="s">
        <v>55</v>
      </c>
      <c r="F2893">
        <v>0</v>
      </c>
      <c r="G2893">
        <v>658</v>
      </c>
      <c r="H2893">
        <v>1</v>
      </c>
      <c r="I2893" t="s">
        <v>220</v>
      </c>
      <c r="J2893">
        <v>2</v>
      </c>
      <c r="K2893" s="6">
        <v>2.04</v>
      </c>
      <c r="L2893" t="s">
        <v>174</v>
      </c>
      <c r="M2893">
        <v>0</v>
      </c>
      <c r="N2893" t="s">
        <v>182</v>
      </c>
      <c r="O2893">
        <v>3</v>
      </c>
      <c r="P2893">
        <v>0</v>
      </c>
      <c r="Q2893" s="6">
        <v>100</v>
      </c>
      <c r="R2893">
        <v>1</v>
      </c>
      <c r="S2893" s="6">
        <v>757</v>
      </c>
      <c r="T2893">
        <v>0</v>
      </c>
      <c r="U2893" s="6">
        <v>5179</v>
      </c>
      <c r="V2893">
        <v>0</v>
      </c>
      <c r="W2893">
        <v>0</v>
      </c>
      <c r="X2893">
        <v>0</v>
      </c>
      <c r="Y2893" s="6">
        <v>41.7</v>
      </c>
      <c r="Z2893">
        <v>7.0999999999999994E-2</v>
      </c>
      <c r="AA2893">
        <v>0.14199999999999999</v>
      </c>
      <c r="AB2893">
        <v>2.9000000000000001E-2</v>
      </c>
      <c r="AC2893">
        <v>5</v>
      </c>
      <c r="AD2893" s="6">
        <v>51</v>
      </c>
      <c r="AE2893" s="6">
        <v>25</v>
      </c>
      <c r="AF2893" s="6">
        <v>0</v>
      </c>
      <c r="AG2893" s="6">
        <v>73.59</v>
      </c>
      <c r="AH2893" s="6">
        <v>96.55</v>
      </c>
      <c r="AI2893" s="6">
        <f t="shared" si="90"/>
        <v>22.959999999999994</v>
      </c>
      <c r="AJ2893" s="5">
        <f t="shared" si="91"/>
        <v>0.2378042465044018</v>
      </c>
    </row>
    <row r="2894" spans="1:36">
      <c r="A2894" t="s">
        <v>391</v>
      </c>
      <c r="B2894" t="s">
        <v>3179</v>
      </c>
      <c r="C2894" t="s">
        <v>124</v>
      </c>
      <c r="D2894" t="s">
        <v>77</v>
      </c>
      <c r="E2894" t="s">
        <v>55</v>
      </c>
      <c r="F2894">
        <v>0</v>
      </c>
      <c r="G2894">
        <v>658</v>
      </c>
      <c r="H2894">
        <v>1</v>
      </c>
      <c r="I2894" t="s">
        <v>173</v>
      </c>
      <c r="J2894">
        <v>1</v>
      </c>
      <c r="K2894" s="6">
        <v>2.2799999999999998</v>
      </c>
      <c r="L2894" t="s">
        <v>174</v>
      </c>
      <c r="M2894">
        <v>0</v>
      </c>
      <c r="N2894" t="s">
        <v>187</v>
      </c>
      <c r="O2894">
        <v>2</v>
      </c>
      <c r="P2894">
        <v>0</v>
      </c>
      <c r="Q2894" s="6">
        <v>34.4</v>
      </c>
      <c r="R2894">
        <v>0</v>
      </c>
      <c r="S2894" s="6">
        <v>0</v>
      </c>
      <c r="T2894">
        <v>0</v>
      </c>
      <c r="U2894" s="6">
        <v>4474</v>
      </c>
      <c r="V2894">
        <v>0</v>
      </c>
      <c r="W2894">
        <v>0</v>
      </c>
      <c r="X2894">
        <v>0</v>
      </c>
      <c r="Y2894" s="6">
        <v>41.7</v>
      </c>
      <c r="Z2894">
        <v>7.0999999999999994E-2</v>
      </c>
      <c r="AA2894">
        <v>0.14199999999999999</v>
      </c>
      <c r="AB2894">
        <v>2.9000000000000001E-2</v>
      </c>
      <c r="AC2894">
        <v>5</v>
      </c>
      <c r="AD2894" s="6">
        <v>51</v>
      </c>
      <c r="AE2894" s="6">
        <v>0</v>
      </c>
      <c r="AF2894" s="6">
        <v>0</v>
      </c>
      <c r="AG2894" s="6">
        <v>63.83</v>
      </c>
      <c r="AH2894" s="6">
        <v>83.18</v>
      </c>
      <c r="AI2894" s="6">
        <f t="shared" si="90"/>
        <v>19.350000000000009</v>
      </c>
      <c r="AJ2894" s="5">
        <f t="shared" si="91"/>
        <v>0.23262803558547737</v>
      </c>
    </row>
    <row r="2895" spans="1:36">
      <c r="A2895" t="s">
        <v>401</v>
      </c>
      <c r="B2895" t="s">
        <v>3180</v>
      </c>
      <c r="C2895" t="s">
        <v>124</v>
      </c>
      <c r="D2895" t="s">
        <v>77</v>
      </c>
      <c r="E2895" t="s">
        <v>55</v>
      </c>
      <c r="F2895">
        <v>0</v>
      </c>
      <c r="G2895">
        <v>658</v>
      </c>
      <c r="H2895">
        <v>1</v>
      </c>
      <c r="I2895" t="s">
        <v>220</v>
      </c>
      <c r="J2895">
        <v>2</v>
      </c>
      <c r="K2895" s="6">
        <v>1.49</v>
      </c>
      <c r="L2895" t="s">
        <v>174</v>
      </c>
      <c r="M2895">
        <v>0</v>
      </c>
      <c r="N2895" t="s">
        <v>175</v>
      </c>
      <c r="O2895">
        <v>1</v>
      </c>
      <c r="P2895">
        <v>0</v>
      </c>
      <c r="Q2895" s="6">
        <v>34.1</v>
      </c>
      <c r="R2895">
        <v>0</v>
      </c>
      <c r="S2895" s="6">
        <v>0</v>
      </c>
      <c r="T2895">
        <v>0</v>
      </c>
      <c r="U2895" s="6">
        <v>1426</v>
      </c>
      <c r="V2895">
        <v>0</v>
      </c>
      <c r="W2895">
        <v>0</v>
      </c>
      <c r="X2895">
        <v>0</v>
      </c>
      <c r="Y2895" s="6">
        <v>41.7</v>
      </c>
      <c r="Z2895">
        <v>7.0999999999999994E-2</v>
      </c>
      <c r="AA2895">
        <v>0.14199999999999999</v>
      </c>
      <c r="AB2895">
        <v>2.9000000000000001E-2</v>
      </c>
      <c r="AC2895">
        <v>5</v>
      </c>
      <c r="AD2895" s="6">
        <v>51</v>
      </c>
      <c r="AE2895" s="6">
        <v>0</v>
      </c>
      <c r="AF2895" s="6">
        <v>0</v>
      </c>
      <c r="AG2895" s="6">
        <v>60.62</v>
      </c>
      <c r="AH2895" s="6">
        <v>78.86</v>
      </c>
      <c r="AI2895" s="6">
        <f t="shared" si="90"/>
        <v>18.240000000000002</v>
      </c>
      <c r="AJ2895" s="5">
        <f t="shared" si="91"/>
        <v>0.23129596753740808</v>
      </c>
    </row>
    <row r="2896" spans="1:36">
      <c r="A2896" t="s">
        <v>501</v>
      </c>
      <c r="B2896" t="s">
        <v>3181</v>
      </c>
      <c r="C2896" t="s">
        <v>124</v>
      </c>
      <c r="D2896" t="s">
        <v>77</v>
      </c>
      <c r="E2896" t="s">
        <v>55</v>
      </c>
      <c r="F2896">
        <v>0</v>
      </c>
      <c r="G2896">
        <v>658</v>
      </c>
      <c r="H2896">
        <v>1</v>
      </c>
      <c r="I2896" t="s">
        <v>173</v>
      </c>
      <c r="J2896">
        <v>1</v>
      </c>
      <c r="K2896" s="6">
        <v>2.44</v>
      </c>
      <c r="L2896" t="s">
        <v>174</v>
      </c>
      <c r="M2896">
        <v>0</v>
      </c>
      <c r="N2896" t="s">
        <v>272</v>
      </c>
      <c r="O2896">
        <v>5</v>
      </c>
      <c r="P2896">
        <v>1</v>
      </c>
      <c r="Q2896" s="6">
        <v>264.60000000000002</v>
      </c>
      <c r="R2896">
        <v>0</v>
      </c>
      <c r="S2896" s="6">
        <v>0</v>
      </c>
      <c r="T2896">
        <v>0</v>
      </c>
      <c r="U2896" s="6">
        <v>808</v>
      </c>
      <c r="V2896">
        <v>0</v>
      </c>
      <c r="W2896">
        <v>0</v>
      </c>
      <c r="X2896">
        <v>0</v>
      </c>
      <c r="Y2896" s="6">
        <v>41.7</v>
      </c>
      <c r="Z2896">
        <v>7.0999999999999994E-2</v>
      </c>
      <c r="AA2896">
        <v>0.14199999999999999</v>
      </c>
      <c r="AB2896">
        <v>2.9000000000000001E-2</v>
      </c>
      <c r="AC2896">
        <v>5</v>
      </c>
      <c r="AD2896" s="6">
        <v>51</v>
      </c>
      <c r="AE2896" s="6">
        <v>0</v>
      </c>
      <c r="AF2896" s="6">
        <v>0</v>
      </c>
      <c r="AG2896" s="6">
        <v>146.41999999999999</v>
      </c>
      <c r="AH2896" s="6">
        <v>184.69</v>
      </c>
      <c r="AI2896" s="6">
        <f t="shared" si="90"/>
        <v>38.27000000000001</v>
      </c>
      <c r="AJ2896" s="5">
        <f t="shared" si="91"/>
        <v>0.20721208511559916</v>
      </c>
    </row>
    <row r="2897" spans="1:36">
      <c r="A2897" t="s">
        <v>517</v>
      </c>
      <c r="B2897" t="s">
        <v>3182</v>
      </c>
      <c r="C2897" t="s">
        <v>124</v>
      </c>
      <c r="D2897" t="s">
        <v>77</v>
      </c>
      <c r="E2897" t="s">
        <v>55</v>
      </c>
      <c r="F2897">
        <v>0</v>
      </c>
      <c r="G2897">
        <v>658</v>
      </c>
      <c r="H2897">
        <v>1</v>
      </c>
      <c r="I2897" t="s">
        <v>173</v>
      </c>
      <c r="J2897">
        <v>1</v>
      </c>
      <c r="K2897" s="6">
        <v>1.86</v>
      </c>
      <c r="L2897" t="s">
        <v>174</v>
      </c>
      <c r="M2897">
        <v>0</v>
      </c>
      <c r="N2897" t="s">
        <v>175</v>
      </c>
      <c r="O2897">
        <v>1</v>
      </c>
      <c r="P2897">
        <v>0</v>
      </c>
      <c r="Q2897" s="6">
        <v>25.9</v>
      </c>
      <c r="R2897">
        <v>0</v>
      </c>
      <c r="S2897" s="6">
        <v>0</v>
      </c>
      <c r="T2897">
        <v>0</v>
      </c>
      <c r="U2897" s="6">
        <v>2806</v>
      </c>
      <c r="V2897">
        <v>0</v>
      </c>
      <c r="W2897">
        <v>0</v>
      </c>
      <c r="X2897">
        <v>0</v>
      </c>
      <c r="Y2897" s="6">
        <v>41.7</v>
      </c>
      <c r="Z2897">
        <v>7.0999999999999994E-2</v>
      </c>
      <c r="AA2897">
        <v>0.14199999999999999</v>
      </c>
      <c r="AB2897">
        <v>2.9000000000000001E-2</v>
      </c>
      <c r="AC2897">
        <v>5</v>
      </c>
      <c r="AD2897" s="6">
        <v>51</v>
      </c>
      <c r="AE2897" s="6">
        <v>0</v>
      </c>
      <c r="AF2897" s="6">
        <v>0</v>
      </c>
      <c r="AG2897" s="6">
        <v>59.49</v>
      </c>
      <c r="AH2897" s="6">
        <v>75.08</v>
      </c>
      <c r="AI2897" s="6">
        <f t="shared" si="90"/>
        <v>15.589999999999996</v>
      </c>
      <c r="AJ2897" s="5">
        <f t="shared" si="91"/>
        <v>0.20764517847629191</v>
      </c>
    </row>
    <row r="2898" spans="1:36">
      <c r="A2898" t="s">
        <v>469</v>
      </c>
      <c r="B2898" t="s">
        <v>3183</v>
      </c>
      <c r="C2898" t="s">
        <v>124</v>
      </c>
      <c r="D2898" t="s">
        <v>77</v>
      </c>
      <c r="E2898" t="s">
        <v>55</v>
      </c>
      <c r="F2898">
        <v>0</v>
      </c>
      <c r="G2898">
        <v>658</v>
      </c>
      <c r="H2898">
        <v>1</v>
      </c>
      <c r="I2898" t="s">
        <v>178</v>
      </c>
      <c r="J2898">
        <v>4</v>
      </c>
      <c r="K2898" s="6">
        <v>12.7</v>
      </c>
      <c r="L2898" t="s">
        <v>174</v>
      </c>
      <c r="M2898">
        <v>0</v>
      </c>
      <c r="N2898" t="s">
        <v>175</v>
      </c>
      <c r="O2898">
        <v>1</v>
      </c>
      <c r="P2898">
        <v>0</v>
      </c>
      <c r="Q2898" s="6">
        <v>29.5</v>
      </c>
      <c r="R2898">
        <v>0</v>
      </c>
      <c r="S2898" s="6">
        <v>0</v>
      </c>
      <c r="T2898">
        <v>0</v>
      </c>
      <c r="U2898" s="6">
        <v>3373</v>
      </c>
      <c r="V2898">
        <v>0</v>
      </c>
      <c r="W2898">
        <v>0</v>
      </c>
      <c r="X2898">
        <v>0</v>
      </c>
      <c r="Y2898" s="6">
        <v>41.7</v>
      </c>
      <c r="Z2898">
        <v>7.0999999999999994E-2</v>
      </c>
      <c r="AA2898">
        <v>0.14199999999999999</v>
      </c>
      <c r="AB2898">
        <v>2.9000000000000001E-2</v>
      </c>
      <c r="AC2898">
        <v>5</v>
      </c>
      <c r="AD2898" s="6">
        <v>66</v>
      </c>
      <c r="AE2898" s="6">
        <v>0</v>
      </c>
      <c r="AF2898" s="6">
        <v>0</v>
      </c>
      <c r="AG2898" s="6">
        <v>121.54</v>
      </c>
      <c r="AH2898" s="6">
        <v>154.85</v>
      </c>
      <c r="AI2898" s="6">
        <f t="shared" si="90"/>
        <v>33.309999999999988</v>
      </c>
      <c r="AJ2898" s="5">
        <f t="shared" si="91"/>
        <v>0.21511139812721983</v>
      </c>
    </row>
    <row r="2899" spans="1:36">
      <c r="A2899" t="s">
        <v>765</v>
      </c>
      <c r="B2899" t="s">
        <v>3184</v>
      </c>
      <c r="C2899" t="s">
        <v>124</v>
      </c>
      <c r="D2899" t="s">
        <v>77</v>
      </c>
      <c r="E2899" t="s">
        <v>55</v>
      </c>
      <c r="F2899">
        <v>0</v>
      </c>
      <c r="G2899">
        <v>658</v>
      </c>
      <c r="H2899">
        <v>1</v>
      </c>
      <c r="I2899" t="s">
        <v>220</v>
      </c>
      <c r="J2899">
        <v>2</v>
      </c>
      <c r="K2899" s="6">
        <v>5.35</v>
      </c>
      <c r="L2899" t="s">
        <v>174</v>
      </c>
      <c r="M2899">
        <v>0</v>
      </c>
      <c r="N2899" t="s">
        <v>175</v>
      </c>
      <c r="O2899">
        <v>1</v>
      </c>
      <c r="P2899">
        <v>1</v>
      </c>
      <c r="Q2899" s="6">
        <v>38.700000000000003</v>
      </c>
      <c r="R2899">
        <v>0</v>
      </c>
      <c r="S2899" s="6">
        <v>0</v>
      </c>
      <c r="T2899">
        <v>0</v>
      </c>
      <c r="U2899" s="6">
        <v>2302</v>
      </c>
      <c r="V2899">
        <v>0</v>
      </c>
      <c r="W2899">
        <v>0</v>
      </c>
      <c r="X2899">
        <v>0</v>
      </c>
      <c r="Y2899" s="6">
        <v>41.7</v>
      </c>
      <c r="Z2899">
        <v>7.0999999999999994E-2</v>
      </c>
      <c r="AA2899">
        <v>0.14199999999999999</v>
      </c>
      <c r="AB2899">
        <v>2.9000000000000001E-2</v>
      </c>
      <c r="AC2899">
        <v>5</v>
      </c>
      <c r="AD2899" s="6">
        <v>51</v>
      </c>
      <c r="AE2899" s="6">
        <v>0</v>
      </c>
      <c r="AF2899" s="6">
        <v>0</v>
      </c>
      <c r="AG2899" s="6">
        <v>93.85</v>
      </c>
      <c r="AH2899" s="6">
        <v>121.98</v>
      </c>
      <c r="AI2899" s="6">
        <f t="shared" si="90"/>
        <v>28.13000000000001</v>
      </c>
      <c r="AJ2899" s="5">
        <f t="shared" si="91"/>
        <v>0.23061157566814239</v>
      </c>
    </row>
    <row r="2900" spans="1:36">
      <c r="A2900" t="s">
        <v>261</v>
      </c>
      <c r="B2900" t="s">
        <v>3185</v>
      </c>
      <c r="C2900" t="s">
        <v>124</v>
      </c>
      <c r="D2900" t="s">
        <v>77</v>
      </c>
      <c r="E2900" t="s">
        <v>55</v>
      </c>
      <c r="F2900">
        <v>0</v>
      </c>
      <c r="G2900">
        <v>658</v>
      </c>
      <c r="H2900">
        <v>1</v>
      </c>
      <c r="I2900" t="s">
        <v>181</v>
      </c>
      <c r="J2900">
        <v>3</v>
      </c>
      <c r="K2900" s="6">
        <v>9.89</v>
      </c>
      <c r="L2900" t="s">
        <v>174</v>
      </c>
      <c r="M2900">
        <v>0</v>
      </c>
      <c r="N2900" t="s">
        <v>175</v>
      </c>
      <c r="O2900">
        <v>1</v>
      </c>
      <c r="P2900">
        <v>0</v>
      </c>
      <c r="Q2900" s="6">
        <v>33.700000000000003</v>
      </c>
      <c r="R2900">
        <v>1</v>
      </c>
      <c r="S2900" s="6">
        <v>1733</v>
      </c>
      <c r="T2900">
        <v>0</v>
      </c>
      <c r="U2900" s="6">
        <v>1466</v>
      </c>
      <c r="V2900">
        <v>0</v>
      </c>
      <c r="W2900">
        <v>0</v>
      </c>
      <c r="X2900">
        <v>0</v>
      </c>
      <c r="Y2900" s="6">
        <v>41.7</v>
      </c>
      <c r="Z2900">
        <v>7.0999999999999994E-2</v>
      </c>
      <c r="AA2900">
        <v>0.14199999999999999</v>
      </c>
      <c r="AB2900">
        <v>2.9000000000000001E-2</v>
      </c>
      <c r="AC2900">
        <v>5</v>
      </c>
      <c r="AD2900" s="6">
        <v>61</v>
      </c>
      <c r="AE2900" s="6">
        <v>25</v>
      </c>
      <c r="AF2900" s="6">
        <v>0</v>
      </c>
      <c r="AG2900" s="6">
        <v>114.63</v>
      </c>
      <c r="AH2900" s="6">
        <v>147.55000000000001</v>
      </c>
      <c r="AI2900" s="6">
        <f t="shared" si="90"/>
        <v>32.920000000000016</v>
      </c>
      <c r="AJ2900" s="5">
        <f t="shared" si="91"/>
        <v>0.22311080989495097</v>
      </c>
    </row>
    <row r="2901" spans="1:36">
      <c r="A2901" t="s">
        <v>384</v>
      </c>
      <c r="B2901" t="s">
        <v>3186</v>
      </c>
      <c r="C2901" t="s">
        <v>126</v>
      </c>
      <c r="D2901" t="s">
        <v>60</v>
      </c>
      <c r="E2901" t="s">
        <v>69</v>
      </c>
      <c r="F2901">
        <v>0</v>
      </c>
      <c r="G2901">
        <v>2327</v>
      </c>
      <c r="H2901">
        <v>1.22</v>
      </c>
      <c r="I2901" t="s">
        <v>220</v>
      </c>
      <c r="J2901">
        <v>2</v>
      </c>
      <c r="K2901" s="6">
        <v>3.52</v>
      </c>
      <c r="L2901" t="s">
        <v>200</v>
      </c>
      <c r="M2901">
        <v>1</v>
      </c>
      <c r="N2901" t="s">
        <v>175</v>
      </c>
      <c r="O2901">
        <v>1</v>
      </c>
      <c r="P2901">
        <v>0</v>
      </c>
      <c r="Q2901" s="6">
        <v>27.1</v>
      </c>
      <c r="R2901">
        <v>0</v>
      </c>
      <c r="S2901" s="6">
        <v>0</v>
      </c>
      <c r="T2901">
        <v>0</v>
      </c>
      <c r="U2901" s="6">
        <v>1819</v>
      </c>
      <c r="V2901">
        <v>0</v>
      </c>
      <c r="W2901">
        <v>0</v>
      </c>
      <c r="X2901">
        <v>0</v>
      </c>
      <c r="Y2901" s="6">
        <v>51.4</v>
      </c>
      <c r="Z2901">
        <v>0.80300000000000005</v>
      </c>
      <c r="AA2901">
        <v>8.6999999999999994E-2</v>
      </c>
      <c r="AB2901">
        <v>5.7000000000000002E-2</v>
      </c>
      <c r="AC2901">
        <v>6</v>
      </c>
      <c r="AD2901" s="6">
        <v>119</v>
      </c>
      <c r="AE2901" s="6">
        <v>0</v>
      </c>
      <c r="AF2901" s="6">
        <v>0</v>
      </c>
      <c r="AG2901" s="6">
        <v>92.59</v>
      </c>
      <c r="AH2901" s="6">
        <v>121.1</v>
      </c>
      <c r="AI2901" s="6">
        <f t="shared" si="90"/>
        <v>28.509999999999991</v>
      </c>
      <c r="AJ2901" s="5">
        <f t="shared" si="91"/>
        <v>0.23542526837324518</v>
      </c>
    </row>
    <row r="2902" spans="1:36">
      <c r="A2902" t="s">
        <v>353</v>
      </c>
      <c r="B2902" t="s">
        <v>3187</v>
      </c>
      <c r="C2902" t="s">
        <v>126</v>
      </c>
      <c r="D2902" t="s">
        <v>60</v>
      </c>
      <c r="E2902" t="s">
        <v>69</v>
      </c>
      <c r="F2902">
        <v>0</v>
      </c>
      <c r="G2902">
        <v>2327</v>
      </c>
      <c r="H2902">
        <v>1.22</v>
      </c>
      <c r="I2902" t="s">
        <v>173</v>
      </c>
      <c r="J2902">
        <v>1</v>
      </c>
      <c r="K2902" s="6">
        <v>1.89</v>
      </c>
      <c r="L2902" t="s">
        <v>200</v>
      </c>
      <c r="M2902">
        <v>1</v>
      </c>
      <c r="N2902" t="s">
        <v>182</v>
      </c>
      <c r="O2902">
        <v>3</v>
      </c>
      <c r="P2902">
        <v>0</v>
      </c>
      <c r="Q2902" s="6">
        <v>77.5</v>
      </c>
      <c r="R2902">
        <v>0</v>
      </c>
      <c r="S2902" s="6">
        <v>0</v>
      </c>
      <c r="T2902">
        <v>0</v>
      </c>
      <c r="U2902" s="6">
        <v>656</v>
      </c>
      <c r="V2902">
        <v>0</v>
      </c>
      <c r="W2902">
        <v>0</v>
      </c>
      <c r="X2902">
        <v>0</v>
      </c>
      <c r="Y2902" s="6">
        <v>51.4</v>
      </c>
      <c r="Z2902">
        <v>0.80300000000000005</v>
      </c>
      <c r="AA2902">
        <v>8.6999999999999994E-2</v>
      </c>
      <c r="AB2902">
        <v>5.7000000000000002E-2</v>
      </c>
      <c r="AC2902">
        <v>6</v>
      </c>
      <c r="AD2902" s="6">
        <v>99</v>
      </c>
      <c r="AE2902" s="6">
        <v>0</v>
      </c>
      <c r="AF2902" s="6">
        <v>0</v>
      </c>
      <c r="AG2902" s="6">
        <v>95.09</v>
      </c>
      <c r="AH2902" s="6">
        <v>121.76</v>
      </c>
      <c r="AI2902" s="6">
        <f t="shared" si="90"/>
        <v>26.67</v>
      </c>
      <c r="AJ2902" s="5">
        <f t="shared" si="91"/>
        <v>0.21903745072273326</v>
      </c>
    </row>
    <row r="2903" spans="1:36">
      <c r="A2903" t="s">
        <v>313</v>
      </c>
      <c r="B2903" t="s">
        <v>3188</v>
      </c>
      <c r="C2903" t="s">
        <v>126</v>
      </c>
      <c r="D2903" t="s">
        <v>60</v>
      </c>
      <c r="E2903" t="s">
        <v>69</v>
      </c>
      <c r="F2903">
        <v>0</v>
      </c>
      <c r="G2903">
        <v>2327</v>
      </c>
      <c r="H2903">
        <v>1.22</v>
      </c>
      <c r="I2903" t="s">
        <v>173</v>
      </c>
      <c r="J2903">
        <v>1</v>
      </c>
      <c r="K2903" s="6">
        <v>1.92</v>
      </c>
      <c r="L2903" t="s">
        <v>200</v>
      </c>
      <c r="M2903">
        <v>1</v>
      </c>
      <c r="N2903" t="s">
        <v>187</v>
      </c>
      <c r="O2903">
        <v>2</v>
      </c>
      <c r="P2903">
        <v>0</v>
      </c>
      <c r="Q2903" s="6">
        <v>73.400000000000006</v>
      </c>
      <c r="R2903">
        <v>1</v>
      </c>
      <c r="S2903" s="6">
        <v>2283</v>
      </c>
      <c r="T2903">
        <v>0</v>
      </c>
      <c r="U2903" s="6">
        <v>1836</v>
      </c>
      <c r="V2903">
        <v>0</v>
      </c>
      <c r="W2903">
        <v>0</v>
      </c>
      <c r="X2903">
        <v>0</v>
      </c>
      <c r="Y2903" s="6">
        <v>51.4</v>
      </c>
      <c r="Z2903">
        <v>0.80300000000000005</v>
      </c>
      <c r="AA2903">
        <v>8.6999999999999994E-2</v>
      </c>
      <c r="AB2903">
        <v>5.7000000000000002E-2</v>
      </c>
      <c r="AC2903">
        <v>6</v>
      </c>
      <c r="AD2903" s="6">
        <v>99</v>
      </c>
      <c r="AE2903" s="6">
        <v>40</v>
      </c>
      <c r="AF2903" s="6">
        <v>0</v>
      </c>
      <c r="AG2903" s="6">
        <v>100.82</v>
      </c>
      <c r="AH2903" s="6">
        <v>129.66</v>
      </c>
      <c r="AI2903" s="6">
        <f t="shared" si="90"/>
        <v>28.840000000000003</v>
      </c>
      <c r="AJ2903" s="5">
        <f t="shared" si="91"/>
        <v>0.22242788832330715</v>
      </c>
    </row>
    <row r="2904" spans="1:36">
      <c r="A2904" t="s">
        <v>693</v>
      </c>
      <c r="B2904" t="s">
        <v>3189</v>
      </c>
      <c r="C2904" t="s">
        <v>126</v>
      </c>
      <c r="D2904" t="s">
        <v>60</v>
      </c>
      <c r="E2904" t="s">
        <v>69</v>
      </c>
      <c r="F2904">
        <v>0</v>
      </c>
      <c r="G2904">
        <v>2327</v>
      </c>
      <c r="H2904">
        <v>1.22</v>
      </c>
      <c r="I2904" t="s">
        <v>181</v>
      </c>
      <c r="J2904">
        <v>3</v>
      </c>
      <c r="K2904" s="6">
        <v>8.82</v>
      </c>
      <c r="L2904" t="s">
        <v>200</v>
      </c>
      <c r="M2904">
        <v>1</v>
      </c>
      <c r="N2904" t="s">
        <v>175</v>
      </c>
      <c r="O2904">
        <v>1</v>
      </c>
      <c r="P2904">
        <v>0</v>
      </c>
      <c r="Q2904" s="6">
        <v>51.8</v>
      </c>
      <c r="R2904">
        <v>1</v>
      </c>
      <c r="S2904" s="6">
        <v>374</v>
      </c>
      <c r="T2904">
        <v>0</v>
      </c>
      <c r="U2904" s="6">
        <v>395</v>
      </c>
      <c r="V2904">
        <v>0</v>
      </c>
      <c r="W2904">
        <v>0</v>
      </c>
      <c r="X2904">
        <v>0</v>
      </c>
      <c r="Y2904" s="6">
        <v>51.4</v>
      </c>
      <c r="Z2904">
        <v>0.80300000000000005</v>
      </c>
      <c r="AA2904">
        <v>8.6999999999999994E-2</v>
      </c>
      <c r="AB2904">
        <v>5.7000000000000002E-2</v>
      </c>
      <c r="AC2904">
        <v>6</v>
      </c>
      <c r="AD2904" s="6">
        <v>139</v>
      </c>
      <c r="AE2904" s="6">
        <v>25</v>
      </c>
      <c r="AF2904" s="6">
        <v>0</v>
      </c>
      <c r="AG2904" s="6">
        <v>130.37</v>
      </c>
      <c r="AH2904" s="6">
        <v>165.05</v>
      </c>
      <c r="AI2904" s="6">
        <f t="shared" si="90"/>
        <v>34.680000000000007</v>
      </c>
      <c r="AJ2904" s="5">
        <f t="shared" si="91"/>
        <v>0.2101181460163587</v>
      </c>
    </row>
    <row r="2905" spans="1:36">
      <c r="A2905" t="s">
        <v>765</v>
      </c>
      <c r="B2905" t="s">
        <v>3190</v>
      </c>
      <c r="C2905" t="s">
        <v>126</v>
      </c>
      <c r="D2905" t="s">
        <v>60</v>
      </c>
      <c r="E2905" t="s">
        <v>69</v>
      </c>
      <c r="F2905">
        <v>0</v>
      </c>
      <c r="G2905">
        <v>2327</v>
      </c>
      <c r="H2905">
        <v>1.22</v>
      </c>
      <c r="I2905" t="s">
        <v>173</v>
      </c>
      <c r="J2905">
        <v>1</v>
      </c>
      <c r="K2905" s="6">
        <v>0.96</v>
      </c>
      <c r="L2905" t="s">
        <v>174</v>
      </c>
      <c r="M2905">
        <v>0</v>
      </c>
      <c r="N2905" t="s">
        <v>182</v>
      </c>
      <c r="O2905">
        <v>3</v>
      </c>
      <c r="P2905">
        <v>0</v>
      </c>
      <c r="Q2905" s="6">
        <v>72</v>
      </c>
      <c r="R2905">
        <v>0</v>
      </c>
      <c r="S2905" s="6">
        <v>0</v>
      </c>
      <c r="T2905">
        <v>0</v>
      </c>
      <c r="U2905" s="6">
        <v>4819</v>
      </c>
      <c r="V2905">
        <v>0</v>
      </c>
      <c r="W2905">
        <v>0</v>
      </c>
      <c r="X2905">
        <v>0</v>
      </c>
      <c r="Y2905" s="6">
        <v>51.4</v>
      </c>
      <c r="Z2905">
        <v>0.80300000000000005</v>
      </c>
      <c r="AA2905">
        <v>8.6999999999999994E-2</v>
      </c>
      <c r="AB2905">
        <v>5.7000000000000002E-2</v>
      </c>
      <c r="AC2905">
        <v>6</v>
      </c>
      <c r="AD2905" s="6">
        <v>50</v>
      </c>
      <c r="AE2905" s="6">
        <v>0</v>
      </c>
      <c r="AF2905" s="6">
        <v>0</v>
      </c>
      <c r="AG2905" s="6">
        <v>67.569999999999993</v>
      </c>
      <c r="AH2905" s="6">
        <v>85.27</v>
      </c>
      <c r="AI2905" s="6">
        <f t="shared" si="90"/>
        <v>17.700000000000003</v>
      </c>
      <c r="AJ2905" s="5">
        <f t="shared" si="91"/>
        <v>0.20757593526445414</v>
      </c>
    </row>
    <row r="2906" spans="1:36">
      <c r="A2906" t="s">
        <v>411</v>
      </c>
      <c r="B2906" t="s">
        <v>3191</v>
      </c>
      <c r="C2906" t="s">
        <v>126</v>
      </c>
      <c r="D2906" t="s">
        <v>60</v>
      </c>
      <c r="E2906" t="s">
        <v>69</v>
      </c>
      <c r="F2906">
        <v>0</v>
      </c>
      <c r="G2906">
        <v>2327</v>
      </c>
      <c r="H2906">
        <v>1.22</v>
      </c>
      <c r="I2906" t="s">
        <v>181</v>
      </c>
      <c r="J2906">
        <v>3</v>
      </c>
      <c r="K2906" s="6">
        <v>6.18</v>
      </c>
      <c r="L2906" t="s">
        <v>174</v>
      </c>
      <c r="M2906">
        <v>0</v>
      </c>
      <c r="N2906" t="s">
        <v>187</v>
      </c>
      <c r="O2906">
        <v>2</v>
      </c>
      <c r="P2906">
        <v>0</v>
      </c>
      <c r="Q2906" s="6">
        <v>48.6</v>
      </c>
      <c r="R2906">
        <v>0</v>
      </c>
      <c r="S2906" s="6">
        <v>0</v>
      </c>
      <c r="T2906">
        <v>0</v>
      </c>
      <c r="U2906" s="6">
        <v>2452</v>
      </c>
      <c r="V2906">
        <v>0</v>
      </c>
      <c r="W2906">
        <v>0</v>
      </c>
      <c r="X2906">
        <v>0</v>
      </c>
      <c r="Y2906" s="6">
        <v>51.4</v>
      </c>
      <c r="Z2906">
        <v>0.80300000000000005</v>
      </c>
      <c r="AA2906">
        <v>8.6999999999999994E-2</v>
      </c>
      <c r="AB2906">
        <v>5.7000000000000002E-2</v>
      </c>
      <c r="AC2906">
        <v>6</v>
      </c>
      <c r="AD2906" s="6">
        <v>60</v>
      </c>
      <c r="AE2906" s="6">
        <v>0</v>
      </c>
      <c r="AF2906" s="6">
        <v>0</v>
      </c>
      <c r="AG2906" s="6">
        <v>89.91</v>
      </c>
      <c r="AH2906" s="6">
        <v>112.75</v>
      </c>
      <c r="AI2906" s="6">
        <f t="shared" si="90"/>
        <v>22.840000000000003</v>
      </c>
      <c r="AJ2906" s="5">
        <f t="shared" si="91"/>
        <v>0.20257206208425724</v>
      </c>
    </row>
    <row r="2907" spans="1:36">
      <c r="A2907" t="s">
        <v>245</v>
      </c>
      <c r="B2907" t="s">
        <v>3192</v>
      </c>
      <c r="C2907" t="s">
        <v>126</v>
      </c>
      <c r="D2907" t="s">
        <v>60</v>
      </c>
      <c r="E2907" t="s">
        <v>69</v>
      </c>
      <c r="F2907">
        <v>0</v>
      </c>
      <c r="G2907">
        <v>2327</v>
      </c>
      <c r="H2907">
        <v>1.22</v>
      </c>
      <c r="I2907" t="s">
        <v>181</v>
      </c>
      <c r="J2907">
        <v>3</v>
      </c>
      <c r="K2907" s="6">
        <v>7.12</v>
      </c>
      <c r="L2907" t="s">
        <v>200</v>
      </c>
      <c r="M2907">
        <v>1</v>
      </c>
      <c r="N2907" t="s">
        <v>182</v>
      </c>
      <c r="O2907">
        <v>3</v>
      </c>
      <c r="P2907">
        <v>0</v>
      </c>
      <c r="Q2907" s="6">
        <v>141.30000000000001</v>
      </c>
      <c r="R2907">
        <v>0</v>
      </c>
      <c r="S2907" s="6">
        <v>0</v>
      </c>
      <c r="T2907">
        <v>0</v>
      </c>
      <c r="U2907" s="6">
        <v>1657</v>
      </c>
      <c r="V2907">
        <v>0</v>
      </c>
      <c r="W2907">
        <v>0</v>
      </c>
      <c r="X2907">
        <v>0</v>
      </c>
      <c r="Y2907" s="6">
        <v>51.4</v>
      </c>
      <c r="Z2907">
        <v>0.80300000000000005</v>
      </c>
      <c r="AA2907">
        <v>8.6999999999999994E-2</v>
      </c>
      <c r="AB2907">
        <v>5.7000000000000002E-2</v>
      </c>
      <c r="AC2907">
        <v>6</v>
      </c>
      <c r="AD2907" s="6">
        <v>139</v>
      </c>
      <c r="AE2907" s="6">
        <v>0</v>
      </c>
      <c r="AF2907" s="6">
        <v>0</v>
      </c>
      <c r="AG2907" s="6">
        <v>128.31</v>
      </c>
      <c r="AH2907" s="6">
        <v>162.38</v>
      </c>
      <c r="AI2907" s="6">
        <f t="shared" si="90"/>
        <v>34.069999999999993</v>
      </c>
      <c r="AJ2907" s="5">
        <f t="shared" si="91"/>
        <v>0.20981647986205193</v>
      </c>
    </row>
    <row r="2908" spans="1:36">
      <c r="A2908" t="s">
        <v>183</v>
      </c>
      <c r="B2908" t="s">
        <v>3193</v>
      </c>
      <c r="C2908" t="s">
        <v>126</v>
      </c>
      <c r="D2908" t="s">
        <v>60</v>
      </c>
      <c r="E2908" t="s">
        <v>69</v>
      </c>
      <c r="F2908">
        <v>0</v>
      </c>
      <c r="G2908">
        <v>2327</v>
      </c>
      <c r="H2908">
        <v>1</v>
      </c>
      <c r="I2908" t="s">
        <v>181</v>
      </c>
      <c r="J2908">
        <v>3</v>
      </c>
      <c r="K2908" s="6">
        <v>10.99</v>
      </c>
      <c r="L2908" t="s">
        <v>200</v>
      </c>
      <c r="M2908">
        <v>1</v>
      </c>
      <c r="N2908" t="s">
        <v>217</v>
      </c>
      <c r="O2908">
        <v>4</v>
      </c>
      <c r="P2908">
        <v>1</v>
      </c>
      <c r="Q2908" s="6">
        <v>138.6</v>
      </c>
      <c r="R2908">
        <v>0</v>
      </c>
      <c r="S2908" s="6">
        <v>0</v>
      </c>
      <c r="T2908">
        <v>0</v>
      </c>
      <c r="U2908" s="6">
        <v>1978</v>
      </c>
      <c r="V2908">
        <v>0</v>
      </c>
      <c r="W2908">
        <v>0</v>
      </c>
      <c r="X2908">
        <v>0</v>
      </c>
      <c r="Y2908" s="6">
        <v>51.4</v>
      </c>
      <c r="Z2908">
        <v>0.80300000000000005</v>
      </c>
      <c r="AA2908">
        <v>8.6999999999999994E-2</v>
      </c>
      <c r="AB2908">
        <v>5.7000000000000002E-2</v>
      </c>
      <c r="AC2908">
        <v>6</v>
      </c>
      <c r="AD2908" s="6">
        <v>139</v>
      </c>
      <c r="AE2908" s="6">
        <v>0</v>
      </c>
      <c r="AF2908" s="6">
        <v>0</v>
      </c>
      <c r="AG2908" s="6">
        <v>190.44</v>
      </c>
      <c r="AH2908" s="6">
        <v>240.08</v>
      </c>
      <c r="AI2908" s="6">
        <f t="shared" si="90"/>
        <v>49.640000000000015</v>
      </c>
      <c r="AJ2908" s="5">
        <f t="shared" si="91"/>
        <v>0.20676441186271249</v>
      </c>
    </row>
    <row r="2909" spans="1:36">
      <c r="A2909" t="s">
        <v>238</v>
      </c>
      <c r="B2909" t="s">
        <v>3194</v>
      </c>
      <c r="C2909" t="s">
        <v>126</v>
      </c>
      <c r="D2909" t="s">
        <v>60</v>
      </c>
      <c r="E2909" t="s">
        <v>69</v>
      </c>
      <c r="F2909">
        <v>0</v>
      </c>
      <c r="G2909">
        <v>2327</v>
      </c>
      <c r="H2909">
        <v>1</v>
      </c>
      <c r="I2909" t="s">
        <v>178</v>
      </c>
      <c r="J2909">
        <v>4</v>
      </c>
      <c r="K2909" s="6">
        <v>12.29</v>
      </c>
      <c r="L2909" t="s">
        <v>174</v>
      </c>
      <c r="M2909">
        <v>0</v>
      </c>
      <c r="N2909" t="s">
        <v>187</v>
      </c>
      <c r="O2909">
        <v>2</v>
      </c>
      <c r="P2909">
        <v>0</v>
      </c>
      <c r="Q2909" s="6">
        <v>77.900000000000006</v>
      </c>
      <c r="R2909">
        <v>0</v>
      </c>
      <c r="S2909" s="6">
        <v>0</v>
      </c>
      <c r="T2909">
        <v>0</v>
      </c>
      <c r="U2909" s="6">
        <v>2398</v>
      </c>
      <c r="V2909">
        <v>0</v>
      </c>
      <c r="W2909">
        <v>0</v>
      </c>
      <c r="X2909">
        <v>0</v>
      </c>
      <c r="Y2909" s="6">
        <v>51.4</v>
      </c>
      <c r="Z2909">
        <v>0.80300000000000005</v>
      </c>
      <c r="AA2909">
        <v>8.6999999999999994E-2</v>
      </c>
      <c r="AB2909">
        <v>5.7000000000000002E-2</v>
      </c>
      <c r="AC2909">
        <v>6</v>
      </c>
      <c r="AD2909" s="6">
        <v>65</v>
      </c>
      <c r="AE2909" s="6">
        <v>0</v>
      </c>
      <c r="AF2909" s="6">
        <v>0</v>
      </c>
      <c r="AG2909" s="6">
        <v>125.52</v>
      </c>
      <c r="AH2909" s="6">
        <v>160.69999999999999</v>
      </c>
      <c r="AI2909" s="6">
        <f t="shared" si="90"/>
        <v>35.179999999999993</v>
      </c>
      <c r="AJ2909" s="5">
        <f t="shared" si="91"/>
        <v>0.21891723708774111</v>
      </c>
    </row>
    <row r="2910" spans="1:36">
      <c r="A2910" t="s">
        <v>223</v>
      </c>
      <c r="B2910" t="s">
        <v>3195</v>
      </c>
      <c r="C2910" t="s">
        <v>126</v>
      </c>
      <c r="D2910" t="s">
        <v>60</v>
      </c>
      <c r="E2910" t="s">
        <v>69</v>
      </c>
      <c r="F2910">
        <v>0</v>
      </c>
      <c r="G2910">
        <v>2327</v>
      </c>
      <c r="H2910">
        <v>1</v>
      </c>
      <c r="I2910" t="s">
        <v>178</v>
      </c>
      <c r="J2910">
        <v>4</v>
      </c>
      <c r="K2910" s="6">
        <v>10.8</v>
      </c>
      <c r="L2910" t="s">
        <v>174</v>
      </c>
      <c r="M2910">
        <v>0</v>
      </c>
      <c r="N2910" t="s">
        <v>187</v>
      </c>
      <c r="O2910">
        <v>2</v>
      </c>
      <c r="P2910">
        <v>0</v>
      </c>
      <c r="Q2910" s="6">
        <v>55.7</v>
      </c>
      <c r="R2910">
        <v>0</v>
      </c>
      <c r="S2910" s="6">
        <v>0</v>
      </c>
      <c r="T2910">
        <v>0</v>
      </c>
      <c r="U2910" s="6">
        <v>1202</v>
      </c>
      <c r="V2910">
        <v>0</v>
      </c>
      <c r="W2910">
        <v>0</v>
      </c>
      <c r="X2910">
        <v>0</v>
      </c>
      <c r="Y2910" s="6">
        <v>51.4</v>
      </c>
      <c r="Z2910">
        <v>0.80300000000000005</v>
      </c>
      <c r="AA2910">
        <v>8.6999999999999994E-2</v>
      </c>
      <c r="AB2910">
        <v>5.7000000000000002E-2</v>
      </c>
      <c r="AC2910">
        <v>6</v>
      </c>
      <c r="AD2910" s="6">
        <v>65</v>
      </c>
      <c r="AE2910" s="6">
        <v>0</v>
      </c>
      <c r="AF2910" s="6">
        <v>0</v>
      </c>
      <c r="AG2910" s="6">
        <v>113.32</v>
      </c>
      <c r="AH2910" s="6">
        <v>142.30000000000001</v>
      </c>
      <c r="AI2910" s="6">
        <f t="shared" si="90"/>
        <v>28.980000000000018</v>
      </c>
      <c r="AJ2910" s="5">
        <f t="shared" si="91"/>
        <v>0.20365425158116665</v>
      </c>
    </row>
    <row r="2911" spans="1:36">
      <c r="A2911" t="s">
        <v>251</v>
      </c>
      <c r="B2911" t="s">
        <v>3196</v>
      </c>
      <c r="C2911" t="s">
        <v>126</v>
      </c>
      <c r="D2911" t="s">
        <v>60</v>
      </c>
      <c r="E2911" t="s">
        <v>69</v>
      </c>
      <c r="F2911">
        <v>0</v>
      </c>
      <c r="G2911">
        <v>2327</v>
      </c>
      <c r="H2911">
        <v>1</v>
      </c>
      <c r="I2911" t="s">
        <v>173</v>
      </c>
      <c r="J2911">
        <v>1</v>
      </c>
      <c r="K2911" s="6">
        <v>1.1299999999999999</v>
      </c>
      <c r="L2911" t="s">
        <v>200</v>
      </c>
      <c r="M2911">
        <v>1</v>
      </c>
      <c r="N2911" t="s">
        <v>187</v>
      </c>
      <c r="O2911">
        <v>2</v>
      </c>
      <c r="P2911">
        <v>0</v>
      </c>
      <c r="Q2911" s="6">
        <v>67.8</v>
      </c>
      <c r="R2911">
        <v>0</v>
      </c>
      <c r="S2911" s="6">
        <v>0</v>
      </c>
      <c r="T2911">
        <v>0</v>
      </c>
      <c r="U2911" s="6">
        <v>4633</v>
      </c>
      <c r="V2911">
        <v>0</v>
      </c>
      <c r="W2911">
        <v>0</v>
      </c>
      <c r="X2911">
        <v>0</v>
      </c>
      <c r="Y2911" s="6">
        <v>51.4</v>
      </c>
      <c r="Z2911">
        <v>0.80300000000000005</v>
      </c>
      <c r="AA2911">
        <v>8.6999999999999994E-2</v>
      </c>
      <c r="AB2911">
        <v>5.7000000000000002E-2</v>
      </c>
      <c r="AC2911">
        <v>6</v>
      </c>
      <c r="AD2911" s="6">
        <v>99</v>
      </c>
      <c r="AE2911" s="6">
        <v>0</v>
      </c>
      <c r="AF2911" s="6">
        <v>0</v>
      </c>
      <c r="AG2911" s="6">
        <v>86.81</v>
      </c>
      <c r="AH2911" s="6">
        <v>112.39</v>
      </c>
      <c r="AI2911" s="6">
        <f t="shared" si="90"/>
        <v>25.58</v>
      </c>
      <c r="AJ2911" s="5">
        <f t="shared" si="91"/>
        <v>0.2276003203131951</v>
      </c>
    </row>
    <row r="2912" spans="1:36">
      <c r="A2912" t="s">
        <v>537</v>
      </c>
      <c r="B2912" t="s">
        <v>3197</v>
      </c>
      <c r="C2912" t="s">
        <v>126</v>
      </c>
      <c r="D2912" t="s">
        <v>60</v>
      </c>
      <c r="E2912" t="s">
        <v>69</v>
      </c>
      <c r="F2912">
        <v>0</v>
      </c>
      <c r="G2912">
        <v>2327</v>
      </c>
      <c r="H2912">
        <v>1.22</v>
      </c>
      <c r="I2912" t="s">
        <v>173</v>
      </c>
      <c r="J2912">
        <v>1</v>
      </c>
      <c r="K2912" s="6">
        <v>2.2999999999999998</v>
      </c>
      <c r="L2912" t="s">
        <v>200</v>
      </c>
      <c r="M2912">
        <v>1</v>
      </c>
      <c r="N2912" t="s">
        <v>187</v>
      </c>
      <c r="O2912">
        <v>2</v>
      </c>
      <c r="P2912">
        <v>0</v>
      </c>
      <c r="Q2912" s="6">
        <v>61.5</v>
      </c>
      <c r="R2912">
        <v>1</v>
      </c>
      <c r="S2912" s="6">
        <v>1612</v>
      </c>
      <c r="T2912">
        <v>0</v>
      </c>
      <c r="U2912" s="6">
        <v>1551</v>
      </c>
      <c r="V2912">
        <v>0</v>
      </c>
      <c r="W2912">
        <v>0</v>
      </c>
      <c r="X2912">
        <v>0</v>
      </c>
      <c r="Y2912" s="6">
        <v>51.4</v>
      </c>
      <c r="Z2912">
        <v>0.80300000000000005</v>
      </c>
      <c r="AA2912">
        <v>8.6999999999999994E-2</v>
      </c>
      <c r="AB2912">
        <v>5.7000000000000002E-2</v>
      </c>
      <c r="AC2912">
        <v>6</v>
      </c>
      <c r="AD2912" s="6">
        <v>99</v>
      </c>
      <c r="AE2912" s="6">
        <v>25</v>
      </c>
      <c r="AF2912" s="6">
        <v>0</v>
      </c>
      <c r="AG2912" s="6">
        <v>96.66</v>
      </c>
      <c r="AH2912" s="6">
        <v>123.31</v>
      </c>
      <c r="AI2912" s="6">
        <f t="shared" si="90"/>
        <v>26.650000000000006</v>
      </c>
      <c r="AJ2912" s="5">
        <f t="shared" si="91"/>
        <v>0.2161219690211662</v>
      </c>
    </row>
    <row r="2913" spans="1:36">
      <c r="A2913" t="s">
        <v>313</v>
      </c>
      <c r="B2913" t="s">
        <v>3198</v>
      </c>
      <c r="C2913" t="s">
        <v>126</v>
      </c>
      <c r="D2913" t="s">
        <v>60</v>
      </c>
      <c r="E2913" t="s">
        <v>69</v>
      </c>
      <c r="F2913">
        <v>0</v>
      </c>
      <c r="G2913">
        <v>2327</v>
      </c>
      <c r="H2913">
        <v>1.22</v>
      </c>
      <c r="I2913" t="s">
        <v>173</v>
      </c>
      <c r="J2913">
        <v>1</v>
      </c>
      <c r="K2913" s="6">
        <v>1.52</v>
      </c>
      <c r="L2913" t="s">
        <v>200</v>
      </c>
      <c r="M2913">
        <v>1</v>
      </c>
      <c r="N2913" t="s">
        <v>187</v>
      </c>
      <c r="O2913">
        <v>2</v>
      </c>
      <c r="P2913">
        <v>0</v>
      </c>
      <c r="Q2913" s="6">
        <v>46.1</v>
      </c>
      <c r="R2913">
        <v>1</v>
      </c>
      <c r="S2913" s="6">
        <v>1429</v>
      </c>
      <c r="T2913">
        <v>0</v>
      </c>
      <c r="U2913" s="6">
        <v>4204</v>
      </c>
      <c r="V2913">
        <v>0</v>
      </c>
      <c r="W2913">
        <v>0</v>
      </c>
      <c r="X2913">
        <v>0</v>
      </c>
      <c r="Y2913" s="6">
        <v>51.4</v>
      </c>
      <c r="Z2913">
        <v>0.80300000000000005</v>
      </c>
      <c r="AA2913">
        <v>8.6999999999999994E-2</v>
      </c>
      <c r="AB2913">
        <v>5.7000000000000002E-2</v>
      </c>
      <c r="AC2913">
        <v>6</v>
      </c>
      <c r="AD2913" s="6">
        <v>99</v>
      </c>
      <c r="AE2913" s="6">
        <v>25</v>
      </c>
      <c r="AF2913" s="6">
        <v>0</v>
      </c>
      <c r="AG2913" s="6">
        <v>89.54</v>
      </c>
      <c r="AH2913" s="6">
        <v>116.38</v>
      </c>
      <c r="AI2913" s="6">
        <f t="shared" si="90"/>
        <v>26.839999999999989</v>
      </c>
      <c r="AJ2913" s="5">
        <f t="shared" si="91"/>
        <v>0.23062381852551977</v>
      </c>
    </row>
    <row r="2914" spans="1:36">
      <c r="A2914" t="s">
        <v>501</v>
      </c>
      <c r="B2914" t="s">
        <v>3199</v>
      </c>
      <c r="C2914" t="s">
        <v>126</v>
      </c>
      <c r="D2914" t="s">
        <v>60</v>
      </c>
      <c r="E2914" t="s">
        <v>69</v>
      </c>
      <c r="F2914">
        <v>0</v>
      </c>
      <c r="G2914">
        <v>2327</v>
      </c>
      <c r="H2914">
        <v>1</v>
      </c>
      <c r="I2914" t="s">
        <v>173</v>
      </c>
      <c r="J2914">
        <v>1</v>
      </c>
      <c r="K2914" s="6">
        <v>1.86</v>
      </c>
      <c r="L2914" t="s">
        <v>200</v>
      </c>
      <c r="M2914">
        <v>1</v>
      </c>
      <c r="N2914" t="s">
        <v>175</v>
      </c>
      <c r="O2914">
        <v>1</v>
      </c>
      <c r="P2914">
        <v>0</v>
      </c>
      <c r="Q2914" s="6">
        <v>32</v>
      </c>
      <c r="R2914">
        <v>1</v>
      </c>
      <c r="S2914" s="6">
        <v>3405</v>
      </c>
      <c r="T2914">
        <v>0</v>
      </c>
      <c r="U2914" s="6">
        <v>1878</v>
      </c>
      <c r="V2914">
        <v>0</v>
      </c>
      <c r="W2914">
        <v>0</v>
      </c>
      <c r="X2914">
        <v>0</v>
      </c>
      <c r="Y2914" s="6">
        <v>51.4</v>
      </c>
      <c r="Z2914">
        <v>0.80300000000000005</v>
      </c>
      <c r="AA2914">
        <v>8.6999999999999994E-2</v>
      </c>
      <c r="AB2914">
        <v>5.7000000000000002E-2</v>
      </c>
      <c r="AC2914">
        <v>6</v>
      </c>
      <c r="AD2914" s="6">
        <v>99</v>
      </c>
      <c r="AE2914" s="6">
        <v>40</v>
      </c>
      <c r="AF2914" s="6">
        <v>0</v>
      </c>
      <c r="AG2914" s="6">
        <v>76.25</v>
      </c>
      <c r="AH2914" s="6">
        <v>100.78</v>
      </c>
      <c r="AI2914" s="6">
        <f t="shared" si="90"/>
        <v>24.53</v>
      </c>
      <c r="AJ2914" s="5">
        <f t="shared" si="91"/>
        <v>0.24340146854534631</v>
      </c>
    </row>
    <row r="2915" spans="1:36">
      <c r="A2915" t="s">
        <v>397</v>
      </c>
      <c r="B2915" t="s">
        <v>3200</v>
      </c>
      <c r="C2915" t="s">
        <v>126</v>
      </c>
      <c r="D2915" t="s">
        <v>60</v>
      </c>
      <c r="E2915" t="s">
        <v>69</v>
      </c>
      <c r="F2915">
        <v>0</v>
      </c>
      <c r="G2915">
        <v>2327</v>
      </c>
      <c r="H2915">
        <v>1.22</v>
      </c>
      <c r="I2915" t="s">
        <v>181</v>
      </c>
      <c r="J2915">
        <v>3</v>
      </c>
      <c r="K2915" s="6">
        <v>11.4</v>
      </c>
      <c r="L2915" t="s">
        <v>174</v>
      </c>
      <c r="M2915">
        <v>0</v>
      </c>
      <c r="N2915" t="s">
        <v>187</v>
      </c>
      <c r="O2915">
        <v>2</v>
      </c>
      <c r="P2915">
        <v>0</v>
      </c>
      <c r="Q2915" s="6">
        <v>42.2</v>
      </c>
      <c r="R2915">
        <v>0</v>
      </c>
      <c r="S2915" s="6">
        <v>0</v>
      </c>
      <c r="T2915">
        <v>0</v>
      </c>
      <c r="U2915" s="6">
        <v>2319</v>
      </c>
      <c r="V2915">
        <v>0</v>
      </c>
      <c r="W2915">
        <v>0</v>
      </c>
      <c r="X2915">
        <v>0</v>
      </c>
      <c r="Y2915" s="6">
        <v>51.4</v>
      </c>
      <c r="Z2915">
        <v>0.80300000000000005</v>
      </c>
      <c r="AA2915">
        <v>8.6999999999999994E-2</v>
      </c>
      <c r="AB2915">
        <v>5.7000000000000002E-2</v>
      </c>
      <c r="AC2915">
        <v>6</v>
      </c>
      <c r="AD2915" s="6">
        <v>60</v>
      </c>
      <c r="AE2915" s="6">
        <v>0</v>
      </c>
      <c r="AF2915" s="6">
        <v>0</v>
      </c>
      <c r="AG2915" s="6">
        <v>111.31</v>
      </c>
      <c r="AH2915" s="6">
        <v>143.99</v>
      </c>
      <c r="AI2915" s="6">
        <f t="shared" si="90"/>
        <v>32.680000000000007</v>
      </c>
      <c r="AJ2915" s="5">
        <f t="shared" si="91"/>
        <v>0.22696020556983126</v>
      </c>
    </row>
    <row r="2916" spans="1:36">
      <c r="A2916" t="s">
        <v>355</v>
      </c>
      <c r="B2916" t="s">
        <v>3201</v>
      </c>
      <c r="C2916" t="s">
        <v>126</v>
      </c>
      <c r="D2916" t="s">
        <v>60</v>
      </c>
      <c r="E2916" t="s">
        <v>69</v>
      </c>
      <c r="F2916">
        <v>0</v>
      </c>
      <c r="G2916">
        <v>2327</v>
      </c>
      <c r="H2916">
        <v>1.22</v>
      </c>
      <c r="I2916" t="s">
        <v>181</v>
      </c>
      <c r="J2916">
        <v>3</v>
      </c>
      <c r="K2916" s="6">
        <v>6.99</v>
      </c>
      <c r="L2916" t="s">
        <v>200</v>
      </c>
      <c r="M2916">
        <v>1</v>
      </c>
      <c r="N2916" t="s">
        <v>187</v>
      </c>
      <c r="O2916">
        <v>2</v>
      </c>
      <c r="P2916">
        <v>0</v>
      </c>
      <c r="Q2916" s="6">
        <v>35.4</v>
      </c>
      <c r="R2916">
        <v>0</v>
      </c>
      <c r="S2916" s="6">
        <v>0</v>
      </c>
      <c r="T2916">
        <v>0</v>
      </c>
      <c r="U2916" s="6">
        <v>2107</v>
      </c>
      <c r="V2916">
        <v>0</v>
      </c>
      <c r="W2916">
        <v>0</v>
      </c>
      <c r="X2916">
        <v>0</v>
      </c>
      <c r="Y2916" s="6">
        <v>51.4</v>
      </c>
      <c r="Z2916">
        <v>0.80300000000000005</v>
      </c>
      <c r="AA2916">
        <v>8.6999999999999994E-2</v>
      </c>
      <c r="AB2916">
        <v>5.7000000000000002E-2</v>
      </c>
      <c r="AC2916">
        <v>6</v>
      </c>
      <c r="AD2916" s="6">
        <v>139</v>
      </c>
      <c r="AE2916" s="6">
        <v>0</v>
      </c>
      <c r="AF2916" s="6">
        <v>0</v>
      </c>
      <c r="AG2916" s="6">
        <v>119.34</v>
      </c>
      <c r="AH2916" s="6">
        <v>153.1</v>
      </c>
      <c r="AI2916" s="6">
        <f t="shared" si="90"/>
        <v>33.759999999999991</v>
      </c>
      <c r="AJ2916" s="5">
        <f t="shared" si="91"/>
        <v>0.22050947093403001</v>
      </c>
    </row>
    <row r="2917" spans="1:36">
      <c r="A2917" t="s">
        <v>223</v>
      </c>
      <c r="B2917" t="s">
        <v>3202</v>
      </c>
      <c r="C2917" t="s">
        <v>126</v>
      </c>
      <c r="D2917" t="s">
        <v>60</v>
      </c>
      <c r="E2917" t="s">
        <v>69</v>
      </c>
      <c r="F2917">
        <v>0</v>
      </c>
      <c r="G2917">
        <v>2327</v>
      </c>
      <c r="H2917">
        <v>1</v>
      </c>
      <c r="I2917" t="s">
        <v>173</v>
      </c>
      <c r="J2917">
        <v>1</v>
      </c>
      <c r="K2917" s="6">
        <v>2.0099999999999998</v>
      </c>
      <c r="L2917" t="s">
        <v>200</v>
      </c>
      <c r="M2917">
        <v>1</v>
      </c>
      <c r="N2917" t="s">
        <v>175</v>
      </c>
      <c r="O2917">
        <v>1</v>
      </c>
      <c r="P2917">
        <v>0</v>
      </c>
      <c r="Q2917" s="6">
        <v>37.4</v>
      </c>
      <c r="R2917">
        <v>0</v>
      </c>
      <c r="S2917" s="6">
        <v>0</v>
      </c>
      <c r="T2917">
        <v>0</v>
      </c>
      <c r="U2917" s="6">
        <v>1866</v>
      </c>
      <c r="V2917">
        <v>0</v>
      </c>
      <c r="W2917">
        <v>0</v>
      </c>
      <c r="X2917">
        <v>0</v>
      </c>
      <c r="Y2917" s="6">
        <v>51.4</v>
      </c>
      <c r="Z2917">
        <v>0.80300000000000005</v>
      </c>
      <c r="AA2917">
        <v>8.6999999999999994E-2</v>
      </c>
      <c r="AB2917">
        <v>5.7000000000000002E-2</v>
      </c>
      <c r="AC2917">
        <v>6</v>
      </c>
      <c r="AD2917" s="6">
        <v>99</v>
      </c>
      <c r="AE2917" s="6">
        <v>0</v>
      </c>
      <c r="AF2917" s="6">
        <v>0</v>
      </c>
      <c r="AG2917" s="6">
        <v>71.17</v>
      </c>
      <c r="AH2917" s="6">
        <v>100.4</v>
      </c>
      <c r="AI2917" s="6">
        <f t="shared" si="90"/>
        <v>29.230000000000004</v>
      </c>
      <c r="AJ2917" s="5">
        <f t="shared" si="91"/>
        <v>0.29113545816733072</v>
      </c>
    </row>
    <row r="2918" spans="1:36">
      <c r="A2918" t="s">
        <v>501</v>
      </c>
      <c r="B2918" t="s">
        <v>3203</v>
      </c>
      <c r="C2918" t="s">
        <v>126</v>
      </c>
      <c r="D2918" t="s">
        <v>60</v>
      </c>
      <c r="E2918" t="s">
        <v>69</v>
      </c>
      <c r="F2918">
        <v>0</v>
      </c>
      <c r="G2918">
        <v>2327</v>
      </c>
      <c r="H2918">
        <v>1</v>
      </c>
      <c r="I2918" t="s">
        <v>220</v>
      </c>
      <c r="J2918">
        <v>2</v>
      </c>
      <c r="K2918" s="6">
        <v>5.74</v>
      </c>
      <c r="L2918" t="s">
        <v>200</v>
      </c>
      <c r="M2918">
        <v>1</v>
      </c>
      <c r="N2918" t="s">
        <v>182</v>
      </c>
      <c r="O2918">
        <v>3</v>
      </c>
      <c r="P2918">
        <v>0</v>
      </c>
      <c r="Q2918" s="6">
        <v>69.2</v>
      </c>
      <c r="R2918">
        <v>0</v>
      </c>
      <c r="S2918" s="6">
        <v>0</v>
      </c>
      <c r="T2918">
        <v>0</v>
      </c>
      <c r="U2918" s="6">
        <v>1885</v>
      </c>
      <c r="V2918">
        <v>0</v>
      </c>
      <c r="W2918">
        <v>0</v>
      </c>
      <c r="X2918">
        <v>0</v>
      </c>
      <c r="Y2918" s="6">
        <v>51.4</v>
      </c>
      <c r="Z2918">
        <v>0.80300000000000005</v>
      </c>
      <c r="AA2918">
        <v>8.6999999999999994E-2</v>
      </c>
      <c r="AB2918">
        <v>5.7000000000000002E-2</v>
      </c>
      <c r="AC2918">
        <v>6</v>
      </c>
      <c r="AD2918" s="6">
        <v>119</v>
      </c>
      <c r="AE2918" s="6">
        <v>0</v>
      </c>
      <c r="AF2918" s="6">
        <v>0</v>
      </c>
      <c r="AG2918" s="6">
        <v>104.84</v>
      </c>
      <c r="AH2918" s="6">
        <v>136.02000000000001</v>
      </c>
      <c r="AI2918" s="6">
        <f t="shared" si="90"/>
        <v>31.180000000000007</v>
      </c>
      <c r="AJ2918" s="5">
        <f t="shared" si="91"/>
        <v>0.22923099544184683</v>
      </c>
    </row>
    <row r="2919" spans="1:36">
      <c r="A2919" t="s">
        <v>179</v>
      </c>
      <c r="B2919" t="s">
        <v>3204</v>
      </c>
      <c r="C2919" t="s">
        <v>126</v>
      </c>
      <c r="D2919" t="s">
        <v>60</v>
      </c>
      <c r="E2919" t="s">
        <v>69</v>
      </c>
      <c r="F2919">
        <v>0</v>
      </c>
      <c r="G2919">
        <v>2327</v>
      </c>
      <c r="H2919">
        <v>1</v>
      </c>
      <c r="I2919" t="s">
        <v>173</v>
      </c>
      <c r="J2919">
        <v>1</v>
      </c>
      <c r="K2919" s="6">
        <v>2.14</v>
      </c>
      <c r="L2919" t="s">
        <v>200</v>
      </c>
      <c r="M2919">
        <v>1</v>
      </c>
      <c r="N2919" t="s">
        <v>182</v>
      </c>
      <c r="O2919">
        <v>3</v>
      </c>
      <c r="P2919">
        <v>0</v>
      </c>
      <c r="Q2919" s="6">
        <v>60.3</v>
      </c>
      <c r="R2919">
        <v>0</v>
      </c>
      <c r="S2919" s="6">
        <v>0</v>
      </c>
      <c r="T2919">
        <v>0</v>
      </c>
      <c r="U2919" s="6">
        <v>3637</v>
      </c>
      <c r="V2919">
        <v>0</v>
      </c>
      <c r="W2919">
        <v>0</v>
      </c>
      <c r="X2919">
        <v>0</v>
      </c>
      <c r="Y2919" s="6">
        <v>51.4</v>
      </c>
      <c r="Z2919">
        <v>0.80300000000000005</v>
      </c>
      <c r="AA2919">
        <v>8.6999999999999994E-2</v>
      </c>
      <c r="AB2919">
        <v>5.7000000000000002E-2</v>
      </c>
      <c r="AC2919">
        <v>6</v>
      </c>
      <c r="AD2919" s="6">
        <v>99</v>
      </c>
      <c r="AE2919" s="6">
        <v>0</v>
      </c>
      <c r="AF2919" s="6">
        <v>0</v>
      </c>
      <c r="AG2919" s="6">
        <v>87.26</v>
      </c>
      <c r="AH2919" s="6">
        <v>111.65</v>
      </c>
      <c r="AI2919" s="6">
        <f t="shared" si="90"/>
        <v>24.39</v>
      </c>
      <c r="AJ2919" s="5">
        <f t="shared" si="91"/>
        <v>0.21845051500223914</v>
      </c>
    </row>
    <row r="2920" spans="1:36">
      <c r="A2920" t="s">
        <v>436</v>
      </c>
      <c r="B2920" t="s">
        <v>3205</v>
      </c>
      <c r="C2920" t="s">
        <v>126</v>
      </c>
      <c r="D2920" t="s">
        <v>60</v>
      </c>
      <c r="E2920" t="s">
        <v>69</v>
      </c>
      <c r="F2920">
        <v>0</v>
      </c>
      <c r="G2920">
        <v>2327</v>
      </c>
      <c r="H2920">
        <v>1.22</v>
      </c>
      <c r="I2920" t="s">
        <v>173</v>
      </c>
      <c r="J2920">
        <v>1</v>
      </c>
      <c r="K2920" s="6">
        <v>1.1100000000000001</v>
      </c>
      <c r="L2920" t="s">
        <v>200</v>
      </c>
      <c r="M2920">
        <v>1</v>
      </c>
      <c r="N2920" t="s">
        <v>187</v>
      </c>
      <c r="O2920">
        <v>2</v>
      </c>
      <c r="P2920">
        <v>1</v>
      </c>
      <c r="Q2920" s="6">
        <v>53</v>
      </c>
      <c r="R2920">
        <v>0</v>
      </c>
      <c r="S2920" s="6">
        <v>0</v>
      </c>
      <c r="T2920">
        <v>0</v>
      </c>
      <c r="U2920" s="6">
        <v>1428</v>
      </c>
      <c r="V2920">
        <v>0</v>
      </c>
      <c r="W2920">
        <v>0</v>
      </c>
      <c r="X2920">
        <v>0</v>
      </c>
      <c r="Y2920" s="6">
        <v>51.4</v>
      </c>
      <c r="Z2920">
        <v>0.80300000000000005</v>
      </c>
      <c r="AA2920">
        <v>8.6999999999999994E-2</v>
      </c>
      <c r="AB2920">
        <v>5.7000000000000002E-2</v>
      </c>
      <c r="AC2920">
        <v>6</v>
      </c>
      <c r="AD2920" s="6">
        <v>99</v>
      </c>
      <c r="AE2920" s="6">
        <v>0</v>
      </c>
      <c r="AF2920" s="6">
        <v>0</v>
      </c>
      <c r="AG2920" s="6">
        <v>127.82</v>
      </c>
      <c r="AH2920" s="6">
        <v>163.33000000000001</v>
      </c>
      <c r="AI2920" s="6">
        <f t="shared" si="90"/>
        <v>35.510000000000019</v>
      </c>
      <c r="AJ2920" s="5">
        <f t="shared" si="91"/>
        <v>0.2174126002571482</v>
      </c>
    </row>
    <row r="2921" spans="1:36">
      <c r="A2921" t="s">
        <v>274</v>
      </c>
      <c r="B2921" t="s">
        <v>3206</v>
      </c>
      <c r="C2921" t="s">
        <v>126</v>
      </c>
      <c r="D2921" t="s">
        <v>60</v>
      </c>
      <c r="E2921" t="s">
        <v>69</v>
      </c>
      <c r="F2921">
        <v>0</v>
      </c>
      <c r="G2921">
        <v>2327</v>
      </c>
      <c r="H2921">
        <v>1</v>
      </c>
      <c r="I2921" t="s">
        <v>181</v>
      </c>
      <c r="J2921">
        <v>3</v>
      </c>
      <c r="K2921" s="6">
        <v>8.75</v>
      </c>
      <c r="L2921" t="s">
        <v>200</v>
      </c>
      <c r="M2921">
        <v>1</v>
      </c>
      <c r="N2921" t="s">
        <v>175</v>
      </c>
      <c r="O2921">
        <v>1</v>
      </c>
      <c r="P2921">
        <v>0</v>
      </c>
      <c r="Q2921" s="6">
        <v>27.8</v>
      </c>
      <c r="R2921">
        <v>0</v>
      </c>
      <c r="S2921" s="6">
        <v>0</v>
      </c>
      <c r="T2921">
        <v>0</v>
      </c>
      <c r="U2921" s="6">
        <v>2303</v>
      </c>
      <c r="V2921">
        <v>0</v>
      </c>
      <c r="W2921">
        <v>0</v>
      </c>
      <c r="X2921">
        <v>0</v>
      </c>
      <c r="Y2921" s="6">
        <v>51.4</v>
      </c>
      <c r="Z2921">
        <v>0.80300000000000005</v>
      </c>
      <c r="AA2921">
        <v>8.6999999999999994E-2</v>
      </c>
      <c r="AB2921">
        <v>5.7000000000000002E-2</v>
      </c>
      <c r="AC2921">
        <v>6</v>
      </c>
      <c r="AD2921" s="6">
        <v>139</v>
      </c>
      <c r="AE2921" s="6">
        <v>0</v>
      </c>
      <c r="AF2921" s="6">
        <v>0</v>
      </c>
      <c r="AG2921" s="6">
        <v>115.5</v>
      </c>
      <c r="AH2921" s="6">
        <v>147.27000000000001</v>
      </c>
      <c r="AI2921" s="6">
        <f t="shared" si="90"/>
        <v>31.77000000000001</v>
      </c>
      <c r="AJ2921" s="5">
        <f t="shared" si="91"/>
        <v>0.21572621715216955</v>
      </c>
    </row>
    <row r="2922" spans="1:36">
      <c r="A2922" t="s">
        <v>185</v>
      </c>
      <c r="B2922" t="s">
        <v>3207</v>
      </c>
      <c r="C2922" t="s">
        <v>126</v>
      </c>
      <c r="D2922" t="s">
        <v>60</v>
      </c>
      <c r="E2922" t="s">
        <v>69</v>
      </c>
      <c r="F2922">
        <v>0</v>
      </c>
      <c r="G2922">
        <v>2327</v>
      </c>
      <c r="H2922">
        <v>1.22</v>
      </c>
      <c r="I2922" t="s">
        <v>220</v>
      </c>
      <c r="J2922">
        <v>2</v>
      </c>
      <c r="K2922" s="6">
        <v>5.67</v>
      </c>
      <c r="L2922" t="s">
        <v>200</v>
      </c>
      <c r="M2922">
        <v>1</v>
      </c>
      <c r="N2922" t="s">
        <v>182</v>
      </c>
      <c r="O2922">
        <v>3</v>
      </c>
      <c r="P2922">
        <v>1</v>
      </c>
      <c r="Q2922" s="6">
        <v>95.6</v>
      </c>
      <c r="R2922">
        <v>1</v>
      </c>
      <c r="S2922" s="6">
        <v>3896</v>
      </c>
      <c r="T2922">
        <v>0</v>
      </c>
      <c r="U2922" s="6">
        <v>3292</v>
      </c>
      <c r="V2922">
        <v>0</v>
      </c>
      <c r="W2922">
        <v>0</v>
      </c>
      <c r="X2922">
        <v>0</v>
      </c>
      <c r="Y2922" s="6">
        <v>51.4</v>
      </c>
      <c r="Z2922">
        <v>0.80300000000000005</v>
      </c>
      <c r="AA2922">
        <v>8.6999999999999994E-2</v>
      </c>
      <c r="AB2922">
        <v>5.7000000000000002E-2</v>
      </c>
      <c r="AC2922">
        <v>6</v>
      </c>
      <c r="AD2922" s="6">
        <v>119</v>
      </c>
      <c r="AE2922" s="6">
        <v>40</v>
      </c>
      <c r="AF2922" s="6">
        <v>0</v>
      </c>
      <c r="AG2922" s="6">
        <v>147.83000000000001</v>
      </c>
      <c r="AH2922" s="6">
        <v>186.42</v>
      </c>
      <c r="AI2922" s="6">
        <f t="shared" si="90"/>
        <v>38.589999999999975</v>
      </c>
      <c r="AJ2922" s="5">
        <f t="shared" si="91"/>
        <v>0.20700568608518388</v>
      </c>
    </row>
    <row r="2923" spans="1:36">
      <c r="A2923" t="s">
        <v>372</v>
      </c>
      <c r="B2923" t="s">
        <v>3208</v>
      </c>
      <c r="C2923" t="s">
        <v>126</v>
      </c>
      <c r="D2923" t="s">
        <v>60</v>
      </c>
      <c r="E2923" t="s">
        <v>69</v>
      </c>
      <c r="F2923">
        <v>0</v>
      </c>
      <c r="G2923">
        <v>2327</v>
      </c>
      <c r="H2923">
        <v>1.22</v>
      </c>
      <c r="I2923" t="s">
        <v>220</v>
      </c>
      <c r="J2923">
        <v>2</v>
      </c>
      <c r="K2923" s="6">
        <v>3.33</v>
      </c>
      <c r="L2923" t="s">
        <v>200</v>
      </c>
      <c r="M2923">
        <v>1</v>
      </c>
      <c r="N2923" t="s">
        <v>187</v>
      </c>
      <c r="O2923">
        <v>2</v>
      </c>
      <c r="P2923">
        <v>0</v>
      </c>
      <c r="Q2923" s="6">
        <v>57.8</v>
      </c>
      <c r="R2923">
        <v>0</v>
      </c>
      <c r="S2923" s="6">
        <v>0</v>
      </c>
      <c r="T2923">
        <v>0</v>
      </c>
      <c r="U2923" s="6">
        <v>2195</v>
      </c>
      <c r="V2923">
        <v>0</v>
      </c>
      <c r="W2923">
        <v>0</v>
      </c>
      <c r="X2923">
        <v>0</v>
      </c>
      <c r="Y2923" s="6">
        <v>51.4</v>
      </c>
      <c r="Z2923">
        <v>0.80300000000000005</v>
      </c>
      <c r="AA2923">
        <v>8.6999999999999994E-2</v>
      </c>
      <c r="AB2923">
        <v>5.7000000000000002E-2</v>
      </c>
      <c r="AC2923">
        <v>6</v>
      </c>
      <c r="AD2923" s="6">
        <v>119</v>
      </c>
      <c r="AE2923" s="6">
        <v>0</v>
      </c>
      <c r="AF2923" s="6">
        <v>0</v>
      </c>
      <c r="AG2923" s="6">
        <v>104.78</v>
      </c>
      <c r="AH2923" s="6">
        <v>133.4</v>
      </c>
      <c r="AI2923" s="6">
        <f t="shared" si="90"/>
        <v>28.620000000000005</v>
      </c>
      <c r="AJ2923" s="5">
        <f t="shared" si="91"/>
        <v>0.21454272863568219</v>
      </c>
    </row>
    <row r="2924" spans="1:36">
      <c r="A2924" t="s">
        <v>223</v>
      </c>
      <c r="B2924" t="s">
        <v>3209</v>
      </c>
      <c r="C2924" t="s">
        <v>126</v>
      </c>
      <c r="D2924" t="s">
        <v>60</v>
      </c>
      <c r="E2924" t="s">
        <v>69</v>
      </c>
      <c r="F2924">
        <v>0</v>
      </c>
      <c r="G2924">
        <v>2327</v>
      </c>
      <c r="H2924">
        <v>1</v>
      </c>
      <c r="I2924" t="s">
        <v>178</v>
      </c>
      <c r="J2924">
        <v>4</v>
      </c>
      <c r="K2924" s="6">
        <v>14.52</v>
      </c>
      <c r="L2924" t="s">
        <v>174</v>
      </c>
      <c r="M2924">
        <v>0</v>
      </c>
      <c r="N2924" t="s">
        <v>187</v>
      </c>
      <c r="O2924">
        <v>2</v>
      </c>
      <c r="P2924">
        <v>0</v>
      </c>
      <c r="Q2924" s="6">
        <v>58.2</v>
      </c>
      <c r="R2924">
        <v>0</v>
      </c>
      <c r="S2924" s="6">
        <v>0</v>
      </c>
      <c r="T2924">
        <v>0</v>
      </c>
      <c r="U2924" s="6">
        <v>1646</v>
      </c>
      <c r="V2924">
        <v>0</v>
      </c>
      <c r="W2924">
        <v>0</v>
      </c>
      <c r="X2924">
        <v>0</v>
      </c>
      <c r="Y2924" s="6">
        <v>51.4</v>
      </c>
      <c r="Z2924">
        <v>0.80300000000000005</v>
      </c>
      <c r="AA2924">
        <v>8.6999999999999994E-2</v>
      </c>
      <c r="AB2924">
        <v>5.7000000000000002E-2</v>
      </c>
      <c r="AC2924">
        <v>6</v>
      </c>
      <c r="AD2924" s="6">
        <v>65</v>
      </c>
      <c r="AE2924" s="6">
        <v>0</v>
      </c>
      <c r="AF2924" s="6">
        <v>0</v>
      </c>
      <c r="AG2924" s="6">
        <v>127.76</v>
      </c>
      <c r="AH2924" s="6">
        <v>164.21</v>
      </c>
      <c r="AI2924" s="6">
        <f t="shared" si="90"/>
        <v>36.450000000000003</v>
      </c>
      <c r="AJ2924" s="5">
        <f t="shared" si="91"/>
        <v>0.22197186529444005</v>
      </c>
    </row>
    <row r="2925" spans="1:36">
      <c r="A2925" t="s">
        <v>537</v>
      </c>
      <c r="B2925" t="s">
        <v>3210</v>
      </c>
      <c r="C2925" t="s">
        <v>126</v>
      </c>
      <c r="D2925" t="s">
        <v>60</v>
      </c>
      <c r="E2925" t="s">
        <v>69</v>
      </c>
      <c r="F2925">
        <v>0</v>
      </c>
      <c r="G2925">
        <v>2327</v>
      </c>
      <c r="H2925">
        <v>1.22</v>
      </c>
      <c r="I2925" t="s">
        <v>181</v>
      </c>
      <c r="J2925">
        <v>3</v>
      </c>
      <c r="K2925" s="6">
        <v>8.36</v>
      </c>
      <c r="L2925" t="s">
        <v>200</v>
      </c>
      <c r="M2925">
        <v>1</v>
      </c>
      <c r="N2925" t="s">
        <v>187</v>
      </c>
      <c r="O2925">
        <v>2</v>
      </c>
      <c r="P2925">
        <v>0</v>
      </c>
      <c r="Q2925" s="6">
        <v>75.2</v>
      </c>
      <c r="R2925">
        <v>0</v>
      </c>
      <c r="S2925" s="6">
        <v>0</v>
      </c>
      <c r="T2925">
        <v>0</v>
      </c>
      <c r="U2925" s="6">
        <v>1642</v>
      </c>
      <c r="V2925">
        <v>0</v>
      </c>
      <c r="W2925">
        <v>0</v>
      </c>
      <c r="X2925">
        <v>0</v>
      </c>
      <c r="Y2925" s="6">
        <v>51.4</v>
      </c>
      <c r="Z2925">
        <v>0.80300000000000005</v>
      </c>
      <c r="AA2925">
        <v>8.6999999999999994E-2</v>
      </c>
      <c r="AB2925">
        <v>5.7000000000000002E-2</v>
      </c>
      <c r="AC2925">
        <v>6</v>
      </c>
      <c r="AD2925" s="6">
        <v>139</v>
      </c>
      <c r="AE2925" s="6">
        <v>0</v>
      </c>
      <c r="AF2925" s="6">
        <v>0</v>
      </c>
      <c r="AG2925" s="6">
        <v>121.98</v>
      </c>
      <c r="AH2925" s="6">
        <v>157.22</v>
      </c>
      <c r="AI2925" s="6">
        <f t="shared" si="90"/>
        <v>35.239999999999995</v>
      </c>
      <c r="AJ2925" s="5">
        <f t="shared" si="91"/>
        <v>0.2241445108764788</v>
      </c>
    </row>
    <row r="2926" spans="1:36">
      <c r="A2926" t="s">
        <v>353</v>
      </c>
      <c r="B2926" t="s">
        <v>3211</v>
      </c>
      <c r="C2926" t="s">
        <v>126</v>
      </c>
      <c r="D2926" t="s">
        <v>60</v>
      </c>
      <c r="E2926" t="s">
        <v>69</v>
      </c>
      <c r="F2926">
        <v>0</v>
      </c>
      <c r="G2926">
        <v>2327</v>
      </c>
      <c r="H2926">
        <v>1.22</v>
      </c>
      <c r="I2926" t="s">
        <v>181</v>
      </c>
      <c r="J2926">
        <v>3</v>
      </c>
      <c r="K2926" s="6">
        <v>9.3800000000000008</v>
      </c>
      <c r="L2926" t="s">
        <v>200</v>
      </c>
      <c r="M2926">
        <v>1</v>
      </c>
      <c r="N2926" t="s">
        <v>182</v>
      </c>
      <c r="O2926">
        <v>3</v>
      </c>
      <c r="P2926">
        <v>0</v>
      </c>
      <c r="Q2926" s="6">
        <v>98.8</v>
      </c>
      <c r="R2926">
        <v>0</v>
      </c>
      <c r="S2926" s="6">
        <v>0</v>
      </c>
      <c r="T2926">
        <v>0</v>
      </c>
      <c r="U2926" s="6">
        <v>2578</v>
      </c>
      <c r="V2926">
        <v>1</v>
      </c>
      <c r="W2926">
        <v>0</v>
      </c>
      <c r="X2926">
        <v>0</v>
      </c>
      <c r="Y2926" s="6">
        <v>51.4</v>
      </c>
      <c r="Z2926">
        <v>0.80300000000000005</v>
      </c>
      <c r="AA2926">
        <v>8.6999999999999994E-2</v>
      </c>
      <c r="AB2926">
        <v>5.7000000000000002E-2</v>
      </c>
      <c r="AC2926">
        <v>6</v>
      </c>
      <c r="AD2926" s="6">
        <v>139</v>
      </c>
      <c r="AE2926" s="6">
        <v>0</v>
      </c>
      <c r="AF2926" s="6">
        <v>0</v>
      </c>
      <c r="AG2926" s="6">
        <v>177.4</v>
      </c>
      <c r="AH2926" s="6">
        <v>225.56</v>
      </c>
      <c r="AI2926" s="6">
        <f t="shared" si="90"/>
        <v>48.16</v>
      </c>
      <c r="AJ2926" s="5">
        <f t="shared" si="91"/>
        <v>0.21351303422592657</v>
      </c>
    </row>
    <row r="2927" spans="1:36">
      <c r="A2927" t="s">
        <v>240</v>
      </c>
      <c r="B2927" t="s">
        <v>3212</v>
      </c>
      <c r="C2927" t="s">
        <v>126</v>
      </c>
      <c r="D2927" t="s">
        <v>60</v>
      </c>
      <c r="E2927" t="s">
        <v>69</v>
      </c>
      <c r="F2927">
        <v>0</v>
      </c>
      <c r="G2927">
        <v>2327</v>
      </c>
      <c r="H2927">
        <v>1</v>
      </c>
      <c r="I2927" t="s">
        <v>181</v>
      </c>
      <c r="J2927">
        <v>3</v>
      </c>
      <c r="K2927" s="6">
        <v>6.58</v>
      </c>
      <c r="L2927" t="s">
        <v>174</v>
      </c>
      <c r="M2927">
        <v>0</v>
      </c>
      <c r="N2927" t="s">
        <v>175</v>
      </c>
      <c r="O2927">
        <v>1</v>
      </c>
      <c r="P2927">
        <v>0</v>
      </c>
      <c r="Q2927" s="6">
        <v>39.5</v>
      </c>
      <c r="R2927">
        <v>0</v>
      </c>
      <c r="S2927" s="6">
        <v>0</v>
      </c>
      <c r="T2927">
        <v>0</v>
      </c>
      <c r="U2927" s="6">
        <v>1372</v>
      </c>
      <c r="V2927">
        <v>0</v>
      </c>
      <c r="W2927">
        <v>0</v>
      </c>
      <c r="X2927">
        <v>0</v>
      </c>
      <c r="Y2927" s="6">
        <v>51.4</v>
      </c>
      <c r="Z2927">
        <v>0.80300000000000005</v>
      </c>
      <c r="AA2927">
        <v>8.6999999999999994E-2</v>
      </c>
      <c r="AB2927">
        <v>5.7000000000000002E-2</v>
      </c>
      <c r="AC2927">
        <v>6</v>
      </c>
      <c r="AD2927" s="6">
        <v>60</v>
      </c>
      <c r="AE2927" s="6">
        <v>0</v>
      </c>
      <c r="AF2927" s="6">
        <v>0</v>
      </c>
      <c r="AG2927" s="6">
        <v>75.290000000000006</v>
      </c>
      <c r="AH2927" s="6">
        <v>97.92</v>
      </c>
      <c r="AI2927" s="6">
        <f t="shared" si="90"/>
        <v>22.629999999999995</v>
      </c>
      <c r="AJ2927" s="5">
        <f t="shared" si="91"/>
        <v>0.23110702614379081</v>
      </c>
    </row>
    <row r="2928" spans="1:36">
      <c r="A2928" t="s">
        <v>300</v>
      </c>
      <c r="B2928" t="s">
        <v>3213</v>
      </c>
      <c r="C2928" t="s">
        <v>126</v>
      </c>
      <c r="D2928" t="s">
        <v>60</v>
      </c>
      <c r="E2928" t="s">
        <v>69</v>
      </c>
      <c r="F2928">
        <v>0</v>
      </c>
      <c r="G2928">
        <v>2327</v>
      </c>
      <c r="H2928">
        <v>1.22</v>
      </c>
      <c r="I2928" t="s">
        <v>220</v>
      </c>
      <c r="J2928">
        <v>2</v>
      </c>
      <c r="K2928" s="6">
        <v>2.94</v>
      </c>
      <c r="L2928" t="s">
        <v>200</v>
      </c>
      <c r="M2928">
        <v>1</v>
      </c>
      <c r="N2928" t="s">
        <v>175</v>
      </c>
      <c r="O2928">
        <v>1</v>
      </c>
      <c r="P2928">
        <v>0</v>
      </c>
      <c r="Q2928" s="6">
        <v>25.2</v>
      </c>
      <c r="R2928">
        <v>1</v>
      </c>
      <c r="S2928" s="6">
        <v>641</v>
      </c>
      <c r="T2928">
        <v>0</v>
      </c>
      <c r="U2928" s="6">
        <v>2432</v>
      </c>
      <c r="V2928">
        <v>0</v>
      </c>
      <c r="W2928">
        <v>0</v>
      </c>
      <c r="X2928">
        <v>0</v>
      </c>
      <c r="Y2928" s="6">
        <v>51.4</v>
      </c>
      <c r="Z2928">
        <v>0.80300000000000005</v>
      </c>
      <c r="AA2928">
        <v>8.6999999999999994E-2</v>
      </c>
      <c r="AB2928">
        <v>5.7000000000000002E-2</v>
      </c>
      <c r="AC2928">
        <v>6</v>
      </c>
      <c r="AD2928" s="6">
        <v>119</v>
      </c>
      <c r="AE2928" s="6">
        <v>25</v>
      </c>
      <c r="AF2928" s="6">
        <v>0</v>
      </c>
      <c r="AG2928" s="6">
        <v>100.36</v>
      </c>
      <c r="AH2928" s="6">
        <v>126.29</v>
      </c>
      <c r="AI2928" s="6">
        <f t="shared" si="90"/>
        <v>25.930000000000007</v>
      </c>
      <c r="AJ2928" s="5">
        <f t="shared" si="91"/>
        <v>0.20532108638847102</v>
      </c>
    </row>
    <row r="2929" spans="1:36">
      <c r="A2929" t="s">
        <v>261</v>
      </c>
      <c r="B2929" t="s">
        <v>3214</v>
      </c>
      <c r="C2929" t="s">
        <v>126</v>
      </c>
      <c r="D2929" t="s">
        <v>60</v>
      </c>
      <c r="E2929" t="s">
        <v>69</v>
      </c>
      <c r="F2929">
        <v>0</v>
      </c>
      <c r="G2929">
        <v>2327</v>
      </c>
      <c r="H2929">
        <v>1</v>
      </c>
      <c r="I2929" t="s">
        <v>181</v>
      </c>
      <c r="J2929">
        <v>3</v>
      </c>
      <c r="K2929" s="6">
        <v>9.9600000000000009</v>
      </c>
      <c r="L2929" t="s">
        <v>174</v>
      </c>
      <c r="M2929">
        <v>0</v>
      </c>
      <c r="N2929" t="s">
        <v>187</v>
      </c>
      <c r="O2929">
        <v>2</v>
      </c>
      <c r="P2929">
        <v>0</v>
      </c>
      <c r="Q2929" s="6">
        <v>54.4</v>
      </c>
      <c r="R2929">
        <v>0</v>
      </c>
      <c r="S2929" s="6">
        <v>0</v>
      </c>
      <c r="T2929">
        <v>0</v>
      </c>
      <c r="U2929" s="6">
        <v>3588</v>
      </c>
      <c r="V2929">
        <v>0</v>
      </c>
      <c r="W2929">
        <v>0</v>
      </c>
      <c r="X2929">
        <v>0</v>
      </c>
      <c r="Y2929" s="6">
        <v>51.4</v>
      </c>
      <c r="Z2929">
        <v>0.80300000000000005</v>
      </c>
      <c r="AA2929">
        <v>8.6999999999999994E-2</v>
      </c>
      <c r="AB2929">
        <v>5.7000000000000002E-2</v>
      </c>
      <c r="AC2929">
        <v>6</v>
      </c>
      <c r="AD2929" s="6">
        <v>60</v>
      </c>
      <c r="AE2929" s="6">
        <v>0</v>
      </c>
      <c r="AF2929" s="6">
        <v>0</v>
      </c>
      <c r="AG2929" s="6">
        <v>97.93</v>
      </c>
      <c r="AH2929" s="6">
        <v>125.06</v>
      </c>
      <c r="AI2929" s="6">
        <f t="shared" si="90"/>
        <v>27.129999999999995</v>
      </c>
      <c r="AJ2929" s="5">
        <f t="shared" si="91"/>
        <v>0.21693587078202459</v>
      </c>
    </row>
    <row r="2930" spans="1:36">
      <c r="A2930" t="s">
        <v>247</v>
      </c>
      <c r="B2930" t="s">
        <v>3215</v>
      </c>
      <c r="C2930" t="s">
        <v>126</v>
      </c>
      <c r="D2930" t="s">
        <v>60</v>
      </c>
      <c r="E2930" t="s">
        <v>69</v>
      </c>
      <c r="F2930">
        <v>0</v>
      </c>
      <c r="G2930">
        <v>2327</v>
      </c>
      <c r="H2930">
        <v>1</v>
      </c>
      <c r="I2930" t="s">
        <v>181</v>
      </c>
      <c r="J2930">
        <v>3</v>
      </c>
      <c r="K2930" s="6">
        <v>8.18</v>
      </c>
      <c r="L2930" t="s">
        <v>174</v>
      </c>
      <c r="M2930">
        <v>0</v>
      </c>
      <c r="N2930" t="s">
        <v>182</v>
      </c>
      <c r="O2930">
        <v>3</v>
      </c>
      <c r="P2930">
        <v>0</v>
      </c>
      <c r="Q2930" s="6">
        <v>98.1</v>
      </c>
      <c r="R2930">
        <v>0</v>
      </c>
      <c r="S2930" s="6">
        <v>0</v>
      </c>
      <c r="T2930">
        <v>0</v>
      </c>
      <c r="U2930" s="6">
        <v>1574</v>
      </c>
      <c r="V2930">
        <v>0</v>
      </c>
      <c r="W2930">
        <v>0</v>
      </c>
      <c r="X2930">
        <v>0</v>
      </c>
      <c r="Y2930" s="6">
        <v>51.4</v>
      </c>
      <c r="Z2930">
        <v>0.80300000000000005</v>
      </c>
      <c r="AA2930">
        <v>8.6999999999999994E-2</v>
      </c>
      <c r="AB2930">
        <v>5.7000000000000002E-2</v>
      </c>
      <c r="AC2930">
        <v>6</v>
      </c>
      <c r="AD2930" s="6">
        <v>60</v>
      </c>
      <c r="AE2930" s="6">
        <v>0</v>
      </c>
      <c r="AF2930" s="6">
        <v>0</v>
      </c>
      <c r="AG2930" s="6">
        <v>94.7</v>
      </c>
      <c r="AH2930" s="6">
        <v>119.73</v>
      </c>
      <c r="AI2930" s="6">
        <f t="shared" si="90"/>
        <v>25.03</v>
      </c>
      <c r="AJ2930" s="5">
        <f t="shared" si="91"/>
        <v>0.20905370416771069</v>
      </c>
    </row>
    <row r="2931" spans="1:36">
      <c r="A2931" t="s">
        <v>328</v>
      </c>
      <c r="B2931" t="s">
        <v>3216</v>
      </c>
      <c r="C2931" t="s">
        <v>126</v>
      </c>
      <c r="D2931" t="s">
        <v>60</v>
      </c>
      <c r="E2931" t="s">
        <v>69</v>
      </c>
      <c r="F2931">
        <v>0</v>
      </c>
      <c r="G2931">
        <v>2327</v>
      </c>
      <c r="H2931">
        <v>1</v>
      </c>
      <c r="I2931" t="s">
        <v>181</v>
      </c>
      <c r="J2931">
        <v>3</v>
      </c>
      <c r="K2931" s="6">
        <v>8.4499999999999993</v>
      </c>
      <c r="L2931" t="s">
        <v>174</v>
      </c>
      <c r="M2931">
        <v>0</v>
      </c>
      <c r="N2931" t="s">
        <v>187</v>
      </c>
      <c r="O2931">
        <v>2</v>
      </c>
      <c r="P2931">
        <v>0</v>
      </c>
      <c r="Q2931" s="6">
        <v>51.2</v>
      </c>
      <c r="R2931">
        <v>1</v>
      </c>
      <c r="S2931" s="6">
        <v>1156</v>
      </c>
      <c r="T2931">
        <v>0</v>
      </c>
      <c r="U2931" s="6">
        <v>576</v>
      </c>
      <c r="V2931">
        <v>0</v>
      </c>
      <c r="W2931">
        <v>0</v>
      </c>
      <c r="X2931">
        <v>0</v>
      </c>
      <c r="Y2931" s="6">
        <v>51.4</v>
      </c>
      <c r="Z2931">
        <v>0.80300000000000005</v>
      </c>
      <c r="AA2931">
        <v>8.6999999999999994E-2</v>
      </c>
      <c r="AB2931">
        <v>5.7000000000000002E-2</v>
      </c>
      <c r="AC2931">
        <v>6</v>
      </c>
      <c r="AD2931" s="6">
        <v>60</v>
      </c>
      <c r="AE2931" s="6">
        <v>25</v>
      </c>
      <c r="AF2931" s="6">
        <v>0</v>
      </c>
      <c r="AG2931" s="6">
        <v>92.86</v>
      </c>
      <c r="AH2931" s="6">
        <v>119.17</v>
      </c>
      <c r="AI2931" s="6">
        <f t="shared" si="90"/>
        <v>26.310000000000002</v>
      </c>
      <c r="AJ2931" s="5">
        <f t="shared" si="91"/>
        <v>0.22077704120164474</v>
      </c>
    </row>
    <row r="2932" spans="1:36">
      <c r="A2932" t="s">
        <v>691</v>
      </c>
      <c r="B2932" t="s">
        <v>3217</v>
      </c>
      <c r="C2932" t="s">
        <v>126</v>
      </c>
      <c r="D2932" t="s">
        <v>60</v>
      </c>
      <c r="E2932" t="s">
        <v>69</v>
      </c>
      <c r="F2932">
        <v>0</v>
      </c>
      <c r="G2932">
        <v>2327</v>
      </c>
      <c r="H2932">
        <v>1.22</v>
      </c>
      <c r="I2932" t="s">
        <v>220</v>
      </c>
      <c r="J2932">
        <v>2</v>
      </c>
      <c r="K2932" s="6">
        <v>2.78</v>
      </c>
      <c r="L2932" t="s">
        <v>200</v>
      </c>
      <c r="M2932">
        <v>1</v>
      </c>
      <c r="N2932" t="s">
        <v>175</v>
      </c>
      <c r="O2932">
        <v>1</v>
      </c>
      <c r="P2932">
        <v>0</v>
      </c>
      <c r="Q2932" s="6">
        <v>28.6</v>
      </c>
      <c r="R2932">
        <v>1</v>
      </c>
      <c r="S2932" s="6">
        <v>2794</v>
      </c>
      <c r="T2932">
        <v>0</v>
      </c>
      <c r="U2932" s="6">
        <v>1091</v>
      </c>
      <c r="V2932">
        <v>1</v>
      </c>
      <c r="W2932">
        <v>0</v>
      </c>
      <c r="X2932">
        <v>0</v>
      </c>
      <c r="Y2932" s="6">
        <v>51.4</v>
      </c>
      <c r="Z2932">
        <v>0.80300000000000005</v>
      </c>
      <c r="AA2932">
        <v>8.6999999999999994E-2</v>
      </c>
      <c r="AB2932">
        <v>5.7000000000000002E-2</v>
      </c>
      <c r="AC2932">
        <v>6</v>
      </c>
      <c r="AD2932" s="6">
        <v>119</v>
      </c>
      <c r="AE2932" s="6">
        <v>40</v>
      </c>
      <c r="AF2932" s="6">
        <v>0</v>
      </c>
      <c r="AG2932" s="6">
        <v>138.19999999999999</v>
      </c>
      <c r="AH2932" s="6">
        <v>177.27</v>
      </c>
      <c r="AI2932" s="6">
        <f t="shared" si="90"/>
        <v>39.070000000000022</v>
      </c>
      <c r="AJ2932" s="5">
        <f t="shared" si="91"/>
        <v>0.22039826253737249</v>
      </c>
    </row>
    <row r="2933" spans="1:36">
      <c r="A2933" t="s">
        <v>353</v>
      </c>
      <c r="B2933" t="s">
        <v>3218</v>
      </c>
      <c r="C2933" t="s">
        <v>126</v>
      </c>
      <c r="D2933" t="s">
        <v>60</v>
      </c>
      <c r="E2933" t="s">
        <v>69</v>
      </c>
      <c r="F2933">
        <v>0</v>
      </c>
      <c r="G2933">
        <v>2327</v>
      </c>
      <c r="H2933">
        <v>1.22</v>
      </c>
      <c r="I2933" t="s">
        <v>181</v>
      </c>
      <c r="J2933">
        <v>3</v>
      </c>
      <c r="K2933" s="6">
        <v>11.79</v>
      </c>
      <c r="L2933" t="s">
        <v>174</v>
      </c>
      <c r="M2933">
        <v>0</v>
      </c>
      <c r="N2933" t="s">
        <v>175</v>
      </c>
      <c r="O2933">
        <v>1</v>
      </c>
      <c r="P2933">
        <v>1</v>
      </c>
      <c r="Q2933" s="6">
        <v>21.5</v>
      </c>
      <c r="R2933">
        <v>0</v>
      </c>
      <c r="S2933" s="6">
        <v>0</v>
      </c>
      <c r="T2933">
        <v>0</v>
      </c>
      <c r="U2933" s="6">
        <v>2365</v>
      </c>
      <c r="V2933">
        <v>0</v>
      </c>
      <c r="W2933">
        <v>0</v>
      </c>
      <c r="X2933">
        <v>0</v>
      </c>
      <c r="Y2933" s="6">
        <v>51.4</v>
      </c>
      <c r="Z2933">
        <v>0.80300000000000005</v>
      </c>
      <c r="AA2933">
        <v>8.6999999999999994E-2</v>
      </c>
      <c r="AB2933">
        <v>5.7000000000000002E-2</v>
      </c>
      <c r="AC2933">
        <v>6</v>
      </c>
      <c r="AD2933" s="6">
        <v>60</v>
      </c>
      <c r="AE2933" s="6">
        <v>0</v>
      </c>
      <c r="AF2933" s="6">
        <v>0</v>
      </c>
      <c r="AG2933" s="6">
        <v>122.88</v>
      </c>
      <c r="AH2933" s="6">
        <v>156.43</v>
      </c>
      <c r="AI2933" s="6">
        <f t="shared" si="90"/>
        <v>33.550000000000011</v>
      </c>
      <c r="AJ2933" s="5">
        <f t="shared" si="91"/>
        <v>0.21447292718787964</v>
      </c>
    </row>
    <row r="2934" spans="1:36">
      <c r="A2934" t="s">
        <v>459</v>
      </c>
      <c r="B2934" t="s">
        <v>3219</v>
      </c>
      <c r="C2934" t="s">
        <v>126</v>
      </c>
      <c r="D2934" t="s">
        <v>60</v>
      </c>
      <c r="E2934" t="s">
        <v>69</v>
      </c>
      <c r="F2934">
        <v>0</v>
      </c>
      <c r="G2934">
        <v>2327</v>
      </c>
      <c r="H2934">
        <v>1</v>
      </c>
      <c r="I2934" t="s">
        <v>173</v>
      </c>
      <c r="J2934">
        <v>1</v>
      </c>
      <c r="K2934" s="6">
        <v>1.88</v>
      </c>
      <c r="L2934" t="s">
        <v>200</v>
      </c>
      <c r="M2934">
        <v>1</v>
      </c>
      <c r="N2934" t="s">
        <v>175</v>
      </c>
      <c r="O2934">
        <v>1</v>
      </c>
      <c r="P2934">
        <v>0</v>
      </c>
      <c r="Q2934" s="6">
        <v>26</v>
      </c>
      <c r="R2934">
        <v>0</v>
      </c>
      <c r="S2934" s="6">
        <v>0</v>
      </c>
      <c r="T2934">
        <v>0</v>
      </c>
      <c r="U2934" s="6">
        <v>1028</v>
      </c>
      <c r="V2934">
        <v>0</v>
      </c>
      <c r="W2934">
        <v>0</v>
      </c>
      <c r="X2934">
        <v>0</v>
      </c>
      <c r="Y2934" s="6">
        <v>51.4</v>
      </c>
      <c r="Z2934">
        <v>0.80300000000000005</v>
      </c>
      <c r="AA2934">
        <v>8.6999999999999994E-2</v>
      </c>
      <c r="AB2934">
        <v>5.7000000000000002E-2</v>
      </c>
      <c r="AC2934">
        <v>6</v>
      </c>
      <c r="AD2934" s="6">
        <v>99</v>
      </c>
      <c r="AE2934" s="6">
        <v>0</v>
      </c>
      <c r="AF2934" s="6">
        <v>0</v>
      </c>
      <c r="AG2934" s="6">
        <v>84.42</v>
      </c>
      <c r="AH2934" s="6">
        <v>107.4</v>
      </c>
      <c r="AI2934" s="6">
        <f t="shared" si="90"/>
        <v>22.980000000000004</v>
      </c>
      <c r="AJ2934" s="5">
        <f t="shared" si="91"/>
        <v>0.2139664804469274</v>
      </c>
    </row>
    <row r="2935" spans="1:36">
      <c r="A2935" t="s">
        <v>206</v>
      </c>
      <c r="B2935" t="s">
        <v>3220</v>
      </c>
      <c r="C2935" t="s">
        <v>126</v>
      </c>
      <c r="D2935" t="s">
        <v>60</v>
      </c>
      <c r="E2935" t="s">
        <v>69</v>
      </c>
      <c r="F2935">
        <v>0</v>
      </c>
      <c r="G2935">
        <v>2327</v>
      </c>
      <c r="H2935">
        <v>1.22</v>
      </c>
      <c r="I2935" t="s">
        <v>220</v>
      </c>
      <c r="J2935">
        <v>2</v>
      </c>
      <c r="K2935" s="6">
        <v>5.77</v>
      </c>
      <c r="L2935" t="s">
        <v>200</v>
      </c>
      <c r="M2935">
        <v>1</v>
      </c>
      <c r="N2935" t="s">
        <v>175</v>
      </c>
      <c r="O2935">
        <v>1</v>
      </c>
      <c r="P2935">
        <v>0</v>
      </c>
      <c r="Q2935" s="6">
        <v>29.8</v>
      </c>
      <c r="R2935">
        <v>0</v>
      </c>
      <c r="S2935" s="6">
        <v>0</v>
      </c>
      <c r="T2935">
        <v>0</v>
      </c>
      <c r="U2935" s="6">
        <v>3776</v>
      </c>
      <c r="V2935">
        <v>0</v>
      </c>
      <c r="W2935">
        <v>0</v>
      </c>
      <c r="X2935">
        <v>0</v>
      </c>
      <c r="Y2935" s="6">
        <v>51.4</v>
      </c>
      <c r="Z2935">
        <v>0.80300000000000005</v>
      </c>
      <c r="AA2935">
        <v>8.6999999999999994E-2</v>
      </c>
      <c r="AB2935">
        <v>5.7000000000000002E-2</v>
      </c>
      <c r="AC2935">
        <v>6</v>
      </c>
      <c r="AD2935" s="6">
        <v>119</v>
      </c>
      <c r="AE2935" s="6">
        <v>0</v>
      </c>
      <c r="AF2935" s="6">
        <v>0</v>
      </c>
      <c r="AG2935" s="6">
        <v>101.76</v>
      </c>
      <c r="AH2935" s="6">
        <v>130.94</v>
      </c>
      <c r="AI2935" s="6">
        <f t="shared" si="90"/>
        <v>29.179999999999993</v>
      </c>
      <c r="AJ2935" s="5">
        <f t="shared" si="91"/>
        <v>0.2228501603787994</v>
      </c>
    </row>
    <row r="2936" spans="1:36">
      <c r="A2936" t="s">
        <v>204</v>
      </c>
      <c r="B2936" t="s">
        <v>3221</v>
      </c>
      <c r="C2936" t="s">
        <v>126</v>
      </c>
      <c r="D2936" t="s">
        <v>60</v>
      </c>
      <c r="E2936" t="s">
        <v>69</v>
      </c>
      <c r="F2936">
        <v>0</v>
      </c>
      <c r="G2936">
        <v>2327</v>
      </c>
      <c r="H2936">
        <v>1.22</v>
      </c>
      <c r="I2936" t="s">
        <v>220</v>
      </c>
      <c r="J2936">
        <v>2</v>
      </c>
      <c r="K2936" s="6">
        <v>4.9000000000000004</v>
      </c>
      <c r="L2936" t="s">
        <v>200</v>
      </c>
      <c r="M2936">
        <v>1</v>
      </c>
      <c r="N2936" t="s">
        <v>217</v>
      </c>
      <c r="O2936">
        <v>4</v>
      </c>
      <c r="P2936">
        <v>1</v>
      </c>
      <c r="Q2936" s="6">
        <v>176.1</v>
      </c>
      <c r="R2936">
        <v>0</v>
      </c>
      <c r="S2936" s="6">
        <v>0</v>
      </c>
      <c r="T2936">
        <v>0</v>
      </c>
      <c r="U2936" s="6">
        <v>2188</v>
      </c>
      <c r="V2936">
        <v>0</v>
      </c>
      <c r="W2936">
        <v>0</v>
      </c>
      <c r="X2936">
        <v>0</v>
      </c>
      <c r="Y2936" s="6">
        <v>51.4</v>
      </c>
      <c r="Z2936">
        <v>0.80300000000000005</v>
      </c>
      <c r="AA2936">
        <v>8.6999999999999994E-2</v>
      </c>
      <c r="AB2936">
        <v>5.7000000000000002E-2</v>
      </c>
      <c r="AC2936">
        <v>6</v>
      </c>
      <c r="AD2936" s="6">
        <v>119</v>
      </c>
      <c r="AE2936" s="6">
        <v>0</v>
      </c>
      <c r="AF2936" s="6">
        <v>0</v>
      </c>
      <c r="AG2936" s="6">
        <v>161.56</v>
      </c>
      <c r="AH2936" s="6">
        <v>205.46</v>
      </c>
      <c r="AI2936" s="6">
        <f t="shared" si="90"/>
        <v>43.900000000000006</v>
      </c>
      <c r="AJ2936" s="5">
        <f t="shared" si="91"/>
        <v>0.21366689379927969</v>
      </c>
    </row>
    <row r="2937" spans="1:36">
      <c r="A2937" t="s">
        <v>401</v>
      </c>
      <c r="B2937" t="s">
        <v>3222</v>
      </c>
      <c r="C2937" t="s">
        <v>126</v>
      </c>
      <c r="D2937" t="s">
        <v>60</v>
      </c>
      <c r="E2937" t="s">
        <v>69</v>
      </c>
      <c r="F2937">
        <v>0</v>
      </c>
      <c r="G2937">
        <v>2327</v>
      </c>
      <c r="H2937">
        <v>1</v>
      </c>
      <c r="I2937" t="s">
        <v>173</v>
      </c>
      <c r="J2937">
        <v>1</v>
      </c>
      <c r="K2937" s="6">
        <v>1.69</v>
      </c>
      <c r="L2937" t="s">
        <v>174</v>
      </c>
      <c r="M2937">
        <v>0</v>
      </c>
      <c r="N2937" t="s">
        <v>175</v>
      </c>
      <c r="O2937">
        <v>1</v>
      </c>
      <c r="P2937">
        <v>0</v>
      </c>
      <c r="Q2937" s="6">
        <v>19.100000000000001</v>
      </c>
      <c r="R2937">
        <v>0</v>
      </c>
      <c r="S2937" s="6">
        <v>0</v>
      </c>
      <c r="T2937">
        <v>0</v>
      </c>
      <c r="U2937" s="6">
        <v>2430</v>
      </c>
      <c r="V2937">
        <v>0</v>
      </c>
      <c r="W2937">
        <v>0</v>
      </c>
      <c r="X2937">
        <v>0</v>
      </c>
      <c r="Y2937" s="6">
        <v>51.4</v>
      </c>
      <c r="Z2937">
        <v>0.80300000000000005</v>
      </c>
      <c r="AA2937">
        <v>8.6999999999999994E-2</v>
      </c>
      <c r="AB2937">
        <v>5.7000000000000002E-2</v>
      </c>
      <c r="AC2937">
        <v>6</v>
      </c>
      <c r="AD2937" s="6">
        <v>50</v>
      </c>
      <c r="AE2937" s="6">
        <v>0</v>
      </c>
      <c r="AF2937" s="6">
        <v>0</v>
      </c>
      <c r="AG2937" s="6">
        <v>38.83</v>
      </c>
      <c r="AH2937" s="6">
        <v>53.4</v>
      </c>
      <c r="AI2937" s="6">
        <f t="shared" si="90"/>
        <v>14.57</v>
      </c>
      <c r="AJ2937" s="5">
        <f t="shared" si="91"/>
        <v>0.27284644194756558</v>
      </c>
    </row>
    <row r="2938" spans="1:36">
      <c r="A2938" t="s">
        <v>240</v>
      </c>
      <c r="B2938" t="s">
        <v>3223</v>
      </c>
      <c r="C2938" t="s">
        <v>126</v>
      </c>
      <c r="D2938" t="s">
        <v>60</v>
      </c>
      <c r="E2938" t="s">
        <v>69</v>
      </c>
      <c r="F2938">
        <v>0</v>
      </c>
      <c r="G2938">
        <v>2327</v>
      </c>
      <c r="H2938">
        <v>1</v>
      </c>
      <c r="I2938" t="s">
        <v>173</v>
      </c>
      <c r="J2938">
        <v>1</v>
      </c>
      <c r="K2938" s="6">
        <v>1.86</v>
      </c>
      <c r="L2938" t="s">
        <v>200</v>
      </c>
      <c r="M2938">
        <v>1</v>
      </c>
      <c r="N2938" t="s">
        <v>175</v>
      </c>
      <c r="O2938">
        <v>1</v>
      </c>
      <c r="P2938">
        <v>0</v>
      </c>
      <c r="Q2938" s="6">
        <v>36.9</v>
      </c>
      <c r="R2938">
        <v>0</v>
      </c>
      <c r="S2938" s="6">
        <v>0</v>
      </c>
      <c r="T2938">
        <v>0</v>
      </c>
      <c r="U2938" s="6">
        <v>2390</v>
      </c>
      <c r="V2938">
        <v>0</v>
      </c>
      <c r="W2938">
        <v>0</v>
      </c>
      <c r="X2938">
        <v>0</v>
      </c>
      <c r="Y2938" s="6">
        <v>51.4</v>
      </c>
      <c r="Z2938">
        <v>0.80300000000000005</v>
      </c>
      <c r="AA2938">
        <v>8.6999999999999994E-2</v>
      </c>
      <c r="AB2938">
        <v>5.7000000000000002E-2</v>
      </c>
      <c r="AC2938">
        <v>6</v>
      </c>
      <c r="AD2938" s="6">
        <v>99</v>
      </c>
      <c r="AE2938" s="6">
        <v>0</v>
      </c>
      <c r="AF2938" s="6">
        <v>0</v>
      </c>
      <c r="AG2938" s="6">
        <v>79.12</v>
      </c>
      <c r="AH2938" s="6">
        <v>100.09</v>
      </c>
      <c r="AI2938" s="6">
        <f t="shared" si="90"/>
        <v>20.97</v>
      </c>
      <c r="AJ2938" s="5">
        <f t="shared" si="91"/>
        <v>0.20951143970426614</v>
      </c>
    </row>
    <row r="2939" spans="1:36">
      <c r="A2939" t="s">
        <v>434</v>
      </c>
      <c r="B2939" t="s">
        <v>3224</v>
      </c>
      <c r="C2939" t="s">
        <v>126</v>
      </c>
      <c r="D2939" t="s">
        <v>60</v>
      </c>
      <c r="E2939" t="s">
        <v>69</v>
      </c>
      <c r="F2939">
        <v>0</v>
      </c>
      <c r="G2939">
        <v>2327</v>
      </c>
      <c r="H2939">
        <v>1</v>
      </c>
      <c r="I2939" t="s">
        <v>173</v>
      </c>
      <c r="J2939">
        <v>1</v>
      </c>
      <c r="K2939" s="6">
        <v>1.52</v>
      </c>
      <c r="L2939" t="s">
        <v>200</v>
      </c>
      <c r="M2939">
        <v>1</v>
      </c>
      <c r="N2939" t="s">
        <v>175</v>
      </c>
      <c r="O2939">
        <v>1</v>
      </c>
      <c r="P2939">
        <v>0</v>
      </c>
      <c r="Q2939" s="6">
        <v>43.1</v>
      </c>
      <c r="R2939">
        <v>0</v>
      </c>
      <c r="S2939" s="6">
        <v>0</v>
      </c>
      <c r="T2939">
        <v>0</v>
      </c>
      <c r="U2939" s="6">
        <v>1532</v>
      </c>
      <c r="V2939">
        <v>0</v>
      </c>
      <c r="W2939">
        <v>0</v>
      </c>
      <c r="X2939">
        <v>0</v>
      </c>
      <c r="Y2939" s="6">
        <v>51.4</v>
      </c>
      <c r="Z2939">
        <v>0.80300000000000005</v>
      </c>
      <c r="AA2939">
        <v>8.6999999999999994E-2</v>
      </c>
      <c r="AB2939">
        <v>5.7000000000000002E-2</v>
      </c>
      <c r="AC2939">
        <v>6</v>
      </c>
      <c r="AD2939" s="6">
        <v>99</v>
      </c>
      <c r="AE2939" s="6">
        <v>0</v>
      </c>
      <c r="AF2939" s="6">
        <v>0</v>
      </c>
      <c r="AG2939" s="6">
        <v>79.209999999999994</v>
      </c>
      <c r="AH2939" s="6">
        <v>100.84</v>
      </c>
      <c r="AI2939" s="6">
        <f t="shared" si="90"/>
        <v>21.63000000000001</v>
      </c>
      <c r="AJ2939" s="5">
        <f t="shared" si="91"/>
        <v>0.21449821499405006</v>
      </c>
    </row>
    <row r="2940" spans="1:36">
      <c r="A2940" t="s">
        <v>501</v>
      </c>
      <c r="B2940" t="s">
        <v>3225</v>
      </c>
      <c r="C2940" t="s">
        <v>126</v>
      </c>
      <c r="D2940" t="s">
        <v>60</v>
      </c>
      <c r="E2940" t="s">
        <v>69</v>
      </c>
      <c r="F2940">
        <v>0</v>
      </c>
      <c r="G2940">
        <v>2327</v>
      </c>
      <c r="H2940">
        <v>1</v>
      </c>
      <c r="I2940" t="s">
        <v>181</v>
      </c>
      <c r="J2940">
        <v>3</v>
      </c>
      <c r="K2940" s="6">
        <v>7.8</v>
      </c>
      <c r="L2940" t="s">
        <v>200</v>
      </c>
      <c r="M2940">
        <v>1</v>
      </c>
      <c r="N2940" t="s">
        <v>175</v>
      </c>
      <c r="O2940">
        <v>1</v>
      </c>
      <c r="P2940">
        <v>0</v>
      </c>
      <c r="Q2940" s="6">
        <v>23.6</v>
      </c>
      <c r="R2940">
        <v>0</v>
      </c>
      <c r="S2940" s="6">
        <v>0</v>
      </c>
      <c r="T2940">
        <v>0</v>
      </c>
      <c r="U2940" s="6">
        <v>1646</v>
      </c>
      <c r="V2940">
        <v>0</v>
      </c>
      <c r="W2940">
        <v>0</v>
      </c>
      <c r="X2940">
        <v>0</v>
      </c>
      <c r="Y2940" s="6">
        <v>51.4</v>
      </c>
      <c r="Z2940">
        <v>0.80300000000000005</v>
      </c>
      <c r="AA2940">
        <v>8.6999999999999994E-2</v>
      </c>
      <c r="AB2940">
        <v>5.7000000000000002E-2</v>
      </c>
      <c r="AC2940">
        <v>6</v>
      </c>
      <c r="AD2940" s="6">
        <v>139</v>
      </c>
      <c r="AE2940" s="6">
        <v>0</v>
      </c>
      <c r="AF2940" s="6">
        <v>0</v>
      </c>
      <c r="AG2940" s="6">
        <v>91.49</v>
      </c>
      <c r="AH2940" s="6">
        <v>142.07</v>
      </c>
      <c r="AI2940" s="6">
        <f t="shared" si="90"/>
        <v>50.58</v>
      </c>
      <c r="AJ2940" s="5">
        <f t="shared" si="91"/>
        <v>0.35602167945379037</v>
      </c>
    </row>
    <row r="2941" spans="1:36">
      <c r="A2941" t="s">
        <v>521</v>
      </c>
      <c r="B2941" t="s">
        <v>3226</v>
      </c>
      <c r="C2941" t="s">
        <v>126</v>
      </c>
      <c r="D2941" t="s">
        <v>60</v>
      </c>
      <c r="E2941" t="s">
        <v>69</v>
      </c>
      <c r="F2941">
        <v>0</v>
      </c>
      <c r="G2941">
        <v>2327</v>
      </c>
      <c r="H2941">
        <v>1</v>
      </c>
      <c r="I2941" t="s">
        <v>181</v>
      </c>
      <c r="J2941">
        <v>3</v>
      </c>
      <c r="K2941" s="6">
        <v>3.22</v>
      </c>
      <c r="L2941" t="s">
        <v>200</v>
      </c>
      <c r="M2941">
        <v>1</v>
      </c>
      <c r="N2941" t="s">
        <v>217</v>
      </c>
      <c r="O2941">
        <v>4</v>
      </c>
      <c r="P2941">
        <v>1</v>
      </c>
      <c r="Q2941" s="6">
        <v>173.9</v>
      </c>
      <c r="R2941">
        <v>0</v>
      </c>
      <c r="S2941" s="6">
        <v>0</v>
      </c>
      <c r="T2941">
        <v>0</v>
      </c>
      <c r="U2941" s="6">
        <v>2317</v>
      </c>
      <c r="V2941">
        <v>0</v>
      </c>
      <c r="W2941">
        <v>0</v>
      </c>
      <c r="X2941">
        <v>0</v>
      </c>
      <c r="Y2941" s="6">
        <v>51.4</v>
      </c>
      <c r="Z2941">
        <v>0.80300000000000005</v>
      </c>
      <c r="AA2941">
        <v>8.6999999999999994E-2</v>
      </c>
      <c r="AB2941">
        <v>5.7000000000000002E-2</v>
      </c>
      <c r="AC2941">
        <v>6</v>
      </c>
      <c r="AD2941" s="6">
        <v>139</v>
      </c>
      <c r="AE2941" s="6">
        <v>0</v>
      </c>
      <c r="AF2941" s="6">
        <v>0</v>
      </c>
      <c r="AG2941" s="6">
        <v>172.65</v>
      </c>
      <c r="AH2941" s="6">
        <v>220.48</v>
      </c>
      <c r="AI2941" s="6">
        <f t="shared" si="90"/>
        <v>47.829999999999984</v>
      </c>
      <c r="AJ2941" s="5">
        <f t="shared" si="91"/>
        <v>0.21693577648766321</v>
      </c>
    </row>
    <row r="2942" spans="1:36">
      <c r="A2942" t="s">
        <v>434</v>
      </c>
      <c r="B2942" t="s">
        <v>3227</v>
      </c>
      <c r="C2942" t="s">
        <v>126</v>
      </c>
      <c r="D2942" t="s">
        <v>60</v>
      </c>
      <c r="E2942" t="s">
        <v>69</v>
      </c>
      <c r="F2942">
        <v>0</v>
      </c>
      <c r="G2942">
        <v>2327</v>
      </c>
      <c r="H2942">
        <v>1</v>
      </c>
      <c r="I2942" t="s">
        <v>220</v>
      </c>
      <c r="J2942">
        <v>2</v>
      </c>
      <c r="K2942" s="6">
        <v>5.03</v>
      </c>
      <c r="L2942" t="s">
        <v>200</v>
      </c>
      <c r="M2942">
        <v>1</v>
      </c>
      <c r="N2942" t="s">
        <v>175</v>
      </c>
      <c r="O2942">
        <v>1</v>
      </c>
      <c r="P2942">
        <v>1</v>
      </c>
      <c r="Q2942" s="6">
        <v>42.3</v>
      </c>
      <c r="R2942">
        <v>0</v>
      </c>
      <c r="S2942" s="6">
        <v>0</v>
      </c>
      <c r="T2942">
        <v>0</v>
      </c>
      <c r="U2942" s="6">
        <v>763</v>
      </c>
      <c r="V2942">
        <v>0</v>
      </c>
      <c r="W2942">
        <v>0</v>
      </c>
      <c r="X2942">
        <v>0</v>
      </c>
      <c r="Y2942" s="6">
        <v>51.4</v>
      </c>
      <c r="Z2942">
        <v>0.80300000000000005</v>
      </c>
      <c r="AA2942">
        <v>8.6999999999999994E-2</v>
      </c>
      <c r="AB2942">
        <v>5.7000000000000002E-2</v>
      </c>
      <c r="AC2942">
        <v>6</v>
      </c>
      <c r="AD2942" s="6">
        <v>119</v>
      </c>
      <c r="AE2942" s="6">
        <v>0</v>
      </c>
      <c r="AF2942" s="6">
        <v>0</v>
      </c>
      <c r="AG2942" s="6">
        <v>127.91</v>
      </c>
      <c r="AH2942" s="6">
        <v>160.27000000000001</v>
      </c>
      <c r="AI2942" s="6">
        <f t="shared" si="90"/>
        <v>32.360000000000014</v>
      </c>
      <c r="AJ2942" s="5">
        <f t="shared" si="91"/>
        <v>0.20190927809321776</v>
      </c>
    </row>
    <row r="2943" spans="1:36">
      <c r="A2943" t="s">
        <v>401</v>
      </c>
      <c r="B2943" t="s">
        <v>3228</v>
      </c>
      <c r="C2943" t="s">
        <v>126</v>
      </c>
      <c r="D2943" t="s">
        <v>60</v>
      </c>
      <c r="E2943" t="s">
        <v>69</v>
      </c>
      <c r="F2943">
        <v>0</v>
      </c>
      <c r="G2943">
        <v>2327</v>
      </c>
      <c r="H2943">
        <v>1</v>
      </c>
      <c r="I2943" t="s">
        <v>181</v>
      </c>
      <c r="J2943">
        <v>3</v>
      </c>
      <c r="K2943" s="6">
        <v>8.49</v>
      </c>
      <c r="L2943" t="s">
        <v>200</v>
      </c>
      <c r="M2943">
        <v>1</v>
      </c>
      <c r="N2943" t="s">
        <v>175</v>
      </c>
      <c r="O2943">
        <v>1</v>
      </c>
      <c r="P2943">
        <v>0</v>
      </c>
      <c r="Q2943" s="6">
        <v>39</v>
      </c>
      <c r="R2943">
        <v>0</v>
      </c>
      <c r="S2943" s="6">
        <v>0</v>
      </c>
      <c r="T2943">
        <v>0</v>
      </c>
      <c r="U2943" s="6">
        <v>3509</v>
      </c>
      <c r="V2943">
        <v>0</v>
      </c>
      <c r="W2943">
        <v>0</v>
      </c>
      <c r="X2943">
        <v>0</v>
      </c>
      <c r="Y2943" s="6">
        <v>51.4</v>
      </c>
      <c r="Z2943">
        <v>0.80300000000000005</v>
      </c>
      <c r="AA2943">
        <v>8.6999999999999994E-2</v>
      </c>
      <c r="AB2943">
        <v>5.7000000000000002E-2</v>
      </c>
      <c r="AC2943">
        <v>6</v>
      </c>
      <c r="AD2943" s="6">
        <v>139</v>
      </c>
      <c r="AE2943" s="6">
        <v>0</v>
      </c>
      <c r="AF2943" s="6">
        <v>0</v>
      </c>
      <c r="AG2943" s="6">
        <v>122.33</v>
      </c>
      <c r="AH2943" s="6">
        <v>154.54</v>
      </c>
      <c r="AI2943" s="6">
        <f t="shared" si="90"/>
        <v>32.209999999999994</v>
      </c>
      <c r="AJ2943" s="5">
        <f t="shared" si="91"/>
        <v>0.20842500323540827</v>
      </c>
    </row>
    <row r="2944" spans="1:36">
      <c r="A2944" t="s">
        <v>298</v>
      </c>
      <c r="B2944" t="s">
        <v>3229</v>
      </c>
      <c r="C2944" t="s">
        <v>126</v>
      </c>
      <c r="D2944" t="s">
        <v>60</v>
      </c>
      <c r="E2944" t="s">
        <v>69</v>
      </c>
      <c r="F2944">
        <v>0</v>
      </c>
      <c r="G2944">
        <v>2327</v>
      </c>
      <c r="H2944">
        <v>1.22</v>
      </c>
      <c r="I2944" t="s">
        <v>173</v>
      </c>
      <c r="J2944">
        <v>1</v>
      </c>
      <c r="K2944" s="6">
        <v>1.37</v>
      </c>
      <c r="L2944" t="s">
        <v>174</v>
      </c>
      <c r="M2944">
        <v>0</v>
      </c>
      <c r="N2944" t="s">
        <v>187</v>
      </c>
      <c r="O2944">
        <v>2</v>
      </c>
      <c r="P2944">
        <v>0</v>
      </c>
      <c r="Q2944" s="6">
        <v>55.5</v>
      </c>
      <c r="R2944">
        <v>0</v>
      </c>
      <c r="S2944" s="6">
        <v>0</v>
      </c>
      <c r="T2944">
        <v>0</v>
      </c>
      <c r="U2944" s="6">
        <v>2129</v>
      </c>
      <c r="V2944">
        <v>0</v>
      </c>
      <c r="W2944">
        <v>0</v>
      </c>
      <c r="X2944">
        <v>0</v>
      </c>
      <c r="Y2944" s="6">
        <v>51.4</v>
      </c>
      <c r="Z2944">
        <v>0.80300000000000005</v>
      </c>
      <c r="AA2944">
        <v>8.6999999999999994E-2</v>
      </c>
      <c r="AB2944">
        <v>5.7000000000000002E-2</v>
      </c>
      <c r="AC2944">
        <v>6</v>
      </c>
      <c r="AD2944" s="6">
        <v>50</v>
      </c>
      <c r="AE2944" s="6">
        <v>0</v>
      </c>
      <c r="AF2944" s="6">
        <v>0</v>
      </c>
      <c r="AG2944" s="6">
        <v>62.12</v>
      </c>
      <c r="AH2944" s="6">
        <v>82.53</v>
      </c>
      <c r="AI2944" s="6">
        <f t="shared" si="90"/>
        <v>20.410000000000004</v>
      </c>
      <c r="AJ2944" s="5">
        <f t="shared" si="91"/>
        <v>0.24730401066278934</v>
      </c>
    </row>
    <row r="2945" spans="1:36">
      <c r="A2945" t="s">
        <v>345</v>
      </c>
      <c r="B2945" t="s">
        <v>3230</v>
      </c>
      <c r="C2945" t="s">
        <v>126</v>
      </c>
      <c r="D2945" t="s">
        <v>60</v>
      </c>
      <c r="E2945" t="s">
        <v>69</v>
      </c>
      <c r="F2945">
        <v>0</v>
      </c>
      <c r="G2945">
        <v>2327</v>
      </c>
      <c r="H2945">
        <v>1</v>
      </c>
      <c r="I2945" t="s">
        <v>220</v>
      </c>
      <c r="J2945">
        <v>2</v>
      </c>
      <c r="K2945" s="6">
        <v>5.62</v>
      </c>
      <c r="L2945" t="s">
        <v>174</v>
      </c>
      <c r="M2945">
        <v>0</v>
      </c>
      <c r="N2945" t="s">
        <v>187</v>
      </c>
      <c r="O2945">
        <v>2</v>
      </c>
      <c r="P2945">
        <v>0</v>
      </c>
      <c r="Q2945" s="6">
        <v>43.3</v>
      </c>
      <c r="R2945">
        <v>0</v>
      </c>
      <c r="S2945" s="6">
        <v>0</v>
      </c>
      <c r="T2945">
        <v>0</v>
      </c>
      <c r="U2945" s="6">
        <v>1061</v>
      </c>
      <c r="V2945">
        <v>0</v>
      </c>
      <c r="W2945">
        <v>0</v>
      </c>
      <c r="X2945">
        <v>0</v>
      </c>
      <c r="Y2945" s="6">
        <v>51.4</v>
      </c>
      <c r="Z2945">
        <v>0.80300000000000005</v>
      </c>
      <c r="AA2945">
        <v>8.6999999999999994E-2</v>
      </c>
      <c r="AB2945">
        <v>5.7000000000000002E-2</v>
      </c>
      <c r="AC2945">
        <v>6</v>
      </c>
      <c r="AD2945" s="6">
        <v>50</v>
      </c>
      <c r="AE2945" s="6">
        <v>0</v>
      </c>
      <c r="AF2945" s="6">
        <v>0</v>
      </c>
      <c r="AG2945" s="6">
        <v>63.1</v>
      </c>
      <c r="AH2945" s="6">
        <v>80.099999999999994</v>
      </c>
      <c r="AI2945" s="6">
        <f t="shared" si="90"/>
        <v>16.999999999999993</v>
      </c>
      <c r="AJ2945" s="5">
        <f t="shared" si="91"/>
        <v>0.21223470661672902</v>
      </c>
    </row>
    <row r="2946" spans="1:36">
      <c r="A2946" t="s">
        <v>328</v>
      </c>
      <c r="B2946" t="s">
        <v>3231</v>
      </c>
      <c r="C2946" t="s">
        <v>126</v>
      </c>
      <c r="D2946" t="s">
        <v>60</v>
      </c>
      <c r="E2946" t="s">
        <v>69</v>
      </c>
      <c r="F2946">
        <v>0</v>
      </c>
      <c r="G2946">
        <v>2327</v>
      </c>
      <c r="H2946">
        <v>1</v>
      </c>
      <c r="I2946" t="s">
        <v>173</v>
      </c>
      <c r="J2946">
        <v>1</v>
      </c>
      <c r="K2946" s="6">
        <v>1.7</v>
      </c>
      <c r="L2946" t="s">
        <v>174</v>
      </c>
      <c r="M2946">
        <v>0</v>
      </c>
      <c r="N2946" t="s">
        <v>187</v>
      </c>
      <c r="O2946">
        <v>2</v>
      </c>
      <c r="P2946">
        <v>0</v>
      </c>
      <c r="Q2946" s="6">
        <v>33.299999999999997</v>
      </c>
      <c r="R2946">
        <v>1</v>
      </c>
      <c r="S2946" s="6">
        <v>947</v>
      </c>
      <c r="T2946">
        <v>0</v>
      </c>
      <c r="U2946" s="6">
        <v>2314</v>
      </c>
      <c r="V2946">
        <v>0</v>
      </c>
      <c r="W2946">
        <v>0</v>
      </c>
      <c r="X2946">
        <v>0</v>
      </c>
      <c r="Y2946" s="6">
        <v>51.4</v>
      </c>
      <c r="Z2946">
        <v>0.80300000000000005</v>
      </c>
      <c r="AA2946">
        <v>8.6999999999999994E-2</v>
      </c>
      <c r="AB2946">
        <v>5.7000000000000002E-2</v>
      </c>
      <c r="AC2946">
        <v>6</v>
      </c>
      <c r="AD2946" s="6">
        <v>50</v>
      </c>
      <c r="AE2946" s="6">
        <v>25</v>
      </c>
      <c r="AF2946" s="6">
        <v>0</v>
      </c>
      <c r="AG2946" s="6">
        <v>51.49</v>
      </c>
      <c r="AH2946" s="6">
        <v>67.77</v>
      </c>
      <c r="AI2946" s="6">
        <f t="shared" ref="AI2946:AI3009" si="92">AH2946-AG2946</f>
        <v>16.279999999999994</v>
      </c>
      <c r="AJ2946" s="5">
        <f t="shared" ref="AJ2946:AJ3009" si="93">IFERROR(AI2946/AH2946,0)</f>
        <v>0.2402242880330529</v>
      </c>
    </row>
    <row r="2947" spans="1:36">
      <c r="A2947" t="s">
        <v>381</v>
      </c>
      <c r="B2947" t="s">
        <v>3232</v>
      </c>
      <c r="C2947" t="s">
        <v>126</v>
      </c>
      <c r="D2947" t="s">
        <v>60</v>
      </c>
      <c r="E2947" t="s">
        <v>69</v>
      </c>
      <c r="F2947">
        <v>0</v>
      </c>
      <c r="G2947">
        <v>2327</v>
      </c>
      <c r="H2947">
        <v>1</v>
      </c>
      <c r="I2947" t="s">
        <v>173</v>
      </c>
      <c r="J2947">
        <v>1</v>
      </c>
      <c r="K2947" s="6">
        <v>1.73</v>
      </c>
      <c r="L2947" t="s">
        <v>200</v>
      </c>
      <c r="M2947">
        <v>1</v>
      </c>
      <c r="N2947" t="s">
        <v>182</v>
      </c>
      <c r="O2947">
        <v>3</v>
      </c>
      <c r="P2947">
        <v>0</v>
      </c>
      <c r="Q2947" s="6">
        <v>70.8</v>
      </c>
      <c r="R2947">
        <v>0</v>
      </c>
      <c r="S2947" s="6">
        <v>0</v>
      </c>
      <c r="T2947">
        <v>0</v>
      </c>
      <c r="U2947" s="6">
        <v>1766</v>
      </c>
      <c r="V2947">
        <v>0</v>
      </c>
      <c r="W2947">
        <v>0</v>
      </c>
      <c r="X2947">
        <v>0</v>
      </c>
      <c r="Y2947" s="6">
        <v>51.4</v>
      </c>
      <c r="Z2947">
        <v>0.80300000000000005</v>
      </c>
      <c r="AA2947">
        <v>8.6999999999999994E-2</v>
      </c>
      <c r="AB2947">
        <v>5.7000000000000002E-2</v>
      </c>
      <c r="AC2947">
        <v>6</v>
      </c>
      <c r="AD2947" s="6">
        <v>99</v>
      </c>
      <c r="AE2947" s="6">
        <v>0</v>
      </c>
      <c r="AF2947" s="6">
        <v>0</v>
      </c>
      <c r="AG2947" s="6">
        <v>82.19</v>
      </c>
      <c r="AH2947" s="6">
        <v>103.67</v>
      </c>
      <c r="AI2947" s="6">
        <f t="shared" si="92"/>
        <v>21.480000000000004</v>
      </c>
      <c r="AJ2947" s="5">
        <f t="shared" si="93"/>
        <v>0.20719591009935376</v>
      </c>
    </row>
    <row r="2948" spans="1:36">
      <c r="A2948" t="s">
        <v>406</v>
      </c>
      <c r="B2948" t="s">
        <v>3233</v>
      </c>
      <c r="C2948" t="s">
        <v>126</v>
      </c>
      <c r="D2948" t="s">
        <v>60</v>
      </c>
      <c r="E2948" t="s">
        <v>69</v>
      </c>
      <c r="F2948">
        <v>0</v>
      </c>
      <c r="G2948">
        <v>2327</v>
      </c>
      <c r="H2948">
        <v>1.22</v>
      </c>
      <c r="I2948" t="s">
        <v>173</v>
      </c>
      <c r="J2948">
        <v>1</v>
      </c>
      <c r="K2948" s="6">
        <v>1.83</v>
      </c>
      <c r="L2948" t="s">
        <v>200</v>
      </c>
      <c r="M2948">
        <v>1</v>
      </c>
      <c r="N2948" t="s">
        <v>175</v>
      </c>
      <c r="O2948">
        <v>1</v>
      </c>
      <c r="P2948">
        <v>0</v>
      </c>
      <c r="Q2948" s="6">
        <v>33.9</v>
      </c>
      <c r="R2948">
        <v>0</v>
      </c>
      <c r="S2948" s="6">
        <v>0</v>
      </c>
      <c r="T2948">
        <v>0</v>
      </c>
      <c r="U2948" s="6">
        <v>1345</v>
      </c>
      <c r="V2948">
        <v>0</v>
      </c>
      <c r="W2948">
        <v>0</v>
      </c>
      <c r="X2948">
        <v>0</v>
      </c>
      <c r="Y2948" s="6">
        <v>51.4</v>
      </c>
      <c r="Z2948">
        <v>0.80300000000000005</v>
      </c>
      <c r="AA2948">
        <v>8.6999999999999994E-2</v>
      </c>
      <c r="AB2948">
        <v>5.7000000000000002E-2</v>
      </c>
      <c r="AC2948">
        <v>6</v>
      </c>
      <c r="AD2948" s="6">
        <v>99</v>
      </c>
      <c r="AE2948" s="6">
        <v>0</v>
      </c>
      <c r="AF2948" s="6">
        <v>0</v>
      </c>
      <c r="AG2948" s="6">
        <v>84.61</v>
      </c>
      <c r="AH2948" s="6">
        <v>107.86</v>
      </c>
      <c r="AI2948" s="6">
        <f t="shared" si="92"/>
        <v>23.25</v>
      </c>
      <c r="AJ2948" s="5">
        <f t="shared" si="93"/>
        <v>0.21555720378268126</v>
      </c>
    </row>
    <row r="2949" spans="1:36">
      <c r="A2949" t="s">
        <v>185</v>
      </c>
      <c r="B2949" t="s">
        <v>3234</v>
      </c>
      <c r="C2949" t="s">
        <v>126</v>
      </c>
      <c r="D2949" t="s">
        <v>60</v>
      </c>
      <c r="E2949" t="s">
        <v>69</v>
      </c>
      <c r="F2949">
        <v>0</v>
      </c>
      <c r="G2949">
        <v>2327</v>
      </c>
      <c r="H2949">
        <v>1.22</v>
      </c>
      <c r="I2949" t="s">
        <v>173</v>
      </c>
      <c r="J2949">
        <v>1</v>
      </c>
      <c r="K2949" s="6">
        <v>1.73</v>
      </c>
      <c r="L2949" t="s">
        <v>200</v>
      </c>
      <c r="M2949">
        <v>1</v>
      </c>
      <c r="N2949" t="s">
        <v>175</v>
      </c>
      <c r="O2949">
        <v>1</v>
      </c>
      <c r="P2949">
        <v>0</v>
      </c>
      <c r="Q2949" s="6">
        <v>13.8</v>
      </c>
      <c r="R2949">
        <v>0</v>
      </c>
      <c r="S2949" s="6">
        <v>0</v>
      </c>
      <c r="T2949">
        <v>0</v>
      </c>
      <c r="U2949" s="6">
        <v>1449</v>
      </c>
      <c r="V2949">
        <v>0</v>
      </c>
      <c r="W2949">
        <v>0</v>
      </c>
      <c r="X2949">
        <v>0</v>
      </c>
      <c r="Y2949" s="6">
        <v>51.4</v>
      </c>
      <c r="Z2949">
        <v>0.80300000000000005</v>
      </c>
      <c r="AA2949">
        <v>8.6999999999999994E-2</v>
      </c>
      <c r="AB2949">
        <v>5.7000000000000002E-2</v>
      </c>
      <c r="AC2949">
        <v>6</v>
      </c>
      <c r="AD2949" s="6">
        <v>99</v>
      </c>
      <c r="AE2949" s="6">
        <v>0</v>
      </c>
      <c r="AF2949" s="6">
        <v>0</v>
      </c>
      <c r="AG2949" s="6">
        <v>81.58</v>
      </c>
      <c r="AH2949" s="6">
        <v>103.22</v>
      </c>
      <c r="AI2949" s="6">
        <f t="shared" si="92"/>
        <v>21.64</v>
      </c>
      <c r="AJ2949" s="5">
        <f t="shared" si="93"/>
        <v>0.20964929277271846</v>
      </c>
    </row>
    <row r="2950" spans="1:36">
      <c r="A2950" t="s">
        <v>194</v>
      </c>
      <c r="B2950" t="s">
        <v>3235</v>
      </c>
      <c r="C2950" t="s">
        <v>126</v>
      </c>
      <c r="D2950" t="s">
        <v>60</v>
      </c>
      <c r="E2950" t="s">
        <v>69</v>
      </c>
      <c r="F2950">
        <v>0</v>
      </c>
      <c r="G2950">
        <v>2327</v>
      </c>
      <c r="H2950">
        <v>1.22</v>
      </c>
      <c r="I2950" t="s">
        <v>173</v>
      </c>
      <c r="J2950">
        <v>1</v>
      </c>
      <c r="K2950" s="6">
        <v>1.74</v>
      </c>
      <c r="L2950" t="s">
        <v>200</v>
      </c>
      <c r="M2950">
        <v>1</v>
      </c>
      <c r="N2950" t="s">
        <v>182</v>
      </c>
      <c r="O2950">
        <v>3</v>
      </c>
      <c r="P2950">
        <v>0</v>
      </c>
      <c r="Q2950" s="6">
        <v>39.9</v>
      </c>
      <c r="R2950">
        <v>0</v>
      </c>
      <c r="S2950" s="6">
        <v>0</v>
      </c>
      <c r="T2950">
        <v>0</v>
      </c>
      <c r="U2950" s="6">
        <v>1922</v>
      </c>
      <c r="V2950">
        <v>0</v>
      </c>
      <c r="W2950">
        <v>0</v>
      </c>
      <c r="X2950">
        <v>0</v>
      </c>
      <c r="Y2950" s="6">
        <v>51.4</v>
      </c>
      <c r="Z2950">
        <v>0.80300000000000005</v>
      </c>
      <c r="AA2950">
        <v>8.6999999999999994E-2</v>
      </c>
      <c r="AB2950">
        <v>5.7000000000000002E-2</v>
      </c>
      <c r="AC2950">
        <v>6</v>
      </c>
      <c r="AD2950" s="6">
        <v>99</v>
      </c>
      <c r="AE2950" s="6">
        <v>0</v>
      </c>
      <c r="AF2950" s="6">
        <v>0</v>
      </c>
      <c r="AG2950" s="6">
        <v>95.22</v>
      </c>
      <c r="AH2950" s="6">
        <v>123.11</v>
      </c>
      <c r="AI2950" s="6">
        <f t="shared" si="92"/>
        <v>27.89</v>
      </c>
      <c r="AJ2950" s="5">
        <f t="shared" si="93"/>
        <v>0.22654536593290553</v>
      </c>
    </row>
    <row r="2951" spans="1:36">
      <c r="A2951" t="s">
        <v>457</v>
      </c>
      <c r="B2951" t="s">
        <v>3236</v>
      </c>
      <c r="C2951" t="s">
        <v>126</v>
      </c>
      <c r="D2951" t="s">
        <v>60</v>
      </c>
      <c r="E2951" t="s">
        <v>69</v>
      </c>
      <c r="F2951">
        <v>0</v>
      </c>
      <c r="G2951">
        <v>2327</v>
      </c>
      <c r="H2951">
        <v>1</v>
      </c>
      <c r="I2951" t="s">
        <v>181</v>
      </c>
      <c r="J2951">
        <v>3</v>
      </c>
      <c r="K2951" s="6">
        <v>8.18</v>
      </c>
      <c r="L2951" t="s">
        <v>200</v>
      </c>
      <c r="M2951">
        <v>1</v>
      </c>
      <c r="N2951" t="s">
        <v>175</v>
      </c>
      <c r="O2951">
        <v>1</v>
      </c>
      <c r="P2951">
        <v>0</v>
      </c>
      <c r="Q2951" s="6">
        <v>35.9</v>
      </c>
      <c r="R2951">
        <v>0</v>
      </c>
      <c r="S2951" s="6">
        <v>0</v>
      </c>
      <c r="T2951">
        <v>0</v>
      </c>
      <c r="U2951" s="6">
        <v>2877</v>
      </c>
      <c r="V2951">
        <v>0</v>
      </c>
      <c r="W2951">
        <v>0</v>
      </c>
      <c r="X2951">
        <v>0</v>
      </c>
      <c r="Y2951" s="6">
        <v>51.4</v>
      </c>
      <c r="Z2951">
        <v>0.80300000000000005</v>
      </c>
      <c r="AA2951">
        <v>8.6999999999999994E-2</v>
      </c>
      <c r="AB2951">
        <v>5.7000000000000002E-2</v>
      </c>
      <c r="AC2951">
        <v>6</v>
      </c>
      <c r="AD2951" s="6">
        <v>139</v>
      </c>
      <c r="AE2951" s="6">
        <v>0</v>
      </c>
      <c r="AF2951" s="6">
        <v>0</v>
      </c>
      <c r="AG2951" s="6">
        <v>126.3</v>
      </c>
      <c r="AH2951" s="6">
        <v>160.13999999999999</v>
      </c>
      <c r="AI2951" s="6">
        <f t="shared" si="92"/>
        <v>33.839999999999989</v>
      </c>
      <c r="AJ2951" s="5">
        <f t="shared" si="93"/>
        <v>0.21131509928812284</v>
      </c>
    </row>
    <row r="2952" spans="1:36">
      <c r="A2952" t="s">
        <v>192</v>
      </c>
      <c r="B2952" t="s">
        <v>3237</v>
      </c>
      <c r="C2952" t="s">
        <v>126</v>
      </c>
      <c r="D2952" t="s">
        <v>60</v>
      </c>
      <c r="E2952" t="s">
        <v>69</v>
      </c>
      <c r="F2952">
        <v>0</v>
      </c>
      <c r="G2952">
        <v>2327</v>
      </c>
      <c r="H2952">
        <v>1</v>
      </c>
      <c r="I2952" t="s">
        <v>220</v>
      </c>
      <c r="J2952">
        <v>2</v>
      </c>
      <c r="K2952" s="6">
        <v>1.74</v>
      </c>
      <c r="L2952" t="s">
        <v>200</v>
      </c>
      <c r="M2952">
        <v>1</v>
      </c>
      <c r="N2952" t="s">
        <v>272</v>
      </c>
      <c r="O2952">
        <v>5</v>
      </c>
      <c r="P2952">
        <v>1</v>
      </c>
      <c r="Q2952" s="6">
        <v>256.39999999999998</v>
      </c>
      <c r="R2952">
        <v>0</v>
      </c>
      <c r="S2952" s="6">
        <v>0</v>
      </c>
      <c r="T2952">
        <v>0</v>
      </c>
      <c r="U2952" s="6">
        <v>3322</v>
      </c>
      <c r="V2952">
        <v>0</v>
      </c>
      <c r="W2952">
        <v>0</v>
      </c>
      <c r="X2952">
        <v>0</v>
      </c>
      <c r="Y2952" s="6">
        <v>51.4</v>
      </c>
      <c r="Z2952">
        <v>0.80300000000000005</v>
      </c>
      <c r="AA2952">
        <v>8.6999999999999994E-2</v>
      </c>
      <c r="AB2952">
        <v>5.7000000000000002E-2</v>
      </c>
      <c r="AC2952">
        <v>6</v>
      </c>
      <c r="AD2952" s="6">
        <v>119</v>
      </c>
      <c r="AE2952" s="6">
        <v>0</v>
      </c>
      <c r="AF2952" s="6">
        <v>0</v>
      </c>
      <c r="AG2952" s="6">
        <v>199.15</v>
      </c>
      <c r="AH2952" s="6">
        <v>249.68</v>
      </c>
      <c r="AI2952" s="6">
        <f t="shared" si="92"/>
        <v>50.53</v>
      </c>
      <c r="AJ2952" s="5">
        <f t="shared" si="93"/>
        <v>0.20237904517782762</v>
      </c>
    </row>
    <row r="2953" spans="1:36">
      <c r="A2953" t="s">
        <v>190</v>
      </c>
      <c r="B2953" t="s">
        <v>3238</v>
      </c>
      <c r="C2953" t="s">
        <v>126</v>
      </c>
      <c r="D2953" t="s">
        <v>60</v>
      </c>
      <c r="E2953" t="s">
        <v>69</v>
      </c>
      <c r="F2953">
        <v>0</v>
      </c>
      <c r="G2953">
        <v>2327</v>
      </c>
      <c r="H2953">
        <v>1.22</v>
      </c>
      <c r="I2953" t="s">
        <v>181</v>
      </c>
      <c r="J2953">
        <v>3</v>
      </c>
      <c r="K2953" s="6">
        <v>9.8699999999999992</v>
      </c>
      <c r="L2953" t="s">
        <v>200</v>
      </c>
      <c r="M2953">
        <v>1</v>
      </c>
      <c r="N2953" t="s">
        <v>175</v>
      </c>
      <c r="O2953">
        <v>1</v>
      </c>
      <c r="P2953">
        <v>0</v>
      </c>
      <c r="Q2953" s="6">
        <v>61.9</v>
      </c>
      <c r="R2953">
        <v>0</v>
      </c>
      <c r="S2953" s="6">
        <v>0</v>
      </c>
      <c r="T2953">
        <v>0</v>
      </c>
      <c r="U2953" s="6">
        <v>1256</v>
      </c>
      <c r="V2953">
        <v>0</v>
      </c>
      <c r="W2953">
        <v>0</v>
      </c>
      <c r="X2953">
        <v>0</v>
      </c>
      <c r="Y2953" s="6">
        <v>51.4</v>
      </c>
      <c r="Z2953">
        <v>0.80300000000000005</v>
      </c>
      <c r="AA2953">
        <v>8.6999999999999994E-2</v>
      </c>
      <c r="AB2953">
        <v>5.7000000000000002E-2</v>
      </c>
      <c r="AC2953">
        <v>6</v>
      </c>
      <c r="AD2953" s="6">
        <v>139</v>
      </c>
      <c r="AE2953" s="6">
        <v>0</v>
      </c>
      <c r="AF2953" s="6">
        <v>0</v>
      </c>
      <c r="AG2953" s="6">
        <v>129.33000000000001</v>
      </c>
      <c r="AH2953" s="6">
        <v>164.68</v>
      </c>
      <c r="AI2953" s="6">
        <f t="shared" si="92"/>
        <v>35.349999999999994</v>
      </c>
      <c r="AJ2953" s="5">
        <f t="shared" si="93"/>
        <v>0.21465873208647068</v>
      </c>
    </row>
    <row r="2954" spans="1:36">
      <c r="A2954" t="s">
        <v>223</v>
      </c>
      <c r="B2954" t="s">
        <v>3239</v>
      </c>
      <c r="C2954" t="s">
        <v>126</v>
      </c>
      <c r="D2954" t="s">
        <v>60</v>
      </c>
      <c r="E2954" t="s">
        <v>69</v>
      </c>
      <c r="F2954">
        <v>0</v>
      </c>
      <c r="G2954">
        <v>2327</v>
      </c>
      <c r="H2954">
        <v>1</v>
      </c>
      <c r="I2954" t="s">
        <v>173</v>
      </c>
      <c r="J2954">
        <v>1</v>
      </c>
      <c r="K2954" s="6">
        <v>0.9</v>
      </c>
      <c r="L2954" t="s">
        <v>200</v>
      </c>
      <c r="M2954">
        <v>1</v>
      </c>
      <c r="N2954" t="s">
        <v>175</v>
      </c>
      <c r="O2954">
        <v>1</v>
      </c>
      <c r="P2954">
        <v>0</v>
      </c>
      <c r="Q2954" s="6">
        <v>38.799999999999997</v>
      </c>
      <c r="R2954">
        <v>0</v>
      </c>
      <c r="S2954" s="6">
        <v>0</v>
      </c>
      <c r="T2954">
        <v>0</v>
      </c>
      <c r="U2954" s="6">
        <v>1950</v>
      </c>
      <c r="V2954">
        <v>0</v>
      </c>
      <c r="W2954">
        <v>0</v>
      </c>
      <c r="X2954">
        <v>0</v>
      </c>
      <c r="Y2954" s="6">
        <v>51.4</v>
      </c>
      <c r="Z2954">
        <v>0.80300000000000005</v>
      </c>
      <c r="AA2954">
        <v>8.6999999999999994E-2</v>
      </c>
      <c r="AB2954">
        <v>5.7000000000000002E-2</v>
      </c>
      <c r="AC2954">
        <v>6</v>
      </c>
      <c r="AD2954" s="6">
        <v>99</v>
      </c>
      <c r="AE2954" s="6">
        <v>0</v>
      </c>
      <c r="AF2954" s="6">
        <v>0</v>
      </c>
      <c r="AG2954" s="6">
        <v>75.790000000000006</v>
      </c>
      <c r="AH2954" s="6">
        <v>100.07</v>
      </c>
      <c r="AI2954" s="6">
        <f t="shared" si="92"/>
        <v>24.279999999999987</v>
      </c>
      <c r="AJ2954" s="5">
        <f t="shared" si="93"/>
        <v>0.24263015888877773</v>
      </c>
    </row>
    <row r="2955" spans="1:36">
      <c r="A2955" t="s">
        <v>384</v>
      </c>
      <c r="B2955" t="s">
        <v>3240</v>
      </c>
      <c r="C2955" t="s">
        <v>126</v>
      </c>
      <c r="D2955" t="s">
        <v>60</v>
      </c>
      <c r="E2955" t="s">
        <v>69</v>
      </c>
      <c r="F2955">
        <v>0</v>
      </c>
      <c r="G2955">
        <v>2327</v>
      </c>
      <c r="H2955">
        <v>1.22</v>
      </c>
      <c r="I2955" t="s">
        <v>173</v>
      </c>
      <c r="J2955">
        <v>1</v>
      </c>
      <c r="K2955" s="6">
        <v>1.52</v>
      </c>
      <c r="L2955" t="s">
        <v>200</v>
      </c>
      <c r="M2955">
        <v>1</v>
      </c>
      <c r="N2955" t="s">
        <v>182</v>
      </c>
      <c r="O2955">
        <v>3</v>
      </c>
      <c r="P2955">
        <v>0</v>
      </c>
      <c r="Q2955" s="6">
        <v>114.6</v>
      </c>
      <c r="R2955">
        <v>0</v>
      </c>
      <c r="S2955" s="6">
        <v>0</v>
      </c>
      <c r="T2955">
        <v>0</v>
      </c>
      <c r="U2955" s="6">
        <v>2742</v>
      </c>
      <c r="V2955">
        <v>0</v>
      </c>
      <c r="W2955">
        <v>0</v>
      </c>
      <c r="X2955">
        <v>0</v>
      </c>
      <c r="Y2955" s="6">
        <v>51.4</v>
      </c>
      <c r="Z2955">
        <v>0.80300000000000005</v>
      </c>
      <c r="AA2955">
        <v>8.6999999999999994E-2</v>
      </c>
      <c r="AB2955">
        <v>5.7000000000000002E-2</v>
      </c>
      <c r="AC2955">
        <v>6</v>
      </c>
      <c r="AD2955" s="6">
        <v>99</v>
      </c>
      <c r="AE2955" s="6">
        <v>0</v>
      </c>
      <c r="AF2955" s="6">
        <v>0</v>
      </c>
      <c r="AG2955" s="6">
        <v>91.06</v>
      </c>
      <c r="AH2955" s="6">
        <v>115.26</v>
      </c>
      <c r="AI2955" s="6">
        <f t="shared" si="92"/>
        <v>24.200000000000003</v>
      </c>
      <c r="AJ2955" s="5">
        <f t="shared" si="93"/>
        <v>0.2099600902307826</v>
      </c>
    </row>
    <row r="2956" spans="1:36">
      <c r="A2956" t="s">
        <v>291</v>
      </c>
      <c r="B2956" t="s">
        <v>3241</v>
      </c>
      <c r="C2956" t="s">
        <v>126</v>
      </c>
      <c r="D2956" t="s">
        <v>60</v>
      </c>
      <c r="E2956" t="s">
        <v>69</v>
      </c>
      <c r="F2956">
        <v>0</v>
      </c>
      <c r="G2956">
        <v>2327</v>
      </c>
      <c r="H2956">
        <v>1.22</v>
      </c>
      <c r="I2956" t="s">
        <v>181</v>
      </c>
      <c r="J2956">
        <v>3</v>
      </c>
      <c r="K2956" s="6">
        <v>6.36</v>
      </c>
      <c r="L2956" t="s">
        <v>200</v>
      </c>
      <c r="M2956">
        <v>1</v>
      </c>
      <c r="N2956" t="s">
        <v>175</v>
      </c>
      <c r="O2956">
        <v>1</v>
      </c>
      <c r="P2956">
        <v>0</v>
      </c>
      <c r="Q2956" s="6">
        <v>38.799999999999997</v>
      </c>
      <c r="R2956">
        <v>0</v>
      </c>
      <c r="S2956" s="6">
        <v>0</v>
      </c>
      <c r="T2956">
        <v>0</v>
      </c>
      <c r="U2956" s="6">
        <v>1589</v>
      </c>
      <c r="V2956">
        <v>0</v>
      </c>
      <c r="W2956">
        <v>0</v>
      </c>
      <c r="X2956">
        <v>0</v>
      </c>
      <c r="Y2956" s="6">
        <v>51.4</v>
      </c>
      <c r="Z2956">
        <v>0.80300000000000005</v>
      </c>
      <c r="AA2956">
        <v>8.6999999999999994E-2</v>
      </c>
      <c r="AB2956">
        <v>5.7000000000000002E-2</v>
      </c>
      <c r="AC2956">
        <v>6</v>
      </c>
      <c r="AD2956" s="6">
        <v>139</v>
      </c>
      <c r="AE2956" s="6">
        <v>0</v>
      </c>
      <c r="AF2956" s="6">
        <v>0</v>
      </c>
      <c r="AG2956" s="6">
        <v>106.3</v>
      </c>
      <c r="AH2956" s="6">
        <v>139.08000000000001</v>
      </c>
      <c r="AI2956" s="6">
        <f t="shared" si="92"/>
        <v>32.780000000000015</v>
      </c>
      <c r="AJ2956" s="5">
        <f t="shared" si="93"/>
        <v>0.235691688236986</v>
      </c>
    </row>
    <row r="2957" spans="1:36">
      <c r="A2957" t="s">
        <v>247</v>
      </c>
      <c r="B2957" t="s">
        <v>3242</v>
      </c>
      <c r="C2957" t="s">
        <v>126</v>
      </c>
      <c r="D2957" t="s">
        <v>60</v>
      </c>
      <c r="E2957" t="s">
        <v>69</v>
      </c>
      <c r="F2957">
        <v>0</v>
      </c>
      <c r="G2957">
        <v>2327</v>
      </c>
      <c r="H2957">
        <v>1</v>
      </c>
      <c r="I2957" t="s">
        <v>173</v>
      </c>
      <c r="J2957">
        <v>1</v>
      </c>
      <c r="K2957" s="6">
        <v>2.27</v>
      </c>
      <c r="L2957" t="s">
        <v>200</v>
      </c>
      <c r="M2957">
        <v>1</v>
      </c>
      <c r="N2957" t="s">
        <v>182</v>
      </c>
      <c r="O2957">
        <v>3</v>
      </c>
      <c r="P2957">
        <v>0</v>
      </c>
      <c r="Q2957" s="6">
        <v>133</v>
      </c>
      <c r="R2957">
        <v>0</v>
      </c>
      <c r="S2957" s="6">
        <v>0</v>
      </c>
      <c r="T2957">
        <v>0</v>
      </c>
      <c r="U2957" s="6">
        <v>2047</v>
      </c>
      <c r="V2957">
        <v>0</v>
      </c>
      <c r="W2957">
        <v>0</v>
      </c>
      <c r="X2957">
        <v>0</v>
      </c>
      <c r="Y2957" s="6">
        <v>51.4</v>
      </c>
      <c r="Z2957">
        <v>0.80300000000000005</v>
      </c>
      <c r="AA2957">
        <v>8.6999999999999994E-2</v>
      </c>
      <c r="AB2957">
        <v>5.7000000000000002E-2</v>
      </c>
      <c r="AC2957">
        <v>6</v>
      </c>
      <c r="AD2957" s="6">
        <v>99</v>
      </c>
      <c r="AE2957" s="6">
        <v>0</v>
      </c>
      <c r="AF2957" s="6">
        <v>0</v>
      </c>
      <c r="AG2957" s="6">
        <v>83.89</v>
      </c>
      <c r="AH2957" s="6">
        <v>109.32</v>
      </c>
      <c r="AI2957" s="6">
        <f t="shared" si="92"/>
        <v>25.429999999999993</v>
      </c>
      <c r="AJ2957" s="5">
        <f t="shared" si="93"/>
        <v>0.23261983168679101</v>
      </c>
    </row>
    <row r="2958" spans="1:36">
      <c r="A2958" t="s">
        <v>362</v>
      </c>
      <c r="B2958" t="s">
        <v>3243</v>
      </c>
      <c r="C2958" t="s">
        <v>126</v>
      </c>
      <c r="D2958" t="s">
        <v>60</v>
      </c>
      <c r="E2958" t="s">
        <v>69</v>
      </c>
      <c r="F2958">
        <v>0</v>
      </c>
      <c r="G2958">
        <v>2327</v>
      </c>
      <c r="H2958">
        <v>1</v>
      </c>
      <c r="I2958" t="s">
        <v>220</v>
      </c>
      <c r="J2958">
        <v>2</v>
      </c>
      <c r="K2958" s="6">
        <v>5.48</v>
      </c>
      <c r="L2958" t="s">
        <v>200</v>
      </c>
      <c r="M2958">
        <v>1</v>
      </c>
      <c r="N2958" t="s">
        <v>175</v>
      </c>
      <c r="O2958">
        <v>1</v>
      </c>
      <c r="P2958">
        <v>0</v>
      </c>
      <c r="Q2958" s="6">
        <v>36.4</v>
      </c>
      <c r="R2958">
        <v>1</v>
      </c>
      <c r="S2958" s="6">
        <v>2339</v>
      </c>
      <c r="T2958">
        <v>0</v>
      </c>
      <c r="U2958" s="6">
        <v>934</v>
      </c>
      <c r="V2958">
        <v>0</v>
      </c>
      <c r="W2958">
        <v>0</v>
      </c>
      <c r="X2958">
        <v>0</v>
      </c>
      <c r="Y2958" s="6">
        <v>51.4</v>
      </c>
      <c r="Z2958">
        <v>0.80300000000000005</v>
      </c>
      <c r="AA2958">
        <v>8.6999999999999994E-2</v>
      </c>
      <c r="AB2958">
        <v>5.7000000000000002E-2</v>
      </c>
      <c r="AC2958">
        <v>6</v>
      </c>
      <c r="AD2958" s="6">
        <v>119</v>
      </c>
      <c r="AE2958" s="6">
        <v>40</v>
      </c>
      <c r="AF2958" s="6">
        <v>0</v>
      </c>
      <c r="AG2958" s="6">
        <v>84.69</v>
      </c>
      <c r="AH2958" s="6">
        <v>122.59</v>
      </c>
      <c r="AI2958" s="6">
        <f t="shared" si="92"/>
        <v>37.900000000000006</v>
      </c>
      <c r="AJ2958" s="5">
        <f t="shared" si="93"/>
        <v>0.30916061668977896</v>
      </c>
    </row>
    <row r="2959" spans="1:36">
      <c r="A2959" t="s">
        <v>204</v>
      </c>
      <c r="B2959" t="s">
        <v>3244</v>
      </c>
      <c r="C2959" t="s">
        <v>126</v>
      </c>
      <c r="D2959" t="s">
        <v>60</v>
      </c>
      <c r="E2959" t="s">
        <v>69</v>
      </c>
      <c r="F2959">
        <v>0</v>
      </c>
      <c r="G2959">
        <v>2327</v>
      </c>
      <c r="H2959">
        <v>1.22</v>
      </c>
      <c r="I2959" t="s">
        <v>220</v>
      </c>
      <c r="J2959">
        <v>2</v>
      </c>
      <c r="K2959" s="6">
        <v>5.77</v>
      </c>
      <c r="L2959" t="s">
        <v>200</v>
      </c>
      <c r="M2959">
        <v>1</v>
      </c>
      <c r="N2959" t="s">
        <v>182</v>
      </c>
      <c r="O2959">
        <v>3</v>
      </c>
      <c r="P2959">
        <v>0</v>
      </c>
      <c r="Q2959" s="6">
        <v>69.599999999999994</v>
      </c>
      <c r="R2959">
        <v>0</v>
      </c>
      <c r="S2959" s="6">
        <v>0</v>
      </c>
      <c r="T2959">
        <v>0</v>
      </c>
      <c r="U2959" s="6">
        <v>1616</v>
      </c>
      <c r="V2959">
        <v>1</v>
      </c>
      <c r="W2959">
        <v>0</v>
      </c>
      <c r="X2959">
        <v>0</v>
      </c>
      <c r="Y2959" s="6">
        <v>51.4</v>
      </c>
      <c r="Z2959">
        <v>0.80300000000000005</v>
      </c>
      <c r="AA2959">
        <v>8.6999999999999994E-2</v>
      </c>
      <c r="AB2959">
        <v>5.7000000000000002E-2</v>
      </c>
      <c r="AC2959">
        <v>6</v>
      </c>
      <c r="AD2959" s="6">
        <v>119</v>
      </c>
      <c r="AE2959" s="6">
        <v>0</v>
      </c>
      <c r="AF2959" s="6">
        <v>0</v>
      </c>
      <c r="AG2959" s="6">
        <v>142.15</v>
      </c>
      <c r="AH2959" s="6">
        <v>179.84</v>
      </c>
      <c r="AI2959" s="6">
        <f t="shared" si="92"/>
        <v>37.69</v>
      </c>
      <c r="AJ2959" s="5">
        <f t="shared" si="93"/>
        <v>0.20957517793594305</v>
      </c>
    </row>
    <row r="2960" spans="1:36">
      <c r="A2960" t="s">
        <v>243</v>
      </c>
      <c r="B2960" t="s">
        <v>3245</v>
      </c>
      <c r="C2960" t="s">
        <v>126</v>
      </c>
      <c r="D2960" t="s">
        <v>60</v>
      </c>
      <c r="E2960" t="s">
        <v>69</v>
      </c>
      <c r="F2960">
        <v>0</v>
      </c>
      <c r="G2960">
        <v>2327</v>
      </c>
      <c r="H2960">
        <v>1.22</v>
      </c>
      <c r="I2960" t="s">
        <v>173</v>
      </c>
      <c r="J2960">
        <v>1</v>
      </c>
      <c r="K2960" s="6">
        <v>1.29</v>
      </c>
      <c r="L2960" t="s">
        <v>174</v>
      </c>
      <c r="M2960">
        <v>0</v>
      </c>
      <c r="N2960" t="s">
        <v>187</v>
      </c>
      <c r="O2960">
        <v>2</v>
      </c>
      <c r="P2960">
        <v>0</v>
      </c>
      <c r="Q2960" s="6">
        <v>75.5</v>
      </c>
      <c r="R2960">
        <v>0</v>
      </c>
      <c r="S2960" s="6">
        <v>0</v>
      </c>
      <c r="T2960">
        <v>0</v>
      </c>
      <c r="U2960" s="6">
        <v>3614</v>
      </c>
      <c r="V2960">
        <v>0</v>
      </c>
      <c r="W2960">
        <v>0</v>
      </c>
      <c r="X2960">
        <v>0</v>
      </c>
      <c r="Y2960" s="6">
        <v>51.4</v>
      </c>
      <c r="Z2960">
        <v>0.80300000000000005</v>
      </c>
      <c r="AA2960">
        <v>8.6999999999999994E-2</v>
      </c>
      <c r="AB2960">
        <v>5.7000000000000002E-2</v>
      </c>
      <c r="AC2960">
        <v>6</v>
      </c>
      <c r="AD2960" s="6">
        <v>50</v>
      </c>
      <c r="AE2960" s="6">
        <v>0</v>
      </c>
      <c r="AF2960" s="6">
        <v>0</v>
      </c>
      <c r="AG2960" s="6">
        <v>61.37</v>
      </c>
      <c r="AH2960" s="6">
        <v>81.599999999999994</v>
      </c>
      <c r="AI2960" s="6">
        <f t="shared" si="92"/>
        <v>20.229999999999997</v>
      </c>
      <c r="AJ2960" s="5">
        <f t="shared" si="93"/>
        <v>0.24791666666666665</v>
      </c>
    </row>
    <row r="2961" spans="1:36">
      <c r="A2961" t="s">
        <v>391</v>
      </c>
      <c r="B2961" t="s">
        <v>3246</v>
      </c>
      <c r="C2961" t="s">
        <v>126</v>
      </c>
      <c r="D2961" t="s">
        <v>60</v>
      </c>
      <c r="E2961" t="s">
        <v>69</v>
      </c>
      <c r="F2961">
        <v>0</v>
      </c>
      <c r="G2961">
        <v>2327</v>
      </c>
      <c r="H2961">
        <v>1</v>
      </c>
      <c r="I2961" t="s">
        <v>181</v>
      </c>
      <c r="J2961">
        <v>3</v>
      </c>
      <c r="K2961" s="6">
        <v>7.37</v>
      </c>
      <c r="L2961" t="s">
        <v>200</v>
      </c>
      <c r="M2961">
        <v>1</v>
      </c>
      <c r="N2961" t="s">
        <v>175</v>
      </c>
      <c r="O2961">
        <v>1</v>
      </c>
      <c r="P2961">
        <v>1</v>
      </c>
      <c r="Q2961" s="6">
        <v>38</v>
      </c>
      <c r="R2961">
        <v>0</v>
      </c>
      <c r="S2961" s="6">
        <v>0</v>
      </c>
      <c r="T2961">
        <v>0</v>
      </c>
      <c r="U2961" s="6">
        <v>3484</v>
      </c>
      <c r="V2961">
        <v>0</v>
      </c>
      <c r="W2961">
        <v>0</v>
      </c>
      <c r="X2961">
        <v>0</v>
      </c>
      <c r="Y2961" s="6">
        <v>51.4</v>
      </c>
      <c r="Z2961">
        <v>0.80300000000000005</v>
      </c>
      <c r="AA2961">
        <v>8.6999999999999994E-2</v>
      </c>
      <c r="AB2961">
        <v>5.7000000000000002E-2</v>
      </c>
      <c r="AC2961">
        <v>6</v>
      </c>
      <c r="AD2961" s="6">
        <v>139</v>
      </c>
      <c r="AE2961" s="6">
        <v>0</v>
      </c>
      <c r="AF2961" s="6">
        <v>0</v>
      </c>
      <c r="AG2961" s="6">
        <v>141.54</v>
      </c>
      <c r="AH2961" s="6">
        <v>180.94</v>
      </c>
      <c r="AI2961" s="6">
        <f t="shared" si="92"/>
        <v>39.400000000000006</v>
      </c>
      <c r="AJ2961" s="5">
        <f t="shared" si="93"/>
        <v>0.21775174090858851</v>
      </c>
    </row>
    <row r="2962" spans="1:36">
      <c r="A2962" t="s">
        <v>393</v>
      </c>
      <c r="B2962" t="s">
        <v>3247</v>
      </c>
      <c r="C2962" t="s">
        <v>126</v>
      </c>
      <c r="D2962" t="s">
        <v>60</v>
      </c>
      <c r="E2962" t="s">
        <v>69</v>
      </c>
      <c r="F2962">
        <v>0</v>
      </c>
      <c r="G2962">
        <v>2327</v>
      </c>
      <c r="H2962">
        <v>1.22</v>
      </c>
      <c r="I2962" t="s">
        <v>173</v>
      </c>
      <c r="J2962">
        <v>1</v>
      </c>
      <c r="K2962" s="6">
        <v>0.93</v>
      </c>
      <c r="L2962" t="s">
        <v>174</v>
      </c>
      <c r="M2962">
        <v>0</v>
      </c>
      <c r="N2962" t="s">
        <v>187</v>
      </c>
      <c r="O2962">
        <v>2</v>
      </c>
      <c r="P2962">
        <v>0</v>
      </c>
      <c r="Q2962" s="6">
        <v>39.5</v>
      </c>
      <c r="R2962">
        <v>0</v>
      </c>
      <c r="S2962" s="6">
        <v>0</v>
      </c>
      <c r="T2962">
        <v>0</v>
      </c>
      <c r="U2962" s="6">
        <v>1394</v>
      </c>
      <c r="V2962">
        <v>0</v>
      </c>
      <c r="W2962">
        <v>0</v>
      </c>
      <c r="X2962">
        <v>0</v>
      </c>
      <c r="Y2962" s="6">
        <v>51.4</v>
      </c>
      <c r="Z2962">
        <v>0.80300000000000005</v>
      </c>
      <c r="AA2962">
        <v>8.6999999999999994E-2</v>
      </c>
      <c r="AB2962">
        <v>5.7000000000000002E-2</v>
      </c>
      <c r="AC2962">
        <v>6</v>
      </c>
      <c r="AD2962" s="6">
        <v>50</v>
      </c>
      <c r="AE2962" s="6">
        <v>0</v>
      </c>
      <c r="AF2962" s="6">
        <v>0</v>
      </c>
      <c r="AG2962" s="6">
        <v>57.72</v>
      </c>
      <c r="AH2962" s="6">
        <v>77.13</v>
      </c>
      <c r="AI2962" s="6">
        <f t="shared" si="92"/>
        <v>19.409999999999997</v>
      </c>
      <c r="AJ2962" s="5">
        <f t="shared" si="93"/>
        <v>0.25165305328665888</v>
      </c>
    </row>
    <row r="2963" spans="1:36">
      <c r="A2963" t="s">
        <v>501</v>
      </c>
      <c r="B2963" t="s">
        <v>3248</v>
      </c>
      <c r="C2963" t="s">
        <v>126</v>
      </c>
      <c r="D2963" t="s">
        <v>60</v>
      </c>
      <c r="E2963" t="s">
        <v>69</v>
      </c>
      <c r="F2963">
        <v>0</v>
      </c>
      <c r="G2963">
        <v>2327</v>
      </c>
      <c r="H2963">
        <v>1</v>
      </c>
      <c r="I2963" t="s">
        <v>181</v>
      </c>
      <c r="J2963">
        <v>3</v>
      </c>
      <c r="K2963" s="6">
        <v>6.45</v>
      </c>
      <c r="L2963" t="s">
        <v>200</v>
      </c>
      <c r="M2963">
        <v>1</v>
      </c>
      <c r="N2963" t="s">
        <v>175</v>
      </c>
      <c r="O2963">
        <v>1</v>
      </c>
      <c r="P2963">
        <v>0</v>
      </c>
      <c r="Q2963" s="6">
        <v>41.3</v>
      </c>
      <c r="R2963">
        <v>0</v>
      </c>
      <c r="S2963" s="6">
        <v>0</v>
      </c>
      <c r="T2963">
        <v>0</v>
      </c>
      <c r="U2963" s="6">
        <v>2392</v>
      </c>
      <c r="V2963">
        <v>0</v>
      </c>
      <c r="W2963">
        <v>0</v>
      </c>
      <c r="X2963">
        <v>0</v>
      </c>
      <c r="Y2963" s="6">
        <v>51.4</v>
      </c>
      <c r="Z2963">
        <v>0.80300000000000005</v>
      </c>
      <c r="AA2963">
        <v>8.6999999999999994E-2</v>
      </c>
      <c r="AB2963">
        <v>5.7000000000000002E-2</v>
      </c>
      <c r="AC2963">
        <v>6</v>
      </c>
      <c r="AD2963" s="6">
        <v>139</v>
      </c>
      <c r="AE2963" s="6">
        <v>0</v>
      </c>
      <c r="AF2963" s="6">
        <v>0</v>
      </c>
      <c r="AG2963" s="6">
        <v>100.19</v>
      </c>
      <c r="AH2963" s="6">
        <v>139.35</v>
      </c>
      <c r="AI2963" s="6">
        <f t="shared" si="92"/>
        <v>39.159999999999997</v>
      </c>
      <c r="AJ2963" s="5">
        <f t="shared" si="93"/>
        <v>0.28101901686401148</v>
      </c>
    </row>
    <row r="2964" spans="1:36">
      <c r="A2964" t="s">
        <v>190</v>
      </c>
      <c r="B2964" t="s">
        <v>3249</v>
      </c>
      <c r="C2964" t="s">
        <v>126</v>
      </c>
      <c r="D2964" t="s">
        <v>60</v>
      </c>
      <c r="E2964" t="s">
        <v>69</v>
      </c>
      <c r="F2964">
        <v>0</v>
      </c>
      <c r="G2964">
        <v>2327</v>
      </c>
      <c r="H2964">
        <v>1.22</v>
      </c>
      <c r="I2964" t="s">
        <v>173</v>
      </c>
      <c r="J2964">
        <v>1</v>
      </c>
      <c r="K2964" s="6">
        <v>2.0499999999999998</v>
      </c>
      <c r="L2964" t="s">
        <v>200</v>
      </c>
      <c r="M2964">
        <v>1</v>
      </c>
      <c r="N2964" t="s">
        <v>187</v>
      </c>
      <c r="O2964">
        <v>2</v>
      </c>
      <c r="P2964">
        <v>0</v>
      </c>
      <c r="Q2964" s="6">
        <v>78.2</v>
      </c>
      <c r="R2964">
        <v>0</v>
      </c>
      <c r="S2964" s="6">
        <v>0</v>
      </c>
      <c r="T2964">
        <v>0</v>
      </c>
      <c r="U2964" s="6">
        <v>1533</v>
      </c>
      <c r="V2964">
        <v>0</v>
      </c>
      <c r="W2964">
        <v>0</v>
      </c>
      <c r="X2964">
        <v>0</v>
      </c>
      <c r="Y2964" s="6">
        <v>51.4</v>
      </c>
      <c r="Z2964">
        <v>0.80300000000000005</v>
      </c>
      <c r="AA2964">
        <v>8.6999999999999994E-2</v>
      </c>
      <c r="AB2964">
        <v>5.7000000000000002E-2</v>
      </c>
      <c r="AC2964">
        <v>6</v>
      </c>
      <c r="AD2964" s="6">
        <v>99</v>
      </c>
      <c r="AE2964" s="6">
        <v>0</v>
      </c>
      <c r="AF2964" s="6">
        <v>0</v>
      </c>
      <c r="AG2964" s="6">
        <v>87.84</v>
      </c>
      <c r="AH2964" s="6">
        <v>111.47</v>
      </c>
      <c r="AI2964" s="6">
        <f t="shared" si="92"/>
        <v>23.629999999999995</v>
      </c>
      <c r="AJ2964" s="5">
        <f t="shared" si="93"/>
        <v>0.21198528752130613</v>
      </c>
    </row>
    <row r="2965" spans="1:36">
      <c r="A2965" t="s">
        <v>263</v>
      </c>
      <c r="B2965" t="s">
        <v>3250</v>
      </c>
      <c r="C2965" t="s">
        <v>126</v>
      </c>
      <c r="D2965" t="s">
        <v>60</v>
      </c>
      <c r="E2965" t="s">
        <v>69</v>
      </c>
      <c r="F2965">
        <v>0</v>
      </c>
      <c r="G2965">
        <v>2327</v>
      </c>
      <c r="H2965">
        <v>1.22</v>
      </c>
      <c r="I2965" t="s">
        <v>220</v>
      </c>
      <c r="J2965">
        <v>2</v>
      </c>
      <c r="K2965" s="6">
        <v>5.63</v>
      </c>
      <c r="L2965" t="s">
        <v>200</v>
      </c>
      <c r="M2965">
        <v>1</v>
      </c>
      <c r="N2965" t="s">
        <v>175</v>
      </c>
      <c r="O2965">
        <v>1</v>
      </c>
      <c r="P2965">
        <v>0</v>
      </c>
      <c r="Q2965" s="6">
        <v>35.700000000000003</v>
      </c>
      <c r="R2965">
        <v>0</v>
      </c>
      <c r="S2965" s="6">
        <v>0</v>
      </c>
      <c r="T2965">
        <v>0</v>
      </c>
      <c r="U2965" s="6">
        <v>2591</v>
      </c>
      <c r="V2965">
        <v>0</v>
      </c>
      <c r="W2965">
        <v>0</v>
      </c>
      <c r="X2965">
        <v>0</v>
      </c>
      <c r="Y2965" s="6">
        <v>51.4</v>
      </c>
      <c r="Z2965">
        <v>0.80300000000000005</v>
      </c>
      <c r="AA2965">
        <v>8.6999999999999994E-2</v>
      </c>
      <c r="AB2965">
        <v>5.7000000000000002E-2</v>
      </c>
      <c r="AC2965">
        <v>6</v>
      </c>
      <c r="AD2965" s="6">
        <v>119</v>
      </c>
      <c r="AE2965" s="6">
        <v>0</v>
      </c>
      <c r="AF2965" s="6">
        <v>0</v>
      </c>
      <c r="AG2965" s="6">
        <v>93.77</v>
      </c>
      <c r="AH2965" s="6">
        <v>123.33</v>
      </c>
      <c r="AI2965" s="6">
        <f t="shared" si="92"/>
        <v>29.560000000000002</v>
      </c>
      <c r="AJ2965" s="5">
        <f t="shared" si="93"/>
        <v>0.23968215357171818</v>
      </c>
    </row>
    <row r="2966" spans="1:36">
      <c r="A2966" t="s">
        <v>258</v>
      </c>
      <c r="B2966" t="s">
        <v>3251</v>
      </c>
      <c r="C2966" t="s">
        <v>126</v>
      </c>
      <c r="D2966" t="s">
        <v>60</v>
      </c>
      <c r="E2966" t="s">
        <v>69</v>
      </c>
      <c r="F2966">
        <v>0</v>
      </c>
      <c r="G2966">
        <v>2327</v>
      </c>
      <c r="H2966">
        <v>1</v>
      </c>
      <c r="I2966" t="s">
        <v>173</v>
      </c>
      <c r="J2966">
        <v>1</v>
      </c>
      <c r="K2966" s="6">
        <v>1.62</v>
      </c>
      <c r="L2966" t="s">
        <v>200</v>
      </c>
      <c r="M2966">
        <v>1</v>
      </c>
      <c r="N2966" t="s">
        <v>187</v>
      </c>
      <c r="O2966">
        <v>2</v>
      </c>
      <c r="P2966">
        <v>1</v>
      </c>
      <c r="Q2966" s="6">
        <v>61.5</v>
      </c>
      <c r="R2966">
        <v>0</v>
      </c>
      <c r="S2966" s="6">
        <v>0</v>
      </c>
      <c r="T2966">
        <v>0</v>
      </c>
      <c r="U2966" s="6">
        <v>1525</v>
      </c>
      <c r="V2966">
        <v>0</v>
      </c>
      <c r="W2966">
        <v>0</v>
      </c>
      <c r="X2966">
        <v>0</v>
      </c>
      <c r="Y2966" s="6">
        <v>51.4</v>
      </c>
      <c r="Z2966">
        <v>0.80300000000000005</v>
      </c>
      <c r="AA2966">
        <v>8.6999999999999994E-2</v>
      </c>
      <c r="AB2966">
        <v>5.7000000000000002E-2</v>
      </c>
      <c r="AC2966">
        <v>6</v>
      </c>
      <c r="AD2966" s="6">
        <v>99</v>
      </c>
      <c r="AE2966" s="6">
        <v>0</v>
      </c>
      <c r="AF2966" s="6">
        <v>0</v>
      </c>
      <c r="AG2966" s="6">
        <v>113.6</v>
      </c>
      <c r="AH2966" s="6">
        <v>146.80000000000001</v>
      </c>
      <c r="AI2966" s="6">
        <f t="shared" si="92"/>
        <v>33.200000000000017</v>
      </c>
      <c r="AJ2966" s="5">
        <f t="shared" si="93"/>
        <v>0.22615803814713906</v>
      </c>
    </row>
    <row r="2967" spans="1:36">
      <c r="A2967" t="s">
        <v>253</v>
      </c>
      <c r="B2967" t="s">
        <v>3252</v>
      </c>
      <c r="C2967" t="s">
        <v>126</v>
      </c>
      <c r="D2967" t="s">
        <v>60</v>
      </c>
      <c r="E2967" t="s">
        <v>69</v>
      </c>
      <c r="F2967">
        <v>0</v>
      </c>
      <c r="G2967">
        <v>2327</v>
      </c>
      <c r="H2967">
        <v>1</v>
      </c>
      <c r="I2967" t="s">
        <v>173</v>
      </c>
      <c r="J2967">
        <v>1</v>
      </c>
      <c r="K2967" s="6">
        <v>1.38</v>
      </c>
      <c r="L2967" t="s">
        <v>200</v>
      </c>
      <c r="M2967">
        <v>1</v>
      </c>
      <c r="N2967" t="s">
        <v>272</v>
      </c>
      <c r="O2967">
        <v>5</v>
      </c>
      <c r="P2967">
        <v>1</v>
      </c>
      <c r="Q2967" s="6">
        <v>198.4</v>
      </c>
      <c r="R2967">
        <v>0</v>
      </c>
      <c r="S2967" s="6">
        <v>0</v>
      </c>
      <c r="T2967">
        <v>0</v>
      </c>
      <c r="U2967" s="6">
        <v>1664</v>
      </c>
      <c r="V2967">
        <v>0</v>
      </c>
      <c r="W2967">
        <v>0</v>
      </c>
      <c r="X2967">
        <v>0</v>
      </c>
      <c r="Y2967" s="6">
        <v>51.4</v>
      </c>
      <c r="Z2967">
        <v>0.80300000000000005</v>
      </c>
      <c r="AA2967">
        <v>8.6999999999999994E-2</v>
      </c>
      <c r="AB2967">
        <v>5.7000000000000002E-2</v>
      </c>
      <c r="AC2967">
        <v>6</v>
      </c>
      <c r="AD2967" s="6">
        <v>99</v>
      </c>
      <c r="AE2967" s="6">
        <v>0</v>
      </c>
      <c r="AF2967" s="6">
        <v>0</v>
      </c>
      <c r="AG2967" s="6">
        <v>195.6</v>
      </c>
      <c r="AH2967" s="6">
        <v>245.33</v>
      </c>
      <c r="AI2967" s="6">
        <f t="shared" si="92"/>
        <v>49.730000000000018</v>
      </c>
      <c r="AJ2967" s="5">
        <f t="shared" si="93"/>
        <v>0.20270655851302333</v>
      </c>
    </row>
    <row r="2968" spans="1:36">
      <c r="A2968" t="s">
        <v>238</v>
      </c>
      <c r="B2968" t="s">
        <v>3253</v>
      </c>
      <c r="C2968" t="s">
        <v>126</v>
      </c>
      <c r="D2968" t="s">
        <v>60</v>
      </c>
      <c r="E2968" t="s">
        <v>69</v>
      </c>
      <c r="F2968">
        <v>0</v>
      </c>
      <c r="G2968">
        <v>2327</v>
      </c>
      <c r="H2968">
        <v>1</v>
      </c>
      <c r="I2968" t="s">
        <v>181</v>
      </c>
      <c r="J2968">
        <v>3</v>
      </c>
      <c r="K2968" s="6">
        <v>7.94</v>
      </c>
      <c r="L2968" t="s">
        <v>200</v>
      </c>
      <c r="M2968">
        <v>1</v>
      </c>
      <c r="N2968" t="s">
        <v>175</v>
      </c>
      <c r="O2968">
        <v>1</v>
      </c>
      <c r="P2968">
        <v>1</v>
      </c>
      <c r="Q2968" s="6">
        <v>29.7</v>
      </c>
      <c r="R2968">
        <v>1</v>
      </c>
      <c r="S2968" s="6">
        <v>1242</v>
      </c>
      <c r="T2968">
        <v>0</v>
      </c>
      <c r="U2968" s="6">
        <v>938</v>
      </c>
      <c r="V2968">
        <v>0</v>
      </c>
      <c r="W2968">
        <v>0</v>
      </c>
      <c r="X2968">
        <v>0</v>
      </c>
      <c r="Y2968" s="6">
        <v>51.4</v>
      </c>
      <c r="Z2968">
        <v>0.80300000000000005</v>
      </c>
      <c r="AA2968">
        <v>8.6999999999999994E-2</v>
      </c>
      <c r="AB2968">
        <v>5.7000000000000002E-2</v>
      </c>
      <c r="AC2968">
        <v>6</v>
      </c>
      <c r="AD2968" s="6">
        <v>139</v>
      </c>
      <c r="AE2968" s="6">
        <v>25</v>
      </c>
      <c r="AF2968" s="6">
        <v>0</v>
      </c>
      <c r="AG2968" s="6">
        <v>155.51</v>
      </c>
      <c r="AH2968" s="6">
        <v>195.09</v>
      </c>
      <c r="AI2968" s="6">
        <f t="shared" si="92"/>
        <v>39.580000000000013</v>
      </c>
      <c r="AJ2968" s="5">
        <f t="shared" si="93"/>
        <v>0.20288072171818142</v>
      </c>
    </row>
    <row r="2969" spans="1:36">
      <c r="A2969" t="s">
        <v>212</v>
      </c>
      <c r="B2969" t="s">
        <v>3254</v>
      </c>
      <c r="C2969" t="s">
        <v>126</v>
      </c>
      <c r="D2969" t="s">
        <v>60</v>
      </c>
      <c r="E2969" t="s">
        <v>69</v>
      </c>
      <c r="F2969">
        <v>0</v>
      </c>
      <c r="G2969">
        <v>2327</v>
      </c>
      <c r="H2969">
        <v>1.22</v>
      </c>
      <c r="I2969" t="s">
        <v>181</v>
      </c>
      <c r="J2969">
        <v>3</v>
      </c>
      <c r="K2969" s="6">
        <v>8.2100000000000009</v>
      </c>
      <c r="L2969" t="s">
        <v>200</v>
      </c>
      <c r="M2969">
        <v>1</v>
      </c>
      <c r="N2969" t="s">
        <v>182</v>
      </c>
      <c r="O2969">
        <v>3</v>
      </c>
      <c r="P2969">
        <v>0</v>
      </c>
      <c r="Q2969" s="6">
        <v>125</v>
      </c>
      <c r="R2969">
        <v>0</v>
      </c>
      <c r="S2969" s="6">
        <v>0</v>
      </c>
      <c r="T2969">
        <v>0</v>
      </c>
      <c r="U2969" s="6">
        <v>1822</v>
      </c>
      <c r="V2969">
        <v>0</v>
      </c>
      <c r="W2969">
        <v>0</v>
      </c>
      <c r="X2969">
        <v>0</v>
      </c>
      <c r="Y2969" s="6">
        <v>51.4</v>
      </c>
      <c r="Z2969">
        <v>0.80300000000000005</v>
      </c>
      <c r="AA2969">
        <v>8.6999999999999994E-2</v>
      </c>
      <c r="AB2969">
        <v>5.7000000000000002E-2</v>
      </c>
      <c r="AC2969">
        <v>6</v>
      </c>
      <c r="AD2969" s="6">
        <v>139</v>
      </c>
      <c r="AE2969" s="6">
        <v>0</v>
      </c>
      <c r="AF2969" s="6">
        <v>0</v>
      </c>
      <c r="AG2969" s="6">
        <v>140.29</v>
      </c>
      <c r="AH2969" s="6">
        <v>179.11</v>
      </c>
      <c r="AI2969" s="6">
        <f t="shared" si="92"/>
        <v>38.820000000000022</v>
      </c>
      <c r="AJ2969" s="5">
        <f t="shared" si="93"/>
        <v>0.21673831723521869</v>
      </c>
    </row>
    <row r="2970" spans="1:36">
      <c r="A2970" t="s">
        <v>393</v>
      </c>
      <c r="B2970" t="s">
        <v>3255</v>
      </c>
      <c r="C2970" t="s">
        <v>126</v>
      </c>
      <c r="D2970" t="s">
        <v>60</v>
      </c>
      <c r="E2970" t="s">
        <v>69</v>
      </c>
      <c r="F2970">
        <v>0</v>
      </c>
      <c r="G2970">
        <v>2327</v>
      </c>
      <c r="H2970">
        <v>1.22</v>
      </c>
      <c r="I2970" t="s">
        <v>181</v>
      </c>
      <c r="J2970">
        <v>3</v>
      </c>
      <c r="K2970" s="6">
        <v>11.22</v>
      </c>
      <c r="L2970" t="s">
        <v>200</v>
      </c>
      <c r="M2970">
        <v>1</v>
      </c>
      <c r="N2970" t="s">
        <v>182</v>
      </c>
      <c r="O2970">
        <v>3</v>
      </c>
      <c r="P2970">
        <v>1</v>
      </c>
      <c r="Q2970" s="6">
        <v>63.6</v>
      </c>
      <c r="R2970">
        <v>0</v>
      </c>
      <c r="S2970" s="6">
        <v>0</v>
      </c>
      <c r="T2970">
        <v>0</v>
      </c>
      <c r="U2970" s="6">
        <v>2317</v>
      </c>
      <c r="V2970">
        <v>0</v>
      </c>
      <c r="W2970">
        <v>0</v>
      </c>
      <c r="X2970">
        <v>0</v>
      </c>
      <c r="Y2970" s="6">
        <v>51.4</v>
      </c>
      <c r="Z2970">
        <v>0.80300000000000005</v>
      </c>
      <c r="AA2970">
        <v>8.6999999999999994E-2</v>
      </c>
      <c r="AB2970">
        <v>5.7000000000000002E-2</v>
      </c>
      <c r="AC2970">
        <v>6</v>
      </c>
      <c r="AD2970" s="6">
        <v>139</v>
      </c>
      <c r="AE2970" s="6">
        <v>0</v>
      </c>
      <c r="AF2970" s="6">
        <v>0</v>
      </c>
      <c r="AG2970" s="6">
        <v>186.05</v>
      </c>
      <c r="AH2970" s="6">
        <v>236.47</v>
      </c>
      <c r="AI2970" s="6">
        <f t="shared" si="92"/>
        <v>50.419999999999987</v>
      </c>
      <c r="AJ2970" s="5">
        <f t="shared" si="93"/>
        <v>0.21321943586924341</v>
      </c>
    </row>
    <row r="2971" spans="1:36">
      <c r="A2971" t="s">
        <v>228</v>
      </c>
      <c r="B2971" t="s">
        <v>3256</v>
      </c>
      <c r="C2971" t="s">
        <v>126</v>
      </c>
      <c r="D2971" t="s">
        <v>60</v>
      </c>
      <c r="E2971" t="s">
        <v>69</v>
      </c>
      <c r="F2971">
        <v>0</v>
      </c>
      <c r="G2971">
        <v>2327</v>
      </c>
      <c r="H2971">
        <v>1</v>
      </c>
      <c r="I2971" t="s">
        <v>181</v>
      </c>
      <c r="J2971">
        <v>3</v>
      </c>
      <c r="K2971" s="6">
        <v>11.19</v>
      </c>
      <c r="L2971" t="s">
        <v>200</v>
      </c>
      <c r="M2971">
        <v>1</v>
      </c>
      <c r="N2971" t="s">
        <v>175</v>
      </c>
      <c r="O2971">
        <v>1</v>
      </c>
      <c r="P2971">
        <v>0</v>
      </c>
      <c r="Q2971" s="6">
        <v>27</v>
      </c>
      <c r="R2971">
        <v>0</v>
      </c>
      <c r="S2971" s="6">
        <v>0</v>
      </c>
      <c r="T2971">
        <v>0</v>
      </c>
      <c r="U2971" s="6">
        <v>2783</v>
      </c>
      <c r="V2971">
        <v>0</v>
      </c>
      <c r="W2971">
        <v>0</v>
      </c>
      <c r="X2971">
        <v>0</v>
      </c>
      <c r="Y2971" s="6">
        <v>51.4</v>
      </c>
      <c r="Z2971">
        <v>0.80300000000000005</v>
      </c>
      <c r="AA2971">
        <v>8.6999999999999994E-2</v>
      </c>
      <c r="AB2971">
        <v>5.7000000000000002E-2</v>
      </c>
      <c r="AC2971">
        <v>6</v>
      </c>
      <c r="AD2971" s="6">
        <v>139</v>
      </c>
      <c r="AE2971" s="6">
        <v>0</v>
      </c>
      <c r="AF2971" s="6">
        <v>0</v>
      </c>
      <c r="AG2971" s="6">
        <v>132.52000000000001</v>
      </c>
      <c r="AH2971" s="6">
        <v>168.66</v>
      </c>
      <c r="AI2971" s="6">
        <f t="shared" si="92"/>
        <v>36.139999999999986</v>
      </c>
      <c r="AJ2971" s="5">
        <f t="shared" si="93"/>
        <v>0.21427724415984814</v>
      </c>
    </row>
    <row r="2972" spans="1:36">
      <c r="A2972" t="s">
        <v>512</v>
      </c>
      <c r="B2972" t="s">
        <v>3257</v>
      </c>
      <c r="C2972" t="s">
        <v>126</v>
      </c>
      <c r="D2972" t="s">
        <v>60</v>
      </c>
      <c r="E2972" t="s">
        <v>69</v>
      </c>
      <c r="F2972">
        <v>0</v>
      </c>
      <c r="G2972">
        <v>2327</v>
      </c>
      <c r="H2972">
        <v>1.22</v>
      </c>
      <c r="I2972" t="s">
        <v>181</v>
      </c>
      <c r="J2972">
        <v>3</v>
      </c>
      <c r="K2972" s="6">
        <v>8.35</v>
      </c>
      <c r="L2972" t="s">
        <v>200</v>
      </c>
      <c r="M2972">
        <v>1</v>
      </c>
      <c r="N2972" t="s">
        <v>187</v>
      </c>
      <c r="O2972">
        <v>2</v>
      </c>
      <c r="P2972">
        <v>0</v>
      </c>
      <c r="Q2972" s="6">
        <v>56.8</v>
      </c>
      <c r="R2972">
        <v>0</v>
      </c>
      <c r="S2972" s="6">
        <v>0</v>
      </c>
      <c r="T2972">
        <v>0</v>
      </c>
      <c r="U2972" s="6">
        <v>3525</v>
      </c>
      <c r="V2972">
        <v>0</v>
      </c>
      <c r="W2972">
        <v>0</v>
      </c>
      <c r="X2972">
        <v>0</v>
      </c>
      <c r="Y2972" s="6">
        <v>51.4</v>
      </c>
      <c r="Z2972">
        <v>0.80300000000000005</v>
      </c>
      <c r="AA2972">
        <v>8.6999999999999994E-2</v>
      </c>
      <c r="AB2972">
        <v>5.7000000000000002E-2</v>
      </c>
      <c r="AC2972">
        <v>6</v>
      </c>
      <c r="AD2972" s="6">
        <v>139</v>
      </c>
      <c r="AE2972" s="6">
        <v>0</v>
      </c>
      <c r="AF2972" s="6">
        <v>0</v>
      </c>
      <c r="AG2972" s="6">
        <v>135.01</v>
      </c>
      <c r="AH2972" s="6">
        <v>173.23</v>
      </c>
      <c r="AI2972" s="6">
        <f t="shared" si="92"/>
        <v>38.22</v>
      </c>
      <c r="AJ2972" s="5">
        <f t="shared" si="93"/>
        <v>0.22063153033539226</v>
      </c>
    </row>
    <row r="2973" spans="1:36">
      <c r="A2973" t="s">
        <v>190</v>
      </c>
      <c r="B2973" t="s">
        <v>3258</v>
      </c>
      <c r="C2973" t="s">
        <v>126</v>
      </c>
      <c r="D2973" t="s">
        <v>60</v>
      </c>
      <c r="E2973" t="s">
        <v>69</v>
      </c>
      <c r="F2973">
        <v>0</v>
      </c>
      <c r="G2973">
        <v>2327</v>
      </c>
      <c r="H2973">
        <v>1.22</v>
      </c>
      <c r="I2973" t="s">
        <v>220</v>
      </c>
      <c r="J2973">
        <v>2</v>
      </c>
      <c r="K2973" s="6">
        <v>1.8</v>
      </c>
      <c r="L2973" t="s">
        <v>200</v>
      </c>
      <c r="M2973">
        <v>1</v>
      </c>
      <c r="N2973" t="s">
        <v>175</v>
      </c>
      <c r="O2973">
        <v>1</v>
      </c>
      <c r="P2973">
        <v>0</v>
      </c>
      <c r="Q2973" s="6">
        <v>39</v>
      </c>
      <c r="R2973">
        <v>0</v>
      </c>
      <c r="S2973" s="6">
        <v>0</v>
      </c>
      <c r="T2973">
        <v>0</v>
      </c>
      <c r="U2973" s="6">
        <v>884</v>
      </c>
      <c r="V2973">
        <v>1</v>
      </c>
      <c r="W2973">
        <v>0</v>
      </c>
      <c r="X2973">
        <v>0</v>
      </c>
      <c r="Y2973" s="6">
        <v>51.4</v>
      </c>
      <c r="Z2973">
        <v>0.80300000000000005</v>
      </c>
      <c r="AA2973">
        <v>8.6999999999999994E-2</v>
      </c>
      <c r="AB2973">
        <v>5.7000000000000002E-2</v>
      </c>
      <c r="AC2973">
        <v>6</v>
      </c>
      <c r="AD2973" s="6">
        <v>119</v>
      </c>
      <c r="AE2973" s="6">
        <v>0</v>
      </c>
      <c r="AF2973" s="6">
        <v>0</v>
      </c>
      <c r="AG2973" s="6">
        <v>131.63</v>
      </c>
      <c r="AH2973" s="6">
        <v>168.08</v>
      </c>
      <c r="AI2973" s="6">
        <f t="shared" si="92"/>
        <v>36.450000000000017</v>
      </c>
      <c r="AJ2973" s="5">
        <f t="shared" si="93"/>
        <v>0.21686101856258932</v>
      </c>
    </row>
    <row r="2974" spans="1:36">
      <c r="A2974" t="s">
        <v>406</v>
      </c>
      <c r="B2974" t="s">
        <v>3259</v>
      </c>
      <c r="C2974" t="s">
        <v>126</v>
      </c>
      <c r="D2974" t="s">
        <v>60</v>
      </c>
      <c r="E2974" t="s">
        <v>69</v>
      </c>
      <c r="F2974">
        <v>0</v>
      </c>
      <c r="G2974">
        <v>2327</v>
      </c>
      <c r="H2974">
        <v>1.22</v>
      </c>
      <c r="I2974" t="s">
        <v>173</v>
      </c>
      <c r="J2974">
        <v>1</v>
      </c>
      <c r="K2974" s="6">
        <v>2.2999999999999998</v>
      </c>
      <c r="L2974" t="s">
        <v>200</v>
      </c>
      <c r="M2974">
        <v>1</v>
      </c>
      <c r="N2974" t="s">
        <v>182</v>
      </c>
      <c r="O2974">
        <v>3</v>
      </c>
      <c r="P2974">
        <v>0</v>
      </c>
      <c r="Q2974" s="6">
        <v>83.1</v>
      </c>
      <c r="R2974">
        <v>0</v>
      </c>
      <c r="S2974" s="6">
        <v>0</v>
      </c>
      <c r="T2974">
        <v>0</v>
      </c>
      <c r="U2974" s="6">
        <v>3231</v>
      </c>
      <c r="V2974">
        <v>0</v>
      </c>
      <c r="W2974">
        <v>0</v>
      </c>
      <c r="X2974">
        <v>0</v>
      </c>
      <c r="Y2974" s="6">
        <v>51.4</v>
      </c>
      <c r="Z2974">
        <v>0.80300000000000005</v>
      </c>
      <c r="AA2974">
        <v>8.6999999999999994E-2</v>
      </c>
      <c r="AB2974">
        <v>5.7000000000000002E-2</v>
      </c>
      <c r="AC2974">
        <v>6</v>
      </c>
      <c r="AD2974" s="6">
        <v>99</v>
      </c>
      <c r="AE2974" s="6">
        <v>0</v>
      </c>
      <c r="AF2974" s="6">
        <v>0</v>
      </c>
      <c r="AG2974" s="6">
        <v>91.18</v>
      </c>
      <c r="AH2974" s="6">
        <v>117.51</v>
      </c>
      <c r="AI2974" s="6">
        <f t="shared" si="92"/>
        <v>26.33</v>
      </c>
      <c r="AJ2974" s="5">
        <f t="shared" si="93"/>
        <v>0.22406603693302696</v>
      </c>
    </row>
    <row r="2975" spans="1:36">
      <c r="A2975" t="s">
        <v>579</v>
      </c>
      <c r="B2975" t="s">
        <v>3260</v>
      </c>
      <c r="C2975" t="s">
        <v>126</v>
      </c>
      <c r="D2975" t="s">
        <v>60</v>
      </c>
      <c r="E2975" t="s">
        <v>69</v>
      </c>
      <c r="F2975">
        <v>0</v>
      </c>
      <c r="G2975">
        <v>2327</v>
      </c>
      <c r="H2975">
        <v>1</v>
      </c>
      <c r="I2975" t="s">
        <v>220</v>
      </c>
      <c r="J2975">
        <v>2</v>
      </c>
      <c r="K2975" s="6">
        <v>2.46</v>
      </c>
      <c r="L2975" t="s">
        <v>174</v>
      </c>
      <c r="M2975">
        <v>0</v>
      </c>
      <c r="N2975" t="s">
        <v>187</v>
      </c>
      <c r="O2975">
        <v>2</v>
      </c>
      <c r="P2975">
        <v>0</v>
      </c>
      <c r="Q2975" s="6">
        <v>92.6</v>
      </c>
      <c r="R2975">
        <v>0</v>
      </c>
      <c r="S2975" s="6">
        <v>0</v>
      </c>
      <c r="T2975">
        <v>0</v>
      </c>
      <c r="U2975" s="6">
        <v>2337</v>
      </c>
      <c r="V2975">
        <v>1</v>
      </c>
      <c r="W2975">
        <v>0</v>
      </c>
      <c r="X2975">
        <v>0</v>
      </c>
      <c r="Y2975" s="6">
        <v>51.4</v>
      </c>
      <c r="Z2975">
        <v>0.80300000000000005</v>
      </c>
      <c r="AA2975">
        <v>8.6999999999999994E-2</v>
      </c>
      <c r="AB2975">
        <v>5.7000000000000002E-2</v>
      </c>
      <c r="AC2975">
        <v>6</v>
      </c>
      <c r="AD2975" s="6">
        <v>50</v>
      </c>
      <c r="AE2975" s="6">
        <v>0</v>
      </c>
      <c r="AF2975" s="6">
        <v>0</v>
      </c>
      <c r="AG2975" s="6">
        <v>102.89</v>
      </c>
      <c r="AH2975" s="6">
        <v>130.13</v>
      </c>
      <c r="AI2975" s="6">
        <f t="shared" si="92"/>
        <v>27.239999999999995</v>
      </c>
      <c r="AJ2975" s="5">
        <f t="shared" si="93"/>
        <v>0.20932913240605544</v>
      </c>
    </row>
    <row r="2976" spans="1:36">
      <c r="A2976" t="s">
        <v>236</v>
      </c>
      <c r="B2976" t="s">
        <v>3261</v>
      </c>
      <c r="C2976" t="s">
        <v>126</v>
      </c>
      <c r="D2976" t="s">
        <v>60</v>
      </c>
      <c r="E2976" t="s">
        <v>69</v>
      </c>
      <c r="F2976">
        <v>0</v>
      </c>
      <c r="G2976">
        <v>2327</v>
      </c>
      <c r="H2976">
        <v>1</v>
      </c>
      <c r="I2976" t="s">
        <v>220</v>
      </c>
      <c r="J2976">
        <v>2</v>
      </c>
      <c r="K2976" s="6">
        <v>2.9</v>
      </c>
      <c r="L2976" t="s">
        <v>174</v>
      </c>
      <c r="M2976">
        <v>0</v>
      </c>
      <c r="N2976" t="s">
        <v>187</v>
      </c>
      <c r="O2976">
        <v>2</v>
      </c>
      <c r="P2976">
        <v>0</v>
      </c>
      <c r="Q2976" s="6">
        <v>70</v>
      </c>
      <c r="R2976">
        <v>0</v>
      </c>
      <c r="S2976" s="6">
        <v>0</v>
      </c>
      <c r="T2976">
        <v>0</v>
      </c>
      <c r="U2976" s="6">
        <v>1631</v>
      </c>
      <c r="V2976">
        <v>0</v>
      </c>
      <c r="W2976">
        <v>0</v>
      </c>
      <c r="X2976">
        <v>0</v>
      </c>
      <c r="Y2976" s="6">
        <v>51.4</v>
      </c>
      <c r="Z2976">
        <v>0.80300000000000005</v>
      </c>
      <c r="AA2976">
        <v>8.6999999999999994E-2</v>
      </c>
      <c r="AB2976">
        <v>5.7000000000000002E-2</v>
      </c>
      <c r="AC2976">
        <v>6</v>
      </c>
      <c r="AD2976" s="6">
        <v>50</v>
      </c>
      <c r="AE2976" s="6">
        <v>0</v>
      </c>
      <c r="AF2976" s="6">
        <v>0</v>
      </c>
      <c r="AG2976" s="6">
        <v>60.91</v>
      </c>
      <c r="AH2976" s="6">
        <v>76.930000000000007</v>
      </c>
      <c r="AI2976" s="6">
        <f t="shared" si="92"/>
        <v>16.02000000000001</v>
      </c>
      <c r="AJ2976" s="5">
        <f t="shared" si="93"/>
        <v>0.2082412582867543</v>
      </c>
    </row>
    <row r="2977" spans="1:36">
      <c r="A2977" t="s">
        <v>436</v>
      </c>
      <c r="B2977" t="s">
        <v>3262</v>
      </c>
      <c r="C2977" t="s">
        <v>126</v>
      </c>
      <c r="D2977" t="s">
        <v>60</v>
      </c>
      <c r="E2977" t="s">
        <v>69</v>
      </c>
      <c r="F2977">
        <v>0</v>
      </c>
      <c r="G2977">
        <v>2327</v>
      </c>
      <c r="H2977">
        <v>1.22</v>
      </c>
      <c r="I2977" t="s">
        <v>181</v>
      </c>
      <c r="J2977">
        <v>3</v>
      </c>
      <c r="K2977" s="6">
        <v>5.3</v>
      </c>
      <c r="L2977" t="s">
        <v>200</v>
      </c>
      <c r="M2977">
        <v>1</v>
      </c>
      <c r="N2977" t="s">
        <v>175</v>
      </c>
      <c r="O2977">
        <v>1</v>
      </c>
      <c r="P2977">
        <v>0</v>
      </c>
      <c r="Q2977" s="6">
        <v>35.5</v>
      </c>
      <c r="R2977">
        <v>0</v>
      </c>
      <c r="S2977" s="6">
        <v>0</v>
      </c>
      <c r="T2977">
        <v>0</v>
      </c>
      <c r="U2977" s="6">
        <v>1101</v>
      </c>
      <c r="V2977">
        <v>0</v>
      </c>
      <c r="W2977">
        <v>0</v>
      </c>
      <c r="X2977">
        <v>0</v>
      </c>
      <c r="Y2977" s="6">
        <v>51.4</v>
      </c>
      <c r="Z2977">
        <v>0.80300000000000005</v>
      </c>
      <c r="AA2977">
        <v>8.6999999999999994E-2</v>
      </c>
      <c r="AB2977">
        <v>5.7000000000000002E-2</v>
      </c>
      <c r="AC2977">
        <v>6</v>
      </c>
      <c r="AD2977" s="6">
        <v>139</v>
      </c>
      <c r="AE2977" s="6">
        <v>0</v>
      </c>
      <c r="AF2977" s="6">
        <v>0</v>
      </c>
      <c r="AG2977" s="6">
        <v>107.36</v>
      </c>
      <c r="AH2977" s="6">
        <v>139.41999999999999</v>
      </c>
      <c r="AI2977" s="6">
        <f t="shared" si="92"/>
        <v>32.059999999999988</v>
      </c>
      <c r="AJ2977" s="5">
        <f t="shared" si="93"/>
        <v>0.22995266102424322</v>
      </c>
    </row>
    <row r="2978" spans="1:36">
      <c r="A2978" t="s">
        <v>338</v>
      </c>
      <c r="B2978" t="s">
        <v>3263</v>
      </c>
      <c r="C2978" t="s">
        <v>126</v>
      </c>
      <c r="D2978" t="s">
        <v>60</v>
      </c>
      <c r="E2978" t="s">
        <v>69</v>
      </c>
      <c r="F2978">
        <v>0</v>
      </c>
      <c r="G2978">
        <v>2327</v>
      </c>
      <c r="H2978">
        <v>1.22</v>
      </c>
      <c r="I2978" t="s">
        <v>220</v>
      </c>
      <c r="J2978">
        <v>2</v>
      </c>
      <c r="K2978" s="6">
        <v>5.05</v>
      </c>
      <c r="L2978" t="s">
        <v>200</v>
      </c>
      <c r="M2978">
        <v>1</v>
      </c>
      <c r="N2978" t="s">
        <v>175</v>
      </c>
      <c r="O2978">
        <v>1</v>
      </c>
      <c r="P2978">
        <v>0</v>
      </c>
      <c r="Q2978" s="6">
        <v>28.4</v>
      </c>
      <c r="R2978">
        <v>0</v>
      </c>
      <c r="S2978" s="6">
        <v>0</v>
      </c>
      <c r="T2978">
        <v>0</v>
      </c>
      <c r="U2978" s="6">
        <v>632</v>
      </c>
      <c r="V2978">
        <v>1</v>
      </c>
      <c r="W2978">
        <v>0</v>
      </c>
      <c r="X2978">
        <v>0</v>
      </c>
      <c r="Y2978" s="6">
        <v>51.4</v>
      </c>
      <c r="Z2978">
        <v>0.80300000000000005</v>
      </c>
      <c r="AA2978">
        <v>8.6999999999999994E-2</v>
      </c>
      <c r="AB2978">
        <v>5.7000000000000002E-2</v>
      </c>
      <c r="AC2978">
        <v>6</v>
      </c>
      <c r="AD2978" s="6">
        <v>119</v>
      </c>
      <c r="AE2978" s="6">
        <v>0</v>
      </c>
      <c r="AF2978" s="6">
        <v>0</v>
      </c>
      <c r="AG2978" s="6">
        <v>131.87</v>
      </c>
      <c r="AH2978" s="6">
        <v>167.89</v>
      </c>
      <c r="AI2978" s="6">
        <f t="shared" si="92"/>
        <v>36.019999999999982</v>
      </c>
      <c r="AJ2978" s="5">
        <f t="shared" si="93"/>
        <v>0.21454523795342179</v>
      </c>
    </row>
    <row r="2979" spans="1:36">
      <c r="A2979" t="s">
        <v>190</v>
      </c>
      <c r="B2979" t="s">
        <v>3264</v>
      </c>
      <c r="C2979" t="s">
        <v>126</v>
      </c>
      <c r="D2979" t="s">
        <v>60</v>
      </c>
      <c r="E2979" t="s">
        <v>69</v>
      </c>
      <c r="F2979">
        <v>0</v>
      </c>
      <c r="G2979">
        <v>2327</v>
      </c>
      <c r="H2979">
        <v>1.22</v>
      </c>
      <c r="I2979" t="s">
        <v>220</v>
      </c>
      <c r="J2979">
        <v>2</v>
      </c>
      <c r="K2979" s="6">
        <v>4.0999999999999996</v>
      </c>
      <c r="L2979" t="s">
        <v>200</v>
      </c>
      <c r="M2979">
        <v>1</v>
      </c>
      <c r="N2979" t="s">
        <v>187</v>
      </c>
      <c r="O2979">
        <v>2</v>
      </c>
      <c r="P2979">
        <v>0</v>
      </c>
      <c r="Q2979" s="6">
        <v>39.9</v>
      </c>
      <c r="R2979">
        <v>0</v>
      </c>
      <c r="S2979" s="6">
        <v>0</v>
      </c>
      <c r="T2979">
        <v>0</v>
      </c>
      <c r="U2979" s="6">
        <v>1316</v>
      </c>
      <c r="V2979">
        <v>0</v>
      </c>
      <c r="W2979">
        <v>0</v>
      </c>
      <c r="X2979">
        <v>0</v>
      </c>
      <c r="Y2979" s="6">
        <v>51.4</v>
      </c>
      <c r="Z2979">
        <v>0.80300000000000005</v>
      </c>
      <c r="AA2979">
        <v>8.6999999999999994E-2</v>
      </c>
      <c r="AB2979">
        <v>5.7000000000000002E-2</v>
      </c>
      <c r="AC2979">
        <v>6</v>
      </c>
      <c r="AD2979" s="6">
        <v>119</v>
      </c>
      <c r="AE2979" s="6">
        <v>0</v>
      </c>
      <c r="AF2979" s="6">
        <v>0</v>
      </c>
      <c r="AG2979" s="6">
        <v>97.08</v>
      </c>
      <c r="AH2979" s="6">
        <v>124.23</v>
      </c>
      <c r="AI2979" s="6">
        <f t="shared" si="92"/>
        <v>27.150000000000006</v>
      </c>
      <c r="AJ2979" s="5">
        <f t="shared" si="93"/>
        <v>0.21854624486838931</v>
      </c>
    </row>
    <row r="2980" spans="1:36">
      <c r="A2980" t="s">
        <v>228</v>
      </c>
      <c r="B2980" t="s">
        <v>3265</v>
      </c>
      <c r="C2980" t="s">
        <v>126</v>
      </c>
      <c r="D2980" t="s">
        <v>60</v>
      </c>
      <c r="E2980" t="s">
        <v>69</v>
      </c>
      <c r="F2980">
        <v>0</v>
      </c>
      <c r="G2980">
        <v>2327</v>
      </c>
      <c r="H2980">
        <v>1</v>
      </c>
      <c r="I2980" t="s">
        <v>220</v>
      </c>
      <c r="J2980">
        <v>2</v>
      </c>
      <c r="K2980" s="6">
        <v>4.82</v>
      </c>
      <c r="L2980" t="s">
        <v>200</v>
      </c>
      <c r="M2980">
        <v>1</v>
      </c>
      <c r="N2980" t="s">
        <v>175</v>
      </c>
      <c r="O2980">
        <v>1</v>
      </c>
      <c r="P2980">
        <v>0</v>
      </c>
      <c r="Q2980" s="6">
        <v>28.3</v>
      </c>
      <c r="R2980">
        <v>0</v>
      </c>
      <c r="S2980" s="6">
        <v>0</v>
      </c>
      <c r="T2980">
        <v>0</v>
      </c>
      <c r="U2980" s="6">
        <v>4318</v>
      </c>
      <c r="V2980">
        <v>0</v>
      </c>
      <c r="W2980">
        <v>0</v>
      </c>
      <c r="X2980">
        <v>0</v>
      </c>
      <c r="Y2980" s="6">
        <v>51.4</v>
      </c>
      <c r="Z2980">
        <v>0.80300000000000005</v>
      </c>
      <c r="AA2980">
        <v>8.6999999999999994E-2</v>
      </c>
      <c r="AB2980">
        <v>5.7000000000000002E-2</v>
      </c>
      <c r="AC2980">
        <v>6</v>
      </c>
      <c r="AD2980" s="6">
        <v>119</v>
      </c>
      <c r="AE2980" s="6">
        <v>0</v>
      </c>
      <c r="AF2980" s="6">
        <v>0</v>
      </c>
      <c r="AG2980" s="6">
        <v>86.99</v>
      </c>
      <c r="AH2980" s="6">
        <v>119.2</v>
      </c>
      <c r="AI2980" s="6">
        <f t="shared" si="92"/>
        <v>32.210000000000008</v>
      </c>
      <c r="AJ2980" s="5">
        <f t="shared" si="93"/>
        <v>0.27021812080536917</v>
      </c>
    </row>
    <row r="2981" spans="1:36">
      <c r="A2981" t="s">
        <v>411</v>
      </c>
      <c r="B2981" t="s">
        <v>3266</v>
      </c>
      <c r="C2981" t="s">
        <v>126</v>
      </c>
      <c r="D2981" t="s">
        <v>60</v>
      </c>
      <c r="E2981" t="s">
        <v>69</v>
      </c>
      <c r="F2981">
        <v>0</v>
      </c>
      <c r="G2981">
        <v>2327</v>
      </c>
      <c r="H2981">
        <v>1.22</v>
      </c>
      <c r="I2981" t="s">
        <v>173</v>
      </c>
      <c r="J2981">
        <v>1</v>
      </c>
      <c r="K2981" s="6">
        <v>1.35</v>
      </c>
      <c r="L2981" t="s">
        <v>200</v>
      </c>
      <c r="M2981">
        <v>1</v>
      </c>
      <c r="N2981" t="s">
        <v>175</v>
      </c>
      <c r="O2981">
        <v>1</v>
      </c>
      <c r="P2981">
        <v>0</v>
      </c>
      <c r="Q2981" s="6">
        <v>34.1</v>
      </c>
      <c r="R2981">
        <v>0</v>
      </c>
      <c r="S2981" s="6">
        <v>0</v>
      </c>
      <c r="T2981">
        <v>0</v>
      </c>
      <c r="U2981" s="6">
        <v>2518</v>
      </c>
      <c r="V2981">
        <v>0</v>
      </c>
      <c r="W2981">
        <v>0</v>
      </c>
      <c r="X2981">
        <v>0</v>
      </c>
      <c r="Y2981" s="6">
        <v>51.4</v>
      </c>
      <c r="Z2981">
        <v>0.80300000000000005</v>
      </c>
      <c r="AA2981">
        <v>8.6999999999999994E-2</v>
      </c>
      <c r="AB2981">
        <v>5.7000000000000002E-2</v>
      </c>
      <c r="AC2981">
        <v>6</v>
      </c>
      <c r="AD2981" s="6">
        <v>99</v>
      </c>
      <c r="AE2981" s="6">
        <v>0</v>
      </c>
      <c r="AF2981" s="6">
        <v>0</v>
      </c>
      <c r="AG2981" s="6">
        <v>84.4</v>
      </c>
      <c r="AH2981" s="6">
        <v>110.47</v>
      </c>
      <c r="AI2981" s="6">
        <f t="shared" si="92"/>
        <v>26.069999999999993</v>
      </c>
      <c r="AJ2981" s="5">
        <f t="shared" si="93"/>
        <v>0.23599167194713491</v>
      </c>
    </row>
    <row r="2982" spans="1:36">
      <c r="A2982" t="s">
        <v>183</v>
      </c>
      <c r="B2982" t="s">
        <v>3267</v>
      </c>
      <c r="C2982" t="s">
        <v>126</v>
      </c>
      <c r="D2982" t="s">
        <v>60</v>
      </c>
      <c r="E2982" t="s">
        <v>69</v>
      </c>
      <c r="F2982">
        <v>0</v>
      </c>
      <c r="G2982">
        <v>2327</v>
      </c>
      <c r="H2982">
        <v>1</v>
      </c>
      <c r="I2982" t="s">
        <v>181</v>
      </c>
      <c r="J2982">
        <v>3</v>
      </c>
      <c r="K2982" s="6">
        <v>8.91</v>
      </c>
      <c r="L2982" t="s">
        <v>200</v>
      </c>
      <c r="M2982">
        <v>1</v>
      </c>
      <c r="N2982" t="s">
        <v>187</v>
      </c>
      <c r="O2982">
        <v>2</v>
      </c>
      <c r="P2982">
        <v>0</v>
      </c>
      <c r="Q2982" s="6">
        <v>18.7</v>
      </c>
      <c r="R2982">
        <v>0</v>
      </c>
      <c r="S2982" s="6">
        <v>0</v>
      </c>
      <c r="T2982">
        <v>0</v>
      </c>
      <c r="U2982" s="6">
        <v>1870</v>
      </c>
      <c r="V2982">
        <v>1</v>
      </c>
      <c r="W2982">
        <v>0</v>
      </c>
      <c r="X2982">
        <v>0</v>
      </c>
      <c r="Y2982" s="6">
        <v>51.4</v>
      </c>
      <c r="Z2982">
        <v>0.80300000000000005</v>
      </c>
      <c r="AA2982">
        <v>8.6999999999999994E-2</v>
      </c>
      <c r="AB2982">
        <v>5.7000000000000002E-2</v>
      </c>
      <c r="AC2982">
        <v>6</v>
      </c>
      <c r="AD2982" s="6">
        <v>139</v>
      </c>
      <c r="AE2982" s="6">
        <v>0</v>
      </c>
      <c r="AF2982" s="6">
        <v>0</v>
      </c>
      <c r="AG2982" s="6">
        <v>166.44</v>
      </c>
      <c r="AH2982" s="6">
        <v>211.08</v>
      </c>
      <c r="AI2982" s="6">
        <f t="shared" si="92"/>
        <v>44.640000000000015</v>
      </c>
      <c r="AJ2982" s="5">
        <f t="shared" si="93"/>
        <v>0.21148379761227976</v>
      </c>
    </row>
    <row r="2983" spans="1:36">
      <c r="A2983" t="s">
        <v>188</v>
      </c>
      <c r="B2983" t="s">
        <v>3268</v>
      </c>
      <c r="C2983" t="s">
        <v>126</v>
      </c>
      <c r="D2983" t="s">
        <v>60</v>
      </c>
      <c r="E2983" t="s">
        <v>69</v>
      </c>
      <c r="F2983">
        <v>0</v>
      </c>
      <c r="G2983">
        <v>2327</v>
      </c>
      <c r="H2983">
        <v>1.22</v>
      </c>
      <c r="I2983" t="s">
        <v>173</v>
      </c>
      <c r="J2983">
        <v>1</v>
      </c>
      <c r="K2983" s="6">
        <v>2.0099999999999998</v>
      </c>
      <c r="L2983" t="s">
        <v>174</v>
      </c>
      <c r="M2983">
        <v>0</v>
      </c>
      <c r="N2983" t="s">
        <v>182</v>
      </c>
      <c r="O2983">
        <v>3</v>
      </c>
      <c r="P2983">
        <v>0</v>
      </c>
      <c r="Q2983" s="6">
        <v>83.5</v>
      </c>
      <c r="R2983">
        <v>1</v>
      </c>
      <c r="S2983" s="6">
        <v>1676</v>
      </c>
      <c r="T2983">
        <v>0</v>
      </c>
      <c r="U2983" s="6">
        <v>3273</v>
      </c>
      <c r="V2983">
        <v>0</v>
      </c>
      <c r="W2983">
        <v>0</v>
      </c>
      <c r="X2983">
        <v>0</v>
      </c>
      <c r="Y2983" s="6">
        <v>51.4</v>
      </c>
      <c r="Z2983">
        <v>0.80300000000000005</v>
      </c>
      <c r="AA2983">
        <v>8.6999999999999994E-2</v>
      </c>
      <c r="AB2983">
        <v>5.7000000000000002E-2</v>
      </c>
      <c r="AC2983">
        <v>6</v>
      </c>
      <c r="AD2983" s="6">
        <v>50</v>
      </c>
      <c r="AE2983" s="6">
        <v>25</v>
      </c>
      <c r="AF2983" s="6">
        <v>0</v>
      </c>
      <c r="AG2983" s="6">
        <v>65.47</v>
      </c>
      <c r="AH2983" s="6">
        <v>84.48</v>
      </c>
      <c r="AI2983" s="6">
        <f t="shared" si="92"/>
        <v>19.010000000000005</v>
      </c>
      <c r="AJ2983" s="5">
        <f t="shared" si="93"/>
        <v>0.22502367424242428</v>
      </c>
    </row>
    <row r="2984" spans="1:36">
      <c r="A2984" t="s">
        <v>183</v>
      </c>
      <c r="B2984" t="s">
        <v>3269</v>
      </c>
      <c r="C2984" t="s">
        <v>126</v>
      </c>
      <c r="D2984" t="s">
        <v>60</v>
      </c>
      <c r="E2984" t="s">
        <v>69</v>
      </c>
      <c r="F2984">
        <v>0</v>
      </c>
      <c r="G2984">
        <v>2327</v>
      </c>
      <c r="H2984">
        <v>1</v>
      </c>
      <c r="I2984" t="s">
        <v>220</v>
      </c>
      <c r="J2984">
        <v>2</v>
      </c>
      <c r="K2984" s="6">
        <v>5.17</v>
      </c>
      <c r="L2984" t="s">
        <v>174</v>
      </c>
      <c r="M2984">
        <v>0</v>
      </c>
      <c r="N2984" t="s">
        <v>187</v>
      </c>
      <c r="O2984">
        <v>2</v>
      </c>
      <c r="P2984">
        <v>0</v>
      </c>
      <c r="Q2984" s="6">
        <v>33.299999999999997</v>
      </c>
      <c r="R2984">
        <v>1</v>
      </c>
      <c r="S2984" s="6">
        <v>1117</v>
      </c>
      <c r="T2984">
        <v>0</v>
      </c>
      <c r="U2984" s="6">
        <v>2069</v>
      </c>
      <c r="V2984">
        <v>0</v>
      </c>
      <c r="W2984">
        <v>0</v>
      </c>
      <c r="X2984">
        <v>0</v>
      </c>
      <c r="Y2984" s="6">
        <v>51.4</v>
      </c>
      <c r="Z2984">
        <v>0.80300000000000005</v>
      </c>
      <c r="AA2984">
        <v>8.6999999999999994E-2</v>
      </c>
      <c r="AB2984">
        <v>5.7000000000000002E-2</v>
      </c>
      <c r="AC2984">
        <v>6</v>
      </c>
      <c r="AD2984" s="6">
        <v>50</v>
      </c>
      <c r="AE2984" s="6">
        <v>25</v>
      </c>
      <c r="AF2984" s="6">
        <v>0</v>
      </c>
      <c r="AG2984" s="6">
        <v>74.86</v>
      </c>
      <c r="AH2984" s="6">
        <v>95.31</v>
      </c>
      <c r="AI2984" s="6">
        <f t="shared" si="92"/>
        <v>20.450000000000003</v>
      </c>
      <c r="AJ2984" s="5">
        <f t="shared" si="93"/>
        <v>0.21456300493127692</v>
      </c>
    </row>
    <row r="2985" spans="1:36">
      <c r="A2985" t="s">
        <v>345</v>
      </c>
      <c r="B2985" t="s">
        <v>3270</v>
      </c>
      <c r="C2985" t="s">
        <v>126</v>
      </c>
      <c r="D2985" t="s">
        <v>60</v>
      </c>
      <c r="E2985" t="s">
        <v>69</v>
      </c>
      <c r="F2985">
        <v>0</v>
      </c>
      <c r="G2985">
        <v>2327</v>
      </c>
      <c r="H2985">
        <v>1</v>
      </c>
      <c r="I2985" t="s">
        <v>173</v>
      </c>
      <c r="J2985">
        <v>1</v>
      </c>
      <c r="K2985" s="6">
        <v>1.81</v>
      </c>
      <c r="L2985" t="s">
        <v>200</v>
      </c>
      <c r="M2985">
        <v>1</v>
      </c>
      <c r="N2985" t="s">
        <v>175</v>
      </c>
      <c r="O2985">
        <v>1</v>
      </c>
      <c r="P2985">
        <v>0</v>
      </c>
      <c r="Q2985" s="6">
        <v>34.4</v>
      </c>
      <c r="R2985">
        <v>0</v>
      </c>
      <c r="S2985" s="6">
        <v>0</v>
      </c>
      <c r="T2985">
        <v>0</v>
      </c>
      <c r="U2985" s="6">
        <v>3851</v>
      </c>
      <c r="V2985">
        <v>0</v>
      </c>
      <c r="W2985">
        <v>0</v>
      </c>
      <c r="X2985">
        <v>0</v>
      </c>
      <c r="Y2985" s="6">
        <v>51.4</v>
      </c>
      <c r="Z2985">
        <v>0.80300000000000005</v>
      </c>
      <c r="AA2985">
        <v>8.6999999999999994E-2</v>
      </c>
      <c r="AB2985">
        <v>5.7000000000000002E-2</v>
      </c>
      <c r="AC2985">
        <v>6</v>
      </c>
      <c r="AD2985" s="6">
        <v>99</v>
      </c>
      <c r="AE2985" s="6">
        <v>0</v>
      </c>
      <c r="AF2985" s="6">
        <v>0</v>
      </c>
      <c r="AG2985" s="6">
        <v>73.22</v>
      </c>
      <c r="AH2985" s="6">
        <v>101.37</v>
      </c>
      <c r="AI2985" s="6">
        <f t="shared" si="92"/>
        <v>28.150000000000006</v>
      </c>
      <c r="AJ2985" s="5">
        <f t="shared" si="93"/>
        <v>0.27769557068166129</v>
      </c>
    </row>
    <row r="2986" spans="1:36">
      <c r="A2986" t="s">
        <v>360</v>
      </c>
      <c r="B2986" t="s">
        <v>3271</v>
      </c>
      <c r="C2986" t="s">
        <v>126</v>
      </c>
      <c r="D2986" t="s">
        <v>60</v>
      </c>
      <c r="E2986" t="s">
        <v>69</v>
      </c>
      <c r="F2986">
        <v>0</v>
      </c>
      <c r="G2986">
        <v>2327</v>
      </c>
      <c r="H2986">
        <v>1.22</v>
      </c>
      <c r="I2986" t="s">
        <v>181</v>
      </c>
      <c r="J2986">
        <v>3</v>
      </c>
      <c r="K2986" s="6">
        <v>7.3</v>
      </c>
      <c r="L2986" t="s">
        <v>200</v>
      </c>
      <c r="M2986">
        <v>1</v>
      </c>
      <c r="N2986" t="s">
        <v>175</v>
      </c>
      <c r="O2986">
        <v>1</v>
      </c>
      <c r="P2986">
        <v>1</v>
      </c>
      <c r="Q2986" s="6">
        <v>54.6</v>
      </c>
      <c r="R2986">
        <v>0</v>
      </c>
      <c r="S2986" s="6">
        <v>0</v>
      </c>
      <c r="T2986">
        <v>0</v>
      </c>
      <c r="U2986" s="6">
        <v>2022</v>
      </c>
      <c r="V2986">
        <v>0</v>
      </c>
      <c r="W2986">
        <v>0</v>
      </c>
      <c r="X2986">
        <v>0</v>
      </c>
      <c r="Y2986" s="6">
        <v>51.4</v>
      </c>
      <c r="Z2986">
        <v>0.80300000000000005</v>
      </c>
      <c r="AA2986">
        <v>8.6999999999999994E-2</v>
      </c>
      <c r="AB2986">
        <v>5.7000000000000002E-2</v>
      </c>
      <c r="AC2986">
        <v>6</v>
      </c>
      <c r="AD2986" s="6">
        <v>139</v>
      </c>
      <c r="AE2986" s="6">
        <v>0</v>
      </c>
      <c r="AF2986" s="6">
        <v>0</v>
      </c>
      <c r="AG2986" s="6">
        <v>150.52000000000001</v>
      </c>
      <c r="AH2986" s="6">
        <v>193.05</v>
      </c>
      <c r="AI2986" s="6">
        <f t="shared" si="92"/>
        <v>42.53</v>
      </c>
      <c r="AJ2986" s="5">
        <f t="shared" si="93"/>
        <v>0.22030562030562029</v>
      </c>
    </row>
    <row r="2987" spans="1:36">
      <c r="A2987" t="s">
        <v>228</v>
      </c>
      <c r="B2987" t="s">
        <v>3272</v>
      </c>
      <c r="C2987" t="s">
        <v>126</v>
      </c>
      <c r="D2987" t="s">
        <v>60</v>
      </c>
      <c r="E2987" t="s">
        <v>69</v>
      </c>
      <c r="F2987">
        <v>0</v>
      </c>
      <c r="G2987">
        <v>2327</v>
      </c>
      <c r="H2987">
        <v>1</v>
      </c>
      <c r="I2987" t="s">
        <v>181</v>
      </c>
      <c r="J2987">
        <v>3</v>
      </c>
      <c r="K2987" s="6">
        <v>5.04</v>
      </c>
      <c r="L2987" t="s">
        <v>200</v>
      </c>
      <c r="M2987">
        <v>1</v>
      </c>
      <c r="N2987" t="s">
        <v>175</v>
      </c>
      <c r="O2987">
        <v>1</v>
      </c>
      <c r="P2987">
        <v>1</v>
      </c>
      <c r="Q2987" s="6">
        <v>42.6</v>
      </c>
      <c r="R2987">
        <v>0</v>
      </c>
      <c r="S2987" s="6">
        <v>0</v>
      </c>
      <c r="T2987">
        <v>0</v>
      </c>
      <c r="U2987" s="6">
        <v>2086</v>
      </c>
      <c r="V2987">
        <v>0</v>
      </c>
      <c r="W2987">
        <v>0</v>
      </c>
      <c r="X2987">
        <v>0</v>
      </c>
      <c r="Y2987" s="6">
        <v>51.4</v>
      </c>
      <c r="Z2987">
        <v>0.80300000000000005</v>
      </c>
      <c r="AA2987">
        <v>8.6999999999999994E-2</v>
      </c>
      <c r="AB2987">
        <v>5.7000000000000002E-2</v>
      </c>
      <c r="AC2987">
        <v>6</v>
      </c>
      <c r="AD2987" s="6">
        <v>139</v>
      </c>
      <c r="AE2987" s="6">
        <v>0</v>
      </c>
      <c r="AF2987" s="6">
        <v>0</v>
      </c>
      <c r="AG2987" s="6">
        <v>143.22999999999999</v>
      </c>
      <c r="AH2987" s="6">
        <v>179.77</v>
      </c>
      <c r="AI2987" s="6">
        <f t="shared" si="92"/>
        <v>36.54000000000002</v>
      </c>
      <c r="AJ2987" s="5">
        <f t="shared" si="93"/>
        <v>0.20325972075429727</v>
      </c>
    </row>
    <row r="2988" spans="1:36">
      <c r="A2988" t="s">
        <v>171</v>
      </c>
      <c r="B2988" t="s">
        <v>3273</v>
      </c>
      <c r="C2988" t="s">
        <v>126</v>
      </c>
      <c r="D2988" t="s">
        <v>60</v>
      </c>
      <c r="E2988" t="s">
        <v>69</v>
      </c>
      <c r="F2988">
        <v>0</v>
      </c>
      <c r="G2988">
        <v>2327</v>
      </c>
      <c r="H2988">
        <v>1</v>
      </c>
      <c r="I2988" t="s">
        <v>220</v>
      </c>
      <c r="J2988">
        <v>2</v>
      </c>
      <c r="K2988" s="6">
        <v>4.5199999999999996</v>
      </c>
      <c r="L2988" t="s">
        <v>200</v>
      </c>
      <c r="M2988">
        <v>1</v>
      </c>
      <c r="N2988" t="s">
        <v>182</v>
      </c>
      <c r="O2988">
        <v>3</v>
      </c>
      <c r="P2988">
        <v>0</v>
      </c>
      <c r="Q2988" s="6">
        <v>99.1</v>
      </c>
      <c r="R2988">
        <v>1</v>
      </c>
      <c r="S2988" s="6">
        <v>393</v>
      </c>
      <c r="T2988">
        <v>0</v>
      </c>
      <c r="U2988" s="6">
        <v>3466</v>
      </c>
      <c r="V2988">
        <v>0</v>
      </c>
      <c r="W2988">
        <v>0</v>
      </c>
      <c r="X2988">
        <v>0</v>
      </c>
      <c r="Y2988" s="6">
        <v>51.4</v>
      </c>
      <c r="Z2988">
        <v>0.80300000000000005</v>
      </c>
      <c r="AA2988">
        <v>8.6999999999999994E-2</v>
      </c>
      <c r="AB2988">
        <v>5.7000000000000002E-2</v>
      </c>
      <c r="AC2988">
        <v>6</v>
      </c>
      <c r="AD2988" s="6">
        <v>119</v>
      </c>
      <c r="AE2988" s="6">
        <v>25</v>
      </c>
      <c r="AF2988" s="6">
        <v>0</v>
      </c>
      <c r="AG2988" s="6">
        <v>101.08</v>
      </c>
      <c r="AH2988" s="6">
        <v>130.84</v>
      </c>
      <c r="AI2988" s="6">
        <f t="shared" si="92"/>
        <v>29.760000000000005</v>
      </c>
      <c r="AJ2988" s="5">
        <f t="shared" si="93"/>
        <v>0.22745337817181294</v>
      </c>
    </row>
    <row r="2989" spans="1:36">
      <c r="A2989" t="s">
        <v>562</v>
      </c>
      <c r="B2989" t="s">
        <v>3274</v>
      </c>
      <c r="C2989" t="s">
        <v>126</v>
      </c>
      <c r="D2989" t="s">
        <v>60</v>
      </c>
      <c r="E2989" t="s">
        <v>69</v>
      </c>
      <c r="F2989">
        <v>0</v>
      </c>
      <c r="G2989">
        <v>2327</v>
      </c>
      <c r="H2989">
        <v>1.22</v>
      </c>
      <c r="I2989" t="s">
        <v>220</v>
      </c>
      <c r="J2989">
        <v>2</v>
      </c>
      <c r="K2989" s="6">
        <v>4.46</v>
      </c>
      <c r="L2989" t="s">
        <v>200</v>
      </c>
      <c r="M2989">
        <v>1</v>
      </c>
      <c r="N2989" t="s">
        <v>187</v>
      </c>
      <c r="O2989">
        <v>2</v>
      </c>
      <c r="P2989">
        <v>0</v>
      </c>
      <c r="Q2989" s="6">
        <v>35.4</v>
      </c>
      <c r="R2989">
        <v>0</v>
      </c>
      <c r="S2989" s="6">
        <v>0</v>
      </c>
      <c r="T2989">
        <v>0</v>
      </c>
      <c r="U2989" s="6">
        <v>4666</v>
      </c>
      <c r="V2989">
        <v>0</v>
      </c>
      <c r="W2989">
        <v>0</v>
      </c>
      <c r="X2989">
        <v>0</v>
      </c>
      <c r="Y2989" s="6">
        <v>51.4</v>
      </c>
      <c r="Z2989">
        <v>0.80300000000000005</v>
      </c>
      <c r="AA2989">
        <v>8.6999999999999994E-2</v>
      </c>
      <c r="AB2989">
        <v>5.7000000000000002E-2</v>
      </c>
      <c r="AC2989">
        <v>6</v>
      </c>
      <c r="AD2989" s="6">
        <v>119</v>
      </c>
      <c r="AE2989" s="6">
        <v>0</v>
      </c>
      <c r="AF2989" s="6">
        <v>0</v>
      </c>
      <c r="AG2989" s="6">
        <v>98.31</v>
      </c>
      <c r="AH2989" s="6">
        <v>123.46</v>
      </c>
      <c r="AI2989" s="6">
        <f t="shared" si="92"/>
        <v>25.149999999999991</v>
      </c>
      <c r="AJ2989" s="5">
        <f t="shared" si="93"/>
        <v>0.2037097035477077</v>
      </c>
    </row>
    <row r="2990" spans="1:36">
      <c r="A2990" t="s">
        <v>247</v>
      </c>
      <c r="B2990" t="s">
        <v>3275</v>
      </c>
      <c r="C2990" t="s">
        <v>126</v>
      </c>
      <c r="D2990" t="s">
        <v>60</v>
      </c>
      <c r="E2990" t="s">
        <v>69</v>
      </c>
      <c r="F2990">
        <v>0</v>
      </c>
      <c r="G2990">
        <v>2327</v>
      </c>
      <c r="H2990">
        <v>1</v>
      </c>
      <c r="I2990" t="s">
        <v>220</v>
      </c>
      <c r="J2990">
        <v>2</v>
      </c>
      <c r="K2990" s="6">
        <v>5.46</v>
      </c>
      <c r="L2990" t="s">
        <v>200</v>
      </c>
      <c r="M2990">
        <v>1</v>
      </c>
      <c r="N2990" t="s">
        <v>175</v>
      </c>
      <c r="O2990">
        <v>1</v>
      </c>
      <c r="P2990">
        <v>0</v>
      </c>
      <c r="Q2990" s="6">
        <v>46.6</v>
      </c>
      <c r="R2990">
        <v>1</v>
      </c>
      <c r="S2990" s="6">
        <v>1440</v>
      </c>
      <c r="T2990">
        <v>0</v>
      </c>
      <c r="U2990" s="6">
        <v>1674</v>
      </c>
      <c r="V2990">
        <v>0</v>
      </c>
      <c r="W2990">
        <v>0</v>
      </c>
      <c r="X2990">
        <v>0</v>
      </c>
      <c r="Y2990" s="6">
        <v>51.4</v>
      </c>
      <c r="Z2990">
        <v>0.80300000000000005</v>
      </c>
      <c r="AA2990">
        <v>8.6999999999999994E-2</v>
      </c>
      <c r="AB2990">
        <v>5.7000000000000002E-2</v>
      </c>
      <c r="AC2990">
        <v>6</v>
      </c>
      <c r="AD2990" s="6">
        <v>119</v>
      </c>
      <c r="AE2990" s="6">
        <v>25</v>
      </c>
      <c r="AF2990" s="6">
        <v>0</v>
      </c>
      <c r="AG2990" s="6">
        <v>97.2</v>
      </c>
      <c r="AH2990" s="6">
        <v>124.07</v>
      </c>
      <c r="AI2990" s="6">
        <f t="shared" si="92"/>
        <v>26.86999999999999</v>
      </c>
      <c r="AJ2990" s="5">
        <f t="shared" si="93"/>
        <v>0.21657129040058026</v>
      </c>
    </row>
    <row r="2991" spans="1:36">
      <c r="A2991" t="s">
        <v>423</v>
      </c>
      <c r="B2991" t="s">
        <v>3276</v>
      </c>
      <c r="C2991" t="s">
        <v>126</v>
      </c>
      <c r="D2991" t="s">
        <v>60</v>
      </c>
      <c r="E2991" t="s">
        <v>69</v>
      </c>
      <c r="F2991">
        <v>0</v>
      </c>
      <c r="G2991">
        <v>2327</v>
      </c>
      <c r="H2991">
        <v>1.22</v>
      </c>
      <c r="I2991" t="s">
        <v>173</v>
      </c>
      <c r="J2991">
        <v>1</v>
      </c>
      <c r="K2991" s="6">
        <v>1.69</v>
      </c>
      <c r="L2991" t="s">
        <v>174</v>
      </c>
      <c r="M2991">
        <v>0</v>
      </c>
      <c r="N2991" t="s">
        <v>182</v>
      </c>
      <c r="O2991">
        <v>3</v>
      </c>
      <c r="P2991">
        <v>0</v>
      </c>
      <c r="Q2991" s="6">
        <v>105</v>
      </c>
      <c r="R2991">
        <v>0</v>
      </c>
      <c r="S2991" s="6">
        <v>0</v>
      </c>
      <c r="T2991">
        <v>0</v>
      </c>
      <c r="U2991" s="6">
        <v>4095</v>
      </c>
      <c r="V2991">
        <v>0</v>
      </c>
      <c r="W2991">
        <v>0</v>
      </c>
      <c r="X2991">
        <v>0</v>
      </c>
      <c r="Y2991" s="6">
        <v>51.4</v>
      </c>
      <c r="Z2991">
        <v>0.80300000000000005</v>
      </c>
      <c r="AA2991">
        <v>8.6999999999999994E-2</v>
      </c>
      <c r="AB2991">
        <v>5.7000000000000002E-2</v>
      </c>
      <c r="AC2991">
        <v>6</v>
      </c>
      <c r="AD2991" s="6">
        <v>50</v>
      </c>
      <c r="AE2991" s="6">
        <v>0</v>
      </c>
      <c r="AF2991" s="6">
        <v>0</v>
      </c>
      <c r="AG2991" s="6">
        <v>66.77</v>
      </c>
      <c r="AH2991" s="6">
        <v>87.81</v>
      </c>
      <c r="AI2991" s="6">
        <f t="shared" si="92"/>
        <v>21.040000000000006</v>
      </c>
      <c r="AJ2991" s="5">
        <f t="shared" si="93"/>
        <v>0.23960824507459294</v>
      </c>
    </row>
    <row r="2992" spans="1:36">
      <c r="A2992" t="s">
        <v>562</v>
      </c>
      <c r="B2992" t="s">
        <v>3277</v>
      </c>
      <c r="C2992" t="s">
        <v>126</v>
      </c>
      <c r="D2992" t="s">
        <v>60</v>
      </c>
      <c r="E2992" t="s">
        <v>69</v>
      </c>
      <c r="F2992">
        <v>0</v>
      </c>
      <c r="G2992">
        <v>2327</v>
      </c>
      <c r="H2992">
        <v>1.22</v>
      </c>
      <c r="I2992" t="s">
        <v>220</v>
      </c>
      <c r="J2992">
        <v>2</v>
      </c>
      <c r="K2992" s="6">
        <v>1.27</v>
      </c>
      <c r="L2992" t="s">
        <v>200</v>
      </c>
      <c r="M2992">
        <v>1</v>
      </c>
      <c r="N2992" t="s">
        <v>182</v>
      </c>
      <c r="O2992">
        <v>3</v>
      </c>
      <c r="P2992">
        <v>0</v>
      </c>
      <c r="Q2992" s="6">
        <v>88.8</v>
      </c>
      <c r="R2992">
        <v>1</v>
      </c>
      <c r="S2992" s="6">
        <v>3237</v>
      </c>
      <c r="T2992">
        <v>0</v>
      </c>
      <c r="U2992" s="6">
        <v>3416</v>
      </c>
      <c r="V2992">
        <v>0</v>
      </c>
      <c r="W2992">
        <v>0</v>
      </c>
      <c r="X2992">
        <v>0</v>
      </c>
      <c r="Y2992" s="6">
        <v>51.4</v>
      </c>
      <c r="Z2992">
        <v>0.80300000000000005</v>
      </c>
      <c r="AA2992">
        <v>8.6999999999999994E-2</v>
      </c>
      <c r="AB2992">
        <v>5.7000000000000002E-2</v>
      </c>
      <c r="AC2992">
        <v>6</v>
      </c>
      <c r="AD2992" s="6">
        <v>119</v>
      </c>
      <c r="AE2992" s="6">
        <v>40</v>
      </c>
      <c r="AF2992" s="6">
        <v>0</v>
      </c>
      <c r="AG2992" s="6">
        <v>100.98</v>
      </c>
      <c r="AH2992" s="6">
        <v>129.68</v>
      </c>
      <c r="AI2992" s="6">
        <f t="shared" si="92"/>
        <v>28.700000000000003</v>
      </c>
      <c r="AJ2992" s="5">
        <f t="shared" si="93"/>
        <v>0.22131400370141888</v>
      </c>
    </row>
    <row r="2993" spans="1:36">
      <c r="A2993" t="s">
        <v>306</v>
      </c>
      <c r="B2993" t="s">
        <v>3278</v>
      </c>
      <c r="C2993" t="s">
        <v>126</v>
      </c>
      <c r="D2993" t="s">
        <v>60</v>
      </c>
      <c r="E2993" t="s">
        <v>69</v>
      </c>
      <c r="F2993">
        <v>0</v>
      </c>
      <c r="G2993">
        <v>2327</v>
      </c>
      <c r="H2993">
        <v>1.22</v>
      </c>
      <c r="I2993" t="s">
        <v>178</v>
      </c>
      <c r="J2993">
        <v>4</v>
      </c>
      <c r="K2993" s="6">
        <v>14.09</v>
      </c>
      <c r="L2993" t="s">
        <v>174</v>
      </c>
      <c r="M2993">
        <v>0</v>
      </c>
      <c r="N2993" t="s">
        <v>175</v>
      </c>
      <c r="O2993">
        <v>1</v>
      </c>
      <c r="P2993">
        <v>0</v>
      </c>
      <c r="Q2993" s="6">
        <v>32.700000000000003</v>
      </c>
      <c r="R2993">
        <v>1</v>
      </c>
      <c r="S2993" s="6">
        <v>3016</v>
      </c>
      <c r="T2993">
        <v>0</v>
      </c>
      <c r="U2993" s="6">
        <v>1084</v>
      </c>
      <c r="V2993">
        <v>0</v>
      </c>
      <c r="W2993">
        <v>0</v>
      </c>
      <c r="X2993">
        <v>0</v>
      </c>
      <c r="Y2993" s="6">
        <v>51.4</v>
      </c>
      <c r="Z2993">
        <v>0.80300000000000005</v>
      </c>
      <c r="AA2993">
        <v>8.6999999999999994E-2</v>
      </c>
      <c r="AB2993">
        <v>5.7000000000000002E-2</v>
      </c>
      <c r="AC2993">
        <v>6</v>
      </c>
      <c r="AD2993" s="6">
        <v>65</v>
      </c>
      <c r="AE2993" s="6">
        <v>40</v>
      </c>
      <c r="AF2993" s="6">
        <v>0</v>
      </c>
      <c r="AG2993" s="6">
        <v>141.94999999999999</v>
      </c>
      <c r="AH2993" s="6">
        <v>179.48</v>
      </c>
      <c r="AI2993" s="6">
        <f t="shared" si="92"/>
        <v>37.53</v>
      </c>
      <c r="AJ2993" s="5">
        <f t="shared" si="93"/>
        <v>0.20910407844885226</v>
      </c>
    </row>
    <row r="2994" spans="1:36">
      <c r="A2994" t="s">
        <v>296</v>
      </c>
      <c r="B2994" t="s">
        <v>3279</v>
      </c>
      <c r="C2994" t="s">
        <v>128</v>
      </c>
      <c r="D2994" t="s">
        <v>96</v>
      </c>
      <c r="E2994" t="s">
        <v>55</v>
      </c>
      <c r="F2994">
        <v>0</v>
      </c>
      <c r="G2994">
        <v>1293</v>
      </c>
      <c r="H2994">
        <v>1</v>
      </c>
      <c r="I2994" t="s">
        <v>178</v>
      </c>
      <c r="J2994">
        <v>4</v>
      </c>
      <c r="K2994" s="6">
        <v>18.45</v>
      </c>
      <c r="L2994" t="s">
        <v>174</v>
      </c>
      <c r="M2994">
        <v>0</v>
      </c>
      <c r="N2994" t="s">
        <v>272</v>
      </c>
      <c r="O2994">
        <v>5</v>
      </c>
      <c r="P2994">
        <v>1</v>
      </c>
      <c r="Q2994" s="6">
        <v>181.6</v>
      </c>
      <c r="R2994">
        <v>0</v>
      </c>
      <c r="S2994" s="6">
        <v>0</v>
      </c>
      <c r="T2994">
        <v>0</v>
      </c>
      <c r="U2994" s="6">
        <v>2664</v>
      </c>
      <c r="V2994">
        <v>1</v>
      </c>
      <c r="W2994">
        <v>0</v>
      </c>
      <c r="X2994">
        <v>0</v>
      </c>
      <c r="Y2994" s="6">
        <v>46.7</v>
      </c>
      <c r="Z2994">
        <v>5.0000000000000001E-3</v>
      </c>
      <c r="AA2994">
        <v>0.106</v>
      </c>
      <c r="AB2994">
        <v>8.3000000000000004E-2</v>
      </c>
      <c r="AC2994">
        <v>5</v>
      </c>
      <c r="AD2994" s="6">
        <v>66</v>
      </c>
      <c r="AE2994" s="6">
        <v>0</v>
      </c>
      <c r="AF2994" s="6">
        <v>0</v>
      </c>
      <c r="AG2994" s="6">
        <v>288.48</v>
      </c>
      <c r="AH2994" s="6">
        <v>362.6</v>
      </c>
      <c r="AI2994" s="6">
        <f t="shared" si="92"/>
        <v>74.12</v>
      </c>
      <c r="AJ2994" s="5">
        <f t="shared" si="93"/>
        <v>0.20441257584114728</v>
      </c>
    </row>
    <row r="2995" spans="1:36">
      <c r="A2995" t="s">
        <v>517</v>
      </c>
      <c r="B2995" t="s">
        <v>3280</v>
      </c>
      <c r="C2995" t="s">
        <v>128</v>
      </c>
      <c r="D2995" t="s">
        <v>96</v>
      </c>
      <c r="E2995" t="s">
        <v>55</v>
      </c>
      <c r="F2995">
        <v>0</v>
      </c>
      <c r="G2995">
        <v>1293</v>
      </c>
      <c r="H2995">
        <v>1</v>
      </c>
      <c r="I2995" t="s">
        <v>178</v>
      </c>
      <c r="J2995">
        <v>4</v>
      </c>
      <c r="K2995" s="6">
        <v>16.739999999999998</v>
      </c>
      <c r="L2995" t="s">
        <v>174</v>
      </c>
      <c r="M2995">
        <v>0</v>
      </c>
      <c r="N2995" t="s">
        <v>187</v>
      </c>
      <c r="O2995">
        <v>2</v>
      </c>
      <c r="P2995">
        <v>0</v>
      </c>
      <c r="Q2995" s="6">
        <v>56.6</v>
      </c>
      <c r="R2995">
        <v>0</v>
      </c>
      <c r="S2995" s="6">
        <v>0</v>
      </c>
      <c r="T2995">
        <v>0</v>
      </c>
      <c r="U2995" s="6">
        <v>1736</v>
      </c>
      <c r="V2995">
        <v>1</v>
      </c>
      <c r="W2995">
        <v>0</v>
      </c>
      <c r="X2995">
        <v>0</v>
      </c>
      <c r="Y2995" s="6">
        <v>46.7</v>
      </c>
      <c r="Z2995">
        <v>5.0000000000000001E-3</v>
      </c>
      <c r="AA2995">
        <v>0.106</v>
      </c>
      <c r="AB2995">
        <v>8.3000000000000004E-2</v>
      </c>
      <c r="AC2995">
        <v>5</v>
      </c>
      <c r="AD2995" s="6">
        <v>66</v>
      </c>
      <c r="AE2995" s="6">
        <v>0</v>
      </c>
      <c r="AF2995" s="6">
        <v>0</v>
      </c>
      <c r="AG2995" s="6">
        <v>173.5</v>
      </c>
      <c r="AH2995" s="6">
        <v>221.53</v>
      </c>
      <c r="AI2995" s="6">
        <f t="shared" si="92"/>
        <v>48.03</v>
      </c>
      <c r="AJ2995" s="5">
        <f t="shared" si="93"/>
        <v>0.21681036428474698</v>
      </c>
    </row>
    <row r="2996" spans="1:36">
      <c r="A2996" t="s">
        <v>194</v>
      </c>
      <c r="B2996" t="s">
        <v>3281</v>
      </c>
      <c r="C2996" t="s">
        <v>128</v>
      </c>
      <c r="D2996" t="s">
        <v>96</v>
      </c>
      <c r="E2996" t="s">
        <v>55</v>
      </c>
      <c r="F2996">
        <v>0</v>
      </c>
      <c r="G2996">
        <v>1293</v>
      </c>
      <c r="H2996">
        <v>1</v>
      </c>
      <c r="I2996" t="s">
        <v>181</v>
      </c>
      <c r="J2996">
        <v>3</v>
      </c>
      <c r="K2996" s="6">
        <v>6.28</v>
      </c>
      <c r="L2996" t="s">
        <v>200</v>
      </c>
      <c r="M2996">
        <v>1</v>
      </c>
      <c r="N2996" t="s">
        <v>175</v>
      </c>
      <c r="O2996">
        <v>1</v>
      </c>
      <c r="P2996">
        <v>0</v>
      </c>
      <c r="Q2996" s="6">
        <v>34.6</v>
      </c>
      <c r="R2996">
        <v>1</v>
      </c>
      <c r="S2996" s="6">
        <v>555</v>
      </c>
      <c r="T2996">
        <v>0</v>
      </c>
      <c r="U2996" s="6">
        <v>15794</v>
      </c>
      <c r="V2996">
        <v>0</v>
      </c>
      <c r="W2996">
        <v>0</v>
      </c>
      <c r="X2996">
        <v>0</v>
      </c>
      <c r="Y2996" s="6">
        <v>46.7</v>
      </c>
      <c r="Z2996">
        <v>5.0000000000000001E-3</v>
      </c>
      <c r="AA2996">
        <v>0.106</v>
      </c>
      <c r="AB2996">
        <v>8.3000000000000004E-2</v>
      </c>
      <c r="AC2996">
        <v>5</v>
      </c>
      <c r="AD2996" s="6">
        <v>140</v>
      </c>
      <c r="AE2996" s="6">
        <v>25</v>
      </c>
      <c r="AF2996" s="6">
        <v>0</v>
      </c>
      <c r="AG2996" s="6">
        <v>105.29</v>
      </c>
      <c r="AH2996" s="6">
        <v>140.12</v>
      </c>
      <c r="AI2996" s="6">
        <f t="shared" si="92"/>
        <v>34.83</v>
      </c>
      <c r="AJ2996" s="5">
        <f t="shared" si="93"/>
        <v>0.24857265201256065</v>
      </c>
    </row>
    <row r="2997" spans="1:36">
      <c r="A2997" t="s">
        <v>215</v>
      </c>
      <c r="B2997" t="s">
        <v>3282</v>
      </c>
      <c r="C2997" t="s">
        <v>128</v>
      </c>
      <c r="D2997" t="s">
        <v>96</v>
      </c>
      <c r="E2997" t="s">
        <v>55</v>
      </c>
      <c r="F2997">
        <v>0</v>
      </c>
      <c r="G2997">
        <v>1293</v>
      </c>
      <c r="H2997">
        <v>1</v>
      </c>
      <c r="I2997" t="s">
        <v>173</v>
      </c>
      <c r="J2997">
        <v>1</v>
      </c>
      <c r="K2997" s="6">
        <v>1.2</v>
      </c>
      <c r="L2997" t="s">
        <v>174</v>
      </c>
      <c r="M2997">
        <v>0</v>
      </c>
      <c r="N2997" t="s">
        <v>175</v>
      </c>
      <c r="O2997">
        <v>1</v>
      </c>
      <c r="P2997">
        <v>0</v>
      </c>
      <c r="Q2997" s="6">
        <v>60.1</v>
      </c>
      <c r="R2997">
        <v>0</v>
      </c>
      <c r="S2997" s="6">
        <v>0</v>
      </c>
      <c r="T2997">
        <v>0</v>
      </c>
      <c r="U2997" s="6">
        <v>2703</v>
      </c>
      <c r="V2997">
        <v>0</v>
      </c>
      <c r="W2997">
        <v>0</v>
      </c>
      <c r="X2997">
        <v>0</v>
      </c>
      <c r="Y2997" s="6">
        <v>46.7</v>
      </c>
      <c r="Z2997">
        <v>5.0000000000000001E-3</v>
      </c>
      <c r="AA2997">
        <v>0.106</v>
      </c>
      <c r="AB2997">
        <v>8.3000000000000004E-2</v>
      </c>
      <c r="AC2997">
        <v>5</v>
      </c>
      <c r="AD2997" s="6">
        <v>51</v>
      </c>
      <c r="AE2997" s="6">
        <v>0</v>
      </c>
      <c r="AF2997" s="6">
        <v>0</v>
      </c>
      <c r="AG2997" s="6">
        <v>53.93</v>
      </c>
      <c r="AH2997" s="6">
        <v>68.83</v>
      </c>
      <c r="AI2997" s="6">
        <f t="shared" si="92"/>
        <v>14.899999999999999</v>
      </c>
      <c r="AJ2997" s="5">
        <f t="shared" si="93"/>
        <v>0.21647537411012638</v>
      </c>
    </row>
    <row r="2998" spans="1:36">
      <c r="A2998" t="s">
        <v>298</v>
      </c>
      <c r="B2998" t="s">
        <v>3283</v>
      </c>
      <c r="C2998" t="s">
        <v>128</v>
      </c>
      <c r="D2998" t="s">
        <v>96</v>
      </c>
      <c r="E2998" t="s">
        <v>55</v>
      </c>
      <c r="F2998">
        <v>0</v>
      </c>
      <c r="G2998">
        <v>1293</v>
      </c>
      <c r="H2998">
        <v>1</v>
      </c>
      <c r="I2998" t="s">
        <v>220</v>
      </c>
      <c r="J2998">
        <v>2</v>
      </c>
      <c r="K2998" s="6">
        <v>4.8499999999999996</v>
      </c>
      <c r="L2998" t="s">
        <v>174</v>
      </c>
      <c r="M2998">
        <v>0</v>
      </c>
      <c r="N2998" t="s">
        <v>187</v>
      </c>
      <c r="O2998">
        <v>2</v>
      </c>
      <c r="P2998">
        <v>0</v>
      </c>
      <c r="Q2998" s="6">
        <v>57.8</v>
      </c>
      <c r="R2998">
        <v>1</v>
      </c>
      <c r="S2998" s="6">
        <v>4089</v>
      </c>
      <c r="T2998">
        <v>0</v>
      </c>
      <c r="U2998" s="6">
        <v>1574</v>
      </c>
      <c r="V2998">
        <v>0</v>
      </c>
      <c r="W2998">
        <v>0</v>
      </c>
      <c r="X2998">
        <v>0</v>
      </c>
      <c r="Y2998" s="6">
        <v>46.7</v>
      </c>
      <c r="Z2998">
        <v>5.0000000000000001E-3</v>
      </c>
      <c r="AA2998">
        <v>0.106</v>
      </c>
      <c r="AB2998">
        <v>8.3000000000000004E-2</v>
      </c>
      <c r="AC2998">
        <v>5</v>
      </c>
      <c r="AD2998" s="6">
        <v>51</v>
      </c>
      <c r="AE2998" s="6">
        <v>40</v>
      </c>
      <c r="AF2998" s="6">
        <v>0</v>
      </c>
      <c r="AG2998" s="6">
        <v>73.7</v>
      </c>
      <c r="AH2998" s="6">
        <v>93.02</v>
      </c>
      <c r="AI2998" s="6">
        <f t="shared" si="92"/>
        <v>19.319999999999993</v>
      </c>
      <c r="AJ2998" s="5">
        <f t="shared" si="93"/>
        <v>0.20769726940442909</v>
      </c>
    </row>
    <row r="2999" spans="1:36">
      <c r="A2999" t="s">
        <v>243</v>
      </c>
      <c r="B2999" t="s">
        <v>3284</v>
      </c>
      <c r="C2999" t="s">
        <v>128</v>
      </c>
      <c r="D2999" t="s">
        <v>96</v>
      </c>
      <c r="E2999" t="s">
        <v>55</v>
      </c>
      <c r="F2999">
        <v>0</v>
      </c>
      <c r="G2999">
        <v>1293</v>
      </c>
      <c r="H2999">
        <v>1</v>
      </c>
      <c r="I2999" t="s">
        <v>220</v>
      </c>
      <c r="J2999">
        <v>2</v>
      </c>
      <c r="K2999" s="6">
        <v>5.74</v>
      </c>
      <c r="L2999" t="s">
        <v>174</v>
      </c>
      <c r="M2999">
        <v>0</v>
      </c>
      <c r="N2999" t="s">
        <v>175</v>
      </c>
      <c r="O2999">
        <v>1</v>
      </c>
      <c r="P2999">
        <v>0</v>
      </c>
      <c r="Q2999" s="6">
        <v>32</v>
      </c>
      <c r="R2999">
        <v>0</v>
      </c>
      <c r="S2999" s="6">
        <v>0</v>
      </c>
      <c r="T2999">
        <v>0</v>
      </c>
      <c r="U2999" s="6">
        <v>6527</v>
      </c>
      <c r="V2999">
        <v>0</v>
      </c>
      <c r="W2999">
        <v>0</v>
      </c>
      <c r="X2999">
        <v>0</v>
      </c>
      <c r="Y2999" s="6">
        <v>46.7</v>
      </c>
      <c r="Z2999">
        <v>5.0000000000000001E-3</v>
      </c>
      <c r="AA2999">
        <v>0.106</v>
      </c>
      <c r="AB2999">
        <v>8.3000000000000004E-2</v>
      </c>
      <c r="AC2999">
        <v>5</v>
      </c>
      <c r="AD2999" s="6">
        <v>51</v>
      </c>
      <c r="AE2999" s="6">
        <v>0</v>
      </c>
      <c r="AF2999" s="6">
        <v>0</v>
      </c>
      <c r="AG2999" s="6">
        <v>64.44</v>
      </c>
      <c r="AH2999" s="6">
        <v>83.81</v>
      </c>
      <c r="AI2999" s="6">
        <f t="shared" si="92"/>
        <v>19.370000000000005</v>
      </c>
      <c r="AJ2999" s="5">
        <f t="shared" si="93"/>
        <v>0.2311180050113352</v>
      </c>
    </row>
    <row r="3000" spans="1:36">
      <c r="A3000" t="s">
        <v>258</v>
      </c>
      <c r="B3000" t="s">
        <v>3285</v>
      </c>
      <c r="C3000" t="s">
        <v>128</v>
      </c>
      <c r="D3000" t="s">
        <v>96</v>
      </c>
      <c r="E3000" t="s">
        <v>55</v>
      </c>
      <c r="F3000">
        <v>0</v>
      </c>
      <c r="G3000">
        <v>1293</v>
      </c>
      <c r="H3000">
        <v>1</v>
      </c>
      <c r="I3000" t="s">
        <v>173</v>
      </c>
      <c r="J3000">
        <v>1</v>
      </c>
      <c r="K3000" s="6">
        <v>2.38</v>
      </c>
      <c r="L3000" t="s">
        <v>174</v>
      </c>
      <c r="M3000">
        <v>0</v>
      </c>
      <c r="N3000" t="s">
        <v>182</v>
      </c>
      <c r="O3000">
        <v>3</v>
      </c>
      <c r="P3000">
        <v>0</v>
      </c>
      <c r="Q3000" s="6">
        <v>61.6</v>
      </c>
      <c r="R3000">
        <v>0</v>
      </c>
      <c r="S3000" s="6">
        <v>0</v>
      </c>
      <c r="T3000">
        <v>0</v>
      </c>
      <c r="U3000" s="6">
        <v>1354</v>
      </c>
      <c r="V3000">
        <v>0</v>
      </c>
      <c r="W3000">
        <v>0</v>
      </c>
      <c r="X3000">
        <v>0</v>
      </c>
      <c r="Y3000" s="6">
        <v>46.7</v>
      </c>
      <c r="Z3000">
        <v>5.0000000000000001E-3</v>
      </c>
      <c r="AA3000">
        <v>0.106</v>
      </c>
      <c r="AB3000">
        <v>8.3000000000000004E-2</v>
      </c>
      <c r="AC3000">
        <v>5</v>
      </c>
      <c r="AD3000" s="6">
        <v>51</v>
      </c>
      <c r="AE3000" s="6">
        <v>0</v>
      </c>
      <c r="AF3000" s="6">
        <v>0</v>
      </c>
      <c r="AG3000" s="6">
        <v>53.56</v>
      </c>
      <c r="AH3000" s="6">
        <v>70.959999999999994</v>
      </c>
      <c r="AI3000" s="6">
        <f t="shared" si="92"/>
        <v>17.399999999999991</v>
      </c>
      <c r="AJ3000" s="5">
        <f t="shared" si="93"/>
        <v>0.24520856820744072</v>
      </c>
    </row>
    <row r="3001" spans="1:36">
      <c r="A3001" t="s">
        <v>298</v>
      </c>
      <c r="B3001" t="s">
        <v>3286</v>
      </c>
      <c r="C3001" t="s">
        <v>128</v>
      </c>
      <c r="D3001" t="s">
        <v>96</v>
      </c>
      <c r="E3001" t="s">
        <v>55</v>
      </c>
      <c r="F3001">
        <v>0</v>
      </c>
      <c r="G3001">
        <v>1293</v>
      </c>
      <c r="H3001">
        <v>1</v>
      </c>
      <c r="I3001" t="s">
        <v>178</v>
      </c>
      <c r="J3001">
        <v>4</v>
      </c>
      <c r="K3001" s="6">
        <v>8.5299999999999994</v>
      </c>
      <c r="L3001" t="s">
        <v>174</v>
      </c>
      <c r="M3001">
        <v>0</v>
      </c>
      <c r="N3001" t="s">
        <v>182</v>
      </c>
      <c r="O3001">
        <v>3</v>
      </c>
      <c r="P3001">
        <v>0</v>
      </c>
      <c r="Q3001" s="6">
        <v>92.8</v>
      </c>
      <c r="R3001">
        <v>1</v>
      </c>
      <c r="S3001" s="6">
        <v>633</v>
      </c>
      <c r="T3001">
        <v>0</v>
      </c>
      <c r="U3001" s="6">
        <v>3458</v>
      </c>
      <c r="V3001">
        <v>0</v>
      </c>
      <c r="W3001">
        <v>0</v>
      </c>
      <c r="X3001">
        <v>0</v>
      </c>
      <c r="Y3001" s="6">
        <v>46.7</v>
      </c>
      <c r="Z3001">
        <v>5.0000000000000001E-3</v>
      </c>
      <c r="AA3001">
        <v>0.106</v>
      </c>
      <c r="AB3001">
        <v>8.3000000000000004E-2</v>
      </c>
      <c r="AC3001">
        <v>5</v>
      </c>
      <c r="AD3001" s="6">
        <v>66</v>
      </c>
      <c r="AE3001" s="6">
        <v>25</v>
      </c>
      <c r="AF3001" s="6">
        <v>0</v>
      </c>
      <c r="AG3001" s="6">
        <v>127.62</v>
      </c>
      <c r="AH3001" s="6">
        <v>161.05000000000001</v>
      </c>
      <c r="AI3001" s="6">
        <f t="shared" si="92"/>
        <v>33.430000000000007</v>
      </c>
      <c r="AJ3001" s="5">
        <f t="shared" si="93"/>
        <v>0.20757528717789508</v>
      </c>
    </row>
    <row r="3002" spans="1:36">
      <c r="A3002" t="s">
        <v>579</v>
      </c>
      <c r="B3002" t="s">
        <v>3287</v>
      </c>
      <c r="C3002" t="s">
        <v>128</v>
      </c>
      <c r="D3002" t="s">
        <v>96</v>
      </c>
      <c r="E3002" t="s">
        <v>55</v>
      </c>
      <c r="F3002">
        <v>0</v>
      </c>
      <c r="G3002">
        <v>1293</v>
      </c>
      <c r="H3002">
        <v>1</v>
      </c>
      <c r="I3002" t="s">
        <v>178</v>
      </c>
      <c r="J3002">
        <v>4</v>
      </c>
      <c r="K3002" s="6">
        <v>14.21</v>
      </c>
      <c r="L3002" t="s">
        <v>174</v>
      </c>
      <c r="M3002">
        <v>0</v>
      </c>
      <c r="N3002" t="s">
        <v>175</v>
      </c>
      <c r="O3002">
        <v>1</v>
      </c>
      <c r="P3002">
        <v>0</v>
      </c>
      <c r="Q3002" s="6">
        <v>50.5</v>
      </c>
      <c r="R3002">
        <v>0</v>
      </c>
      <c r="S3002" s="6">
        <v>0</v>
      </c>
      <c r="T3002">
        <v>0</v>
      </c>
      <c r="U3002" s="6">
        <v>2181</v>
      </c>
      <c r="V3002">
        <v>0</v>
      </c>
      <c r="W3002">
        <v>0</v>
      </c>
      <c r="X3002">
        <v>0</v>
      </c>
      <c r="Y3002" s="6">
        <v>46.7</v>
      </c>
      <c r="Z3002">
        <v>5.0000000000000001E-3</v>
      </c>
      <c r="AA3002">
        <v>0.106</v>
      </c>
      <c r="AB3002">
        <v>8.3000000000000004E-2</v>
      </c>
      <c r="AC3002">
        <v>5</v>
      </c>
      <c r="AD3002" s="6">
        <v>66</v>
      </c>
      <c r="AE3002" s="6">
        <v>0</v>
      </c>
      <c r="AF3002" s="6">
        <v>0</v>
      </c>
      <c r="AG3002" s="6">
        <v>123.06</v>
      </c>
      <c r="AH3002" s="6">
        <v>154.27000000000001</v>
      </c>
      <c r="AI3002" s="6">
        <f t="shared" si="92"/>
        <v>31.210000000000008</v>
      </c>
      <c r="AJ3002" s="5">
        <f t="shared" si="93"/>
        <v>0.20230764244506388</v>
      </c>
    </row>
    <row r="3003" spans="1:36">
      <c r="A3003" t="s">
        <v>247</v>
      </c>
      <c r="B3003" t="s">
        <v>3288</v>
      </c>
      <c r="C3003" t="s">
        <v>128</v>
      </c>
      <c r="D3003" t="s">
        <v>96</v>
      </c>
      <c r="E3003" t="s">
        <v>55</v>
      </c>
      <c r="F3003">
        <v>0</v>
      </c>
      <c r="G3003">
        <v>1293</v>
      </c>
      <c r="H3003">
        <v>1</v>
      </c>
      <c r="I3003" t="s">
        <v>173</v>
      </c>
      <c r="J3003">
        <v>1</v>
      </c>
      <c r="K3003" s="6">
        <v>1.9</v>
      </c>
      <c r="L3003" t="s">
        <v>174</v>
      </c>
      <c r="M3003">
        <v>0</v>
      </c>
      <c r="N3003" t="s">
        <v>187</v>
      </c>
      <c r="O3003">
        <v>2</v>
      </c>
      <c r="P3003">
        <v>0</v>
      </c>
      <c r="Q3003" s="6">
        <v>47.7</v>
      </c>
      <c r="R3003">
        <v>0</v>
      </c>
      <c r="S3003" s="6">
        <v>0</v>
      </c>
      <c r="T3003">
        <v>0</v>
      </c>
      <c r="U3003" s="6">
        <v>1082</v>
      </c>
      <c r="V3003">
        <v>0</v>
      </c>
      <c r="W3003">
        <v>0</v>
      </c>
      <c r="X3003">
        <v>0</v>
      </c>
      <c r="Y3003" s="6">
        <v>46.7</v>
      </c>
      <c r="Z3003">
        <v>5.0000000000000001E-3</v>
      </c>
      <c r="AA3003">
        <v>0.106</v>
      </c>
      <c r="AB3003">
        <v>8.3000000000000004E-2</v>
      </c>
      <c r="AC3003">
        <v>5</v>
      </c>
      <c r="AD3003" s="6">
        <v>51</v>
      </c>
      <c r="AE3003" s="6">
        <v>0</v>
      </c>
      <c r="AF3003" s="6">
        <v>0</v>
      </c>
      <c r="AG3003" s="6">
        <v>56.95</v>
      </c>
      <c r="AH3003" s="6">
        <v>74.31</v>
      </c>
      <c r="AI3003" s="6">
        <f t="shared" si="92"/>
        <v>17.36</v>
      </c>
      <c r="AJ3003" s="5">
        <f t="shared" si="93"/>
        <v>0.23361593325259047</v>
      </c>
    </row>
    <row r="3004" spans="1:36">
      <c r="A3004" t="s">
        <v>245</v>
      </c>
      <c r="B3004" t="s">
        <v>3289</v>
      </c>
      <c r="C3004" t="s">
        <v>128</v>
      </c>
      <c r="D3004" t="s">
        <v>96</v>
      </c>
      <c r="E3004" t="s">
        <v>55</v>
      </c>
      <c r="F3004">
        <v>0</v>
      </c>
      <c r="G3004">
        <v>1293</v>
      </c>
      <c r="H3004">
        <v>1</v>
      </c>
      <c r="I3004" t="s">
        <v>220</v>
      </c>
      <c r="J3004">
        <v>2</v>
      </c>
      <c r="K3004" s="6">
        <v>5.84</v>
      </c>
      <c r="L3004" t="s">
        <v>174</v>
      </c>
      <c r="M3004">
        <v>0</v>
      </c>
      <c r="N3004" t="s">
        <v>175</v>
      </c>
      <c r="O3004">
        <v>1</v>
      </c>
      <c r="P3004">
        <v>0</v>
      </c>
      <c r="Q3004" s="6">
        <v>44.4</v>
      </c>
      <c r="R3004">
        <v>1</v>
      </c>
      <c r="S3004" s="6">
        <v>2820</v>
      </c>
      <c r="T3004">
        <v>0</v>
      </c>
      <c r="U3004" s="6">
        <v>4685</v>
      </c>
      <c r="V3004">
        <v>0</v>
      </c>
      <c r="W3004">
        <v>0</v>
      </c>
      <c r="X3004">
        <v>0</v>
      </c>
      <c r="Y3004" s="6">
        <v>46.7</v>
      </c>
      <c r="Z3004">
        <v>5.0000000000000001E-3</v>
      </c>
      <c r="AA3004">
        <v>0.106</v>
      </c>
      <c r="AB3004">
        <v>8.3000000000000004E-2</v>
      </c>
      <c r="AC3004">
        <v>5</v>
      </c>
      <c r="AD3004" s="6">
        <v>51</v>
      </c>
      <c r="AE3004" s="6">
        <v>40</v>
      </c>
      <c r="AF3004" s="6">
        <v>0</v>
      </c>
      <c r="AG3004" s="6">
        <v>68.180000000000007</v>
      </c>
      <c r="AH3004" s="6">
        <v>87.57</v>
      </c>
      <c r="AI3004" s="6">
        <f t="shared" si="92"/>
        <v>19.389999999999986</v>
      </c>
      <c r="AJ3004" s="5">
        <f t="shared" si="93"/>
        <v>0.22142286171063136</v>
      </c>
    </row>
    <row r="3005" spans="1:36">
      <c r="A3005" t="s">
        <v>218</v>
      </c>
      <c r="B3005" t="s">
        <v>3290</v>
      </c>
      <c r="C3005" t="s">
        <v>128</v>
      </c>
      <c r="D3005" t="s">
        <v>96</v>
      </c>
      <c r="E3005" t="s">
        <v>55</v>
      </c>
      <c r="F3005">
        <v>0</v>
      </c>
      <c r="G3005">
        <v>1293</v>
      </c>
      <c r="H3005">
        <v>1</v>
      </c>
      <c r="I3005" t="s">
        <v>178</v>
      </c>
      <c r="J3005">
        <v>4</v>
      </c>
      <c r="K3005" s="6">
        <v>12.59</v>
      </c>
      <c r="L3005" t="s">
        <v>174</v>
      </c>
      <c r="M3005">
        <v>0</v>
      </c>
      <c r="N3005" t="s">
        <v>272</v>
      </c>
      <c r="O3005">
        <v>5</v>
      </c>
      <c r="P3005">
        <v>1</v>
      </c>
      <c r="Q3005" s="6">
        <v>203</v>
      </c>
      <c r="R3005">
        <v>1</v>
      </c>
      <c r="S3005" s="6">
        <v>1277</v>
      </c>
      <c r="T3005">
        <v>0</v>
      </c>
      <c r="U3005" s="6">
        <v>3708</v>
      </c>
      <c r="V3005">
        <v>0</v>
      </c>
      <c r="W3005">
        <v>0</v>
      </c>
      <c r="X3005">
        <v>0</v>
      </c>
      <c r="Y3005" s="6">
        <v>46.7</v>
      </c>
      <c r="Z3005">
        <v>5.0000000000000001E-3</v>
      </c>
      <c r="AA3005">
        <v>0.106</v>
      </c>
      <c r="AB3005">
        <v>8.3000000000000004E-2</v>
      </c>
      <c r="AC3005">
        <v>5</v>
      </c>
      <c r="AD3005" s="6">
        <v>66</v>
      </c>
      <c r="AE3005" s="6">
        <v>25</v>
      </c>
      <c r="AF3005" s="6">
        <v>0</v>
      </c>
      <c r="AG3005" s="6">
        <v>216.33</v>
      </c>
      <c r="AH3005" s="6">
        <v>274.02</v>
      </c>
      <c r="AI3005" s="6">
        <f t="shared" si="92"/>
        <v>57.689999999999969</v>
      </c>
      <c r="AJ3005" s="5">
        <f t="shared" si="93"/>
        <v>0.21053207795051446</v>
      </c>
    </row>
    <row r="3006" spans="1:36">
      <c r="A3006" t="s">
        <v>253</v>
      </c>
      <c r="B3006" t="s">
        <v>3291</v>
      </c>
      <c r="C3006" t="s">
        <v>128</v>
      </c>
      <c r="D3006" t="s">
        <v>96</v>
      </c>
      <c r="E3006" t="s">
        <v>55</v>
      </c>
      <c r="F3006">
        <v>0</v>
      </c>
      <c r="G3006">
        <v>1293</v>
      </c>
      <c r="H3006">
        <v>1</v>
      </c>
      <c r="I3006" t="s">
        <v>173</v>
      </c>
      <c r="J3006">
        <v>1</v>
      </c>
      <c r="K3006" s="6">
        <v>1.44</v>
      </c>
      <c r="L3006" t="s">
        <v>174</v>
      </c>
      <c r="M3006">
        <v>0</v>
      </c>
      <c r="N3006" t="s">
        <v>187</v>
      </c>
      <c r="O3006">
        <v>2</v>
      </c>
      <c r="P3006">
        <v>0</v>
      </c>
      <c r="Q3006" s="6">
        <v>49.6</v>
      </c>
      <c r="R3006">
        <v>1</v>
      </c>
      <c r="S3006" s="6">
        <v>694</v>
      </c>
      <c r="T3006">
        <v>0</v>
      </c>
      <c r="U3006" s="6">
        <v>1550</v>
      </c>
      <c r="V3006">
        <v>0</v>
      </c>
      <c r="W3006">
        <v>0</v>
      </c>
      <c r="X3006">
        <v>0</v>
      </c>
      <c r="Y3006" s="6">
        <v>46.7</v>
      </c>
      <c r="Z3006">
        <v>5.0000000000000001E-3</v>
      </c>
      <c r="AA3006">
        <v>0.106</v>
      </c>
      <c r="AB3006">
        <v>8.3000000000000004E-2</v>
      </c>
      <c r="AC3006">
        <v>5</v>
      </c>
      <c r="AD3006" s="6">
        <v>51</v>
      </c>
      <c r="AE3006" s="6">
        <v>25</v>
      </c>
      <c r="AF3006" s="6">
        <v>0</v>
      </c>
      <c r="AG3006" s="6">
        <v>53.27</v>
      </c>
      <c r="AH3006" s="6">
        <v>67.38</v>
      </c>
      <c r="AI3006" s="6">
        <f t="shared" si="92"/>
        <v>14.109999999999992</v>
      </c>
      <c r="AJ3006" s="5">
        <f t="shared" si="93"/>
        <v>0.20940932027307796</v>
      </c>
    </row>
    <row r="3007" spans="1:36">
      <c r="A3007" t="s">
        <v>391</v>
      </c>
      <c r="B3007" t="s">
        <v>3292</v>
      </c>
      <c r="C3007" t="s">
        <v>128</v>
      </c>
      <c r="D3007" t="s">
        <v>96</v>
      </c>
      <c r="E3007" t="s">
        <v>55</v>
      </c>
      <c r="F3007">
        <v>0</v>
      </c>
      <c r="G3007">
        <v>1293</v>
      </c>
      <c r="H3007">
        <v>1</v>
      </c>
      <c r="I3007" t="s">
        <v>220</v>
      </c>
      <c r="J3007">
        <v>2</v>
      </c>
      <c r="K3007" s="6">
        <v>3.62</v>
      </c>
      <c r="L3007" t="s">
        <v>174</v>
      </c>
      <c r="M3007">
        <v>0</v>
      </c>
      <c r="N3007" t="s">
        <v>182</v>
      </c>
      <c r="O3007">
        <v>3</v>
      </c>
      <c r="P3007">
        <v>1</v>
      </c>
      <c r="Q3007" s="6">
        <v>79</v>
      </c>
      <c r="R3007">
        <v>0</v>
      </c>
      <c r="S3007" s="6">
        <v>0</v>
      </c>
      <c r="T3007">
        <v>0</v>
      </c>
      <c r="U3007" s="6">
        <v>2810</v>
      </c>
      <c r="V3007">
        <v>0</v>
      </c>
      <c r="W3007">
        <v>0</v>
      </c>
      <c r="X3007">
        <v>0</v>
      </c>
      <c r="Y3007" s="6">
        <v>46.7</v>
      </c>
      <c r="Z3007">
        <v>5.0000000000000001E-3</v>
      </c>
      <c r="AA3007">
        <v>0.106</v>
      </c>
      <c r="AB3007">
        <v>8.3000000000000004E-2</v>
      </c>
      <c r="AC3007">
        <v>5</v>
      </c>
      <c r="AD3007" s="6">
        <v>51</v>
      </c>
      <c r="AE3007" s="6">
        <v>0</v>
      </c>
      <c r="AF3007" s="6">
        <v>0</v>
      </c>
      <c r="AG3007" s="6">
        <v>91.25</v>
      </c>
      <c r="AH3007" s="6">
        <v>116.08</v>
      </c>
      <c r="AI3007" s="6">
        <f t="shared" si="92"/>
        <v>24.83</v>
      </c>
      <c r="AJ3007" s="5">
        <f t="shared" si="93"/>
        <v>0.21390420399724328</v>
      </c>
    </row>
    <row r="3008" spans="1:36">
      <c r="A3008" t="s">
        <v>249</v>
      </c>
      <c r="B3008" t="s">
        <v>3293</v>
      </c>
      <c r="C3008" t="s">
        <v>128</v>
      </c>
      <c r="D3008" t="s">
        <v>96</v>
      </c>
      <c r="E3008" t="s">
        <v>55</v>
      </c>
      <c r="F3008">
        <v>0</v>
      </c>
      <c r="G3008">
        <v>1293</v>
      </c>
      <c r="H3008">
        <v>1</v>
      </c>
      <c r="I3008" t="s">
        <v>173</v>
      </c>
      <c r="J3008">
        <v>1</v>
      </c>
      <c r="K3008" s="6">
        <v>2.44</v>
      </c>
      <c r="L3008" t="s">
        <v>174</v>
      </c>
      <c r="M3008">
        <v>0</v>
      </c>
      <c r="N3008" t="s">
        <v>182</v>
      </c>
      <c r="O3008">
        <v>3</v>
      </c>
      <c r="P3008">
        <v>0</v>
      </c>
      <c r="Q3008" s="6">
        <v>144.30000000000001</v>
      </c>
      <c r="R3008">
        <v>0</v>
      </c>
      <c r="S3008" s="6">
        <v>0</v>
      </c>
      <c r="T3008">
        <v>0</v>
      </c>
      <c r="U3008" s="6">
        <v>1633</v>
      </c>
      <c r="V3008">
        <v>0</v>
      </c>
      <c r="W3008">
        <v>0</v>
      </c>
      <c r="X3008">
        <v>0</v>
      </c>
      <c r="Y3008" s="6">
        <v>46.7</v>
      </c>
      <c r="Z3008">
        <v>5.0000000000000001E-3</v>
      </c>
      <c r="AA3008">
        <v>0.106</v>
      </c>
      <c r="AB3008">
        <v>8.3000000000000004E-2</v>
      </c>
      <c r="AC3008">
        <v>5</v>
      </c>
      <c r="AD3008" s="6">
        <v>51</v>
      </c>
      <c r="AE3008" s="6">
        <v>0</v>
      </c>
      <c r="AF3008" s="6">
        <v>0</v>
      </c>
      <c r="AG3008" s="6">
        <v>55.98</v>
      </c>
      <c r="AH3008" s="6">
        <v>70.44</v>
      </c>
      <c r="AI3008" s="6">
        <f t="shared" si="92"/>
        <v>14.46</v>
      </c>
      <c r="AJ3008" s="5">
        <f t="shared" si="93"/>
        <v>0.2052810902896082</v>
      </c>
    </row>
    <row r="3009" spans="1:36">
      <c r="A3009" t="s">
        <v>360</v>
      </c>
      <c r="B3009" t="s">
        <v>3294</v>
      </c>
      <c r="C3009" t="s">
        <v>128</v>
      </c>
      <c r="D3009" t="s">
        <v>96</v>
      </c>
      <c r="E3009" t="s">
        <v>55</v>
      </c>
      <c r="F3009">
        <v>0</v>
      </c>
      <c r="G3009">
        <v>1293</v>
      </c>
      <c r="H3009">
        <v>1</v>
      </c>
      <c r="I3009" t="s">
        <v>178</v>
      </c>
      <c r="J3009">
        <v>4</v>
      </c>
      <c r="K3009" s="6">
        <v>16.29</v>
      </c>
      <c r="L3009" t="s">
        <v>174</v>
      </c>
      <c r="M3009">
        <v>0</v>
      </c>
      <c r="N3009" t="s">
        <v>175</v>
      </c>
      <c r="O3009">
        <v>1</v>
      </c>
      <c r="P3009">
        <v>1</v>
      </c>
      <c r="Q3009" s="6">
        <v>20.8</v>
      </c>
      <c r="R3009">
        <v>0</v>
      </c>
      <c r="S3009" s="6">
        <v>0</v>
      </c>
      <c r="T3009">
        <v>0</v>
      </c>
      <c r="U3009" s="6">
        <v>1665</v>
      </c>
      <c r="V3009">
        <v>0</v>
      </c>
      <c r="W3009">
        <v>0</v>
      </c>
      <c r="X3009">
        <v>0</v>
      </c>
      <c r="Y3009" s="6">
        <v>46.7</v>
      </c>
      <c r="Z3009">
        <v>5.0000000000000001E-3</v>
      </c>
      <c r="AA3009">
        <v>0.106</v>
      </c>
      <c r="AB3009">
        <v>8.3000000000000004E-2</v>
      </c>
      <c r="AC3009">
        <v>5</v>
      </c>
      <c r="AD3009" s="6">
        <v>66</v>
      </c>
      <c r="AE3009" s="6">
        <v>0</v>
      </c>
      <c r="AF3009" s="6">
        <v>0</v>
      </c>
      <c r="AG3009" s="6">
        <v>158.03</v>
      </c>
      <c r="AH3009" s="6">
        <v>201.19</v>
      </c>
      <c r="AI3009" s="6">
        <f t="shared" si="92"/>
        <v>43.16</v>
      </c>
      <c r="AJ3009" s="5">
        <f t="shared" si="93"/>
        <v>0.2145235846712063</v>
      </c>
    </row>
    <row r="3010" spans="1:36">
      <c r="A3010" t="s">
        <v>481</v>
      </c>
      <c r="B3010" t="s">
        <v>3295</v>
      </c>
      <c r="C3010" t="s">
        <v>128</v>
      </c>
      <c r="D3010" t="s">
        <v>96</v>
      </c>
      <c r="E3010" t="s">
        <v>55</v>
      </c>
      <c r="F3010">
        <v>0</v>
      </c>
      <c r="G3010">
        <v>1293</v>
      </c>
      <c r="H3010">
        <v>1</v>
      </c>
      <c r="I3010" t="s">
        <v>178</v>
      </c>
      <c r="J3010">
        <v>4</v>
      </c>
      <c r="K3010" s="6">
        <v>15.96</v>
      </c>
      <c r="L3010" t="s">
        <v>174</v>
      </c>
      <c r="M3010">
        <v>0</v>
      </c>
      <c r="N3010" t="s">
        <v>187</v>
      </c>
      <c r="O3010">
        <v>2</v>
      </c>
      <c r="P3010">
        <v>0</v>
      </c>
      <c r="Q3010" s="6">
        <v>47.5</v>
      </c>
      <c r="R3010">
        <v>0</v>
      </c>
      <c r="S3010" s="6">
        <v>0</v>
      </c>
      <c r="T3010">
        <v>0</v>
      </c>
      <c r="U3010" s="6">
        <v>16184</v>
      </c>
      <c r="V3010">
        <v>0</v>
      </c>
      <c r="W3010">
        <v>0</v>
      </c>
      <c r="X3010">
        <v>0</v>
      </c>
      <c r="Y3010" s="6">
        <v>46.7</v>
      </c>
      <c r="Z3010">
        <v>5.0000000000000001E-3</v>
      </c>
      <c r="AA3010">
        <v>0.106</v>
      </c>
      <c r="AB3010">
        <v>8.3000000000000004E-2</v>
      </c>
      <c r="AC3010">
        <v>5</v>
      </c>
      <c r="AD3010" s="6">
        <v>66</v>
      </c>
      <c r="AE3010" s="6">
        <v>0</v>
      </c>
      <c r="AF3010" s="6">
        <v>0</v>
      </c>
      <c r="AG3010" s="6">
        <v>131.21</v>
      </c>
      <c r="AH3010" s="6">
        <v>165.09</v>
      </c>
      <c r="AI3010" s="6">
        <f t="shared" ref="AI3010:AI3073" si="94">AH3010-AG3010</f>
        <v>33.879999999999995</v>
      </c>
      <c r="AJ3010" s="5">
        <f t="shared" ref="AJ3010:AJ3073" si="95">IFERROR(AI3010/AH3010,0)</f>
        <v>0.20522139439093826</v>
      </c>
    </row>
    <row r="3011" spans="1:36">
      <c r="A3011" t="s">
        <v>279</v>
      </c>
      <c r="B3011" t="s">
        <v>3296</v>
      </c>
      <c r="C3011" t="s">
        <v>128</v>
      </c>
      <c r="D3011" t="s">
        <v>96</v>
      </c>
      <c r="E3011" t="s">
        <v>55</v>
      </c>
      <c r="F3011">
        <v>0</v>
      </c>
      <c r="G3011">
        <v>1293</v>
      </c>
      <c r="H3011">
        <v>1</v>
      </c>
      <c r="I3011" t="s">
        <v>220</v>
      </c>
      <c r="J3011">
        <v>2</v>
      </c>
      <c r="K3011" s="6">
        <v>5.0199999999999996</v>
      </c>
      <c r="L3011" t="s">
        <v>174</v>
      </c>
      <c r="M3011">
        <v>0</v>
      </c>
      <c r="N3011" t="s">
        <v>182</v>
      </c>
      <c r="O3011">
        <v>3</v>
      </c>
      <c r="P3011">
        <v>0</v>
      </c>
      <c r="Q3011" s="6">
        <v>96</v>
      </c>
      <c r="R3011">
        <v>1</v>
      </c>
      <c r="S3011" s="6">
        <v>3309</v>
      </c>
      <c r="T3011">
        <v>0</v>
      </c>
      <c r="U3011" s="6">
        <v>1343</v>
      </c>
      <c r="V3011">
        <v>0</v>
      </c>
      <c r="W3011">
        <v>0</v>
      </c>
      <c r="X3011">
        <v>0</v>
      </c>
      <c r="Y3011" s="6">
        <v>46.7</v>
      </c>
      <c r="Z3011">
        <v>5.0000000000000001E-3</v>
      </c>
      <c r="AA3011">
        <v>0.106</v>
      </c>
      <c r="AB3011">
        <v>8.3000000000000004E-2</v>
      </c>
      <c r="AC3011">
        <v>5</v>
      </c>
      <c r="AD3011" s="6">
        <v>51</v>
      </c>
      <c r="AE3011" s="6">
        <v>40</v>
      </c>
      <c r="AF3011" s="6">
        <v>0</v>
      </c>
      <c r="AG3011" s="6">
        <v>74.489999999999995</v>
      </c>
      <c r="AH3011" s="6">
        <v>95.83</v>
      </c>
      <c r="AI3011" s="6">
        <f t="shared" si="94"/>
        <v>21.340000000000003</v>
      </c>
      <c r="AJ3011" s="5">
        <f t="shared" si="95"/>
        <v>0.22268600646979028</v>
      </c>
    </row>
    <row r="3012" spans="1:36">
      <c r="A3012" t="s">
        <v>512</v>
      </c>
      <c r="B3012" t="s">
        <v>3297</v>
      </c>
      <c r="C3012" t="s">
        <v>128</v>
      </c>
      <c r="D3012" t="s">
        <v>96</v>
      </c>
      <c r="E3012" t="s">
        <v>55</v>
      </c>
      <c r="F3012">
        <v>0</v>
      </c>
      <c r="G3012">
        <v>1293</v>
      </c>
      <c r="H3012">
        <v>1</v>
      </c>
      <c r="I3012" t="s">
        <v>178</v>
      </c>
      <c r="J3012">
        <v>4</v>
      </c>
      <c r="K3012" s="6">
        <v>11.31</v>
      </c>
      <c r="L3012" t="s">
        <v>174</v>
      </c>
      <c r="M3012">
        <v>0</v>
      </c>
      <c r="N3012" t="s">
        <v>187</v>
      </c>
      <c r="O3012">
        <v>2</v>
      </c>
      <c r="P3012">
        <v>0</v>
      </c>
      <c r="Q3012" s="6">
        <v>52.2</v>
      </c>
      <c r="R3012">
        <v>0</v>
      </c>
      <c r="S3012" s="6">
        <v>0</v>
      </c>
      <c r="T3012">
        <v>0</v>
      </c>
      <c r="U3012" s="6">
        <v>4316</v>
      </c>
      <c r="V3012">
        <v>0</v>
      </c>
      <c r="W3012">
        <v>0</v>
      </c>
      <c r="X3012">
        <v>0</v>
      </c>
      <c r="Y3012" s="6">
        <v>46.7</v>
      </c>
      <c r="Z3012">
        <v>5.0000000000000001E-3</v>
      </c>
      <c r="AA3012">
        <v>0.106</v>
      </c>
      <c r="AB3012">
        <v>8.3000000000000004E-2</v>
      </c>
      <c r="AC3012">
        <v>5</v>
      </c>
      <c r="AD3012" s="6">
        <v>66</v>
      </c>
      <c r="AE3012" s="6">
        <v>0</v>
      </c>
      <c r="AF3012" s="6">
        <v>0</v>
      </c>
      <c r="AG3012" s="6">
        <v>121.06</v>
      </c>
      <c r="AH3012" s="6">
        <v>156</v>
      </c>
      <c r="AI3012" s="6">
        <f t="shared" si="94"/>
        <v>34.94</v>
      </c>
      <c r="AJ3012" s="5">
        <f t="shared" si="95"/>
        <v>0.22397435897435897</v>
      </c>
    </row>
    <row r="3013" spans="1:36">
      <c r="A3013" t="s">
        <v>201</v>
      </c>
      <c r="B3013" t="s">
        <v>3298</v>
      </c>
      <c r="C3013" t="s">
        <v>128</v>
      </c>
      <c r="D3013" t="s">
        <v>96</v>
      </c>
      <c r="E3013" t="s">
        <v>55</v>
      </c>
      <c r="F3013">
        <v>0</v>
      </c>
      <c r="G3013">
        <v>1293</v>
      </c>
      <c r="H3013">
        <v>1</v>
      </c>
      <c r="I3013" t="s">
        <v>178</v>
      </c>
      <c r="J3013">
        <v>4</v>
      </c>
      <c r="K3013" s="6">
        <v>15.75</v>
      </c>
      <c r="L3013" t="s">
        <v>174</v>
      </c>
      <c r="M3013">
        <v>0</v>
      </c>
      <c r="N3013" t="s">
        <v>187</v>
      </c>
      <c r="O3013">
        <v>2</v>
      </c>
      <c r="P3013">
        <v>0</v>
      </c>
      <c r="Q3013" s="6">
        <v>59.8</v>
      </c>
      <c r="R3013">
        <v>1</v>
      </c>
      <c r="S3013" s="6">
        <v>5531</v>
      </c>
      <c r="T3013">
        <v>0</v>
      </c>
      <c r="U3013" s="6">
        <v>1788</v>
      </c>
      <c r="V3013">
        <v>0</v>
      </c>
      <c r="W3013">
        <v>0</v>
      </c>
      <c r="X3013">
        <v>0</v>
      </c>
      <c r="Y3013" s="6">
        <v>46.7</v>
      </c>
      <c r="Z3013">
        <v>5.0000000000000001E-3</v>
      </c>
      <c r="AA3013">
        <v>0.106</v>
      </c>
      <c r="AB3013">
        <v>8.3000000000000004E-2</v>
      </c>
      <c r="AC3013">
        <v>5</v>
      </c>
      <c r="AD3013" s="6">
        <v>66</v>
      </c>
      <c r="AE3013" s="6">
        <v>50</v>
      </c>
      <c r="AF3013" s="6">
        <v>0</v>
      </c>
      <c r="AG3013" s="6">
        <v>140.21</v>
      </c>
      <c r="AH3013" s="6">
        <v>175.52</v>
      </c>
      <c r="AI3013" s="6">
        <f t="shared" si="94"/>
        <v>35.31</v>
      </c>
      <c r="AJ3013" s="5">
        <f t="shared" si="95"/>
        <v>0.20117365542388332</v>
      </c>
    </row>
    <row r="3014" spans="1:36">
      <c r="A3014" t="s">
        <v>188</v>
      </c>
      <c r="B3014" t="s">
        <v>3299</v>
      </c>
      <c r="C3014" t="s">
        <v>128</v>
      </c>
      <c r="D3014" t="s">
        <v>96</v>
      </c>
      <c r="E3014" t="s">
        <v>55</v>
      </c>
      <c r="F3014">
        <v>0</v>
      </c>
      <c r="G3014">
        <v>1293</v>
      </c>
      <c r="H3014">
        <v>1</v>
      </c>
      <c r="I3014" t="s">
        <v>178</v>
      </c>
      <c r="J3014">
        <v>4</v>
      </c>
      <c r="K3014" s="6">
        <v>16.23</v>
      </c>
      <c r="L3014" t="s">
        <v>174</v>
      </c>
      <c r="M3014">
        <v>0</v>
      </c>
      <c r="N3014" t="s">
        <v>175</v>
      </c>
      <c r="O3014">
        <v>1</v>
      </c>
      <c r="P3014">
        <v>0</v>
      </c>
      <c r="Q3014" s="6">
        <v>40.9</v>
      </c>
      <c r="R3014">
        <v>0</v>
      </c>
      <c r="S3014" s="6">
        <v>0</v>
      </c>
      <c r="T3014">
        <v>0</v>
      </c>
      <c r="U3014" s="6">
        <v>6201</v>
      </c>
      <c r="V3014">
        <v>0</v>
      </c>
      <c r="W3014">
        <v>0</v>
      </c>
      <c r="X3014">
        <v>0</v>
      </c>
      <c r="Y3014" s="6">
        <v>46.7</v>
      </c>
      <c r="Z3014">
        <v>5.0000000000000001E-3</v>
      </c>
      <c r="AA3014">
        <v>0.106</v>
      </c>
      <c r="AB3014">
        <v>8.3000000000000004E-2</v>
      </c>
      <c r="AC3014">
        <v>5</v>
      </c>
      <c r="AD3014" s="6">
        <v>66</v>
      </c>
      <c r="AE3014" s="6">
        <v>0</v>
      </c>
      <c r="AF3014" s="6">
        <v>0</v>
      </c>
      <c r="AG3014" s="6">
        <v>133.65</v>
      </c>
      <c r="AH3014" s="6">
        <v>167.47</v>
      </c>
      <c r="AI3014" s="6">
        <f t="shared" si="94"/>
        <v>33.819999999999993</v>
      </c>
      <c r="AJ3014" s="5">
        <f t="shared" si="95"/>
        <v>0.20194661730459182</v>
      </c>
    </row>
    <row r="3015" spans="1:36">
      <c r="A3015" t="s">
        <v>263</v>
      </c>
      <c r="B3015" t="s">
        <v>3300</v>
      </c>
      <c r="C3015" t="s">
        <v>128</v>
      </c>
      <c r="D3015" t="s">
        <v>96</v>
      </c>
      <c r="E3015" t="s">
        <v>55</v>
      </c>
      <c r="F3015">
        <v>0</v>
      </c>
      <c r="G3015">
        <v>1293</v>
      </c>
      <c r="H3015">
        <v>1</v>
      </c>
      <c r="I3015" t="s">
        <v>220</v>
      </c>
      <c r="J3015">
        <v>2</v>
      </c>
      <c r="K3015" s="6">
        <v>2.0099999999999998</v>
      </c>
      <c r="L3015" t="s">
        <v>174</v>
      </c>
      <c r="M3015">
        <v>0</v>
      </c>
      <c r="N3015" t="s">
        <v>187</v>
      </c>
      <c r="O3015">
        <v>2</v>
      </c>
      <c r="P3015">
        <v>0</v>
      </c>
      <c r="Q3015" s="6">
        <v>47.3</v>
      </c>
      <c r="R3015">
        <v>1</v>
      </c>
      <c r="S3015" s="6">
        <v>2943</v>
      </c>
      <c r="T3015">
        <v>0</v>
      </c>
      <c r="U3015" s="6">
        <v>6027</v>
      </c>
      <c r="V3015">
        <v>0</v>
      </c>
      <c r="W3015">
        <v>0</v>
      </c>
      <c r="X3015">
        <v>0</v>
      </c>
      <c r="Y3015" s="6">
        <v>46.7</v>
      </c>
      <c r="Z3015">
        <v>5.0000000000000001E-3</v>
      </c>
      <c r="AA3015">
        <v>0.106</v>
      </c>
      <c r="AB3015">
        <v>8.3000000000000004E-2</v>
      </c>
      <c r="AC3015">
        <v>5</v>
      </c>
      <c r="AD3015" s="6">
        <v>51</v>
      </c>
      <c r="AE3015" s="6">
        <v>40</v>
      </c>
      <c r="AF3015" s="6">
        <v>0</v>
      </c>
      <c r="AG3015" s="6">
        <v>67.739999999999995</v>
      </c>
      <c r="AH3015" s="6">
        <v>87.77</v>
      </c>
      <c r="AI3015" s="6">
        <f t="shared" si="94"/>
        <v>20.03</v>
      </c>
      <c r="AJ3015" s="5">
        <f t="shared" si="95"/>
        <v>0.22821009456534125</v>
      </c>
    </row>
    <row r="3016" spans="1:36">
      <c r="A3016" t="s">
        <v>537</v>
      </c>
      <c r="B3016" t="s">
        <v>3301</v>
      </c>
      <c r="C3016" t="s">
        <v>128</v>
      </c>
      <c r="D3016" t="s">
        <v>96</v>
      </c>
      <c r="E3016" t="s">
        <v>55</v>
      </c>
      <c r="F3016">
        <v>0</v>
      </c>
      <c r="G3016">
        <v>1293</v>
      </c>
      <c r="H3016">
        <v>1</v>
      </c>
      <c r="I3016" t="s">
        <v>173</v>
      </c>
      <c r="J3016">
        <v>1</v>
      </c>
      <c r="K3016" s="6">
        <v>2.75</v>
      </c>
      <c r="L3016" t="s">
        <v>174</v>
      </c>
      <c r="M3016">
        <v>0</v>
      </c>
      <c r="N3016" t="s">
        <v>175</v>
      </c>
      <c r="O3016">
        <v>1</v>
      </c>
      <c r="P3016">
        <v>0</v>
      </c>
      <c r="Q3016" s="6">
        <v>26.6</v>
      </c>
      <c r="R3016">
        <v>0</v>
      </c>
      <c r="S3016" s="6">
        <v>0</v>
      </c>
      <c r="T3016">
        <v>0</v>
      </c>
      <c r="U3016" s="6">
        <v>1943</v>
      </c>
      <c r="V3016">
        <v>0</v>
      </c>
      <c r="W3016">
        <v>0</v>
      </c>
      <c r="X3016">
        <v>0</v>
      </c>
      <c r="Y3016" s="6">
        <v>46.7</v>
      </c>
      <c r="Z3016">
        <v>5.0000000000000001E-3</v>
      </c>
      <c r="AA3016">
        <v>0.106</v>
      </c>
      <c r="AB3016">
        <v>8.3000000000000004E-2</v>
      </c>
      <c r="AC3016">
        <v>5</v>
      </c>
      <c r="AD3016" s="6">
        <v>51</v>
      </c>
      <c r="AE3016" s="6">
        <v>0</v>
      </c>
      <c r="AF3016" s="6">
        <v>0</v>
      </c>
      <c r="AG3016" s="6">
        <v>51.47</v>
      </c>
      <c r="AH3016" s="6">
        <v>68.56</v>
      </c>
      <c r="AI3016" s="6">
        <f t="shared" si="94"/>
        <v>17.090000000000003</v>
      </c>
      <c r="AJ3016" s="5">
        <f t="shared" si="95"/>
        <v>0.24927071178529758</v>
      </c>
    </row>
    <row r="3017" spans="1:36">
      <c r="A3017" t="s">
        <v>221</v>
      </c>
      <c r="B3017" t="s">
        <v>3302</v>
      </c>
      <c r="C3017" t="s">
        <v>128</v>
      </c>
      <c r="D3017" t="s">
        <v>96</v>
      </c>
      <c r="E3017" t="s">
        <v>55</v>
      </c>
      <c r="F3017">
        <v>0</v>
      </c>
      <c r="G3017">
        <v>1293</v>
      </c>
      <c r="H3017">
        <v>1</v>
      </c>
      <c r="I3017" t="s">
        <v>173</v>
      </c>
      <c r="J3017">
        <v>1</v>
      </c>
      <c r="K3017" s="6">
        <v>2.1800000000000002</v>
      </c>
      <c r="L3017" t="s">
        <v>174</v>
      </c>
      <c r="M3017">
        <v>0</v>
      </c>
      <c r="N3017" t="s">
        <v>187</v>
      </c>
      <c r="O3017">
        <v>2</v>
      </c>
      <c r="P3017">
        <v>0</v>
      </c>
      <c r="Q3017" s="6">
        <v>47.3</v>
      </c>
      <c r="R3017">
        <v>0</v>
      </c>
      <c r="S3017" s="6">
        <v>0</v>
      </c>
      <c r="T3017">
        <v>0</v>
      </c>
      <c r="U3017" s="6">
        <v>9988</v>
      </c>
      <c r="V3017">
        <v>0</v>
      </c>
      <c r="W3017">
        <v>0</v>
      </c>
      <c r="X3017">
        <v>0</v>
      </c>
      <c r="Y3017" s="6">
        <v>46.7</v>
      </c>
      <c r="Z3017">
        <v>5.0000000000000001E-3</v>
      </c>
      <c r="AA3017">
        <v>0.106</v>
      </c>
      <c r="AB3017">
        <v>8.3000000000000004E-2</v>
      </c>
      <c r="AC3017">
        <v>5</v>
      </c>
      <c r="AD3017" s="6">
        <v>51</v>
      </c>
      <c r="AE3017" s="6">
        <v>0</v>
      </c>
      <c r="AF3017" s="6">
        <v>0</v>
      </c>
      <c r="AG3017" s="6">
        <v>56.25</v>
      </c>
      <c r="AH3017" s="6">
        <v>70.98</v>
      </c>
      <c r="AI3017" s="6">
        <f t="shared" si="94"/>
        <v>14.730000000000004</v>
      </c>
      <c r="AJ3017" s="5">
        <f t="shared" si="95"/>
        <v>0.2075232459847845</v>
      </c>
    </row>
    <row r="3018" spans="1:36">
      <c r="A3018" t="s">
        <v>602</v>
      </c>
      <c r="B3018" t="s">
        <v>3303</v>
      </c>
      <c r="C3018" t="s">
        <v>128</v>
      </c>
      <c r="D3018" t="s">
        <v>96</v>
      </c>
      <c r="E3018" t="s">
        <v>55</v>
      </c>
      <c r="F3018">
        <v>0</v>
      </c>
      <c r="G3018">
        <v>1293</v>
      </c>
      <c r="H3018">
        <v>1</v>
      </c>
      <c r="I3018" t="s">
        <v>178</v>
      </c>
      <c r="J3018">
        <v>4</v>
      </c>
      <c r="K3018" s="6">
        <v>12.14</v>
      </c>
      <c r="L3018" t="s">
        <v>174</v>
      </c>
      <c r="M3018">
        <v>0</v>
      </c>
      <c r="N3018" t="s">
        <v>175</v>
      </c>
      <c r="O3018">
        <v>1</v>
      </c>
      <c r="P3018">
        <v>0</v>
      </c>
      <c r="Q3018" s="6">
        <v>36.799999999999997</v>
      </c>
      <c r="R3018">
        <v>1</v>
      </c>
      <c r="S3018" s="6">
        <v>2685</v>
      </c>
      <c r="T3018">
        <v>0</v>
      </c>
      <c r="U3018" s="6">
        <v>2749</v>
      </c>
      <c r="V3018">
        <v>0</v>
      </c>
      <c r="W3018">
        <v>0</v>
      </c>
      <c r="X3018">
        <v>0</v>
      </c>
      <c r="Y3018" s="6">
        <v>46.7</v>
      </c>
      <c r="Z3018">
        <v>5.0000000000000001E-3</v>
      </c>
      <c r="AA3018">
        <v>0.106</v>
      </c>
      <c r="AB3018">
        <v>8.3000000000000004E-2</v>
      </c>
      <c r="AC3018">
        <v>5</v>
      </c>
      <c r="AD3018" s="6">
        <v>66</v>
      </c>
      <c r="AE3018" s="6">
        <v>40</v>
      </c>
      <c r="AF3018" s="6">
        <v>0</v>
      </c>
      <c r="AG3018" s="6">
        <v>129.4</v>
      </c>
      <c r="AH3018" s="6">
        <v>165</v>
      </c>
      <c r="AI3018" s="6">
        <f t="shared" si="94"/>
        <v>35.599999999999994</v>
      </c>
      <c r="AJ3018" s="5">
        <f t="shared" si="95"/>
        <v>0.21575757575757573</v>
      </c>
    </row>
    <row r="3019" spans="1:36">
      <c r="A3019" t="s">
        <v>360</v>
      </c>
      <c r="B3019" t="s">
        <v>3304</v>
      </c>
      <c r="C3019" t="s">
        <v>128</v>
      </c>
      <c r="D3019" t="s">
        <v>96</v>
      </c>
      <c r="E3019" t="s">
        <v>55</v>
      </c>
      <c r="F3019">
        <v>0</v>
      </c>
      <c r="G3019">
        <v>1293</v>
      </c>
      <c r="H3019">
        <v>1</v>
      </c>
      <c r="I3019" t="s">
        <v>220</v>
      </c>
      <c r="J3019">
        <v>2</v>
      </c>
      <c r="K3019" s="6">
        <v>2.2799999999999998</v>
      </c>
      <c r="L3019" t="s">
        <v>174</v>
      </c>
      <c r="M3019">
        <v>0</v>
      </c>
      <c r="N3019" t="s">
        <v>175</v>
      </c>
      <c r="O3019">
        <v>1</v>
      </c>
      <c r="P3019">
        <v>0</v>
      </c>
      <c r="Q3019" s="6">
        <v>29.1</v>
      </c>
      <c r="R3019">
        <v>1</v>
      </c>
      <c r="S3019" s="6">
        <v>3545</v>
      </c>
      <c r="T3019">
        <v>0</v>
      </c>
      <c r="U3019" s="6">
        <v>3901</v>
      </c>
      <c r="V3019">
        <v>0</v>
      </c>
      <c r="W3019">
        <v>0</v>
      </c>
      <c r="X3019">
        <v>0</v>
      </c>
      <c r="Y3019" s="6">
        <v>46.7</v>
      </c>
      <c r="Z3019">
        <v>5.0000000000000001E-3</v>
      </c>
      <c r="AA3019">
        <v>0.106</v>
      </c>
      <c r="AB3019">
        <v>8.3000000000000004E-2</v>
      </c>
      <c r="AC3019">
        <v>5</v>
      </c>
      <c r="AD3019" s="6">
        <v>51</v>
      </c>
      <c r="AE3019" s="6">
        <v>40</v>
      </c>
      <c r="AF3019" s="6">
        <v>0</v>
      </c>
      <c r="AG3019" s="6">
        <v>58.55</v>
      </c>
      <c r="AH3019" s="6">
        <v>77.55</v>
      </c>
      <c r="AI3019" s="6">
        <f t="shared" si="94"/>
        <v>19</v>
      </c>
      <c r="AJ3019" s="5">
        <f t="shared" si="95"/>
        <v>0.245003223726628</v>
      </c>
    </row>
    <row r="3020" spans="1:36">
      <c r="A3020" t="s">
        <v>269</v>
      </c>
      <c r="B3020" t="s">
        <v>3305</v>
      </c>
      <c r="C3020" t="s">
        <v>128</v>
      </c>
      <c r="D3020" t="s">
        <v>96</v>
      </c>
      <c r="E3020" t="s">
        <v>55</v>
      </c>
      <c r="F3020">
        <v>0</v>
      </c>
      <c r="G3020">
        <v>1293</v>
      </c>
      <c r="H3020">
        <v>1</v>
      </c>
      <c r="I3020" t="s">
        <v>173</v>
      </c>
      <c r="J3020">
        <v>1</v>
      </c>
      <c r="K3020" s="6">
        <v>1.6</v>
      </c>
      <c r="L3020" t="s">
        <v>174</v>
      </c>
      <c r="M3020">
        <v>0</v>
      </c>
      <c r="N3020" t="s">
        <v>272</v>
      </c>
      <c r="O3020">
        <v>5</v>
      </c>
      <c r="P3020">
        <v>1</v>
      </c>
      <c r="Q3020" s="6">
        <v>287.8</v>
      </c>
      <c r="R3020">
        <v>0</v>
      </c>
      <c r="S3020" s="6">
        <v>0</v>
      </c>
      <c r="T3020">
        <v>0</v>
      </c>
      <c r="U3020" s="6">
        <v>5658</v>
      </c>
      <c r="V3020">
        <v>0</v>
      </c>
      <c r="W3020">
        <v>0</v>
      </c>
      <c r="X3020">
        <v>0</v>
      </c>
      <c r="Y3020" s="6">
        <v>46.7</v>
      </c>
      <c r="Z3020">
        <v>5.0000000000000001E-3</v>
      </c>
      <c r="AA3020">
        <v>0.106</v>
      </c>
      <c r="AB3020">
        <v>8.3000000000000004E-2</v>
      </c>
      <c r="AC3020">
        <v>5</v>
      </c>
      <c r="AD3020" s="6">
        <v>51</v>
      </c>
      <c r="AE3020" s="6">
        <v>0</v>
      </c>
      <c r="AF3020" s="6">
        <v>0</v>
      </c>
      <c r="AG3020" s="6">
        <v>142.97999999999999</v>
      </c>
      <c r="AH3020" s="6">
        <v>182.85</v>
      </c>
      <c r="AI3020" s="6">
        <f t="shared" si="94"/>
        <v>39.870000000000005</v>
      </c>
      <c r="AJ3020" s="5">
        <f t="shared" si="95"/>
        <v>0.21804757998359314</v>
      </c>
    </row>
    <row r="3021" spans="1:36">
      <c r="A3021" t="s">
        <v>319</v>
      </c>
      <c r="B3021" t="s">
        <v>3306</v>
      </c>
      <c r="C3021" t="s">
        <v>128</v>
      </c>
      <c r="D3021" t="s">
        <v>96</v>
      </c>
      <c r="E3021" t="s">
        <v>55</v>
      </c>
      <c r="F3021">
        <v>0</v>
      </c>
      <c r="G3021">
        <v>1293</v>
      </c>
      <c r="H3021">
        <v>1</v>
      </c>
      <c r="I3021" t="s">
        <v>173</v>
      </c>
      <c r="J3021">
        <v>1</v>
      </c>
      <c r="K3021" s="6">
        <v>1.08</v>
      </c>
      <c r="L3021" t="s">
        <v>174</v>
      </c>
      <c r="M3021">
        <v>0</v>
      </c>
      <c r="N3021" t="s">
        <v>182</v>
      </c>
      <c r="O3021">
        <v>3</v>
      </c>
      <c r="P3021">
        <v>0</v>
      </c>
      <c r="Q3021" s="6">
        <v>116.3</v>
      </c>
      <c r="R3021">
        <v>1</v>
      </c>
      <c r="S3021" s="6">
        <v>2085</v>
      </c>
      <c r="T3021">
        <v>0</v>
      </c>
      <c r="U3021" s="6">
        <v>2789</v>
      </c>
      <c r="V3021">
        <v>0</v>
      </c>
      <c r="W3021">
        <v>0</v>
      </c>
      <c r="X3021">
        <v>0</v>
      </c>
      <c r="Y3021" s="6">
        <v>46.7</v>
      </c>
      <c r="Z3021">
        <v>5.0000000000000001E-3</v>
      </c>
      <c r="AA3021">
        <v>0.106</v>
      </c>
      <c r="AB3021">
        <v>8.3000000000000004E-2</v>
      </c>
      <c r="AC3021">
        <v>5</v>
      </c>
      <c r="AD3021" s="6">
        <v>51</v>
      </c>
      <c r="AE3021" s="6">
        <v>40</v>
      </c>
      <c r="AF3021" s="6">
        <v>0</v>
      </c>
      <c r="AG3021" s="6">
        <v>66.08</v>
      </c>
      <c r="AH3021" s="6">
        <v>86.76</v>
      </c>
      <c r="AI3021" s="6">
        <f t="shared" si="94"/>
        <v>20.680000000000007</v>
      </c>
      <c r="AJ3021" s="5">
        <f t="shared" si="95"/>
        <v>0.23835869064084839</v>
      </c>
    </row>
    <row r="3022" spans="1:36">
      <c r="A3022" t="s">
        <v>258</v>
      </c>
      <c r="B3022" t="s">
        <v>3307</v>
      </c>
      <c r="C3022" t="s">
        <v>128</v>
      </c>
      <c r="D3022" t="s">
        <v>96</v>
      </c>
      <c r="E3022" t="s">
        <v>55</v>
      </c>
      <c r="F3022">
        <v>0</v>
      </c>
      <c r="G3022">
        <v>1293</v>
      </c>
      <c r="H3022">
        <v>1</v>
      </c>
      <c r="I3022" t="s">
        <v>173</v>
      </c>
      <c r="J3022">
        <v>1</v>
      </c>
      <c r="K3022" s="6">
        <v>1.74</v>
      </c>
      <c r="L3022" t="s">
        <v>174</v>
      </c>
      <c r="M3022">
        <v>0</v>
      </c>
      <c r="N3022" t="s">
        <v>187</v>
      </c>
      <c r="O3022">
        <v>2</v>
      </c>
      <c r="P3022">
        <v>0</v>
      </c>
      <c r="Q3022" s="6">
        <v>41.2</v>
      </c>
      <c r="R3022">
        <v>0</v>
      </c>
      <c r="S3022" s="6">
        <v>0</v>
      </c>
      <c r="T3022">
        <v>0</v>
      </c>
      <c r="U3022" s="6">
        <v>1153</v>
      </c>
      <c r="V3022">
        <v>0</v>
      </c>
      <c r="W3022">
        <v>0</v>
      </c>
      <c r="X3022">
        <v>0</v>
      </c>
      <c r="Y3022" s="6">
        <v>46.7</v>
      </c>
      <c r="Z3022">
        <v>5.0000000000000001E-3</v>
      </c>
      <c r="AA3022">
        <v>0.106</v>
      </c>
      <c r="AB3022">
        <v>8.3000000000000004E-2</v>
      </c>
      <c r="AC3022">
        <v>5</v>
      </c>
      <c r="AD3022" s="6">
        <v>51</v>
      </c>
      <c r="AE3022" s="6">
        <v>0</v>
      </c>
      <c r="AF3022" s="6">
        <v>0</v>
      </c>
      <c r="AG3022" s="6">
        <v>56.25</v>
      </c>
      <c r="AH3022" s="6">
        <v>71</v>
      </c>
      <c r="AI3022" s="6">
        <f t="shared" si="94"/>
        <v>14.75</v>
      </c>
      <c r="AJ3022" s="5">
        <f t="shared" si="95"/>
        <v>0.20774647887323944</v>
      </c>
    </row>
    <row r="3023" spans="1:36">
      <c r="A3023" t="s">
        <v>316</v>
      </c>
      <c r="B3023" t="s">
        <v>3308</v>
      </c>
      <c r="C3023" t="s">
        <v>128</v>
      </c>
      <c r="D3023" t="s">
        <v>96</v>
      </c>
      <c r="E3023" t="s">
        <v>55</v>
      </c>
      <c r="F3023">
        <v>0</v>
      </c>
      <c r="G3023">
        <v>1293</v>
      </c>
      <c r="H3023">
        <v>1</v>
      </c>
      <c r="I3023" t="s">
        <v>173</v>
      </c>
      <c r="J3023">
        <v>1</v>
      </c>
      <c r="K3023" s="6">
        <v>0.97</v>
      </c>
      <c r="L3023" t="s">
        <v>174</v>
      </c>
      <c r="M3023">
        <v>0</v>
      </c>
      <c r="N3023" t="s">
        <v>187</v>
      </c>
      <c r="O3023">
        <v>2</v>
      </c>
      <c r="P3023">
        <v>0</v>
      </c>
      <c r="Q3023" s="6">
        <v>45.7</v>
      </c>
      <c r="R3023">
        <v>1</v>
      </c>
      <c r="S3023" s="6">
        <v>498</v>
      </c>
      <c r="T3023">
        <v>0</v>
      </c>
      <c r="U3023" s="6">
        <v>3938</v>
      </c>
      <c r="V3023">
        <v>0</v>
      </c>
      <c r="W3023">
        <v>0</v>
      </c>
      <c r="X3023">
        <v>0</v>
      </c>
      <c r="Y3023" s="6">
        <v>46.7</v>
      </c>
      <c r="Z3023">
        <v>5.0000000000000001E-3</v>
      </c>
      <c r="AA3023">
        <v>0.106</v>
      </c>
      <c r="AB3023">
        <v>8.3000000000000004E-2</v>
      </c>
      <c r="AC3023">
        <v>5</v>
      </c>
      <c r="AD3023" s="6">
        <v>51</v>
      </c>
      <c r="AE3023" s="6">
        <v>25</v>
      </c>
      <c r="AF3023" s="6">
        <v>0</v>
      </c>
      <c r="AG3023" s="6">
        <v>56.77</v>
      </c>
      <c r="AH3023" s="6">
        <v>72.81</v>
      </c>
      <c r="AI3023" s="6">
        <f t="shared" si="94"/>
        <v>16.04</v>
      </c>
      <c r="AJ3023" s="5">
        <f t="shared" si="95"/>
        <v>0.22029940942178269</v>
      </c>
    </row>
    <row r="3024" spans="1:36">
      <c r="A3024" t="s">
        <v>319</v>
      </c>
      <c r="B3024" t="s">
        <v>3309</v>
      </c>
      <c r="C3024" t="s">
        <v>128</v>
      </c>
      <c r="D3024" t="s">
        <v>96</v>
      </c>
      <c r="E3024" t="s">
        <v>55</v>
      </c>
      <c r="F3024">
        <v>0</v>
      </c>
      <c r="G3024">
        <v>1293</v>
      </c>
      <c r="H3024">
        <v>1</v>
      </c>
      <c r="I3024" t="s">
        <v>178</v>
      </c>
      <c r="J3024">
        <v>4</v>
      </c>
      <c r="K3024" s="6">
        <v>8.0399999999999991</v>
      </c>
      <c r="L3024" t="s">
        <v>174</v>
      </c>
      <c r="M3024">
        <v>0</v>
      </c>
      <c r="N3024" t="s">
        <v>182</v>
      </c>
      <c r="O3024">
        <v>3</v>
      </c>
      <c r="P3024">
        <v>0</v>
      </c>
      <c r="Q3024" s="6">
        <v>70.900000000000006</v>
      </c>
      <c r="R3024">
        <v>1</v>
      </c>
      <c r="S3024" s="6">
        <v>971</v>
      </c>
      <c r="T3024">
        <v>0</v>
      </c>
      <c r="U3024" s="6">
        <v>3324</v>
      </c>
      <c r="V3024">
        <v>0</v>
      </c>
      <c r="W3024">
        <v>0</v>
      </c>
      <c r="X3024">
        <v>0</v>
      </c>
      <c r="Y3024" s="6">
        <v>46.7</v>
      </c>
      <c r="Z3024">
        <v>5.0000000000000001E-3</v>
      </c>
      <c r="AA3024">
        <v>0.106</v>
      </c>
      <c r="AB3024">
        <v>8.3000000000000004E-2</v>
      </c>
      <c r="AC3024">
        <v>5</v>
      </c>
      <c r="AD3024" s="6">
        <v>66</v>
      </c>
      <c r="AE3024" s="6">
        <v>25</v>
      </c>
      <c r="AF3024" s="6">
        <v>0</v>
      </c>
      <c r="AG3024" s="6">
        <v>125.83</v>
      </c>
      <c r="AH3024" s="6">
        <v>157.91</v>
      </c>
      <c r="AI3024" s="6">
        <f t="shared" si="94"/>
        <v>32.08</v>
      </c>
      <c r="AJ3024" s="5">
        <f t="shared" si="95"/>
        <v>0.20315369514280285</v>
      </c>
    </row>
    <row r="3025" spans="1:36">
      <c r="A3025" t="s">
        <v>236</v>
      </c>
      <c r="B3025" t="s">
        <v>3310</v>
      </c>
      <c r="C3025" t="s">
        <v>128</v>
      </c>
      <c r="D3025" t="s">
        <v>96</v>
      </c>
      <c r="E3025" t="s">
        <v>55</v>
      </c>
      <c r="F3025">
        <v>0</v>
      </c>
      <c r="G3025">
        <v>1293</v>
      </c>
      <c r="H3025">
        <v>1</v>
      </c>
      <c r="I3025" t="s">
        <v>173</v>
      </c>
      <c r="J3025">
        <v>1</v>
      </c>
      <c r="K3025" s="6">
        <v>1.64</v>
      </c>
      <c r="L3025" t="s">
        <v>174</v>
      </c>
      <c r="M3025">
        <v>0</v>
      </c>
      <c r="N3025" t="s">
        <v>175</v>
      </c>
      <c r="O3025">
        <v>1</v>
      </c>
      <c r="P3025">
        <v>0</v>
      </c>
      <c r="Q3025" s="6">
        <v>26.5</v>
      </c>
      <c r="R3025">
        <v>1</v>
      </c>
      <c r="S3025" s="6">
        <v>3666</v>
      </c>
      <c r="T3025">
        <v>0</v>
      </c>
      <c r="U3025" s="6">
        <v>2456</v>
      </c>
      <c r="V3025">
        <v>0</v>
      </c>
      <c r="W3025">
        <v>0</v>
      </c>
      <c r="X3025">
        <v>0</v>
      </c>
      <c r="Y3025" s="6">
        <v>46.7</v>
      </c>
      <c r="Z3025">
        <v>5.0000000000000001E-3</v>
      </c>
      <c r="AA3025">
        <v>0.106</v>
      </c>
      <c r="AB3025">
        <v>8.3000000000000004E-2</v>
      </c>
      <c r="AC3025">
        <v>5</v>
      </c>
      <c r="AD3025" s="6">
        <v>51</v>
      </c>
      <c r="AE3025" s="6">
        <v>40</v>
      </c>
      <c r="AF3025" s="6">
        <v>0</v>
      </c>
      <c r="AG3025" s="6">
        <v>53.36</v>
      </c>
      <c r="AH3025" s="6">
        <v>68.83</v>
      </c>
      <c r="AI3025" s="6">
        <f t="shared" si="94"/>
        <v>15.469999999999999</v>
      </c>
      <c r="AJ3025" s="5">
        <f t="shared" si="95"/>
        <v>0.22475664681098356</v>
      </c>
    </row>
    <row r="3026" spans="1:36">
      <c r="A3026" t="s">
        <v>372</v>
      </c>
      <c r="B3026" t="s">
        <v>3311</v>
      </c>
      <c r="C3026" t="s">
        <v>128</v>
      </c>
      <c r="D3026" t="s">
        <v>96</v>
      </c>
      <c r="E3026" t="s">
        <v>55</v>
      </c>
      <c r="F3026">
        <v>0</v>
      </c>
      <c r="G3026">
        <v>1293</v>
      </c>
      <c r="H3026">
        <v>1</v>
      </c>
      <c r="I3026" t="s">
        <v>178</v>
      </c>
      <c r="J3026">
        <v>4</v>
      </c>
      <c r="K3026" s="6">
        <v>9.5</v>
      </c>
      <c r="L3026" t="s">
        <v>174</v>
      </c>
      <c r="M3026">
        <v>0</v>
      </c>
      <c r="N3026" t="s">
        <v>175</v>
      </c>
      <c r="O3026">
        <v>1</v>
      </c>
      <c r="P3026">
        <v>0</v>
      </c>
      <c r="Q3026" s="6">
        <v>46.7</v>
      </c>
      <c r="R3026">
        <v>1</v>
      </c>
      <c r="S3026" s="6">
        <v>3117</v>
      </c>
      <c r="T3026">
        <v>0</v>
      </c>
      <c r="U3026" s="6">
        <v>1945</v>
      </c>
      <c r="V3026">
        <v>1</v>
      </c>
      <c r="W3026">
        <v>0</v>
      </c>
      <c r="X3026">
        <v>0</v>
      </c>
      <c r="Y3026" s="6">
        <v>46.7</v>
      </c>
      <c r="Z3026">
        <v>5.0000000000000001E-3</v>
      </c>
      <c r="AA3026">
        <v>0.106</v>
      </c>
      <c r="AB3026">
        <v>8.3000000000000004E-2</v>
      </c>
      <c r="AC3026">
        <v>5</v>
      </c>
      <c r="AD3026" s="6">
        <v>66</v>
      </c>
      <c r="AE3026" s="6">
        <v>40</v>
      </c>
      <c r="AF3026" s="6">
        <v>0</v>
      </c>
      <c r="AG3026" s="6">
        <v>153.4</v>
      </c>
      <c r="AH3026" s="6">
        <v>194.79</v>
      </c>
      <c r="AI3026" s="6">
        <f t="shared" si="94"/>
        <v>41.389999999999986</v>
      </c>
      <c r="AJ3026" s="5">
        <f t="shared" si="95"/>
        <v>0.2124852405154268</v>
      </c>
    </row>
    <row r="3027" spans="1:36">
      <c r="A3027" t="s">
        <v>279</v>
      </c>
      <c r="B3027" t="s">
        <v>3312</v>
      </c>
      <c r="C3027" t="s">
        <v>128</v>
      </c>
      <c r="D3027" t="s">
        <v>96</v>
      </c>
      <c r="E3027" t="s">
        <v>55</v>
      </c>
      <c r="F3027">
        <v>0</v>
      </c>
      <c r="G3027">
        <v>1293</v>
      </c>
      <c r="H3027">
        <v>1</v>
      </c>
      <c r="I3027" t="s">
        <v>173</v>
      </c>
      <c r="J3027">
        <v>1</v>
      </c>
      <c r="K3027" s="6">
        <v>1.95</v>
      </c>
      <c r="L3027" t="s">
        <v>174</v>
      </c>
      <c r="M3027">
        <v>0</v>
      </c>
      <c r="N3027" t="s">
        <v>175</v>
      </c>
      <c r="O3027">
        <v>1</v>
      </c>
      <c r="P3027">
        <v>0</v>
      </c>
      <c r="Q3027" s="6">
        <v>43.9</v>
      </c>
      <c r="R3027">
        <v>1</v>
      </c>
      <c r="S3027" s="6">
        <v>5094</v>
      </c>
      <c r="T3027">
        <v>0</v>
      </c>
      <c r="U3027" s="6">
        <v>1155</v>
      </c>
      <c r="V3027">
        <v>0</v>
      </c>
      <c r="W3027">
        <v>1</v>
      </c>
      <c r="X3027">
        <v>0</v>
      </c>
      <c r="Y3027" s="6">
        <v>46.7</v>
      </c>
      <c r="Z3027">
        <v>5.0000000000000001E-3</v>
      </c>
      <c r="AA3027">
        <v>0.106</v>
      </c>
      <c r="AB3027">
        <v>8.3000000000000004E-2</v>
      </c>
      <c r="AC3027">
        <v>5</v>
      </c>
      <c r="AD3027" s="6">
        <v>51</v>
      </c>
      <c r="AE3027" s="6">
        <v>50</v>
      </c>
      <c r="AF3027" s="6">
        <v>0</v>
      </c>
      <c r="AG3027" s="6">
        <v>87.19</v>
      </c>
      <c r="AH3027" s="6">
        <v>111.1</v>
      </c>
      <c r="AI3027" s="6">
        <f t="shared" si="94"/>
        <v>23.909999999999997</v>
      </c>
      <c r="AJ3027" s="5">
        <f t="shared" si="95"/>
        <v>0.2152115211521152</v>
      </c>
    </row>
    <row r="3028" spans="1:36">
      <c r="A3028" t="s">
        <v>171</v>
      </c>
      <c r="B3028" t="s">
        <v>3313</v>
      </c>
      <c r="C3028" t="s">
        <v>128</v>
      </c>
      <c r="D3028" t="s">
        <v>96</v>
      </c>
      <c r="E3028" t="s">
        <v>55</v>
      </c>
      <c r="F3028">
        <v>0</v>
      </c>
      <c r="G3028">
        <v>1293</v>
      </c>
      <c r="H3028">
        <v>1</v>
      </c>
      <c r="I3028" t="s">
        <v>220</v>
      </c>
      <c r="J3028">
        <v>2</v>
      </c>
      <c r="K3028" s="6">
        <v>3.97</v>
      </c>
      <c r="L3028" t="s">
        <v>174</v>
      </c>
      <c r="M3028">
        <v>0</v>
      </c>
      <c r="N3028" t="s">
        <v>182</v>
      </c>
      <c r="O3028">
        <v>3</v>
      </c>
      <c r="P3028">
        <v>0</v>
      </c>
      <c r="Q3028" s="6">
        <v>100.6</v>
      </c>
      <c r="R3028">
        <v>0</v>
      </c>
      <c r="S3028" s="6">
        <v>0</v>
      </c>
      <c r="T3028">
        <v>0</v>
      </c>
      <c r="U3028" s="6">
        <v>2640</v>
      </c>
      <c r="V3028">
        <v>0</v>
      </c>
      <c r="W3028">
        <v>0</v>
      </c>
      <c r="X3028">
        <v>0</v>
      </c>
      <c r="Y3028" s="6">
        <v>46.7</v>
      </c>
      <c r="Z3028">
        <v>5.0000000000000001E-3</v>
      </c>
      <c r="AA3028">
        <v>0.106</v>
      </c>
      <c r="AB3028">
        <v>8.3000000000000004E-2</v>
      </c>
      <c r="AC3028">
        <v>5</v>
      </c>
      <c r="AD3028" s="6">
        <v>51</v>
      </c>
      <c r="AE3028" s="6">
        <v>0</v>
      </c>
      <c r="AF3028" s="6">
        <v>0</v>
      </c>
      <c r="AG3028" s="6">
        <v>68.569999999999993</v>
      </c>
      <c r="AH3028" s="6">
        <v>86.63</v>
      </c>
      <c r="AI3028" s="6">
        <f t="shared" si="94"/>
        <v>18.060000000000002</v>
      </c>
      <c r="AJ3028" s="5">
        <f t="shared" si="95"/>
        <v>0.20847281542190932</v>
      </c>
    </row>
    <row r="3029" spans="1:36">
      <c r="A3029" t="s">
        <v>233</v>
      </c>
      <c r="B3029" t="s">
        <v>3314</v>
      </c>
      <c r="C3029" t="s">
        <v>128</v>
      </c>
      <c r="D3029" t="s">
        <v>96</v>
      </c>
      <c r="E3029" t="s">
        <v>55</v>
      </c>
      <c r="F3029">
        <v>0</v>
      </c>
      <c r="G3029">
        <v>1293</v>
      </c>
      <c r="H3029">
        <v>1</v>
      </c>
      <c r="I3029" t="s">
        <v>178</v>
      </c>
      <c r="J3029">
        <v>4</v>
      </c>
      <c r="K3029" s="6">
        <v>9.83</v>
      </c>
      <c r="L3029" t="s">
        <v>174</v>
      </c>
      <c r="M3029">
        <v>0</v>
      </c>
      <c r="N3029" t="s">
        <v>187</v>
      </c>
      <c r="O3029">
        <v>2</v>
      </c>
      <c r="P3029">
        <v>0</v>
      </c>
      <c r="Q3029" s="6">
        <v>40.6</v>
      </c>
      <c r="R3029">
        <v>1</v>
      </c>
      <c r="S3029" s="6">
        <v>844</v>
      </c>
      <c r="T3029">
        <v>0</v>
      </c>
      <c r="U3029" s="6">
        <v>2041</v>
      </c>
      <c r="V3029">
        <v>0</v>
      </c>
      <c r="W3029">
        <v>0</v>
      </c>
      <c r="X3029">
        <v>0</v>
      </c>
      <c r="Y3029" s="6">
        <v>46.7</v>
      </c>
      <c r="Z3029">
        <v>5.0000000000000001E-3</v>
      </c>
      <c r="AA3029">
        <v>0.106</v>
      </c>
      <c r="AB3029">
        <v>8.3000000000000004E-2</v>
      </c>
      <c r="AC3029">
        <v>5</v>
      </c>
      <c r="AD3029" s="6">
        <v>66</v>
      </c>
      <c r="AE3029" s="6">
        <v>25</v>
      </c>
      <c r="AF3029" s="6">
        <v>0</v>
      </c>
      <c r="AG3029" s="6">
        <v>115.67</v>
      </c>
      <c r="AH3029" s="6">
        <v>145.25</v>
      </c>
      <c r="AI3029" s="6">
        <f t="shared" si="94"/>
        <v>29.58</v>
      </c>
      <c r="AJ3029" s="5">
        <f t="shared" si="95"/>
        <v>0.20364888123924269</v>
      </c>
    </row>
    <row r="3030" spans="1:36">
      <c r="A3030" t="s">
        <v>343</v>
      </c>
      <c r="B3030" t="s">
        <v>3315</v>
      </c>
      <c r="C3030" t="s">
        <v>128</v>
      </c>
      <c r="D3030" t="s">
        <v>96</v>
      </c>
      <c r="E3030" t="s">
        <v>55</v>
      </c>
      <c r="F3030">
        <v>0</v>
      </c>
      <c r="G3030">
        <v>1293</v>
      </c>
      <c r="H3030">
        <v>1</v>
      </c>
      <c r="I3030" t="s">
        <v>220</v>
      </c>
      <c r="J3030">
        <v>2</v>
      </c>
      <c r="K3030" s="6">
        <v>2.77</v>
      </c>
      <c r="L3030" t="s">
        <v>174</v>
      </c>
      <c r="M3030">
        <v>0</v>
      </c>
      <c r="N3030" t="s">
        <v>182</v>
      </c>
      <c r="O3030">
        <v>3</v>
      </c>
      <c r="P3030">
        <v>0</v>
      </c>
      <c r="Q3030" s="6">
        <v>65.400000000000006</v>
      </c>
      <c r="R3030">
        <v>1</v>
      </c>
      <c r="S3030" s="6">
        <v>1470</v>
      </c>
      <c r="T3030">
        <v>0</v>
      </c>
      <c r="U3030" s="6">
        <v>1922</v>
      </c>
      <c r="V3030">
        <v>0</v>
      </c>
      <c r="W3030">
        <v>0</v>
      </c>
      <c r="X3030">
        <v>0</v>
      </c>
      <c r="Y3030" s="6">
        <v>46.7</v>
      </c>
      <c r="Z3030">
        <v>5.0000000000000001E-3</v>
      </c>
      <c r="AA3030">
        <v>0.106</v>
      </c>
      <c r="AB3030">
        <v>8.3000000000000004E-2</v>
      </c>
      <c r="AC3030">
        <v>5</v>
      </c>
      <c r="AD3030" s="6">
        <v>51</v>
      </c>
      <c r="AE3030" s="6">
        <v>25</v>
      </c>
      <c r="AF3030" s="6">
        <v>0</v>
      </c>
      <c r="AG3030" s="6">
        <v>67.11</v>
      </c>
      <c r="AH3030" s="6">
        <v>87.65</v>
      </c>
      <c r="AI3030" s="6">
        <f t="shared" si="94"/>
        <v>20.540000000000006</v>
      </c>
      <c r="AJ3030" s="5">
        <f t="shared" si="95"/>
        <v>0.23434112949229896</v>
      </c>
    </row>
    <row r="3031" spans="1:36">
      <c r="A3031" t="s">
        <v>691</v>
      </c>
      <c r="B3031" t="s">
        <v>3316</v>
      </c>
      <c r="C3031" t="s">
        <v>128</v>
      </c>
      <c r="D3031" t="s">
        <v>96</v>
      </c>
      <c r="E3031" t="s">
        <v>55</v>
      </c>
      <c r="F3031">
        <v>0</v>
      </c>
      <c r="G3031">
        <v>1293</v>
      </c>
      <c r="H3031">
        <v>1</v>
      </c>
      <c r="I3031" t="s">
        <v>178</v>
      </c>
      <c r="J3031">
        <v>4</v>
      </c>
      <c r="K3031" s="6">
        <v>4.22</v>
      </c>
      <c r="L3031" t="s">
        <v>174</v>
      </c>
      <c r="M3031">
        <v>0</v>
      </c>
      <c r="N3031" t="s">
        <v>187</v>
      </c>
      <c r="O3031">
        <v>2</v>
      </c>
      <c r="P3031">
        <v>0</v>
      </c>
      <c r="Q3031" s="6">
        <v>81</v>
      </c>
      <c r="R3031">
        <v>1</v>
      </c>
      <c r="S3031" s="6">
        <v>2311</v>
      </c>
      <c r="T3031">
        <v>0</v>
      </c>
      <c r="U3031" s="6">
        <v>705</v>
      </c>
      <c r="V3031">
        <v>0</v>
      </c>
      <c r="W3031">
        <v>0</v>
      </c>
      <c r="X3031">
        <v>0</v>
      </c>
      <c r="Y3031" s="6">
        <v>46.7</v>
      </c>
      <c r="Z3031">
        <v>5.0000000000000001E-3</v>
      </c>
      <c r="AA3031">
        <v>0.106</v>
      </c>
      <c r="AB3031">
        <v>8.3000000000000004E-2</v>
      </c>
      <c r="AC3031">
        <v>5</v>
      </c>
      <c r="AD3031" s="6">
        <v>66</v>
      </c>
      <c r="AE3031" s="6">
        <v>40</v>
      </c>
      <c r="AF3031" s="6">
        <v>0</v>
      </c>
      <c r="AG3031" s="6">
        <v>93.98</v>
      </c>
      <c r="AH3031" s="6">
        <v>122.07</v>
      </c>
      <c r="AI3031" s="6">
        <f t="shared" si="94"/>
        <v>28.089999999999989</v>
      </c>
      <c r="AJ3031" s="5">
        <f t="shared" si="95"/>
        <v>0.2301138690915048</v>
      </c>
    </row>
    <row r="3032" spans="1:36">
      <c r="A3032" t="s">
        <v>411</v>
      </c>
      <c r="B3032" t="s">
        <v>3317</v>
      </c>
      <c r="C3032" t="s">
        <v>128</v>
      </c>
      <c r="D3032" t="s">
        <v>96</v>
      </c>
      <c r="E3032" t="s">
        <v>55</v>
      </c>
      <c r="F3032">
        <v>0</v>
      </c>
      <c r="G3032">
        <v>1293</v>
      </c>
      <c r="H3032">
        <v>1</v>
      </c>
      <c r="I3032" t="s">
        <v>173</v>
      </c>
      <c r="J3032">
        <v>1</v>
      </c>
      <c r="K3032" s="6">
        <v>1.79</v>
      </c>
      <c r="L3032" t="s">
        <v>174</v>
      </c>
      <c r="M3032">
        <v>0</v>
      </c>
      <c r="N3032" t="s">
        <v>187</v>
      </c>
      <c r="O3032">
        <v>2</v>
      </c>
      <c r="P3032">
        <v>0</v>
      </c>
      <c r="Q3032" s="6">
        <v>65.5</v>
      </c>
      <c r="R3032">
        <v>1</v>
      </c>
      <c r="S3032" s="6">
        <v>2451</v>
      </c>
      <c r="T3032">
        <v>0</v>
      </c>
      <c r="U3032" s="6">
        <v>1160</v>
      </c>
      <c r="V3032">
        <v>0</v>
      </c>
      <c r="W3032">
        <v>0</v>
      </c>
      <c r="X3032">
        <v>0</v>
      </c>
      <c r="Y3032" s="6">
        <v>46.7</v>
      </c>
      <c r="Z3032">
        <v>5.0000000000000001E-3</v>
      </c>
      <c r="AA3032">
        <v>0.106</v>
      </c>
      <c r="AB3032">
        <v>8.3000000000000004E-2</v>
      </c>
      <c r="AC3032">
        <v>5</v>
      </c>
      <c r="AD3032" s="6">
        <v>51</v>
      </c>
      <c r="AE3032" s="6">
        <v>40</v>
      </c>
      <c r="AF3032" s="6">
        <v>0</v>
      </c>
      <c r="AG3032" s="6">
        <v>61.88</v>
      </c>
      <c r="AH3032" s="6">
        <v>79.900000000000006</v>
      </c>
      <c r="AI3032" s="6">
        <f t="shared" si="94"/>
        <v>18.020000000000003</v>
      </c>
      <c r="AJ3032" s="5">
        <f t="shared" si="95"/>
        <v>0.22553191489361704</v>
      </c>
    </row>
    <row r="3033" spans="1:36">
      <c r="A3033" t="s">
        <v>311</v>
      </c>
      <c r="B3033" t="s">
        <v>3318</v>
      </c>
      <c r="C3033" t="s">
        <v>128</v>
      </c>
      <c r="D3033" t="s">
        <v>96</v>
      </c>
      <c r="E3033" t="s">
        <v>55</v>
      </c>
      <c r="F3033">
        <v>0</v>
      </c>
      <c r="G3033">
        <v>1293</v>
      </c>
      <c r="H3033">
        <v>1</v>
      </c>
      <c r="I3033" t="s">
        <v>173</v>
      </c>
      <c r="J3033">
        <v>1</v>
      </c>
      <c r="K3033" s="6">
        <v>1.86</v>
      </c>
      <c r="L3033" t="s">
        <v>174</v>
      </c>
      <c r="M3033">
        <v>0</v>
      </c>
      <c r="N3033" t="s">
        <v>182</v>
      </c>
      <c r="O3033">
        <v>3</v>
      </c>
      <c r="P3033">
        <v>0</v>
      </c>
      <c r="Q3033" s="6">
        <v>103.3</v>
      </c>
      <c r="R3033">
        <v>1</v>
      </c>
      <c r="S3033" s="6">
        <v>1121</v>
      </c>
      <c r="T3033">
        <v>0</v>
      </c>
      <c r="U3033" s="6">
        <v>3266</v>
      </c>
      <c r="V3033">
        <v>0</v>
      </c>
      <c r="W3033">
        <v>0</v>
      </c>
      <c r="X3033">
        <v>0</v>
      </c>
      <c r="Y3033" s="6">
        <v>46.7</v>
      </c>
      <c r="Z3033">
        <v>5.0000000000000001E-3</v>
      </c>
      <c r="AA3033">
        <v>0.106</v>
      </c>
      <c r="AB3033">
        <v>8.3000000000000004E-2</v>
      </c>
      <c r="AC3033">
        <v>5</v>
      </c>
      <c r="AD3033" s="6">
        <v>51</v>
      </c>
      <c r="AE3033" s="6">
        <v>25</v>
      </c>
      <c r="AF3033" s="6">
        <v>0</v>
      </c>
      <c r="AG3033" s="6">
        <v>64.06</v>
      </c>
      <c r="AH3033" s="6">
        <v>84.16</v>
      </c>
      <c r="AI3033" s="6">
        <f t="shared" si="94"/>
        <v>20.099999999999994</v>
      </c>
      <c r="AJ3033" s="5">
        <f t="shared" si="95"/>
        <v>0.23883079847908739</v>
      </c>
    </row>
    <row r="3034" spans="1:36">
      <c r="A3034" t="s">
        <v>635</v>
      </c>
      <c r="B3034" t="s">
        <v>3319</v>
      </c>
      <c r="C3034" t="s">
        <v>128</v>
      </c>
      <c r="D3034" t="s">
        <v>96</v>
      </c>
      <c r="E3034" t="s">
        <v>55</v>
      </c>
      <c r="F3034">
        <v>0</v>
      </c>
      <c r="G3034">
        <v>1293</v>
      </c>
      <c r="H3034">
        <v>1</v>
      </c>
      <c r="I3034" t="s">
        <v>220</v>
      </c>
      <c r="J3034">
        <v>2</v>
      </c>
      <c r="K3034" s="6">
        <v>4.49</v>
      </c>
      <c r="L3034" t="s">
        <v>174</v>
      </c>
      <c r="M3034">
        <v>0</v>
      </c>
      <c r="N3034" t="s">
        <v>182</v>
      </c>
      <c r="O3034">
        <v>3</v>
      </c>
      <c r="P3034">
        <v>0</v>
      </c>
      <c r="Q3034" s="6">
        <v>86.9</v>
      </c>
      <c r="R3034">
        <v>0</v>
      </c>
      <c r="S3034" s="6">
        <v>0</v>
      </c>
      <c r="T3034">
        <v>0</v>
      </c>
      <c r="U3034" s="6">
        <v>3508</v>
      </c>
      <c r="V3034">
        <v>0</v>
      </c>
      <c r="W3034">
        <v>0</v>
      </c>
      <c r="X3034">
        <v>0</v>
      </c>
      <c r="Y3034" s="6">
        <v>46.7</v>
      </c>
      <c r="Z3034">
        <v>5.0000000000000001E-3</v>
      </c>
      <c r="AA3034">
        <v>0.106</v>
      </c>
      <c r="AB3034">
        <v>8.3000000000000004E-2</v>
      </c>
      <c r="AC3034">
        <v>5</v>
      </c>
      <c r="AD3034" s="6">
        <v>51</v>
      </c>
      <c r="AE3034" s="6">
        <v>0</v>
      </c>
      <c r="AF3034" s="6">
        <v>0</v>
      </c>
      <c r="AG3034" s="6">
        <v>73.930000000000007</v>
      </c>
      <c r="AH3034" s="6">
        <v>92.69</v>
      </c>
      <c r="AI3034" s="6">
        <f t="shared" si="94"/>
        <v>18.759999999999991</v>
      </c>
      <c r="AJ3034" s="5">
        <f t="shared" si="95"/>
        <v>0.20239508037544493</v>
      </c>
    </row>
    <row r="3035" spans="1:36">
      <c r="A3035" t="s">
        <v>316</v>
      </c>
      <c r="B3035" t="s">
        <v>3320</v>
      </c>
      <c r="C3035" t="s">
        <v>128</v>
      </c>
      <c r="D3035" t="s">
        <v>96</v>
      </c>
      <c r="E3035" t="s">
        <v>55</v>
      </c>
      <c r="F3035">
        <v>0</v>
      </c>
      <c r="G3035">
        <v>1293</v>
      </c>
      <c r="H3035">
        <v>1</v>
      </c>
      <c r="I3035" t="s">
        <v>173</v>
      </c>
      <c r="J3035">
        <v>1</v>
      </c>
      <c r="K3035" s="6">
        <v>2.4300000000000002</v>
      </c>
      <c r="L3035" t="s">
        <v>174</v>
      </c>
      <c r="M3035">
        <v>0</v>
      </c>
      <c r="N3035" t="s">
        <v>187</v>
      </c>
      <c r="O3035">
        <v>2</v>
      </c>
      <c r="P3035">
        <v>0</v>
      </c>
      <c r="Q3035" s="6">
        <v>53.7</v>
      </c>
      <c r="R3035">
        <v>0</v>
      </c>
      <c r="S3035" s="6">
        <v>0</v>
      </c>
      <c r="T3035">
        <v>0</v>
      </c>
      <c r="U3035" s="6">
        <v>5968</v>
      </c>
      <c r="V3035">
        <v>0</v>
      </c>
      <c r="W3035">
        <v>0</v>
      </c>
      <c r="X3035">
        <v>0</v>
      </c>
      <c r="Y3035" s="6">
        <v>46.7</v>
      </c>
      <c r="Z3035">
        <v>5.0000000000000001E-3</v>
      </c>
      <c r="AA3035">
        <v>0.106</v>
      </c>
      <c r="AB3035">
        <v>8.3000000000000004E-2</v>
      </c>
      <c r="AC3035">
        <v>5</v>
      </c>
      <c r="AD3035" s="6">
        <v>51</v>
      </c>
      <c r="AE3035" s="6">
        <v>0</v>
      </c>
      <c r="AF3035" s="6">
        <v>0</v>
      </c>
      <c r="AG3035" s="6">
        <v>54.4</v>
      </c>
      <c r="AH3035" s="6">
        <v>71.36</v>
      </c>
      <c r="AI3035" s="6">
        <f t="shared" si="94"/>
        <v>16.96</v>
      </c>
      <c r="AJ3035" s="5">
        <f t="shared" si="95"/>
        <v>0.2376681614349776</v>
      </c>
    </row>
    <row r="3036" spans="1:36">
      <c r="A3036" t="s">
        <v>258</v>
      </c>
      <c r="B3036" t="s">
        <v>3321</v>
      </c>
      <c r="C3036" t="s">
        <v>128</v>
      </c>
      <c r="D3036" t="s">
        <v>96</v>
      </c>
      <c r="E3036" t="s">
        <v>55</v>
      </c>
      <c r="F3036">
        <v>0</v>
      </c>
      <c r="G3036">
        <v>1293</v>
      </c>
      <c r="H3036">
        <v>1</v>
      </c>
      <c r="I3036" t="s">
        <v>173</v>
      </c>
      <c r="J3036">
        <v>1</v>
      </c>
      <c r="K3036" s="6">
        <v>2.4300000000000002</v>
      </c>
      <c r="L3036" t="s">
        <v>174</v>
      </c>
      <c r="M3036">
        <v>0</v>
      </c>
      <c r="N3036" t="s">
        <v>217</v>
      </c>
      <c r="O3036">
        <v>4</v>
      </c>
      <c r="P3036">
        <v>1</v>
      </c>
      <c r="Q3036" s="6">
        <v>158.5</v>
      </c>
      <c r="R3036">
        <v>1</v>
      </c>
      <c r="S3036" s="6">
        <v>788</v>
      </c>
      <c r="T3036">
        <v>0</v>
      </c>
      <c r="U3036" s="6">
        <v>1379</v>
      </c>
      <c r="V3036">
        <v>0</v>
      </c>
      <c r="W3036">
        <v>0</v>
      </c>
      <c r="X3036">
        <v>0</v>
      </c>
      <c r="Y3036" s="6">
        <v>46.7</v>
      </c>
      <c r="Z3036">
        <v>5.0000000000000001E-3</v>
      </c>
      <c r="AA3036">
        <v>0.106</v>
      </c>
      <c r="AB3036">
        <v>8.3000000000000004E-2</v>
      </c>
      <c r="AC3036">
        <v>5</v>
      </c>
      <c r="AD3036" s="6">
        <v>51</v>
      </c>
      <c r="AE3036" s="6">
        <v>25</v>
      </c>
      <c r="AF3036" s="6">
        <v>0</v>
      </c>
      <c r="AG3036" s="6">
        <v>100.21</v>
      </c>
      <c r="AH3036" s="6">
        <v>128.37</v>
      </c>
      <c r="AI3036" s="6">
        <f t="shared" si="94"/>
        <v>28.160000000000011</v>
      </c>
      <c r="AJ3036" s="5">
        <f t="shared" si="95"/>
        <v>0.21936589545844051</v>
      </c>
    </row>
    <row r="3037" spans="1:36">
      <c r="A3037" t="s">
        <v>401</v>
      </c>
      <c r="B3037" t="s">
        <v>3322</v>
      </c>
      <c r="C3037" t="s">
        <v>128</v>
      </c>
      <c r="D3037" t="s">
        <v>96</v>
      </c>
      <c r="E3037" t="s">
        <v>55</v>
      </c>
      <c r="F3037">
        <v>0</v>
      </c>
      <c r="G3037">
        <v>1293</v>
      </c>
      <c r="H3037">
        <v>1</v>
      </c>
      <c r="I3037" t="s">
        <v>181</v>
      </c>
      <c r="J3037">
        <v>3</v>
      </c>
      <c r="K3037" s="6">
        <v>10.69</v>
      </c>
      <c r="L3037" t="s">
        <v>174</v>
      </c>
      <c r="M3037">
        <v>0</v>
      </c>
      <c r="N3037" t="s">
        <v>175</v>
      </c>
      <c r="O3037">
        <v>1</v>
      </c>
      <c r="P3037">
        <v>0</v>
      </c>
      <c r="Q3037" s="6">
        <v>33.9</v>
      </c>
      <c r="R3037">
        <v>0</v>
      </c>
      <c r="S3037" s="6">
        <v>0</v>
      </c>
      <c r="T3037">
        <v>0</v>
      </c>
      <c r="U3037" s="6">
        <v>2382</v>
      </c>
      <c r="V3037">
        <v>0</v>
      </c>
      <c r="W3037">
        <v>0</v>
      </c>
      <c r="X3037">
        <v>0</v>
      </c>
      <c r="Y3037" s="6">
        <v>46.7</v>
      </c>
      <c r="Z3037">
        <v>5.0000000000000001E-3</v>
      </c>
      <c r="AA3037">
        <v>0.106</v>
      </c>
      <c r="AB3037">
        <v>8.3000000000000004E-2</v>
      </c>
      <c r="AC3037">
        <v>5</v>
      </c>
      <c r="AD3037" s="6">
        <v>61</v>
      </c>
      <c r="AE3037" s="6">
        <v>0</v>
      </c>
      <c r="AF3037" s="6">
        <v>0</v>
      </c>
      <c r="AG3037" s="6">
        <v>98.37</v>
      </c>
      <c r="AH3037" s="6">
        <v>125.9</v>
      </c>
      <c r="AI3037" s="6">
        <f t="shared" si="94"/>
        <v>27.53</v>
      </c>
      <c r="AJ3037" s="5">
        <f t="shared" si="95"/>
        <v>0.21866560762509929</v>
      </c>
    </row>
    <row r="3038" spans="1:36">
      <c r="A3038" t="s">
        <v>306</v>
      </c>
      <c r="B3038" t="s">
        <v>3323</v>
      </c>
      <c r="C3038" t="s">
        <v>128</v>
      </c>
      <c r="D3038" t="s">
        <v>96</v>
      </c>
      <c r="E3038" t="s">
        <v>55</v>
      </c>
      <c r="F3038">
        <v>0</v>
      </c>
      <c r="G3038">
        <v>1293</v>
      </c>
      <c r="H3038">
        <v>1</v>
      </c>
      <c r="I3038" t="s">
        <v>173</v>
      </c>
      <c r="J3038">
        <v>1</v>
      </c>
      <c r="K3038" s="6">
        <v>0.81</v>
      </c>
      <c r="L3038" t="s">
        <v>174</v>
      </c>
      <c r="M3038">
        <v>0</v>
      </c>
      <c r="N3038" t="s">
        <v>175</v>
      </c>
      <c r="O3038">
        <v>1</v>
      </c>
      <c r="P3038">
        <v>0</v>
      </c>
      <c r="Q3038" s="6">
        <v>51.3</v>
      </c>
      <c r="R3038">
        <v>1</v>
      </c>
      <c r="S3038" s="6">
        <v>1388</v>
      </c>
      <c r="T3038">
        <v>0</v>
      </c>
      <c r="U3038" s="6">
        <v>2498</v>
      </c>
      <c r="V3038">
        <v>0</v>
      </c>
      <c r="W3038">
        <v>0</v>
      </c>
      <c r="X3038">
        <v>0</v>
      </c>
      <c r="Y3038" s="6">
        <v>46.7</v>
      </c>
      <c r="Z3038">
        <v>5.0000000000000001E-3</v>
      </c>
      <c r="AA3038">
        <v>0.106</v>
      </c>
      <c r="AB3038">
        <v>8.3000000000000004E-2</v>
      </c>
      <c r="AC3038">
        <v>5</v>
      </c>
      <c r="AD3038" s="6">
        <v>51</v>
      </c>
      <c r="AE3038" s="6">
        <v>25</v>
      </c>
      <c r="AF3038" s="6">
        <v>0</v>
      </c>
      <c r="AG3038" s="6">
        <v>52.09</v>
      </c>
      <c r="AH3038" s="6">
        <v>66.819999999999993</v>
      </c>
      <c r="AI3038" s="6">
        <f t="shared" si="94"/>
        <v>14.72999999999999</v>
      </c>
      <c r="AJ3038" s="5">
        <f t="shared" si="95"/>
        <v>0.22044298114337013</v>
      </c>
    </row>
    <row r="3039" spans="1:36">
      <c r="A3039" t="s">
        <v>225</v>
      </c>
      <c r="B3039" t="s">
        <v>3324</v>
      </c>
      <c r="C3039" t="s">
        <v>128</v>
      </c>
      <c r="D3039" t="s">
        <v>96</v>
      </c>
      <c r="E3039" t="s">
        <v>55</v>
      </c>
      <c r="F3039">
        <v>0</v>
      </c>
      <c r="G3039">
        <v>1293</v>
      </c>
      <c r="H3039">
        <v>1</v>
      </c>
      <c r="I3039" t="s">
        <v>173</v>
      </c>
      <c r="J3039">
        <v>1</v>
      </c>
      <c r="K3039" s="6">
        <v>1.94</v>
      </c>
      <c r="L3039" t="s">
        <v>174</v>
      </c>
      <c r="M3039">
        <v>0</v>
      </c>
      <c r="N3039" t="s">
        <v>217</v>
      </c>
      <c r="O3039">
        <v>4</v>
      </c>
      <c r="P3039">
        <v>1</v>
      </c>
      <c r="Q3039" s="6">
        <v>84</v>
      </c>
      <c r="R3039">
        <v>1</v>
      </c>
      <c r="S3039" s="6">
        <v>1565</v>
      </c>
      <c r="T3039">
        <v>0</v>
      </c>
      <c r="U3039" s="6">
        <v>2227</v>
      </c>
      <c r="V3039">
        <v>0</v>
      </c>
      <c r="W3039">
        <v>0</v>
      </c>
      <c r="X3039">
        <v>0</v>
      </c>
      <c r="Y3039" s="6">
        <v>46.7</v>
      </c>
      <c r="Z3039">
        <v>5.0000000000000001E-3</v>
      </c>
      <c r="AA3039">
        <v>0.106</v>
      </c>
      <c r="AB3039">
        <v>8.3000000000000004E-2</v>
      </c>
      <c r="AC3039">
        <v>5</v>
      </c>
      <c r="AD3039" s="6">
        <v>51</v>
      </c>
      <c r="AE3039" s="6">
        <v>25</v>
      </c>
      <c r="AF3039" s="6">
        <v>0</v>
      </c>
      <c r="AG3039" s="6">
        <v>96.53</v>
      </c>
      <c r="AH3039" s="6">
        <v>121.55</v>
      </c>
      <c r="AI3039" s="6">
        <f t="shared" si="94"/>
        <v>25.019999999999996</v>
      </c>
      <c r="AJ3039" s="5">
        <f t="shared" si="95"/>
        <v>0.20584121760592347</v>
      </c>
    </row>
    <row r="3040" spans="1:36">
      <c r="A3040" t="s">
        <v>512</v>
      </c>
      <c r="B3040" t="s">
        <v>3325</v>
      </c>
      <c r="C3040" t="s">
        <v>128</v>
      </c>
      <c r="D3040" t="s">
        <v>96</v>
      </c>
      <c r="E3040" t="s">
        <v>55</v>
      </c>
      <c r="F3040">
        <v>0</v>
      </c>
      <c r="G3040">
        <v>1293</v>
      </c>
      <c r="H3040">
        <v>1</v>
      </c>
      <c r="I3040" t="s">
        <v>173</v>
      </c>
      <c r="J3040">
        <v>1</v>
      </c>
      <c r="K3040" s="6">
        <v>2.69</v>
      </c>
      <c r="L3040" t="s">
        <v>174</v>
      </c>
      <c r="M3040">
        <v>0</v>
      </c>
      <c r="N3040" t="s">
        <v>175</v>
      </c>
      <c r="O3040">
        <v>1</v>
      </c>
      <c r="P3040">
        <v>0</v>
      </c>
      <c r="Q3040" s="6">
        <v>41</v>
      </c>
      <c r="R3040">
        <v>0</v>
      </c>
      <c r="S3040" s="6">
        <v>0</v>
      </c>
      <c r="T3040">
        <v>0</v>
      </c>
      <c r="U3040" s="6">
        <v>1738</v>
      </c>
      <c r="V3040">
        <v>0</v>
      </c>
      <c r="W3040">
        <v>0</v>
      </c>
      <c r="X3040">
        <v>0</v>
      </c>
      <c r="Y3040" s="6">
        <v>46.7</v>
      </c>
      <c r="Z3040">
        <v>5.0000000000000001E-3</v>
      </c>
      <c r="AA3040">
        <v>0.106</v>
      </c>
      <c r="AB3040">
        <v>8.3000000000000004E-2</v>
      </c>
      <c r="AC3040">
        <v>5</v>
      </c>
      <c r="AD3040" s="6">
        <v>51</v>
      </c>
      <c r="AE3040" s="6">
        <v>0</v>
      </c>
      <c r="AF3040" s="6">
        <v>0</v>
      </c>
      <c r="AG3040" s="6">
        <v>49.99</v>
      </c>
      <c r="AH3040" s="6">
        <v>63.01</v>
      </c>
      <c r="AI3040" s="6">
        <f t="shared" si="94"/>
        <v>13.019999999999996</v>
      </c>
      <c r="AJ3040" s="5">
        <f t="shared" si="95"/>
        <v>0.20663386764005709</v>
      </c>
    </row>
    <row r="3041" spans="1:36">
      <c r="A3041" t="s">
        <v>423</v>
      </c>
      <c r="B3041" t="s">
        <v>3326</v>
      </c>
      <c r="C3041" t="s">
        <v>128</v>
      </c>
      <c r="D3041" t="s">
        <v>96</v>
      </c>
      <c r="E3041" t="s">
        <v>55</v>
      </c>
      <c r="F3041">
        <v>0</v>
      </c>
      <c r="G3041">
        <v>1293</v>
      </c>
      <c r="H3041">
        <v>1</v>
      </c>
      <c r="I3041" t="s">
        <v>173</v>
      </c>
      <c r="J3041">
        <v>1</v>
      </c>
      <c r="K3041" s="6">
        <v>2.7</v>
      </c>
      <c r="L3041" t="s">
        <v>174</v>
      </c>
      <c r="M3041">
        <v>0</v>
      </c>
      <c r="N3041" t="s">
        <v>182</v>
      </c>
      <c r="O3041">
        <v>3</v>
      </c>
      <c r="P3041">
        <v>0</v>
      </c>
      <c r="Q3041" s="6">
        <v>116.2</v>
      </c>
      <c r="R3041">
        <v>0</v>
      </c>
      <c r="S3041" s="6">
        <v>0</v>
      </c>
      <c r="T3041">
        <v>0</v>
      </c>
      <c r="U3041" s="6">
        <v>5365</v>
      </c>
      <c r="V3041">
        <v>0</v>
      </c>
      <c r="W3041">
        <v>0</v>
      </c>
      <c r="X3041">
        <v>0</v>
      </c>
      <c r="Y3041" s="6">
        <v>46.7</v>
      </c>
      <c r="Z3041">
        <v>5.0000000000000001E-3</v>
      </c>
      <c r="AA3041">
        <v>0.106</v>
      </c>
      <c r="AB3041">
        <v>8.3000000000000004E-2</v>
      </c>
      <c r="AC3041">
        <v>5</v>
      </c>
      <c r="AD3041" s="6">
        <v>51</v>
      </c>
      <c r="AE3041" s="6">
        <v>0</v>
      </c>
      <c r="AF3041" s="6">
        <v>0</v>
      </c>
      <c r="AG3041" s="6">
        <v>58.34</v>
      </c>
      <c r="AH3041" s="6">
        <v>76.83</v>
      </c>
      <c r="AI3041" s="6">
        <f t="shared" si="94"/>
        <v>18.489999999999995</v>
      </c>
      <c r="AJ3041" s="5">
        <f t="shared" si="95"/>
        <v>0.24066120005206293</v>
      </c>
    </row>
    <row r="3042" spans="1:36">
      <c r="A3042" t="s">
        <v>319</v>
      </c>
      <c r="B3042" t="s">
        <v>3327</v>
      </c>
      <c r="C3042" t="s">
        <v>128</v>
      </c>
      <c r="D3042" t="s">
        <v>96</v>
      </c>
      <c r="E3042" t="s">
        <v>55</v>
      </c>
      <c r="F3042">
        <v>0</v>
      </c>
      <c r="G3042">
        <v>1293</v>
      </c>
      <c r="H3042">
        <v>1</v>
      </c>
      <c r="I3042" t="s">
        <v>178</v>
      </c>
      <c r="J3042">
        <v>4</v>
      </c>
      <c r="K3042" s="6">
        <v>17.170000000000002</v>
      </c>
      <c r="L3042" t="s">
        <v>174</v>
      </c>
      <c r="M3042">
        <v>0</v>
      </c>
      <c r="N3042" t="s">
        <v>182</v>
      </c>
      <c r="O3042">
        <v>3</v>
      </c>
      <c r="P3042">
        <v>0</v>
      </c>
      <c r="Q3042" s="6">
        <v>89.2</v>
      </c>
      <c r="R3042">
        <v>0</v>
      </c>
      <c r="S3042" s="6">
        <v>0</v>
      </c>
      <c r="T3042">
        <v>0</v>
      </c>
      <c r="U3042" s="6">
        <v>4014</v>
      </c>
      <c r="V3042">
        <v>1</v>
      </c>
      <c r="W3042">
        <v>0</v>
      </c>
      <c r="X3042">
        <v>0</v>
      </c>
      <c r="Y3042" s="6">
        <v>46.7</v>
      </c>
      <c r="Z3042">
        <v>5.0000000000000001E-3</v>
      </c>
      <c r="AA3042">
        <v>0.106</v>
      </c>
      <c r="AB3042">
        <v>8.3000000000000004E-2</v>
      </c>
      <c r="AC3042">
        <v>5</v>
      </c>
      <c r="AD3042" s="6">
        <v>66</v>
      </c>
      <c r="AE3042" s="6">
        <v>0</v>
      </c>
      <c r="AF3042" s="6">
        <v>0</v>
      </c>
      <c r="AG3042" s="6">
        <v>188.73</v>
      </c>
      <c r="AH3042" s="6">
        <v>237.03</v>
      </c>
      <c r="AI3042" s="6">
        <f t="shared" si="94"/>
        <v>48.300000000000011</v>
      </c>
      <c r="AJ3042" s="5">
        <f t="shared" si="95"/>
        <v>0.20377167447158592</v>
      </c>
    </row>
    <row r="3043" spans="1:36">
      <c r="A3043" t="s">
        <v>436</v>
      </c>
      <c r="B3043" t="s">
        <v>3328</v>
      </c>
      <c r="C3043" t="s">
        <v>128</v>
      </c>
      <c r="D3043" t="s">
        <v>96</v>
      </c>
      <c r="E3043" t="s">
        <v>55</v>
      </c>
      <c r="F3043">
        <v>0</v>
      </c>
      <c r="G3043">
        <v>1293</v>
      </c>
      <c r="H3043">
        <v>1</v>
      </c>
      <c r="I3043" t="s">
        <v>173</v>
      </c>
      <c r="J3043">
        <v>1</v>
      </c>
      <c r="K3043" s="6">
        <v>1.58</v>
      </c>
      <c r="L3043" t="s">
        <v>174</v>
      </c>
      <c r="M3043">
        <v>0</v>
      </c>
      <c r="N3043" t="s">
        <v>175</v>
      </c>
      <c r="O3043">
        <v>1</v>
      </c>
      <c r="P3043">
        <v>0</v>
      </c>
      <c r="Q3043" s="6">
        <v>36.1</v>
      </c>
      <c r="R3043">
        <v>0</v>
      </c>
      <c r="S3043" s="6">
        <v>0</v>
      </c>
      <c r="T3043">
        <v>0</v>
      </c>
      <c r="U3043" s="6">
        <v>1107</v>
      </c>
      <c r="V3043">
        <v>0</v>
      </c>
      <c r="W3043">
        <v>0</v>
      </c>
      <c r="X3043">
        <v>0</v>
      </c>
      <c r="Y3043" s="6">
        <v>46.7</v>
      </c>
      <c r="Z3043">
        <v>5.0000000000000001E-3</v>
      </c>
      <c r="AA3043">
        <v>0.106</v>
      </c>
      <c r="AB3043">
        <v>8.3000000000000004E-2</v>
      </c>
      <c r="AC3043">
        <v>5</v>
      </c>
      <c r="AD3043" s="6">
        <v>51</v>
      </c>
      <c r="AE3043" s="6">
        <v>0</v>
      </c>
      <c r="AF3043" s="6">
        <v>0</v>
      </c>
      <c r="AG3043" s="6">
        <v>50</v>
      </c>
      <c r="AH3043" s="6">
        <v>64.290000000000006</v>
      </c>
      <c r="AI3043" s="6">
        <f t="shared" si="94"/>
        <v>14.290000000000006</v>
      </c>
      <c r="AJ3043" s="5">
        <f t="shared" si="95"/>
        <v>0.22227407061751447</v>
      </c>
    </row>
    <row r="3044" spans="1:36">
      <c r="A3044" t="s">
        <v>298</v>
      </c>
      <c r="B3044" t="s">
        <v>3329</v>
      </c>
      <c r="C3044" t="s">
        <v>128</v>
      </c>
      <c r="D3044" t="s">
        <v>96</v>
      </c>
      <c r="E3044" t="s">
        <v>55</v>
      </c>
      <c r="F3044">
        <v>0</v>
      </c>
      <c r="G3044">
        <v>1293</v>
      </c>
      <c r="H3044">
        <v>1</v>
      </c>
      <c r="I3044" t="s">
        <v>178</v>
      </c>
      <c r="J3044">
        <v>4</v>
      </c>
      <c r="K3044" s="6">
        <v>17.27</v>
      </c>
      <c r="L3044" t="s">
        <v>174</v>
      </c>
      <c r="M3044">
        <v>0</v>
      </c>
      <c r="N3044" t="s">
        <v>187</v>
      </c>
      <c r="O3044">
        <v>2</v>
      </c>
      <c r="P3044">
        <v>0</v>
      </c>
      <c r="Q3044" s="6">
        <v>55.5</v>
      </c>
      <c r="R3044">
        <v>0</v>
      </c>
      <c r="S3044" s="6">
        <v>0</v>
      </c>
      <c r="T3044">
        <v>0</v>
      </c>
      <c r="U3044" s="6">
        <v>3759</v>
      </c>
      <c r="V3044">
        <v>0</v>
      </c>
      <c r="W3044">
        <v>0</v>
      </c>
      <c r="X3044">
        <v>0</v>
      </c>
      <c r="Y3044" s="6">
        <v>46.7</v>
      </c>
      <c r="Z3044">
        <v>5.0000000000000001E-3</v>
      </c>
      <c r="AA3044">
        <v>0.106</v>
      </c>
      <c r="AB3044">
        <v>8.3000000000000004E-2</v>
      </c>
      <c r="AC3044">
        <v>5</v>
      </c>
      <c r="AD3044" s="6">
        <v>66</v>
      </c>
      <c r="AE3044" s="6">
        <v>0</v>
      </c>
      <c r="AF3044" s="6">
        <v>0</v>
      </c>
      <c r="AG3044" s="6">
        <v>142.13999999999999</v>
      </c>
      <c r="AH3044" s="6">
        <v>179.81</v>
      </c>
      <c r="AI3044" s="6">
        <f t="shared" si="94"/>
        <v>37.670000000000016</v>
      </c>
      <c r="AJ3044" s="5">
        <f t="shared" si="95"/>
        <v>0.20949891552193992</v>
      </c>
    </row>
    <row r="3045" spans="1:36">
      <c r="A3045" t="s">
        <v>258</v>
      </c>
      <c r="B3045" t="s">
        <v>3330</v>
      </c>
      <c r="C3045" t="s">
        <v>128</v>
      </c>
      <c r="D3045" t="s">
        <v>96</v>
      </c>
      <c r="E3045" t="s">
        <v>55</v>
      </c>
      <c r="F3045">
        <v>0</v>
      </c>
      <c r="G3045">
        <v>1293</v>
      </c>
      <c r="H3045">
        <v>1</v>
      </c>
      <c r="I3045" t="s">
        <v>173</v>
      </c>
      <c r="J3045">
        <v>1</v>
      </c>
      <c r="K3045" s="6">
        <v>1.48</v>
      </c>
      <c r="L3045" t="s">
        <v>174</v>
      </c>
      <c r="M3045">
        <v>0</v>
      </c>
      <c r="N3045" t="s">
        <v>182</v>
      </c>
      <c r="O3045">
        <v>3</v>
      </c>
      <c r="P3045">
        <v>0</v>
      </c>
      <c r="Q3045" s="6">
        <v>80.599999999999994</v>
      </c>
      <c r="R3045">
        <v>0</v>
      </c>
      <c r="S3045" s="6">
        <v>0</v>
      </c>
      <c r="T3045">
        <v>0</v>
      </c>
      <c r="U3045" s="6">
        <v>5579</v>
      </c>
      <c r="V3045">
        <v>0</v>
      </c>
      <c r="W3045">
        <v>0</v>
      </c>
      <c r="X3045">
        <v>0</v>
      </c>
      <c r="Y3045" s="6">
        <v>46.7</v>
      </c>
      <c r="Z3045">
        <v>5.0000000000000001E-3</v>
      </c>
      <c r="AA3045">
        <v>0.106</v>
      </c>
      <c r="AB3045">
        <v>8.3000000000000004E-2</v>
      </c>
      <c r="AC3045">
        <v>5</v>
      </c>
      <c r="AD3045" s="6">
        <v>51</v>
      </c>
      <c r="AE3045" s="6">
        <v>0</v>
      </c>
      <c r="AF3045" s="6">
        <v>0</v>
      </c>
      <c r="AG3045" s="6">
        <v>58.81</v>
      </c>
      <c r="AH3045" s="6">
        <v>75.86</v>
      </c>
      <c r="AI3045" s="6">
        <f t="shared" si="94"/>
        <v>17.049999999999997</v>
      </c>
      <c r="AJ3045" s="5">
        <f t="shared" si="95"/>
        <v>0.22475612971262848</v>
      </c>
    </row>
    <row r="3046" spans="1:36">
      <c r="A3046" t="s">
        <v>221</v>
      </c>
      <c r="B3046" t="s">
        <v>3331</v>
      </c>
      <c r="C3046" t="s">
        <v>128</v>
      </c>
      <c r="D3046" t="s">
        <v>96</v>
      </c>
      <c r="E3046" t="s">
        <v>55</v>
      </c>
      <c r="F3046">
        <v>0</v>
      </c>
      <c r="G3046">
        <v>1293</v>
      </c>
      <c r="H3046">
        <v>1</v>
      </c>
      <c r="I3046" t="s">
        <v>173</v>
      </c>
      <c r="J3046">
        <v>1</v>
      </c>
      <c r="K3046" s="6">
        <v>1.83</v>
      </c>
      <c r="L3046" t="s">
        <v>174</v>
      </c>
      <c r="M3046">
        <v>0</v>
      </c>
      <c r="N3046" t="s">
        <v>187</v>
      </c>
      <c r="O3046">
        <v>2</v>
      </c>
      <c r="P3046">
        <v>0</v>
      </c>
      <c r="Q3046" s="6">
        <v>47.9</v>
      </c>
      <c r="R3046">
        <v>1</v>
      </c>
      <c r="S3046" s="6">
        <v>6850</v>
      </c>
      <c r="T3046">
        <v>0</v>
      </c>
      <c r="U3046" s="6">
        <v>5262</v>
      </c>
      <c r="V3046">
        <v>0</v>
      </c>
      <c r="W3046">
        <v>0</v>
      </c>
      <c r="X3046">
        <v>0</v>
      </c>
      <c r="Y3046" s="6">
        <v>46.7</v>
      </c>
      <c r="Z3046">
        <v>5.0000000000000001E-3</v>
      </c>
      <c r="AA3046">
        <v>0.106</v>
      </c>
      <c r="AB3046">
        <v>8.3000000000000004E-2</v>
      </c>
      <c r="AC3046">
        <v>5</v>
      </c>
      <c r="AD3046" s="6">
        <v>51</v>
      </c>
      <c r="AE3046" s="6">
        <v>50</v>
      </c>
      <c r="AF3046" s="6">
        <v>0</v>
      </c>
      <c r="AG3046" s="6">
        <v>58.01</v>
      </c>
      <c r="AH3046" s="6">
        <v>75.95</v>
      </c>
      <c r="AI3046" s="6">
        <f t="shared" si="94"/>
        <v>17.940000000000005</v>
      </c>
      <c r="AJ3046" s="5">
        <f t="shared" si="95"/>
        <v>0.23620803159973672</v>
      </c>
    </row>
    <row r="3047" spans="1:36">
      <c r="A3047" t="s">
        <v>291</v>
      </c>
      <c r="B3047" t="s">
        <v>3332</v>
      </c>
      <c r="C3047" t="s">
        <v>128</v>
      </c>
      <c r="D3047" t="s">
        <v>96</v>
      </c>
      <c r="E3047" t="s">
        <v>55</v>
      </c>
      <c r="F3047">
        <v>0</v>
      </c>
      <c r="G3047">
        <v>1293</v>
      </c>
      <c r="H3047">
        <v>1</v>
      </c>
      <c r="I3047" t="s">
        <v>178</v>
      </c>
      <c r="J3047">
        <v>4</v>
      </c>
      <c r="K3047" s="6">
        <v>18.2</v>
      </c>
      <c r="L3047" t="s">
        <v>174</v>
      </c>
      <c r="M3047">
        <v>0</v>
      </c>
      <c r="N3047" t="s">
        <v>175</v>
      </c>
      <c r="O3047">
        <v>1</v>
      </c>
      <c r="P3047">
        <v>0</v>
      </c>
      <c r="Q3047" s="6">
        <v>32.5</v>
      </c>
      <c r="R3047">
        <v>0</v>
      </c>
      <c r="S3047" s="6">
        <v>0</v>
      </c>
      <c r="T3047">
        <v>0</v>
      </c>
      <c r="U3047" s="6">
        <v>4808</v>
      </c>
      <c r="V3047">
        <v>0</v>
      </c>
      <c r="W3047">
        <v>0</v>
      </c>
      <c r="X3047">
        <v>0</v>
      </c>
      <c r="Y3047" s="6">
        <v>46.7</v>
      </c>
      <c r="Z3047">
        <v>5.0000000000000001E-3</v>
      </c>
      <c r="AA3047">
        <v>0.106</v>
      </c>
      <c r="AB3047">
        <v>8.3000000000000004E-2</v>
      </c>
      <c r="AC3047">
        <v>5</v>
      </c>
      <c r="AD3047" s="6">
        <v>66</v>
      </c>
      <c r="AE3047" s="6">
        <v>0</v>
      </c>
      <c r="AF3047" s="6">
        <v>0</v>
      </c>
      <c r="AG3047" s="6">
        <v>138.32</v>
      </c>
      <c r="AH3047" s="6">
        <v>176.56</v>
      </c>
      <c r="AI3047" s="6">
        <f t="shared" si="94"/>
        <v>38.240000000000009</v>
      </c>
      <c r="AJ3047" s="5">
        <f t="shared" si="95"/>
        <v>0.21658359764386048</v>
      </c>
    </row>
    <row r="3048" spans="1:36">
      <c r="A3048" t="s">
        <v>537</v>
      </c>
      <c r="B3048" t="s">
        <v>3333</v>
      </c>
      <c r="C3048" t="s">
        <v>128</v>
      </c>
      <c r="D3048" t="s">
        <v>96</v>
      </c>
      <c r="E3048" t="s">
        <v>55</v>
      </c>
      <c r="F3048">
        <v>0</v>
      </c>
      <c r="G3048">
        <v>1293</v>
      </c>
      <c r="H3048">
        <v>1</v>
      </c>
      <c r="I3048" t="s">
        <v>220</v>
      </c>
      <c r="J3048">
        <v>2</v>
      </c>
      <c r="K3048" s="6">
        <v>5.25</v>
      </c>
      <c r="L3048" t="s">
        <v>174</v>
      </c>
      <c r="M3048">
        <v>0</v>
      </c>
      <c r="N3048" t="s">
        <v>187</v>
      </c>
      <c r="O3048">
        <v>2</v>
      </c>
      <c r="P3048">
        <v>0</v>
      </c>
      <c r="Q3048" s="6">
        <v>33.1</v>
      </c>
      <c r="R3048">
        <v>1</v>
      </c>
      <c r="S3048" s="6">
        <v>2309</v>
      </c>
      <c r="T3048">
        <v>0</v>
      </c>
      <c r="U3048" s="6">
        <v>2336</v>
      </c>
      <c r="V3048">
        <v>0</v>
      </c>
      <c r="W3048">
        <v>0</v>
      </c>
      <c r="X3048">
        <v>0</v>
      </c>
      <c r="Y3048" s="6">
        <v>46.7</v>
      </c>
      <c r="Z3048">
        <v>5.0000000000000001E-3</v>
      </c>
      <c r="AA3048">
        <v>0.106</v>
      </c>
      <c r="AB3048">
        <v>8.3000000000000004E-2</v>
      </c>
      <c r="AC3048">
        <v>5</v>
      </c>
      <c r="AD3048" s="6">
        <v>51</v>
      </c>
      <c r="AE3048" s="6">
        <v>40</v>
      </c>
      <c r="AF3048" s="6">
        <v>0</v>
      </c>
      <c r="AG3048" s="6">
        <v>67.03</v>
      </c>
      <c r="AH3048" s="6">
        <v>87.62</v>
      </c>
      <c r="AI3048" s="6">
        <f t="shared" si="94"/>
        <v>20.590000000000003</v>
      </c>
      <c r="AJ3048" s="5">
        <f t="shared" si="95"/>
        <v>0.23499201095640268</v>
      </c>
    </row>
    <row r="3049" spans="1:36">
      <c r="A3049" t="s">
        <v>562</v>
      </c>
      <c r="B3049" t="s">
        <v>3334</v>
      </c>
      <c r="C3049" t="s">
        <v>128</v>
      </c>
      <c r="D3049" t="s">
        <v>96</v>
      </c>
      <c r="E3049" t="s">
        <v>55</v>
      </c>
      <c r="F3049">
        <v>0</v>
      </c>
      <c r="G3049">
        <v>1293</v>
      </c>
      <c r="H3049">
        <v>1</v>
      </c>
      <c r="I3049" t="s">
        <v>178</v>
      </c>
      <c r="J3049">
        <v>4</v>
      </c>
      <c r="K3049" s="6">
        <v>10.57</v>
      </c>
      <c r="L3049" t="s">
        <v>174</v>
      </c>
      <c r="M3049">
        <v>0</v>
      </c>
      <c r="N3049" t="s">
        <v>175</v>
      </c>
      <c r="O3049">
        <v>1</v>
      </c>
      <c r="P3049">
        <v>0</v>
      </c>
      <c r="Q3049" s="6">
        <v>32.5</v>
      </c>
      <c r="R3049">
        <v>1</v>
      </c>
      <c r="S3049" s="6">
        <v>8856</v>
      </c>
      <c r="T3049">
        <v>0</v>
      </c>
      <c r="U3049" s="6">
        <v>1393</v>
      </c>
      <c r="V3049">
        <v>0</v>
      </c>
      <c r="W3049">
        <v>0</v>
      </c>
      <c r="X3049">
        <v>0</v>
      </c>
      <c r="Y3049" s="6">
        <v>46.7</v>
      </c>
      <c r="Z3049">
        <v>5.0000000000000001E-3</v>
      </c>
      <c r="AA3049">
        <v>0.106</v>
      </c>
      <c r="AB3049">
        <v>8.3000000000000004E-2</v>
      </c>
      <c r="AC3049">
        <v>5</v>
      </c>
      <c r="AD3049" s="6">
        <v>66</v>
      </c>
      <c r="AE3049" s="6">
        <v>50</v>
      </c>
      <c r="AF3049" s="6">
        <v>0</v>
      </c>
      <c r="AG3049" s="6">
        <v>129.32</v>
      </c>
      <c r="AH3049" s="6">
        <v>164.82</v>
      </c>
      <c r="AI3049" s="6">
        <f t="shared" si="94"/>
        <v>35.5</v>
      </c>
      <c r="AJ3049" s="5">
        <f t="shared" si="95"/>
        <v>0.21538648222303119</v>
      </c>
    </row>
    <row r="3050" spans="1:36">
      <c r="A3050" t="s">
        <v>423</v>
      </c>
      <c r="B3050" t="s">
        <v>3335</v>
      </c>
      <c r="C3050" t="s">
        <v>128</v>
      </c>
      <c r="D3050" t="s">
        <v>96</v>
      </c>
      <c r="E3050" t="s">
        <v>55</v>
      </c>
      <c r="F3050">
        <v>0</v>
      </c>
      <c r="G3050">
        <v>1293</v>
      </c>
      <c r="H3050">
        <v>1</v>
      </c>
      <c r="I3050" t="s">
        <v>173</v>
      </c>
      <c r="J3050">
        <v>1</v>
      </c>
      <c r="K3050" s="6">
        <v>2.1</v>
      </c>
      <c r="L3050" t="s">
        <v>174</v>
      </c>
      <c r="M3050">
        <v>0</v>
      </c>
      <c r="N3050" t="s">
        <v>217</v>
      </c>
      <c r="O3050">
        <v>4</v>
      </c>
      <c r="P3050">
        <v>1</v>
      </c>
      <c r="Q3050" s="6">
        <v>141.4</v>
      </c>
      <c r="R3050">
        <v>1</v>
      </c>
      <c r="S3050" s="6">
        <v>958</v>
      </c>
      <c r="T3050">
        <v>0</v>
      </c>
      <c r="U3050" s="6">
        <v>1399</v>
      </c>
      <c r="V3050">
        <v>0</v>
      </c>
      <c r="W3050">
        <v>0</v>
      </c>
      <c r="X3050">
        <v>0</v>
      </c>
      <c r="Y3050" s="6">
        <v>46.7</v>
      </c>
      <c r="Z3050">
        <v>5.0000000000000001E-3</v>
      </c>
      <c r="AA3050">
        <v>0.106</v>
      </c>
      <c r="AB3050">
        <v>8.3000000000000004E-2</v>
      </c>
      <c r="AC3050">
        <v>5</v>
      </c>
      <c r="AD3050" s="6">
        <v>51</v>
      </c>
      <c r="AE3050" s="6">
        <v>25</v>
      </c>
      <c r="AF3050" s="6">
        <v>0</v>
      </c>
      <c r="AG3050" s="6">
        <v>107.73</v>
      </c>
      <c r="AH3050" s="6">
        <v>137.08000000000001</v>
      </c>
      <c r="AI3050" s="6">
        <f t="shared" si="94"/>
        <v>29.350000000000009</v>
      </c>
      <c r="AJ3050" s="5">
        <f t="shared" si="95"/>
        <v>0.21410854975196969</v>
      </c>
    </row>
    <row r="3051" spans="1:36">
      <c r="A3051" t="s">
        <v>457</v>
      </c>
      <c r="B3051" t="s">
        <v>3336</v>
      </c>
      <c r="C3051" t="s">
        <v>128</v>
      </c>
      <c r="D3051" t="s">
        <v>96</v>
      </c>
      <c r="E3051" t="s">
        <v>55</v>
      </c>
      <c r="F3051">
        <v>0</v>
      </c>
      <c r="G3051">
        <v>1293</v>
      </c>
      <c r="H3051">
        <v>1</v>
      </c>
      <c r="I3051" t="s">
        <v>220</v>
      </c>
      <c r="J3051">
        <v>2</v>
      </c>
      <c r="K3051" s="6">
        <v>4.6500000000000004</v>
      </c>
      <c r="L3051" t="s">
        <v>174</v>
      </c>
      <c r="M3051">
        <v>0</v>
      </c>
      <c r="N3051" t="s">
        <v>182</v>
      </c>
      <c r="O3051">
        <v>3</v>
      </c>
      <c r="P3051">
        <v>0</v>
      </c>
      <c r="Q3051" s="6">
        <v>105.7</v>
      </c>
      <c r="R3051">
        <v>1</v>
      </c>
      <c r="S3051" s="6">
        <v>1929</v>
      </c>
      <c r="T3051">
        <v>0</v>
      </c>
      <c r="U3051" s="6">
        <v>2747</v>
      </c>
      <c r="V3051">
        <v>1</v>
      </c>
      <c r="W3051">
        <v>0</v>
      </c>
      <c r="X3051">
        <v>0</v>
      </c>
      <c r="Y3051" s="6">
        <v>46.7</v>
      </c>
      <c r="Z3051">
        <v>5.0000000000000001E-3</v>
      </c>
      <c r="AA3051">
        <v>0.106</v>
      </c>
      <c r="AB3051">
        <v>8.3000000000000004E-2</v>
      </c>
      <c r="AC3051">
        <v>5</v>
      </c>
      <c r="AD3051" s="6">
        <v>51</v>
      </c>
      <c r="AE3051" s="6">
        <v>25</v>
      </c>
      <c r="AF3051" s="6">
        <v>0</v>
      </c>
      <c r="AG3051" s="6">
        <v>112.83</v>
      </c>
      <c r="AH3051" s="6">
        <v>145.86000000000001</v>
      </c>
      <c r="AI3051" s="6">
        <f t="shared" si="94"/>
        <v>33.030000000000015</v>
      </c>
      <c r="AJ3051" s="5">
        <f t="shared" si="95"/>
        <v>0.22645002056766772</v>
      </c>
    </row>
    <row r="3052" spans="1:36">
      <c r="A3052" t="s">
        <v>355</v>
      </c>
      <c r="B3052" t="s">
        <v>3337</v>
      </c>
      <c r="C3052" t="s">
        <v>128</v>
      </c>
      <c r="D3052" t="s">
        <v>96</v>
      </c>
      <c r="E3052" t="s">
        <v>55</v>
      </c>
      <c r="F3052">
        <v>0</v>
      </c>
      <c r="G3052">
        <v>1293</v>
      </c>
      <c r="H3052">
        <v>1</v>
      </c>
      <c r="I3052" t="s">
        <v>178</v>
      </c>
      <c r="J3052">
        <v>4</v>
      </c>
      <c r="K3052" s="6">
        <v>13.93</v>
      </c>
      <c r="L3052" t="s">
        <v>174</v>
      </c>
      <c r="M3052">
        <v>0</v>
      </c>
      <c r="N3052" t="s">
        <v>182</v>
      </c>
      <c r="O3052">
        <v>3</v>
      </c>
      <c r="P3052">
        <v>0</v>
      </c>
      <c r="Q3052" s="6">
        <v>100.6</v>
      </c>
      <c r="R3052">
        <v>1</v>
      </c>
      <c r="S3052" s="6">
        <v>1239</v>
      </c>
      <c r="T3052">
        <v>0</v>
      </c>
      <c r="U3052" s="6">
        <v>6846</v>
      </c>
      <c r="V3052">
        <v>0</v>
      </c>
      <c r="W3052">
        <v>0</v>
      </c>
      <c r="X3052">
        <v>0</v>
      </c>
      <c r="Y3052" s="6">
        <v>46.7</v>
      </c>
      <c r="Z3052">
        <v>5.0000000000000001E-3</v>
      </c>
      <c r="AA3052">
        <v>0.106</v>
      </c>
      <c r="AB3052">
        <v>8.3000000000000004E-2</v>
      </c>
      <c r="AC3052">
        <v>5</v>
      </c>
      <c r="AD3052" s="6">
        <v>66</v>
      </c>
      <c r="AE3052" s="6">
        <v>25</v>
      </c>
      <c r="AF3052" s="6">
        <v>0</v>
      </c>
      <c r="AG3052" s="6">
        <v>146.46</v>
      </c>
      <c r="AH3052" s="6">
        <v>187.66</v>
      </c>
      <c r="AI3052" s="6">
        <f t="shared" si="94"/>
        <v>41.199999999999989</v>
      </c>
      <c r="AJ3052" s="5">
        <f t="shared" si="95"/>
        <v>0.21954598742406475</v>
      </c>
    </row>
    <row r="3053" spans="1:36">
      <c r="A3053" t="s">
        <v>255</v>
      </c>
      <c r="B3053" t="s">
        <v>3338</v>
      </c>
      <c r="C3053" t="s">
        <v>128</v>
      </c>
      <c r="D3053" t="s">
        <v>96</v>
      </c>
      <c r="E3053" t="s">
        <v>55</v>
      </c>
      <c r="F3053">
        <v>0</v>
      </c>
      <c r="G3053">
        <v>1293</v>
      </c>
      <c r="H3053">
        <v>1</v>
      </c>
      <c r="I3053" t="s">
        <v>178</v>
      </c>
      <c r="J3053">
        <v>4</v>
      </c>
      <c r="K3053" s="6">
        <v>13.38</v>
      </c>
      <c r="L3053" t="s">
        <v>174</v>
      </c>
      <c r="M3053">
        <v>0</v>
      </c>
      <c r="N3053" t="s">
        <v>175</v>
      </c>
      <c r="O3053">
        <v>1</v>
      </c>
      <c r="P3053">
        <v>0</v>
      </c>
      <c r="Q3053" s="6">
        <v>48</v>
      </c>
      <c r="R3053">
        <v>1</v>
      </c>
      <c r="S3053" s="6">
        <v>1414</v>
      </c>
      <c r="T3053">
        <v>0</v>
      </c>
      <c r="U3053" s="6">
        <v>899</v>
      </c>
      <c r="V3053">
        <v>0</v>
      </c>
      <c r="W3053">
        <v>0</v>
      </c>
      <c r="X3053">
        <v>0</v>
      </c>
      <c r="Y3053" s="6">
        <v>46.7</v>
      </c>
      <c r="Z3053">
        <v>5.0000000000000001E-3</v>
      </c>
      <c r="AA3053">
        <v>0.106</v>
      </c>
      <c r="AB3053">
        <v>8.3000000000000004E-2</v>
      </c>
      <c r="AC3053">
        <v>5</v>
      </c>
      <c r="AD3053" s="6">
        <v>66</v>
      </c>
      <c r="AE3053" s="6">
        <v>25</v>
      </c>
      <c r="AF3053" s="6">
        <v>0</v>
      </c>
      <c r="AG3053" s="6">
        <v>126.94</v>
      </c>
      <c r="AH3053" s="6">
        <v>160.44</v>
      </c>
      <c r="AI3053" s="6">
        <f t="shared" si="94"/>
        <v>33.5</v>
      </c>
      <c r="AJ3053" s="5">
        <f t="shared" si="95"/>
        <v>0.20880079780603342</v>
      </c>
    </row>
    <row r="3054" spans="1:36">
      <c r="A3054" t="s">
        <v>348</v>
      </c>
      <c r="B3054" t="s">
        <v>3339</v>
      </c>
      <c r="C3054" t="s">
        <v>128</v>
      </c>
      <c r="D3054" t="s">
        <v>96</v>
      </c>
      <c r="E3054" t="s">
        <v>55</v>
      </c>
      <c r="F3054">
        <v>0</v>
      </c>
      <c r="G3054">
        <v>1293</v>
      </c>
      <c r="H3054">
        <v>1</v>
      </c>
      <c r="I3054" t="s">
        <v>178</v>
      </c>
      <c r="J3054">
        <v>4</v>
      </c>
      <c r="K3054" s="6">
        <v>13.32</v>
      </c>
      <c r="L3054" t="s">
        <v>174</v>
      </c>
      <c r="M3054">
        <v>0</v>
      </c>
      <c r="N3054" t="s">
        <v>175</v>
      </c>
      <c r="O3054">
        <v>1</v>
      </c>
      <c r="P3054">
        <v>0</v>
      </c>
      <c r="Q3054" s="6">
        <v>39.299999999999997</v>
      </c>
      <c r="R3054">
        <v>0</v>
      </c>
      <c r="S3054" s="6">
        <v>0</v>
      </c>
      <c r="T3054">
        <v>0</v>
      </c>
      <c r="U3054" s="6">
        <v>2453</v>
      </c>
      <c r="V3054">
        <v>0</v>
      </c>
      <c r="W3054">
        <v>0</v>
      </c>
      <c r="X3054">
        <v>0</v>
      </c>
      <c r="Y3054" s="6">
        <v>46.7</v>
      </c>
      <c r="Z3054">
        <v>5.0000000000000001E-3</v>
      </c>
      <c r="AA3054">
        <v>0.106</v>
      </c>
      <c r="AB3054">
        <v>8.3000000000000004E-2</v>
      </c>
      <c r="AC3054">
        <v>5</v>
      </c>
      <c r="AD3054" s="6">
        <v>66</v>
      </c>
      <c r="AE3054" s="6">
        <v>0</v>
      </c>
      <c r="AF3054" s="6">
        <v>0</v>
      </c>
      <c r="AG3054" s="6">
        <v>120.54</v>
      </c>
      <c r="AH3054" s="6">
        <v>152.12</v>
      </c>
      <c r="AI3054" s="6">
        <f t="shared" si="94"/>
        <v>31.58</v>
      </c>
      <c r="AJ3054" s="5">
        <f t="shared" si="95"/>
        <v>0.20759926373915327</v>
      </c>
    </row>
    <row r="3055" spans="1:36">
      <c r="A3055" t="s">
        <v>192</v>
      </c>
      <c r="B3055" t="s">
        <v>3340</v>
      </c>
      <c r="C3055" t="s">
        <v>128</v>
      </c>
      <c r="D3055" t="s">
        <v>96</v>
      </c>
      <c r="E3055" t="s">
        <v>55</v>
      </c>
      <c r="F3055">
        <v>0</v>
      </c>
      <c r="G3055">
        <v>1293</v>
      </c>
      <c r="H3055">
        <v>1</v>
      </c>
      <c r="I3055" t="s">
        <v>220</v>
      </c>
      <c r="J3055">
        <v>2</v>
      </c>
      <c r="K3055" s="6">
        <v>4.7</v>
      </c>
      <c r="L3055" t="s">
        <v>174</v>
      </c>
      <c r="M3055">
        <v>0</v>
      </c>
      <c r="N3055" t="s">
        <v>182</v>
      </c>
      <c r="O3055">
        <v>3</v>
      </c>
      <c r="P3055">
        <v>0</v>
      </c>
      <c r="Q3055" s="6">
        <v>84.7</v>
      </c>
      <c r="R3055">
        <v>1</v>
      </c>
      <c r="S3055" s="6">
        <v>1685</v>
      </c>
      <c r="T3055">
        <v>0</v>
      </c>
      <c r="U3055" s="6">
        <v>12649</v>
      </c>
      <c r="V3055">
        <v>0</v>
      </c>
      <c r="W3055">
        <v>0</v>
      </c>
      <c r="X3055">
        <v>0</v>
      </c>
      <c r="Y3055" s="6">
        <v>46.7</v>
      </c>
      <c r="Z3055">
        <v>5.0000000000000001E-3</v>
      </c>
      <c r="AA3055">
        <v>0.106</v>
      </c>
      <c r="AB3055">
        <v>8.3000000000000004E-2</v>
      </c>
      <c r="AC3055">
        <v>5</v>
      </c>
      <c r="AD3055" s="6">
        <v>51</v>
      </c>
      <c r="AE3055" s="6">
        <v>25</v>
      </c>
      <c r="AF3055" s="6">
        <v>0</v>
      </c>
      <c r="AG3055" s="6">
        <v>65.95</v>
      </c>
      <c r="AH3055" s="6">
        <v>85.02</v>
      </c>
      <c r="AI3055" s="6">
        <f t="shared" si="94"/>
        <v>19.069999999999993</v>
      </c>
      <c r="AJ3055" s="5">
        <f t="shared" si="95"/>
        <v>0.22430016466713706</v>
      </c>
    </row>
    <row r="3056" spans="1:36">
      <c r="A3056" t="s">
        <v>478</v>
      </c>
      <c r="B3056" t="s">
        <v>3341</v>
      </c>
      <c r="C3056" t="s">
        <v>128</v>
      </c>
      <c r="D3056" t="s">
        <v>96</v>
      </c>
      <c r="E3056" t="s">
        <v>55</v>
      </c>
      <c r="F3056">
        <v>0</v>
      </c>
      <c r="G3056">
        <v>1293</v>
      </c>
      <c r="H3056">
        <v>1</v>
      </c>
      <c r="I3056" t="s">
        <v>220</v>
      </c>
      <c r="J3056">
        <v>2</v>
      </c>
      <c r="K3056" s="6">
        <v>5.58</v>
      </c>
      <c r="L3056" t="s">
        <v>174</v>
      </c>
      <c r="M3056">
        <v>0</v>
      </c>
      <c r="N3056" t="s">
        <v>187</v>
      </c>
      <c r="O3056">
        <v>2</v>
      </c>
      <c r="P3056">
        <v>0</v>
      </c>
      <c r="Q3056" s="6">
        <v>53.2</v>
      </c>
      <c r="R3056">
        <v>0</v>
      </c>
      <c r="S3056" s="6">
        <v>0</v>
      </c>
      <c r="T3056">
        <v>0</v>
      </c>
      <c r="U3056" s="6">
        <v>2844</v>
      </c>
      <c r="V3056">
        <v>0</v>
      </c>
      <c r="W3056">
        <v>0</v>
      </c>
      <c r="X3056">
        <v>0</v>
      </c>
      <c r="Y3056" s="6">
        <v>46.7</v>
      </c>
      <c r="Z3056">
        <v>5.0000000000000001E-3</v>
      </c>
      <c r="AA3056">
        <v>0.106</v>
      </c>
      <c r="AB3056">
        <v>8.3000000000000004E-2</v>
      </c>
      <c r="AC3056">
        <v>5</v>
      </c>
      <c r="AD3056" s="6">
        <v>51</v>
      </c>
      <c r="AE3056" s="6">
        <v>0</v>
      </c>
      <c r="AF3056" s="6">
        <v>0</v>
      </c>
      <c r="AG3056" s="6">
        <v>64.72</v>
      </c>
      <c r="AH3056" s="6">
        <v>82.77</v>
      </c>
      <c r="AI3056" s="6">
        <f t="shared" si="94"/>
        <v>18.049999999999997</v>
      </c>
      <c r="AJ3056" s="5">
        <f t="shared" si="95"/>
        <v>0.21807418146671498</v>
      </c>
    </row>
    <row r="3057" spans="1:36">
      <c r="A3057" t="s">
        <v>255</v>
      </c>
      <c r="B3057" t="s">
        <v>3342</v>
      </c>
      <c r="C3057" t="s">
        <v>128</v>
      </c>
      <c r="D3057" t="s">
        <v>96</v>
      </c>
      <c r="E3057" t="s">
        <v>55</v>
      </c>
      <c r="F3057">
        <v>0</v>
      </c>
      <c r="G3057">
        <v>1293</v>
      </c>
      <c r="H3057">
        <v>1</v>
      </c>
      <c r="I3057" t="s">
        <v>178</v>
      </c>
      <c r="J3057">
        <v>4</v>
      </c>
      <c r="K3057" s="6">
        <v>14.31</v>
      </c>
      <c r="L3057" t="s">
        <v>174</v>
      </c>
      <c r="M3057">
        <v>0</v>
      </c>
      <c r="N3057" t="s">
        <v>182</v>
      </c>
      <c r="O3057">
        <v>3</v>
      </c>
      <c r="P3057">
        <v>0</v>
      </c>
      <c r="Q3057" s="6">
        <v>86.8</v>
      </c>
      <c r="R3057">
        <v>1</v>
      </c>
      <c r="S3057" s="6">
        <v>3393</v>
      </c>
      <c r="T3057">
        <v>0</v>
      </c>
      <c r="U3057" s="6">
        <v>12433</v>
      </c>
      <c r="V3057">
        <v>0</v>
      </c>
      <c r="W3057">
        <v>0</v>
      </c>
      <c r="X3057">
        <v>0</v>
      </c>
      <c r="Y3057" s="6">
        <v>46.7</v>
      </c>
      <c r="Z3057">
        <v>5.0000000000000001E-3</v>
      </c>
      <c r="AA3057">
        <v>0.106</v>
      </c>
      <c r="AB3057">
        <v>8.3000000000000004E-2</v>
      </c>
      <c r="AC3057">
        <v>5</v>
      </c>
      <c r="AD3057" s="6">
        <v>66</v>
      </c>
      <c r="AE3057" s="6">
        <v>40</v>
      </c>
      <c r="AF3057" s="6">
        <v>0</v>
      </c>
      <c r="AG3057" s="6">
        <v>140.13999999999999</v>
      </c>
      <c r="AH3057" s="6">
        <v>179.07</v>
      </c>
      <c r="AI3057" s="6">
        <f t="shared" si="94"/>
        <v>38.930000000000007</v>
      </c>
      <c r="AJ3057" s="5">
        <f t="shared" si="95"/>
        <v>0.21740101636231646</v>
      </c>
    </row>
    <row r="3058" spans="1:36">
      <c r="A3058" t="s">
        <v>240</v>
      </c>
      <c r="B3058" t="s">
        <v>3343</v>
      </c>
      <c r="C3058" t="s">
        <v>128</v>
      </c>
      <c r="D3058" t="s">
        <v>96</v>
      </c>
      <c r="E3058" t="s">
        <v>55</v>
      </c>
      <c r="F3058">
        <v>0</v>
      </c>
      <c r="G3058">
        <v>1293</v>
      </c>
      <c r="H3058">
        <v>1</v>
      </c>
      <c r="I3058" t="s">
        <v>173</v>
      </c>
      <c r="J3058">
        <v>1</v>
      </c>
      <c r="K3058" s="6">
        <v>2.15</v>
      </c>
      <c r="L3058" t="s">
        <v>174</v>
      </c>
      <c r="M3058">
        <v>0</v>
      </c>
      <c r="N3058" t="s">
        <v>272</v>
      </c>
      <c r="O3058">
        <v>5</v>
      </c>
      <c r="P3058">
        <v>1</v>
      </c>
      <c r="Q3058" s="6">
        <v>319.8</v>
      </c>
      <c r="R3058">
        <v>0</v>
      </c>
      <c r="S3058" s="6">
        <v>0</v>
      </c>
      <c r="T3058">
        <v>0</v>
      </c>
      <c r="U3058" s="6">
        <v>2613</v>
      </c>
      <c r="V3058">
        <v>0</v>
      </c>
      <c r="W3058">
        <v>0</v>
      </c>
      <c r="X3058">
        <v>0</v>
      </c>
      <c r="Y3058" s="6">
        <v>46.7</v>
      </c>
      <c r="Z3058">
        <v>5.0000000000000001E-3</v>
      </c>
      <c r="AA3058">
        <v>0.106</v>
      </c>
      <c r="AB3058">
        <v>8.3000000000000004E-2</v>
      </c>
      <c r="AC3058">
        <v>5</v>
      </c>
      <c r="AD3058" s="6">
        <v>51</v>
      </c>
      <c r="AE3058" s="6">
        <v>0</v>
      </c>
      <c r="AF3058" s="6">
        <v>0</v>
      </c>
      <c r="AG3058" s="6">
        <v>144.27000000000001</v>
      </c>
      <c r="AH3058" s="6">
        <v>181.07</v>
      </c>
      <c r="AI3058" s="6">
        <f t="shared" si="94"/>
        <v>36.799999999999983</v>
      </c>
      <c r="AJ3058" s="5">
        <f t="shared" si="95"/>
        <v>0.20323631744629139</v>
      </c>
    </row>
    <row r="3059" spans="1:36">
      <c r="A3059" t="s">
        <v>249</v>
      </c>
      <c r="B3059" t="s">
        <v>3344</v>
      </c>
      <c r="C3059" t="s">
        <v>128</v>
      </c>
      <c r="D3059" t="s">
        <v>96</v>
      </c>
      <c r="E3059" t="s">
        <v>55</v>
      </c>
      <c r="F3059">
        <v>0</v>
      </c>
      <c r="G3059">
        <v>1293</v>
      </c>
      <c r="H3059">
        <v>1</v>
      </c>
      <c r="I3059" t="s">
        <v>173</v>
      </c>
      <c r="J3059">
        <v>1</v>
      </c>
      <c r="K3059" s="6">
        <v>2.06</v>
      </c>
      <c r="L3059" t="s">
        <v>174</v>
      </c>
      <c r="M3059">
        <v>0</v>
      </c>
      <c r="N3059" t="s">
        <v>175</v>
      </c>
      <c r="O3059">
        <v>1</v>
      </c>
      <c r="P3059">
        <v>0</v>
      </c>
      <c r="Q3059" s="6">
        <v>48.1</v>
      </c>
      <c r="R3059">
        <v>0</v>
      </c>
      <c r="S3059" s="6">
        <v>0</v>
      </c>
      <c r="T3059">
        <v>0</v>
      </c>
      <c r="U3059" s="6">
        <v>2823</v>
      </c>
      <c r="V3059">
        <v>0</v>
      </c>
      <c r="W3059">
        <v>0</v>
      </c>
      <c r="X3059">
        <v>0</v>
      </c>
      <c r="Y3059" s="6">
        <v>46.7</v>
      </c>
      <c r="Z3059">
        <v>5.0000000000000001E-3</v>
      </c>
      <c r="AA3059">
        <v>0.106</v>
      </c>
      <c r="AB3059">
        <v>8.3000000000000004E-2</v>
      </c>
      <c r="AC3059">
        <v>5</v>
      </c>
      <c r="AD3059" s="6">
        <v>51</v>
      </c>
      <c r="AE3059" s="6">
        <v>0</v>
      </c>
      <c r="AF3059" s="6">
        <v>0</v>
      </c>
      <c r="AG3059" s="6">
        <v>51.96</v>
      </c>
      <c r="AH3059" s="6">
        <v>65.06</v>
      </c>
      <c r="AI3059" s="6">
        <f t="shared" si="94"/>
        <v>13.100000000000001</v>
      </c>
      <c r="AJ3059" s="5">
        <f t="shared" si="95"/>
        <v>0.20135259760221336</v>
      </c>
    </row>
    <row r="3060" spans="1:36">
      <c r="A3060" t="s">
        <v>286</v>
      </c>
      <c r="B3060" t="s">
        <v>3345</v>
      </c>
      <c r="C3060" t="s">
        <v>128</v>
      </c>
      <c r="D3060" t="s">
        <v>96</v>
      </c>
      <c r="E3060" t="s">
        <v>55</v>
      </c>
      <c r="F3060">
        <v>0</v>
      </c>
      <c r="G3060">
        <v>1293</v>
      </c>
      <c r="H3060">
        <v>1</v>
      </c>
      <c r="I3060" t="s">
        <v>178</v>
      </c>
      <c r="J3060">
        <v>4</v>
      </c>
      <c r="K3060" s="6">
        <v>15.01</v>
      </c>
      <c r="L3060" t="s">
        <v>174</v>
      </c>
      <c r="M3060">
        <v>0</v>
      </c>
      <c r="N3060" t="s">
        <v>175</v>
      </c>
      <c r="O3060">
        <v>1</v>
      </c>
      <c r="P3060">
        <v>0</v>
      </c>
      <c r="Q3060" s="6">
        <v>21.7</v>
      </c>
      <c r="R3060">
        <v>1</v>
      </c>
      <c r="S3060" s="6">
        <v>2155</v>
      </c>
      <c r="T3060">
        <v>0</v>
      </c>
      <c r="U3060" s="6">
        <v>5125</v>
      </c>
      <c r="V3060">
        <v>0</v>
      </c>
      <c r="W3060">
        <v>0</v>
      </c>
      <c r="X3060">
        <v>0</v>
      </c>
      <c r="Y3060" s="6">
        <v>46.7</v>
      </c>
      <c r="Z3060">
        <v>5.0000000000000001E-3</v>
      </c>
      <c r="AA3060">
        <v>0.106</v>
      </c>
      <c r="AB3060">
        <v>8.3000000000000004E-2</v>
      </c>
      <c r="AC3060">
        <v>5</v>
      </c>
      <c r="AD3060" s="6">
        <v>66</v>
      </c>
      <c r="AE3060" s="6">
        <v>40</v>
      </c>
      <c r="AF3060" s="6">
        <v>0</v>
      </c>
      <c r="AG3060" s="6">
        <v>130.19</v>
      </c>
      <c r="AH3060" s="6">
        <v>164.64</v>
      </c>
      <c r="AI3060" s="6">
        <f t="shared" si="94"/>
        <v>34.449999999999989</v>
      </c>
      <c r="AJ3060" s="5">
        <f t="shared" si="95"/>
        <v>0.20924441205053446</v>
      </c>
    </row>
    <row r="3061" spans="1:36">
      <c r="A3061" t="s">
        <v>691</v>
      </c>
      <c r="B3061" t="s">
        <v>3346</v>
      </c>
      <c r="C3061" t="s">
        <v>128</v>
      </c>
      <c r="D3061" t="s">
        <v>96</v>
      </c>
      <c r="E3061" t="s">
        <v>55</v>
      </c>
      <c r="F3061">
        <v>0</v>
      </c>
      <c r="G3061">
        <v>1293</v>
      </c>
      <c r="H3061">
        <v>1</v>
      </c>
      <c r="I3061" t="s">
        <v>173</v>
      </c>
      <c r="J3061">
        <v>1</v>
      </c>
      <c r="K3061" s="6">
        <v>1.64</v>
      </c>
      <c r="L3061" t="s">
        <v>174</v>
      </c>
      <c r="M3061">
        <v>0</v>
      </c>
      <c r="N3061" t="s">
        <v>187</v>
      </c>
      <c r="O3061">
        <v>2</v>
      </c>
      <c r="P3061">
        <v>0</v>
      </c>
      <c r="Q3061" s="6">
        <v>69.599999999999994</v>
      </c>
      <c r="R3061">
        <v>0</v>
      </c>
      <c r="S3061" s="6">
        <v>0</v>
      </c>
      <c r="T3061">
        <v>0</v>
      </c>
      <c r="U3061" s="6">
        <v>2460</v>
      </c>
      <c r="V3061">
        <v>0</v>
      </c>
      <c r="W3061">
        <v>0</v>
      </c>
      <c r="X3061">
        <v>1</v>
      </c>
      <c r="Y3061" s="6">
        <v>46.7</v>
      </c>
      <c r="Z3061">
        <v>5.0000000000000001E-3</v>
      </c>
      <c r="AA3061">
        <v>0.106</v>
      </c>
      <c r="AB3061">
        <v>8.3000000000000004E-2</v>
      </c>
      <c r="AC3061">
        <v>5</v>
      </c>
      <c r="AD3061" s="6">
        <v>51</v>
      </c>
      <c r="AE3061" s="6">
        <v>0</v>
      </c>
      <c r="AF3061" s="6">
        <v>0</v>
      </c>
      <c r="AG3061" s="6">
        <v>55.26</v>
      </c>
      <c r="AH3061" s="6">
        <v>70.13</v>
      </c>
      <c r="AI3061" s="6">
        <f t="shared" si="94"/>
        <v>14.869999999999997</v>
      </c>
      <c r="AJ3061" s="5">
        <f t="shared" si="95"/>
        <v>0.21203479252816196</v>
      </c>
    </row>
    <row r="3062" spans="1:36">
      <c r="A3062" t="s">
        <v>204</v>
      </c>
      <c r="B3062" t="s">
        <v>3347</v>
      </c>
      <c r="C3062" t="s">
        <v>128</v>
      </c>
      <c r="D3062" t="s">
        <v>96</v>
      </c>
      <c r="E3062" t="s">
        <v>55</v>
      </c>
      <c r="F3062">
        <v>0</v>
      </c>
      <c r="G3062">
        <v>1293</v>
      </c>
      <c r="H3062">
        <v>1</v>
      </c>
      <c r="I3062" t="s">
        <v>178</v>
      </c>
      <c r="J3062">
        <v>4</v>
      </c>
      <c r="K3062" s="6">
        <v>11.99</v>
      </c>
      <c r="L3062" t="s">
        <v>174</v>
      </c>
      <c r="M3062">
        <v>0</v>
      </c>
      <c r="N3062" t="s">
        <v>175</v>
      </c>
      <c r="O3062">
        <v>1</v>
      </c>
      <c r="P3062">
        <v>0</v>
      </c>
      <c r="Q3062" s="6">
        <v>37.1</v>
      </c>
      <c r="R3062">
        <v>1</v>
      </c>
      <c r="S3062" s="6">
        <v>990</v>
      </c>
      <c r="T3062">
        <v>0</v>
      </c>
      <c r="U3062" s="6">
        <v>1913</v>
      </c>
      <c r="V3062">
        <v>0</v>
      </c>
      <c r="W3062">
        <v>0</v>
      </c>
      <c r="X3062">
        <v>0</v>
      </c>
      <c r="Y3062" s="6">
        <v>46.7</v>
      </c>
      <c r="Z3062">
        <v>5.0000000000000001E-3</v>
      </c>
      <c r="AA3062">
        <v>0.106</v>
      </c>
      <c r="AB3062">
        <v>8.3000000000000004E-2</v>
      </c>
      <c r="AC3062">
        <v>5</v>
      </c>
      <c r="AD3062" s="6">
        <v>66</v>
      </c>
      <c r="AE3062" s="6">
        <v>25</v>
      </c>
      <c r="AF3062" s="6">
        <v>0</v>
      </c>
      <c r="AG3062" s="6">
        <v>124.59</v>
      </c>
      <c r="AH3062" s="6">
        <v>155.83000000000001</v>
      </c>
      <c r="AI3062" s="6">
        <f t="shared" si="94"/>
        <v>31.240000000000009</v>
      </c>
      <c r="AJ3062" s="5">
        <f t="shared" si="95"/>
        <v>0.20047487646794587</v>
      </c>
    </row>
    <row r="3063" spans="1:36">
      <c r="A3063" t="s">
        <v>198</v>
      </c>
      <c r="B3063" t="s">
        <v>3348</v>
      </c>
      <c r="C3063" t="s">
        <v>128</v>
      </c>
      <c r="D3063" t="s">
        <v>96</v>
      </c>
      <c r="E3063" t="s">
        <v>55</v>
      </c>
      <c r="F3063">
        <v>0</v>
      </c>
      <c r="G3063">
        <v>1293</v>
      </c>
      <c r="H3063">
        <v>1</v>
      </c>
      <c r="I3063" t="s">
        <v>173</v>
      </c>
      <c r="J3063">
        <v>1</v>
      </c>
      <c r="K3063" s="6">
        <v>2.0099999999999998</v>
      </c>
      <c r="L3063" t="s">
        <v>174</v>
      </c>
      <c r="M3063">
        <v>0</v>
      </c>
      <c r="N3063" t="s">
        <v>175</v>
      </c>
      <c r="O3063">
        <v>1</v>
      </c>
      <c r="P3063">
        <v>0</v>
      </c>
      <c r="Q3063" s="6">
        <v>18.899999999999999</v>
      </c>
      <c r="R3063">
        <v>0</v>
      </c>
      <c r="S3063" s="6">
        <v>0</v>
      </c>
      <c r="T3063">
        <v>0</v>
      </c>
      <c r="U3063" s="6">
        <v>3142</v>
      </c>
      <c r="V3063">
        <v>0</v>
      </c>
      <c r="W3063">
        <v>0</v>
      </c>
      <c r="X3063">
        <v>0</v>
      </c>
      <c r="Y3063" s="6">
        <v>46.7</v>
      </c>
      <c r="Z3063">
        <v>5.0000000000000001E-3</v>
      </c>
      <c r="AA3063">
        <v>0.106</v>
      </c>
      <c r="AB3063">
        <v>8.3000000000000004E-2</v>
      </c>
      <c r="AC3063">
        <v>5</v>
      </c>
      <c r="AD3063" s="6">
        <v>51</v>
      </c>
      <c r="AE3063" s="6">
        <v>0</v>
      </c>
      <c r="AF3063" s="6">
        <v>0</v>
      </c>
      <c r="AG3063" s="6">
        <v>48.28</v>
      </c>
      <c r="AH3063" s="6">
        <v>61.25</v>
      </c>
      <c r="AI3063" s="6">
        <f t="shared" si="94"/>
        <v>12.969999999999999</v>
      </c>
      <c r="AJ3063" s="5">
        <f t="shared" si="95"/>
        <v>0.2117551020408163</v>
      </c>
    </row>
    <row r="3064" spans="1:36">
      <c r="A3064" t="s">
        <v>192</v>
      </c>
      <c r="B3064" t="s">
        <v>3349</v>
      </c>
      <c r="C3064" t="s">
        <v>128</v>
      </c>
      <c r="D3064" t="s">
        <v>96</v>
      </c>
      <c r="E3064" t="s">
        <v>55</v>
      </c>
      <c r="F3064">
        <v>0</v>
      </c>
      <c r="G3064">
        <v>1293</v>
      </c>
      <c r="H3064">
        <v>1</v>
      </c>
      <c r="I3064" t="s">
        <v>173</v>
      </c>
      <c r="J3064">
        <v>1</v>
      </c>
      <c r="K3064" s="6">
        <v>2.2400000000000002</v>
      </c>
      <c r="L3064" t="s">
        <v>174</v>
      </c>
      <c r="M3064">
        <v>0</v>
      </c>
      <c r="N3064" t="s">
        <v>187</v>
      </c>
      <c r="O3064">
        <v>2</v>
      </c>
      <c r="P3064">
        <v>0</v>
      </c>
      <c r="Q3064" s="6">
        <v>36</v>
      </c>
      <c r="R3064">
        <v>0</v>
      </c>
      <c r="S3064" s="6">
        <v>0</v>
      </c>
      <c r="T3064">
        <v>0</v>
      </c>
      <c r="U3064" s="6">
        <v>1940</v>
      </c>
      <c r="V3064">
        <v>0</v>
      </c>
      <c r="W3064">
        <v>0</v>
      </c>
      <c r="X3064">
        <v>0</v>
      </c>
      <c r="Y3064" s="6">
        <v>46.7</v>
      </c>
      <c r="Z3064">
        <v>5.0000000000000001E-3</v>
      </c>
      <c r="AA3064">
        <v>0.106</v>
      </c>
      <c r="AB3064">
        <v>8.3000000000000004E-2</v>
      </c>
      <c r="AC3064">
        <v>5</v>
      </c>
      <c r="AD3064" s="6">
        <v>51</v>
      </c>
      <c r="AE3064" s="6">
        <v>0</v>
      </c>
      <c r="AF3064" s="6">
        <v>0</v>
      </c>
      <c r="AG3064" s="6">
        <v>53.28</v>
      </c>
      <c r="AH3064" s="6">
        <v>71.040000000000006</v>
      </c>
      <c r="AI3064" s="6">
        <f t="shared" si="94"/>
        <v>17.760000000000005</v>
      </c>
      <c r="AJ3064" s="5">
        <f t="shared" si="95"/>
        <v>0.25000000000000006</v>
      </c>
    </row>
    <row r="3065" spans="1:36">
      <c r="A3065" t="s">
        <v>253</v>
      </c>
      <c r="B3065" t="s">
        <v>3350</v>
      </c>
      <c r="C3065" t="s">
        <v>128</v>
      </c>
      <c r="D3065" t="s">
        <v>96</v>
      </c>
      <c r="E3065" t="s">
        <v>55</v>
      </c>
      <c r="F3065">
        <v>0</v>
      </c>
      <c r="G3065">
        <v>1293</v>
      </c>
      <c r="H3065">
        <v>1</v>
      </c>
      <c r="I3065" t="s">
        <v>173</v>
      </c>
      <c r="J3065">
        <v>1</v>
      </c>
      <c r="K3065" s="6">
        <v>2.67</v>
      </c>
      <c r="L3065" t="s">
        <v>174</v>
      </c>
      <c r="M3065">
        <v>0</v>
      </c>
      <c r="N3065" t="s">
        <v>175</v>
      </c>
      <c r="O3065">
        <v>1</v>
      </c>
      <c r="P3065">
        <v>0</v>
      </c>
      <c r="Q3065" s="6">
        <v>32.200000000000003</v>
      </c>
      <c r="R3065">
        <v>0</v>
      </c>
      <c r="S3065" s="6">
        <v>0</v>
      </c>
      <c r="T3065">
        <v>0</v>
      </c>
      <c r="U3065" s="6">
        <v>1584</v>
      </c>
      <c r="V3065">
        <v>0</v>
      </c>
      <c r="W3065">
        <v>0</v>
      </c>
      <c r="X3065">
        <v>0</v>
      </c>
      <c r="Y3065" s="6">
        <v>46.7</v>
      </c>
      <c r="Z3065">
        <v>5.0000000000000001E-3</v>
      </c>
      <c r="AA3065">
        <v>0.106</v>
      </c>
      <c r="AB3065">
        <v>8.3000000000000004E-2</v>
      </c>
      <c r="AC3065">
        <v>5</v>
      </c>
      <c r="AD3065" s="6">
        <v>51</v>
      </c>
      <c r="AE3065" s="6">
        <v>0</v>
      </c>
      <c r="AF3065" s="6">
        <v>0</v>
      </c>
      <c r="AG3065" s="6">
        <v>50.09</v>
      </c>
      <c r="AH3065" s="6">
        <v>66.819999999999993</v>
      </c>
      <c r="AI3065" s="6">
        <f t="shared" si="94"/>
        <v>16.72999999999999</v>
      </c>
      <c r="AJ3065" s="5">
        <f t="shared" si="95"/>
        <v>0.25037413947919773</v>
      </c>
    </row>
    <row r="3066" spans="1:36">
      <c r="A3066" t="s">
        <v>521</v>
      </c>
      <c r="B3066" t="s">
        <v>3351</v>
      </c>
      <c r="C3066" t="s">
        <v>128</v>
      </c>
      <c r="D3066" t="s">
        <v>96</v>
      </c>
      <c r="E3066" t="s">
        <v>55</v>
      </c>
      <c r="F3066">
        <v>0</v>
      </c>
      <c r="G3066">
        <v>1293</v>
      </c>
      <c r="H3066">
        <v>1</v>
      </c>
      <c r="I3066" t="s">
        <v>178</v>
      </c>
      <c r="J3066">
        <v>4</v>
      </c>
      <c r="K3066" s="6">
        <v>12.96</v>
      </c>
      <c r="L3066" t="s">
        <v>174</v>
      </c>
      <c r="M3066">
        <v>0</v>
      </c>
      <c r="N3066" t="s">
        <v>187</v>
      </c>
      <c r="O3066">
        <v>2</v>
      </c>
      <c r="P3066">
        <v>0</v>
      </c>
      <c r="Q3066" s="6">
        <v>60.5</v>
      </c>
      <c r="R3066">
        <v>0</v>
      </c>
      <c r="S3066" s="6">
        <v>0</v>
      </c>
      <c r="T3066">
        <v>0</v>
      </c>
      <c r="U3066" s="6">
        <v>3569</v>
      </c>
      <c r="V3066">
        <v>0</v>
      </c>
      <c r="W3066">
        <v>0</v>
      </c>
      <c r="X3066">
        <v>0</v>
      </c>
      <c r="Y3066" s="6">
        <v>46.7</v>
      </c>
      <c r="Z3066">
        <v>5.0000000000000001E-3</v>
      </c>
      <c r="AA3066">
        <v>0.106</v>
      </c>
      <c r="AB3066">
        <v>8.3000000000000004E-2</v>
      </c>
      <c r="AC3066">
        <v>5</v>
      </c>
      <c r="AD3066" s="6">
        <v>66</v>
      </c>
      <c r="AE3066" s="6">
        <v>0</v>
      </c>
      <c r="AF3066" s="6">
        <v>0</v>
      </c>
      <c r="AG3066" s="6">
        <v>125.21</v>
      </c>
      <c r="AH3066" s="6">
        <v>158.82</v>
      </c>
      <c r="AI3066" s="6">
        <f t="shared" si="94"/>
        <v>33.61</v>
      </c>
      <c r="AJ3066" s="5">
        <f t="shared" si="95"/>
        <v>0.21162322125676866</v>
      </c>
    </row>
    <row r="3067" spans="1:36">
      <c r="A3067" t="s">
        <v>635</v>
      </c>
      <c r="B3067" t="s">
        <v>3352</v>
      </c>
      <c r="C3067" t="s">
        <v>128</v>
      </c>
      <c r="D3067" t="s">
        <v>96</v>
      </c>
      <c r="E3067" t="s">
        <v>55</v>
      </c>
      <c r="F3067">
        <v>0</v>
      </c>
      <c r="G3067">
        <v>1293</v>
      </c>
      <c r="H3067">
        <v>1</v>
      </c>
      <c r="I3067" t="s">
        <v>220</v>
      </c>
      <c r="J3067">
        <v>2</v>
      </c>
      <c r="K3067" s="6">
        <v>2.95</v>
      </c>
      <c r="L3067" t="s">
        <v>174</v>
      </c>
      <c r="M3067">
        <v>0</v>
      </c>
      <c r="N3067" t="s">
        <v>217</v>
      </c>
      <c r="O3067">
        <v>4</v>
      </c>
      <c r="P3067">
        <v>1</v>
      </c>
      <c r="Q3067" s="6">
        <v>102.7</v>
      </c>
      <c r="R3067">
        <v>0</v>
      </c>
      <c r="S3067" s="6">
        <v>0</v>
      </c>
      <c r="T3067">
        <v>0</v>
      </c>
      <c r="U3067" s="6">
        <v>2375</v>
      </c>
      <c r="V3067">
        <v>0</v>
      </c>
      <c r="W3067">
        <v>0</v>
      </c>
      <c r="X3067">
        <v>1</v>
      </c>
      <c r="Y3067" s="6">
        <v>46.7</v>
      </c>
      <c r="Z3067">
        <v>5.0000000000000001E-3</v>
      </c>
      <c r="AA3067">
        <v>0.106</v>
      </c>
      <c r="AB3067">
        <v>8.3000000000000004E-2</v>
      </c>
      <c r="AC3067">
        <v>5</v>
      </c>
      <c r="AD3067" s="6">
        <v>51</v>
      </c>
      <c r="AE3067" s="6">
        <v>0</v>
      </c>
      <c r="AF3067" s="6">
        <v>0</v>
      </c>
      <c r="AG3067" s="6">
        <v>105.06</v>
      </c>
      <c r="AH3067" s="6">
        <v>133.53</v>
      </c>
      <c r="AI3067" s="6">
        <f t="shared" si="94"/>
        <v>28.47</v>
      </c>
      <c r="AJ3067" s="5">
        <f t="shared" si="95"/>
        <v>0.21321051449112557</v>
      </c>
    </row>
    <row r="3068" spans="1:36">
      <c r="A3068" t="s">
        <v>245</v>
      </c>
      <c r="B3068" t="s">
        <v>3353</v>
      </c>
      <c r="C3068" t="s">
        <v>128</v>
      </c>
      <c r="D3068" t="s">
        <v>96</v>
      </c>
      <c r="E3068" t="s">
        <v>55</v>
      </c>
      <c r="F3068">
        <v>0</v>
      </c>
      <c r="G3068">
        <v>1293</v>
      </c>
      <c r="H3068">
        <v>1</v>
      </c>
      <c r="I3068" t="s">
        <v>173</v>
      </c>
      <c r="J3068">
        <v>1</v>
      </c>
      <c r="K3068" s="6">
        <v>2.93</v>
      </c>
      <c r="L3068" t="s">
        <v>174</v>
      </c>
      <c r="M3068">
        <v>0</v>
      </c>
      <c r="N3068" t="s">
        <v>175</v>
      </c>
      <c r="O3068">
        <v>1</v>
      </c>
      <c r="P3068">
        <v>0</v>
      </c>
      <c r="Q3068" s="6">
        <v>36.799999999999997</v>
      </c>
      <c r="R3068">
        <v>0</v>
      </c>
      <c r="S3068" s="6">
        <v>0</v>
      </c>
      <c r="T3068">
        <v>0</v>
      </c>
      <c r="U3068" s="6">
        <v>3434</v>
      </c>
      <c r="V3068">
        <v>0</v>
      </c>
      <c r="W3068">
        <v>0</v>
      </c>
      <c r="X3068">
        <v>1</v>
      </c>
      <c r="Y3068" s="6">
        <v>46.7</v>
      </c>
      <c r="Z3068">
        <v>5.0000000000000001E-3</v>
      </c>
      <c r="AA3068">
        <v>0.106</v>
      </c>
      <c r="AB3068">
        <v>8.3000000000000004E-2</v>
      </c>
      <c r="AC3068">
        <v>5</v>
      </c>
      <c r="AD3068" s="6">
        <v>51</v>
      </c>
      <c r="AE3068" s="6">
        <v>0</v>
      </c>
      <c r="AF3068" s="6">
        <v>0</v>
      </c>
      <c r="AG3068" s="6">
        <v>43.43</v>
      </c>
      <c r="AH3068" s="6">
        <v>55.77</v>
      </c>
      <c r="AI3068" s="6">
        <f t="shared" si="94"/>
        <v>12.340000000000003</v>
      </c>
      <c r="AJ3068" s="5">
        <f t="shared" si="95"/>
        <v>0.22126591357360592</v>
      </c>
    </row>
    <row r="3069" spans="1:36">
      <c r="A3069" t="s">
        <v>204</v>
      </c>
      <c r="B3069" t="s">
        <v>3354</v>
      </c>
      <c r="C3069" t="s">
        <v>128</v>
      </c>
      <c r="D3069" t="s">
        <v>96</v>
      </c>
      <c r="E3069" t="s">
        <v>55</v>
      </c>
      <c r="F3069">
        <v>0</v>
      </c>
      <c r="G3069">
        <v>1293</v>
      </c>
      <c r="H3069">
        <v>1</v>
      </c>
      <c r="I3069" t="s">
        <v>178</v>
      </c>
      <c r="J3069">
        <v>4</v>
      </c>
      <c r="K3069" s="6">
        <v>16.79</v>
      </c>
      <c r="L3069" t="s">
        <v>174</v>
      </c>
      <c r="M3069">
        <v>0</v>
      </c>
      <c r="N3069" t="s">
        <v>175</v>
      </c>
      <c r="O3069">
        <v>1</v>
      </c>
      <c r="P3069">
        <v>0</v>
      </c>
      <c r="Q3069" s="6">
        <v>43</v>
      </c>
      <c r="R3069">
        <v>0</v>
      </c>
      <c r="S3069" s="6">
        <v>0</v>
      </c>
      <c r="T3069">
        <v>0</v>
      </c>
      <c r="U3069" s="6">
        <v>5578</v>
      </c>
      <c r="V3069">
        <v>0</v>
      </c>
      <c r="W3069">
        <v>0</v>
      </c>
      <c r="X3069">
        <v>0</v>
      </c>
      <c r="Y3069" s="6">
        <v>46.7</v>
      </c>
      <c r="Z3069">
        <v>5.0000000000000001E-3</v>
      </c>
      <c r="AA3069">
        <v>0.106</v>
      </c>
      <c r="AB3069">
        <v>8.3000000000000004E-2</v>
      </c>
      <c r="AC3069">
        <v>5</v>
      </c>
      <c r="AD3069" s="6">
        <v>66</v>
      </c>
      <c r="AE3069" s="6">
        <v>0</v>
      </c>
      <c r="AF3069" s="6">
        <v>0</v>
      </c>
      <c r="AG3069" s="6">
        <v>134.36000000000001</v>
      </c>
      <c r="AH3069" s="6">
        <v>169.46</v>
      </c>
      <c r="AI3069" s="6">
        <f t="shared" si="94"/>
        <v>35.099999999999994</v>
      </c>
      <c r="AJ3069" s="5">
        <f t="shared" si="95"/>
        <v>0.20712852590581843</v>
      </c>
    </row>
    <row r="3070" spans="1:36">
      <c r="A3070" t="s">
        <v>459</v>
      </c>
      <c r="B3070" t="s">
        <v>3355</v>
      </c>
      <c r="C3070" t="s">
        <v>128</v>
      </c>
      <c r="D3070" t="s">
        <v>96</v>
      </c>
      <c r="E3070" t="s">
        <v>55</v>
      </c>
      <c r="F3070">
        <v>0</v>
      </c>
      <c r="G3070">
        <v>1293</v>
      </c>
      <c r="H3070">
        <v>1</v>
      </c>
      <c r="I3070" t="s">
        <v>173</v>
      </c>
      <c r="J3070">
        <v>1</v>
      </c>
      <c r="K3070" s="6">
        <v>2.21</v>
      </c>
      <c r="L3070" t="s">
        <v>174</v>
      </c>
      <c r="M3070">
        <v>0</v>
      </c>
      <c r="N3070" t="s">
        <v>175</v>
      </c>
      <c r="O3070">
        <v>1</v>
      </c>
      <c r="P3070">
        <v>0</v>
      </c>
      <c r="Q3070" s="6">
        <v>43.5</v>
      </c>
      <c r="R3070">
        <v>1</v>
      </c>
      <c r="S3070" s="6">
        <v>3340</v>
      </c>
      <c r="T3070">
        <v>0</v>
      </c>
      <c r="U3070" s="6">
        <v>2270</v>
      </c>
      <c r="V3070">
        <v>0</v>
      </c>
      <c r="W3070">
        <v>0</v>
      </c>
      <c r="X3070">
        <v>0</v>
      </c>
      <c r="Y3070" s="6">
        <v>46.7</v>
      </c>
      <c r="Z3070">
        <v>5.0000000000000001E-3</v>
      </c>
      <c r="AA3070">
        <v>0.106</v>
      </c>
      <c r="AB3070">
        <v>8.3000000000000004E-2</v>
      </c>
      <c r="AC3070">
        <v>5</v>
      </c>
      <c r="AD3070" s="6">
        <v>51</v>
      </c>
      <c r="AE3070" s="6">
        <v>40</v>
      </c>
      <c r="AF3070" s="6">
        <v>0</v>
      </c>
      <c r="AG3070" s="6">
        <v>55.77</v>
      </c>
      <c r="AH3070" s="6">
        <v>74.13</v>
      </c>
      <c r="AI3070" s="6">
        <f t="shared" si="94"/>
        <v>18.359999999999992</v>
      </c>
      <c r="AJ3070" s="5">
        <f t="shared" si="95"/>
        <v>0.24767300687980565</v>
      </c>
    </row>
    <row r="3071" spans="1:36">
      <c r="A3071" t="s">
        <v>206</v>
      </c>
      <c r="B3071" t="s">
        <v>3356</v>
      </c>
      <c r="C3071" t="s">
        <v>128</v>
      </c>
      <c r="D3071" t="s">
        <v>96</v>
      </c>
      <c r="E3071" t="s">
        <v>55</v>
      </c>
      <c r="F3071">
        <v>0</v>
      </c>
      <c r="G3071">
        <v>1293</v>
      </c>
      <c r="H3071">
        <v>1</v>
      </c>
      <c r="I3071" t="s">
        <v>173</v>
      </c>
      <c r="J3071">
        <v>1</v>
      </c>
      <c r="K3071" s="6">
        <v>2.39</v>
      </c>
      <c r="L3071" t="s">
        <v>174</v>
      </c>
      <c r="M3071">
        <v>0</v>
      </c>
      <c r="N3071" t="s">
        <v>187</v>
      </c>
      <c r="O3071">
        <v>2</v>
      </c>
      <c r="P3071">
        <v>0</v>
      </c>
      <c r="Q3071" s="6">
        <v>53.4</v>
      </c>
      <c r="R3071">
        <v>1</v>
      </c>
      <c r="S3071" s="6">
        <v>2757</v>
      </c>
      <c r="T3071">
        <v>0</v>
      </c>
      <c r="U3071" s="6">
        <v>1920</v>
      </c>
      <c r="V3071">
        <v>0</v>
      </c>
      <c r="W3071">
        <v>0</v>
      </c>
      <c r="X3071">
        <v>0</v>
      </c>
      <c r="Y3071" s="6">
        <v>46.7</v>
      </c>
      <c r="Z3071">
        <v>5.0000000000000001E-3</v>
      </c>
      <c r="AA3071">
        <v>0.106</v>
      </c>
      <c r="AB3071">
        <v>8.3000000000000004E-2</v>
      </c>
      <c r="AC3071">
        <v>5</v>
      </c>
      <c r="AD3071" s="6">
        <v>51</v>
      </c>
      <c r="AE3071" s="6">
        <v>40</v>
      </c>
      <c r="AF3071" s="6">
        <v>0</v>
      </c>
      <c r="AG3071" s="6">
        <v>61.43</v>
      </c>
      <c r="AH3071" s="6">
        <v>80.84</v>
      </c>
      <c r="AI3071" s="6">
        <f t="shared" si="94"/>
        <v>19.410000000000004</v>
      </c>
      <c r="AJ3071" s="5">
        <f t="shared" si="95"/>
        <v>0.24010390895596243</v>
      </c>
    </row>
    <row r="3072" spans="1:36">
      <c r="A3072" t="s">
        <v>691</v>
      </c>
      <c r="B3072" t="s">
        <v>3357</v>
      </c>
      <c r="C3072" t="s">
        <v>128</v>
      </c>
      <c r="D3072" t="s">
        <v>96</v>
      </c>
      <c r="E3072" t="s">
        <v>55</v>
      </c>
      <c r="F3072">
        <v>0</v>
      </c>
      <c r="G3072">
        <v>1293</v>
      </c>
      <c r="H3072">
        <v>1</v>
      </c>
      <c r="I3072" t="s">
        <v>173</v>
      </c>
      <c r="J3072">
        <v>1</v>
      </c>
      <c r="K3072" s="6">
        <v>1.06</v>
      </c>
      <c r="L3072" t="s">
        <v>174</v>
      </c>
      <c r="M3072">
        <v>0</v>
      </c>
      <c r="N3072" t="s">
        <v>187</v>
      </c>
      <c r="O3072">
        <v>2</v>
      </c>
      <c r="P3072">
        <v>0</v>
      </c>
      <c r="Q3072" s="6">
        <v>67.7</v>
      </c>
      <c r="R3072">
        <v>1</v>
      </c>
      <c r="S3072" s="6">
        <v>491</v>
      </c>
      <c r="T3072">
        <v>0</v>
      </c>
      <c r="U3072" s="6">
        <v>2279</v>
      </c>
      <c r="V3072">
        <v>0</v>
      </c>
      <c r="W3072">
        <v>0</v>
      </c>
      <c r="X3072">
        <v>0</v>
      </c>
      <c r="Y3072" s="6">
        <v>46.7</v>
      </c>
      <c r="Z3072">
        <v>5.0000000000000001E-3</v>
      </c>
      <c r="AA3072">
        <v>0.106</v>
      </c>
      <c r="AB3072">
        <v>8.3000000000000004E-2</v>
      </c>
      <c r="AC3072">
        <v>5</v>
      </c>
      <c r="AD3072" s="6">
        <v>51</v>
      </c>
      <c r="AE3072" s="6">
        <v>25</v>
      </c>
      <c r="AF3072" s="6">
        <v>0</v>
      </c>
      <c r="AG3072" s="6">
        <v>60.03</v>
      </c>
      <c r="AH3072" s="6">
        <v>78.06</v>
      </c>
      <c r="AI3072" s="6">
        <f t="shared" si="94"/>
        <v>18.03</v>
      </c>
      <c r="AJ3072" s="5">
        <f t="shared" si="95"/>
        <v>0.23097617217524982</v>
      </c>
    </row>
    <row r="3073" spans="1:36">
      <c r="A3073" t="s">
        <v>245</v>
      </c>
      <c r="B3073" t="s">
        <v>3358</v>
      </c>
      <c r="C3073" t="s">
        <v>128</v>
      </c>
      <c r="D3073" t="s">
        <v>96</v>
      </c>
      <c r="E3073" t="s">
        <v>55</v>
      </c>
      <c r="F3073">
        <v>0</v>
      </c>
      <c r="G3073">
        <v>1293</v>
      </c>
      <c r="H3073">
        <v>1</v>
      </c>
      <c r="I3073" t="s">
        <v>178</v>
      </c>
      <c r="J3073">
        <v>4</v>
      </c>
      <c r="K3073" s="6">
        <v>13.15</v>
      </c>
      <c r="L3073" t="s">
        <v>174</v>
      </c>
      <c r="M3073">
        <v>0</v>
      </c>
      <c r="N3073" t="s">
        <v>217</v>
      </c>
      <c r="O3073">
        <v>4</v>
      </c>
      <c r="P3073">
        <v>1</v>
      </c>
      <c r="Q3073" s="6">
        <v>106</v>
      </c>
      <c r="R3073">
        <v>0</v>
      </c>
      <c r="S3073" s="6">
        <v>0</v>
      </c>
      <c r="T3073">
        <v>0</v>
      </c>
      <c r="U3073" s="6">
        <v>5111</v>
      </c>
      <c r="V3073">
        <v>0</v>
      </c>
      <c r="W3073">
        <v>0</v>
      </c>
      <c r="X3073">
        <v>0</v>
      </c>
      <c r="Y3073" s="6">
        <v>46.7</v>
      </c>
      <c r="Z3073">
        <v>5.0000000000000001E-3</v>
      </c>
      <c r="AA3073">
        <v>0.106</v>
      </c>
      <c r="AB3073">
        <v>8.3000000000000004E-2</v>
      </c>
      <c r="AC3073">
        <v>5</v>
      </c>
      <c r="AD3073" s="6">
        <v>66</v>
      </c>
      <c r="AE3073" s="6">
        <v>0</v>
      </c>
      <c r="AF3073" s="6">
        <v>0</v>
      </c>
      <c r="AG3073" s="6">
        <v>174.28</v>
      </c>
      <c r="AH3073" s="6">
        <v>219.63</v>
      </c>
      <c r="AI3073" s="6">
        <f t="shared" si="94"/>
        <v>45.349999999999994</v>
      </c>
      <c r="AJ3073" s="5">
        <f t="shared" si="95"/>
        <v>0.20648363156217273</v>
      </c>
    </row>
    <row r="3074" spans="1:36">
      <c r="A3074" t="s">
        <v>258</v>
      </c>
      <c r="B3074" t="s">
        <v>3359</v>
      </c>
      <c r="C3074" t="s">
        <v>128</v>
      </c>
      <c r="D3074" t="s">
        <v>96</v>
      </c>
      <c r="E3074" t="s">
        <v>55</v>
      </c>
      <c r="F3074">
        <v>0</v>
      </c>
      <c r="G3074">
        <v>1293</v>
      </c>
      <c r="H3074">
        <v>1</v>
      </c>
      <c r="I3074" t="s">
        <v>220</v>
      </c>
      <c r="J3074">
        <v>2</v>
      </c>
      <c r="K3074" s="6">
        <v>3.31</v>
      </c>
      <c r="L3074" t="s">
        <v>174</v>
      </c>
      <c r="M3074">
        <v>0</v>
      </c>
      <c r="N3074" t="s">
        <v>187</v>
      </c>
      <c r="O3074">
        <v>2</v>
      </c>
      <c r="P3074">
        <v>1</v>
      </c>
      <c r="Q3074" s="6">
        <v>67.599999999999994</v>
      </c>
      <c r="R3074">
        <v>0</v>
      </c>
      <c r="S3074" s="6">
        <v>0</v>
      </c>
      <c r="T3074">
        <v>0</v>
      </c>
      <c r="U3074" s="6">
        <v>984</v>
      </c>
      <c r="V3074">
        <v>0</v>
      </c>
      <c r="W3074">
        <v>0</v>
      </c>
      <c r="X3074">
        <v>0</v>
      </c>
      <c r="Y3074" s="6">
        <v>46.7</v>
      </c>
      <c r="Z3074">
        <v>5.0000000000000001E-3</v>
      </c>
      <c r="AA3074">
        <v>0.106</v>
      </c>
      <c r="AB3074">
        <v>8.3000000000000004E-2</v>
      </c>
      <c r="AC3074">
        <v>5</v>
      </c>
      <c r="AD3074" s="6">
        <v>51</v>
      </c>
      <c r="AE3074" s="6">
        <v>0</v>
      </c>
      <c r="AF3074" s="6">
        <v>0</v>
      </c>
      <c r="AG3074" s="6">
        <v>83.84</v>
      </c>
      <c r="AH3074" s="6">
        <v>105.71</v>
      </c>
      <c r="AI3074" s="6">
        <f t="shared" ref="AI3074:AI3137" si="96">AH3074-AG3074</f>
        <v>21.86999999999999</v>
      </c>
      <c r="AJ3074" s="5">
        <f t="shared" ref="AJ3074:AJ3137" si="97">IFERROR(AI3074/AH3074,0)</f>
        <v>0.20688676567968964</v>
      </c>
    </row>
    <row r="3075" spans="1:36">
      <c r="A3075" t="s">
        <v>171</v>
      </c>
      <c r="B3075" t="s">
        <v>3360</v>
      </c>
      <c r="C3075" t="s">
        <v>128</v>
      </c>
      <c r="D3075" t="s">
        <v>96</v>
      </c>
      <c r="E3075" t="s">
        <v>55</v>
      </c>
      <c r="F3075">
        <v>0</v>
      </c>
      <c r="G3075">
        <v>1293</v>
      </c>
      <c r="H3075">
        <v>1</v>
      </c>
      <c r="I3075" t="s">
        <v>173</v>
      </c>
      <c r="J3075">
        <v>1</v>
      </c>
      <c r="K3075" s="6">
        <v>2.14</v>
      </c>
      <c r="L3075" t="s">
        <v>174</v>
      </c>
      <c r="M3075">
        <v>0</v>
      </c>
      <c r="N3075" t="s">
        <v>187</v>
      </c>
      <c r="O3075">
        <v>2</v>
      </c>
      <c r="P3075">
        <v>0</v>
      </c>
      <c r="Q3075" s="6">
        <v>63.6</v>
      </c>
      <c r="R3075">
        <v>0</v>
      </c>
      <c r="S3075" s="6">
        <v>0</v>
      </c>
      <c r="T3075">
        <v>0</v>
      </c>
      <c r="U3075" s="6">
        <v>4219</v>
      </c>
      <c r="V3075">
        <v>0</v>
      </c>
      <c r="W3075">
        <v>0</v>
      </c>
      <c r="X3075">
        <v>0</v>
      </c>
      <c r="Y3075" s="6">
        <v>46.7</v>
      </c>
      <c r="Z3075">
        <v>5.0000000000000001E-3</v>
      </c>
      <c r="AA3075">
        <v>0.106</v>
      </c>
      <c r="AB3075">
        <v>8.3000000000000004E-2</v>
      </c>
      <c r="AC3075">
        <v>5</v>
      </c>
      <c r="AD3075" s="6">
        <v>51</v>
      </c>
      <c r="AE3075" s="6">
        <v>0</v>
      </c>
      <c r="AF3075" s="6">
        <v>0</v>
      </c>
      <c r="AG3075" s="6">
        <v>57.56</v>
      </c>
      <c r="AH3075" s="6">
        <v>75.83</v>
      </c>
      <c r="AI3075" s="6">
        <f t="shared" si="96"/>
        <v>18.269999999999996</v>
      </c>
      <c r="AJ3075" s="5">
        <f t="shared" si="97"/>
        <v>0.24093366741395222</v>
      </c>
    </row>
    <row r="3076" spans="1:36">
      <c r="A3076" t="s">
        <v>423</v>
      </c>
      <c r="B3076" t="s">
        <v>3361</v>
      </c>
      <c r="C3076" t="s">
        <v>128</v>
      </c>
      <c r="D3076" t="s">
        <v>96</v>
      </c>
      <c r="E3076" t="s">
        <v>55</v>
      </c>
      <c r="F3076">
        <v>0</v>
      </c>
      <c r="G3076">
        <v>1293</v>
      </c>
      <c r="H3076">
        <v>1</v>
      </c>
      <c r="I3076" t="s">
        <v>220</v>
      </c>
      <c r="J3076">
        <v>2</v>
      </c>
      <c r="K3076" s="6">
        <v>3.87</v>
      </c>
      <c r="L3076" t="s">
        <v>174</v>
      </c>
      <c r="M3076">
        <v>0</v>
      </c>
      <c r="N3076" t="s">
        <v>175</v>
      </c>
      <c r="O3076">
        <v>1</v>
      </c>
      <c r="P3076">
        <v>0</v>
      </c>
      <c r="Q3076" s="6">
        <v>30.5</v>
      </c>
      <c r="R3076">
        <v>0</v>
      </c>
      <c r="S3076" s="6">
        <v>0</v>
      </c>
      <c r="T3076">
        <v>0</v>
      </c>
      <c r="U3076" s="6">
        <v>3612</v>
      </c>
      <c r="V3076">
        <v>0</v>
      </c>
      <c r="W3076">
        <v>0</v>
      </c>
      <c r="X3076">
        <v>0</v>
      </c>
      <c r="Y3076" s="6">
        <v>46.7</v>
      </c>
      <c r="Z3076">
        <v>5.0000000000000001E-3</v>
      </c>
      <c r="AA3076">
        <v>0.106</v>
      </c>
      <c r="AB3076">
        <v>8.3000000000000004E-2</v>
      </c>
      <c r="AC3076">
        <v>5</v>
      </c>
      <c r="AD3076" s="6">
        <v>51</v>
      </c>
      <c r="AE3076" s="6">
        <v>0</v>
      </c>
      <c r="AF3076" s="6">
        <v>0</v>
      </c>
      <c r="AG3076" s="6">
        <v>61.38</v>
      </c>
      <c r="AH3076" s="6">
        <v>77.81</v>
      </c>
      <c r="AI3076" s="6">
        <f t="shared" si="96"/>
        <v>16.43</v>
      </c>
      <c r="AJ3076" s="5">
        <f t="shared" si="97"/>
        <v>0.21115537848605576</v>
      </c>
    </row>
    <row r="3077" spans="1:36">
      <c r="A3077" t="s">
        <v>635</v>
      </c>
      <c r="B3077" t="s">
        <v>3362</v>
      </c>
      <c r="C3077" t="s">
        <v>128</v>
      </c>
      <c r="D3077" t="s">
        <v>96</v>
      </c>
      <c r="E3077" t="s">
        <v>55</v>
      </c>
      <c r="F3077">
        <v>0</v>
      </c>
      <c r="G3077">
        <v>1293</v>
      </c>
      <c r="H3077">
        <v>1</v>
      </c>
      <c r="I3077" t="s">
        <v>220</v>
      </c>
      <c r="J3077">
        <v>2</v>
      </c>
      <c r="K3077" s="6">
        <v>4.7300000000000004</v>
      </c>
      <c r="L3077" t="s">
        <v>174</v>
      </c>
      <c r="M3077">
        <v>0</v>
      </c>
      <c r="N3077" t="s">
        <v>182</v>
      </c>
      <c r="O3077">
        <v>3</v>
      </c>
      <c r="P3077">
        <v>0</v>
      </c>
      <c r="Q3077" s="6">
        <v>110.5</v>
      </c>
      <c r="R3077">
        <v>1</v>
      </c>
      <c r="S3077" s="6">
        <v>3081</v>
      </c>
      <c r="T3077">
        <v>0</v>
      </c>
      <c r="U3077" s="6">
        <v>3149</v>
      </c>
      <c r="V3077">
        <v>0</v>
      </c>
      <c r="W3077">
        <v>0</v>
      </c>
      <c r="X3077">
        <v>0</v>
      </c>
      <c r="Y3077" s="6">
        <v>46.7</v>
      </c>
      <c r="Z3077">
        <v>5.0000000000000001E-3</v>
      </c>
      <c r="AA3077">
        <v>0.106</v>
      </c>
      <c r="AB3077">
        <v>8.3000000000000004E-2</v>
      </c>
      <c r="AC3077">
        <v>5</v>
      </c>
      <c r="AD3077" s="6">
        <v>51</v>
      </c>
      <c r="AE3077" s="6">
        <v>40</v>
      </c>
      <c r="AF3077" s="6">
        <v>0</v>
      </c>
      <c r="AG3077" s="6">
        <v>70.319999999999993</v>
      </c>
      <c r="AH3077" s="6">
        <v>91.4</v>
      </c>
      <c r="AI3077" s="6">
        <f t="shared" si="96"/>
        <v>21.080000000000013</v>
      </c>
      <c r="AJ3077" s="5">
        <f t="shared" si="97"/>
        <v>0.23063457330415768</v>
      </c>
    </row>
    <row r="3078" spans="1:36">
      <c r="A3078" t="s">
        <v>372</v>
      </c>
      <c r="B3078" t="s">
        <v>3363</v>
      </c>
      <c r="C3078" t="s">
        <v>128</v>
      </c>
      <c r="D3078" t="s">
        <v>96</v>
      </c>
      <c r="E3078" t="s">
        <v>55</v>
      </c>
      <c r="F3078">
        <v>0</v>
      </c>
      <c r="G3078">
        <v>1293</v>
      </c>
      <c r="H3078">
        <v>1</v>
      </c>
      <c r="I3078" t="s">
        <v>178</v>
      </c>
      <c r="J3078">
        <v>4</v>
      </c>
      <c r="K3078" s="6">
        <v>11.42</v>
      </c>
      <c r="L3078" t="s">
        <v>174</v>
      </c>
      <c r="M3078">
        <v>0</v>
      </c>
      <c r="N3078" t="s">
        <v>187</v>
      </c>
      <c r="O3078">
        <v>2</v>
      </c>
      <c r="P3078">
        <v>0</v>
      </c>
      <c r="Q3078" s="6">
        <v>46.7</v>
      </c>
      <c r="R3078">
        <v>1</v>
      </c>
      <c r="S3078" s="6">
        <v>3835</v>
      </c>
      <c r="T3078">
        <v>0</v>
      </c>
      <c r="U3078" s="6">
        <v>4277</v>
      </c>
      <c r="V3078">
        <v>1</v>
      </c>
      <c r="W3078">
        <v>0</v>
      </c>
      <c r="X3078">
        <v>0</v>
      </c>
      <c r="Y3078" s="6">
        <v>46.7</v>
      </c>
      <c r="Z3078">
        <v>5.0000000000000001E-3</v>
      </c>
      <c r="AA3078">
        <v>0.106</v>
      </c>
      <c r="AB3078">
        <v>8.3000000000000004E-2</v>
      </c>
      <c r="AC3078">
        <v>5</v>
      </c>
      <c r="AD3078" s="6">
        <v>66</v>
      </c>
      <c r="AE3078" s="6">
        <v>40</v>
      </c>
      <c r="AF3078" s="6">
        <v>0</v>
      </c>
      <c r="AG3078" s="6">
        <v>164.55</v>
      </c>
      <c r="AH3078" s="6">
        <v>207.01</v>
      </c>
      <c r="AI3078" s="6">
        <f t="shared" si="96"/>
        <v>42.45999999999998</v>
      </c>
      <c r="AJ3078" s="5">
        <f t="shared" si="97"/>
        <v>0.2051108642094584</v>
      </c>
    </row>
    <row r="3079" spans="1:36">
      <c r="A3079" t="s">
        <v>249</v>
      </c>
      <c r="B3079" t="s">
        <v>3364</v>
      </c>
      <c r="C3079" t="s">
        <v>128</v>
      </c>
      <c r="D3079" t="s">
        <v>96</v>
      </c>
      <c r="E3079" t="s">
        <v>55</v>
      </c>
      <c r="F3079">
        <v>0</v>
      </c>
      <c r="G3079">
        <v>1293</v>
      </c>
      <c r="H3079">
        <v>1</v>
      </c>
      <c r="I3079" t="s">
        <v>178</v>
      </c>
      <c r="J3079">
        <v>4</v>
      </c>
      <c r="K3079" s="6">
        <v>12.56</v>
      </c>
      <c r="L3079" t="s">
        <v>174</v>
      </c>
      <c r="M3079">
        <v>0</v>
      </c>
      <c r="N3079" t="s">
        <v>182</v>
      </c>
      <c r="O3079">
        <v>3</v>
      </c>
      <c r="P3079">
        <v>0</v>
      </c>
      <c r="Q3079" s="6">
        <v>130.80000000000001</v>
      </c>
      <c r="R3079">
        <v>0</v>
      </c>
      <c r="S3079" s="6">
        <v>0</v>
      </c>
      <c r="T3079">
        <v>0</v>
      </c>
      <c r="U3079" s="6">
        <v>1922</v>
      </c>
      <c r="V3079">
        <v>0</v>
      </c>
      <c r="W3079">
        <v>0</v>
      </c>
      <c r="X3079">
        <v>0</v>
      </c>
      <c r="Y3079" s="6">
        <v>46.7</v>
      </c>
      <c r="Z3079">
        <v>5.0000000000000001E-3</v>
      </c>
      <c r="AA3079">
        <v>0.106</v>
      </c>
      <c r="AB3079">
        <v>8.3000000000000004E-2</v>
      </c>
      <c r="AC3079">
        <v>5</v>
      </c>
      <c r="AD3079" s="6">
        <v>66</v>
      </c>
      <c r="AE3079" s="6">
        <v>0</v>
      </c>
      <c r="AF3079" s="6">
        <v>0</v>
      </c>
      <c r="AG3079" s="6">
        <v>137.12</v>
      </c>
      <c r="AH3079" s="6">
        <v>175.58</v>
      </c>
      <c r="AI3079" s="6">
        <f t="shared" si="96"/>
        <v>38.460000000000008</v>
      </c>
      <c r="AJ3079" s="5">
        <f t="shared" si="97"/>
        <v>0.21904544936780956</v>
      </c>
    </row>
    <row r="3080" spans="1:36">
      <c r="A3080" t="s">
        <v>478</v>
      </c>
      <c r="B3080" t="s">
        <v>3365</v>
      </c>
      <c r="C3080" t="s">
        <v>128</v>
      </c>
      <c r="D3080" t="s">
        <v>96</v>
      </c>
      <c r="E3080" t="s">
        <v>55</v>
      </c>
      <c r="F3080">
        <v>0</v>
      </c>
      <c r="G3080">
        <v>1293</v>
      </c>
      <c r="H3080">
        <v>1</v>
      </c>
      <c r="I3080" t="s">
        <v>220</v>
      </c>
      <c r="J3080">
        <v>2</v>
      </c>
      <c r="K3080" s="6">
        <v>3.03</v>
      </c>
      <c r="L3080" t="s">
        <v>174</v>
      </c>
      <c r="M3080">
        <v>0</v>
      </c>
      <c r="N3080" t="s">
        <v>175</v>
      </c>
      <c r="O3080">
        <v>1</v>
      </c>
      <c r="P3080">
        <v>0</v>
      </c>
      <c r="Q3080" s="6">
        <v>24.8</v>
      </c>
      <c r="R3080">
        <v>1</v>
      </c>
      <c r="S3080" s="6">
        <v>1230</v>
      </c>
      <c r="T3080">
        <v>0</v>
      </c>
      <c r="U3080" s="6">
        <v>2078</v>
      </c>
      <c r="V3080">
        <v>1</v>
      </c>
      <c r="W3080">
        <v>0</v>
      </c>
      <c r="X3080">
        <v>0</v>
      </c>
      <c r="Y3080" s="6">
        <v>46.7</v>
      </c>
      <c r="Z3080">
        <v>5.0000000000000001E-3</v>
      </c>
      <c r="AA3080">
        <v>0.106</v>
      </c>
      <c r="AB3080">
        <v>8.3000000000000004E-2</v>
      </c>
      <c r="AC3080">
        <v>5</v>
      </c>
      <c r="AD3080" s="6">
        <v>51</v>
      </c>
      <c r="AE3080" s="6">
        <v>25</v>
      </c>
      <c r="AF3080" s="6">
        <v>0</v>
      </c>
      <c r="AG3080" s="6">
        <v>108.46</v>
      </c>
      <c r="AH3080" s="6">
        <v>137.63</v>
      </c>
      <c r="AI3080" s="6">
        <f t="shared" si="96"/>
        <v>29.17</v>
      </c>
      <c r="AJ3080" s="5">
        <f t="shared" si="97"/>
        <v>0.21194507011552716</v>
      </c>
    </row>
    <row r="3081" spans="1:36">
      <c r="A3081" t="s">
        <v>288</v>
      </c>
      <c r="B3081" t="s">
        <v>3366</v>
      </c>
      <c r="C3081" t="s">
        <v>128</v>
      </c>
      <c r="D3081" t="s">
        <v>96</v>
      </c>
      <c r="E3081" t="s">
        <v>55</v>
      </c>
      <c r="F3081">
        <v>0</v>
      </c>
      <c r="G3081">
        <v>1293</v>
      </c>
      <c r="H3081">
        <v>1</v>
      </c>
      <c r="I3081" t="s">
        <v>173</v>
      </c>
      <c r="J3081">
        <v>1</v>
      </c>
      <c r="K3081" s="6">
        <v>2.4</v>
      </c>
      <c r="L3081" t="s">
        <v>174</v>
      </c>
      <c r="M3081">
        <v>0</v>
      </c>
      <c r="N3081" t="s">
        <v>175</v>
      </c>
      <c r="O3081">
        <v>1</v>
      </c>
      <c r="P3081">
        <v>0</v>
      </c>
      <c r="Q3081" s="6">
        <v>38.299999999999997</v>
      </c>
      <c r="R3081">
        <v>0</v>
      </c>
      <c r="S3081" s="6">
        <v>0</v>
      </c>
      <c r="T3081">
        <v>0</v>
      </c>
      <c r="U3081" s="6">
        <v>2642</v>
      </c>
      <c r="V3081">
        <v>0</v>
      </c>
      <c r="W3081">
        <v>0</v>
      </c>
      <c r="X3081">
        <v>0</v>
      </c>
      <c r="Y3081" s="6">
        <v>46.7</v>
      </c>
      <c r="Z3081">
        <v>5.0000000000000001E-3</v>
      </c>
      <c r="AA3081">
        <v>0.106</v>
      </c>
      <c r="AB3081">
        <v>8.3000000000000004E-2</v>
      </c>
      <c r="AC3081">
        <v>5</v>
      </c>
      <c r="AD3081" s="6">
        <v>51</v>
      </c>
      <c r="AE3081" s="6">
        <v>0</v>
      </c>
      <c r="AF3081" s="6">
        <v>0</v>
      </c>
      <c r="AG3081" s="6">
        <v>51.84</v>
      </c>
      <c r="AH3081" s="6">
        <v>69.349999999999994</v>
      </c>
      <c r="AI3081" s="6">
        <f t="shared" si="96"/>
        <v>17.509999999999991</v>
      </c>
      <c r="AJ3081" s="5">
        <f t="shared" si="97"/>
        <v>0.25248738284066319</v>
      </c>
    </row>
    <row r="3082" spans="1:36">
      <c r="A3082" t="s">
        <v>255</v>
      </c>
      <c r="B3082" t="s">
        <v>3367</v>
      </c>
      <c r="C3082" t="s">
        <v>128</v>
      </c>
      <c r="D3082" t="s">
        <v>96</v>
      </c>
      <c r="E3082" t="s">
        <v>55</v>
      </c>
      <c r="F3082">
        <v>0</v>
      </c>
      <c r="G3082">
        <v>1293</v>
      </c>
      <c r="H3082">
        <v>1</v>
      </c>
      <c r="I3082" t="s">
        <v>178</v>
      </c>
      <c r="J3082">
        <v>4</v>
      </c>
      <c r="K3082" s="6">
        <v>14.89</v>
      </c>
      <c r="L3082" t="s">
        <v>174</v>
      </c>
      <c r="M3082">
        <v>0</v>
      </c>
      <c r="N3082" t="s">
        <v>175</v>
      </c>
      <c r="O3082">
        <v>1</v>
      </c>
      <c r="P3082">
        <v>0</v>
      </c>
      <c r="Q3082" s="6">
        <v>22.3</v>
      </c>
      <c r="R3082">
        <v>0</v>
      </c>
      <c r="S3082" s="6">
        <v>0</v>
      </c>
      <c r="T3082">
        <v>0</v>
      </c>
      <c r="U3082" s="6">
        <v>2456</v>
      </c>
      <c r="V3082">
        <v>0</v>
      </c>
      <c r="W3082">
        <v>0</v>
      </c>
      <c r="X3082">
        <v>0</v>
      </c>
      <c r="Y3082" s="6">
        <v>46.7</v>
      </c>
      <c r="Z3082">
        <v>5.0000000000000001E-3</v>
      </c>
      <c r="AA3082">
        <v>0.106</v>
      </c>
      <c r="AB3082">
        <v>8.3000000000000004E-2</v>
      </c>
      <c r="AC3082">
        <v>5</v>
      </c>
      <c r="AD3082" s="6">
        <v>66</v>
      </c>
      <c r="AE3082" s="6">
        <v>0</v>
      </c>
      <c r="AF3082" s="6">
        <v>0</v>
      </c>
      <c r="AG3082" s="6">
        <v>136.83000000000001</v>
      </c>
      <c r="AH3082" s="6">
        <v>173.52</v>
      </c>
      <c r="AI3082" s="6">
        <f t="shared" si="96"/>
        <v>36.69</v>
      </c>
      <c r="AJ3082" s="5">
        <f t="shared" si="97"/>
        <v>0.21144536652835405</v>
      </c>
    </row>
    <row r="3083" spans="1:36">
      <c r="A3083" t="s">
        <v>171</v>
      </c>
      <c r="B3083" t="s">
        <v>3368</v>
      </c>
      <c r="C3083" t="s">
        <v>128</v>
      </c>
      <c r="D3083" t="s">
        <v>96</v>
      </c>
      <c r="E3083" t="s">
        <v>55</v>
      </c>
      <c r="F3083">
        <v>0</v>
      </c>
      <c r="G3083">
        <v>1293</v>
      </c>
      <c r="H3083">
        <v>1</v>
      </c>
      <c r="I3083" t="s">
        <v>173</v>
      </c>
      <c r="J3083">
        <v>1</v>
      </c>
      <c r="K3083" s="6">
        <v>2.1</v>
      </c>
      <c r="L3083" t="s">
        <v>174</v>
      </c>
      <c r="M3083">
        <v>0</v>
      </c>
      <c r="N3083" t="s">
        <v>175</v>
      </c>
      <c r="O3083">
        <v>1</v>
      </c>
      <c r="P3083">
        <v>0</v>
      </c>
      <c r="Q3083" s="6">
        <v>31.9</v>
      </c>
      <c r="R3083">
        <v>1</v>
      </c>
      <c r="S3083" s="6">
        <v>1266</v>
      </c>
      <c r="T3083">
        <v>0</v>
      </c>
      <c r="U3083" s="6">
        <v>3113</v>
      </c>
      <c r="V3083">
        <v>1</v>
      </c>
      <c r="W3083">
        <v>0</v>
      </c>
      <c r="X3083">
        <v>0</v>
      </c>
      <c r="Y3083" s="6">
        <v>46.7</v>
      </c>
      <c r="Z3083">
        <v>5.0000000000000001E-3</v>
      </c>
      <c r="AA3083">
        <v>0.106</v>
      </c>
      <c r="AB3083">
        <v>8.3000000000000004E-2</v>
      </c>
      <c r="AC3083">
        <v>5</v>
      </c>
      <c r="AD3083" s="6">
        <v>51</v>
      </c>
      <c r="AE3083" s="6">
        <v>25</v>
      </c>
      <c r="AF3083" s="6">
        <v>0</v>
      </c>
      <c r="AG3083" s="6">
        <v>96.32</v>
      </c>
      <c r="AH3083" s="6">
        <v>123.31</v>
      </c>
      <c r="AI3083" s="6">
        <f t="shared" si="96"/>
        <v>26.990000000000009</v>
      </c>
      <c r="AJ3083" s="5">
        <f t="shared" si="97"/>
        <v>0.21887924742518861</v>
      </c>
    </row>
    <row r="3084" spans="1:36">
      <c r="A3084" t="s">
        <v>221</v>
      </c>
      <c r="B3084" t="s">
        <v>3369</v>
      </c>
      <c r="C3084" t="s">
        <v>128</v>
      </c>
      <c r="D3084" t="s">
        <v>96</v>
      </c>
      <c r="E3084" t="s">
        <v>55</v>
      </c>
      <c r="F3084">
        <v>0</v>
      </c>
      <c r="G3084">
        <v>1293</v>
      </c>
      <c r="H3084">
        <v>1</v>
      </c>
      <c r="I3084" t="s">
        <v>173</v>
      </c>
      <c r="J3084">
        <v>1</v>
      </c>
      <c r="K3084" s="6">
        <v>1.44</v>
      </c>
      <c r="L3084" t="s">
        <v>174</v>
      </c>
      <c r="M3084">
        <v>0</v>
      </c>
      <c r="N3084" t="s">
        <v>182</v>
      </c>
      <c r="O3084">
        <v>3</v>
      </c>
      <c r="P3084">
        <v>1</v>
      </c>
      <c r="Q3084" s="6">
        <v>101.1</v>
      </c>
      <c r="R3084">
        <v>1</v>
      </c>
      <c r="S3084" s="6">
        <v>2373</v>
      </c>
      <c r="T3084">
        <v>0</v>
      </c>
      <c r="U3084" s="6">
        <v>4020</v>
      </c>
      <c r="V3084">
        <v>0</v>
      </c>
      <c r="W3084">
        <v>0</v>
      </c>
      <c r="X3084">
        <v>0</v>
      </c>
      <c r="Y3084" s="6">
        <v>46.7</v>
      </c>
      <c r="Z3084">
        <v>5.0000000000000001E-3</v>
      </c>
      <c r="AA3084">
        <v>0.106</v>
      </c>
      <c r="AB3084">
        <v>8.3000000000000004E-2</v>
      </c>
      <c r="AC3084">
        <v>5</v>
      </c>
      <c r="AD3084" s="6">
        <v>51</v>
      </c>
      <c r="AE3084" s="6">
        <v>40</v>
      </c>
      <c r="AF3084" s="6">
        <v>0</v>
      </c>
      <c r="AG3084" s="6">
        <v>84.83</v>
      </c>
      <c r="AH3084" s="6">
        <v>110.57</v>
      </c>
      <c r="AI3084" s="6">
        <f t="shared" si="96"/>
        <v>25.739999999999995</v>
      </c>
      <c r="AJ3084" s="5">
        <f t="shared" si="97"/>
        <v>0.23279370534503027</v>
      </c>
    </row>
    <row r="3085" spans="1:36">
      <c r="A3085" t="s">
        <v>190</v>
      </c>
      <c r="B3085" t="s">
        <v>3370</v>
      </c>
      <c r="C3085" t="s">
        <v>128</v>
      </c>
      <c r="D3085" t="s">
        <v>96</v>
      </c>
      <c r="E3085" t="s">
        <v>55</v>
      </c>
      <c r="F3085">
        <v>0</v>
      </c>
      <c r="G3085">
        <v>1293</v>
      </c>
      <c r="H3085">
        <v>1</v>
      </c>
      <c r="I3085" t="s">
        <v>220</v>
      </c>
      <c r="J3085">
        <v>2</v>
      </c>
      <c r="K3085" s="6">
        <v>2.78</v>
      </c>
      <c r="L3085" t="s">
        <v>174</v>
      </c>
      <c r="M3085">
        <v>0</v>
      </c>
      <c r="N3085" t="s">
        <v>175</v>
      </c>
      <c r="O3085">
        <v>1</v>
      </c>
      <c r="P3085">
        <v>1</v>
      </c>
      <c r="Q3085" s="6">
        <v>24.2</v>
      </c>
      <c r="R3085">
        <v>0</v>
      </c>
      <c r="S3085" s="6">
        <v>0</v>
      </c>
      <c r="T3085">
        <v>0</v>
      </c>
      <c r="U3085" s="6">
        <v>2161</v>
      </c>
      <c r="V3085">
        <v>1</v>
      </c>
      <c r="W3085">
        <v>0</v>
      </c>
      <c r="X3085">
        <v>0</v>
      </c>
      <c r="Y3085" s="6">
        <v>46.7</v>
      </c>
      <c r="Z3085">
        <v>5.0000000000000001E-3</v>
      </c>
      <c r="AA3085">
        <v>0.106</v>
      </c>
      <c r="AB3085">
        <v>8.3000000000000004E-2</v>
      </c>
      <c r="AC3085">
        <v>5</v>
      </c>
      <c r="AD3085" s="6">
        <v>51</v>
      </c>
      <c r="AE3085" s="6">
        <v>0</v>
      </c>
      <c r="AF3085" s="6">
        <v>0</v>
      </c>
      <c r="AG3085" s="6">
        <v>137.6</v>
      </c>
      <c r="AH3085" s="6">
        <v>176.78</v>
      </c>
      <c r="AI3085" s="6">
        <f t="shared" si="96"/>
        <v>39.180000000000007</v>
      </c>
      <c r="AJ3085" s="5">
        <f t="shared" si="97"/>
        <v>0.22163140626767738</v>
      </c>
    </row>
    <row r="3086" spans="1:36">
      <c r="A3086" t="s">
        <v>537</v>
      </c>
      <c r="B3086" t="s">
        <v>3371</v>
      </c>
      <c r="C3086" t="s">
        <v>128</v>
      </c>
      <c r="D3086" t="s">
        <v>96</v>
      </c>
      <c r="E3086" t="s">
        <v>55</v>
      </c>
      <c r="F3086">
        <v>0</v>
      </c>
      <c r="G3086">
        <v>1293</v>
      </c>
      <c r="H3086">
        <v>1</v>
      </c>
      <c r="I3086" t="s">
        <v>178</v>
      </c>
      <c r="J3086">
        <v>4</v>
      </c>
      <c r="K3086" s="6">
        <v>7.29</v>
      </c>
      <c r="L3086" t="s">
        <v>174</v>
      </c>
      <c r="M3086">
        <v>0</v>
      </c>
      <c r="N3086" t="s">
        <v>187</v>
      </c>
      <c r="O3086">
        <v>2</v>
      </c>
      <c r="P3086">
        <v>0</v>
      </c>
      <c r="Q3086" s="6">
        <v>60.8</v>
      </c>
      <c r="R3086">
        <v>0</v>
      </c>
      <c r="S3086" s="6">
        <v>0</v>
      </c>
      <c r="T3086">
        <v>0</v>
      </c>
      <c r="U3086" s="6">
        <v>6915</v>
      </c>
      <c r="V3086">
        <v>0</v>
      </c>
      <c r="W3086">
        <v>0</v>
      </c>
      <c r="X3086">
        <v>0</v>
      </c>
      <c r="Y3086" s="6">
        <v>46.7</v>
      </c>
      <c r="Z3086">
        <v>5.0000000000000001E-3</v>
      </c>
      <c r="AA3086">
        <v>0.106</v>
      </c>
      <c r="AB3086">
        <v>8.3000000000000004E-2</v>
      </c>
      <c r="AC3086">
        <v>5</v>
      </c>
      <c r="AD3086" s="6">
        <v>66</v>
      </c>
      <c r="AE3086" s="6">
        <v>0</v>
      </c>
      <c r="AF3086" s="6">
        <v>0</v>
      </c>
      <c r="AG3086" s="6">
        <v>98.65</v>
      </c>
      <c r="AH3086" s="6">
        <v>127.69</v>
      </c>
      <c r="AI3086" s="6">
        <f t="shared" si="96"/>
        <v>29.039999999999992</v>
      </c>
      <c r="AJ3086" s="5">
        <f t="shared" si="97"/>
        <v>0.22742579685175027</v>
      </c>
    </row>
    <row r="3087" spans="1:36">
      <c r="A3087" t="s">
        <v>238</v>
      </c>
      <c r="B3087" t="s">
        <v>3372</v>
      </c>
      <c r="C3087" t="s">
        <v>128</v>
      </c>
      <c r="D3087" t="s">
        <v>96</v>
      </c>
      <c r="E3087" t="s">
        <v>55</v>
      </c>
      <c r="F3087">
        <v>0</v>
      </c>
      <c r="G3087">
        <v>1293</v>
      </c>
      <c r="H3087">
        <v>1</v>
      </c>
      <c r="I3087" t="s">
        <v>173</v>
      </c>
      <c r="J3087">
        <v>1</v>
      </c>
      <c r="K3087" s="6">
        <v>1.6</v>
      </c>
      <c r="L3087" t="s">
        <v>174</v>
      </c>
      <c r="M3087">
        <v>0</v>
      </c>
      <c r="N3087" t="s">
        <v>175</v>
      </c>
      <c r="O3087">
        <v>1</v>
      </c>
      <c r="P3087">
        <v>0</v>
      </c>
      <c r="Q3087" s="6">
        <v>48.5</v>
      </c>
      <c r="R3087">
        <v>0</v>
      </c>
      <c r="S3087" s="6">
        <v>0</v>
      </c>
      <c r="T3087">
        <v>0</v>
      </c>
      <c r="U3087" s="6">
        <v>1592</v>
      </c>
      <c r="V3087">
        <v>0</v>
      </c>
      <c r="W3087">
        <v>0</v>
      </c>
      <c r="X3087">
        <v>0</v>
      </c>
      <c r="Y3087" s="6">
        <v>46.7</v>
      </c>
      <c r="Z3087">
        <v>5.0000000000000001E-3</v>
      </c>
      <c r="AA3087">
        <v>0.106</v>
      </c>
      <c r="AB3087">
        <v>8.3000000000000004E-2</v>
      </c>
      <c r="AC3087">
        <v>5</v>
      </c>
      <c r="AD3087" s="6">
        <v>51</v>
      </c>
      <c r="AE3087" s="6">
        <v>0</v>
      </c>
      <c r="AF3087" s="6">
        <v>0</v>
      </c>
      <c r="AG3087" s="6">
        <v>51.57</v>
      </c>
      <c r="AH3087" s="6">
        <v>66.97</v>
      </c>
      <c r="AI3087" s="6">
        <f t="shared" si="96"/>
        <v>15.399999999999999</v>
      </c>
      <c r="AJ3087" s="5">
        <f t="shared" si="97"/>
        <v>0.22995371061669403</v>
      </c>
    </row>
    <row r="3088" spans="1:36">
      <c r="A3088" t="s">
        <v>397</v>
      </c>
      <c r="B3088" t="s">
        <v>3373</v>
      </c>
      <c r="C3088" t="s">
        <v>128</v>
      </c>
      <c r="D3088" t="s">
        <v>96</v>
      </c>
      <c r="E3088" t="s">
        <v>55</v>
      </c>
      <c r="F3088">
        <v>0</v>
      </c>
      <c r="G3088">
        <v>1293</v>
      </c>
      <c r="H3088">
        <v>1</v>
      </c>
      <c r="I3088" t="s">
        <v>173</v>
      </c>
      <c r="J3088">
        <v>1</v>
      </c>
      <c r="K3088" s="6">
        <v>2.48</v>
      </c>
      <c r="L3088" t="s">
        <v>174</v>
      </c>
      <c r="M3088">
        <v>0</v>
      </c>
      <c r="N3088" t="s">
        <v>175</v>
      </c>
      <c r="O3088">
        <v>1</v>
      </c>
      <c r="P3088">
        <v>0</v>
      </c>
      <c r="Q3088" s="6">
        <v>47</v>
      </c>
      <c r="R3088">
        <v>0</v>
      </c>
      <c r="S3088" s="6">
        <v>0</v>
      </c>
      <c r="T3088">
        <v>0</v>
      </c>
      <c r="U3088" s="6">
        <v>5029</v>
      </c>
      <c r="V3088">
        <v>0</v>
      </c>
      <c r="W3088">
        <v>0</v>
      </c>
      <c r="X3088">
        <v>0</v>
      </c>
      <c r="Y3088" s="6">
        <v>46.7</v>
      </c>
      <c r="Z3088">
        <v>5.0000000000000001E-3</v>
      </c>
      <c r="AA3088">
        <v>0.106</v>
      </c>
      <c r="AB3088">
        <v>8.3000000000000004E-2</v>
      </c>
      <c r="AC3088">
        <v>5</v>
      </c>
      <c r="AD3088" s="6">
        <v>51</v>
      </c>
      <c r="AE3088" s="6">
        <v>0</v>
      </c>
      <c r="AF3088" s="6">
        <v>0</v>
      </c>
      <c r="AG3088" s="6">
        <v>56.39</v>
      </c>
      <c r="AH3088" s="6">
        <v>75.44</v>
      </c>
      <c r="AI3088" s="6">
        <f t="shared" si="96"/>
        <v>19.049999999999997</v>
      </c>
      <c r="AJ3088" s="5">
        <f t="shared" si="97"/>
        <v>0.25251855779427357</v>
      </c>
    </row>
    <row r="3089" spans="1:36">
      <c r="A3089" t="s">
        <v>306</v>
      </c>
      <c r="B3089" t="s">
        <v>3374</v>
      </c>
      <c r="C3089" t="s">
        <v>130</v>
      </c>
      <c r="D3089" t="s">
        <v>68</v>
      </c>
      <c r="E3089" t="s">
        <v>69</v>
      </c>
      <c r="F3089">
        <v>0</v>
      </c>
      <c r="G3089">
        <v>2683</v>
      </c>
      <c r="H3089">
        <v>1</v>
      </c>
      <c r="I3089" t="s">
        <v>220</v>
      </c>
      <c r="J3089">
        <v>2</v>
      </c>
      <c r="K3089" s="6">
        <v>4.4400000000000004</v>
      </c>
      <c r="L3089" t="s">
        <v>174</v>
      </c>
      <c r="M3089">
        <v>0</v>
      </c>
      <c r="N3089" t="s">
        <v>182</v>
      </c>
      <c r="O3089">
        <v>3</v>
      </c>
      <c r="P3089">
        <v>0</v>
      </c>
      <c r="Q3089" s="6">
        <v>69.099999999999994</v>
      </c>
      <c r="R3089">
        <v>0</v>
      </c>
      <c r="S3089" s="6">
        <v>0</v>
      </c>
      <c r="T3089">
        <v>0</v>
      </c>
      <c r="U3089" s="6">
        <v>3425</v>
      </c>
      <c r="V3089">
        <v>0</v>
      </c>
      <c r="W3089">
        <v>0</v>
      </c>
      <c r="X3089">
        <v>0</v>
      </c>
      <c r="Y3089" s="6">
        <v>42.9</v>
      </c>
      <c r="Z3089">
        <v>6.0000000000000001E-3</v>
      </c>
      <c r="AA3089">
        <v>2.8000000000000001E-2</v>
      </c>
      <c r="AB3089">
        <v>0.01</v>
      </c>
      <c r="AC3089">
        <v>6</v>
      </c>
      <c r="AD3089" s="6">
        <v>50</v>
      </c>
      <c r="AE3089" s="6">
        <v>0</v>
      </c>
      <c r="AF3089" s="6">
        <v>0</v>
      </c>
      <c r="AG3089" s="6">
        <v>76.010000000000005</v>
      </c>
      <c r="AH3089" s="6">
        <v>98.11</v>
      </c>
      <c r="AI3089" s="6">
        <f t="shared" si="96"/>
        <v>22.099999999999994</v>
      </c>
      <c r="AJ3089" s="5">
        <f t="shared" si="97"/>
        <v>0.22525736418305978</v>
      </c>
    </row>
    <row r="3090" spans="1:36">
      <c r="A3090" t="s">
        <v>693</v>
      </c>
      <c r="B3090" t="s">
        <v>3375</v>
      </c>
      <c r="C3090" t="s">
        <v>130</v>
      </c>
      <c r="D3090" t="s">
        <v>68</v>
      </c>
      <c r="E3090" t="s">
        <v>69</v>
      </c>
      <c r="F3090">
        <v>0</v>
      </c>
      <c r="G3090">
        <v>2683</v>
      </c>
      <c r="H3090">
        <v>1</v>
      </c>
      <c r="I3090" t="s">
        <v>173</v>
      </c>
      <c r="J3090">
        <v>1</v>
      </c>
      <c r="K3090" s="6">
        <v>1.92</v>
      </c>
      <c r="L3090" t="s">
        <v>174</v>
      </c>
      <c r="M3090">
        <v>0</v>
      </c>
      <c r="N3090" t="s">
        <v>175</v>
      </c>
      <c r="O3090">
        <v>1</v>
      </c>
      <c r="P3090">
        <v>0</v>
      </c>
      <c r="Q3090" s="6">
        <v>37.9</v>
      </c>
      <c r="R3090">
        <v>1</v>
      </c>
      <c r="S3090" s="6">
        <v>2773</v>
      </c>
      <c r="T3090">
        <v>0</v>
      </c>
      <c r="U3090" s="6">
        <v>6562</v>
      </c>
      <c r="V3090">
        <v>0</v>
      </c>
      <c r="W3090">
        <v>0</v>
      </c>
      <c r="X3090">
        <v>0</v>
      </c>
      <c r="Y3090" s="6">
        <v>42.9</v>
      </c>
      <c r="Z3090">
        <v>6.0000000000000001E-3</v>
      </c>
      <c r="AA3090">
        <v>2.8000000000000001E-2</v>
      </c>
      <c r="AB3090">
        <v>0.01</v>
      </c>
      <c r="AC3090">
        <v>6</v>
      </c>
      <c r="AD3090" s="6">
        <v>50</v>
      </c>
      <c r="AE3090" s="6">
        <v>40</v>
      </c>
      <c r="AF3090" s="6">
        <v>0</v>
      </c>
      <c r="AG3090" s="6">
        <v>47.55</v>
      </c>
      <c r="AH3090" s="6">
        <v>64.37</v>
      </c>
      <c r="AI3090" s="6">
        <f t="shared" si="96"/>
        <v>16.820000000000007</v>
      </c>
      <c r="AJ3090" s="5">
        <f t="shared" si="97"/>
        <v>0.26130184868727679</v>
      </c>
    </row>
    <row r="3091" spans="1:36">
      <c r="A3091" t="s">
        <v>393</v>
      </c>
      <c r="B3091" t="s">
        <v>3376</v>
      </c>
      <c r="C3091" t="s">
        <v>130</v>
      </c>
      <c r="D3091" t="s">
        <v>68</v>
      </c>
      <c r="E3091" t="s">
        <v>69</v>
      </c>
      <c r="F3091">
        <v>0</v>
      </c>
      <c r="G3091">
        <v>2683</v>
      </c>
      <c r="H3091">
        <v>1</v>
      </c>
      <c r="I3091" t="s">
        <v>173</v>
      </c>
      <c r="J3091">
        <v>1</v>
      </c>
      <c r="K3091" s="6">
        <v>1.34</v>
      </c>
      <c r="L3091" t="s">
        <v>174</v>
      </c>
      <c r="M3091">
        <v>0</v>
      </c>
      <c r="N3091" t="s">
        <v>175</v>
      </c>
      <c r="O3091">
        <v>1</v>
      </c>
      <c r="P3091">
        <v>0</v>
      </c>
      <c r="Q3091" s="6">
        <v>40.6</v>
      </c>
      <c r="R3091">
        <v>0</v>
      </c>
      <c r="S3091" s="6">
        <v>0</v>
      </c>
      <c r="T3091">
        <v>0</v>
      </c>
      <c r="U3091" s="6">
        <v>8216</v>
      </c>
      <c r="V3091">
        <v>0</v>
      </c>
      <c r="W3091">
        <v>0</v>
      </c>
      <c r="X3091">
        <v>0</v>
      </c>
      <c r="Y3091" s="6">
        <v>42.9</v>
      </c>
      <c r="Z3091">
        <v>6.0000000000000001E-3</v>
      </c>
      <c r="AA3091">
        <v>2.8000000000000001E-2</v>
      </c>
      <c r="AB3091">
        <v>0.01</v>
      </c>
      <c r="AC3091">
        <v>6</v>
      </c>
      <c r="AD3091" s="6">
        <v>50</v>
      </c>
      <c r="AE3091" s="6">
        <v>0</v>
      </c>
      <c r="AF3091" s="6">
        <v>0</v>
      </c>
      <c r="AG3091" s="6">
        <v>47.29</v>
      </c>
      <c r="AH3091" s="6">
        <v>63.51</v>
      </c>
      <c r="AI3091" s="6">
        <f t="shared" si="96"/>
        <v>16.22</v>
      </c>
      <c r="AJ3091" s="5">
        <f t="shared" si="97"/>
        <v>0.25539285151944574</v>
      </c>
    </row>
    <row r="3092" spans="1:36">
      <c r="A3092" t="s">
        <v>360</v>
      </c>
      <c r="B3092" t="s">
        <v>3377</v>
      </c>
      <c r="C3092" t="s">
        <v>130</v>
      </c>
      <c r="D3092" t="s">
        <v>68</v>
      </c>
      <c r="E3092" t="s">
        <v>69</v>
      </c>
      <c r="F3092">
        <v>0</v>
      </c>
      <c r="G3092">
        <v>2683</v>
      </c>
      <c r="H3092">
        <v>1</v>
      </c>
      <c r="I3092" t="s">
        <v>173</v>
      </c>
      <c r="J3092">
        <v>1</v>
      </c>
      <c r="K3092" s="6">
        <v>1.95</v>
      </c>
      <c r="L3092" t="s">
        <v>174</v>
      </c>
      <c r="M3092">
        <v>0</v>
      </c>
      <c r="N3092" t="s">
        <v>182</v>
      </c>
      <c r="O3092">
        <v>3</v>
      </c>
      <c r="P3092">
        <v>0</v>
      </c>
      <c r="Q3092" s="6">
        <v>107.4</v>
      </c>
      <c r="R3092">
        <v>0</v>
      </c>
      <c r="S3092" s="6">
        <v>0</v>
      </c>
      <c r="T3092">
        <v>0</v>
      </c>
      <c r="U3092" s="6">
        <v>3494</v>
      </c>
      <c r="V3092">
        <v>0</v>
      </c>
      <c r="W3092">
        <v>0</v>
      </c>
      <c r="X3092">
        <v>0</v>
      </c>
      <c r="Y3092" s="6">
        <v>42.9</v>
      </c>
      <c r="Z3092">
        <v>6.0000000000000001E-3</v>
      </c>
      <c r="AA3092">
        <v>2.8000000000000001E-2</v>
      </c>
      <c r="AB3092">
        <v>0.01</v>
      </c>
      <c r="AC3092">
        <v>6</v>
      </c>
      <c r="AD3092" s="6">
        <v>50</v>
      </c>
      <c r="AE3092" s="6">
        <v>0</v>
      </c>
      <c r="AF3092" s="6">
        <v>0</v>
      </c>
      <c r="AG3092" s="6">
        <v>65.819999999999993</v>
      </c>
      <c r="AH3092" s="6">
        <v>84.08</v>
      </c>
      <c r="AI3092" s="6">
        <f t="shared" si="96"/>
        <v>18.260000000000005</v>
      </c>
      <c r="AJ3092" s="5">
        <f t="shared" si="97"/>
        <v>0.21717411988582308</v>
      </c>
    </row>
    <row r="3093" spans="1:36">
      <c r="A3093" t="s">
        <v>401</v>
      </c>
      <c r="B3093" t="s">
        <v>3378</v>
      </c>
      <c r="C3093" t="s">
        <v>130</v>
      </c>
      <c r="D3093" t="s">
        <v>68</v>
      </c>
      <c r="E3093" t="s">
        <v>69</v>
      </c>
      <c r="F3093">
        <v>0</v>
      </c>
      <c r="G3093">
        <v>2683</v>
      </c>
      <c r="H3093">
        <v>1</v>
      </c>
      <c r="I3093" t="s">
        <v>181</v>
      </c>
      <c r="J3093">
        <v>3</v>
      </c>
      <c r="K3093" s="6">
        <v>11.58</v>
      </c>
      <c r="L3093" t="s">
        <v>174</v>
      </c>
      <c r="M3093">
        <v>0</v>
      </c>
      <c r="N3093" t="s">
        <v>182</v>
      </c>
      <c r="O3093">
        <v>3</v>
      </c>
      <c r="P3093">
        <v>1</v>
      </c>
      <c r="Q3093" s="6">
        <v>99.3</v>
      </c>
      <c r="R3093">
        <v>1</v>
      </c>
      <c r="S3093" s="6">
        <v>1351</v>
      </c>
      <c r="T3093">
        <v>0</v>
      </c>
      <c r="U3093" s="6">
        <v>3185</v>
      </c>
      <c r="V3093">
        <v>0</v>
      </c>
      <c r="W3093">
        <v>0</v>
      </c>
      <c r="X3093">
        <v>0</v>
      </c>
      <c r="Y3093" s="6">
        <v>42.9</v>
      </c>
      <c r="Z3093">
        <v>6.0000000000000001E-3</v>
      </c>
      <c r="AA3093">
        <v>2.8000000000000001E-2</v>
      </c>
      <c r="AB3093">
        <v>0.01</v>
      </c>
      <c r="AC3093">
        <v>6</v>
      </c>
      <c r="AD3093" s="6">
        <v>60</v>
      </c>
      <c r="AE3093" s="6">
        <v>25</v>
      </c>
      <c r="AF3093" s="6">
        <v>0</v>
      </c>
      <c r="AG3093" s="6">
        <v>136.61000000000001</v>
      </c>
      <c r="AH3093" s="6">
        <v>170.76</v>
      </c>
      <c r="AI3093" s="6">
        <f t="shared" si="96"/>
        <v>34.149999999999977</v>
      </c>
      <c r="AJ3093" s="5">
        <f t="shared" si="97"/>
        <v>0.19998828765518845</v>
      </c>
    </row>
    <row r="3094" spans="1:36">
      <c r="A3094" t="s">
        <v>365</v>
      </c>
      <c r="B3094" t="s">
        <v>3379</v>
      </c>
      <c r="C3094" t="s">
        <v>130</v>
      </c>
      <c r="D3094" t="s">
        <v>68</v>
      </c>
      <c r="E3094" t="s">
        <v>69</v>
      </c>
      <c r="F3094">
        <v>0</v>
      </c>
      <c r="G3094">
        <v>2683</v>
      </c>
      <c r="H3094">
        <v>1</v>
      </c>
      <c r="I3094" t="s">
        <v>181</v>
      </c>
      <c r="J3094">
        <v>3</v>
      </c>
      <c r="K3094" s="6">
        <v>8.44</v>
      </c>
      <c r="L3094" t="s">
        <v>174</v>
      </c>
      <c r="M3094">
        <v>0</v>
      </c>
      <c r="N3094" t="s">
        <v>175</v>
      </c>
      <c r="O3094">
        <v>1</v>
      </c>
      <c r="P3094">
        <v>0</v>
      </c>
      <c r="Q3094" s="6">
        <v>34.299999999999997</v>
      </c>
      <c r="R3094">
        <v>0</v>
      </c>
      <c r="S3094" s="6">
        <v>0</v>
      </c>
      <c r="T3094">
        <v>0</v>
      </c>
      <c r="U3094" s="6">
        <v>3339</v>
      </c>
      <c r="V3094">
        <v>0</v>
      </c>
      <c r="W3094">
        <v>0</v>
      </c>
      <c r="X3094">
        <v>0</v>
      </c>
      <c r="Y3094" s="6">
        <v>42.9</v>
      </c>
      <c r="Z3094">
        <v>6.0000000000000001E-3</v>
      </c>
      <c r="AA3094">
        <v>2.8000000000000001E-2</v>
      </c>
      <c r="AB3094">
        <v>0.01</v>
      </c>
      <c r="AC3094">
        <v>6</v>
      </c>
      <c r="AD3094" s="6">
        <v>60</v>
      </c>
      <c r="AE3094" s="6">
        <v>0</v>
      </c>
      <c r="AF3094" s="6">
        <v>0</v>
      </c>
      <c r="AG3094" s="6">
        <v>88.12</v>
      </c>
      <c r="AH3094" s="6">
        <v>113.85</v>
      </c>
      <c r="AI3094" s="6">
        <f t="shared" si="96"/>
        <v>25.72999999999999</v>
      </c>
      <c r="AJ3094" s="5">
        <f t="shared" si="97"/>
        <v>0.22599912165129549</v>
      </c>
    </row>
    <row r="3095" spans="1:36">
      <c r="A3095" t="s">
        <v>236</v>
      </c>
      <c r="B3095" t="s">
        <v>3380</v>
      </c>
      <c r="C3095" t="s">
        <v>130</v>
      </c>
      <c r="D3095" t="s">
        <v>68</v>
      </c>
      <c r="E3095" t="s">
        <v>69</v>
      </c>
      <c r="F3095">
        <v>0</v>
      </c>
      <c r="G3095">
        <v>2683</v>
      </c>
      <c r="H3095">
        <v>1</v>
      </c>
      <c r="I3095" t="s">
        <v>220</v>
      </c>
      <c r="J3095">
        <v>2</v>
      </c>
      <c r="K3095" s="6">
        <v>2.46</v>
      </c>
      <c r="L3095" t="s">
        <v>174</v>
      </c>
      <c r="M3095">
        <v>0</v>
      </c>
      <c r="N3095" t="s">
        <v>182</v>
      </c>
      <c r="O3095">
        <v>3</v>
      </c>
      <c r="P3095">
        <v>0</v>
      </c>
      <c r="Q3095" s="6">
        <v>60.2</v>
      </c>
      <c r="R3095">
        <v>0</v>
      </c>
      <c r="S3095" s="6">
        <v>0</v>
      </c>
      <c r="T3095">
        <v>0</v>
      </c>
      <c r="U3095" s="6">
        <v>6271</v>
      </c>
      <c r="V3095">
        <v>0</v>
      </c>
      <c r="W3095">
        <v>0</v>
      </c>
      <c r="X3095">
        <v>0</v>
      </c>
      <c r="Y3095" s="6">
        <v>42.9</v>
      </c>
      <c r="Z3095">
        <v>6.0000000000000001E-3</v>
      </c>
      <c r="AA3095">
        <v>2.8000000000000001E-2</v>
      </c>
      <c r="AB3095">
        <v>0.01</v>
      </c>
      <c r="AC3095">
        <v>6</v>
      </c>
      <c r="AD3095" s="6">
        <v>50</v>
      </c>
      <c r="AE3095" s="6">
        <v>0</v>
      </c>
      <c r="AF3095" s="6">
        <v>0</v>
      </c>
      <c r="AG3095" s="6">
        <v>62.11</v>
      </c>
      <c r="AH3095" s="6">
        <v>78.95</v>
      </c>
      <c r="AI3095" s="6">
        <f t="shared" si="96"/>
        <v>16.840000000000003</v>
      </c>
      <c r="AJ3095" s="5">
        <f t="shared" si="97"/>
        <v>0.21329955668144399</v>
      </c>
    </row>
    <row r="3096" spans="1:36">
      <c r="A3096" t="s">
        <v>284</v>
      </c>
      <c r="B3096" t="s">
        <v>3381</v>
      </c>
      <c r="C3096" t="s">
        <v>130</v>
      </c>
      <c r="D3096" t="s">
        <v>68</v>
      </c>
      <c r="E3096" t="s">
        <v>69</v>
      </c>
      <c r="F3096">
        <v>0</v>
      </c>
      <c r="G3096">
        <v>2683</v>
      </c>
      <c r="H3096">
        <v>1</v>
      </c>
      <c r="I3096" t="s">
        <v>220</v>
      </c>
      <c r="J3096">
        <v>2</v>
      </c>
      <c r="K3096" s="6">
        <v>4.76</v>
      </c>
      <c r="L3096" t="s">
        <v>174</v>
      </c>
      <c r="M3096">
        <v>0</v>
      </c>
      <c r="N3096" t="s">
        <v>175</v>
      </c>
      <c r="O3096">
        <v>1</v>
      </c>
      <c r="P3096">
        <v>0</v>
      </c>
      <c r="Q3096" s="6">
        <v>30.4</v>
      </c>
      <c r="R3096">
        <v>0</v>
      </c>
      <c r="S3096" s="6">
        <v>0</v>
      </c>
      <c r="T3096">
        <v>0</v>
      </c>
      <c r="U3096" s="6">
        <v>5287</v>
      </c>
      <c r="V3096">
        <v>0</v>
      </c>
      <c r="W3096">
        <v>0</v>
      </c>
      <c r="X3096">
        <v>0</v>
      </c>
      <c r="Y3096" s="6">
        <v>42.9</v>
      </c>
      <c r="Z3096">
        <v>6.0000000000000001E-3</v>
      </c>
      <c r="AA3096">
        <v>2.8000000000000001E-2</v>
      </c>
      <c r="AB3096">
        <v>0.01</v>
      </c>
      <c r="AC3096">
        <v>6</v>
      </c>
      <c r="AD3096" s="6">
        <v>50</v>
      </c>
      <c r="AE3096" s="6">
        <v>0</v>
      </c>
      <c r="AF3096" s="6">
        <v>0</v>
      </c>
      <c r="AG3096" s="6">
        <v>58.01</v>
      </c>
      <c r="AH3096" s="6">
        <v>75.760000000000005</v>
      </c>
      <c r="AI3096" s="6">
        <f t="shared" si="96"/>
        <v>17.750000000000007</v>
      </c>
      <c r="AJ3096" s="5">
        <f t="shared" si="97"/>
        <v>0.23429250263991561</v>
      </c>
    </row>
    <row r="3097" spans="1:36">
      <c r="A3097" t="s">
        <v>431</v>
      </c>
      <c r="B3097" t="s">
        <v>3382</v>
      </c>
      <c r="C3097" t="s">
        <v>130</v>
      </c>
      <c r="D3097" t="s">
        <v>68</v>
      </c>
      <c r="E3097" t="s">
        <v>69</v>
      </c>
      <c r="F3097">
        <v>0</v>
      </c>
      <c r="G3097">
        <v>2683</v>
      </c>
      <c r="H3097">
        <v>1</v>
      </c>
      <c r="I3097" t="s">
        <v>181</v>
      </c>
      <c r="J3097">
        <v>3</v>
      </c>
      <c r="K3097" s="6">
        <v>6.85</v>
      </c>
      <c r="L3097" t="s">
        <v>174</v>
      </c>
      <c r="M3097">
        <v>0</v>
      </c>
      <c r="N3097" t="s">
        <v>175</v>
      </c>
      <c r="O3097">
        <v>1</v>
      </c>
      <c r="P3097">
        <v>0</v>
      </c>
      <c r="Q3097" s="6">
        <v>29.1</v>
      </c>
      <c r="R3097">
        <v>1</v>
      </c>
      <c r="S3097" s="6">
        <v>1161</v>
      </c>
      <c r="T3097">
        <v>0</v>
      </c>
      <c r="U3097" s="6">
        <v>5600</v>
      </c>
      <c r="V3097">
        <v>0</v>
      </c>
      <c r="W3097">
        <v>0</v>
      </c>
      <c r="X3097">
        <v>0</v>
      </c>
      <c r="Y3097" s="6">
        <v>42.9</v>
      </c>
      <c r="Z3097">
        <v>6.0000000000000001E-3</v>
      </c>
      <c r="AA3097">
        <v>2.8000000000000001E-2</v>
      </c>
      <c r="AB3097">
        <v>0.01</v>
      </c>
      <c r="AC3097">
        <v>6</v>
      </c>
      <c r="AD3097" s="6">
        <v>60</v>
      </c>
      <c r="AE3097" s="6">
        <v>25</v>
      </c>
      <c r="AF3097" s="6">
        <v>0</v>
      </c>
      <c r="AG3097" s="6">
        <v>77.260000000000005</v>
      </c>
      <c r="AH3097" s="6">
        <v>100.81</v>
      </c>
      <c r="AI3097" s="6">
        <f t="shared" si="96"/>
        <v>23.549999999999997</v>
      </c>
      <c r="AJ3097" s="5">
        <f t="shared" si="97"/>
        <v>0.23360777700624935</v>
      </c>
    </row>
    <row r="3098" spans="1:36">
      <c r="A3098" t="s">
        <v>221</v>
      </c>
      <c r="B3098" t="s">
        <v>3383</v>
      </c>
      <c r="C3098" t="s">
        <v>130</v>
      </c>
      <c r="D3098" t="s">
        <v>68</v>
      </c>
      <c r="E3098" t="s">
        <v>69</v>
      </c>
      <c r="F3098">
        <v>0</v>
      </c>
      <c r="G3098">
        <v>2683</v>
      </c>
      <c r="H3098">
        <v>1</v>
      </c>
      <c r="I3098" t="s">
        <v>181</v>
      </c>
      <c r="J3098">
        <v>3</v>
      </c>
      <c r="K3098" s="6">
        <v>6.58</v>
      </c>
      <c r="L3098" t="s">
        <v>174</v>
      </c>
      <c r="M3098">
        <v>0</v>
      </c>
      <c r="N3098" t="s">
        <v>175</v>
      </c>
      <c r="O3098">
        <v>1</v>
      </c>
      <c r="P3098">
        <v>0</v>
      </c>
      <c r="Q3098" s="6">
        <v>7.3</v>
      </c>
      <c r="R3098">
        <v>1</v>
      </c>
      <c r="S3098" s="6">
        <v>2331</v>
      </c>
      <c r="T3098">
        <v>0</v>
      </c>
      <c r="U3098" s="6">
        <v>4995</v>
      </c>
      <c r="V3098">
        <v>0</v>
      </c>
      <c r="W3098">
        <v>0</v>
      </c>
      <c r="X3098">
        <v>0</v>
      </c>
      <c r="Y3098" s="6">
        <v>42.9</v>
      </c>
      <c r="Z3098">
        <v>6.0000000000000001E-3</v>
      </c>
      <c r="AA3098">
        <v>2.8000000000000001E-2</v>
      </c>
      <c r="AB3098">
        <v>0.01</v>
      </c>
      <c r="AC3098">
        <v>6</v>
      </c>
      <c r="AD3098" s="6">
        <v>60</v>
      </c>
      <c r="AE3098" s="6">
        <v>40</v>
      </c>
      <c r="AF3098" s="6">
        <v>0</v>
      </c>
      <c r="AG3098" s="6">
        <v>74.09</v>
      </c>
      <c r="AH3098" s="6">
        <v>96.2</v>
      </c>
      <c r="AI3098" s="6">
        <f t="shared" si="96"/>
        <v>22.11</v>
      </c>
      <c r="AJ3098" s="5">
        <f t="shared" si="97"/>
        <v>0.22983367983367983</v>
      </c>
    </row>
    <row r="3099" spans="1:36">
      <c r="A3099" t="s">
        <v>249</v>
      </c>
      <c r="B3099" t="s">
        <v>3384</v>
      </c>
      <c r="C3099" t="s">
        <v>130</v>
      </c>
      <c r="D3099" t="s">
        <v>68</v>
      </c>
      <c r="E3099" t="s">
        <v>69</v>
      </c>
      <c r="F3099">
        <v>0</v>
      </c>
      <c r="G3099">
        <v>2683</v>
      </c>
      <c r="H3099">
        <v>1</v>
      </c>
      <c r="I3099" t="s">
        <v>173</v>
      </c>
      <c r="J3099">
        <v>1</v>
      </c>
      <c r="K3099" s="6">
        <v>1.21</v>
      </c>
      <c r="L3099" t="s">
        <v>174</v>
      </c>
      <c r="M3099">
        <v>0</v>
      </c>
      <c r="N3099" t="s">
        <v>175</v>
      </c>
      <c r="O3099">
        <v>1</v>
      </c>
      <c r="P3099">
        <v>0</v>
      </c>
      <c r="Q3099" s="6">
        <v>18.8</v>
      </c>
      <c r="R3099">
        <v>1</v>
      </c>
      <c r="S3099" s="6">
        <v>1379</v>
      </c>
      <c r="T3099">
        <v>0</v>
      </c>
      <c r="U3099" s="6">
        <v>3155</v>
      </c>
      <c r="V3099">
        <v>0</v>
      </c>
      <c r="W3099">
        <v>0</v>
      </c>
      <c r="X3099">
        <v>0</v>
      </c>
      <c r="Y3099" s="6">
        <v>42.9</v>
      </c>
      <c r="Z3099">
        <v>6.0000000000000001E-3</v>
      </c>
      <c r="AA3099">
        <v>2.8000000000000001E-2</v>
      </c>
      <c r="AB3099">
        <v>0.01</v>
      </c>
      <c r="AC3099">
        <v>6</v>
      </c>
      <c r="AD3099" s="6">
        <v>50</v>
      </c>
      <c r="AE3099" s="6">
        <v>25</v>
      </c>
      <c r="AF3099" s="6">
        <v>0</v>
      </c>
      <c r="AG3099" s="6">
        <v>43.86</v>
      </c>
      <c r="AH3099" s="6">
        <v>55.18</v>
      </c>
      <c r="AI3099" s="6">
        <f t="shared" si="96"/>
        <v>11.32</v>
      </c>
      <c r="AJ3099" s="5">
        <f t="shared" si="97"/>
        <v>0.20514679231605654</v>
      </c>
    </row>
    <row r="3100" spans="1:36">
      <c r="A3100" t="s">
        <v>179</v>
      </c>
      <c r="B3100" t="s">
        <v>3385</v>
      </c>
      <c r="C3100" t="s">
        <v>130</v>
      </c>
      <c r="D3100" t="s">
        <v>68</v>
      </c>
      <c r="E3100" t="s">
        <v>69</v>
      </c>
      <c r="F3100">
        <v>0</v>
      </c>
      <c r="G3100">
        <v>2683</v>
      </c>
      <c r="H3100">
        <v>1</v>
      </c>
      <c r="I3100" t="s">
        <v>220</v>
      </c>
      <c r="J3100">
        <v>2</v>
      </c>
      <c r="K3100" s="6">
        <v>4.6399999999999997</v>
      </c>
      <c r="L3100" t="s">
        <v>174</v>
      </c>
      <c r="M3100">
        <v>0</v>
      </c>
      <c r="N3100" t="s">
        <v>217</v>
      </c>
      <c r="O3100">
        <v>4</v>
      </c>
      <c r="P3100">
        <v>1</v>
      </c>
      <c r="Q3100" s="6">
        <v>180.9</v>
      </c>
      <c r="R3100">
        <v>1</v>
      </c>
      <c r="S3100" s="6">
        <v>1215</v>
      </c>
      <c r="T3100">
        <v>0</v>
      </c>
      <c r="U3100" s="6">
        <v>4594</v>
      </c>
      <c r="V3100">
        <v>0</v>
      </c>
      <c r="W3100">
        <v>0</v>
      </c>
      <c r="X3100">
        <v>0</v>
      </c>
      <c r="Y3100" s="6">
        <v>42.9</v>
      </c>
      <c r="Z3100">
        <v>6.0000000000000001E-3</v>
      </c>
      <c r="AA3100">
        <v>2.8000000000000001E-2</v>
      </c>
      <c r="AB3100">
        <v>0.01</v>
      </c>
      <c r="AC3100">
        <v>6</v>
      </c>
      <c r="AD3100" s="6">
        <v>50</v>
      </c>
      <c r="AE3100" s="6">
        <v>25</v>
      </c>
      <c r="AF3100" s="6">
        <v>0</v>
      </c>
      <c r="AG3100" s="6">
        <v>108.39</v>
      </c>
      <c r="AH3100" s="6">
        <v>137.88</v>
      </c>
      <c r="AI3100" s="6">
        <f t="shared" si="96"/>
        <v>29.489999999999995</v>
      </c>
      <c r="AJ3100" s="5">
        <f t="shared" si="97"/>
        <v>0.21388163620539596</v>
      </c>
    </row>
    <row r="3101" spans="1:36">
      <c r="A3101" t="s">
        <v>355</v>
      </c>
      <c r="B3101" t="s">
        <v>3386</v>
      </c>
      <c r="C3101" t="s">
        <v>130</v>
      </c>
      <c r="D3101" t="s">
        <v>68</v>
      </c>
      <c r="E3101" t="s">
        <v>69</v>
      </c>
      <c r="F3101">
        <v>0</v>
      </c>
      <c r="G3101">
        <v>2683</v>
      </c>
      <c r="H3101">
        <v>1</v>
      </c>
      <c r="I3101" t="s">
        <v>220</v>
      </c>
      <c r="J3101">
        <v>2</v>
      </c>
      <c r="K3101" s="6">
        <v>5.27</v>
      </c>
      <c r="L3101" t="s">
        <v>174</v>
      </c>
      <c r="M3101">
        <v>0</v>
      </c>
      <c r="N3101" t="s">
        <v>187</v>
      </c>
      <c r="O3101">
        <v>2</v>
      </c>
      <c r="P3101">
        <v>1</v>
      </c>
      <c r="Q3101" s="6">
        <v>58.7</v>
      </c>
      <c r="R3101">
        <v>0</v>
      </c>
      <c r="S3101" s="6">
        <v>0</v>
      </c>
      <c r="T3101">
        <v>0</v>
      </c>
      <c r="U3101" s="6">
        <v>13447</v>
      </c>
      <c r="V3101">
        <v>0</v>
      </c>
      <c r="W3101">
        <v>0</v>
      </c>
      <c r="X3101">
        <v>0</v>
      </c>
      <c r="Y3101" s="6">
        <v>42.9</v>
      </c>
      <c r="Z3101">
        <v>6.0000000000000001E-3</v>
      </c>
      <c r="AA3101">
        <v>2.8000000000000001E-2</v>
      </c>
      <c r="AB3101">
        <v>0.01</v>
      </c>
      <c r="AC3101">
        <v>6</v>
      </c>
      <c r="AD3101" s="6">
        <v>50</v>
      </c>
      <c r="AE3101" s="6">
        <v>0</v>
      </c>
      <c r="AF3101" s="6">
        <v>0</v>
      </c>
      <c r="AG3101" s="6">
        <v>90.01</v>
      </c>
      <c r="AH3101" s="6">
        <v>114.26</v>
      </c>
      <c r="AI3101" s="6">
        <f t="shared" si="96"/>
        <v>24.25</v>
      </c>
      <c r="AJ3101" s="5">
        <f t="shared" si="97"/>
        <v>0.21223525293190967</v>
      </c>
    </row>
    <row r="3102" spans="1:36">
      <c r="A3102" t="s">
        <v>311</v>
      </c>
      <c r="B3102" t="s">
        <v>3387</v>
      </c>
      <c r="C3102" t="s">
        <v>130</v>
      </c>
      <c r="D3102" t="s">
        <v>68</v>
      </c>
      <c r="E3102" t="s">
        <v>69</v>
      </c>
      <c r="F3102">
        <v>0</v>
      </c>
      <c r="G3102">
        <v>2683</v>
      </c>
      <c r="H3102">
        <v>1</v>
      </c>
      <c r="I3102" t="s">
        <v>173</v>
      </c>
      <c r="J3102">
        <v>1</v>
      </c>
      <c r="K3102" s="6">
        <v>2.73</v>
      </c>
      <c r="L3102" t="s">
        <v>174</v>
      </c>
      <c r="M3102">
        <v>0</v>
      </c>
      <c r="N3102" t="s">
        <v>217</v>
      </c>
      <c r="O3102">
        <v>4</v>
      </c>
      <c r="P3102">
        <v>1</v>
      </c>
      <c r="Q3102" s="6">
        <v>124.1</v>
      </c>
      <c r="R3102">
        <v>0</v>
      </c>
      <c r="S3102" s="6">
        <v>0</v>
      </c>
      <c r="T3102">
        <v>0</v>
      </c>
      <c r="U3102" s="6">
        <v>8986</v>
      </c>
      <c r="V3102">
        <v>0</v>
      </c>
      <c r="W3102">
        <v>0</v>
      </c>
      <c r="X3102">
        <v>0</v>
      </c>
      <c r="Y3102" s="6">
        <v>42.9</v>
      </c>
      <c r="Z3102">
        <v>6.0000000000000001E-3</v>
      </c>
      <c r="AA3102">
        <v>2.8000000000000001E-2</v>
      </c>
      <c r="AB3102">
        <v>0.01</v>
      </c>
      <c r="AC3102">
        <v>6</v>
      </c>
      <c r="AD3102" s="6">
        <v>50</v>
      </c>
      <c r="AE3102" s="6">
        <v>0</v>
      </c>
      <c r="AF3102" s="6">
        <v>0</v>
      </c>
      <c r="AG3102" s="6">
        <v>102.28</v>
      </c>
      <c r="AH3102" s="6">
        <v>129.96</v>
      </c>
      <c r="AI3102" s="6">
        <f t="shared" si="96"/>
        <v>27.680000000000007</v>
      </c>
      <c r="AJ3102" s="5">
        <f t="shared" si="97"/>
        <v>0.21298861188057869</v>
      </c>
    </row>
    <row r="3103" spans="1:36">
      <c r="A3103" t="s">
        <v>221</v>
      </c>
      <c r="B3103" t="s">
        <v>3388</v>
      </c>
      <c r="C3103" t="s">
        <v>130</v>
      </c>
      <c r="D3103" t="s">
        <v>68</v>
      </c>
      <c r="E3103" t="s">
        <v>69</v>
      </c>
      <c r="F3103">
        <v>0</v>
      </c>
      <c r="G3103">
        <v>2683</v>
      </c>
      <c r="H3103">
        <v>1</v>
      </c>
      <c r="I3103" t="s">
        <v>220</v>
      </c>
      <c r="J3103">
        <v>2</v>
      </c>
      <c r="K3103" s="6">
        <v>4.67</v>
      </c>
      <c r="L3103" t="s">
        <v>174</v>
      </c>
      <c r="M3103">
        <v>0</v>
      </c>
      <c r="N3103" t="s">
        <v>217</v>
      </c>
      <c r="O3103">
        <v>4</v>
      </c>
      <c r="P3103">
        <v>1</v>
      </c>
      <c r="Q3103" s="6">
        <v>149.1</v>
      </c>
      <c r="R3103">
        <v>0</v>
      </c>
      <c r="S3103" s="6">
        <v>0</v>
      </c>
      <c r="T3103">
        <v>0</v>
      </c>
      <c r="U3103" s="6">
        <v>6779</v>
      </c>
      <c r="V3103">
        <v>0</v>
      </c>
      <c r="W3103">
        <v>0</v>
      </c>
      <c r="X3103">
        <v>0</v>
      </c>
      <c r="Y3103" s="6">
        <v>42.9</v>
      </c>
      <c r="Z3103">
        <v>6.0000000000000001E-3</v>
      </c>
      <c r="AA3103">
        <v>2.8000000000000001E-2</v>
      </c>
      <c r="AB3103">
        <v>0.01</v>
      </c>
      <c r="AC3103">
        <v>6</v>
      </c>
      <c r="AD3103" s="6">
        <v>50</v>
      </c>
      <c r="AE3103" s="6">
        <v>0</v>
      </c>
      <c r="AF3103" s="6">
        <v>0</v>
      </c>
      <c r="AG3103" s="6">
        <v>109.29</v>
      </c>
      <c r="AH3103" s="6">
        <v>138.59</v>
      </c>
      <c r="AI3103" s="6">
        <f t="shared" si="96"/>
        <v>29.299999999999997</v>
      </c>
      <c r="AJ3103" s="5">
        <f t="shared" si="97"/>
        <v>0.21141496500469006</v>
      </c>
    </row>
    <row r="3104" spans="1:36">
      <c r="A3104" t="s">
        <v>393</v>
      </c>
      <c r="B3104" t="s">
        <v>3389</v>
      </c>
      <c r="C3104" t="s">
        <v>130</v>
      </c>
      <c r="D3104" t="s">
        <v>68</v>
      </c>
      <c r="E3104" t="s">
        <v>69</v>
      </c>
      <c r="F3104">
        <v>0</v>
      </c>
      <c r="G3104">
        <v>2683</v>
      </c>
      <c r="H3104">
        <v>1</v>
      </c>
      <c r="I3104" t="s">
        <v>181</v>
      </c>
      <c r="J3104">
        <v>3</v>
      </c>
      <c r="K3104" s="6">
        <v>9.36</v>
      </c>
      <c r="L3104" t="s">
        <v>174</v>
      </c>
      <c r="M3104">
        <v>0</v>
      </c>
      <c r="N3104" t="s">
        <v>182</v>
      </c>
      <c r="O3104">
        <v>3</v>
      </c>
      <c r="P3104">
        <v>0</v>
      </c>
      <c r="Q3104" s="6">
        <v>87.6</v>
      </c>
      <c r="R3104">
        <v>0</v>
      </c>
      <c r="S3104" s="6">
        <v>0</v>
      </c>
      <c r="T3104">
        <v>0</v>
      </c>
      <c r="U3104" s="6">
        <v>6138</v>
      </c>
      <c r="V3104">
        <v>0</v>
      </c>
      <c r="W3104">
        <v>0</v>
      </c>
      <c r="X3104">
        <v>0</v>
      </c>
      <c r="Y3104" s="6">
        <v>42.9</v>
      </c>
      <c r="Z3104">
        <v>6.0000000000000001E-3</v>
      </c>
      <c r="AA3104">
        <v>2.8000000000000001E-2</v>
      </c>
      <c r="AB3104">
        <v>0.01</v>
      </c>
      <c r="AC3104">
        <v>6</v>
      </c>
      <c r="AD3104" s="6">
        <v>60</v>
      </c>
      <c r="AE3104" s="6">
        <v>0</v>
      </c>
      <c r="AF3104" s="6">
        <v>0</v>
      </c>
      <c r="AG3104" s="6">
        <v>105.37</v>
      </c>
      <c r="AH3104" s="6">
        <v>133.62</v>
      </c>
      <c r="AI3104" s="6">
        <f t="shared" si="96"/>
        <v>28.25</v>
      </c>
      <c r="AJ3104" s="5">
        <f t="shared" si="97"/>
        <v>0.21142044604101182</v>
      </c>
    </row>
    <row r="3105" spans="1:36">
      <c r="A3105" t="s">
        <v>277</v>
      </c>
      <c r="B3105" t="s">
        <v>3390</v>
      </c>
      <c r="C3105" t="s">
        <v>130</v>
      </c>
      <c r="D3105" t="s">
        <v>68</v>
      </c>
      <c r="E3105" t="s">
        <v>69</v>
      </c>
      <c r="F3105">
        <v>0</v>
      </c>
      <c r="G3105">
        <v>2683</v>
      </c>
      <c r="H3105">
        <v>1</v>
      </c>
      <c r="I3105" t="s">
        <v>173</v>
      </c>
      <c r="J3105">
        <v>1</v>
      </c>
      <c r="K3105" s="6">
        <v>2.08</v>
      </c>
      <c r="L3105" t="s">
        <v>174</v>
      </c>
      <c r="M3105">
        <v>0</v>
      </c>
      <c r="N3105" t="s">
        <v>187</v>
      </c>
      <c r="O3105">
        <v>2</v>
      </c>
      <c r="P3105">
        <v>0</v>
      </c>
      <c r="Q3105" s="6">
        <v>52.4</v>
      </c>
      <c r="R3105">
        <v>0</v>
      </c>
      <c r="S3105" s="6">
        <v>0</v>
      </c>
      <c r="T3105">
        <v>0</v>
      </c>
      <c r="U3105" s="6">
        <v>5518</v>
      </c>
      <c r="V3105">
        <v>0</v>
      </c>
      <c r="W3105">
        <v>0</v>
      </c>
      <c r="X3105">
        <v>0</v>
      </c>
      <c r="Y3105" s="6">
        <v>42.9</v>
      </c>
      <c r="Z3105">
        <v>6.0000000000000001E-3</v>
      </c>
      <c r="AA3105">
        <v>2.8000000000000001E-2</v>
      </c>
      <c r="AB3105">
        <v>0.01</v>
      </c>
      <c r="AC3105">
        <v>6</v>
      </c>
      <c r="AD3105" s="6">
        <v>50</v>
      </c>
      <c r="AE3105" s="6">
        <v>0</v>
      </c>
      <c r="AF3105" s="6">
        <v>0</v>
      </c>
      <c r="AG3105" s="6">
        <v>50.58</v>
      </c>
      <c r="AH3105" s="6">
        <v>64</v>
      </c>
      <c r="AI3105" s="6">
        <f t="shared" si="96"/>
        <v>13.420000000000002</v>
      </c>
      <c r="AJ3105" s="5">
        <f t="shared" si="97"/>
        <v>0.20968750000000003</v>
      </c>
    </row>
    <row r="3106" spans="1:36">
      <c r="A3106" t="s">
        <v>411</v>
      </c>
      <c r="B3106" t="s">
        <v>3391</v>
      </c>
      <c r="C3106" t="s">
        <v>130</v>
      </c>
      <c r="D3106" t="s">
        <v>68</v>
      </c>
      <c r="E3106" t="s">
        <v>69</v>
      </c>
      <c r="F3106">
        <v>0</v>
      </c>
      <c r="G3106">
        <v>2683</v>
      </c>
      <c r="H3106">
        <v>1</v>
      </c>
      <c r="I3106" t="s">
        <v>181</v>
      </c>
      <c r="J3106">
        <v>3</v>
      </c>
      <c r="K3106" s="6">
        <v>10.06</v>
      </c>
      <c r="L3106" t="s">
        <v>174</v>
      </c>
      <c r="M3106">
        <v>0</v>
      </c>
      <c r="N3106" t="s">
        <v>187</v>
      </c>
      <c r="O3106">
        <v>2</v>
      </c>
      <c r="P3106">
        <v>0</v>
      </c>
      <c r="Q3106" s="6">
        <v>60.5</v>
      </c>
      <c r="R3106">
        <v>0</v>
      </c>
      <c r="S3106" s="6">
        <v>0</v>
      </c>
      <c r="T3106">
        <v>0</v>
      </c>
      <c r="U3106" s="6">
        <v>4105</v>
      </c>
      <c r="V3106">
        <v>0</v>
      </c>
      <c r="W3106">
        <v>0</v>
      </c>
      <c r="X3106">
        <v>0</v>
      </c>
      <c r="Y3106" s="6">
        <v>42.9</v>
      </c>
      <c r="Z3106">
        <v>6.0000000000000001E-3</v>
      </c>
      <c r="AA3106">
        <v>2.8000000000000001E-2</v>
      </c>
      <c r="AB3106">
        <v>0.01</v>
      </c>
      <c r="AC3106">
        <v>6</v>
      </c>
      <c r="AD3106" s="6">
        <v>60</v>
      </c>
      <c r="AE3106" s="6">
        <v>0</v>
      </c>
      <c r="AF3106" s="6">
        <v>0</v>
      </c>
      <c r="AG3106" s="6">
        <v>99.29</v>
      </c>
      <c r="AH3106" s="6">
        <v>124.22</v>
      </c>
      <c r="AI3106" s="6">
        <f t="shared" si="96"/>
        <v>24.929999999999993</v>
      </c>
      <c r="AJ3106" s="5">
        <f t="shared" si="97"/>
        <v>0.20069232007728219</v>
      </c>
    </row>
    <row r="3107" spans="1:36">
      <c r="A3107" t="s">
        <v>381</v>
      </c>
      <c r="B3107" t="s">
        <v>3392</v>
      </c>
      <c r="C3107" t="s">
        <v>130</v>
      </c>
      <c r="D3107" t="s">
        <v>68</v>
      </c>
      <c r="E3107" t="s">
        <v>69</v>
      </c>
      <c r="F3107">
        <v>0</v>
      </c>
      <c r="G3107">
        <v>2683</v>
      </c>
      <c r="H3107">
        <v>1</v>
      </c>
      <c r="I3107" t="s">
        <v>220</v>
      </c>
      <c r="J3107">
        <v>2</v>
      </c>
      <c r="K3107" s="6">
        <v>3.78</v>
      </c>
      <c r="L3107" t="s">
        <v>174</v>
      </c>
      <c r="M3107">
        <v>0</v>
      </c>
      <c r="N3107" t="s">
        <v>175</v>
      </c>
      <c r="O3107">
        <v>1</v>
      </c>
      <c r="P3107">
        <v>0</v>
      </c>
      <c r="Q3107" s="6">
        <v>32.700000000000003</v>
      </c>
      <c r="R3107">
        <v>0</v>
      </c>
      <c r="S3107" s="6">
        <v>0</v>
      </c>
      <c r="T3107">
        <v>0</v>
      </c>
      <c r="U3107" s="6">
        <v>1972</v>
      </c>
      <c r="V3107">
        <v>0</v>
      </c>
      <c r="W3107">
        <v>0</v>
      </c>
      <c r="X3107">
        <v>0</v>
      </c>
      <c r="Y3107" s="6">
        <v>42.9</v>
      </c>
      <c r="Z3107">
        <v>6.0000000000000001E-3</v>
      </c>
      <c r="AA3107">
        <v>2.8000000000000001E-2</v>
      </c>
      <c r="AB3107">
        <v>0.01</v>
      </c>
      <c r="AC3107">
        <v>6</v>
      </c>
      <c r="AD3107" s="6">
        <v>50</v>
      </c>
      <c r="AE3107" s="6">
        <v>0</v>
      </c>
      <c r="AF3107" s="6">
        <v>0</v>
      </c>
      <c r="AG3107" s="6">
        <v>53.57</v>
      </c>
      <c r="AH3107" s="6">
        <v>69.900000000000006</v>
      </c>
      <c r="AI3107" s="6">
        <f t="shared" si="96"/>
        <v>16.330000000000005</v>
      </c>
      <c r="AJ3107" s="5">
        <f t="shared" si="97"/>
        <v>0.23361945636623754</v>
      </c>
    </row>
    <row r="3108" spans="1:36">
      <c r="A3108" t="s">
        <v>478</v>
      </c>
      <c r="B3108" t="s">
        <v>3393</v>
      </c>
      <c r="C3108" t="s">
        <v>130</v>
      </c>
      <c r="D3108" t="s">
        <v>68</v>
      </c>
      <c r="E3108" t="s">
        <v>69</v>
      </c>
      <c r="F3108">
        <v>0</v>
      </c>
      <c r="G3108">
        <v>2683</v>
      </c>
      <c r="H3108">
        <v>1</v>
      </c>
      <c r="I3108" t="s">
        <v>173</v>
      </c>
      <c r="J3108">
        <v>1</v>
      </c>
      <c r="K3108" s="6">
        <v>2.69</v>
      </c>
      <c r="L3108" t="s">
        <v>174</v>
      </c>
      <c r="M3108">
        <v>0</v>
      </c>
      <c r="N3108" t="s">
        <v>175</v>
      </c>
      <c r="O3108">
        <v>1</v>
      </c>
      <c r="P3108">
        <v>0</v>
      </c>
      <c r="Q3108" s="6">
        <v>41.4</v>
      </c>
      <c r="R3108">
        <v>0</v>
      </c>
      <c r="S3108" s="6">
        <v>0</v>
      </c>
      <c r="T3108">
        <v>0</v>
      </c>
      <c r="U3108" s="6">
        <v>5591</v>
      </c>
      <c r="V3108">
        <v>0</v>
      </c>
      <c r="W3108">
        <v>0</v>
      </c>
      <c r="X3108">
        <v>0</v>
      </c>
      <c r="Y3108" s="6">
        <v>42.9</v>
      </c>
      <c r="Z3108">
        <v>6.0000000000000001E-3</v>
      </c>
      <c r="AA3108">
        <v>2.8000000000000001E-2</v>
      </c>
      <c r="AB3108">
        <v>0.01</v>
      </c>
      <c r="AC3108">
        <v>6</v>
      </c>
      <c r="AD3108" s="6">
        <v>50</v>
      </c>
      <c r="AE3108" s="6">
        <v>0</v>
      </c>
      <c r="AF3108" s="6">
        <v>0</v>
      </c>
      <c r="AG3108" s="6">
        <v>49.93</v>
      </c>
      <c r="AH3108" s="6">
        <v>64.78</v>
      </c>
      <c r="AI3108" s="6">
        <f t="shared" si="96"/>
        <v>14.850000000000001</v>
      </c>
      <c r="AJ3108" s="5">
        <f t="shared" si="97"/>
        <v>0.22923741895646807</v>
      </c>
    </row>
    <row r="3109" spans="1:36">
      <c r="A3109" t="s">
        <v>355</v>
      </c>
      <c r="B3109" t="s">
        <v>3394</v>
      </c>
      <c r="C3109" t="s">
        <v>130</v>
      </c>
      <c r="D3109" t="s">
        <v>68</v>
      </c>
      <c r="E3109" t="s">
        <v>69</v>
      </c>
      <c r="F3109">
        <v>0</v>
      </c>
      <c r="G3109">
        <v>2683</v>
      </c>
      <c r="H3109">
        <v>1</v>
      </c>
      <c r="I3109" t="s">
        <v>181</v>
      </c>
      <c r="J3109">
        <v>3</v>
      </c>
      <c r="K3109" s="6">
        <v>8.2799999999999994</v>
      </c>
      <c r="L3109" t="s">
        <v>174</v>
      </c>
      <c r="M3109">
        <v>0</v>
      </c>
      <c r="N3109" t="s">
        <v>272</v>
      </c>
      <c r="O3109">
        <v>5</v>
      </c>
      <c r="P3109">
        <v>1</v>
      </c>
      <c r="Q3109" s="6">
        <v>279.7</v>
      </c>
      <c r="R3109">
        <v>0</v>
      </c>
      <c r="S3109" s="6">
        <v>0</v>
      </c>
      <c r="T3109">
        <v>0</v>
      </c>
      <c r="U3109" s="6">
        <v>8009</v>
      </c>
      <c r="V3109">
        <v>0</v>
      </c>
      <c r="W3109">
        <v>0</v>
      </c>
      <c r="X3109">
        <v>0</v>
      </c>
      <c r="Y3109" s="6">
        <v>42.9</v>
      </c>
      <c r="Z3109">
        <v>6.0000000000000001E-3</v>
      </c>
      <c r="AA3109">
        <v>2.8000000000000001E-2</v>
      </c>
      <c r="AB3109">
        <v>0.01</v>
      </c>
      <c r="AC3109">
        <v>6</v>
      </c>
      <c r="AD3109" s="6">
        <v>60</v>
      </c>
      <c r="AE3109" s="6">
        <v>0</v>
      </c>
      <c r="AF3109" s="6">
        <v>0</v>
      </c>
      <c r="AG3109" s="6">
        <v>185.52</v>
      </c>
      <c r="AH3109" s="6">
        <v>234.38</v>
      </c>
      <c r="AI3109" s="6">
        <f t="shared" si="96"/>
        <v>48.859999999999985</v>
      </c>
      <c r="AJ3109" s="5">
        <f t="shared" si="97"/>
        <v>0.20846488608243019</v>
      </c>
    </row>
    <row r="3110" spans="1:36">
      <c r="A3110" t="s">
        <v>403</v>
      </c>
      <c r="B3110" t="s">
        <v>3395</v>
      </c>
      <c r="C3110" t="s">
        <v>130</v>
      </c>
      <c r="D3110" t="s">
        <v>68</v>
      </c>
      <c r="E3110" t="s">
        <v>69</v>
      </c>
      <c r="F3110">
        <v>0</v>
      </c>
      <c r="G3110">
        <v>2683</v>
      </c>
      <c r="H3110">
        <v>1</v>
      </c>
      <c r="I3110" t="s">
        <v>173</v>
      </c>
      <c r="J3110">
        <v>1</v>
      </c>
      <c r="K3110" s="6">
        <v>1.61</v>
      </c>
      <c r="L3110" t="s">
        <v>174</v>
      </c>
      <c r="M3110">
        <v>0</v>
      </c>
      <c r="N3110" t="s">
        <v>175</v>
      </c>
      <c r="O3110">
        <v>1</v>
      </c>
      <c r="P3110">
        <v>0</v>
      </c>
      <c r="Q3110" s="6">
        <v>40.1</v>
      </c>
      <c r="R3110">
        <v>0</v>
      </c>
      <c r="S3110" s="6">
        <v>0</v>
      </c>
      <c r="T3110">
        <v>0</v>
      </c>
      <c r="U3110" s="6">
        <v>9801</v>
      </c>
      <c r="V3110">
        <v>0</v>
      </c>
      <c r="W3110">
        <v>0</v>
      </c>
      <c r="X3110">
        <v>0</v>
      </c>
      <c r="Y3110" s="6">
        <v>42.9</v>
      </c>
      <c r="Z3110">
        <v>6.0000000000000001E-3</v>
      </c>
      <c r="AA3110">
        <v>2.8000000000000001E-2</v>
      </c>
      <c r="AB3110">
        <v>0.01</v>
      </c>
      <c r="AC3110">
        <v>6</v>
      </c>
      <c r="AD3110" s="6">
        <v>50</v>
      </c>
      <c r="AE3110" s="6">
        <v>0</v>
      </c>
      <c r="AF3110" s="6">
        <v>0</v>
      </c>
      <c r="AG3110" s="6">
        <v>53.71</v>
      </c>
      <c r="AH3110" s="6">
        <v>68.37</v>
      </c>
      <c r="AI3110" s="6">
        <f t="shared" si="96"/>
        <v>14.660000000000004</v>
      </c>
      <c r="AJ3110" s="5">
        <f t="shared" si="97"/>
        <v>0.21442152991077962</v>
      </c>
    </row>
    <row r="3111" spans="1:36">
      <c r="A3111" t="s">
        <v>353</v>
      </c>
      <c r="B3111" t="s">
        <v>3396</v>
      </c>
      <c r="C3111" t="s">
        <v>130</v>
      </c>
      <c r="D3111" t="s">
        <v>68</v>
      </c>
      <c r="E3111" t="s">
        <v>69</v>
      </c>
      <c r="F3111">
        <v>0</v>
      </c>
      <c r="G3111">
        <v>2683</v>
      </c>
      <c r="H3111">
        <v>1</v>
      </c>
      <c r="I3111" t="s">
        <v>173</v>
      </c>
      <c r="J3111">
        <v>1</v>
      </c>
      <c r="K3111" s="6">
        <v>2.14</v>
      </c>
      <c r="L3111" t="s">
        <v>174</v>
      </c>
      <c r="M3111">
        <v>0</v>
      </c>
      <c r="N3111" t="s">
        <v>182</v>
      </c>
      <c r="O3111">
        <v>3</v>
      </c>
      <c r="P3111">
        <v>0</v>
      </c>
      <c r="Q3111" s="6">
        <v>95.2</v>
      </c>
      <c r="R3111">
        <v>1</v>
      </c>
      <c r="S3111" s="6">
        <v>875</v>
      </c>
      <c r="T3111">
        <v>0</v>
      </c>
      <c r="U3111" s="6">
        <v>10816</v>
      </c>
      <c r="V3111">
        <v>0</v>
      </c>
      <c r="W3111">
        <v>0</v>
      </c>
      <c r="X3111">
        <v>0</v>
      </c>
      <c r="Y3111" s="6">
        <v>42.9</v>
      </c>
      <c r="Z3111">
        <v>6.0000000000000001E-3</v>
      </c>
      <c r="AA3111">
        <v>2.8000000000000001E-2</v>
      </c>
      <c r="AB3111">
        <v>0.01</v>
      </c>
      <c r="AC3111">
        <v>6</v>
      </c>
      <c r="AD3111" s="6">
        <v>50</v>
      </c>
      <c r="AE3111" s="6">
        <v>25</v>
      </c>
      <c r="AF3111" s="6">
        <v>0</v>
      </c>
      <c r="AG3111" s="6">
        <v>60.8</v>
      </c>
      <c r="AH3111" s="6">
        <v>76.709999999999994</v>
      </c>
      <c r="AI3111" s="6">
        <f t="shared" si="96"/>
        <v>15.909999999999997</v>
      </c>
      <c r="AJ3111" s="5">
        <f t="shared" si="97"/>
        <v>0.20740451049406855</v>
      </c>
    </row>
    <row r="3112" spans="1:36">
      <c r="A3112" t="s">
        <v>411</v>
      </c>
      <c r="B3112" t="s">
        <v>3397</v>
      </c>
      <c r="C3112" t="s">
        <v>130</v>
      </c>
      <c r="D3112" t="s">
        <v>68</v>
      </c>
      <c r="E3112" t="s">
        <v>69</v>
      </c>
      <c r="F3112">
        <v>0</v>
      </c>
      <c r="G3112">
        <v>2683</v>
      </c>
      <c r="H3112">
        <v>1</v>
      </c>
      <c r="I3112" t="s">
        <v>173</v>
      </c>
      <c r="J3112">
        <v>1</v>
      </c>
      <c r="K3112" s="6">
        <v>0.82</v>
      </c>
      <c r="L3112" t="s">
        <v>174</v>
      </c>
      <c r="M3112">
        <v>0</v>
      </c>
      <c r="N3112" t="s">
        <v>187</v>
      </c>
      <c r="O3112">
        <v>2</v>
      </c>
      <c r="P3112">
        <v>1</v>
      </c>
      <c r="Q3112" s="6">
        <v>67</v>
      </c>
      <c r="R3112">
        <v>0</v>
      </c>
      <c r="S3112" s="6">
        <v>0</v>
      </c>
      <c r="T3112">
        <v>0</v>
      </c>
      <c r="U3112" s="6">
        <v>6920</v>
      </c>
      <c r="V3112">
        <v>0</v>
      </c>
      <c r="W3112">
        <v>0</v>
      </c>
      <c r="X3112">
        <v>0</v>
      </c>
      <c r="Y3112" s="6">
        <v>42.9</v>
      </c>
      <c r="Z3112">
        <v>6.0000000000000001E-3</v>
      </c>
      <c r="AA3112">
        <v>2.8000000000000001E-2</v>
      </c>
      <c r="AB3112">
        <v>0.01</v>
      </c>
      <c r="AC3112">
        <v>6</v>
      </c>
      <c r="AD3112" s="6">
        <v>50</v>
      </c>
      <c r="AE3112" s="6">
        <v>0</v>
      </c>
      <c r="AF3112" s="6">
        <v>0</v>
      </c>
      <c r="AG3112" s="6">
        <v>82.36</v>
      </c>
      <c r="AH3112" s="6">
        <v>104.21</v>
      </c>
      <c r="AI3112" s="6">
        <f t="shared" si="96"/>
        <v>21.849999999999994</v>
      </c>
      <c r="AJ3112" s="5">
        <f t="shared" si="97"/>
        <v>0.20967277612513191</v>
      </c>
    </row>
    <row r="3113" spans="1:36">
      <c r="A3113" t="s">
        <v>240</v>
      </c>
      <c r="B3113" t="s">
        <v>3398</v>
      </c>
      <c r="C3113" t="s">
        <v>130</v>
      </c>
      <c r="D3113" t="s">
        <v>68</v>
      </c>
      <c r="E3113" t="s">
        <v>69</v>
      </c>
      <c r="F3113">
        <v>0</v>
      </c>
      <c r="G3113">
        <v>2683</v>
      </c>
      <c r="H3113">
        <v>1</v>
      </c>
      <c r="I3113" t="s">
        <v>173</v>
      </c>
      <c r="J3113">
        <v>1</v>
      </c>
      <c r="K3113" s="6">
        <v>2.2999999999999998</v>
      </c>
      <c r="L3113" t="s">
        <v>174</v>
      </c>
      <c r="M3113">
        <v>0</v>
      </c>
      <c r="N3113" t="s">
        <v>182</v>
      </c>
      <c r="O3113">
        <v>3</v>
      </c>
      <c r="P3113">
        <v>0</v>
      </c>
      <c r="Q3113" s="6">
        <v>111.3</v>
      </c>
      <c r="R3113">
        <v>0</v>
      </c>
      <c r="S3113" s="6">
        <v>0</v>
      </c>
      <c r="T3113">
        <v>0</v>
      </c>
      <c r="U3113" s="6">
        <v>4902</v>
      </c>
      <c r="V3113">
        <v>0</v>
      </c>
      <c r="W3113">
        <v>0</v>
      </c>
      <c r="X3113">
        <v>0</v>
      </c>
      <c r="Y3113" s="6">
        <v>42.9</v>
      </c>
      <c r="Z3113">
        <v>6.0000000000000001E-3</v>
      </c>
      <c r="AA3113">
        <v>2.8000000000000001E-2</v>
      </c>
      <c r="AB3113">
        <v>0.01</v>
      </c>
      <c r="AC3113">
        <v>6</v>
      </c>
      <c r="AD3113" s="6">
        <v>50</v>
      </c>
      <c r="AE3113" s="6">
        <v>0</v>
      </c>
      <c r="AF3113" s="6">
        <v>0</v>
      </c>
      <c r="AG3113" s="6">
        <v>57.59</v>
      </c>
      <c r="AH3113" s="6">
        <v>75.489999999999995</v>
      </c>
      <c r="AI3113" s="6">
        <f t="shared" si="96"/>
        <v>17.899999999999991</v>
      </c>
      <c r="AJ3113" s="5">
        <f t="shared" si="97"/>
        <v>0.23711749900649082</v>
      </c>
    </row>
    <row r="3114" spans="1:36">
      <c r="A3114" t="s">
        <v>323</v>
      </c>
      <c r="B3114" t="s">
        <v>3399</v>
      </c>
      <c r="C3114" t="s">
        <v>130</v>
      </c>
      <c r="D3114" t="s">
        <v>68</v>
      </c>
      <c r="E3114" t="s">
        <v>69</v>
      </c>
      <c r="F3114">
        <v>0</v>
      </c>
      <c r="G3114">
        <v>2683</v>
      </c>
      <c r="H3114">
        <v>1</v>
      </c>
      <c r="I3114" t="s">
        <v>181</v>
      </c>
      <c r="J3114">
        <v>3</v>
      </c>
      <c r="K3114" s="6">
        <v>8.58</v>
      </c>
      <c r="L3114" t="s">
        <v>174</v>
      </c>
      <c r="M3114">
        <v>0</v>
      </c>
      <c r="N3114" t="s">
        <v>182</v>
      </c>
      <c r="O3114">
        <v>3</v>
      </c>
      <c r="P3114">
        <v>0</v>
      </c>
      <c r="Q3114" s="6">
        <v>165.7</v>
      </c>
      <c r="R3114">
        <v>1</v>
      </c>
      <c r="S3114" s="6">
        <v>2453</v>
      </c>
      <c r="T3114">
        <v>0</v>
      </c>
      <c r="U3114" s="6">
        <v>2767</v>
      </c>
      <c r="V3114">
        <v>0</v>
      </c>
      <c r="W3114">
        <v>0</v>
      </c>
      <c r="X3114">
        <v>0</v>
      </c>
      <c r="Y3114" s="6">
        <v>42.9</v>
      </c>
      <c r="Z3114">
        <v>6.0000000000000001E-3</v>
      </c>
      <c r="AA3114">
        <v>2.8000000000000001E-2</v>
      </c>
      <c r="AB3114">
        <v>0.01</v>
      </c>
      <c r="AC3114">
        <v>6</v>
      </c>
      <c r="AD3114" s="6">
        <v>60</v>
      </c>
      <c r="AE3114" s="6">
        <v>40</v>
      </c>
      <c r="AF3114" s="6">
        <v>0</v>
      </c>
      <c r="AG3114" s="6">
        <v>112.09</v>
      </c>
      <c r="AH3114" s="6">
        <v>142.19</v>
      </c>
      <c r="AI3114" s="6">
        <f t="shared" si="96"/>
        <v>30.099999999999994</v>
      </c>
      <c r="AJ3114" s="5">
        <f t="shared" si="97"/>
        <v>0.21168858569519652</v>
      </c>
    </row>
    <row r="3115" spans="1:36">
      <c r="A3115" t="s">
        <v>206</v>
      </c>
      <c r="B3115" t="s">
        <v>3400</v>
      </c>
      <c r="C3115" t="s">
        <v>130</v>
      </c>
      <c r="D3115" t="s">
        <v>68</v>
      </c>
      <c r="E3115" t="s">
        <v>69</v>
      </c>
      <c r="F3115">
        <v>0</v>
      </c>
      <c r="G3115">
        <v>2683</v>
      </c>
      <c r="H3115">
        <v>1</v>
      </c>
      <c r="I3115" t="s">
        <v>181</v>
      </c>
      <c r="J3115">
        <v>3</v>
      </c>
      <c r="K3115" s="6">
        <v>6.59</v>
      </c>
      <c r="L3115" t="s">
        <v>174</v>
      </c>
      <c r="M3115">
        <v>0</v>
      </c>
      <c r="N3115" t="s">
        <v>175</v>
      </c>
      <c r="O3115">
        <v>1</v>
      </c>
      <c r="P3115">
        <v>0</v>
      </c>
      <c r="Q3115" s="6">
        <v>39.4</v>
      </c>
      <c r="R3115">
        <v>0</v>
      </c>
      <c r="S3115" s="6">
        <v>0</v>
      </c>
      <c r="T3115">
        <v>0</v>
      </c>
      <c r="U3115" s="6">
        <v>2683</v>
      </c>
      <c r="V3115">
        <v>0</v>
      </c>
      <c r="W3115">
        <v>0</v>
      </c>
      <c r="X3115">
        <v>0</v>
      </c>
      <c r="Y3115" s="6">
        <v>42.9</v>
      </c>
      <c r="Z3115">
        <v>6.0000000000000001E-3</v>
      </c>
      <c r="AA3115">
        <v>2.8000000000000001E-2</v>
      </c>
      <c r="AB3115">
        <v>0.01</v>
      </c>
      <c r="AC3115">
        <v>6</v>
      </c>
      <c r="AD3115" s="6">
        <v>60</v>
      </c>
      <c r="AE3115" s="6">
        <v>0</v>
      </c>
      <c r="AF3115" s="6">
        <v>0</v>
      </c>
      <c r="AG3115" s="6">
        <v>75.680000000000007</v>
      </c>
      <c r="AH3115" s="6">
        <v>99.03</v>
      </c>
      <c r="AI3115" s="6">
        <f t="shared" si="96"/>
        <v>23.349999999999994</v>
      </c>
      <c r="AJ3115" s="5">
        <f t="shared" si="97"/>
        <v>0.23578713521155201</v>
      </c>
    </row>
    <row r="3116" spans="1:36">
      <c r="A3116" t="s">
        <v>253</v>
      </c>
      <c r="B3116" t="s">
        <v>3401</v>
      </c>
      <c r="C3116" t="s">
        <v>130</v>
      </c>
      <c r="D3116" t="s">
        <v>68</v>
      </c>
      <c r="E3116" t="s">
        <v>69</v>
      </c>
      <c r="F3116">
        <v>0</v>
      </c>
      <c r="G3116">
        <v>2683</v>
      </c>
      <c r="H3116">
        <v>1</v>
      </c>
      <c r="I3116" t="s">
        <v>173</v>
      </c>
      <c r="J3116">
        <v>1</v>
      </c>
      <c r="K3116" s="6">
        <v>2.13</v>
      </c>
      <c r="L3116" t="s">
        <v>174</v>
      </c>
      <c r="M3116">
        <v>0</v>
      </c>
      <c r="N3116" t="s">
        <v>182</v>
      </c>
      <c r="O3116">
        <v>3</v>
      </c>
      <c r="P3116">
        <v>0</v>
      </c>
      <c r="Q3116" s="6">
        <v>129.80000000000001</v>
      </c>
      <c r="R3116">
        <v>0</v>
      </c>
      <c r="S3116" s="6">
        <v>0</v>
      </c>
      <c r="T3116">
        <v>0</v>
      </c>
      <c r="U3116" s="6">
        <v>4429</v>
      </c>
      <c r="V3116">
        <v>0</v>
      </c>
      <c r="W3116">
        <v>0</v>
      </c>
      <c r="X3116">
        <v>0</v>
      </c>
      <c r="Y3116" s="6">
        <v>42.9</v>
      </c>
      <c r="Z3116">
        <v>6.0000000000000001E-3</v>
      </c>
      <c r="AA3116">
        <v>2.8000000000000001E-2</v>
      </c>
      <c r="AB3116">
        <v>0.01</v>
      </c>
      <c r="AC3116">
        <v>6</v>
      </c>
      <c r="AD3116" s="6">
        <v>50</v>
      </c>
      <c r="AE3116" s="6">
        <v>0</v>
      </c>
      <c r="AF3116" s="6">
        <v>0</v>
      </c>
      <c r="AG3116" s="6">
        <v>59.8</v>
      </c>
      <c r="AH3116" s="6">
        <v>75.709999999999994</v>
      </c>
      <c r="AI3116" s="6">
        <f t="shared" si="96"/>
        <v>15.909999999999997</v>
      </c>
      <c r="AJ3116" s="5">
        <f t="shared" si="97"/>
        <v>0.21014397041341959</v>
      </c>
    </row>
    <row r="3117" spans="1:36">
      <c r="A3117" t="s">
        <v>501</v>
      </c>
      <c r="B3117" t="s">
        <v>3402</v>
      </c>
      <c r="C3117" t="s">
        <v>130</v>
      </c>
      <c r="D3117" t="s">
        <v>68</v>
      </c>
      <c r="E3117" t="s">
        <v>69</v>
      </c>
      <c r="F3117">
        <v>0</v>
      </c>
      <c r="G3117">
        <v>2683</v>
      </c>
      <c r="H3117">
        <v>1</v>
      </c>
      <c r="I3117" t="s">
        <v>220</v>
      </c>
      <c r="J3117">
        <v>2</v>
      </c>
      <c r="K3117" s="6">
        <v>4.3499999999999996</v>
      </c>
      <c r="L3117" t="s">
        <v>174</v>
      </c>
      <c r="M3117">
        <v>0</v>
      </c>
      <c r="N3117" t="s">
        <v>187</v>
      </c>
      <c r="O3117">
        <v>2</v>
      </c>
      <c r="P3117">
        <v>0</v>
      </c>
      <c r="Q3117" s="6">
        <v>56.5</v>
      </c>
      <c r="R3117">
        <v>0</v>
      </c>
      <c r="S3117" s="6">
        <v>0</v>
      </c>
      <c r="T3117">
        <v>0</v>
      </c>
      <c r="U3117" s="6">
        <v>5454</v>
      </c>
      <c r="V3117">
        <v>0</v>
      </c>
      <c r="W3117">
        <v>0</v>
      </c>
      <c r="X3117">
        <v>0</v>
      </c>
      <c r="Y3117" s="6">
        <v>42.9</v>
      </c>
      <c r="Z3117">
        <v>6.0000000000000001E-3</v>
      </c>
      <c r="AA3117">
        <v>2.8000000000000001E-2</v>
      </c>
      <c r="AB3117">
        <v>0.01</v>
      </c>
      <c r="AC3117">
        <v>6</v>
      </c>
      <c r="AD3117" s="6">
        <v>50</v>
      </c>
      <c r="AE3117" s="6">
        <v>0</v>
      </c>
      <c r="AF3117" s="6">
        <v>0</v>
      </c>
      <c r="AG3117" s="6">
        <v>67.67</v>
      </c>
      <c r="AH3117" s="6">
        <v>87.34</v>
      </c>
      <c r="AI3117" s="6">
        <f t="shared" si="96"/>
        <v>19.670000000000002</v>
      </c>
      <c r="AJ3117" s="5">
        <f t="shared" si="97"/>
        <v>0.22521181589191666</v>
      </c>
    </row>
    <row r="3118" spans="1:36">
      <c r="A3118" t="s">
        <v>469</v>
      </c>
      <c r="B3118" t="s">
        <v>3403</v>
      </c>
      <c r="C3118" t="s">
        <v>130</v>
      </c>
      <c r="D3118" t="s">
        <v>68</v>
      </c>
      <c r="E3118" t="s">
        <v>69</v>
      </c>
      <c r="F3118">
        <v>0</v>
      </c>
      <c r="G3118">
        <v>2683</v>
      </c>
      <c r="H3118">
        <v>1</v>
      </c>
      <c r="I3118" t="s">
        <v>173</v>
      </c>
      <c r="J3118">
        <v>1</v>
      </c>
      <c r="K3118" s="6">
        <v>1.8</v>
      </c>
      <c r="L3118" t="s">
        <v>174</v>
      </c>
      <c r="M3118">
        <v>0</v>
      </c>
      <c r="N3118" t="s">
        <v>217</v>
      </c>
      <c r="O3118">
        <v>4</v>
      </c>
      <c r="P3118">
        <v>1</v>
      </c>
      <c r="Q3118" s="6">
        <v>140.4</v>
      </c>
      <c r="R3118">
        <v>0</v>
      </c>
      <c r="S3118" s="6">
        <v>0</v>
      </c>
      <c r="T3118">
        <v>0</v>
      </c>
      <c r="U3118" s="6">
        <v>4322</v>
      </c>
      <c r="V3118">
        <v>0</v>
      </c>
      <c r="W3118">
        <v>0</v>
      </c>
      <c r="X3118">
        <v>0</v>
      </c>
      <c r="Y3118" s="6">
        <v>42.9</v>
      </c>
      <c r="Z3118">
        <v>6.0000000000000001E-3</v>
      </c>
      <c r="AA3118">
        <v>2.8000000000000001E-2</v>
      </c>
      <c r="AB3118">
        <v>0.01</v>
      </c>
      <c r="AC3118">
        <v>6</v>
      </c>
      <c r="AD3118" s="6">
        <v>50</v>
      </c>
      <c r="AE3118" s="6">
        <v>0</v>
      </c>
      <c r="AF3118" s="6">
        <v>0</v>
      </c>
      <c r="AG3118" s="6">
        <v>104.45</v>
      </c>
      <c r="AH3118" s="6">
        <v>133.63</v>
      </c>
      <c r="AI3118" s="6">
        <f t="shared" si="96"/>
        <v>29.179999999999993</v>
      </c>
      <c r="AJ3118" s="5">
        <f t="shared" si="97"/>
        <v>0.21836413978896949</v>
      </c>
    </row>
    <row r="3119" spans="1:36">
      <c r="A3119" t="s">
        <v>194</v>
      </c>
      <c r="B3119" t="s">
        <v>3404</v>
      </c>
      <c r="C3119" t="s">
        <v>130</v>
      </c>
      <c r="D3119" t="s">
        <v>68</v>
      </c>
      <c r="E3119" t="s">
        <v>69</v>
      </c>
      <c r="F3119">
        <v>0</v>
      </c>
      <c r="G3119">
        <v>2683</v>
      </c>
      <c r="H3119">
        <v>1</v>
      </c>
      <c r="I3119" t="s">
        <v>173</v>
      </c>
      <c r="J3119">
        <v>1</v>
      </c>
      <c r="K3119" s="6">
        <v>1.58</v>
      </c>
      <c r="L3119" t="s">
        <v>174</v>
      </c>
      <c r="M3119">
        <v>0</v>
      </c>
      <c r="N3119" t="s">
        <v>175</v>
      </c>
      <c r="O3119">
        <v>1</v>
      </c>
      <c r="P3119">
        <v>0</v>
      </c>
      <c r="Q3119" s="6">
        <v>46.6</v>
      </c>
      <c r="R3119">
        <v>0</v>
      </c>
      <c r="S3119" s="6">
        <v>0</v>
      </c>
      <c r="T3119">
        <v>0</v>
      </c>
      <c r="U3119" s="6">
        <v>3338</v>
      </c>
      <c r="V3119">
        <v>0</v>
      </c>
      <c r="W3119">
        <v>0</v>
      </c>
      <c r="X3119">
        <v>0</v>
      </c>
      <c r="Y3119" s="6">
        <v>42.9</v>
      </c>
      <c r="Z3119">
        <v>6.0000000000000001E-3</v>
      </c>
      <c r="AA3119">
        <v>2.8000000000000001E-2</v>
      </c>
      <c r="AB3119">
        <v>0.01</v>
      </c>
      <c r="AC3119">
        <v>6</v>
      </c>
      <c r="AD3119" s="6">
        <v>50</v>
      </c>
      <c r="AE3119" s="6">
        <v>0</v>
      </c>
      <c r="AF3119" s="6">
        <v>0</v>
      </c>
      <c r="AG3119" s="6">
        <v>55.95</v>
      </c>
      <c r="AH3119" s="6">
        <v>71.52</v>
      </c>
      <c r="AI3119" s="6">
        <f t="shared" si="96"/>
        <v>15.569999999999993</v>
      </c>
      <c r="AJ3119" s="5">
        <f t="shared" si="97"/>
        <v>0.21770134228187912</v>
      </c>
    </row>
    <row r="3120" spans="1:36">
      <c r="A3120" t="s">
        <v>431</v>
      </c>
      <c r="B3120" t="s">
        <v>3405</v>
      </c>
      <c r="C3120" t="s">
        <v>130</v>
      </c>
      <c r="D3120" t="s">
        <v>68</v>
      </c>
      <c r="E3120" t="s">
        <v>69</v>
      </c>
      <c r="F3120">
        <v>0</v>
      </c>
      <c r="G3120">
        <v>2683</v>
      </c>
      <c r="H3120">
        <v>1</v>
      </c>
      <c r="I3120" t="s">
        <v>220</v>
      </c>
      <c r="J3120">
        <v>2</v>
      </c>
      <c r="K3120" s="6">
        <v>5.21</v>
      </c>
      <c r="L3120" t="s">
        <v>174</v>
      </c>
      <c r="M3120">
        <v>0</v>
      </c>
      <c r="N3120" t="s">
        <v>182</v>
      </c>
      <c r="O3120">
        <v>3</v>
      </c>
      <c r="P3120">
        <v>0</v>
      </c>
      <c r="Q3120" s="6">
        <v>68.8</v>
      </c>
      <c r="R3120">
        <v>0</v>
      </c>
      <c r="S3120" s="6">
        <v>0</v>
      </c>
      <c r="T3120">
        <v>0</v>
      </c>
      <c r="U3120" s="6">
        <v>1827</v>
      </c>
      <c r="V3120">
        <v>0</v>
      </c>
      <c r="W3120">
        <v>0</v>
      </c>
      <c r="X3120">
        <v>0</v>
      </c>
      <c r="Y3120" s="6">
        <v>42.9</v>
      </c>
      <c r="Z3120">
        <v>6.0000000000000001E-3</v>
      </c>
      <c r="AA3120">
        <v>2.8000000000000001E-2</v>
      </c>
      <c r="AB3120">
        <v>0.01</v>
      </c>
      <c r="AC3120">
        <v>6</v>
      </c>
      <c r="AD3120" s="6">
        <v>50</v>
      </c>
      <c r="AE3120" s="6">
        <v>0</v>
      </c>
      <c r="AF3120" s="6">
        <v>0</v>
      </c>
      <c r="AG3120" s="6">
        <v>60.17</v>
      </c>
      <c r="AH3120" s="6">
        <v>76.55</v>
      </c>
      <c r="AI3120" s="6">
        <f t="shared" si="96"/>
        <v>16.379999999999995</v>
      </c>
      <c r="AJ3120" s="5">
        <f t="shared" si="97"/>
        <v>0.21397779229261915</v>
      </c>
    </row>
    <row r="3121" spans="1:36">
      <c r="A3121" t="s">
        <v>338</v>
      </c>
      <c r="B3121" t="s">
        <v>3406</v>
      </c>
      <c r="C3121" t="s">
        <v>130</v>
      </c>
      <c r="D3121" t="s">
        <v>68</v>
      </c>
      <c r="E3121" t="s">
        <v>69</v>
      </c>
      <c r="F3121">
        <v>0</v>
      </c>
      <c r="G3121">
        <v>2683</v>
      </c>
      <c r="H3121">
        <v>1</v>
      </c>
      <c r="I3121" t="s">
        <v>173</v>
      </c>
      <c r="J3121">
        <v>1</v>
      </c>
      <c r="K3121" s="6">
        <v>1.67</v>
      </c>
      <c r="L3121" t="s">
        <v>174</v>
      </c>
      <c r="M3121">
        <v>0</v>
      </c>
      <c r="N3121" t="s">
        <v>272</v>
      </c>
      <c r="O3121">
        <v>5</v>
      </c>
      <c r="P3121">
        <v>1</v>
      </c>
      <c r="Q3121" s="6">
        <v>266.8</v>
      </c>
      <c r="R3121">
        <v>0</v>
      </c>
      <c r="S3121" s="6">
        <v>0</v>
      </c>
      <c r="T3121">
        <v>0</v>
      </c>
      <c r="U3121" s="6">
        <v>9557</v>
      </c>
      <c r="V3121">
        <v>0</v>
      </c>
      <c r="W3121">
        <v>0</v>
      </c>
      <c r="X3121">
        <v>0</v>
      </c>
      <c r="Y3121" s="6">
        <v>42.9</v>
      </c>
      <c r="Z3121">
        <v>6.0000000000000001E-3</v>
      </c>
      <c r="AA3121">
        <v>2.8000000000000001E-2</v>
      </c>
      <c r="AB3121">
        <v>0.01</v>
      </c>
      <c r="AC3121">
        <v>6</v>
      </c>
      <c r="AD3121" s="6">
        <v>50</v>
      </c>
      <c r="AE3121" s="6">
        <v>0</v>
      </c>
      <c r="AF3121" s="6">
        <v>0</v>
      </c>
      <c r="AG3121" s="6">
        <v>144.35</v>
      </c>
      <c r="AH3121" s="6">
        <v>181.55</v>
      </c>
      <c r="AI3121" s="6">
        <f t="shared" si="96"/>
        <v>37.200000000000017</v>
      </c>
      <c r="AJ3121" s="5">
        <f t="shared" si="97"/>
        <v>0.20490223079041595</v>
      </c>
    </row>
    <row r="3122" spans="1:36">
      <c r="A3122" t="s">
        <v>279</v>
      </c>
      <c r="B3122" t="s">
        <v>3407</v>
      </c>
      <c r="C3122" t="s">
        <v>130</v>
      </c>
      <c r="D3122" t="s">
        <v>68</v>
      </c>
      <c r="E3122" t="s">
        <v>69</v>
      </c>
      <c r="F3122">
        <v>0</v>
      </c>
      <c r="G3122">
        <v>2683</v>
      </c>
      <c r="H3122">
        <v>1</v>
      </c>
      <c r="I3122" t="s">
        <v>173</v>
      </c>
      <c r="J3122">
        <v>1</v>
      </c>
      <c r="K3122" s="6">
        <v>1.0900000000000001</v>
      </c>
      <c r="L3122" t="s">
        <v>174</v>
      </c>
      <c r="M3122">
        <v>0</v>
      </c>
      <c r="N3122" t="s">
        <v>175</v>
      </c>
      <c r="O3122">
        <v>1</v>
      </c>
      <c r="P3122">
        <v>0</v>
      </c>
      <c r="Q3122" s="6">
        <v>40.4</v>
      </c>
      <c r="R3122">
        <v>0</v>
      </c>
      <c r="S3122" s="6">
        <v>0</v>
      </c>
      <c r="T3122">
        <v>0</v>
      </c>
      <c r="U3122" s="6">
        <v>9638</v>
      </c>
      <c r="V3122">
        <v>0</v>
      </c>
      <c r="W3122">
        <v>0</v>
      </c>
      <c r="X3122">
        <v>0</v>
      </c>
      <c r="Y3122" s="6">
        <v>42.9</v>
      </c>
      <c r="Z3122">
        <v>6.0000000000000001E-3</v>
      </c>
      <c r="AA3122">
        <v>2.8000000000000001E-2</v>
      </c>
      <c r="AB3122">
        <v>0.01</v>
      </c>
      <c r="AC3122">
        <v>6</v>
      </c>
      <c r="AD3122" s="6">
        <v>50</v>
      </c>
      <c r="AE3122" s="6">
        <v>0</v>
      </c>
      <c r="AF3122" s="6">
        <v>0</v>
      </c>
      <c r="AG3122" s="6">
        <v>49.27</v>
      </c>
      <c r="AH3122" s="6">
        <v>64.260000000000005</v>
      </c>
      <c r="AI3122" s="6">
        <f t="shared" si="96"/>
        <v>14.990000000000002</v>
      </c>
      <c r="AJ3122" s="5">
        <f t="shared" si="97"/>
        <v>0.2332710862122627</v>
      </c>
    </row>
    <row r="3123" spans="1:36">
      <c r="A3123" t="s">
        <v>291</v>
      </c>
      <c r="B3123" t="s">
        <v>3408</v>
      </c>
      <c r="C3123" t="s">
        <v>130</v>
      </c>
      <c r="D3123" t="s">
        <v>68</v>
      </c>
      <c r="E3123" t="s">
        <v>69</v>
      </c>
      <c r="F3123">
        <v>0</v>
      </c>
      <c r="G3123">
        <v>2683</v>
      </c>
      <c r="H3123">
        <v>1</v>
      </c>
      <c r="I3123" t="s">
        <v>181</v>
      </c>
      <c r="J3123">
        <v>3</v>
      </c>
      <c r="K3123" s="6">
        <v>10.71</v>
      </c>
      <c r="L3123" t="s">
        <v>174</v>
      </c>
      <c r="M3123">
        <v>0</v>
      </c>
      <c r="N3123" t="s">
        <v>175</v>
      </c>
      <c r="O3123">
        <v>1</v>
      </c>
      <c r="P3123">
        <v>0</v>
      </c>
      <c r="Q3123" s="6">
        <v>16.899999999999999</v>
      </c>
      <c r="R3123">
        <v>1</v>
      </c>
      <c r="S3123" s="6">
        <v>1779</v>
      </c>
      <c r="T3123">
        <v>0</v>
      </c>
      <c r="U3123" s="6">
        <v>1993</v>
      </c>
      <c r="V3123">
        <v>0</v>
      </c>
      <c r="W3123">
        <v>0</v>
      </c>
      <c r="X3123">
        <v>0</v>
      </c>
      <c r="Y3123" s="6">
        <v>42.9</v>
      </c>
      <c r="Z3123">
        <v>6.0000000000000001E-3</v>
      </c>
      <c r="AA3123">
        <v>2.8000000000000001E-2</v>
      </c>
      <c r="AB3123">
        <v>0.01</v>
      </c>
      <c r="AC3123">
        <v>6</v>
      </c>
      <c r="AD3123" s="6">
        <v>60</v>
      </c>
      <c r="AE3123" s="6">
        <v>25</v>
      </c>
      <c r="AF3123" s="6">
        <v>0</v>
      </c>
      <c r="AG3123" s="6">
        <v>91.68</v>
      </c>
      <c r="AH3123" s="6">
        <v>118.26</v>
      </c>
      <c r="AI3123" s="6">
        <f t="shared" si="96"/>
        <v>26.58</v>
      </c>
      <c r="AJ3123" s="5">
        <f t="shared" si="97"/>
        <v>0.22475900558092338</v>
      </c>
    </row>
    <row r="3124" spans="1:36">
      <c r="A3124" t="s">
        <v>393</v>
      </c>
      <c r="B3124" t="s">
        <v>3409</v>
      </c>
      <c r="C3124" t="s">
        <v>130</v>
      </c>
      <c r="D3124" t="s">
        <v>68</v>
      </c>
      <c r="E3124" t="s">
        <v>69</v>
      </c>
      <c r="F3124">
        <v>0</v>
      </c>
      <c r="G3124">
        <v>2683</v>
      </c>
      <c r="H3124">
        <v>1</v>
      </c>
      <c r="I3124" t="s">
        <v>173</v>
      </c>
      <c r="J3124">
        <v>1</v>
      </c>
      <c r="K3124" s="6">
        <v>1.43</v>
      </c>
      <c r="L3124" t="s">
        <v>174</v>
      </c>
      <c r="M3124">
        <v>0</v>
      </c>
      <c r="N3124" t="s">
        <v>217</v>
      </c>
      <c r="O3124">
        <v>4</v>
      </c>
      <c r="P3124">
        <v>1</v>
      </c>
      <c r="Q3124" s="6">
        <v>170.8</v>
      </c>
      <c r="R3124">
        <v>0</v>
      </c>
      <c r="S3124" s="6">
        <v>0</v>
      </c>
      <c r="T3124">
        <v>0</v>
      </c>
      <c r="U3124" s="6">
        <v>7508</v>
      </c>
      <c r="V3124">
        <v>0</v>
      </c>
      <c r="W3124">
        <v>0</v>
      </c>
      <c r="X3124">
        <v>0</v>
      </c>
      <c r="Y3124" s="6">
        <v>42.9</v>
      </c>
      <c r="Z3124">
        <v>6.0000000000000001E-3</v>
      </c>
      <c r="AA3124">
        <v>2.8000000000000001E-2</v>
      </c>
      <c r="AB3124">
        <v>0.01</v>
      </c>
      <c r="AC3124">
        <v>6</v>
      </c>
      <c r="AD3124" s="6">
        <v>50</v>
      </c>
      <c r="AE3124" s="6">
        <v>0</v>
      </c>
      <c r="AF3124" s="6">
        <v>0</v>
      </c>
      <c r="AG3124" s="6">
        <v>100.84</v>
      </c>
      <c r="AH3124" s="6">
        <v>130.21</v>
      </c>
      <c r="AI3124" s="6">
        <f t="shared" si="96"/>
        <v>29.370000000000005</v>
      </c>
      <c r="AJ3124" s="5">
        <f t="shared" si="97"/>
        <v>0.22555871284847556</v>
      </c>
    </row>
    <row r="3125" spans="1:36">
      <c r="A3125" t="s">
        <v>521</v>
      </c>
      <c r="B3125" t="s">
        <v>3410</v>
      </c>
      <c r="C3125" t="s">
        <v>130</v>
      </c>
      <c r="D3125" t="s">
        <v>68</v>
      </c>
      <c r="E3125" t="s">
        <v>69</v>
      </c>
      <c r="F3125">
        <v>0</v>
      </c>
      <c r="G3125">
        <v>2683</v>
      </c>
      <c r="H3125">
        <v>1</v>
      </c>
      <c r="I3125" t="s">
        <v>173</v>
      </c>
      <c r="J3125">
        <v>1</v>
      </c>
      <c r="K3125" s="6">
        <v>1.31</v>
      </c>
      <c r="L3125" t="s">
        <v>174</v>
      </c>
      <c r="M3125">
        <v>0</v>
      </c>
      <c r="N3125" t="s">
        <v>217</v>
      </c>
      <c r="O3125">
        <v>4</v>
      </c>
      <c r="P3125">
        <v>1</v>
      </c>
      <c r="Q3125" s="6">
        <v>116.7</v>
      </c>
      <c r="R3125">
        <v>0</v>
      </c>
      <c r="S3125" s="6">
        <v>0</v>
      </c>
      <c r="T3125">
        <v>0</v>
      </c>
      <c r="U3125" s="6">
        <v>3954</v>
      </c>
      <c r="V3125">
        <v>0</v>
      </c>
      <c r="W3125">
        <v>0</v>
      </c>
      <c r="X3125">
        <v>0</v>
      </c>
      <c r="Y3125" s="6">
        <v>42.9</v>
      </c>
      <c r="Z3125">
        <v>6.0000000000000001E-3</v>
      </c>
      <c r="AA3125">
        <v>2.8000000000000001E-2</v>
      </c>
      <c r="AB3125">
        <v>0.01</v>
      </c>
      <c r="AC3125">
        <v>6</v>
      </c>
      <c r="AD3125" s="6">
        <v>50</v>
      </c>
      <c r="AE3125" s="6">
        <v>0</v>
      </c>
      <c r="AF3125" s="6">
        <v>0</v>
      </c>
      <c r="AG3125" s="6">
        <v>100.14</v>
      </c>
      <c r="AH3125" s="6">
        <v>129.79</v>
      </c>
      <c r="AI3125" s="6">
        <f t="shared" si="96"/>
        <v>29.649999999999991</v>
      </c>
      <c r="AJ3125" s="5">
        <f t="shared" si="97"/>
        <v>0.22844595115186064</v>
      </c>
    </row>
    <row r="3126" spans="1:36">
      <c r="A3126" t="s">
        <v>436</v>
      </c>
      <c r="B3126" t="s">
        <v>3411</v>
      </c>
      <c r="C3126" t="s">
        <v>130</v>
      </c>
      <c r="D3126" t="s">
        <v>68</v>
      </c>
      <c r="E3126" t="s">
        <v>69</v>
      </c>
      <c r="F3126">
        <v>0</v>
      </c>
      <c r="G3126">
        <v>2683</v>
      </c>
      <c r="H3126">
        <v>1</v>
      </c>
      <c r="I3126" t="s">
        <v>173</v>
      </c>
      <c r="J3126">
        <v>1</v>
      </c>
      <c r="K3126" s="6">
        <v>2.0499999999999998</v>
      </c>
      <c r="L3126" t="s">
        <v>174</v>
      </c>
      <c r="M3126">
        <v>0</v>
      </c>
      <c r="N3126" t="s">
        <v>175</v>
      </c>
      <c r="O3126">
        <v>1</v>
      </c>
      <c r="P3126">
        <v>0</v>
      </c>
      <c r="Q3126" s="6">
        <v>43.5</v>
      </c>
      <c r="R3126">
        <v>1</v>
      </c>
      <c r="S3126" s="6">
        <v>361</v>
      </c>
      <c r="T3126">
        <v>0</v>
      </c>
      <c r="U3126" s="6">
        <v>6925</v>
      </c>
      <c r="V3126">
        <v>0</v>
      </c>
      <c r="W3126">
        <v>0</v>
      </c>
      <c r="X3126">
        <v>0</v>
      </c>
      <c r="Y3126" s="6">
        <v>42.9</v>
      </c>
      <c r="Z3126">
        <v>6.0000000000000001E-3</v>
      </c>
      <c r="AA3126">
        <v>2.8000000000000001E-2</v>
      </c>
      <c r="AB3126">
        <v>0.01</v>
      </c>
      <c r="AC3126">
        <v>6</v>
      </c>
      <c r="AD3126" s="6">
        <v>50</v>
      </c>
      <c r="AE3126" s="6">
        <v>25</v>
      </c>
      <c r="AF3126" s="6">
        <v>0</v>
      </c>
      <c r="AG3126" s="6">
        <v>52.78</v>
      </c>
      <c r="AH3126" s="6">
        <v>68.84</v>
      </c>
      <c r="AI3126" s="6">
        <f t="shared" si="96"/>
        <v>16.060000000000002</v>
      </c>
      <c r="AJ3126" s="5">
        <f t="shared" si="97"/>
        <v>0.23329459616502035</v>
      </c>
    </row>
    <row r="3127" spans="1:36">
      <c r="A3127" t="s">
        <v>406</v>
      </c>
      <c r="B3127" t="s">
        <v>3412</v>
      </c>
      <c r="C3127" t="s">
        <v>130</v>
      </c>
      <c r="D3127" t="s">
        <v>68</v>
      </c>
      <c r="E3127" t="s">
        <v>69</v>
      </c>
      <c r="F3127">
        <v>0</v>
      </c>
      <c r="G3127">
        <v>2683</v>
      </c>
      <c r="H3127">
        <v>1</v>
      </c>
      <c r="I3127" t="s">
        <v>181</v>
      </c>
      <c r="J3127">
        <v>3</v>
      </c>
      <c r="K3127" s="6">
        <v>9.9600000000000009</v>
      </c>
      <c r="L3127" t="s">
        <v>174</v>
      </c>
      <c r="M3127">
        <v>0</v>
      </c>
      <c r="N3127" t="s">
        <v>182</v>
      </c>
      <c r="O3127">
        <v>3</v>
      </c>
      <c r="P3127">
        <v>0</v>
      </c>
      <c r="Q3127" s="6">
        <v>146.9</v>
      </c>
      <c r="R3127">
        <v>1</v>
      </c>
      <c r="S3127" s="6">
        <v>2132</v>
      </c>
      <c r="T3127">
        <v>0</v>
      </c>
      <c r="U3127" s="6">
        <v>13010</v>
      </c>
      <c r="V3127">
        <v>0</v>
      </c>
      <c r="W3127">
        <v>0</v>
      </c>
      <c r="X3127">
        <v>0</v>
      </c>
      <c r="Y3127" s="6">
        <v>42.9</v>
      </c>
      <c r="Z3127">
        <v>6.0000000000000001E-3</v>
      </c>
      <c r="AA3127">
        <v>2.8000000000000001E-2</v>
      </c>
      <c r="AB3127">
        <v>0.01</v>
      </c>
      <c r="AC3127">
        <v>6</v>
      </c>
      <c r="AD3127" s="6">
        <v>60</v>
      </c>
      <c r="AE3127" s="6">
        <v>40</v>
      </c>
      <c r="AF3127" s="6">
        <v>0</v>
      </c>
      <c r="AG3127" s="6">
        <v>107.47</v>
      </c>
      <c r="AH3127" s="6">
        <v>136.47999999999999</v>
      </c>
      <c r="AI3127" s="6">
        <f t="shared" si="96"/>
        <v>29.009999999999991</v>
      </c>
      <c r="AJ3127" s="5">
        <f t="shared" si="97"/>
        <v>0.21255861664712775</v>
      </c>
    </row>
    <row r="3128" spans="1:36">
      <c r="A3128" t="s">
        <v>360</v>
      </c>
      <c r="B3128" t="s">
        <v>3413</v>
      </c>
      <c r="C3128" t="s">
        <v>130</v>
      </c>
      <c r="D3128" t="s">
        <v>68</v>
      </c>
      <c r="E3128" t="s">
        <v>69</v>
      </c>
      <c r="F3128">
        <v>0</v>
      </c>
      <c r="G3128">
        <v>2683</v>
      </c>
      <c r="H3128">
        <v>1</v>
      </c>
      <c r="I3128" t="s">
        <v>220</v>
      </c>
      <c r="J3128">
        <v>2</v>
      </c>
      <c r="K3128" s="6">
        <v>4.8600000000000003</v>
      </c>
      <c r="L3128" t="s">
        <v>174</v>
      </c>
      <c r="M3128">
        <v>0</v>
      </c>
      <c r="N3128" t="s">
        <v>187</v>
      </c>
      <c r="O3128">
        <v>2</v>
      </c>
      <c r="P3128">
        <v>0</v>
      </c>
      <c r="Q3128" s="6">
        <v>48.4</v>
      </c>
      <c r="R3128">
        <v>0</v>
      </c>
      <c r="S3128" s="6">
        <v>0</v>
      </c>
      <c r="T3128">
        <v>0</v>
      </c>
      <c r="U3128" s="6">
        <v>4160</v>
      </c>
      <c r="V3128">
        <v>0</v>
      </c>
      <c r="W3128">
        <v>0</v>
      </c>
      <c r="X3128">
        <v>0</v>
      </c>
      <c r="Y3128" s="6">
        <v>42.9</v>
      </c>
      <c r="Z3128">
        <v>6.0000000000000001E-3</v>
      </c>
      <c r="AA3128">
        <v>2.8000000000000001E-2</v>
      </c>
      <c r="AB3128">
        <v>0.01</v>
      </c>
      <c r="AC3128">
        <v>6</v>
      </c>
      <c r="AD3128" s="6">
        <v>50</v>
      </c>
      <c r="AE3128" s="6">
        <v>0</v>
      </c>
      <c r="AF3128" s="6">
        <v>0</v>
      </c>
      <c r="AG3128" s="6">
        <v>68.55</v>
      </c>
      <c r="AH3128" s="6">
        <v>89.55</v>
      </c>
      <c r="AI3128" s="6">
        <f t="shared" si="96"/>
        <v>21</v>
      </c>
      <c r="AJ3128" s="5">
        <f t="shared" si="97"/>
        <v>0.23450586264656617</v>
      </c>
    </row>
    <row r="3129" spans="1:36">
      <c r="A3129" t="s">
        <v>233</v>
      </c>
      <c r="B3129" t="s">
        <v>3414</v>
      </c>
      <c r="C3129" t="s">
        <v>130</v>
      </c>
      <c r="D3129" t="s">
        <v>68</v>
      </c>
      <c r="E3129" t="s">
        <v>69</v>
      </c>
      <c r="F3129">
        <v>0</v>
      </c>
      <c r="G3129">
        <v>2683</v>
      </c>
      <c r="H3129">
        <v>1</v>
      </c>
      <c r="I3129" t="s">
        <v>173</v>
      </c>
      <c r="J3129">
        <v>1</v>
      </c>
      <c r="K3129" s="6">
        <v>1.21</v>
      </c>
      <c r="L3129" t="s">
        <v>174</v>
      </c>
      <c r="M3129">
        <v>0</v>
      </c>
      <c r="N3129" t="s">
        <v>182</v>
      </c>
      <c r="O3129">
        <v>3</v>
      </c>
      <c r="P3129">
        <v>0</v>
      </c>
      <c r="Q3129" s="6">
        <v>104.3</v>
      </c>
      <c r="R3129">
        <v>0</v>
      </c>
      <c r="S3129" s="6">
        <v>0</v>
      </c>
      <c r="T3129">
        <v>0</v>
      </c>
      <c r="U3129" s="6">
        <v>1797</v>
      </c>
      <c r="V3129">
        <v>0</v>
      </c>
      <c r="W3129">
        <v>0</v>
      </c>
      <c r="X3129">
        <v>0</v>
      </c>
      <c r="Y3129" s="6">
        <v>42.9</v>
      </c>
      <c r="Z3129">
        <v>6.0000000000000001E-3</v>
      </c>
      <c r="AA3129">
        <v>2.8000000000000001E-2</v>
      </c>
      <c r="AB3129">
        <v>0.01</v>
      </c>
      <c r="AC3129">
        <v>6</v>
      </c>
      <c r="AD3129" s="6">
        <v>50</v>
      </c>
      <c r="AE3129" s="6">
        <v>0</v>
      </c>
      <c r="AF3129" s="6">
        <v>0</v>
      </c>
      <c r="AG3129" s="6">
        <v>54.92</v>
      </c>
      <c r="AH3129" s="6">
        <v>73.38</v>
      </c>
      <c r="AI3129" s="6">
        <f t="shared" si="96"/>
        <v>18.459999999999994</v>
      </c>
      <c r="AJ3129" s="5">
        <f t="shared" si="97"/>
        <v>0.25156718451894244</v>
      </c>
    </row>
    <row r="3130" spans="1:36">
      <c r="A3130" t="s">
        <v>488</v>
      </c>
      <c r="B3130" t="s">
        <v>3415</v>
      </c>
      <c r="C3130" t="s">
        <v>130</v>
      </c>
      <c r="D3130" t="s">
        <v>68</v>
      </c>
      <c r="E3130" t="s">
        <v>69</v>
      </c>
      <c r="F3130">
        <v>0</v>
      </c>
      <c r="G3130">
        <v>2683</v>
      </c>
      <c r="H3130">
        <v>1</v>
      </c>
      <c r="I3130" t="s">
        <v>220</v>
      </c>
      <c r="J3130">
        <v>2</v>
      </c>
      <c r="K3130" s="6">
        <v>3.41</v>
      </c>
      <c r="L3130" t="s">
        <v>174</v>
      </c>
      <c r="M3130">
        <v>0</v>
      </c>
      <c r="N3130" t="s">
        <v>182</v>
      </c>
      <c r="O3130">
        <v>3</v>
      </c>
      <c r="P3130">
        <v>0</v>
      </c>
      <c r="Q3130" s="6">
        <v>80.2</v>
      </c>
      <c r="R3130">
        <v>1</v>
      </c>
      <c r="S3130" s="6">
        <v>1391</v>
      </c>
      <c r="T3130">
        <v>0</v>
      </c>
      <c r="U3130" s="6">
        <v>6397</v>
      </c>
      <c r="V3130">
        <v>0</v>
      </c>
      <c r="W3130">
        <v>0</v>
      </c>
      <c r="X3130">
        <v>0</v>
      </c>
      <c r="Y3130" s="6">
        <v>42.9</v>
      </c>
      <c r="Z3130">
        <v>6.0000000000000001E-3</v>
      </c>
      <c r="AA3130">
        <v>2.8000000000000001E-2</v>
      </c>
      <c r="AB3130">
        <v>0.01</v>
      </c>
      <c r="AC3130">
        <v>6</v>
      </c>
      <c r="AD3130" s="6">
        <v>50</v>
      </c>
      <c r="AE3130" s="6">
        <v>25</v>
      </c>
      <c r="AF3130" s="6">
        <v>0</v>
      </c>
      <c r="AG3130" s="6">
        <v>75.930000000000007</v>
      </c>
      <c r="AH3130" s="6">
        <v>94.95</v>
      </c>
      <c r="AI3130" s="6">
        <f t="shared" si="96"/>
        <v>19.019999999999996</v>
      </c>
      <c r="AJ3130" s="5">
        <f t="shared" si="97"/>
        <v>0.20031595576619268</v>
      </c>
    </row>
    <row r="3131" spans="1:36">
      <c r="A3131" t="s">
        <v>306</v>
      </c>
      <c r="B3131" t="s">
        <v>3416</v>
      </c>
      <c r="C3131" t="s">
        <v>130</v>
      </c>
      <c r="D3131" t="s">
        <v>68</v>
      </c>
      <c r="E3131" t="s">
        <v>69</v>
      </c>
      <c r="F3131">
        <v>0</v>
      </c>
      <c r="G3131">
        <v>2683</v>
      </c>
      <c r="H3131">
        <v>1</v>
      </c>
      <c r="I3131" t="s">
        <v>173</v>
      </c>
      <c r="J3131">
        <v>1</v>
      </c>
      <c r="K3131" s="6">
        <v>1.54</v>
      </c>
      <c r="L3131" t="s">
        <v>174</v>
      </c>
      <c r="M3131">
        <v>0</v>
      </c>
      <c r="N3131" t="s">
        <v>182</v>
      </c>
      <c r="O3131">
        <v>3</v>
      </c>
      <c r="P3131">
        <v>0</v>
      </c>
      <c r="Q3131" s="6">
        <v>80.900000000000006</v>
      </c>
      <c r="R3131">
        <v>0</v>
      </c>
      <c r="S3131" s="6">
        <v>0</v>
      </c>
      <c r="T3131">
        <v>0</v>
      </c>
      <c r="U3131" s="6">
        <v>3531</v>
      </c>
      <c r="V3131">
        <v>0</v>
      </c>
      <c r="W3131">
        <v>0</v>
      </c>
      <c r="X3131">
        <v>0</v>
      </c>
      <c r="Y3131" s="6">
        <v>42.9</v>
      </c>
      <c r="Z3131">
        <v>6.0000000000000001E-3</v>
      </c>
      <c r="AA3131">
        <v>2.8000000000000001E-2</v>
      </c>
      <c r="AB3131">
        <v>0.01</v>
      </c>
      <c r="AC3131">
        <v>6</v>
      </c>
      <c r="AD3131" s="6">
        <v>50</v>
      </c>
      <c r="AE3131" s="6">
        <v>0</v>
      </c>
      <c r="AF3131" s="6">
        <v>0</v>
      </c>
      <c r="AG3131" s="6">
        <v>60.21</v>
      </c>
      <c r="AH3131" s="6">
        <v>79.8</v>
      </c>
      <c r="AI3131" s="6">
        <f t="shared" si="96"/>
        <v>19.589999999999996</v>
      </c>
      <c r="AJ3131" s="5">
        <f t="shared" si="97"/>
        <v>0.24548872180451123</v>
      </c>
    </row>
    <row r="3132" spans="1:36">
      <c r="A3132" t="s">
        <v>291</v>
      </c>
      <c r="B3132" t="s">
        <v>3417</v>
      </c>
      <c r="C3132" t="s">
        <v>130</v>
      </c>
      <c r="D3132" t="s">
        <v>68</v>
      </c>
      <c r="E3132" t="s">
        <v>69</v>
      </c>
      <c r="F3132">
        <v>0</v>
      </c>
      <c r="G3132">
        <v>2683</v>
      </c>
      <c r="H3132">
        <v>1</v>
      </c>
      <c r="I3132" t="s">
        <v>220</v>
      </c>
      <c r="J3132">
        <v>2</v>
      </c>
      <c r="K3132" s="6">
        <v>6.29</v>
      </c>
      <c r="L3132" t="s">
        <v>174</v>
      </c>
      <c r="M3132">
        <v>0</v>
      </c>
      <c r="N3132" t="s">
        <v>182</v>
      </c>
      <c r="O3132">
        <v>3</v>
      </c>
      <c r="P3132">
        <v>0</v>
      </c>
      <c r="Q3132" s="6">
        <v>107.7</v>
      </c>
      <c r="R3132">
        <v>0</v>
      </c>
      <c r="S3132" s="6">
        <v>0</v>
      </c>
      <c r="T3132">
        <v>0</v>
      </c>
      <c r="U3132" s="6">
        <v>12566</v>
      </c>
      <c r="V3132">
        <v>0</v>
      </c>
      <c r="W3132">
        <v>0</v>
      </c>
      <c r="X3132">
        <v>0</v>
      </c>
      <c r="Y3132" s="6">
        <v>42.9</v>
      </c>
      <c r="Z3132">
        <v>6.0000000000000001E-3</v>
      </c>
      <c r="AA3132">
        <v>2.8000000000000001E-2</v>
      </c>
      <c r="AB3132">
        <v>0.01</v>
      </c>
      <c r="AC3132">
        <v>6</v>
      </c>
      <c r="AD3132" s="6">
        <v>50</v>
      </c>
      <c r="AE3132" s="6">
        <v>0</v>
      </c>
      <c r="AF3132" s="6">
        <v>0</v>
      </c>
      <c r="AG3132" s="6">
        <v>79.48</v>
      </c>
      <c r="AH3132" s="6">
        <v>104</v>
      </c>
      <c r="AI3132" s="6">
        <f t="shared" si="96"/>
        <v>24.519999999999996</v>
      </c>
      <c r="AJ3132" s="5">
        <f t="shared" si="97"/>
        <v>0.23576923076923073</v>
      </c>
    </row>
    <row r="3133" spans="1:36">
      <c r="A3133" t="s">
        <v>221</v>
      </c>
      <c r="B3133" t="s">
        <v>3418</v>
      </c>
      <c r="C3133" t="s">
        <v>130</v>
      </c>
      <c r="D3133" t="s">
        <v>68</v>
      </c>
      <c r="E3133" t="s">
        <v>69</v>
      </c>
      <c r="F3133">
        <v>0</v>
      </c>
      <c r="G3133">
        <v>2683</v>
      </c>
      <c r="H3133">
        <v>1</v>
      </c>
      <c r="I3133" t="s">
        <v>181</v>
      </c>
      <c r="J3133">
        <v>3</v>
      </c>
      <c r="K3133" s="6">
        <v>7.64</v>
      </c>
      <c r="L3133" t="s">
        <v>174</v>
      </c>
      <c r="M3133">
        <v>0</v>
      </c>
      <c r="N3133" t="s">
        <v>182</v>
      </c>
      <c r="O3133">
        <v>3</v>
      </c>
      <c r="P3133">
        <v>0</v>
      </c>
      <c r="Q3133" s="6">
        <v>61.1</v>
      </c>
      <c r="R3133">
        <v>0</v>
      </c>
      <c r="S3133" s="6">
        <v>0</v>
      </c>
      <c r="T3133">
        <v>0</v>
      </c>
      <c r="U3133" s="6">
        <v>3456</v>
      </c>
      <c r="V3133">
        <v>0</v>
      </c>
      <c r="W3133">
        <v>0</v>
      </c>
      <c r="X3133">
        <v>0</v>
      </c>
      <c r="Y3133" s="6">
        <v>42.9</v>
      </c>
      <c r="Z3133">
        <v>6.0000000000000001E-3</v>
      </c>
      <c r="AA3133">
        <v>2.8000000000000001E-2</v>
      </c>
      <c r="AB3133">
        <v>0.01</v>
      </c>
      <c r="AC3133">
        <v>6</v>
      </c>
      <c r="AD3133" s="6">
        <v>60</v>
      </c>
      <c r="AE3133" s="6">
        <v>0</v>
      </c>
      <c r="AF3133" s="6">
        <v>0</v>
      </c>
      <c r="AG3133" s="6">
        <v>83.68</v>
      </c>
      <c r="AH3133" s="6">
        <v>106.58</v>
      </c>
      <c r="AI3133" s="6">
        <f t="shared" si="96"/>
        <v>22.899999999999991</v>
      </c>
      <c r="AJ3133" s="5">
        <f t="shared" si="97"/>
        <v>0.2148620754362919</v>
      </c>
    </row>
    <row r="3134" spans="1:36">
      <c r="A3134" t="s">
        <v>269</v>
      </c>
      <c r="B3134" t="s">
        <v>3419</v>
      </c>
      <c r="C3134" t="s">
        <v>130</v>
      </c>
      <c r="D3134" t="s">
        <v>68</v>
      </c>
      <c r="E3134" t="s">
        <v>69</v>
      </c>
      <c r="F3134">
        <v>0</v>
      </c>
      <c r="G3134">
        <v>2683</v>
      </c>
      <c r="H3134">
        <v>1</v>
      </c>
      <c r="I3134" t="s">
        <v>173</v>
      </c>
      <c r="J3134">
        <v>1</v>
      </c>
      <c r="K3134" s="6">
        <v>1.59</v>
      </c>
      <c r="L3134" t="s">
        <v>174</v>
      </c>
      <c r="M3134">
        <v>0</v>
      </c>
      <c r="N3134" t="s">
        <v>175</v>
      </c>
      <c r="O3134">
        <v>1</v>
      </c>
      <c r="P3134">
        <v>0</v>
      </c>
      <c r="Q3134" s="6">
        <v>22.9</v>
      </c>
      <c r="R3134">
        <v>0</v>
      </c>
      <c r="S3134" s="6">
        <v>0</v>
      </c>
      <c r="T3134">
        <v>0</v>
      </c>
      <c r="U3134" s="6">
        <v>7611</v>
      </c>
      <c r="V3134">
        <v>0</v>
      </c>
      <c r="W3134">
        <v>0</v>
      </c>
      <c r="X3134">
        <v>0</v>
      </c>
      <c r="Y3134" s="6">
        <v>42.9</v>
      </c>
      <c r="Z3134">
        <v>6.0000000000000001E-3</v>
      </c>
      <c r="AA3134">
        <v>2.8000000000000001E-2</v>
      </c>
      <c r="AB3134">
        <v>0.01</v>
      </c>
      <c r="AC3134">
        <v>6</v>
      </c>
      <c r="AD3134" s="6">
        <v>50</v>
      </c>
      <c r="AE3134" s="6">
        <v>0</v>
      </c>
      <c r="AF3134" s="6">
        <v>0</v>
      </c>
      <c r="AG3134" s="6">
        <v>52.8</v>
      </c>
      <c r="AH3134" s="6">
        <v>70.84</v>
      </c>
      <c r="AI3134" s="6">
        <f t="shared" si="96"/>
        <v>18.040000000000006</v>
      </c>
      <c r="AJ3134" s="5">
        <f t="shared" si="97"/>
        <v>0.25465838509316779</v>
      </c>
    </row>
    <row r="3135" spans="1:36">
      <c r="A3135" t="s">
        <v>360</v>
      </c>
      <c r="B3135" t="s">
        <v>3420</v>
      </c>
      <c r="C3135" t="s">
        <v>130</v>
      </c>
      <c r="D3135" t="s">
        <v>68</v>
      </c>
      <c r="E3135" t="s">
        <v>69</v>
      </c>
      <c r="F3135">
        <v>0</v>
      </c>
      <c r="G3135">
        <v>2683</v>
      </c>
      <c r="H3135">
        <v>1</v>
      </c>
      <c r="I3135" t="s">
        <v>173</v>
      </c>
      <c r="J3135">
        <v>1</v>
      </c>
      <c r="K3135" s="6">
        <v>1.51</v>
      </c>
      <c r="L3135" t="s">
        <v>174</v>
      </c>
      <c r="M3135">
        <v>0</v>
      </c>
      <c r="N3135" t="s">
        <v>175</v>
      </c>
      <c r="O3135">
        <v>1</v>
      </c>
      <c r="P3135">
        <v>0</v>
      </c>
      <c r="Q3135" s="6">
        <v>47.7</v>
      </c>
      <c r="R3135">
        <v>0</v>
      </c>
      <c r="S3135" s="6">
        <v>0</v>
      </c>
      <c r="T3135">
        <v>0</v>
      </c>
      <c r="U3135" s="6">
        <v>9062</v>
      </c>
      <c r="V3135">
        <v>0</v>
      </c>
      <c r="W3135">
        <v>0</v>
      </c>
      <c r="X3135">
        <v>0</v>
      </c>
      <c r="Y3135" s="6">
        <v>42.9</v>
      </c>
      <c r="Z3135">
        <v>6.0000000000000001E-3</v>
      </c>
      <c r="AA3135">
        <v>2.8000000000000001E-2</v>
      </c>
      <c r="AB3135">
        <v>0.01</v>
      </c>
      <c r="AC3135">
        <v>6</v>
      </c>
      <c r="AD3135" s="6">
        <v>50</v>
      </c>
      <c r="AE3135" s="6">
        <v>0</v>
      </c>
      <c r="AF3135" s="6">
        <v>0</v>
      </c>
      <c r="AG3135" s="6">
        <v>47.3</v>
      </c>
      <c r="AH3135" s="6">
        <v>63.42</v>
      </c>
      <c r="AI3135" s="6">
        <f t="shared" si="96"/>
        <v>16.120000000000005</v>
      </c>
      <c r="AJ3135" s="5">
        <f t="shared" si="97"/>
        <v>0.2541784925890887</v>
      </c>
    </row>
    <row r="3136" spans="1:36">
      <c r="A3136" t="s">
        <v>223</v>
      </c>
      <c r="B3136" t="s">
        <v>3421</v>
      </c>
      <c r="C3136" t="s">
        <v>130</v>
      </c>
      <c r="D3136" t="s">
        <v>68</v>
      </c>
      <c r="E3136" t="s">
        <v>69</v>
      </c>
      <c r="F3136">
        <v>0</v>
      </c>
      <c r="G3136">
        <v>2683</v>
      </c>
      <c r="H3136">
        <v>1</v>
      </c>
      <c r="I3136" t="s">
        <v>173</v>
      </c>
      <c r="J3136">
        <v>1</v>
      </c>
      <c r="K3136" s="6">
        <v>1.45</v>
      </c>
      <c r="L3136" t="s">
        <v>174</v>
      </c>
      <c r="M3136">
        <v>0</v>
      </c>
      <c r="N3136" t="s">
        <v>175</v>
      </c>
      <c r="O3136">
        <v>1</v>
      </c>
      <c r="P3136">
        <v>0</v>
      </c>
      <c r="Q3136" s="6">
        <v>50.9</v>
      </c>
      <c r="R3136">
        <v>0</v>
      </c>
      <c r="S3136" s="6">
        <v>0</v>
      </c>
      <c r="T3136">
        <v>0</v>
      </c>
      <c r="U3136" s="6">
        <v>2183</v>
      </c>
      <c r="V3136">
        <v>0</v>
      </c>
      <c r="W3136">
        <v>0</v>
      </c>
      <c r="X3136">
        <v>0</v>
      </c>
      <c r="Y3136" s="6">
        <v>42.9</v>
      </c>
      <c r="Z3136">
        <v>6.0000000000000001E-3</v>
      </c>
      <c r="AA3136">
        <v>2.8000000000000001E-2</v>
      </c>
      <c r="AB3136">
        <v>0.01</v>
      </c>
      <c r="AC3136">
        <v>6</v>
      </c>
      <c r="AD3136" s="6">
        <v>50</v>
      </c>
      <c r="AE3136" s="6">
        <v>0</v>
      </c>
      <c r="AF3136" s="6">
        <v>0</v>
      </c>
      <c r="AG3136" s="6">
        <v>49.69</v>
      </c>
      <c r="AH3136" s="6">
        <v>65.540000000000006</v>
      </c>
      <c r="AI3136" s="6">
        <f t="shared" si="96"/>
        <v>15.850000000000009</v>
      </c>
      <c r="AJ3136" s="5">
        <f t="shared" si="97"/>
        <v>0.24183704607873066</v>
      </c>
    </row>
    <row r="3137" spans="1:36">
      <c r="A3137" t="s">
        <v>436</v>
      </c>
      <c r="B3137" t="s">
        <v>3422</v>
      </c>
      <c r="C3137" t="s">
        <v>130</v>
      </c>
      <c r="D3137" t="s">
        <v>68</v>
      </c>
      <c r="E3137" t="s">
        <v>69</v>
      </c>
      <c r="F3137">
        <v>0</v>
      </c>
      <c r="G3137">
        <v>2683</v>
      </c>
      <c r="H3137">
        <v>1</v>
      </c>
      <c r="I3137" t="s">
        <v>173</v>
      </c>
      <c r="J3137">
        <v>1</v>
      </c>
      <c r="K3137" s="6">
        <v>2.06</v>
      </c>
      <c r="L3137" t="s">
        <v>174</v>
      </c>
      <c r="M3137">
        <v>0</v>
      </c>
      <c r="N3137" t="s">
        <v>272</v>
      </c>
      <c r="O3137">
        <v>5</v>
      </c>
      <c r="P3137">
        <v>1</v>
      </c>
      <c r="Q3137" s="6">
        <v>179.3</v>
      </c>
      <c r="R3137">
        <v>0</v>
      </c>
      <c r="S3137" s="6">
        <v>0</v>
      </c>
      <c r="T3137">
        <v>0</v>
      </c>
      <c r="U3137" s="6">
        <v>6103</v>
      </c>
      <c r="V3137">
        <v>0</v>
      </c>
      <c r="W3137">
        <v>0</v>
      </c>
      <c r="X3137">
        <v>0</v>
      </c>
      <c r="Y3137" s="6">
        <v>42.9</v>
      </c>
      <c r="Z3137">
        <v>6.0000000000000001E-3</v>
      </c>
      <c r="AA3137">
        <v>2.8000000000000001E-2</v>
      </c>
      <c r="AB3137">
        <v>0.01</v>
      </c>
      <c r="AC3137">
        <v>6</v>
      </c>
      <c r="AD3137" s="6">
        <v>50</v>
      </c>
      <c r="AE3137" s="6">
        <v>0</v>
      </c>
      <c r="AF3137" s="6">
        <v>0</v>
      </c>
      <c r="AG3137" s="6">
        <v>137.13999999999999</v>
      </c>
      <c r="AH3137" s="6">
        <v>174.02</v>
      </c>
      <c r="AI3137" s="6">
        <f t="shared" si="96"/>
        <v>36.880000000000024</v>
      </c>
      <c r="AJ3137" s="5">
        <f t="shared" si="97"/>
        <v>0.211929663257097</v>
      </c>
    </row>
    <row r="3138" spans="1:36">
      <c r="A3138" t="s">
        <v>201</v>
      </c>
      <c r="B3138" t="s">
        <v>3423</v>
      </c>
      <c r="C3138" t="s">
        <v>130</v>
      </c>
      <c r="D3138" t="s">
        <v>68</v>
      </c>
      <c r="E3138" t="s">
        <v>69</v>
      </c>
      <c r="F3138">
        <v>0</v>
      </c>
      <c r="G3138">
        <v>2683</v>
      </c>
      <c r="H3138">
        <v>1</v>
      </c>
      <c r="I3138" t="s">
        <v>220</v>
      </c>
      <c r="J3138">
        <v>2</v>
      </c>
      <c r="K3138" s="6">
        <v>3.66</v>
      </c>
      <c r="L3138" t="s">
        <v>174</v>
      </c>
      <c r="M3138">
        <v>0</v>
      </c>
      <c r="N3138" t="s">
        <v>217</v>
      </c>
      <c r="O3138">
        <v>4</v>
      </c>
      <c r="P3138">
        <v>1</v>
      </c>
      <c r="Q3138" s="6">
        <v>97.7</v>
      </c>
      <c r="R3138">
        <v>0</v>
      </c>
      <c r="S3138" s="6">
        <v>0</v>
      </c>
      <c r="T3138">
        <v>0</v>
      </c>
      <c r="U3138" s="6">
        <v>6484</v>
      </c>
      <c r="V3138">
        <v>0</v>
      </c>
      <c r="W3138">
        <v>0</v>
      </c>
      <c r="X3138">
        <v>0</v>
      </c>
      <c r="Y3138" s="6">
        <v>42.9</v>
      </c>
      <c r="Z3138">
        <v>6.0000000000000001E-3</v>
      </c>
      <c r="AA3138">
        <v>2.8000000000000001E-2</v>
      </c>
      <c r="AB3138">
        <v>0.01</v>
      </c>
      <c r="AC3138">
        <v>6</v>
      </c>
      <c r="AD3138" s="6">
        <v>50</v>
      </c>
      <c r="AE3138" s="6">
        <v>0</v>
      </c>
      <c r="AF3138" s="6">
        <v>0</v>
      </c>
      <c r="AG3138" s="6">
        <v>115.81</v>
      </c>
      <c r="AH3138" s="6">
        <v>144.83000000000001</v>
      </c>
      <c r="AI3138" s="6">
        <f t="shared" ref="AI3138:AI3201" si="98">AH3138-AG3138</f>
        <v>29.02000000000001</v>
      </c>
      <c r="AJ3138" s="5">
        <f t="shared" ref="AJ3138:AJ3201" si="99">IFERROR(AI3138/AH3138,0)</f>
        <v>0.20037285092867504</v>
      </c>
    </row>
    <row r="3139" spans="1:36">
      <c r="A3139" t="s">
        <v>517</v>
      </c>
      <c r="B3139" t="s">
        <v>3424</v>
      </c>
      <c r="C3139" t="s">
        <v>130</v>
      </c>
      <c r="D3139" t="s">
        <v>68</v>
      </c>
      <c r="E3139" t="s">
        <v>69</v>
      </c>
      <c r="F3139">
        <v>0</v>
      </c>
      <c r="G3139">
        <v>2683</v>
      </c>
      <c r="H3139">
        <v>1</v>
      </c>
      <c r="I3139" t="s">
        <v>173</v>
      </c>
      <c r="J3139">
        <v>1</v>
      </c>
      <c r="K3139" s="6">
        <v>2.33</v>
      </c>
      <c r="L3139" t="s">
        <v>174</v>
      </c>
      <c r="M3139">
        <v>0</v>
      </c>
      <c r="N3139" t="s">
        <v>175</v>
      </c>
      <c r="O3139">
        <v>1</v>
      </c>
      <c r="P3139">
        <v>0</v>
      </c>
      <c r="Q3139" s="6">
        <v>31.1</v>
      </c>
      <c r="R3139">
        <v>0</v>
      </c>
      <c r="S3139" s="6">
        <v>0</v>
      </c>
      <c r="T3139">
        <v>0</v>
      </c>
      <c r="U3139" s="6">
        <v>3653</v>
      </c>
      <c r="V3139">
        <v>0</v>
      </c>
      <c r="W3139">
        <v>0</v>
      </c>
      <c r="X3139">
        <v>0</v>
      </c>
      <c r="Y3139" s="6">
        <v>42.9</v>
      </c>
      <c r="Z3139">
        <v>6.0000000000000001E-3</v>
      </c>
      <c r="AA3139">
        <v>2.8000000000000001E-2</v>
      </c>
      <c r="AB3139">
        <v>0.01</v>
      </c>
      <c r="AC3139">
        <v>6</v>
      </c>
      <c r="AD3139" s="6">
        <v>50</v>
      </c>
      <c r="AE3139" s="6">
        <v>0</v>
      </c>
      <c r="AF3139" s="6">
        <v>0</v>
      </c>
      <c r="AG3139" s="6">
        <v>51.15</v>
      </c>
      <c r="AH3139" s="6">
        <v>68.63</v>
      </c>
      <c r="AI3139" s="6">
        <f t="shared" si="98"/>
        <v>17.479999999999997</v>
      </c>
      <c r="AJ3139" s="5">
        <f t="shared" si="99"/>
        <v>0.25469911117587057</v>
      </c>
    </row>
    <row r="3140" spans="1:36">
      <c r="A3140" t="s">
        <v>355</v>
      </c>
      <c r="B3140" t="s">
        <v>3425</v>
      </c>
      <c r="C3140" t="s">
        <v>130</v>
      </c>
      <c r="D3140" t="s">
        <v>68</v>
      </c>
      <c r="E3140" t="s">
        <v>69</v>
      </c>
      <c r="F3140">
        <v>0</v>
      </c>
      <c r="G3140">
        <v>2683</v>
      </c>
      <c r="H3140">
        <v>1</v>
      </c>
      <c r="I3140" t="s">
        <v>181</v>
      </c>
      <c r="J3140">
        <v>3</v>
      </c>
      <c r="K3140" s="6">
        <v>10.32</v>
      </c>
      <c r="L3140" t="s">
        <v>174</v>
      </c>
      <c r="M3140">
        <v>0</v>
      </c>
      <c r="N3140" t="s">
        <v>187</v>
      </c>
      <c r="O3140">
        <v>2</v>
      </c>
      <c r="P3140">
        <v>0</v>
      </c>
      <c r="Q3140" s="6">
        <v>84.4</v>
      </c>
      <c r="R3140">
        <v>0</v>
      </c>
      <c r="S3140" s="6">
        <v>0</v>
      </c>
      <c r="T3140">
        <v>0</v>
      </c>
      <c r="U3140" s="6">
        <v>4786</v>
      </c>
      <c r="V3140">
        <v>0</v>
      </c>
      <c r="W3140">
        <v>0</v>
      </c>
      <c r="X3140">
        <v>0</v>
      </c>
      <c r="Y3140" s="6">
        <v>42.9</v>
      </c>
      <c r="Z3140">
        <v>6.0000000000000001E-3</v>
      </c>
      <c r="AA3140">
        <v>2.8000000000000001E-2</v>
      </c>
      <c r="AB3140">
        <v>0.01</v>
      </c>
      <c r="AC3140">
        <v>6</v>
      </c>
      <c r="AD3140" s="6">
        <v>60</v>
      </c>
      <c r="AE3140" s="6">
        <v>0</v>
      </c>
      <c r="AF3140" s="6">
        <v>0</v>
      </c>
      <c r="AG3140" s="6">
        <v>102.5</v>
      </c>
      <c r="AH3140" s="6">
        <v>129.33000000000001</v>
      </c>
      <c r="AI3140" s="6">
        <f t="shared" si="98"/>
        <v>26.830000000000013</v>
      </c>
      <c r="AJ3140" s="5">
        <f t="shared" si="99"/>
        <v>0.20745380035567934</v>
      </c>
    </row>
    <row r="3141" spans="1:36">
      <c r="A3141" t="s">
        <v>183</v>
      </c>
      <c r="B3141" t="s">
        <v>3426</v>
      </c>
      <c r="C3141" t="s">
        <v>130</v>
      </c>
      <c r="D3141" t="s">
        <v>68</v>
      </c>
      <c r="E3141" t="s">
        <v>69</v>
      </c>
      <c r="F3141">
        <v>0</v>
      </c>
      <c r="G3141">
        <v>2683</v>
      </c>
      <c r="H3141">
        <v>1</v>
      </c>
      <c r="I3141" t="s">
        <v>173</v>
      </c>
      <c r="J3141">
        <v>1</v>
      </c>
      <c r="K3141" s="6">
        <v>1.59</v>
      </c>
      <c r="L3141" t="s">
        <v>174</v>
      </c>
      <c r="M3141">
        <v>0</v>
      </c>
      <c r="N3141" t="s">
        <v>175</v>
      </c>
      <c r="O3141">
        <v>1</v>
      </c>
      <c r="P3141">
        <v>0</v>
      </c>
      <c r="Q3141" s="6">
        <v>44.9</v>
      </c>
      <c r="R3141">
        <v>1</v>
      </c>
      <c r="S3141" s="6">
        <v>4039</v>
      </c>
      <c r="T3141">
        <v>0</v>
      </c>
      <c r="U3141" s="6">
        <v>13700</v>
      </c>
      <c r="V3141">
        <v>0</v>
      </c>
      <c r="W3141">
        <v>0</v>
      </c>
      <c r="X3141">
        <v>0</v>
      </c>
      <c r="Y3141" s="6">
        <v>42.9</v>
      </c>
      <c r="Z3141">
        <v>6.0000000000000001E-3</v>
      </c>
      <c r="AA3141">
        <v>2.8000000000000001E-2</v>
      </c>
      <c r="AB3141">
        <v>0.01</v>
      </c>
      <c r="AC3141">
        <v>6</v>
      </c>
      <c r="AD3141" s="6">
        <v>50</v>
      </c>
      <c r="AE3141" s="6">
        <v>40</v>
      </c>
      <c r="AF3141" s="6">
        <v>0</v>
      </c>
      <c r="AG3141" s="6">
        <v>46.44</v>
      </c>
      <c r="AH3141" s="6">
        <v>61.64</v>
      </c>
      <c r="AI3141" s="6">
        <f t="shared" si="98"/>
        <v>15.200000000000003</v>
      </c>
      <c r="AJ3141" s="5">
        <f t="shared" si="99"/>
        <v>0.24659312134977293</v>
      </c>
    </row>
    <row r="3142" spans="1:36">
      <c r="A3142" t="s">
        <v>311</v>
      </c>
      <c r="B3142" t="s">
        <v>3427</v>
      </c>
      <c r="C3142" t="s">
        <v>130</v>
      </c>
      <c r="D3142" t="s">
        <v>68</v>
      </c>
      <c r="E3142" t="s">
        <v>69</v>
      </c>
      <c r="F3142">
        <v>0</v>
      </c>
      <c r="G3142">
        <v>2683</v>
      </c>
      <c r="H3142">
        <v>1</v>
      </c>
      <c r="I3142" t="s">
        <v>220</v>
      </c>
      <c r="J3142">
        <v>2</v>
      </c>
      <c r="K3142" s="6">
        <v>1.92</v>
      </c>
      <c r="L3142" t="s">
        <v>174</v>
      </c>
      <c r="M3142">
        <v>0</v>
      </c>
      <c r="N3142" t="s">
        <v>175</v>
      </c>
      <c r="O3142">
        <v>1</v>
      </c>
      <c r="P3142">
        <v>0</v>
      </c>
      <c r="Q3142" s="6">
        <v>38.5</v>
      </c>
      <c r="R3142">
        <v>0</v>
      </c>
      <c r="S3142" s="6">
        <v>0</v>
      </c>
      <c r="T3142">
        <v>0</v>
      </c>
      <c r="U3142" s="6">
        <v>3802</v>
      </c>
      <c r="V3142">
        <v>0</v>
      </c>
      <c r="W3142">
        <v>0</v>
      </c>
      <c r="X3142">
        <v>0</v>
      </c>
      <c r="Y3142" s="6">
        <v>42.9</v>
      </c>
      <c r="Z3142">
        <v>6.0000000000000001E-3</v>
      </c>
      <c r="AA3142">
        <v>2.8000000000000001E-2</v>
      </c>
      <c r="AB3142">
        <v>0.01</v>
      </c>
      <c r="AC3142">
        <v>6</v>
      </c>
      <c r="AD3142" s="6">
        <v>50</v>
      </c>
      <c r="AE3142" s="6">
        <v>0</v>
      </c>
      <c r="AF3142" s="6">
        <v>0</v>
      </c>
      <c r="AG3142" s="6">
        <v>52.32</v>
      </c>
      <c r="AH3142" s="6">
        <v>70.14</v>
      </c>
      <c r="AI3142" s="6">
        <f t="shared" si="98"/>
        <v>17.82</v>
      </c>
      <c r="AJ3142" s="5">
        <f t="shared" si="99"/>
        <v>0.2540633019674936</v>
      </c>
    </row>
    <row r="3143" spans="1:36">
      <c r="A3143" t="s">
        <v>236</v>
      </c>
      <c r="B3143" t="s">
        <v>3428</v>
      </c>
      <c r="C3143" t="s">
        <v>130</v>
      </c>
      <c r="D3143" t="s">
        <v>68</v>
      </c>
      <c r="E3143" t="s">
        <v>69</v>
      </c>
      <c r="F3143">
        <v>0</v>
      </c>
      <c r="G3143">
        <v>2683</v>
      </c>
      <c r="H3143">
        <v>1</v>
      </c>
      <c r="I3143" t="s">
        <v>173</v>
      </c>
      <c r="J3143">
        <v>1</v>
      </c>
      <c r="K3143" s="6">
        <v>1.89</v>
      </c>
      <c r="L3143" t="s">
        <v>174</v>
      </c>
      <c r="M3143">
        <v>0</v>
      </c>
      <c r="N3143" t="s">
        <v>175</v>
      </c>
      <c r="O3143">
        <v>1</v>
      </c>
      <c r="P3143">
        <v>0</v>
      </c>
      <c r="Q3143" s="6">
        <v>33.799999999999997</v>
      </c>
      <c r="R3143">
        <v>0</v>
      </c>
      <c r="S3143" s="6">
        <v>0</v>
      </c>
      <c r="T3143">
        <v>0</v>
      </c>
      <c r="U3143" s="6">
        <v>5554</v>
      </c>
      <c r="V3143">
        <v>0</v>
      </c>
      <c r="W3143">
        <v>0</v>
      </c>
      <c r="X3143">
        <v>0</v>
      </c>
      <c r="Y3143" s="6">
        <v>42.9</v>
      </c>
      <c r="Z3143">
        <v>6.0000000000000001E-3</v>
      </c>
      <c r="AA3143">
        <v>2.8000000000000001E-2</v>
      </c>
      <c r="AB3143">
        <v>0.01</v>
      </c>
      <c r="AC3143">
        <v>6</v>
      </c>
      <c r="AD3143" s="6">
        <v>50</v>
      </c>
      <c r="AE3143" s="6">
        <v>0</v>
      </c>
      <c r="AF3143" s="6">
        <v>0</v>
      </c>
      <c r="AG3143" s="6">
        <v>56.33</v>
      </c>
      <c r="AH3143" s="6">
        <v>71.989999999999995</v>
      </c>
      <c r="AI3143" s="6">
        <f t="shared" si="98"/>
        <v>15.659999999999997</v>
      </c>
      <c r="AJ3143" s="5">
        <f t="shared" si="99"/>
        <v>0.21753021252951796</v>
      </c>
    </row>
    <row r="3144" spans="1:36">
      <c r="A3144" t="s">
        <v>225</v>
      </c>
      <c r="B3144" t="s">
        <v>3429</v>
      </c>
      <c r="C3144" t="s">
        <v>130</v>
      </c>
      <c r="D3144" t="s">
        <v>68</v>
      </c>
      <c r="E3144" t="s">
        <v>69</v>
      </c>
      <c r="F3144">
        <v>0</v>
      </c>
      <c r="G3144">
        <v>2683</v>
      </c>
      <c r="H3144">
        <v>1</v>
      </c>
      <c r="I3144" t="s">
        <v>220</v>
      </c>
      <c r="J3144">
        <v>2</v>
      </c>
      <c r="K3144" s="6">
        <v>3.37</v>
      </c>
      <c r="L3144" t="s">
        <v>174</v>
      </c>
      <c r="M3144">
        <v>0</v>
      </c>
      <c r="N3144" t="s">
        <v>272</v>
      </c>
      <c r="O3144">
        <v>5</v>
      </c>
      <c r="P3144">
        <v>1</v>
      </c>
      <c r="Q3144" s="6">
        <v>173</v>
      </c>
      <c r="R3144">
        <v>0</v>
      </c>
      <c r="S3144" s="6">
        <v>0</v>
      </c>
      <c r="T3144">
        <v>0</v>
      </c>
      <c r="U3144" s="6">
        <v>4916</v>
      </c>
      <c r="V3144">
        <v>0</v>
      </c>
      <c r="W3144">
        <v>0</v>
      </c>
      <c r="X3144">
        <v>0</v>
      </c>
      <c r="Y3144" s="6">
        <v>42.9</v>
      </c>
      <c r="Z3144">
        <v>6.0000000000000001E-3</v>
      </c>
      <c r="AA3144">
        <v>2.8000000000000001E-2</v>
      </c>
      <c r="AB3144">
        <v>0.01</v>
      </c>
      <c r="AC3144">
        <v>6</v>
      </c>
      <c r="AD3144" s="6">
        <v>50</v>
      </c>
      <c r="AE3144" s="6">
        <v>0</v>
      </c>
      <c r="AF3144" s="6">
        <v>0</v>
      </c>
      <c r="AG3144" s="6">
        <v>152.88999999999999</v>
      </c>
      <c r="AH3144" s="6">
        <v>193.09</v>
      </c>
      <c r="AI3144" s="6">
        <f t="shared" si="98"/>
        <v>40.200000000000017</v>
      </c>
      <c r="AJ3144" s="5">
        <f t="shared" si="99"/>
        <v>0.20819307058884468</v>
      </c>
    </row>
    <row r="3145" spans="1:36">
      <c r="A3145" t="s">
        <v>188</v>
      </c>
      <c r="B3145" t="s">
        <v>3430</v>
      </c>
      <c r="C3145" t="s">
        <v>130</v>
      </c>
      <c r="D3145" t="s">
        <v>68</v>
      </c>
      <c r="E3145" t="s">
        <v>69</v>
      </c>
      <c r="F3145">
        <v>0</v>
      </c>
      <c r="G3145">
        <v>2683</v>
      </c>
      <c r="H3145">
        <v>1</v>
      </c>
      <c r="I3145" t="s">
        <v>173</v>
      </c>
      <c r="J3145">
        <v>1</v>
      </c>
      <c r="K3145" s="6">
        <v>0.94</v>
      </c>
      <c r="L3145" t="s">
        <v>174</v>
      </c>
      <c r="M3145">
        <v>0</v>
      </c>
      <c r="N3145" t="s">
        <v>175</v>
      </c>
      <c r="O3145">
        <v>1</v>
      </c>
      <c r="P3145">
        <v>0</v>
      </c>
      <c r="Q3145" s="6">
        <v>41.8</v>
      </c>
      <c r="R3145">
        <v>1</v>
      </c>
      <c r="S3145" s="6">
        <v>1023</v>
      </c>
      <c r="T3145">
        <v>0</v>
      </c>
      <c r="U3145" s="6">
        <v>2589</v>
      </c>
      <c r="V3145">
        <v>0</v>
      </c>
      <c r="W3145">
        <v>0</v>
      </c>
      <c r="X3145">
        <v>0</v>
      </c>
      <c r="Y3145" s="6">
        <v>42.9</v>
      </c>
      <c r="Z3145">
        <v>6.0000000000000001E-3</v>
      </c>
      <c r="AA3145">
        <v>2.8000000000000001E-2</v>
      </c>
      <c r="AB3145">
        <v>0.01</v>
      </c>
      <c r="AC3145">
        <v>6</v>
      </c>
      <c r="AD3145" s="6">
        <v>50</v>
      </c>
      <c r="AE3145" s="6">
        <v>25</v>
      </c>
      <c r="AF3145" s="6">
        <v>0</v>
      </c>
      <c r="AG3145" s="6">
        <v>52.38</v>
      </c>
      <c r="AH3145" s="6">
        <v>66.37</v>
      </c>
      <c r="AI3145" s="6">
        <f t="shared" si="98"/>
        <v>13.990000000000002</v>
      </c>
      <c r="AJ3145" s="5">
        <f t="shared" si="99"/>
        <v>0.21078800662950128</v>
      </c>
    </row>
    <row r="3146" spans="1:36">
      <c r="A3146" t="s">
        <v>406</v>
      </c>
      <c r="B3146" t="s">
        <v>3431</v>
      </c>
      <c r="C3146" t="s">
        <v>130</v>
      </c>
      <c r="D3146" t="s">
        <v>68</v>
      </c>
      <c r="E3146" t="s">
        <v>69</v>
      </c>
      <c r="F3146">
        <v>0</v>
      </c>
      <c r="G3146">
        <v>2683</v>
      </c>
      <c r="H3146">
        <v>1</v>
      </c>
      <c r="I3146" t="s">
        <v>173</v>
      </c>
      <c r="J3146">
        <v>1</v>
      </c>
      <c r="K3146" s="6">
        <v>0.93</v>
      </c>
      <c r="L3146" t="s">
        <v>174</v>
      </c>
      <c r="M3146">
        <v>0</v>
      </c>
      <c r="N3146" t="s">
        <v>175</v>
      </c>
      <c r="O3146">
        <v>1</v>
      </c>
      <c r="P3146">
        <v>0</v>
      </c>
      <c r="Q3146" s="6">
        <v>37.6</v>
      </c>
      <c r="R3146">
        <v>0</v>
      </c>
      <c r="S3146" s="6">
        <v>0</v>
      </c>
      <c r="T3146">
        <v>0</v>
      </c>
      <c r="U3146" s="6">
        <v>12755</v>
      </c>
      <c r="V3146">
        <v>0</v>
      </c>
      <c r="W3146">
        <v>0</v>
      </c>
      <c r="X3146">
        <v>0</v>
      </c>
      <c r="Y3146" s="6">
        <v>42.9</v>
      </c>
      <c r="Z3146">
        <v>6.0000000000000001E-3</v>
      </c>
      <c r="AA3146">
        <v>2.8000000000000001E-2</v>
      </c>
      <c r="AB3146">
        <v>0.01</v>
      </c>
      <c r="AC3146">
        <v>6</v>
      </c>
      <c r="AD3146" s="6">
        <v>50</v>
      </c>
      <c r="AE3146" s="6">
        <v>0</v>
      </c>
      <c r="AF3146" s="6">
        <v>0</v>
      </c>
      <c r="AG3146" s="6">
        <v>50.54</v>
      </c>
      <c r="AH3146" s="6">
        <v>65.95</v>
      </c>
      <c r="AI3146" s="6">
        <f t="shared" si="98"/>
        <v>15.410000000000004</v>
      </c>
      <c r="AJ3146" s="5">
        <f t="shared" si="99"/>
        <v>0.2336618650492798</v>
      </c>
    </row>
    <row r="3147" spans="1:36">
      <c r="A3147" t="s">
        <v>176</v>
      </c>
      <c r="B3147" t="s">
        <v>3432</v>
      </c>
      <c r="C3147" t="s">
        <v>130</v>
      </c>
      <c r="D3147" t="s">
        <v>68</v>
      </c>
      <c r="E3147" t="s">
        <v>69</v>
      </c>
      <c r="F3147">
        <v>0</v>
      </c>
      <c r="G3147">
        <v>2683</v>
      </c>
      <c r="H3147">
        <v>1</v>
      </c>
      <c r="I3147" t="s">
        <v>173</v>
      </c>
      <c r="J3147">
        <v>1</v>
      </c>
      <c r="K3147" s="6">
        <v>1.93</v>
      </c>
      <c r="L3147" t="s">
        <v>174</v>
      </c>
      <c r="M3147">
        <v>0</v>
      </c>
      <c r="N3147" t="s">
        <v>187</v>
      </c>
      <c r="O3147">
        <v>2</v>
      </c>
      <c r="P3147">
        <v>0</v>
      </c>
      <c r="Q3147" s="6">
        <v>58.1</v>
      </c>
      <c r="R3147">
        <v>0</v>
      </c>
      <c r="S3147" s="6">
        <v>0</v>
      </c>
      <c r="T3147">
        <v>0</v>
      </c>
      <c r="U3147" s="6">
        <v>5502</v>
      </c>
      <c r="V3147">
        <v>0</v>
      </c>
      <c r="W3147">
        <v>0</v>
      </c>
      <c r="X3147">
        <v>0</v>
      </c>
      <c r="Y3147" s="6">
        <v>42.9</v>
      </c>
      <c r="Z3147">
        <v>6.0000000000000001E-3</v>
      </c>
      <c r="AA3147">
        <v>2.8000000000000001E-2</v>
      </c>
      <c r="AB3147">
        <v>0.01</v>
      </c>
      <c r="AC3147">
        <v>6</v>
      </c>
      <c r="AD3147" s="6">
        <v>50</v>
      </c>
      <c r="AE3147" s="6">
        <v>0</v>
      </c>
      <c r="AF3147" s="6">
        <v>0</v>
      </c>
      <c r="AG3147" s="6">
        <v>56.37</v>
      </c>
      <c r="AH3147" s="6">
        <v>72.150000000000006</v>
      </c>
      <c r="AI3147" s="6">
        <f t="shared" si="98"/>
        <v>15.780000000000008</v>
      </c>
      <c r="AJ3147" s="5">
        <f t="shared" si="99"/>
        <v>0.21871101871101881</v>
      </c>
    </row>
    <row r="3148" spans="1:36">
      <c r="A3148" t="s">
        <v>494</v>
      </c>
      <c r="B3148" t="s">
        <v>3433</v>
      </c>
      <c r="C3148" t="s">
        <v>130</v>
      </c>
      <c r="D3148" t="s">
        <v>68</v>
      </c>
      <c r="E3148" t="s">
        <v>69</v>
      </c>
      <c r="F3148">
        <v>0</v>
      </c>
      <c r="G3148">
        <v>2683</v>
      </c>
      <c r="H3148">
        <v>1</v>
      </c>
      <c r="I3148" t="s">
        <v>181</v>
      </c>
      <c r="J3148">
        <v>3</v>
      </c>
      <c r="K3148" s="6">
        <v>11.81</v>
      </c>
      <c r="L3148" t="s">
        <v>174</v>
      </c>
      <c r="M3148">
        <v>0</v>
      </c>
      <c r="N3148" t="s">
        <v>175</v>
      </c>
      <c r="O3148">
        <v>1</v>
      </c>
      <c r="P3148">
        <v>0</v>
      </c>
      <c r="Q3148" s="6">
        <v>34.700000000000003</v>
      </c>
      <c r="R3148">
        <v>0</v>
      </c>
      <c r="S3148" s="6">
        <v>0</v>
      </c>
      <c r="T3148">
        <v>0</v>
      </c>
      <c r="U3148" s="6">
        <v>6862</v>
      </c>
      <c r="V3148">
        <v>0</v>
      </c>
      <c r="W3148">
        <v>0</v>
      </c>
      <c r="X3148">
        <v>0</v>
      </c>
      <c r="Y3148" s="6">
        <v>42.9</v>
      </c>
      <c r="Z3148">
        <v>6.0000000000000001E-3</v>
      </c>
      <c r="AA3148">
        <v>2.8000000000000001E-2</v>
      </c>
      <c r="AB3148">
        <v>0.01</v>
      </c>
      <c r="AC3148">
        <v>6</v>
      </c>
      <c r="AD3148" s="6">
        <v>60</v>
      </c>
      <c r="AE3148" s="6">
        <v>0</v>
      </c>
      <c r="AF3148" s="6">
        <v>0</v>
      </c>
      <c r="AG3148" s="6">
        <v>100</v>
      </c>
      <c r="AH3148" s="6">
        <v>125.24</v>
      </c>
      <c r="AI3148" s="6">
        <f t="shared" si="98"/>
        <v>25.239999999999995</v>
      </c>
      <c r="AJ3148" s="5">
        <f t="shared" si="99"/>
        <v>0.20153305653145956</v>
      </c>
    </row>
    <row r="3149" spans="1:36">
      <c r="A3149" t="s">
        <v>391</v>
      </c>
      <c r="B3149" t="s">
        <v>3434</v>
      </c>
      <c r="C3149" t="s">
        <v>130</v>
      </c>
      <c r="D3149" t="s">
        <v>68</v>
      </c>
      <c r="E3149" t="s">
        <v>69</v>
      </c>
      <c r="F3149">
        <v>0</v>
      </c>
      <c r="G3149">
        <v>2683</v>
      </c>
      <c r="H3149">
        <v>1</v>
      </c>
      <c r="I3149" t="s">
        <v>173</v>
      </c>
      <c r="J3149">
        <v>1</v>
      </c>
      <c r="K3149" s="6">
        <v>1.65</v>
      </c>
      <c r="L3149" t="s">
        <v>174</v>
      </c>
      <c r="M3149">
        <v>0</v>
      </c>
      <c r="N3149" t="s">
        <v>187</v>
      </c>
      <c r="O3149">
        <v>2</v>
      </c>
      <c r="P3149">
        <v>0</v>
      </c>
      <c r="Q3149" s="6">
        <v>62</v>
      </c>
      <c r="R3149">
        <v>0</v>
      </c>
      <c r="S3149" s="6">
        <v>0</v>
      </c>
      <c r="T3149">
        <v>0</v>
      </c>
      <c r="U3149" s="6">
        <v>3775</v>
      </c>
      <c r="V3149">
        <v>0</v>
      </c>
      <c r="W3149">
        <v>0</v>
      </c>
      <c r="X3149">
        <v>0</v>
      </c>
      <c r="Y3149" s="6">
        <v>42.9</v>
      </c>
      <c r="Z3149">
        <v>6.0000000000000001E-3</v>
      </c>
      <c r="AA3149">
        <v>2.8000000000000001E-2</v>
      </c>
      <c r="AB3149">
        <v>0.01</v>
      </c>
      <c r="AC3149">
        <v>6</v>
      </c>
      <c r="AD3149" s="6">
        <v>50</v>
      </c>
      <c r="AE3149" s="6">
        <v>0</v>
      </c>
      <c r="AF3149" s="6">
        <v>0</v>
      </c>
      <c r="AG3149" s="6">
        <v>58.52</v>
      </c>
      <c r="AH3149" s="6">
        <v>77.13</v>
      </c>
      <c r="AI3149" s="6">
        <f t="shared" si="98"/>
        <v>18.609999999999992</v>
      </c>
      <c r="AJ3149" s="5">
        <f t="shared" si="99"/>
        <v>0.24128095423311285</v>
      </c>
    </row>
    <row r="3150" spans="1:36">
      <c r="A3150" t="s">
        <v>204</v>
      </c>
      <c r="B3150" t="s">
        <v>3435</v>
      </c>
      <c r="C3150" t="s">
        <v>130</v>
      </c>
      <c r="D3150" t="s">
        <v>68</v>
      </c>
      <c r="E3150" t="s">
        <v>69</v>
      </c>
      <c r="F3150">
        <v>0</v>
      </c>
      <c r="G3150">
        <v>2683</v>
      </c>
      <c r="H3150">
        <v>1</v>
      </c>
      <c r="I3150" t="s">
        <v>220</v>
      </c>
      <c r="J3150">
        <v>2</v>
      </c>
      <c r="K3150" s="6">
        <v>3.93</v>
      </c>
      <c r="L3150" t="s">
        <v>174</v>
      </c>
      <c r="M3150">
        <v>0</v>
      </c>
      <c r="N3150" t="s">
        <v>272</v>
      </c>
      <c r="O3150">
        <v>5</v>
      </c>
      <c r="P3150">
        <v>1</v>
      </c>
      <c r="Q3150" s="6">
        <v>275.7</v>
      </c>
      <c r="R3150">
        <v>0</v>
      </c>
      <c r="S3150" s="6">
        <v>0</v>
      </c>
      <c r="T3150">
        <v>0</v>
      </c>
      <c r="U3150" s="6">
        <v>5906</v>
      </c>
      <c r="V3150">
        <v>0</v>
      </c>
      <c r="W3150">
        <v>0</v>
      </c>
      <c r="X3150">
        <v>0</v>
      </c>
      <c r="Y3150" s="6">
        <v>42.9</v>
      </c>
      <c r="Z3150">
        <v>6.0000000000000001E-3</v>
      </c>
      <c r="AA3150">
        <v>2.8000000000000001E-2</v>
      </c>
      <c r="AB3150">
        <v>0.01</v>
      </c>
      <c r="AC3150">
        <v>6</v>
      </c>
      <c r="AD3150" s="6">
        <v>50</v>
      </c>
      <c r="AE3150" s="6">
        <v>0</v>
      </c>
      <c r="AF3150" s="6">
        <v>0</v>
      </c>
      <c r="AG3150" s="6">
        <v>154.26</v>
      </c>
      <c r="AH3150" s="6">
        <v>197.58</v>
      </c>
      <c r="AI3150" s="6">
        <f t="shared" si="98"/>
        <v>43.320000000000022</v>
      </c>
      <c r="AJ3150" s="5">
        <f t="shared" si="99"/>
        <v>0.21925296082599463</v>
      </c>
    </row>
    <row r="3151" spans="1:36">
      <c r="A3151" t="s">
        <v>306</v>
      </c>
      <c r="B3151" t="s">
        <v>3436</v>
      </c>
      <c r="C3151" t="s">
        <v>130</v>
      </c>
      <c r="D3151" t="s">
        <v>68</v>
      </c>
      <c r="E3151" t="s">
        <v>69</v>
      </c>
      <c r="F3151">
        <v>0</v>
      </c>
      <c r="G3151">
        <v>2683</v>
      </c>
      <c r="H3151">
        <v>1</v>
      </c>
      <c r="I3151" t="s">
        <v>173</v>
      </c>
      <c r="J3151">
        <v>1</v>
      </c>
      <c r="K3151" s="6">
        <v>1.6</v>
      </c>
      <c r="L3151" t="s">
        <v>174</v>
      </c>
      <c r="M3151">
        <v>0</v>
      </c>
      <c r="N3151" t="s">
        <v>175</v>
      </c>
      <c r="O3151">
        <v>1</v>
      </c>
      <c r="P3151">
        <v>0</v>
      </c>
      <c r="Q3151" s="6">
        <v>27.6</v>
      </c>
      <c r="R3151">
        <v>0</v>
      </c>
      <c r="S3151" s="6">
        <v>0</v>
      </c>
      <c r="T3151">
        <v>0</v>
      </c>
      <c r="U3151" s="6">
        <v>3779</v>
      </c>
      <c r="V3151">
        <v>0</v>
      </c>
      <c r="W3151">
        <v>0</v>
      </c>
      <c r="X3151">
        <v>0</v>
      </c>
      <c r="Y3151" s="6">
        <v>42.9</v>
      </c>
      <c r="Z3151">
        <v>6.0000000000000001E-3</v>
      </c>
      <c r="AA3151">
        <v>2.8000000000000001E-2</v>
      </c>
      <c r="AB3151">
        <v>0.01</v>
      </c>
      <c r="AC3151">
        <v>6</v>
      </c>
      <c r="AD3151" s="6">
        <v>50</v>
      </c>
      <c r="AE3151" s="6">
        <v>0</v>
      </c>
      <c r="AF3151" s="6">
        <v>0</v>
      </c>
      <c r="AG3151" s="6">
        <v>50.35</v>
      </c>
      <c r="AH3151" s="6">
        <v>66.14</v>
      </c>
      <c r="AI3151" s="6">
        <f t="shared" si="98"/>
        <v>15.79</v>
      </c>
      <c r="AJ3151" s="5">
        <f t="shared" si="99"/>
        <v>0.23873601451466583</v>
      </c>
    </row>
    <row r="3152" spans="1:36">
      <c r="A3152" t="s">
        <v>381</v>
      </c>
      <c r="B3152" t="s">
        <v>3437</v>
      </c>
      <c r="C3152" t="s">
        <v>130</v>
      </c>
      <c r="D3152" t="s">
        <v>68</v>
      </c>
      <c r="E3152" t="s">
        <v>69</v>
      </c>
      <c r="F3152">
        <v>0</v>
      </c>
      <c r="G3152">
        <v>2683</v>
      </c>
      <c r="H3152">
        <v>1</v>
      </c>
      <c r="I3152" t="s">
        <v>181</v>
      </c>
      <c r="J3152">
        <v>3</v>
      </c>
      <c r="K3152" s="6">
        <v>5.96</v>
      </c>
      <c r="L3152" t="s">
        <v>174</v>
      </c>
      <c r="M3152">
        <v>0</v>
      </c>
      <c r="N3152" t="s">
        <v>217</v>
      </c>
      <c r="O3152">
        <v>4</v>
      </c>
      <c r="P3152">
        <v>1</v>
      </c>
      <c r="Q3152" s="6">
        <v>134.80000000000001</v>
      </c>
      <c r="R3152">
        <v>0</v>
      </c>
      <c r="S3152" s="6">
        <v>0</v>
      </c>
      <c r="T3152">
        <v>0</v>
      </c>
      <c r="U3152" s="6">
        <v>6952</v>
      </c>
      <c r="V3152">
        <v>0</v>
      </c>
      <c r="W3152">
        <v>0</v>
      </c>
      <c r="X3152">
        <v>0</v>
      </c>
      <c r="Y3152" s="6">
        <v>42.9</v>
      </c>
      <c r="Z3152">
        <v>6.0000000000000001E-3</v>
      </c>
      <c r="AA3152">
        <v>2.8000000000000001E-2</v>
      </c>
      <c r="AB3152">
        <v>0.01</v>
      </c>
      <c r="AC3152">
        <v>6</v>
      </c>
      <c r="AD3152" s="6">
        <v>60</v>
      </c>
      <c r="AE3152" s="6">
        <v>0</v>
      </c>
      <c r="AF3152" s="6">
        <v>0</v>
      </c>
      <c r="AG3152" s="6">
        <v>126.66</v>
      </c>
      <c r="AH3152" s="6">
        <v>161.72999999999999</v>
      </c>
      <c r="AI3152" s="6">
        <f t="shared" si="98"/>
        <v>35.069999999999993</v>
      </c>
      <c r="AJ3152" s="5">
        <f t="shared" si="99"/>
        <v>0.21684288629196807</v>
      </c>
    </row>
    <row r="3153" spans="1:36">
      <c r="A3153" t="s">
        <v>300</v>
      </c>
      <c r="B3153" t="s">
        <v>3438</v>
      </c>
      <c r="C3153" t="s">
        <v>130</v>
      </c>
      <c r="D3153" t="s">
        <v>68</v>
      </c>
      <c r="E3153" t="s">
        <v>69</v>
      </c>
      <c r="F3153">
        <v>0</v>
      </c>
      <c r="G3153">
        <v>2683</v>
      </c>
      <c r="H3153">
        <v>1</v>
      </c>
      <c r="I3153" t="s">
        <v>181</v>
      </c>
      <c r="J3153">
        <v>3</v>
      </c>
      <c r="K3153" s="6">
        <v>6.41</v>
      </c>
      <c r="L3153" t="s">
        <v>174</v>
      </c>
      <c r="M3153">
        <v>0</v>
      </c>
      <c r="N3153" t="s">
        <v>175</v>
      </c>
      <c r="O3153">
        <v>1</v>
      </c>
      <c r="P3153">
        <v>0</v>
      </c>
      <c r="Q3153" s="6">
        <v>50.3</v>
      </c>
      <c r="R3153">
        <v>0</v>
      </c>
      <c r="S3153" s="6">
        <v>0</v>
      </c>
      <c r="T3153">
        <v>0</v>
      </c>
      <c r="U3153" s="6">
        <v>1855</v>
      </c>
      <c r="V3153">
        <v>0</v>
      </c>
      <c r="W3153">
        <v>0</v>
      </c>
      <c r="X3153">
        <v>0</v>
      </c>
      <c r="Y3153" s="6">
        <v>42.9</v>
      </c>
      <c r="Z3153">
        <v>6.0000000000000001E-3</v>
      </c>
      <c r="AA3153">
        <v>2.8000000000000001E-2</v>
      </c>
      <c r="AB3153">
        <v>0.01</v>
      </c>
      <c r="AC3153">
        <v>6</v>
      </c>
      <c r="AD3153" s="6">
        <v>60</v>
      </c>
      <c r="AE3153" s="6">
        <v>0</v>
      </c>
      <c r="AF3153" s="6">
        <v>0</v>
      </c>
      <c r="AG3153" s="6">
        <v>74.34</v>
      </c>
      <c r="AH3153" s="6">
        <v>96.11</v>
      </c>
      <c r="AI3153" s="6">
        <f t="shared" si="98"/>
        <v>21.769999999999996</v>
      </c>
      <c r="AJ3153" s="5">
        <f t="shared" si="99"/>
        <v>0.22651128914785137</v>
      </c>
    </row>
    <row r="3154" spans="1:36">
      <c r="A3154" t="s">
        <v>247</v>
      </c>
      <c r="B3154" t="s">
        <v>3439</v>
      </c>
      <c r="C3154" t="s">
        <v>130</v>
      </c>
      <c r="D3154" t="s">
        <v>68</v>
      </c>
      <c r="E3154" t="s">
        <v>69</v>
      </c>
      <c r="F3154">
        <v>0</v>
      </c>
      <c r="G3154">
        <v>2683</v>
      </c>
      <c r="H3154">
        <v>1</v>
      </c>
      <c r="I3154" t="s">
        <v>173</v>
      </c>
      <c r="J3154">
        <v>1</v>
      </c>
      <c r="K3154" s="6">
        <v>1.41</v>
      </c>
      <c r="L3154" t="s">
        <v>174</v>
      </c>
      <c r="M3154">
        <v>0</v>
      </c>
      <c r="N3154" t="s">
        <v>182</v>
      </c>
      <c r="O3154">
        <v>3</v>
      </c>
      <c r="P3154">
        <v>0</v>
      </c>
      <c r="Q3154" s="6">
        <v>112.3</v>
      </c>
      <c r="R3154">
        <v>0</v>
      </c>
      <c r="S3154" s="6">
        <v>0</v>
      </c>
      <c r="T3154">
        <v>0</v>
      </c>
      <c r="U3154" s="6">
        <v>14899</v>
      </c>
      <c r="V3154">
        <v>0</v>
      </c>
      <c r="W3154">
        <v>0</v>
      </c>
      <c r="X3154">
        <v>0</v>
      </c>
      <c r="Y3154" s="6">
        <v>42.9</v>
      </c>
      <c r="Z3154">
        <v>6.0000000000000001E-3</v>
      </c>
      <c r="AA3154">
        <v>2.8000000000000001E-2</v>
      </c>
      <c r="AB3154">
        <v>0.01</v>
      </c>
      <c r="AC3154">
        <v>6</v>
      </c>
      <c r="AD3154" s="6">
        <v>50</v>
      </c>
      <c r="AE3154" s="6">
        <v>0</v>
      </c>
      <c r="AF3154" s="6">
        <v>0</v>
      </c>
      <c r="AG3154" s="6">
        <v>54.86</v>
      </c>
      <c r="AH3154" s="6">
        <v>71.27</v>
      </c>
      <c r="AI3154" s="6">
        <f t="shared" si="98"/>
        <v>16.409999999999997</v>
      </c>
      <c r="AJ3154" s="5">
        <f t="shared" si="99"/>
        <v>0.23025115756980494</v>
      </c>
    </row>
    <row r="3155" spans="1:36">
      <c r="A3155" t="s">
        <v>185</v>
      </c>
      <c r="B3155" t="s">
        <v>3440</v>
      </c>
      <c r="C3155" t="s">
        <v>130</v>
      </c>
      <c r="D3155" t="s">
        <v>68</v>
      </c>
      <c r="E3155" t="s">
        <v>69</v>
      </c>
      <c r="F3155">
        <v>0</v>
      </c>
      <c r="G3155">
        <v>2683</v>
      </c>
      <c r="H3155">
        <v>1</v>
      </c>
      <c r="I3155" t="s">
        <v>173</v>
      </c>
      <c r="J3155">
        <v>1</v>
      </c>
      <c r="K3155" s="6">
        <v>1.74</v>
      </c>
      <c r="L3155" t="s">
        <v>174</v>
      </c>
      <c r="M3155">
        <v>0</v>
      </c>
      <c r="N3155" t="s">
        <v>175</v>
      </c>
      <c r="O3155">
        <v>1</v>
      </c>
      <c r="P3155">
        <v>0</v>
      </c>
      <c r="Q3155" s="6">
        <v>28.7</v>
      </c>
      <c r="R3155">
        <v>0</v>
      </c>
      <c r="S3155" s="6">
        <v>0</v>
      </c>
      <c r="T3155">
        <v>0</v>
      </c>
      <c r="U3155" s="6">
        <v>5274</v>
      </c>
      <c r="V3155">
        <v>0</v>
      </c>
      <c r="W3155">
        <v>0</v>
      </c>
      <c r="X3155">
        <v>0</v>
      </c>
      <c r="Y3155" s="6">
        <v>42.9</v>
      </c>
      <c r="Z3155">
        <v>6.0000000000000001E-3</v>
      </c>
      <c r="AA3155">
        <v>2.8000000000000001E-2</v>
      </c>
      <c r="AB3155">
        <v>0.01</v>
      </c>
      <c r="AC3155">
        <v>6</v>
      </c>
      <c r="AD3155" s="6">
        <v>50</v>
      </c>
      <c r="AE3155" s="6">
        <v>0</v>
      </c>
      <c r="AF3155" s="6">
        <v>0</v>
      </c>
      <c r="AG3155" s="6">
        <v>56.95</v>
      </c>
      <c r="AH3155" s="6">
        <v>72.22</v>
      </c>
      <c r="AI3155" s="6">
        <f t="shared" si="98"/>
        <v>15.269999999999996</v>
      </c>
      <c r="AJ3155" s="5">
        <f t="shared" si="99"/>
        <v>0.21143727499307666</v>
      </c>
    </row>
    <row r="3156" spans="1:36">
      <c r="A3156" t="s">
        <v>362</v>
      </c>
      <c r="B3156" t="s">
        <v>3441</v>
      </c>
      <c r="C3156" t="s">
        <v>130</v>
      </c>
      <c r="D3156" t="s">
        <v>68</v>
      </c>
      <c r="E3156" t="s">
        <v>69</v>
      </c>
      <c r="F3156">
        <v>0</v>
      </c>
      <c r="G3156">
        <v>2683</v>
      </c>
      <c r="H3156">
        <v>1</v>
      </c>
      <c r="I3156" t="s">
        <v>178</v>
      </c>
      <c r="J3156">
        <v>4</v>
      </c>
      <c r="K3156" s="6">
        <v>11.95</v>
      </c>
      <c r="L3156" t="s">
        <v>174</v>
      </c>
      <c r="M3156">
        <v>0</v>
      </c>
      <c r="N3156" t="s">
        <v>182</v>
      </c>
      <c r="O3156">
        <v>3</v>
      </c>
      <c r="P3156">
        <v>0</v>
      </c>
      <c r="Q3156" s="6">
        <v>45.9</v>
      </c>
      <c r="R3156">
        <v>0</v>
      </c>
      <c r="S3156" s="6">
        <v>0</v>
      </c>
      <c r="T3156">
        <v>0</v>
      </c>
      <c r="U3156" s="6">
        <v>2715</v>
      </c>
      <c r="V3156">
        <v>0</v>
      </c>
      <c r="W3156">
        <v>0</v>
      </c>
      <c r="X3156">
        <v>0</v>
      </c>
      <c r="Y3156" s="6">
        <v>42.9</v>
      </c>
      <c r="Z3156">
        <v>6.0000000000000001E-3</v>
      </c>
      <c r="AA3156">
        <v>2.8000000000000001E-2</v>
      </c>
      <c r="AB3156">
        <v>0.01</v>
      </c>
      <c r="AC3156">
        <v>6</v>
      </c>
      <c r="AD3156" s="6">
        <v>65</v>
      </c>
      <c r="AE3156" s="6">
        <v>0</v>
      </c>
      <c r="AF3156" s="6">
        <v>0</v>
      </c>
      <c r="AG3156" s="6">
        <v>137.91</v>
      </c>
      <c r="AH3156" s="6">
        <v>175.42</v>
      </c>
      <c r="AI3156" s="6">
        <f t="shared" si="98"/>
        <v>37.509999999999991</v>
      </c>
      <c r="AJ3156" s="5">
        <f t="shared" si="99"/>
        <v>0.2138296659445901</v>
      </c>
    </row>
    <row r="3157" spans="1:36">
      <c r="A3157" t="s">
        <v>537</v>
      </c>
      <c r="B3157" t="s">
        <v>3442</v>
      </c>
      <c r="C3157" t="s">
        <v>130</v>
      </c>
      <c r="D3157" t="s">
        <v>68</v>
      </c>
      <c r="E3157" t="s">
        <v>69</v>
      </c>
      <c r="F3157">
        <v>0</v>
      </c>
      <c r="G3157">
        <v>2683</v>
      </c>
      <c r="H3157">
        <v>1</v>
      </c>
      <c r="I3157" t="s">
        <v>181</v>
      </c>
      <c r="J3157">
        <v>3</v>
      </c>
      <c r="K3157" s="6">
        <v>9.4499999999999993</v>
      </c>
      <c r="L3157" t="s">
        <v>174</v>
      </c>
      <c r="M3157">
        <v>0</v>
      </c>
      <c r="N3157" t="s">
        <v>175</v>
      </c>
      <c r="O3157">
        <v>1</v>
      </c>
      <c r="P3157">
        <v>0</v>
      </c>
      <c r="Q3157" s="6">
        <v>40</v>
      </c>
      <c r="R3157">
        <v>0</v>
      </c>
      <c r="S3157" s="6">
        <v>0</v>
      </c>
      <c r="T3157">
        <v>0</v>
      </c>
      <c r="U3157" s="6">
        <v>2612</v>
      </c>
      <c r="V3157">
        <v>0</v>
      </c>
      <c r="W3157">
        <v>0</v>
      </c>
      <c r="X3157">
        <v>0</v>
      </c>
      <c r="Y3157" s="6">
        <v>42.9</v>
      </c>
      <c r="Z3157">
        <v>6.0000000000000001E-3</v>
      </c>
      <c r="AA3157">
        <v>2.8000000000000001E-2</v>
      </c>
      <c r="AB3157">
        <v>0.01</v>
      </c>
      <c r="AC3157">
        <v>6</v>
      </c>
      <c r="AD3157" s="6">
        <v>60</v>
      </c>
      <c r="AE3157" s="6">
        <v>0</v>
      </c>
      <c r="AF3157" s="6">
        <v>0</v>
      </c>
      <c r="AG3157" s="6">
        <v>89.44</v>
      </c>
      <c r="AH3157" s="6">
        <v>112.56</v>
      </c>
      <c r="AI3157" s="6">
        <f t="shared" si="98"/>
        <v>23.120000000000005</v>
      </c>
      <c r="AJ3157" s="5">
        <f t="shared" si="99"/>
        <v>0.20540156361051887</v>
      </c>
    </row>
    <row r="3158" spans="1:36">
      <c r="A3158" t="s">
        <v>261</v>
      </c>
      <c r="B3158" t="s">
        <v>3443</v>
      </c>
      <c r="C3158" t="s">
        <v>130</v>
      </c>
      <c r="D3158" t="s">
        <v>68</v>
      </c>
      <c r="E3158" t="s">
        <v>69</v>
      </c>
      <c r="F3158">
        <v>0</v>
      </c>
      <c r="G3158">
        <v>2683</v>
      </c>
      <c r="H3158">
        <v>1</v>
      </c>
      <c r="I3158" t="s">
        <v>220</v>
      </c>
      <c r="J3158">
        <v>2</v>
      </c>
      <c r="K3158" s="6">
        <v>2.68</v>
      </c>
      <c r="L3158" t="s">
        <v>174</v>
      </c>
      <c r="M3158">
        <v>0</v>
      </c>
      <c r="N3158" t="s">
        <v>175</v>
      </c>
      <c r="O3158">
        <v>1</v>
      </c>
      <c r="P3158">
        <v>0</v>
      </c>
      <c r="Q3158" s="6">
        <v>40.200000000000003</v>
      </c>
      <c r="R3158">
        <v>0</v>
      </c>
      <c r="S3158" s="6">
        <v>0</v>
      </c>
      <c r="T3158">
        <v>0</v>
      </c>
      <c r="U3158" s="6">
        <v>7213</v>
      </c>
      <c r="V3158">
        <v>0</v>
      </c>
      <c r="W3158">
        <v>0</v>
      </c>
      <c r="X3158">
        <v>0</v>
      </c>
      <c r="Y3158" s="6">
        <v>42.9</v>
      </c>
      <c r="Z3158">
        <v>6.0000000000000001E-3</v>
      </c>
      <c r="AA3158">
        <v>2.8000000000000001E-2</v>
      </c>
      <c r="AB3158">
        <v>0.01</v>
      </c>
      <c r="AC3158">
        <v>6</v>
      </c>
      <c r="AD3158" s="6">
        <v>50</v>
      </c>
      <c r="AE3158" s="6">
        <v>0</v>
      </c>
      <c r="AF3158" s="6">
        <v>0</v>
      </c>
      <c r="AG3158" s="6">
        <v>65.8</v>
      </c>
      <c r="AH3158" s="6">
        <v>85.21</v>
      </c>
      <c r="AI3158" s="6">
        <f t="shared" si="98"/>
        <v>19.409999999999997</v>
      </c>
      <c r="AJ3158" s="5">
        <f t="shared" si="99"/>
        <v>0.22779016547353595</v>
      </c>
    </row>
    <row r="3159" spans="1:36">
      <c r="A3159" t="s">
        <v>190</v>
      </c>
      <c r="B3159" t="s">
        <v>3444</v>
      </c>
      <c r="C3159" t="s">
        <v>130</v>
      </c>
      <c r="D3159" t="s">
        <v>68</v>
      </c>
      <c r="E3159" t="s">
        <v>69</v>
      </c>
      <c r="F3159">
        <v>0</v>
      </c>
      <c r="G3159">
        <v>2683</v>
      </c>
      <c r="H3159">
        <v>1</v>
      </c>
      <c r="I3159" t="s">
        <v>220</v>
      </c>
      <c r="J3159">
        <v>2</v>
      </c>
      <c r="K3159" s="6">
        <v>4.8</v>
      </c>
      <c r="L3159" t="s">
        <v>174</v>
      </c>
      <c r="M3159">
        <v>0</v>
      </c>
      <c r="N3159" t="s">
        <v>175</v>
      </c>
      <c r="O3159">
        <v>1</v>
      </c>
      <c r="P3159">
        <v>0</v>
      </c>
      <c r="Q3159" s="6">
        <v>22.4</v>
      </c>
      <c r="R3159">
        <v>1</v>
      </c>
      <c r="S3159" s="6">
        <v>240</v>
      </c>
      <c r="T3159">
        <v>0</v>
      </c>
      <c r="U3159" s="6">
        <v>5724</v>
      </c>
      <c r="V3159">
        <v>0</v>
      </c>
      <c r="W3159">
        <v>0</v>
      </c>
      <c r="X3159">
        <v>0</v>
      </c>
      <c r="Y3159" s="6">
        <v>42.9</v>
      </c>
      <c r="Z3159">
        <v>6.0000000000000001E-3</v>
      </c>
      <c r="AA3159">
        <v>2.8000000000000001E-2</v>
      </c>
      <c r="AB3159">
        <v>0.01</v>
      </c>
      <c r="AC3159">
        <v>6</v>
      </c>
      <c r="AD3159" s="6">
        <v>50</v>
      </c>
      <c r="AE3159" s="6">
        <v>25</v>
      </c>
      <c r="AF3159" s="6">
        <v>0</v>
      </c>
      <c r="AG3159" s="6">
        <v>61.69</v>
      </c>
      <c r="AH3159" s="6">
        <v>78.66</v>
      </c>
      <c r="AI3159" s="6">
        <f t="shared" si="98"/>
        <v>16.97</v>
      </c>
      <c r="AJ3159" s="5">
        <f t="shared" si="99"/>
        <v>0.21573862191711163</v>
      </c>
    </row>
    <row r="3160" spans="1:36">
      <c r="A3160" t="s">
        <v>306</v>
      </c>
      <c r="B3160" t="s">
        <v>3445</v>
      </c>
      <c r="C3160" t="s">
        <v>130</v>
      </c>
      <c r="D3160" t="s">
        <v>68</v>
      </c>
      <c r="E3160" t="s">
        <v>69</v>
      </c>
      <c r="F3160">
        <v>0</v>
      </c>
      <c r="G3160">
        <v>2683</v>
      </c>
      <c r="H3160">
        <v>1</v>
      </c>
      <c r="I3160" t="s">
        <v>181</v>
      </c>
      <c r="J3160">
        <v>3</v>
      </c>
      <c r="K3160" s="6">
        <v>5.98</v>
      </c>
      <c r="L3160" t="s">
        <v>174</v>
      </c>
      <c r="M3160">
        <v>0</v>
      </c>
      <c r="N3160" t="s">
        <v>187</v>
      </c>
      <c r="O3160">
        <v>2</v>
      </c>
      <c r="P3160">
        <v>0</v>
      </c>
      <c r="Q3160" s="6">
        <v>47.6</v>
      </c>
      <c r="R3160">
        <v>0</v>
      </c>
      <c r="S3160" s="6">
        <v>0</v>
      </c>
      <c r="T3160">
        <v>0</v>
      </c>
      <c r="U3160" s="6">
        <v>9445</v>
      </c>
      <c r="V3160">
        <v>0</v>
      </c>
      <c r="W3160">
        <v>0</v>
      </c>
      <c r="X3160">
        <v>0</v>
      </c>
      <c r="Y3160" s="6">
        <v>42.9</v>
      </c>
      <c r="Z3160">
        <v>6.0000000000000001E-3</v>
      </c>
      <c r="AA3160">
        <v>2.8000000000000001E-2</v>
      </c>
      <c r="AB3160">
        <v>0.01</v>
      </c>
      <c r="AC3160">
        <v>6</v>
      </c>
      <c r="AD3160" s="6">
        <v>60</v>
      </c>
      <c r="AE3160" s="6">
        <v>0</v>
      </c>
      <c r="AF3160" s="6">
        <v>0</v>
      </c>
      <c r="AG3160" s="6">
        <v>77.91</v>
      </c>
      <c r="AH3160" s="6">
        <v>98.46</v>
      </c>
      <c r="AI3160" s="6">
        <f t="shared" si="98"/>
        <v>20.549999999999997</v>
      </c>
      <c r="AJ3160" s="5">
        <f t="shared" si="99"/>
        <v>0.20871419865935403</v>
      </c>
    </row>
    <row r="3161" spans="1:36">
      <c r="A3161" t="s">
        <v>316</v>
      </c>
      <c r="B3161" t="s">
        <v>3446</v>
      </c>
      <c r="C3161" t="s">
        <v>130</v>
      </c>
      <c r="D3161" t="s">
        <v>68</v>
      </c>
      <c r="E3161" t="s">
        <v>69</v>
      </c>
      <c r="F3161">
        <v>0</v>
      </c>
      <c r="G3161">
        <v>2683</v>
      </c>
      <c r="H3161">
        <v>1</v>
      </c>
      <c r="I3161" t="s">
        <v>173</v>
      </c>
      <c r="J3161">
        <v>1</v>
      </c>
      <c r="K3161" s="6">
        <v>1.44</v>
      </c>
      <c r="L3161" t="s">
        <v>174</v>
      </c>
      <c r="M3161">
        <v>0</v>
      </c>
      <c r="N3161" t="s">
        <v>182</v>
      </c>
      <c r="O3161">
        <v>3</v>
      </c>
      <c r="P3161">
        <v>0</v>
      </c>
      <c r="Q3161" s="6">
        <v>122.2</v>
      </c>
      <c r="R3161">
        <v>0</v>
      </c>
      <c r="S3161" s="6">
        <v>0</v>
      </c>
      <c r="T3161">
        <v>0</v>
      </c>
      <c r="U3161" s="6">
        <v>11581</v>
      </c>
      <c r="V3161">
        <v>0</v>
      </c>
      <c r="W3161">
        <v>0</v>
      </c>
      <c r="X3161">
        <v>0</v>
      </c>
      <c r="Y3161" s="6">
        <v>42.9</v>
      </c>
      <c r="Z3161">
        <v>6.0000000000000001E-3</v>
      </c>
      <c r="AA3161">
        <v>2.8000000000000001E-2</v>
      </c>
      <c r="AB3161">
        <v>0.01</v>
      </c>
      <c r="AC3161">
        <v>6</v>
      </c>
      <c r="AD3161" s="6">
        <v>50</v>
      </c>
      <c r="AE3161" s="6">
        <v>0</v>
      </c>
      <c r="AF3161" s="6">
        <v>0</v>
      </c>
      <c r="AG3161" s="6">
        <v>59.33</v>
      </c>
      <c r="AH3161" s="6">
        <v>77</v>
      </c>
      <c r="AI3161" s="6">
        <f t="shared" si="98"/>
        <v>17.670000000000002</v>
      </c>
      <c r="AJ3161" s="5">
        <f t="shared" si="99"/>
        <v>0.22948051948051951</v>
      </c>
    </row>
    <row r="3162" spans="1:36">
      <c r="A3162" t="s">
        <v>247</v>
      </c>
      <c r="B3162" t="s">
        <v>3447</v>
      </c>
      <c r="C3162" t="s">
        <v>130</v>
      </c>
      <c r="D3162" t="s">
        <v>68</v>
      </c>
      <c r="E3162" t="s">
        <v>69</v>
      </c>
      <c r="F3162">
        <v>0</v>
      </c>
      <c r="G3162">
        <v>2683</v>
      </c>
      <c r="H3162">
        <v>1</v>
      </c>
      <c r="I3162" t="s">
        <v>173</v>
      </c>
      <c r="J3162">
        <v>1</v>
      </c>
      <c r="K3162" s="6">
        <v>2.31</v>
      </c>
      <c r="L3162" t="s">
        <v>174</v>
      </c>
      <c r="M3162">
        <v>0</v>
      </c>
      <c r="N3162" t="s">
        <v>187</v>
      </c>
      <c r="O3162">
        <v>2</v>
      </c>
      <c r="P3162">
        <v>0</v>
      </c>
      <c r="Q3162" s="6">
        <v>82.9</v>
      </c>
      <c r="R3162">
        <v>0</v>
      </c>
      <c r="S3162" s="6">
        <v>0</v>
      </c>
      <c r="T3162">
        <v>0</v>
      </c>
      <c r="U3162" s="6">
        <v>4144</v>
      </c>
      <c r="V3162">
        <v>0</v>
      </c>
      <c r="W3162">
        <v>0</v>
      </c>
      <c r="X3162">
        <v>0</v>
      </c>
      <c r="Y3162" s="6">
        <v>42.9</v>
      </c>
      <c r="Z3162">
        <v>6.0000000000000001E-3</v>
      </c>
      <c r="AA3162">
        <v>2.8000000000000001E-2</v>
      </c>
      <c r="AB3162">
        <v>0.01</v>
      </c>
      <c r="AC3162">
        <v>6</v>
      </c>
      <c r="AD3162" s="6">
        <v>50</v>
      </c>
      <c r="AE3162" s="6">
        <v>0</v>
      </c>
      <c r="AF3162" s="6">
        <v>0</v>
      </c>
      <c r="AG3162" s="6">
        <v>53.91</v>
      </c>
      <c r="AH3162" s="6">
        <v>72.19</v>
      </c>
      <c r="AI3162" s="6">
        <f t="shared" si="98"/>
        <v>18.28</v>
      </c>
      <c r="AJ3162" s="5">
        <f t="shared" si="99"/>
        <v>0.25322066768250451</v>
      </c>
    </row>
    <row r="3163" spans="1:36">
      <c r="A3163" t="s">
        <v>253</v>
      </c>
      <c r="B3163" t="s">
        <v>3448</v>
      </c>
      <c r="C3163" t="s">
        <v>130</v>
      </c>
      <c r="D3163" t="s">
        <v>68</v>
      </c>
      <c r="E3163" t="s">
        <v>69</v>
      </c>
      <c r="F3163">
        <v>0</v>
      </c>
      <c r="G3163">
        <v>2683</v>
      </c>
      <c r="H3163">
        <v>1</v>
      </c>
      <c r="I3163" t="s">
        <v>173</v>
      </c>
      <c r="J3163">
        <v>1</v>
      </c>
      <c r="K3163" s="6">
        <v>1.72</v>
      </c>
      <c r="L3163" t="s">
        <v>174</v>
      </c>
      <c r="M3163">
        <v>0</v>
      </c>
      <c r="N3163" t="s">
        <v>175</v>
      </c>
      <c r="O3163">
        <v>1</v>
      </c>
      <c r="P3163">
        <v>0</v>
      </c>
      <c r="Q3163" s="6">
        <v>33.5</v>
      </c>
      <c r="R3163">
        <v>0</v>
      </c>
      <c r="S3163" s="6">
        <v>0</v>
      </c>
      <c r="T3163">
        <v>0</v>
      </c>
      <c r="U3163" s="6">
        <v>6706</v>
      </c>
      <c r="V3163">
        <v>0</v>
      </c>
      <c r="W3163">
        <v>0</v>
      </c>
      <c r="X3163">
        <v>0</v>
      </c>
      <c r="Y3163" s="6">
        <v>42.9</v>
      </c>
      <c r="Z3163">
        <v>6.0000000000000001E-3</v>
      </c>
      <c r="AA3163">
        <v>2.8000000000000001E-2</v>
      </c>
      <c r="AB3163">
        <v>0.01</v>
      </c>
      <c r="AC3163">
        <v>6</v>
      </c>
      <c r="AD3163" s="6">
        <v>50</v>
      </c>
      <c r="AE3163" s="6">
        <v>0</v>
      </c>
      <c r="AF3163" s="6">
        <v>0</v>
      </c>
      <c r="AG3163" s="6">
        <v>45.54</v>
      </c>
      <c r="AH3163" s="6">
        <v>61.16</v>
      </c>
      <c r="AI3163" s="6">
        <f t="shared" si="98"/>
        <v>15.619999999999997</v>
      </c>
      <c r="AJ3163" s="5">
        <f t="shared" si="99"/>
        <v>0.25539568345323738</v>
      </c>
    </row>
    <row r="3164" spans="1:36">
      <c r="A3164" t="s">
        <v>372</v>
      </c>
      <c r="B3164" t="s">
        <v>3449</v>
      </c>
      <c r="C3164" t="s">
        <v>130</v>
      </c>
      <c r="D3164" t="s">
        <v>68</v>
      </c>
      <c r="E3164" t="s">
        <v>69</v>
      </c>
      <c r="F3164">
        <v>0</v>
      </c>
      <c r="G3164">
        <v>2683</v>
      </c>
      <c r="H3164">
        <v>1</v>
      </c>
      <c r="I3164" t="s">
        <v>173</v>
      </c>
      <c r="J3164">
        <v>1</v>
      </c>
      <c r="K3164" s="6">
        <v>2.1</v>
      </c>
      <c r="L3164" t="s">
        <v>174</v>
      </c>
      <c r="M3164">
        <v>0</v>
      </c>
      <c r="N3164" t="s">
        <v>182</v>
      </c>
      <c r="O3164">
        <v>3</v>
      </c>
      <c r="P3164">
        <v>0</v>
      </c>
      <c r="Q3164" s="6">
        <v>107.1</v>
      </c>
      <c r="R3164">
        <v>0</v>
      </c>
      <c r="S3164" s="6">
        <v>0</v>
      </c>
      <c r="T3164">
        <v>0</v>
      </c>
      <c r="U3164" s="6">
        <v>4539</v>
      </c>
      <c r="V3164">
        <v>0</v>
      </c>
      <c r="W3164">
        <v>0</v>
      </c>
      <c r="X3164">
        <v>0</v>
      </c>
      <c r="Y3164" s="6">
        <v>42.9</v>
      </c>
      <c r="Z3164">
        <v>6.0000000000000001E-3</v>
      </c>
      <c r="AA3164">
        <v>2.8000000000000001E-2</v>
      </c>
      <c r="AB3164">
        <v>0.01</v>
      </c>
      <c r="AC3164">
        <v>6</v>
      </c>
      <c r="AD3164" s="6">
        <v>50</v>
      </c>
      <c r="AE3164" s="6">
        <v>0</v>
      </c>
      <c r="AF3164" s="6">
        <v>0</v>
      </c>
      <c r="AG3164" s="6">
        <v>62.76</v>
      </c>
      <c r="AH3164" s="6">
        <v>82.94</v>
      </c>
      <c r="AI3164" s="6">
        <f t="shared" si="98"/>
        <v>20.18</v>
      </c>
      <c r="AJ3164" s="5">
        <f t="shared" si="99"/>
        <v>0.24330841572220882</v>
      </c>
    </row>
    <row r="3165" spans="1:36">
      <c r="A3165" t="s">
        <v>215</v>
      </c>
      <c r="B3165" t="s">
        <v>3450</v>
      </c>
      <c r="C3165" t="s">
        <v>130</v>
      </c>
      <c r="D3165" t="s">
        <v>68</v>
      </c>
      <c r="E3165" t="s">
        <v>69</v>
      </c>
      <c r="F3165">
        <v>0</v>
      </c>
      <c r="G3165">
        <v>2683</v>
      </c>
      <c r="H3165">
        <v>1</v>
      </c>
      <c r="I3165" t="s">
        <v>173</v>
      </c>
      <c r="J3165">
        <v>1</v>
      </c>
      <c r="K3165" s="6">
        <v>1.62</v>
      </c>
      <c r="L3165" t="s">
        <v>174</v>
      </c>
      <c r="M3165">
        <v>0</v>
      </c>
      <c r="N3165" t="s">
        <v>175</v>
      </c>
      <c r="O3165">
        <v>1</v>
      </c>
      <c r="P3165">
        <v>0</v>
      </c>
      <c r="Q3165" s="6">
        <v>41.3</v>
      </c>
      <c r="R3165">
        <v>0</v>
      </c>
      <c r="S3165" s="6">
        <v>0</v>
      </c>
      <c r="T3165">
        <v>0</v>
      </c>
      <c r="U3165" s="6">
        <v>3411</v>
      </c>
      <c r="V3165">
        <v>0</v>
      </c>
      <c r="W3165">
        <v>0</v>
      </c>
      <c r="X3165">
        <v>0</v>
      </c>
      <c r="Y3165" s="6">
        <v>42.9</v>
      </c>
      <c r="Z3165">
        <v>6.0000000000000001E-3</v>
      </c>
      <c r="AA3165">
        <v>2.8000000000000001E-2</v>
      </c>
      <c r="AB3165">
        <v>0.01</v>
      </c>
      <c r="AC3165">
        <v>6</v>
      </c>
      <c r="AD3165" s="6">
        <v>50</v>
      </c>
      <c r="AE3165" s="6">
        <v>0</v>
      </c>
      <c r="AF3165" s="6">
        <v>0</v>
      </c>
      <c r="AG3165" s="6">
        <v>51.35</v>
      </c>
      <c r="AH3165" s="6">
        <v>66.08</v>
      </c>
      <c r="AI3165" s="6">
        <f t="shared" si="98"/>
        <v>14.729999999999997</v>
      </c>
      <c r="AJ3165" s="5">
        <f t="shared" si="99"/>
        <v>0.22291162227602901</v>
      </c>
    </row>
    <row r="3166" spans="1:36">
      <c r="A3166" t="s">
        <v>286</v>
      </c>
      <c r="B3166" t="s">
        <v>3451</v>
      </c>
      <c r="C3166" t="s">
        <v>130</v>
      </c>
      <c r="D3166" t="s">
        <v>68</v>
      </c>
      <c r="E3166" t="s">
        <v>69</v>
      </c>
      <c r="F3166">
        <v>0</v>
      </c>
      <c r="G3166">
        <v>2683</v>
      </c>
      <c r="H3166">
        <v>1</v>
      </c>
      <c r="I3166" t="s">
        <v>181</v>
      </c>
      <c r="J3166">
        <v>3</v>
      </c>
      <c r="K3166" s="6">
        <v>6.69</v>
      </c>
      <c r="L3166" t="s">
        <v>174</v>
      </c>
      <c r="M3166">
        <v>0</v>
      </c>
      <c r="N3166" t="s">
        <v>182</v>
      </c>
      <c r="O3166">
        <v>3</v>
      </c>
      <c r="P3166">
        <v>0</v>
      </c>
      <c r="Q3166" s="6">
        <v>89.7</v>
      </c>
      <c r="R3166">
        <v>0</v>
      </c>
      <c r="S3166" s="6">
        <v>0</v>
      </c>
      <c r="T3166">
        <v>0</v>
      </c>
      <c r="U3166" s="6">
        <v>7388</v>
      </c>
      <c r="V3166">
        <v>0</v>
      </c>
      <c r="W3166">
        <v>0</v>
      </c>
      <c r="X3166">
        <v>0</v>
      </c>
      <c r="Y3166" s="6">
        <v>42.9</v>
      </c>
      <c r="Z3166">
        <v>6.0000000000000001E-3</v>
      </c>
      <c r="AA3166">
        <v>2.8000000000000001E-2</v>
      </c>
      <c r="AB3166">
        <v>0.01</v>
      </c>
      <c r="AC3166">
        <v>6</v>
      </c>
      <c r="AD3166" s="6">
        <v>60</v>
      </c>
      <c r="AE3166" s="6">
        <v>0</v>
      </c>
      <c r="AF3166" s="6">
        <v>0</v>
      </c>
      <c r="AG3166" s="6">
        <v>87.86</v>
      </c>
      <c r="AH3166" s="6">
        <v>112.47</v>
      </c>
      <c r="AI3166" s="6">
        <f t="shared" si="98"/>
        <v>24.61</v>
      </c>
      <c r="AJ3166" s="5">
        <f t="shared" si="99"/>
        <v>0.21881390593047034</v>
      </c>
    </row>
    <row r="3167" spans="1:36">
      <c r="A3167" t="s">
        <v>406</v>
      </c>
      <c r="B3167" t="s">
        <v>3452</v>
      </c>
      <c r="C3167" t="s">
        <v>130</v>
      </c>
      <c r="D3167" t="s">
        <v>68</v>
      </c>
      <c r="E3167" t="s">
        <v>69</v>
      </c>
      <c r="F3167">
        <v>0</v>
      </c>
      <c r="G3167">
        <v>2683</v>
      </c>
      <c r="H3167">
        <v>1</v>
      </c>
      <c r="I3167" t="s">
        <v>173</v>
      </c>
      <c r="J3167">
        <v>1</v>
      </c>
      <c r="K3167" s="6">
        <v>1.48</v>
      </c>
      <c r="L3167" t="s">
        <v>174</v>
      </c>
      <c r="M3167">
        <v>0</v>
      </c>
      <c r="N3167" t="s">
        <v>272</v>
      </c>
      <c r="O3167">
        <v>5</v>
      </c>
      <c r="P3167">
        <v>1</v>
      </c>
      <c r="Q3167" s="6">
        <v>211.6</v>
      </c>
      <c r="R3167">
        <v>1</v>
      </c>
      <c r="S3167" s="6">
        <v>1201</v>
      </c>
      <c r="T3167">
        <v>0</v>
      </c>
      <c r="U3167" s="6">
        <v>4410</v>
      </c>
      <c r="V3167">
        <v>0</v>
      </c>
      <c r="W3167">
        <v>0</v>
      </c>
      <c r="X3167">
        <v>0</v>
      </c>
      <c r="Y3167" s="6">
        <v>42.9</v>
      </c>
      <c r="Z3167">
        <v>6.0000000000000001E-3</v>
      </c>
      <c r="AA3167">
        <v>2.8000000000000001E-2</v>
      </c>
      <c r="AB3167">
        <v>0.01</v>
      </c>
      <c r="AC3167">
        <v>6</v>
      </c>
      <c r="AD3167" s="6">
        <v>50</v>
      </c>
      <c r="AE3167" s="6">
        <v>25</v>
      </c>
      <c r="AF3167" s="6">
        <v>0</v>
      </c>
      <c r="AG3167" s="6">
        <v>147.59</v>
      </c>
      <c r="AH3167" s="6">
        <v>184.55</v>
      </c>
      <c r="AI3167" s="6">
        <f t="shared" si="98"/>
        <v>36.960000000000008</v>
      </c>
      <c r="AJ3167" s="5">
        <f t="shared" si="99"/>
        <v>0.20027092928745602</v>
      </c>
    </row>
    <row r="3168" spans="1:36">
      <c r="A3168" t="s">
        <v>375</v>
      </c>
      <c r="B3168" t="s">
        <v>3453</v>
      </c>
      <c r="C3168" t="s">
        <v>130</v>
      </c>
      <c r="D3168" t="s">
        <v>68</v>
      </c>
      <c r="E3168" t="s">
        <v>69</v>
      </c>
      <c r="F3168">
        <v>0</v>
      </c>
      <c r="G3168">
        <v>2683</v>
      </c>
      <c r="H3168">
        <v>1</v>
      </c>
      <c r="I3168" t="s">
        <v>173</v>
      </c>
      <c r="J3168">
        <v>1</v>
      </c>
      <c r="K3168" s="6">
        <v>1.78</v>
      </c>
      <c r="L3168" t="s">
        <v>174</v>
      </c>
      <c r="M3168">
        <v>0</v>
      </c>
      <c r="N3168" t="s">
        <v>182</v>
      </c>
      <c r="O3168">
        <v>3</v>
      </c>
      <c r="P3168">
        <v>0</v>
      </c>
      <c r="Q3168" s="6">
        <v>67.2</v>
      </c>
      <c r="R3168">
        <v>0</v>
      </c>
      <c r="S3168" s="6">
        <v>0</v>
      </c>
      <c r="T3168">
        <v>0</v>
      </c>
      <c r="U3168" s="6">
        <v>6002</v>
      </c>
      <c r="V3168">
        <v>0</v>
      </c>
      <c r="W3168">
        <v>0</v>
      </c>
      <c r="X3168">
        <v>0</v>
      </c>
      <c r="Y3168" s="6">
        <v>42.9</v>
      </c>
      <c r="Z3168">
        <v>6.0000000000000001E-3</v>
      </c>
      <c r="AA3168">
        <v>2.8000000000000001E-2</v>
      </c>
      <c r="AB3168">
        <v>0.01</v>
      </c>
      <c r="AC3168">
        <v>6</v>
      </c>
      <c r="AD3168" s="6">
        <v>50</v>
      </c>
      <c r="AE3168" s="6">
        <v>0</v>
      </c>
      <c r="AF3168" s="6">
        <v>0</v>
      </c>
      <c r="AG3168" s="6">
        <v>60.86</v>
      </c>
      <c r="AH3168" s="6">
        <v>79.77</v>
      </c>
      <c r="AI3168" s="6">
        <f t="shared" si="98"/>
        <v>18.909999999999997</v>
      </c>
      <c r="AJ3168" s="5">
        <f t="shared" si="99"/>
        <v>0.23705653754544312</v>
      </c>
    </row>
    <row r="3169" spans="1:36">
      <c r="A3169" t="s">
        <v>218</v>
      </c>
      <c r="B3169" t="s">
        <v>3454</v>
      </c>
      <c r="C3169" t="s">
        <v>130</v>
      </c>
      <c r="D3169" t="s">
        <v>68</v>
      </c>
      <c r="E3169" t="s">
        <v>69</v>
      </c>
      <c r="F3169">
        <v>0</v>
      </c>
      <c r="G3169">
        <v>2683</v>
      </c>
      <c r="H3169">
        <v>1</v>
      </c>
      <c r="I3169" t="s">
        <v>173</v>
      </c>
      <c r="J3169">
        <v>1</v>
      </c>
      <c r="K3169" s="6">
        <v>2.1</v>
      </c>
      <c r="L3169" t="s">
        <v>174</v>
      </c>
      <c r="M3169">
        <v>0</v>
      </c>
      <c r="N3169" t="s">
        <v>175</v>
      </c>
      <c r="O3169">
        <v>1</v>
      </c>
      <c r="P3169">
        <v>0</v>
      </c>
      <c r="Q3169" s="6">
        <v>32.6</v>
      </c>
      <c r="R3169">
        <v>1</v>
      </c>
      <c r="S3169" s="6">
        <v>560</v>
      </c>
      <c r="T3169">
        <v>0</v>
      </c>
      <c r="U3169" s="6">
        <v>5376</v>
      </c>
      <c r="V3169">
        <v>0</v>
      </c>
      <c r="W3169">
        <v>0</v>
      </c>
      <c r="X3169">
        <v>0</v>
      </c>
      <c r="Y3169" s="6">
        <v>42.9</v>
      </c>
      <c r="Z3169">
        <v>6.0000000000000001E-3</v>
      </c>
      <c r="AA3169">
        <v>2.8000000000000001E-2</v>
      </c>
      <c r="AB3169">
        <v>0.01</v>
      </c>
      <c r="AC3169">
        <v>6</v>
      </c>
      <c r="AD3169" s="6">
        <v>50</v>
      </c>
      <c r="AE3169" s="6">
        <v>25</v>
      </c>
      <c r="AF3169" s="6">
        <v>0</v>
      </c>
      <c r="AG3169" s="6">
        <v>58.53</v>
      </c>
      <c r="AH3169" s="6">
        <v>77.540000000000006</v>
      </c>
      <c r="AI3169" s="6">
        <f t="shared" si="98"/>
        <v>19.010000000000005</v>
      </c>
      <c r="AJ3169" s="5">
        <f t="shared" si="99"/>
        <v>0.24516378643280892</v>
      </c>
    </row>
    <row r="3170" spans="1:36">
      <c r="A3170" t="s">
        <v>208</v>
      </c>
      <c r="B3170" t="s">
        <v>3455</v>
      </c>
      <c r="C3170" t="s">
        <v>130</v>
      </c>
      <c r="D3170" t="s">
        <v>68</v>
      </c>
      <c r="E3170" t="s">
        <v>69</v>
      </c>
      <c r="F3170">
        <v>0</v>
      </c>
      <c r="G3170">
        <v>2683</v>
      </c>
      <c r="H3170">
        <v>1</v>
      </c>
      <c r="I3170" t="s">
        <v>173</v>
      </c>
      <c r="J3170">
        <v>1</v>
      </c>
      <c r="K3170" s="6">
        <v>1.64</v>
      </c>
      <c r="L3170" t="s">
        <v>174</v>
      </c>
      <c r="M3170">
        <v>0</v>
      </c>
      <c r="N3170" t="s">
        <v>182</v>
      </c>
      <c r="O3170">
        <v>3</v>
      </c>
      <c r="P3170">
        <v>0</v>
      </c>
      <c r="Q3170" s="6">
        <v>83.5</v>
      </c>
      <c r="R3170">
        <v>0</v>
      </c>
      <c r="S3170" s="6">
        <v>0</v>
      </c>
      <c r="T3170">
        <v>0</v>
      </c>
      <c r="U3170" s="6">
        <v>3099</v>
      </c>
      <c r="V3170">
        <v>0</v>
      </c>
      <c r="W3170">
        <v>0</v>
      </c>
      <c r="X3170">
        <v>0</v>
      </c>
      <c r="Y3170" s="6">
        <v>42.9</v>
      </c>
      <c r="Z3170">
        <v>6.0000000000000001E-3</v>
      </c>
      <c r="AA3170">
        <v>2.8000000000000001E-2</v>
      </c>
      <c r="AB3170">
        <v>0.01</v>
      </c>
      <c r="AC3170">
        <v>6</v>
      </c>
      <c r="AD3170" s="6">
        <v>50</v>
      </c>
      <c r="AE3170" s="6">
        <v>0</v>
      </c>
      <c r="AF3170" s="6">
        <v>0</v>
      </c>
      <c r="AG3170" s="6">
        <v>65.540000000000006</v>
      </c>
      <c r="AH3170" s="6">
        <v>83.29</v>
      </c>
      <c r="AI3170" s="6">
        <f t="shared" si="98"/>
        <v>17.75</v>
      </c>
      <c r="AJ3170" s="5">
        <f t="shared" si="99"/>
        <v>0.21311081762516507</v>
      </c>
    </row>
    <row r="3171" spans="1:36">
      <c r="A3171" t="s">
        <v>343</v>
      </c>
      <c r="B3171" t="s">
        <v>3456</v>
      </c>
      <c r="C3171" t="s">
        <v>130</v>
      </c>
      <c r="D3171" t="s">
        <v>68</v>
      </c>
      <c r="E3171" t="s">
        <v>69</v>
      </c>
      <c r="F3171">
        <v>0</v>
      </c>
      <c r="G3171">
        <v>2683</v>
      </c>
      <c r="H3171">
        <v>1</v>
      </c>
      <c r="I3171" t="s">
        <v>173</v>
      </c>
      <c r="J3171">
        <v>1</v>
      </c>
      <c r="K3171" s="6">
        <v>1.81</v>
      </c>
      <c r="L3171" t="s">
        <v>174</v>
      </c>
      <c r="M3171">
        <v>0</v>
      </c>
      <c r="N3171" t="s">
        <v>175</v>
      </c>
      <c r="O3171">
        <v>1</v>
      </c>
      <c r="P3171">
        <v>0</v>
      </c>
      <c r="Q3171" s="6">
        <v>28.2</v>
      </c>
      <c r="R3171">
        <v>0</v>
      </c>
      <c r="S3171" s="6">
        <v>0</v>
      </c>
      <c r="T3171">
        <v>0</v>
      </c>
      <c r="U3171" s="6">
        <v>7670</v>
      </c>
      <c r="V3171">
        <v>0</v>
      </c>
      <c r="W3171">
        <v>0</v>
      </c>
      <c r="X3171">
        <v>0</v>
      </c>
      <c r="Y3171" s="6">
        <v>42.9</v>
      </c>
      <c r="Z3171">
        <v>6.0000000000000001E-3</v>
      </c>
      <c r="AA3171">
        <v>2.8000000000000001E-2</v>
      </c>
      <c r="AB3171">
        <v>0.01</v>
      </c>
      <c r="AC3171">
        <v>6</v>
      </c>
      <c r="AD3171" s="6">
        <v>50</v>
      </c>
      <c r="AE3171" s="6">
        <v>0</v>
      </c>
      <c r="AF3171" s="6">
        <v>0</v>
      </c>
      <c r="AG3171" s="6">
        <v>48.02</v>
      </c>
      <c r="AH3171" s="6">
        <v>61.97</v>
      </c>
      <c r="AI3171" s="6">
        <f t="shared" si="98"/>
        <v>13.949999999999996</v>
      </c>
      <c r="AJ3171" s="5">
        <f t="shared" si="99"/>
        <v>0.22510892367274482</v>
      </c>
    </row>
    <row r="3172" spans="1:36">
      <c r="A3172" t="s">
        <v>306</v>
      </c>
      <c r="B3172" t="s">
        <v>3457</v>
      </c>
      <c r="C3172" t="s">
        <v>130</v>
      </c>
      <c r="D3172" t="s">
        <v>68</v>
      </c>
      <c r="E3172" t="s">
        <v>69</v>
      </c>
      <c r="F3172">
        <v>0</v>
      </c>
      <c r="G3172">
        <v>2683</v>
      </c>
      <c r="H3172">
        <v>1</v>
      </c>
      <c r="I3172" t="s">
        <v>173</v>
      </c>
      <c r="J3172">
        <v>1</v>
      </c>
      <c r="K3172" s="6">
        <v>1.9</v>
      </c>
      <c r="L3172" t="s">
        <v>174</v>
      </c>
      <c r="M3172">
        <v>0</v>
      </c>
      <c r="N3172" t="s">
        <v>187</v>
      </c>
      <c r="O3172">
        <v>2</v>
      </c>
      <c r="P3172">
        <v>0</v>
      </c>
      <c r="Q3172" s="6">
        <v>40.4</v>
      </c>
      <c r="R3172">
        <v>0</v>
      </c>
      <c r="S3172" s="6">
        <v>0</v>
      </c>
      <c r="T3172">
        <v>0</v>
      </c>
      <c r="U3172" s="6">
        <v>3961</v>
      </c>
      <c r="V3172">
        <v>0</v>
      </c>
      <c r="W3172">
        <v>0</v>
      </c>
      <c r="X3172">
        <v>0</v>
      </c>
      <c r="Y3172" s="6">
        <v>42.9</v>
      </c>
      <c r="Z3172">
        <v>6.0000000000000001E-3</v>
      </c>
      <c r="AA3172">
        <v>2.8000000000000001E-2</v>
      </c>
      <c r="AB3172">
        <v>0.01</v>
      </c>
      <c r="AC3172">
        <v>6</v>
      </c>
      <c r="AD3172" s="6">
        <v>50</v>
      </c>
      <c r="AE3172" s="6">
        <v>0</v>
      </c>
      <c r="AF3172" s="6">
        <v>0</v>
      </c>
      <c r="AG3172" s="6">
        <v>53.97</v>
      </c>
      <c r="AH3172" s="6">
        <v>68.040000000000006</v>
      </c>
      <c r="AI3172" s="6">
        <f t="shared" si="98"/>
        <v>14.070000000000007</v>
      </c>
      <c r="AJ3172" s="5">
        <f t="shared" si="99"/>
        <v>0.20679012345679021</v>
      </c>
    </row>
    <row r="3173" spans="1:36">
      <c r="A3173" t="s">
        <v>431</v>
      </c>
      <c r="B3173" t="s">
        <v>3458</v>
      </c>
      <c r="C3173" t="s">
        <v>130</v>
      </c>
      <c r="D3173" t="s">
        <v>68</v>
      </c>
      <c r="E3173" t="s">
        <v>69</v>
      </c>
      <c r="F3173">
        <v>0</v>
      </c>
      <c r="G3173">
        <v>2683</v>
      </c>
      <c r="H3173">
        <v>1</v>
      </c>
      <c r="I3173" t="s">
        <v>181</v>
      </c>
      <c r="J3173">
        <v>3</v>
      </c>
      <c r="K3173" s="6">
        <v>8.3800000000000008</v>
      </c>
      <c r="L3173" t="s">
        <v>174</v>
      </c>
      <c r="M3173">
        <v>0</v>
      </c>
      <c r="N3173" t="s">
        <v>175</v>
      </c>
      <c r="O3173">
        <v>1</v>
      </c>
      <c r="P3173">
        <v>0</v>
      </c>
      <c r="Q3173" s="6">
        <v>52.5</v>
      </c>
      <c r="R3173">
        <v>1</v>
      </c>
      <c r="S3173" s="6">
        <v>1849</v>
      </c>
      <c r="T3173">
        <v>0</v>
      </c>
      <c r="U3173" s="6">
        <v>7248</v>
      </c>
      <c r="V3173">
        <v>0</v>
      </c>
      <c r="W3173">
        <v>0</v>
      </c>
      <c r="X3173">
        <v>0</v>
      </c>
      <c r="Y3173" s="6">
        <v>42.9</v>
      </c>
      <c r="Z3173">
        <v>6.0000000000000001E-3</v>
      </c>
      <c r="AA3173">
        <v>2.8000000000000001E-2</v>
      </c>
      <c r="AB3173">
        <v>0.01</v>
      </c>
      <c r="AC3173">
        <v>6</v>
      </c>
      <c r="AD3173" s="6">
        <v>60</v>
      </c>
      <c r="AE3173" s="6">
        <v>25</v>
      </c>
      <c r="AF3173" s="6">
        <v>0</v>
      </c>
      <c r="AG3173" s="6">
        <v>94.97</v>
      </c>
      <c r="AH3173" s="6">
        <v>123.52</v>
      </c>
      <c r="AI3173" s="6">
        <f t="shared" si="98"/>
        <v>28.549999999999997</v>
      </c>
      <c r="AJ3173" s="5">
        <f t="shared" si="99"/>
        <v>0.23113665803108807</v>
      </c>
    </row>
    <row r="3174" spans="1:36">
      <c r="A3174" t="s">
        <v>345</v>
      </c>
      <c r="B3174" t="s">
        <v>3459</v>
      </c>
      <c r="C3174" t="s">
        <v>130</v>
      </c>
      <c r="D3174" t="s">
        <v>68</v>
      </c>
      <c r="E3174" t="s">
        <v>69</v>
      </c>
      <c r="F3174">
        <v>0</v>
      </c>
      <c r="G3174">
        <v>2683</v>
      </c>
      <c r="H3174">
        <v>1</v>
      </c>
      <c r="I3174" t="s">
        <v>181</v>
      </c>
      <c r="J3174">
        <v>3</v>
      </c>
      <c r="K3174" s="6">
        <v>7.49</v>
      </c>
      <c r="L3174" t="s">
        <v>174</v>
      </c>
      <c r="M3174">
        <v>0</v>
      </c>
      <c r="N3174" t="s">
        <v>175</v>
      </c>
      <c r="O3174">
        <v>1</v>
      </c>
      <c r="P3174">
        <v>0</v>
      </c>
      <c r="Q3174" s="6">
        <v>40.299999999999997</v>
      </c>
      <c r="R3174">
        <v>0</v>
      </c>
      <c r="S3174" s="6">
        <v>0</v>
      </c>
      <c r="T3174">
        <v>0</v>
      </c>
      <c r="U3174" s="6">
        <v>4924</v>
      </c>
      <c r="V3174">
        <v>0</v>
      </c>
      <c r="W3174">
        <v>0</v>
      </c>
      <c r="X3174">
        <v>0</v>
      </c>
      <c r="Y3174" s="6">
        <v>42.9</v>
      </c>
      <c r="Z3174">
        <v>6.0000000000000001E-3</v>
      </c>
      <c r="AA3174">
        <v>2.8000000000000001E-2</v>
      </c>
      <c r="AB3174">
        <v>0.01</v>
      </c>
      <c r="AC3174">
        <v>6</v>
      </c>
      <c r="AD3174" s="6">
        <v>60</v>
      </c>
      <c r="AE3174" s="6">
        <v>0</v>
      </c>
      <c r="AF3174" s="6">
        <v>0</v>
      </c>
      <c r="AG3174" s="6">
        <v>78.72</v>
      </c>
      <c r="AH3174" s="6">
        <v>99.97</v>
      </c>
      <c r="AI3174" s="6">
        <f t="shared" si="98"/>
        <v>21.25</v>
      </c>
      <c r="AJ3174" s="5">
        <f t="shared" si="99"/>
        <v>0.21256376913073921</v>
      </c>
    </row>
    <row r="3175" spans="1:36">
      <c r="A3175" t="s">
        <v>635</v>
      </c>
      <c r="B3175" t="s">
        <v>3460</v>
      </c>
      <c r="C3175" t="s">
        <v>130</v>
      </c>
      <c r="D3175" t="s">
        <v>68</v>
      </c>
      <c r="E3175" t="s">
        <v>69</v>
      </c>
      <c r="F3175">
        <v>0</v>
      </c>
      <c r="G3175">
        <v>2683</v>
      </c>
      <c r="H3175">
        <v>1</v>
      </c>
      <c r="I3175" t="s">
        <v>220</v>
      </c>
      <c r="J3175">
        <v>2</v>
      </c>
      <c r="K3175" s="6">
        <v>4.88</v>
      </c>
      <c r="L3175" t="s">
        <v>174</v>
      </c>
      <c r="M3175">
        <v>0</v>
      </c>
      <c r="N3175" t="s">
        <v>217</v>
      </c>
      <c r="O3175">
        <v>4</v>
      </c>
      <c r="P3175">
        <v>1</v>
      </c>
      <c r="Q3175" s="6">
        <v>175.8</v>
      </c>
      <c r="R3175">
        <v>1</v>
      </c>
      <c r="S3175" s="6">
        <v>3100</v>
      </c>
      <c r="T3175">
        <v>0</v>
      </c>
      <c r="U3175" s="6">
        <v>7202</v>
      </c>
      <c r="V3175">
        <v>0</v>
      </c>
      <c r="W3175">
        <v>0</v>
      </c>
      <c r="X3175">
        <v>0</v>
      </c>
      <c r="Y3175" s="6">
        <v>42.9</v>
      </c>
      <c r="Z3175">
        <v>6.0000000000000001E-3</v>
      </c>
      <c r="AA3175">
        <v>2.8000000000000001E-2</v>
      </c>
      <c r="AB3175">
        <v>0.01</v>
      </c>
      <c r="AC3175">
        <v>6</v>
      </c>
      <c r="AD3175" s="6">
        <v>50</v>
      </c>
      <c r="AE3175" s="6">
        <v>40</v>
      </c>
      <c r="AF3175" s="6">
        <v>0</v>
      </c>
      <c r="AG3175" s="6">
        <v>114.1</v>
      </c>
      <c r="AH3175" s="6">
        <v>144.66</v>
      </c>
      <c r="AI3175" s="6">
        <f t="shared" si="98"/>
        <v>30.560000000000002</v>
      </c>
      <c r="AJ3175" s="5">
        <f t="shared" si="99"/>
        <v>0.21125397483755015</v>
      </c>
    </row>
    <row r="3176" spans="1:36">
      <c r="A3176" t="s">
        <v>233</v>
      </c>
      <c r="B3176" t="s">
        <v>3461</v>
      </c>
      <c r="C3176" t="s">
        <v>130</v>
      </c>
      <c r="D3176" t="s">
        <v>68</v>
      </c>
      <c r="E3176" t="s">
        <v>69</v>
      </c>
      <c r="F3176">
        <v>0</v>
      </c>
      <c r="G3176">
        <v>2683</v>
      </c>
      <c r="H3176">
        <v>1</v>
      </c>
      <c r="I3176" t="s">
        <v>181</v>
      </c>
      <c r="J3176">
        <v>3</v>
      </c>
      <c r="K3176" s="6">
        <v>6.35</v>
      </c>
      <c r="L3176" t="s">
        <v>174</v>
      </c>
      <c r="M3176">
        <v>0</v>
      </c>
      <c r="N3176" t="s">
        <v>187</v>
      </c>
      <c r="O3176">
        <v>2</v>
      </c>
      <c r="P3176">
        <v>0</v>
      </c>
      <c r="Q3176" s="6">
        <v>40.1</v>
      </c>
      <c r="R3176">
        <v>0</v>
      </c>
      <c r="S3176" s="6">
        <v>0</v>
      </c>
      <c r="T3176">
        <v>0</v>
      </c>
      <c r="U3176" s="6">
        <v>4542</v>
      </c>
      <c r="V3176">
        <v>0</v>
      </c>
      <c r="W3176">
        <v>0</v>
      </c>
      <c r="X3176">
        <v>0</v>
      </c>
      <c r="Y3176" s="6">
        <v>42.9</v>
      </c>
      <c r="Z3176">
        <v>6.0000000000000001E-3</v>
      </c>
      <c r="AA3176">
        <v>2.8000000000000001E-2</v>
      </c>
      <c r="AB3176">
        <v>0.01</v>
      </c>
      <c r="AC3176">
        <v>6</v>
      </c>
      <c r="AD3176" s="6">
        <v>60</v>
      </c>
      <c r="AE3176" s="6">
        <v>0</v>
      </c>
      <c r="AF3176" s="6">
        <v>0</v>
      </c>
      <c r="AG3176" s="6">
        <v>78.040000000000006</v>
      </c>
      <c r="AH3176" s="6">
        <v>100.24</v>
      </c>
      <c r="AI3176" s="6">
        <f t="shared" si="98"/>
        <v>22.199999999999989</v>
      </c>
      <c r="AJ3176" s="5">
        <f t="shared" si="99"/>
        <v>0.22146847565841968</v>
      </c>
    </row>
    <row r="3177" spans="1:36">
      <c r="A3177" t="s">
        <v>176</v>
      </c>
      <c r="B3177" t="s">
        <v>3462</v>
      </c>
      <c r="C3177" t="s">
        <v>130</v>
      </c>
      <c r="D3177" t="s">
        <v>68</v>
      </c>
      <c r="E3177" t="s">
        <v>69</v>
      </c>
      <c r="F3177">
        <v>0</v>
      </c>
      <c r="G3177">
        <v>2683</v>
      </c>
      <c r="H3177">
        <v>1</v>
      </c>
      <c r="I3177" t="s">
        <v>220</v>
      </c>
      <c r="J3177">
        <v>2</v>
      </c>
      <c r="K3177" s="6">
        <v>5.67</v>
      </c>
      <c r="L3177" t="s">
        <v>174</v>
      </c>
      <c r="M3177">
        <v>0</v>
      </c>
      <c r="N3177" t="s">
        <v>175</v>
      </c>
      <c r="O3177">
        <v>1</v>
      </c>
      <c r="P3177">
        <v>0</v>
      </c>
      <c r="Q3177" s="6">
        <v>45.1</v>
      </c>
      <c r="R3177">
        <v>0</v>
      </c>
      <c r="S3177" s="6">
        <v>0</v>
      </c>
      <c r="T3177">
        <v>0</v>
      </c>
      <c r="U3177" s="6">
        <v>7942</v>
      </c>
      <c r="V3177">
        <v>0</v>
      </c>
      <c r="W3177">
        <v>0</v>
      </c>
      <c r="X3177">
        <v>0</v>
      </c>
      <c r="Y3177" s="6">
        <v>42.9</v>
      </c>
      <c r="Z3177">
        <v>6.0000000000000001E-3</v>
      </c>
      <c r="AA3177">
        <v>2.8000000000000001E-2</v>
      </c>
      <c r="AB3177">
        <v>0.01</v>
      </c>
      <c r="AC3177">
        <v>6</v>
      </c>
      <c r="AD3177" s="6">
        <v>50</v>
      </c>
      <c r="AE3177" s="6">
        <v>0</v>
      </c>
      <c r="AF3177" s="6">
        <v>0</v>
      </c>
      <c r="AG3177" s="6">
        <v>64.040000000000006</v>
      </c>
      <c r="AH3177" s="6">
        <v>82.85</v>
      </c>
      <c r="AI3177" s="6">
        <f t="shared" si="98"/>
        <v>18.809999999999988</v>
      </c>
      <c r="AJ3177" s="5">
        <f t="shared" si="99"/>
        <v>0.22703681351840663</v>
      </c>
    </row>
    <row r="3178" spans="1:36">
      <c r="A3178" t="s">
        <v>406</v>
      </c>
      <c r="B3178" t="s">
        <v>3463</v>
      </c>
      <c r="C3178" t="s">
        <v>130</v>
      </c>
      <c r="D3178" t="s">
        <v>68</v>
      </c>
      <c r="E3178" t="s">
        <v>69</v>
      </c>
      <c r="F3178">
        <v>0</v>
      </c>
      <c r="G3178">
        <v>2683</v>
      </c>
      <c r="H3178">
        <v>1</v>
      </c>
      <c r="I3178" t="s">
        <v>173</v>
      </c>
      <c r="J3178">
        <v>1</v>
      </c>
      <c r="K3178" s="6">
        <v>1.82</v>
      </c>
      <c r="L3178" t="s">
        <v>174</v>
      </c>
      <c r="M3178">
        <v>0</v>
      </c>
      <c r="N3178" t="s">
        <v>187</v>
      </c>
      <c r="O3178">
        <v>2</v>
      </c>
      <c r="P3178">
        <v>0</v>
      </c>
      <c r="Q3178" s="6">
        <v>75.400000000000006</v>
      </c>
      <c r="R3178">
        <v>0</v>
      </c>
      <c r="S3178" s="6">
        <v>0</v>
      </c>
      <c r="T3178">
        <v>0</v>
      </c>
      <c r="U3178" s="6">
        <v>9277</v>
      </c>
      <c r="V3178">
        <v>0</v>
      </c>
      <c r="W3178">
        <v>0</v>
      </c>
      <c r="X3178">
        <v>0</v>
      </c>
      <c r="Y3178" s="6">
        <v>42.9</v>
      </c>
      <c r="Z3178">
        <v>6.0000000000000001E-3</v>
      </c>
      <c r="AA3178">
        <v>2.8000000000000001E-2</v>
      </c>
      <c r="AB3178">
        <v>0.01</v>
      </c>
      <c r="AC3178">
        <v>6</v>
      </c>
      <c r="AD3178" s="6">
        <v>50</v>
      </c>
      <c r="AE3178" s="6">
        <v>0</v>
      </c>
      <c r="AF3178" s="6">
        <v>0</v>
      </c>
      <c r="AG3178" s="6">
        <v>56.77</v>
      </c>
      <c r="AH3178" s="6">
        <v>72.180000000000007</v>
      </c>
      <c r="AI3178" s="6">
        <f t="shared" si="98"/>
        <v>15.410000000000004</v>
      </c>
      <c r="AJ3178" s="5">
        <f t="shared" si="99"/>
        <v>0.21349404267110006</v>
      </c>
    </row>
    <row r="3179" spans="1:36">
      <c r="A3179" t="s">
        <v>360</v>
      </c>
      <c r="B3179" t="s">
        <v>3464</v>
      </c>
      <c r="C3179" t="s">
        <v>130</v>
      </c>
      <c r="D3179" t="s">
        <v>68</v>
      </c>
      <c r="E3179" t="s">
        <v>69</v>
      </c>
      <c r="F3179">
        <v>0</v>
      </c>
      <c r="G3179">
        <v>2683</v>
      </c>
      <c r="H3179">
        <v>1</v>
      </c>
      <c r="I3179" t="s">
        <v>173</v>
      </c>
      <c r="J3179">
        <v>1</v>
      </c>
      <c r="K3179" s="6">
        <v>1.76</v>
      </c>
      <c r="L3179" t="s">
        <v>174</v>
      </c>
      <c r="M3179">
        <v>0</v>
      </c>
      <c r="N3179" t="s">
        <v>175</v>
      </c>
      <c r="O3179">
        <v>1</v>
      </c>
      <c r="P3179">
        <v>0</v>
      </c>
      <c r="Q3179" s="6">
        <v>22.5</v>
      </c>
      <c r="R3179">
        <v>0</v>
      </c>
      <c r="S3179" s="6">
        <v>0</v>
      </c>
      <c r="T3179">
        <v>0</v>
      </c>
      <c r="U3179" s="6">
        <v>6736</v>
      </c>
      <c r="V3179">
        <v>0</v>
      </c>
      <c r="W3179">
        <v>0</v>
      </c>
      <c r="X3179">
        <v>0</v>
      </c>
      <c r="Y3179" s="6">
        <v>42.9</v>
      </c>
      <c r="Z3179">
        <v>6.0000000000000001E-3</v>
      </c>
      <c r="AA3179">
        <v>2.8000000000000001E-2</v>
      </c>
      <c r="AB3179">
        <v>0.01</v>
      </c>
      <c r="AC3179">
        <v>6</v>
      </c>
      <c r="AD3179" s="6">
        <v>50</v>
      </c>
      <c r="AE3179" s="6">
        <v>0</v>
      </c>
      <c r="AF3179" s="6">
        <v>0</v>
      </c>
      <c r="AG3179" s="6">
        <v>49.72</v>
      </c>
      <c r="AH3179" s="6">
        <v>62.54</v>
      </c>
      <c r="AI3179" s="6">
        <f t="shared" si="98"/>
        <v>12.82</v>
      </c>
      <c r="AJ3179" s="5">
        <f t="shared" si="99"/>
        <v>0.20498880716341542</v>
      </c>
    </row>
    <row r="3180" spans="1:36">
      <c r="A3180" t="s">
        <v>194</v>
      </c>
      <c r="B3180" t="s">
        <v>3465</v>
      </c>
      <c r="C3180" t="s">
        <v>130</v>
      </c>
      <c r="D3180" t="s">
        <v>68</v>
      </c>
      <c r="E3180" t="s">
        <v>69</v>
      </c>
      <c r="F3180">
        <v>0</v>
      </c>
      <c r="G3180">
        <v>2683</v>
      </c>
      <c r="H3180">
        <v>1</v>
      </c>
      <c r="I3180" t="s">
        <v>173</v>
      </c>
      <c r="J3180">
        <v>1</v>
      </c>
      <c r="K3180" s="6">
        <v>2.37</v>
      </c>
      <c r="L3180" t="s">
        <v>174</v>
      </c>
      <c r="M3180">
        <v>0</v>
      </c>
      <c r="N3180" t="s">
        <v>217</v>
      </c>
      <c r="O3180">
        <v>4</v>
      </c>
      <c r="P3180">
        <v>1</v>
      </c>
      <c r="Q3180" s="6">
        <v>186.7</v>
      </c>
      <c r="R3180">
        <v>0</v>
      </c>
      <c r="S3180" s="6">
        <v>0</v>
      </c>
      <c r="T3180">
        <v>0</v>
      </c>
      <c r="U3180" s="6">
        <v>6327</v>
      </c>
      <c r="V3180">
        <v>0</v>
      </c>
      <c r="W3180">
        <v>0</v>
      </c>
      <c r="X3180">
        <v>0</v>
      </c>
      <c r="Y3180" s="6">
        <v>42.9</v>
      </c>
      <c r="Z3180">
        <v>6.0000000000000001E-3</v>
      </c>
      <c r="AA3180">
        <v>2.8000000000000001E-2</v>
      </c>
      <c r="AB3180">
        <v>0.01</v>
      </c>
      <c r="AC3180">
        <v>6</v>
      </c>
      <c r="AD3180" s="6">
        <v>50</v>
      </c>
      <c r="AE3180" s="6">
        <v>0</v>
      </c>
      <c r="AF3180" s="6">
        <v>0</v>
      </c>
      <c r="AG3180" s="6">
        <v>99.17</v>
      </c>
      <c r="AH3180" s="6">
        <v>124.23</v>
      </c>
      <c r="AI3180" s="6">
        <f t="shared" si="98"/>
        <v>25.060000000000002</v>
      </c>
      <c r="AJ3180" s="5">
        <f t="shared" si="99"/>
        <v>0.2017226112855188</v>
      </c>
    </row>
    <row r="3181" spans="1:36">
      <c r="A3181" t="s">
        <v>353</v>
      </c>
      <c r="B3181" t="s">
        <v>3466</v>
      </c>
      <c r="C3181" t="s">
        <v>130</v>
      </c>
      <c r="D3181" t="s">
        <v>68</v>
      </c>
      <c r="E3181" t="s">
        <v>69</v>
      </c>
      <c r="F3181">
        <v>0</v>
      </c>
      <c r="G3181">
        <v>2683</v>
      </c>
      <c r="H3181">
        <v>1</v>
      </c>
      <c r="I3181" t="s">
        <v>173</v>
      </c>
      <c r="J3181">
        <v>1</v>
      </c>
      <c r="K3181" s="6">
        <v>1.59</v>
      </c>
      <c r="L3181" t="s">
        <v>174</v>
      </c>
      <c r="M3181">
        <v>0</v>
      </c>
      <c r="N3181" t="s">
        <v>182</v>
      </c>
      <c r="O3181">
        <v>3</v>
      </c>
      <c r="P3181">
        <v>0</v>
      </c>
      <c r="Q3181" s="6">
        <v>76.099999999999994</v>
      </c>
      <c r="R3181">
        <v>0</v>
      </c>
      <c r="S3181" s="6">
        <v>0</v>
      </c>
      <c r="T3181">
        <v>0</v>
      </c>
      <c r="U3181" s="6">
        <v>4645</v>
      </c>
      <c r="V3181">
        <v>0</v>
      </c>
      <c r="W3181">
        <v>0</v>
      </c>
      <c r="X3181">
        <v>0</v>
      </c>
      <c r="Y3181" s="6">
        <v>42.9</v>
      </c>
      <c r="Z3181">
        <v>6.0000000000000001E-3</v>
      </c>
      <c r="AA3181">
        <v>2.8000000000000001E-2</v>
      </c>
      <c r="AB3181">
        <v>0.01</v>
      </c>
      <c r="AC3181">
        <v>6</v>
      </c>
      <c r="AD3181" s="6">
        <v>50</v>
      </c>
      <c r="AE3181" s="6">
        <v>0</v>
      </c>
      <c r="AF3181" s="6">
        <v>0</v>
      </c>
      <c r="AG3181" s="6">
        <v>65.540000000000006</v>
      </c>
      <c r="AH3181" s="6">
        <v>86.84</v>
      </c>
      <c r="AI3181" s="6">
        <f t="shared" si="98"/>
        <v>21.299999999999997</v>
      </c>
      <c r="AJ3181" s="5">
        <f t="shared" si="99"/>
        <v>0.24527867342238596</v>
      </c>
    </row>
    <row r="3182" spans="1:36">
      <c r="A3182" t="s">
        <v>469</v>
      </c>
      <c r="B3182" t="s">
        <v>3467</v>
      </c>
      <c r="C3182" t="s">
        <v>130</v>
      </c>
      <c r="D3182" t="s">
        <v>68</v>
      </c>
      <c r="E3182" t="s">
        <v>69</v>
      </c>
      <c r="F3182">
        <v>0</v>
      </c>
      <c r="G3182">
        <v>2683</v>
      </c>
      <c r="H3182">
        <v>1</v>
      </c>
      <c r="I3182" t="s">
        <v>178</v>
      </c>
      <c r="J3182">
        <v>4</v>
      </c>
      <c r="K3182" s="6">
        <v>7.33</v>
      </c>
      <c r="L3182" t="s">
        <v>174</v>
      </c>
      <c r="M3182">
        <v>0</v>
      </c>
      <c r="N3182" t="s">
        <v>217</v>
      </c>
      <c r="O3182">
        <v>4</v>
      </c>
      <c r="P3182">
        <v>1</v>
      </c>
      <c r="Q3182" s="6">
        <v>107.1</v>
      </c>
      <c r="R3182">
        <v>0</v>
      </c>
      <c r="S3182" s="6">
        <v>0</v>
      </c>
      <c r="T3182">
        <v>0</v>
      </c>
      <c r="U3182" s="6">
        <v>7091</v>
      </c>
      <c r="V3182">
        <v>0</v>
      </c>
      <c r="W3182">
        <v>0</v>
      </c>
      <c r="X3182">
        <v>0</v>
      </c>
      <c r="Y3182" s="6">
        <v>42.9</v>
      </c>
      <c r="Z3182">
        <v>6.0000000000000001E-3</v>
      </c>
      <c r="AA3182">
        <v>2.8000000000000001E-2</v>
      </c>
      <c r="AB3182">
        <v>0.01</v>
      </c>
      <c r="AC3182">
        <v>6</v>
      </c>
      <c r="AD3182" s="6">
        <v>65</v>
      </c>
      <c r="AE3182" s="6">
        <v>0</v>
      </c>
      <c r="AF3182" s="6">
        <v>0</v>
      </c>
      <c r="AG3182" s="6">
        <v>144.26</v>
      </c>
      <c r="AH3182" s="6">
        <v>184.31</v>
      </c>
      <c r="AI3182" s="6">
        <f t="shared" si="98"/>
        <v>40.050000000000011</v>
      </c>
      <c r="AJ3182" s="5">
        <f t="shared" si="99"/>
        <v>0.21729694536378932</v>
      </c>
    </row>
    <row r="3183" spans="1:36">
      <c r="A3183" t="s">
        <v>258</v>
      </c>
      <c r="B3183" t="s">
        <v>3468</v>
      </c>
      <c r="C3183" t="s">
        <v>130</v>
      </c>
      <c r="D3183" t="s">
        <v>68</v>
      </c>
      <c r="E3183" t="s">
        <v>69</v>
      </c>
      <c r="F3183">
        <v>0</v>
      </c>
      <c r="G3183">
        <v>2683</v>
      </c>
      <c r="H3183">
        <v>1</v>
      </c>
      <c r="I3183" t="s">
        <v>173</v>
      </c>
      <c r="J3183">
        <v>1</v>
      </c>
      <c r="K3183" s="6">
        <v>1.76</v>
      </c>
      <c r="L3183" t="s">
        <v>174</v>
      </c>
      <c r="M3183">
        <v>0</v>
      </c>
      <c r="N3183" t="s">
        <v>175</v>
      </c>
      <c r="O3183">
        <v>1</v>
      </c>
      <c r="P3183">
        <v>0</v>
      </c>
      <c r="Q3183" s="6">
        <v>28.4</v>
      </c>
      <c r="R3183">
        <v>0</v>
      </c>
      <c r="S3183" s="6">
        <v>0</v>
      </c>
      <c r="T3183">
        <v>0</v>
      </c>
      <c r="U3183" s="6">
        <v>4453</v>
      </c>
      <c r="V3183">
        <v>0</v>
      </c>
      <c r="W3183">
        <v>0</v>
      </c>
      <c r="X3183">
        <v>0</v>
      </c>
      <c r="Y3183" s="6">
        <v>42.9</v>
      </c>
      <c r="Z3183">
        <v>6.0000000000000001E-3</v>
      </c>
      <c r="AA3183">
        <v>2.8000000000000001E-2</v>
      </c>
      <c r="AB3183">
        <v>0.01</v>
      </c>
      <c r="AC3183">
        <v>6</v>
      </c>
      <c r="AD3183" s="6">
        <v>50</v>
      </c>
      <c r="AE3183" s="6">
        <v>0</v>
      </c>
      <c r="AF3183" s="6">
        <v>0</v>
      </c>
      <c r="AG3183" s="6">
        <v>45.05</v>
      </c>
      <c r="AH3183" s="6">
        <v>57.89</v>
      </c>
      <c r="AI3183" s="6">
        <f t="shared" si="98"/>
        <v>12.840000000000003</v>
      </c>
      <c r="AJ3183" s="5">
        <f t="shared" si="99"/>
        <v>0.22179996545171884</v>
      </c>
    </row>
    <row r="3184" spans="1:36">
      <c r="A3184" t="s">
        <v>512</v>
      </c>
      <c r="B3184" t="s">
        <v>3469</v>
      </c>
      <c r="C3184" t="s">
        <v>130</v>
      </c>
      <c r="D3184" t="s">
        <v>68</v>
      </c>
      <c r="E3184" t="s">
        <v>69</v>
      </c>
      <c r="F3184">
        <v>0</v>
      </c>
      <c r="G3184">
        <v>2683</v>
      </c>
      <c r="H3184">
        <v>1</v>
      </c>
      <c r="I3184" t="s">
        <v>173</v>
      </c>
      <c r="J3184">
        <v>1</v>
      </c>
      <c r="K3184" s="6">
        <v>1.8</v>
      </c>
      <c r="L3184" t="s">
        <v>174</v>
      </c>
      <c r="M3184">
        <v>0</v>
      </c>
      <c r="N3184" t="s">
        <v>182</v>
      </c>
      <c r="O3184">
        <v>3</v>
      </c>
      <c r="P3184">
        <v>0</v>
      </c>
      <c r="Q3184" s="6">
        <v>76.3</v>
      </c>
      <c r="R3184">
        <v>0</v>
      </c>
      <c r="S3184" s="6">
        <v>0</v>
      </c>
      <c r="T3184">
        <v>0</v>
      </c>
      <c r="U3184" s="6">
        <v>3696</v>
      </c>
      <c r="V3184">
        <v>0</v>
      </c>
      <c r="W3184">
        <v>0</v>
      </c>
      <c r="X3184">
        <v>0</v>
      </c>
      <c r="Y3184" s="6">
        <v>42.9</v>
      </c>
      <c r="Z3184">
        <v>6.0000000000000001E-3</v>
      </c>
      <c r="AA3184">
        <v>2.8000000000000001E-2</v>
      </c>
      <c r="AB3184">
        <v>0.01</v>
      </c>
      <c r="AC3184">
        <v>6</v>
      </c>
      <c r="AD3184" s="6">
        <v>50</v>
      </c>
      <c r="AE3184" s="6">
        <v>0</v>
      </c>
      <c r="AF3184" s="6">
        <v>0</v>
      </c>
      <c r="AG3184" s="6">
        <v>62.96</v>
      </c>
      <c r="AH3184" s="6">
        <v>79.260000000000005</v>
      </c>
      <c r="AI3184" s="6">
        <f t="shared" si="98"/>
        <v>16.300000000000004</v>
      </c>
      <c r="AJ3184" s="5">
        <f t="shared" si="99"/>
        <v>0.20565228362351759</v>
      </c>
    </row>
    <row r="3185" spans="1:36">
      <c r="A3185" t="s">
        <v>221</v>
      </c>
      <c r="B3185" t="s">
        <v>3470</v>
      </c>
      <c r="C3185" t="s">
        <v>130</v>
      </c>
      <c r="D3185" t="s">
        <v>68</v>
      </c>
      <c r="E3185" t="s">
        <v>69</v>
      </c>
      <c r="F3185">
        <v>0</v>
      </c>
      <c r="G3185">
        <v>2683</v>
      </c>
      <c r="H3185">
        <v>1</v>
      </c>
      <c r="I3185" t="s">
        <v>173</v>
      </c>
      <c r="J3185">
        <v>1</v>
      </c>
      <c r="K3185" s="6">
        <v>2.64</v>
      </c>
      <c r="L3185" t="s">
        <v>174</v>
      </c>
      <c r="M3185">
        <v>0</v>
      </c>
      <c r="N3185" t="s">
        <v>175</v>
      </c>
      <c r="O3185">
        <v>1</v>
      </c>
      <c r="P3185">
        <v>0</v>
      </c>
      <c r="Q3185" s="6">
        <v>30.7</v>
      </c>
      <c r="R3185">
        <v>0</v>
      </c>
      <c r="S3185" s="6">
        <v>0</v>
      </c>
      <c r="T3185">
        <v>0</v>
      </c>
      <c r="U3185" s="6">
        <v>10833</v>
      </c>
      <c r="V3185">
        <v>0</v>
      </c>
      <c r="W3185">
        <v>0</v>
      </c>
      <c r="X3185">
        <v>0</v>
      </c>
      <c r="Y3185" s="6">
        <v>42.9</v>
      </c>
      <c r="Z3185">
        <v>6.0000000000000001E-3</v>
      </c>
      <c r="AA3185">
        <v>2.8000000000000001E-2</v>
      </c>
      <c r="AB3185">
        <v>0.01</v>
      </c>
      <c r="AC3185">
        <v>6</v>
      </c>
      <c r="AD3185" s="6">
        <v>50</v>
      </c>
      <c r="AE3185" s="6">
        <v>0</v>
      </c>
      <c r="AF3185" s="6">
        <v>0</v>
      </c>
      <c r="AG3185" s="6">
        <v>43.16</v>
      </c>
      <c r="AH3185" s="6">
        <v>57.4</v>
      </c>
      <c r="AI3185" s="6">
        <f t="shared" si="98"/>
        <v>14.240000000000002</v>
      </c>
      <c r="AJ3185" s="5">
        <f t="shared" si="99"/>
        <v>0.24808362369337983</v>
      </c>
    </row>
    <row r="3186" spans="1:36">
      <c r="A3186" t="s">
        <v>288</v>
      </c>
      <c r="B3186" t="s">
        <v>3471</v>
      </c>
      <c r="C3186" t="s">
        <v>130</v>
      </c>
      <c r="D3186" t="s">
        <v>68</v>
      </c>
      <c r="E3186" t="s">
        <v>69</v>
      </c>
      <c r="F3186">
        <v>0</v>
      </c>
      <c r="G3186">
        <v>2683</v>
      </c>
      <c r="H3186">
        <v>1</v>
      </c>
      <c r="I3186" t="s">
        <v>220</v>
      </c>
      <c r="J3186">
        <v>2</v>
      </c>
      <c r="K3186" s="6">
        <v>4.12</v>
      </c>
      <c r="L3186" t="s">
        <v>174</v>
      </c>
      <c r="M3186">
        <v>0</v>
      </c>
      <c r="N3186" t="s">
        <v>175</v>
      </c>
      <c r="O3186">
        <v>1</v>
      </c>
      <c r="P3186">
        <v>0</v>
      </c>
      <c r="Q3186" s="6">
        <v>42.8</v>
      </c>
      <c r="R3186">
        <v>0</v>
      </c>
      <c r="S3186" s="6">
        <v>0</v>
      </c>
      <c r="T3186">
        <v>0</v>
      </c>
      <c r="U3186" s="6">
        <v>4520</v>
      </c>
      <c r="V3186">
        <v>0</v>
      </c>
      <c r="W3186">
        <v>0</v>
      </c>
      <c r="X3186">
        <v>0</v>
      </c>
      <c r="Y3186" s="6">
        <v>42.9</v>
      </c>
      <c r="Z3186">
        <v>6.0000000000000001E-3</v>
      </c>
      <c r="AA3186">
        <v>2.8000000000000001E-2</v>
      </c>
      <c r="AB3186">
        <v>0.01</v>
      </c>
      <c r="AC3186">
        <v>6</v>
      </c>
      <c r="AD3186" s="6">
        <v>50</v>
      </c>
      <c r="AE3186" s="6">
        <v>0</v>
      </c>
      <c r="AF3186" s="6">
        <v>0</v>
      </c>
      <c r="AG3186" s="6">
        <v>66.88</v>
      </c>
      <c r="AH3186" s="6">
        <v>87.04</v>
      </c>
      <c r="AI3186" s="6">
        <f t="shared" si="98"/>
        <v>20.160000000000011</v>
      </c>
      <c r="AJ3186" s="5">
        <f t="shared" si="99"/>
        <v>0.23161764705882365</v>
      </c>
    </row>
    <row r="3187" spans="1:36">
      <c r="A3187" t="s">
        <v>196</v>
      </c>
      <c r="B3187" t="s">
        <v>3472</v>
      </c>
      <c r="C3187" t="s">
        <v>130</v>
      </c>
      <c r="D3187" t="s">
        <v>68</v>
      </c>
      <c r="E3187" t="s">
        <v>69</v>
      </c>
      <c r="F3187">
        <v>0</v>
      </c>
      <c r="G3187">
        <v>2683</v>
      </c>
      <c r="H3187">
        <v>1</v>
      </c>
      <c r="I3187" t="s">
        <v>181</v>
      </c>
      <c r="J3187">
        <v>3</v>
      </c>
      <c r="K3187" s="6">
        <v>8.9</v>
      </c>
      <c r="L3187" t="s">
        <v>174</v>
      </c>
      <c r="M3187">
        <v>0</v>
      </c>
      <c r="N3187" t="s">
        <v>175</v>
      </c>
      <c r="O3187">
        <v>1</v>
      </c>
      <c r="P3187">
        <v>0</v>
      </c>
      <c r="Q3187" s="6">
        <v>43.9</v>
      </c>
      <c r="R3187">
        <v>0</v>
      </c>
      <c r="S3187" s="6">
        <v>0</v>
      </c>
      <c r="T3187">
        <v>0</v>
      </c>
      <c r="U3187" s="6">
        <v>2504</v>
      </c>
      <c r="V3187">
        <v>0</v>
      </c>
      <c r="W3187">
        <v>0</v>
      </c>
      <c r="X3187">
        <v>0</v>
      </c>
      <c r="Y3187" s="6">
        <v>42.9</v>
      </c>
      <c r="Z3187">
        <v>6.0000000000000001E-3</v>
      </c>
      <c r="AA3187">
        <v>2.8000000000000001E-2</v>
      </c>
      <c r="AB3187">
        <v>0.01</v>
      </c>
      <c r="AC3187">
        <v>6</v>
      </c>
      <c r="AD3187" s="6">
        <v>60</v>
      </c>
      <c r="AE3187" s="6">
        <v>0</v>
      </c>
      <c r="AF3187" s="6">
        <v>0</v>
      </c>
      <c r="AG3187" s="6">
        <v>94.3</v>
      </c>
      <c r="AH3187" s="6">
        <v>120.67</v>
      </c>
      <c r="AI3187" s="6">
        <f t="shared" si="98"/>
        <v>26.370000000000005</v>
      </c>
      <c r="AJ3187" s="5">
        <f t="shared" si="99"/>
        <v>0.21852987486533523</v>
      </c>
    </row>
    <row r="3188" spans="1:36">
      <c r="A3188" t="s">
        <v>319</v>
      </c>
      <c r="B3188" t="s">
        <v>3473</v>
      </c>
      <c r="C3188" t="s">
        <v>130</v>
      </c>
      <c r="D3188" t="s">
        <v>68</v>
      </c>
      <c r="E3188" t="s">
        <v>69</v>
      </c>
      <c r="F3188">
        <v>0</v>
      </c>
      <c r="G3188">
        <v>2683</v>
      </c>
      <c r="H3188">
        <v>1</v>
      </c>
      <c r="I3188" t="s">
        <v>173</v>
      </c>
      <c r="J3188">
        <v>1</v>
      </c>
      <c r="K3188" s="6">
        <v>1.67</v>
      </c>
      <c r="L3188" t="s">
        <v>174</v>
      </c>
      <c r="M3188">
        <v>0</v>
      </c>
      <c r="N3188" t="s">
        <v>175</v>
      </c>
      <c r="O3188">
        <v>1</v>
      </c>
      <c r="P3188">
        <v>0</v>
      </c>
      <c r="Q3188" s="6">
        <v>37.799999999999997</v>
      </c>
      <c r="R3188">
        <v>0</v>
      </c>
      <c r="S3188" s="6">
        <v>0</v>
      </c>
      <c r="T3188">
        <v>0</v>
      </c>
      <c r="U3188" s="6">
        <v>11367</v>
      </c>
      <c r="V3188">
        <v>0</v>
      </c>
      <c r="W3188">
        <v>0</v>
      </c>
      <c r="X3188">
        <v>0</v>
      </c>
      <c r="Y3188" s="6">
        <v>42.9</v>
      </c>
      <c r="Z3188">
        <v>6.0000000000000001E-3</v>
      </c>
      <c r="AA3188">
        <v>2.8000000000000001E-2</v>
      </c>
      <c r="AB3188">
        <v>0.01</v>
      </c>
      <c r="AC3188">
        <v>6</v>
      </c>
      <c r="AD3188" s="6">
        <v>50</v>
      </c>
      <c r="AE3188" s="6">
        <v>0</v>
      </c>
      <c r="AF3188" s="6">
        <v>0</v>
      </c>
      <c r="AG3188" s="6">
        <v>47.15</v>
      </c>
      <c r="AH3188" s="6">
        <v>59.43</v>
      </c>
      <c r="AI3188" s="6">
        <f t="shared" si="98"/>
        <v>12.280000000000001</v>
      </c>
      <c r="AJ3188" s="5">
        <f t="shared" si="99"/>
        <v>0.20662964832576142</v>
      </c>
    </row>
    <row r="3189" spans="1:36">
      <c r="A3189" t="s">
        <v>288</v>
      </c>
      <c r="B3189" t="s">
        <v>3474</v>
      </c>
      <c r="C3189" t="s">
        <v>130</v>
      </c>
      <c r="D3189" t="s">
        <v>68</v>
      </c>
      <c r="E3189" t="s">
        <v>69</v>
      </c>
      <c r="F3189">
        <v>0</v>
      </c>
      <c r="G3189">
        <v>2683</v>
      </c>
      <c r="H3189">
        <v>1</v>
      </c>
      <c r="I3189" t="s">
        <v>178</v>
      </c>
      <c r="J3189">
        <v>4</v>
      </c>
      <c r="K3189" s="6">
        <v>12.4</v>
      </c>
      <c r="L3189" t="s">
        <v>174</v>
      </c>
      <c r="M3189">
        <v>0</v>
      </c>
      <c r="N3189" t="s">
        <v>187</v>
      </c>
      <c r="O3189">
        <v>2</v>
      </c>
      <c r="P3189">
        <v>0</v>
      </c>
      <c r="Q3189" s="6">
        <v>46.2</v>
      </c>
      <c r="R3189">
        <v>0</v>
      </c>
      <c r="S3189" s="6">
        <v>0</v>
      </c>
      <c r="T3189">
        <v>0</v>
      </c>
      <c r="U3189" s="6">
        <v>6734</v>
      </c>
      <c r="V3189">
        <v>0</v>
      </c>
      <c r="W3189">
        <v>0</v>
      </c>
      <c r="X3189">
        <v>0</v>
      </c>
      <c r="Y3189" s="6">
        <v>42.9</v>
      </c>
      <c r="Z3189">
        <v>6.0000000000000001E-3</v>
      </c>
      <c r="AA3189">
        <v>2.8000000000000001E-2</v>
      </c>
      <c r="AB3189">
        <v>0.01</v>
      </c>
      <c r="AC3189">
        <v>6</v>
      </c>
      <c r="AD3189" s="6">
        <v>65</v>
      </c>
      <c r="AE3189" s="6">
        <v>0</v>
      </c>
      <c r="AF3189" s="6">
        <v>0</v>
      </c>
      <c r="AG3189" s="6">
        <v>122.1</v>
      </c>
      <c r="AH3189" s="6">
        <v>156.29</v>
      </c>
      <c r="AI3189" s="6">
        <f t="shared" si="98"/>
        <v>34.19</v>
      </c>
      <c r="AJ3189" s="5">
        <f t="shared" si="99"/>
        <v>0.21875999744065519</v>
      </c>
    </row>
    <row r="3190" spans="1:36">
      <c r="A3190" t="s">
        <v>478</v>
      </c>
      <c r="B3190" t="s">
        <v>3475</v>
      </c>
      <c r="C3190" t="s">
        <v>130</v>
      </c>
      <c r="D3190" t="s">
        <v>68</v>
      </c>
      <c r="E3190" t="s">
        <v>69</v>
      </c>
      <c r="F3190">
        <v>0</v>
      </c>
      <c r="G3190">
        <v>2683</v>
      </c>
      <c r="H3190">
        <v>1</v>
      </c>
      <c r="I3190" t="s">
        <v>178</v>
      </c>
      <c r="J3190">
        <v>4</v>
      </c>
      <c r="K3190" s="6">
        <v>14.49</v>
      </c>
      <c r="L3190" t="s">
        <v>174</v>
      </c>
      <c r="M3190">
        <v>0</v>
      </c>
      <c r="N3190" t="s">
        <v>175</v>
      </c>
      <c r="O3190">
        <v>1</v>
      </c>
      <c r="P3190">
        <v>0</v>
      </c>
      <c r="Q3190" s="6">
        <v>43.1</v>
      </c>
      <c r="R3190">
        <v>0</v>
      </c>
      <c r="S3190" s="6">
        <v>0</v>
      </c>
      <c r="T3190">
        <v>0</v>
      </c>
      <c r="U3190" s="6">
        <v>3633</v>
      </c>
      <c r="V3190">
        <v>0</v>
      </c>
      <c r="W3190">
        <v>0</v>
      </c>
      <c r="X3190">
        <v>0</v>
      </c>
      <c r="Y3190" s="6">
        <v>42.9</v>
      </c>
      <c r="Z3190">
        <v>6.0000000000000001E-3</v>
      </c>
      <c r="AA3190">
        <v>2.8000000000000001E-2</v>
      </c>
      <c r="AB3190">
        <v>0.01</v>
      </c>
      <c r="AC3190">
        <v>6</v>
      </c>
      <c r="AD3190" s="6">
        <v>65</v>
      </c>
      <c r="AE3190" s="6">
        <v>0</v>
      </c>
      <c r="AF3190" s="6">
        <v>0</v>
      </c>
      <c r="AG3190" s="6">
        <v>130.16999999999999</v>
      </c>
      <c r="AH3190" s="6">
        <v>165.83</v>
      </c>
      <c r="AI3190" s="6">
        <f t="shared" si="98"/>
        <v>35.660000000000025</v>
      </c>
      <c r="AJ3190" s="5">
        <f t="shared" si="99"/>
        <v>0.21503949828137262</v>
      </c>
    </row>
    <row r="3191" spans="1:36">
      <c r="A3191" t="s">
        <v>348</v>
      </c>
      <c r="B3191" t="s">
        <v>3476</v>
      </c>
      <c r="C3191" t="s">
        <v>130</v>
      </c>
      <c r="D3191" t="s">
        <v>68</v>
      </c>
      <c r="E3191" t="s">
        <v>69</v>
      </c>
      <c r="F3191">
        <v>0</v>
      </c>
      <c r="G3191">
        <v>2683</v>
      </c>
      <c r="H3191">
        <v>1</v>
      </c>
      <c r="I3191" t="s">
        <v>173</v>
      </c>
      <c r="J3191">
        <v>1</v>
      </c>
      <c r="K3191" s="6">
        <v>1.69</v>
      </c>
      <c r="L3191" t="s">
        <v>174</v>
      </c>
      <c r="M3191">
        <v>0</v>
      </c>
      <c r="N3191" t="s">
        <v>175</v>
      </c>
      <c r="O3191">
        <v>1</v>
      </c>
      <c r="P3191">
        <v>0</v>
      </c>
      <c r="Q3191" s="6">
        <v>32</v>
      </c>
      <c r="R3191">
        <v>0</v>
      </c>
      <c r="S3191" s="6">
        <v>0</v>
      </c>
      <c r="T3191">
        <v>0</v>
      </c>
      <c r="U3191" s="6">
        <v>4682</v>
      </c>
      <c r="V3191">
        <v>0</v>
      </c>
      <c r="W3191">
        <v>0</v>
      </c>
      <c r="X3191">
        <v>0</v>
      </c>
      <c r="Y3191" s="6">
        <v>42.9</v>
      </c>
      <c r="Z3191">
        <v>6.0000000000000001E-3</v>
      </c>
      <c r="AA3191">
        <v>2.8000000000000001E-2</v>
      </c>
      <c r="AB3191">
        <v>0.01</v>
      </c>
      <c r="AC3191">
        <v>6</v>
      </c>
      <c r="AD3191" s="6">
        <v>50</v>
      </c>
      <c r="AE3191" s="6">
        <v>0</v>
      </c>
      <c r="AF3191" s="6">
        <v>0</v>
      </c>
      <c r="AG3191" s="6">
        <v>55.77</v>
      </c>
      <c r="AH3191" s="6">
        <v>72.37</v>
      </c>
      <c r="AI3191" s="6">
        <f t="shared" si="98"/>
        <v>16.600000000000001</v>
      </c>
      <c r="AJ3191" s="5">
        <f t="shared" si="99"/>
        <v>0.22937681359679427</v>
      </c>
    </row>
    <row r="3192" spans="1:36">
      <c r="A3192" t="s">
        <v>517</v>
      </c>
      <c r="B3192" t="s">
        <v>3477</v>
      </c>
      <c r="C3192" t="s">
        <v>132</v>
      </c>
      <c r="D3192" t="s">
        <v>60</v>
      </c>
      <c r="E3192" t="s">
        <v>55</v>
      </c>
      <c r="F3192">
        <v>0</v>
      </c>
      <c r="G3192">
        <v>180</v>
      </c>
      <c r="H3192">
        <v>1</v>
      </c>
      <c r="I3192" t="s">
        <v>220</v>
      </c>
      <c r="J3192">
        <v>2</v>
      </c>
      <c r="K3192" s="6">
        <v>4.4400000000000004</v>
      </c>
      <c r="L3192" t="s">
        <v>200</v>
      </c>
      <c r="M3192">
        <v>1</v>
      </c>
      <c r="N3192" t="s">
        <v>272</v>
      </c>
      <c r="O3192">
        <v>5</v>
      </c>
      <c r="P3192">
        <v>1</v>
      </c>
      <c r="Q3192" s="6">
        <v>154.19999999999999</v>
      </c>
      <c r="R3192">
        <v>0</v>
      </c>
      <c r="S3192" s="6">
        <v>0</v>
      </c>
      <c r="T3192">
        <v>0</v>
      </c>
      <c r="U3192" s="6">
        <v>3125</v>
      </c>
      <c r="V3192">
        <v>0</v>
      </c>
      <c r="W3192">
        <v>0</v>
      </c>
      <c r="X3192">
        <v>0</v>
      </c>
      <c r="Y3192" s="6">
        <v>25</v>
      </c>
      <c r="Z3192">
        <v>0.52800000000000002</v>
      </c>
      <c r="AA3192">
        <v>9.7000000000000003E-2</v>
      </c>
      <c r="AB3192">
        <v>8.6999999999999994E-2</v>
      </c>
      <c r="AC3192">
        <v>4</v>
      </c>
      <c r="AD3192" s="6">
        <v>255</v>
      </c>
      <c r="AE3192" s="6">
        <v>0</v>
      </c>
      <c r="AF3192" s="6">
        <v>0</v>
      </c>
      <c r="AG3192" s="6">
        <v>213.42</v>
      </c>
      <c r="AH3192" s="6">
        <v>271.02</v>
      </c>
      <c r="AI3192" s="6">
        <f t="shared" si="98"/>
        <v>57.599999999999994</v>
      </c>
      <c r="AJ3192" s="5">
        <f t="shared" si="99"/>
        <v>0.21253044055789239</v>
      </c>
    </row>
    <row r="3193" spans="1:36">
      <c r="A3193" t="s">
        <v>277</v>
      </c>
      <c r="B3193" t="s">
        <v>3478</v>
      </c>
      <c r="C3193" t="s">
        <v>132</v>
      </c>
      <c r="D3193" t="s">
        <v>60</v>
      </c>
      <c r="E3193" t="s">
        <v>55</v>
      </c>
      <c r="F3193">
        <v>0</v>
      </c>
      <c r="G3193">
        <v>180</v>
      </c>
      <c r="H3193">
        <v>1.22</v>
      </c>
      <c r="I3193" t="s">
        <v>220</v>
      </c>
      <c r="J3193">
        <v>2</v>
      </c>
      <c r="K3193" s="6">
        <v>2.36</v>
      </c>
      <c r="L3193" t="s">
        <v>174</v>
      </c>
      <c r="M3193">
        <v>0</v>
      </c>
      <c r="N3193" t="s">
        <v>175</v>
      </c>
      <c r="O3193">
        <v>1</v>
      </c>
      <c r="P3193">
        <v>0</v>
      </c>
      <c r="Q3193" s="6">
        <v>23</v>
      </c>
      <c r="R3193">
        <v>1</v>
      </c>
      <c r="S3193" s="6">
        <v>1614</v>
      </c>
      <c r="T3193">
        <v>0</v>
      </c>
      <c r="U3193" s="6">
        <v>2954</v>
      </c>
      <c r="V3193">
        <v>0</v>
      </c>
      <c r="W3193">
        <v>0</v>
      </c>
      <c r="X3193">
        <v>0</v>
      </c>
      <c r="Y3193" s="6">
        <v>25</v>
      </c>
      <c r="Z3193">
        <v>0.52800000000000002</v>
      </c>
      <c r="AA3193">
        <v>9.7000000000000003E-2</v>
      </c>
      <c r="AB3193">
        <v>8.6999999999999994E-2</v>
      </c>
      <c r="AC3193">
        <v>4</v>
      </c>
      <c r="AD3193" s="6">
        <v>70</v>
      </c>
      <c r="AE3193" s="6">
        <v>30</v>
      </c>
      <c r="AF3193" s="6">
        <v>0</v>
      </c>
      <c r="AG3193" s="6">
        <v>71.16</v>
      </c>
      <c r="AH3193" s="6">
        <v>91</v>
      </c>
      <c r="AI3193" s="6">
        <f t="shared" si="98"/>
        <v>19.840000000000003</v>
      </c>
      <c r="AJ3193" s="5">
        <f t="shared" si="99"/>
        <v>0.21802197802197806</v>
      </c>
    </row>
    <row r="3194" spans="1:36">
      <c r="A3194" t="s">
        <v>279</v>
      </c>
      <c r="B3194" t="s">
        <v>3479</v>
      </c>
      <c r="C3194" t="s">
        <v>132</v>
      </c>
      <c r="D3194" t="s">
        <v>60</v>
      </c>
      <c r="E3194" t="s">
        <v>55</v>
      </c>
      <c r="F3194">
        <v>0</v>
      </c>
      <c r="G3194">
        <v>180</v>
      </c>
      <c r="H3194">
        <v>1.22</v>
      </c>
      <c r="I3194" t="s">
        <v>220</v>
      </c>
      <c r="J3194">
        <v>2</v>
      </c>
      <c r="K3194" s="6">
        <v>4.3899999999999997</v>
      </c>
      <c r="L3194" t="s">
        <v>174</v>
      </c>
      <c r="M3194">
        <v>0</v>
      </c>
      <c r="N3194" t="s">
        <v>187</v>
      </c>
      <c r="O3194">
        <v>2</v>
      </c>
      <c r="P3194">
        <v>0</v>
      </c>
      <c r="Q3194" s="6">
        <v>45.2</v>
      </c>
      <c r="R3194">
        <v>0</v>
      </c>
      <c r="S3194" s="6">
        <v>0</v>
      </c>
      <c r="T3194">
        <v>0</v>
      </c>
      <c r="U3194" s="6">
        <v>3124</v>
      </c>
      <c r="V3194">
        <v>0</v>
      </c>
      <c r="W3194">
        <v>0</v>
      </c>
      <c r="X3194">
        <v>0</v>
      </c>
      <c r="Y3194" s="6">
        <v>25</v>
      </c>
      <c r="Z3194">
        <v>0.52800000000000002</v>
      </c>
      <c r="AA3194">
        <v>9.7000000000000003E-2</v>
      </c>
      <c r="AB3194">
        <v>8.6999999999999994E-2</v>
      </c>
      <c r="AC3194">
        <v>4</v>
      </c>
      <c r="AD3194" s="6">
        <v>70</v>
      </c>
      <c r="AE3194" s="6">
        <v>0</v>
      </c>
      <c r="AF3194" s="6">
        <v>0</v>
      </c>
      <c r="AG3194" s="6">
        <v>76.040000000000006</v>
      </c>
      <c r="AH3194" s="6">
        <v>95.18</v>
      </c>
      <c r="AI3194" s="6">
        <f t="shared" si="98"/>
        <v>19.14</v>
      </c>
      <c r="AJ3194" s="5">
        <f t="shared" si="99"/>
        <v>0.2010926665265812</v>
      </c>
    </row>
    <row r="3195" spans="1:36">
      <c r="A3195" t="s">
        <v>319</v>
      </c>
      <c r="B3195" t="s">
        <v>3480</v>
      </c>
      <c r="C3195" t="s">
        <v>132</v>
      </c>
      <c r="D3195" t="s">
        <v>60</v>
      </c>
      <c r="E3195" t="s">
        <v>55</v>
      </c>
      <c r="F3195">
        <v>0</v>
      </c>
      <c r="G3195">
        <v>180</v>
      </c>
      <c r="H3195">
        <v>1.22</v>
      </c>
      <c r="I3195" t="s">
        <v>173</v>
      </c>
      <c r="J3195">
        <v>1</v>
      </c>
      <c r="K3195" s="6">
        <v>2.11</v>
      </c>
      <c r="L3195" t="s">
        <v>174</v>
      </c>
      <c r="M3195">
        <v>0</v>
      </c>
      <c r="N3195" t="s">
        <v>187</v>
      </c>
      <c r="O3195">
        <v>2</v>
      </c>
      <c r="P3195">
        <v>0</v>
      </c>
      <c r="Q3195" s="6">
        <v>71.900000000000006</v>
      </c>
      <c r="R3195">
        <v>0</v>
      </c>
      <c r="S3195" s="6">
        <v>0</v>
      </c>
      <c r="T3195">
        <v>0</v>
      </c>
      <c r="U3195" s="6">
        <v>1202</v>
      </c>
      <c r="V3195">
        <v>0</v>
      </c>
      <c r="W3195">
        <v>0</v>
      </c>
      <c r="X3195">
        <v>1</v>
      </c>
      <c r="Y3195" s="6">
        <v>25</v>
      </c>
      <c r="Z3195">
        <v>0.52800000000000002</v>
      </c>
      <c r="AA3195">
        <v>9.7000000000000003E-2</v>
      </c>
      <c r="AB3195">
        <v>8.6999999999999994E-2</v>
      </c>
      <c r="AC3195">
        <v>4</v>
      </c>
      <c r="AD3195" s="6">
        <v>65</v>
      </c>
      <c r="AE3195" s="6">
        <v>0</v>
      </c>
      <c r="AF3195" s="6">
        <v>0</v>
      </c>
      <c r="AG3195" s="6">
        <v>71.48</v>
      </c>
      <c r="AH3195" s="6">
        <v>90.2</v>
      </c>
      <c r="AI3195" s="6">
        <f t="shared" si="98"/>
        <v>18.72</v>
      </c>
      <c r="AJ3195" s="5">
        <f t="shared" si="99"/>
        <v>0.20753880266075386</v>
      </c>
    </row>
    <row r="3196" spans="1:36">
      <c r="A3196" t="s">
        <v>245</v>
      </c>
      <c r="B3196" t="s">
        <v>3481</v>
      </c>
      <c r="C3196" t="s">
        <v>132</v>
      </c>
      <c r="D3196" t="s">
        <v>60</v>
      </c>
      <c r="E3196" t="s">
        <v>55</v>
      </c>
      <c r="F3196">
        <v>0</v>
      </c>
      <c r="G3196">
        <v>180</v>
      </c>
      <c r="H3196">
        <v>1.22</v>
      </c>
      <c r="I3196" t="s">
        <v>173</v>
      </c>
      <c r="J3196">
        <v>1</v>
      </c>
      <c r="K3196" s="6">
        <v>2.37</v>
      </c>
      <c r="L3196" t="s">
        <v>200</v>
      </c>
      <c r="M3196">
        <v>1</v>
      </c>
      <c r="N3196" t="s">
        <v>187</v>
      </c>
      <c r="O3196">
        <v>2</v>
      </c>
      <c r="P3196">
        <v>0</v>
      </c>
      <c r="Q3196" s="6">
        <v>80.099999999999994</v>
      </c>
      <c r="R3196">
        <v>0</v>
      </c>
      <c r="S3196" s="6">
        <v>0</v>
      </c>
      <c r="T3196">
        <v>0</v>
      </c>
      <c r="U3196" s="6">
        <v>5204</v>
      </c>
      <c r="V3196">
        <v>0</v>
      </c>
      <c r="W3196">
        <v>0</v>
      </c>
      <c r="X3196">
        <v>0</v>
      </c>
      <c r="Y3196" s="6">
        <v>25</v>
      </c>
      <c r="Z3196">
        <v>0.52800000000000002</v>
      </c>
      <c r="AA3196">
        <v>9.7000000000000003E-2</v>
      </c>
      <c r="AB3196">
        <v>8.6999999999999994E-2</v>
      </c>
      <c r="AC3196">
        <v>4</v>
      </c>
      <c r="AD3196" s="6">
        <v>130</v>
      </c>
      <c r="AE3196" s="6">
        <v>0</v>
      </c>
      <c r="AF3196" s="6">
        <v>0</v>
      </c>
      <c r="AG3196" s="6">
        <v>104.93</v>
      </c>
      <c r="AH3196" s="6">
        <v>134.93</v>
      </c>
      <c r="AI3196" s="6">
        <f t="shared" si="98"/>
        <v>30</v>
      </c>
      <c r="AJ3196" s="5">
        <f t="shared" si="99"/>
        <v>0.22233750833765656</v>
      </c>
    </row>
    <row r="3197" spans="1:36">
      <c r="A3197" t="s">
        <v>765</v>
      </c>
      <c r="B3197" t="s">
        <v>3482</v>
      </c>
      <c r="C3197" t="s">
        <v>132</v>
      </c>
      <c r="D3197" t="s">
        <v>60</v>
      </c>
      <c r="E3197" t="s">
        <v>55</v>
      </c>
      <c r="F3197">
        <v>0</v>
      </c>
      <c r="G3197">
        <v>180</v>
      </c>
      <c r="H3197">
        <v>1.22</v>
      </c>
      <c r="I3197" t="s">
        <v>220</v>
      </c>
      <c r="J3197">
        <v>2</v>
      </c>
      <c r="K3197" s="6">
        <v>4.33</v>
      </c>
      <c r="L3197" t="s">
        <v>200</v>
      </c>
      <c r="M3197">
        <v>1</v>
      </c>
      <c r="N3197" t="s">
        <v>272</v>
      </c>
      <c r="O3197">
        <v>5</v>
      </c>
      <c r="P3197">
        <v>1</v>
      </c>
      <c r="Q3197" s="6">
        <v>219.6</v>
      </c>
      <c r="R3197">
        <v>0</v>
      </c>
      <c r="S3197" s="6">
        <v>0</v>
      </c>
      <c r="T3197">
        <v>0</v>
      </c>
      <c r="U3197" s="6">
        <v>1942</v>
      </c>
      <c r="V3197">
        <v>0</v>
      </c>
      <c r="W3197">
        <v>0</v>
      </c>
      <c r="X3197">
        <v>0</v>
      </c>
      <c r="Y3197" s="6">
        <v>25</v>
      </c>
      <c r="Z3197">
        <v>0.52800000000000002</v>
      </c>
      <c r="AA3197">
        <v>9.7000000000000003E-2</v>
      </c>
      <c r="AB3197">
        <v>8.6999999999999994E-2</v>
      </c>
      <c r="AC3197">
        <v>4</v>
      </c>
      <c r="AD3197" s="6">
        <v>255</v>
      </c>
      <c r="AE3197" s="6">
        <v>0</v>
      </c>
      <c r="AF3197" s="6">
        <v>0</v>
      </c>
      <c r="AG3197" s="6">
        <v>214.56</v>
      </c>
      <c r="AH3197" s="6">
        <v>271.83</v>
      </c>
      <c r="AI3197" s="6">
        <f t="shared" si="98"/>
        <v>57.269999999999982</v>
      </c>
      <c r="AJ3197" s="5">
        <f t="shared" si="99"/>
        <v>0.21068314755545739</v>
      </c>
    </row>
    <row r="3198" spans="1:36">
      <c r="A3198" t="s">
        <v>323</v>
      </c>
      <c r="B3198" t="s">
        <v>3483</v>
      </c>
      <c r="C3198" t="s">
        <v>132</v>
      </c>
      <c r="D3198" t="s">
        <v>60</v>
      </c>
      <c r="E3198" t="s">
        <v>55</v>
      </c>
      <c r="F3198">
        <v>0</v>
      </c>
      <c r="G3198">
        <v>180</v>
      </c>
      <c r="H3198">
        <v>1.22</v>
      </c>
      <c r="I3198" t="s">
        <v>173</v>
      </c>
      <c r="J3198">
        <v>1</v>
      </c>
      <c r="K3198" s="6">
        <v>2.25</v>
      </c>
      <c r="L3198" t="s">
        <v>174</v>
      </c>
      <c r="M3198">
        <v>0</v>
      </c>
      <c r="N3198" t="s">
        <v>175</v>
      </c>
      <c r="O3198">
        <v>1</v>
      </c>
      <c r="P3198">
        <v>0</v>
      </c>
      <c r="Q3198" s="6">
        <v>55.8</v>
      </c>
      <c r="R3198">
        <v>0</v>
      </c>
      <c r="S3198" s="6">
        <v>0</v>
      </c>
      <c r="T3198">
        <v>0</v>
      </c>
      <c r="U3198" s="6">
        <v>1581</v>
      </c>
      <c r="V3198">
        <v>0</v>
      </c>
      <c r="W3198">
        <v>0</v>
      </c>
      <c r="X3198">
        <v>0</v>
      </c>
      <c r="Y3198" s="6">
        <v>25</v>
      </c>
      <c r="Z3198">
        <v>0.52800000000000002</v>
      </c>
      <c r="AA3198">
        <v>9.7000000000000003E-2</v>
      </c>
      <c r="AB3198">
        <v>8.6999999999999994E-2</v>
      </c>
      <c r="AC3198">
        <v>4</v>
      </c>
      <c r="AD3198" s="6">
        <v>65</v>
      </c>
      <c r="AE3198" s="6">
        <v>0</v>
      </c>
      <c r="AF3198" s="6">
        <v>0</v>
      </c>
      <c r="AG3198" s="6">
        <v>70.040000000000006</v>
      </c>
      <c r="AH3198" s="6">
        <v>89.98</v>
      </c>
      <c r="AI3198" s="6">
        <f t="shared" si="98"/>
        <v>19.939999999999998</v>
      </c>
      <c r="AJ3198" s="5">
        <f t="shared" si="99"/>
        <v>0.22160480106690372</v>
      </c>
    </row>
    <row r="3199" spans="1:36">
      <c r="A3199" t="s">
        <v>401</v>
      </c>
      <c r="B3199" t="s">
        <v>3484</v>
      </c>
      <c r="C3199" t="s">
        <v>132</v>
      </c>
      <c r="D3199" t="s">
        <v>60</v>
      </c>
      <c r="E3199" t="s">
        <v>55</v>
      </c>
      <c r="F3199">
        <v>0</v>
      </c>
      <c r="G3199">
        <v>180</v>
      </c>
      <c r="H3199">
        <v>1</v>
      </c>
      <c r="I3199" t="s">
        <v>220</v>
      </c>
      <c r="J3199">
        <v>2</v>
      </c>
      <c r="K3199" s="6">
        <v>3.73</v>
      </c>
      <c r="L3199" t="s">
        <v>174</v>
      </c>
      <c r="M3199">
        <v>0</v>
      </c>
      <c r="N3199" t="s">
        <v>175</v>
      </c>
      <c r="O3199">
        <v>1</v>
      </c>
      <c r="P3199">
        <v>0</v>
      </c>
      <c r="Q3199" s="6">
        <v>28.4</v>
      </c>
      <c r="R3199">
        <v>1</v>
      </c>
      <c r="S3199" s="6">
        <v>2259</v>
      </c>
      <c r="T3199">
        <v>0</v>
      </c>
      <c r="U3199" s="6">
        <v>1805</v>
      </c>
      <c r="V3199">
        <v>0</v>
      </c>
      <c r="W3199">
        <v>0</v>
      </c>
      <c r="X3199">
        <v>0</v>
      </c>
      <c r="Y3199" s="6">
        <v>25</v>
      </c>
      <c r="Z3199">
        <v>0.52800000000000002</v>
      </c>
      <c r="AA3199">
        <v>9.7000000000000003E-2</v>
      </c>
      <c r="AB3199">
        <v>8.6999999999999994E-2</v>
      </c>
      <c r="AC3199">
        <v>4</v>
      </c>
      <c r="AD3199" s="6">
        <v>70</v>
      </c>
      <c r="AE3199" s="6">
        <v>50</v>
      </c>
      <c r="AF3199" s="6">
        <v>0</v>
      </c>
      <c r="AG3199" s="6">
        <v>75.3</v>
      </c>
      <c r="AH3199" s="6">
        <v>96.16</v>
      </c>
      <c r="AI3199" s="6">
        <f t="shared" si="98"/>
        <v>20.86</v>
      </c>
      <c r="AJ3199" s="5">
        <f t="shared" si="99"/>
        <v>0.21693011647254576</v>
      </c>
    </row>
    <row r="3200" spans="1:36">
      <c r="A3200" t="s">
        <v>423</v>
      </c>
      <c r="B3200" t="s">
        <v>3485</v>
      </c>
      <c r="C3200" t="s">
        <v>132</v>
      </c>
      <c r="D3200" t="s">
        <v>60</v>
      </c>
      <c r="E3200" t="s">
        <v>55</v>
      </c>
      <c r="F3200">
        <v>0</v>
      </c>
      <c r="G3200">
        <v>180</v>
      </c>
      <c r="H3200">
        <v>1.22</v>
      </c>
      <c r="I3200" t="s">
        <v>173</v>
      </c>
      <c r="J3200">
        <v>1</v>
      </c>
      <c r="K3200" s="6">
        <v>1.99</v>
      </c>
      <c r="L3200" t="s">
        <v>174</v>
      </c>
      <c r="M3200">
        <v>0</v>
      </c>
      <c r="N3200" t="s">
        <v>175</v>
      </c>
      <c r="O3200">
        <v>1</v>
      </c>
      <c r="P3200">
        <v>0</v>
      </c>
      <c r="Q3200" s="6">
        <v>43.9</v>
      </c>
      <c r="R3200">
        <v>1</v>
      </c>
      <c r="S3200" s="6">
        <v>3347</v>
      </c>
      <c r="T3200">
        <v>0</v>
      </c>
      <c r="U3200" s="6">
        <v>2426</v>
      </c>
      <c r="V3200">
        <v>0</v>
      </c>
      <c r="W3200">
        <v>0</v>
      </c>
      <c r="X3200">
        <v>0</v>
      </c>
      <c r="Y3200" s="6">
        <v>25</v>
      </c>
      <c r="Z3200">
        <v>0.52800000000000002</v>
      </c>
      <c r="AA3200">
        <v>9.7000000000000003E-2</v>
      </c>
      <c r="AB3200">
        <v>8.6999999999999994E-2</v>
      </c>
      <c r="AC3200">
        <v>4</v>
      </c>
      <c r="AD3200" s="6">
        <v>65</v>
      </c>
      <c r="AE3200" s="6">
        <v>50</v>
      </c>
      <c r="AF3200" s="6">
        <v>0</v>
      </c>
      <c r="AG3200" s="6">
        <v>68.19</v>
      </c>
      <c r="AH3200" s="6">
        <v>87.64</v>
      </c>
      <c r="AI3200" s="6">
        <f t="shared" si="98"/>
        <v>19.450000000000003</v>
      </c>
      <c r="AJ3200" s="5">
        <f t="shared" si="99"/>
        <v>0.22193062528525789</v>
      </c>
    </row>
    <row r="3201" spans="1:36">
      <c r="A3201" t="s">
        <v>238</v>
      </c>
      <c r="B3201" t="s">
        <v>3486</v>
      </c>
      <c r="C3201" t="s">
        <v>132</v>
      </c>
      <c r="D3201" t="s">
        <v>60</v>
      </c>
      <c r="E3201" t="s">
        <v>55</v>
      </c>
      <c r="F3201">
        <v>0</v>
      </c>
      <c r="G3201">
        <v>180</v>
      </c>
      <c r="H3201">
        <v>1</v>
      </c>
      <c r="I3201" t="s">
        <v>173</v>
      </c>
      <c r="J3201">
        <v>1</v>
      </c>
      <c r="K3201" s="6">
        <v>1.98</v>
      </c>
      <c r="L3201" t="s">
        <v>174</v>
      </c>
      <c r="M3201">
        <v>0</v>
      </c>
      <c r="N3201" t="s">
        <v>187</v>
      </c>
      <c r="O3201">
        <v>2</v>
      </c>
      <c r="P3201">
        <v>0</v>
      </c>
      <c r="Q3201" s="6">
        <v>53.6</v>
      </c>
      <c r="R3201">
        <v>0</v>
      </c>
      <c r="S3201" s="6">
        <v>0</v>
      </c>
      <c r="T3201">
        <v>0</v>
      </c>
      <c r="U3201" s="6">
        <v>1395</v>
      </c>
      <c r="V3201">
        <v>0</v>
      </c>
      <c r="W3201">
        <v>0</v>
      </c>
      <c r="X3201">
        <v>0</v>
      </c>
      <c r="Y3201" s="6">
        <v>25</v>
      </c>
      <c r="Z3201">
        <v>0.52800000000000002</v>
      </c>
      <c r="AA3201">
        <v>9.7000000000000003E-2</v>
      </c>
      <c r="AB3201">
        <v>8.6999999999999994E-2</v>
      </c>
      <c r="AC3201">
        <v>4</v>
      </c>
      <c r="AD3201" s="6">
        <v>65</v>
      </c>
      <c r="AE3201" s="6">
        <v>0</v>
      </c>
      <c r="AF3201" s="6">
        <v>0</v>
      </c>
      <c r="AG3201" s="6">
        <v>70.14</v>
      </c>
      <c r="AH3201" s="6">
        <v>91.81</v>
      </c>
      <c r="AI3201" s="6">
        <f t="shared" si="98"/>
        <v>21.67</v>
      </c>
      <c r="AJ3201" s="5">
        <f t="shared" si="99"/>
        <v>0.23603093344951531</v>
      </c>
    </row>
    <row r="3202" spans="1:36">
      <c r="A3202" t="s">
        <v>179</v>
      </c>
      <c r="B3202" t="s">
        <v>3487</v>
      </c>
      <c r="C3202" t="s">
        <v>132</v>
      </c>
      <c r="D3202" t="s">
        <v>60</v>
      </c>
      <c r="E3202" t="s">
        <v>55</v>
      </c>
      <c r="F3202">
        <v>0</v>
      </c>
      <c r="G3202">
        <v>180</v>
      </c>
      <c r="H3202">
        <v>1</v>
      </c>
      <c r="I3202" t="s">
        <v>220</v>
      </c>
      <c r="J3202">
        <v>2</v>
      </c>
      <c r="K3202" s="6">
        <v>3.85</v>
      </c>
      <c r="L3202" t="s">
        <v>200</v>
      </c>
      <c r="M3202">
        <v>1</v>
      </c>
      <c r="N3202" t="s">
        <v>187</v>
      </c>
      <c r="O3202">
        <v>2</v>
      </c>
      <c r="P3202">
        <v>0</v>
      </c>
      <c r="Q3202" s="6">
        <v>26</v>
      </c>
      <c r="R3202">
        <v>1</v>
      </c>
      <c r="S3202" s="6">
        <v>2863</v>
      </c>
      <c r="T3202">
        <v>0</v>
      </c>
      <c r="U3202" s="6">
        <v>3462</v>
      </c>
      <c r="V3202">
        <v>0</v>
      </c>
      <c r="W3202">
        <v>0</v>
      </c>
      <c r="X3202">
        <v>0</v>
      </c>
      <c r="Y3202" s="6">
        <v>25</v>
      </c>
      <c r="Z3202">
        <v>0.52800000000000002</v>
      </c>
      <c r="AA3202">
        <v>9.7000000000000003E-2</v>
      </c>
      <c r="AB3202">
        <v>8.6999999999999994E-2</v>
      </c>
      <c r="AC3202">
        <v>4</v>
      </c>
      <c r="AD3202" s="6">
        <v>160</v>
      </c>
      <c r="AE3202" s="6">
        <v>50</v>
      </c>
      <c r="AF3202" s="6">
        <v>0</v>
      </c>
      <c r="AG3202" s="6">
        <v>108.64</v>
      </c>
      <c r="AH3202" s="6">
        <v>164.48</v>
      </c>
      <c r="AI3202" s="6">
        <f t="shared" ref="AI3202:AI3265" si="100">AH3202-AG3202</f>
        <v>55.839999999999989</v>
      </c>
      <c r="AJ3202" s="5">
        <f t="shared" ref="AJ3202:AJ3265" si="101">IFERROR(AI3202/AH3202,0)</f>
        <v>0.33949416342412447</v>
      </c>
    </row>
    <row r="3203" spans="1:36">
      <c r="A3203" t="s">
        <v>240</v>
      </c>
      <c r="B3203" t="s">
        <v>3488</v>
      </c>
      <c r="C3203" t="s">
        <v>132</v>
      </c>
      <c r="D3203" t="s">
        <v>60</v>
      </c>
      <c r="E3203" t="s">
        <v>55</v>
      </c>
      <c r="F3203">
        <v>0</v>
      </c>
      <c r="G3203">
        <v>180</v>
      </c>
      <c r="H3203">
        <v>1</v>
      </c>
      <c r="I3203" t="s">
        <v>173</v>
      </c>
      <c r="J3203">
        <v>1</v>
      </c>
      <c r="K3203" s="6">
        <v>2.13</v>
      </c>
      <c r="L3203" t="s">
        <v>174</v>
      </c>
      <c r="M3203">
        <v>0</v>
      </c>
      <c r="N3203" t="s">
        <v>182</v>
      </c>
      <c r="O3203">
        <v>3</v>
      </c>
      <c r="P3203">
        <v>0</v>
      </c>
      <c r="Q3203" s="6">
        <v>101.1</v>
      </c>
      <c r="R3203">
        <v>1</v>
      </c>
      <c r="S3203" s="6">
        <v>4353</v>
      </c>
      <c r="T3203">
        <v>0</v>
      </c>
      <c r="U3203" s="6">
        <v>2097</v>
      </c>
      <c r="V3203">
        <v>0</v>
      </c>
      <c r="W3203">
        <v>0</v>
      </c>
      <c r="X3203">
        <v>0</v>
      </c>
      <c r="Y3203" s="6">
        <v>25</v>
      </c>
      <c r="Z3203">
        <v>0.52800000000000002</v>
      </c>
      <c r="AA3203">
        <v>9.7000000000000003E-2</v>
      </c>
      <c r="AB3203">
        <v>8.6999999999999994E-2</v>
      </c>
      <c r="AC3203">
        <v>4</v>
      </c>
      <c r="AD3203" s="6">
        <v>65</v>
      </c>
      <c r="AE3203" s="6">
        <v>50</v>
      </c>
      <c r="AF3203" s="6">
        <v>0</v>
      </c>
      <c r="AG3203" s="6">
        <v>77.86</v>
      </c>
      <c r="AH3203" s="6">
        <v>100.2</v>
      </c>
      <c r="AI3203" s="6">
        <f t="shared" si="100"/>
        <v>22.340000000000003</v>
      </c>
      <c r="AJ3203" s="5">
        <f t="shared" si="101"/>
        <v>0.2229540918163673</v>
      </c>
    </row>
    <row r="3204" spans="1:36">
      <c r="A3204" t="s">
        <v>279</v>
      </c>
      <c r="B3204" t="s">
        <v>3489</v>
      </c>
      <c r="C3204" t="s">
        <v>132</v>
      </c>
      <c r="D3204" t="s">
        <v>60</v>
      </c>
      <c r="E3204" t="s">
        <v>55</v>
      </c>
      <c r="F3204">
        <v>0</v>
      </c>
      <c r="G3204">
        <v>180</v>
      </c>
      <c r="H3204">
        <v>1.22</v>
      </c>
      <c r="I3204" t="s">
        <v>173</v>
      </c>
      <c r="J3204">
        <v>1</v>
      </c>
      <c r="K3204" s="6">
        <v>2.67</v>
      </c>
      <c r="L3204" t="s">
        <v>200</v>
      </c>
      <c r="M3204">
        <v>1</v>
      </c>
      <c r="N3204" t="s">
        <v>175</v>
      </c>
      <c r="O3204">
        <v>1</v>
      </c>
      <c r="P3204">
        <v>0</v>
      </c>
      <c r="Q3204" s="6">
        <v>41.2</v>
      </c>
      <c r="R3204">
        <v>1</v>
      </c>
      <c r="S3204" s="6">
        <v>961</v>
      </c>
      <c r="T3204">
        <v>0</v>
      </c>
      <c r="U3204" s="6">
        <v>2848</v>
      </c>
      <c r="V3204">
        <v>0</v>
      </c>
      <c r="W3204">
        <v>0</v>
      </c>
      <c r="X3204">
        <v>0</v>
      </c>
      <c r="Y3204" s="6">
        <v>25</v>
      </c>
      <c r="Z3204">
        <v>0.52800000000000002</v>
      </c>
      <c r="AA3204">
        <v>9.7000000000000003E-2</v>
      </c>
      <c r="AB3204">
        <v>8.6999999999999994E-2</v>
      </c>
      <c r="AC3204">
        <v>4</v>
      </c>
      <c r="AD3204" s="6">
        <v>130</v>
      </c>
      <c r="AE3204" s="6">
        <v>30</v>
      </c>
      <c r="AF3204" s="6">
        <v>0</v>
      </c>
      <c r="AG3204" s="6">
        <v>98.2</v>
      </c>
      <c r="AH3204" s="6">
        <v>133.41999999999999</v>
      </c>
      <c r="AI3204" s="6">
        <f t="shared" si="100"/>
        <v>35.219999999999985</v>
      </c>
      <c r="AJ3204" s="5">
        <f t="shared" si="101"/>
        <v>0.26397841403087985</v>
      </c>
    </row>
    <row r="3205" spans="1:36">
      <c r="A3205" t="s">
        <v>391</v>
      </c>
      <c r="B3205" t="s">
        <v>3490</v>
      </c>
      <c r="C3205" t="s">
        <v>132</v>
      </c>
      <c r="D3205" t="s">
        <v>60</v>
      </c>
      <c r="E3205" t="s">
        <v>55</v>
      </c>
      <c r="F3205">
        <v>0</v>
      </c>
      <c r="G3205">
        <v>180</v>
      </c>
      <c r="H3205">
        <v>1</v>
      </c>
      <c r="I3205" t="s">
        <v>181</v>
      </c>
      <c r="J3205">
        <v>3</v>
      </c>
      <c r="K3205" s="6">
        <v>10.97</v>
      </c>
      <c r="L3205" t="s">
        <v>174</v>
      </c>
      <c r="M3205">
        <v>0</v>
      </c>
      <c r="N3205" t="s">
        <v>175</v>
      </c>
      <c r="O3205">
        <v>1</v>
      </c>
      <c r="P3205">
        <v>0</v>
      </c>
      <c r="Q3205" s="6">
        <v>41.4</v>
      </c>
      <c r="R3205">
        <v>0</v>
      </c>
      <c r="S3205" s="6">
        <v>0</v>
      </c>
      <c r="T3205">
        <v>0</v>
      </c>
      <c r="U3205" s="6">
        <v>1021</v>
      </c>
      <c r="V3205">
        <v>0</v>
      </c>
      <c r="W3205">
        <v>0</v>
      </c>
      <c r="X3205">
        <v>0</v>
      </c>
      <c r="Y3205" s="6">
        <v>25</v>
      </c>
      <c r="Z3205">
        <v>0.52800000000000002</v>
      </c>
      <c r="AA3205">
        <v>9.7000000000000003E-2</v>
      </c>
      <c r="AB3205">
        <v>8.6999999999999994E-2</v>
      </c>
      <c r="AC3205">
        <v>4</v>
      </c>
      <c r="AD3205" s="6">
        <v>105</v>
      </c>
      <c r="AE3205" s="6">
        <v>0</v>
      </c>
      <c r="AF3205" s="6">
        <v>0</v>
      </c>
      <c r="AG3205" s="6">
        <v>109.05</v>
      </c>
      <c r="AH3205" s="6">
        <v>137.54</v>
      </c>
      <c r="AI3205" s="6">
        <f t="shared" si="100"/>
        <v>28.489999999999995</v>
      </c>
      <c r="AJ3205" s="5">
        <f t="shared" si="101"/>
        <v>0.20713974116620618</v>
      </c>
    </row>
    <row r="3206" spans="1:36">
      <c r="A3206" t="s">
        <v>469</v>
      </c>
      <c r="B3206" t="s">
        <v>3491</v>
      </c>
      <c r="C3206" t="s">
        <v>132</v>
      </c>
      <c r="D3206" t="s">
        <v>60</v>
      </c>
      <c r="E3206" t="s">
        <v>55</v>
      </c>
      <c r="F3206">
        <v>0</v>
      </c>
      <c r="G3206">
        <v>180</v>
      </c>
      <c r="H3206">
        <v>1</v>
      </c>
      <c r="I3206" t="s">
        <v>173</v>
      </c>
      <c r="J3206">
        <v>1</v>
      </c>
      <c r="K3206" s="6">
        <v>1.65</v>
      </c>
      <c r="L3206" t="s">
        <v>200</v>
      </c>
      <c r="M3206">
        <v>1</v>
      </c>
      <c r="N3206" t="s">
        <v>175</v>
      </c>
      <c r="O3206">
        <v>1</v>
      </c>
      <c r="P3206">
        <v>0</v>
      </c>
      <c r="Q3206" s="6">
        <v>40.700000000000003</v>
      </c>
      <c r="R3206">
        <v>1</v>
      </c>
      <c r="S3206" s="6">
        <v>1702</v>
      </c>
      <c r="T3206">
        <v>0</v>
      </c>
      <c r="U3206" s="6">
        <v>4599</v>
      </c>
      <c r="V3206">
        <v>0</v>
      </c>
      <c r="W3206">
        <v>0</v>
      </c>
      <c r="X3206">
        <v>0</v>
      </c>
      <c r="Y3206" s="6">
        <v>25</v>
      </c>
      <c r="Z3206">
        <v>0.52800000000000002</v>
      </c>
      <c r="AA3206">
        <v>9.7000000000000003E-2</v>
      </c>
      <c r="AB3206">
        <v>8.6999999999999994E-2</v>
      </c>
      <c r="AC3206">
        <v>4</v>
      </c>
      <c r="AD3206" s="6">
        <v>130</v>
      </c>
      <c r="AE3206" s="6">
        <v>30</v>
      </c>
      <c r="AF3206" s="6">
        <v>0</v>
      </c>
      <c r="AG3206" s="6">
        <v>92.86</v>
      </c>
      <c r="AH3206" s="6">
        <v>133.22999999999999</v>
      </c>
      <c r="AI3206" s="6">
        <f t="shared" si="100"/>
        <v>40.36999999999999</v>
      </c>
      <c r="AJ3206" s="5">
        <f t="shared" si="101"/>
        <v>0.30300983262028069</v>
      </c>
    </row>
    <row r="3207" spans="1:36">
      <c r="A3207" t="s">
        <v>238</v>
      </c>
      <c r="B3207" t="s">
        <v>3492</v>
      </c>
      <c r="C3207" t="s">
        <v>132</v>
      </c>
      <c r="D3207" t="s">
        <v>60</v>
      </c>
      <c r="E3207" t="s">
        <v>55</v>
      </c>
      <c r="F3207">
        <v>0</v>
      </c>
      <c r="G3207">
        <v>180</v>
      </c>
      <c r="H3207">
        <v>1</v>
      </c>
      <c r="I3207" t="s">
        <v>173</v>
      </c>
      <c r="J3207">
        <v>1</v>
      </c>
      <c r="K3207" s="6">
        <v>1.1000000000000001</v>
      </c>
      <c r="L3207" t="s">
        <v>174</v>
      </c>
      <c r="M3207">
        <v>0</v>
      </c>
      <c r="N3207" t="s">
        <v>175</v>
      </c>
      <c r="O3207">
        <v>1</v>
      </c>
      <c r="P3207">
        <v>0</v>
      </c>
      <c r="Q3207" s="6">
        <v>28.5</v>
      </c>
      <c r="R3207">
        <v>0</v>
      </c>
      <c r="S3207" s="6">
        <v>0</v>
      </c>
      <c r="T3207">
        <v>0</v>
      </c>
      <c r="U3207" s="6">
        <v>2532</v>
      </c>
      <c r="V3207">
        <v>0</v>
      </c>
      <c r="W3207">
        <v>0</v>
      </c>
      <c r="X3207">
        <v>0</v>
      </c>
      <c r="Y3207" s="6">
        <v>25</v>
      </c>
      <c r="Z3207">
        <v>0.52800000000000002</v>
      </c>
      <c r="AA3207">
        <v>9.7000000000000003E-2</v>
      </c>
      <c r="AB3207">
        <v>8.6999999999999994E-2</v>
      </c>
      <c r="AC3207">
        <v>4</v>
      </c>
      <c r="AD3207" s="6">
        <v>65</v>
      </c>
      <c r="AE3207" s="6">
        <v>0</v>
      </c>
      <c r="AF3207" s="6">
        <v>0</v>
      </c>
      <c r="AG3207" s="6">
        <v>53.61</v>
      </c>
      <c r="AH3207" s="6">
        <v>71.09</v>
      </c>
      <c r="AI3207" s="6">
        <f t="shared" si="100"/>
        <v>17.480000000000004</v>
      </c>
      <c r="AJ3207" s="5">
        <f t="shared" si="101"/>
        <v>0.24588549725699821</v>
      </c>
    </row>
    <row r="3208" spans="1:36">
      <c r="A3208" t="s">
        <v>212</v>
      </c>
      <c r="B3208" t="s">
        <v>3493</v>
      </c>
      <c r="C3208" t="s">
        <v>132</v>
      </c>
      <c r="D3208" t="s">
        <v>60</v>
      </c>
      <c r="E3208" t="s">
        <v>55</v>
      </c>
      <c r="F3208">
        <v>0</v>
      </c>
      <c r="G3208">
        <v>180</v>
      </c>
      <c r="H3208">
        <v>1.22</v>
      </c>
      <c r="I3208" t="s">
        <v>220</v>
      </c>
      <c r="J3208">
        <v>2</v>
      </c>
      <c r="K3208" s="6">
        <v>2.34</v>
      </c>
      <c r="L3208" t="s">
        <v>200</v>
      </c>
      <c r="M3208">
        <v>1</v>
      </c>
      <c r="N3208" t="s">
        <v>175</v>
      </c>
      <c r="O3208">
        <v>1</v>
      </c>
      <c r="P3208">
        <v>0</v>
      </c>
      <c r="Q3208" s="6">
        <v>28.5</v>
      </c>
      <c r="R3208">
        <v>0</v>
      </c>
      <c r="S3208" s="6">
        <v>0</v>
      </c>
      <c r="T3208">
        <v>0</v>
      </c>
      <c r="U3208" s="6">
        <v>2048</v>
      </c>
      <c r="V3208">
        <v>0</v>
      </c>
      <c r="W3208">
        <v>0</v>
      </c>
      <c r="X3208">
        <v>0</v>
      </c>
      <c r="Y3208" s="6">
        <v>25</v>
      </c>
      <c r="Z3208">
        <v>0.52800000000000002</v>
      </c>
      <c r="AA3208">
        <v>9.7000000000000003E-2</v>
      </c>
      <c r="AB3208">
        <v>8.6999999999999994E-2</v>
      </c>
      <c r="AC3208">
        <v>4</v>
      </c>
      <c r="AD3208" s="6">
        <v>160</v>
      </c>
      <c r="AE3208" s="6">
        <v>0</v>
      </c>
      <c r="AF3208" s="6">
        <v>0</v>
      </c>
      <c r="AG3208" s="6">
        <v>100.3</v>
      </c>
      <c r="AH3208" s="6">
        <v>163.19999999999999</v>
      </c>
      <c r="AI3208" s="6">
        <f t="shared" si="100"/>
        <v>62.899999999999991</v>
      </c>
      <c r="AJ3208" s="5">
        <f t="shared" si="101"/>
        <v>0.38541666666666663</v>
      </c>
    </row>
    <row r="3209" spans="1:36">
      <c r="A3209" t="s">
        <v>411</v>
      </c>
      <c r="B3209" t="s">
        <v>3494</v>
      </c>
      <c r="C3209" t="s">
        <v>132</v>
      </c>
      <c r="D3209" t="s">
        <v>60</v>
      </c>
      <c r="E3209" t="s">
        <v>55</v>
      </c>
      <c r="F3209">
        <v>0</v>
      </c>
      <c r="G3209">
        <v>180</v>
      </c>
      <c r="H3209">
        <v>1.22</v>
      </c>
      <c r="I3209" t="s">
        <v>173</v>
      </c>
      <c r="J3209">
        <v>1</v>
      </c>
      <c r="K3209" s="6">
        <v>1.73</v>
      </c>
      <c r="L3209" t="s">
        <v>200</v>
      </c>
      <c r="M3209">
        <v>1</v>
      </c>
      <c r="N3209" t="s">
        <v>175</v>
      </c>
      <c r="O3209">
        <v>1</v>
      </c>
      <c r="P3209">
        <v>0</v>
      </c>
      <c r="Q3209" s="6">
        <v>30.5</v>
      </c>
      <c r="R3209">
        <v>0</v>
      </c>
      <c r="S3209" s="6">
        <v>0</v>
      </c>
      <c r="T3209">
        <v>0</v>
      </c>
      <c r="U3209" s="6">
        <v>3104</v>
      </c>
      <c r="V3209">
        <v>0</v>
      </c>
      <c r="W3209">
        <v>0</v>
      </c>
      <c r="X3209">
        <v>0</v>
      </c>
      <c r="Y3209" s="6">
        <v>25</v>
      </c>
      <c r="Z3209">
        <v>0.52800000000000002</v>
      </c>
      <c r="AA3209">
        <v>9.7000000000000003E-2</v>
      </c>
      <c r="AB3209">
        <v>8.6999999999999994E-2</v>
      </c>
      <c r="AC3209">
        <v>4</v>
      </c>
      <c r="AD3209" s="6">
        <v>130</v>
      </c>
      <c r="AE3209" s="6">
        <v>0</v>
      </c>
      <c r="AF3209" s="6">
        <v>0</v>
      </c>
      <c r="AG3209" s="6">
        <v>90.48</v>
      </c>
      <c r="AH3209" s="6">
        <v>130.41999999999999</v>
      </c>
      <c r="AI3209" s="6">
        <f t="shared" si="100"/>
        <v>39.939999999999984</v>
      </c>
      <c r="AJ3209" s="5">
        <f t="shared" si="101"/>
        <v>0.3062413740223891</v>
      </c>
    </row>
    <row r="3210" spans="1:36">
      <c r="A3210" t="s">
        <v>355</v>
      </c>
      <c r="B3210" t="s">
        <v>3495</v>
      </c>
      <c r="C3210" t="s">
        <v>132</v>
      </c>
      <c r="D3210" t="s">
        <v>60</v>
      </c>
      <c r="E3210" t="s">
        <v>55</v>
      </c>
      <c r="F3210">
        <v>0</v>
      </c>
      <c r="G3210">
        <v>180</v>
      </c>
      <c r="H3210">
        <v>1.22</v>
      </c>
      <c r="I3210" t="s">
        <v>181</v>
      </c>
      <c r="J3210">
        <v>3</v>
      </c>
      <c r="K3210" s="6">
        <v>7.64</v>
      </c>
      <c r="L3210" t="s">
        <v>200</v>
      </c>
      <c r="M3210">
        <v>1</v>
      </c>
      <c r="N3210" t="s">
        <v>182</v>
      </c>
      <c r="O3210">
        <v>3</v>
      </c>
      <c r="P3210">
        <v>1</v>
      </c>
      <c r="Q3210" s="6">
        <v>88.5</v>
      </c>
      <c r="R3210">
        <v>0</v>
      </c>
      <c r="S3210" s="6">
        <v>0</v>
      </c>
      <c r="T3210">
        <v>0</v>
      </c>
      <c r="U3210" s="6">
        <v>583</v>
      </c>
      <c r="V3210">
        <v>0</v>
      </c>
      <c r="W3210">
        <v>0</v>
      </c>
      <c r="X3210">
        <v>0</v>
      </c>
      <c r="Y3210" s="6">
        <v>25</v>
      </c>
      <c r="Z3210">
        <v>0.52800000000000002</v>
      </c>
      <c r="AA3210">
        <v>9.7000000000000003E-2</v>
      </c>
      <c r="AB3210">
        <v>8.6999999999999994E-2</v>
      </c>
      <c r="AC3210">
        <v>4</v>
      </c>
      <c r="AD3210" s="6">
        <v>210</v>
      </c>
      <c r="AE3210" s="6">
        <v>0</v>
      </c>
      <c r="AF3210" s="6">
        <v>0</v>
      </c>
      <c r="AG3210" s="6">
        <v>167.03</v>
      </c>
      <c r="AH3210" s="6">
        <v>213.03</v>
      </c>
      <c r="AI3210" s="6">
        <f t="shared" si="100"/>
        <v>46</v>
      </c>
      <c r="AJ3210" s="5">
        <f t="shared" si="101"/>
        <v>0.21593202835281416</v>
      </c>
    </row>
    <row r="3211" spans="1:36">
      <c r="A3211" t="s">
        <v>249</v>
      </c>
      <c r="B3211" t="s">
        <v>3496</v>
      </c>
      <c r="C3211" t="s">
        <v>132</v>
      </c>
      <c r="D3211" t="s">
        <v>60</v>
      </c>
      <c r="E3211" t="s">
        <v>55</v>
      </c>
      <c r="F3211">
        <v>0</v>
      </c>
      <c r="G3211">
        <v>180</v>
      </c>
      <c r="H3211">
        <v>1</v>
      </c>
      <c r="I3211" t="s">
        <v>220</v>
      </c>
      <c r="J3211">
        <v>2</v>
      </c>
      <c r="K3211" s="6">
        <v>4.37</v>
      </c>
      <c r="L3211" t="s">
        <v>174</v>
      </c>
      <c r="M3211">
        <v>0</v>
      </c>
      <c r="N3211" t="s">
        <v>175</v>
      </c>
      <c r="O3211">
        <v>1</v>
      </c>
      <c r="P3211">
        <v>0</v>
      </c>
      <c r="Q3211" s="6">
        <v>47.4</v>
      </c>
      <c r="R3211">
        <v>0</v>
      </c>
      <c r="S3211" s="6">
        <v>0</v>
      </c>
      <c r="T3211">
        <v>0</v>
      </c>
      <c r="U3211" s="6">
        <v>2513</v>
      </c>
      <c r="V3211">
        <v>0</v>
      </c>
      <c r="W3211">
        <v>0</v>
      </c>
      <c r="X3211">
        <v>0</v>
      </c>
      <c r="Y3211" s="6">
        <v>25</v>
      </c>
      <c r="Z3211">
        <v>0.52800000000000002</v>
      </c>
      <c r="AA3211">
        <v>9.7000000000000003E-2</v>
      </c>
      <c r="AB3211">
        <v>8.6999999999999994E-2</v>
      </c>
      <c r="AC3211">
        <v>4</v>
      </c>
      <c r="AD3211" s="6">
        <v>70</v>
      </c>
      <c r="AE3211" s="6">
        <v>0</v>
      </c>
      <c r="AF3211" s="6">
        <v>0</v>
      </c>
      <c r="AG3211" s="6">
        <v>74.52</v>
      </c>
      <c r="AH3211" s="6">
        <v>94.33</v>
      </c>
      <c r="AI3211" s="6">
        <f t="shared" si="100"/>
        <v>19.810000000000002</v>
      </c>
      <c r="AJ3211" s="5">
        <f t="shared" si="101"/>
        <v>0.21000742075691722</v>
      </c>
    </row>
    <row r="3212" spans="1:36">
      <c r="A3212" t="s">
        <v>251</v>
      </c>
      <c r="B3212" t="s">
        <v>3497</v>
      </c>
      <c r="C3212" t="s">
        <v>132</v>
      </c>
      <c r="D3212" t="s">
        <v>60</v>
      </c>
      <c r="E3212" t="s">
        <v>55</v>
      </c>
      <c r="F3212">
        <v>0</v>
      </c>
      <c r="G3212">
        <v>180</v>
      </c>
      <c r="H3212">
        <v>1</v>
      </c>
      <c r="I3212" t="s">
        <v>173</v>
      </c>
      <c r="J3212">
        <v>1</v>
      </c>
      <c r="K3212" s="6">
        <v>2.92</v>
      </c>
      <c r="L3212" t="s">
        <v>174</v>
      </c>
      <c r="M3212">
        <v>0</v>
      </c>
      <c r="N3212" t="s">
        <v>187</v>
      </c>
      <c r="O3212">
        <v>2</v>
      </c>
      <c r="P3212">
        <v>0</v>
      </c>
      <c r="Q3212" s="6">
        <v>89.8</v>
      </c>
      <c r="R3212">
        <v>0</v>
      </c>
      <c r="S3212" s="6">
        <v>0</v>
      </c>
      <c r="T3212">
        <v>0</v>
      </c>
      <c r="U3212" s="6">
        <v>1799</v>
      </c>
      <c r="V3212">
        <v>0</v>
      </c>
      <c r="W3212">
        <v>0</v>
      </c>
      <c r="X3212">
        <v>0</v>
      </c>
      <c r="Y3212" s="6">
        <v>25</v>
      </c>
      <c r="Z3212">
        <v>0.52800000000000002</v>
      </c>
      <c r="AA3212">
        <v>9.7000000000000003E-2</v>
      </c>
      <c r="AB3212">
        <v>8.6999999999999994E-2</v>
      </c>
      <c r="AC3212">
        <v>4</v>
      </c>
      <c r="AD3212" s="6">
        <v>65</v>
      </c>
      <c r="AE3212" s="6">
        <v>0</v>
      </c>
      <c r="AF3212" s="6">
        <v>0</v>
      </c>
      <c r="AG3212" s="6">
        <v>67.739999999999995</v>
      </c>
      <c r="AH3212" s="6">
        <v>86.23</v>
      </c>
      <c r="AI3212" s="6">
        <f t="shared" si="100"/>
        <v>18.490000000000009</v>
      </c>
      <c r="AJ3212" s="5">
        <f t="shared" si="101"/>
        <v>0.21442653368897144</v>
      </c>
    </row>
    <row r="3213" spans="1:36">
      <c r="A3213" t="s">
        <v>434</v>
      </c>
      <c r="B3213" t="s">
        <v>3498</v>
      </c>
      <c r="C3213" t="s">
        <v>132</v>
      </c>
      <c r="D3213" t="s">
        <v>60</v>
      </c>
      <c r="E3213" t="s">
        <v>55</v>
      </c>
      <c r="F3213">
        <v>0</v>
      </c>
      <c r="G3213">
        <v>180</v>
      </c>
      <c r="H3213">
        <v>1</v>
      </c>
      <c r="I3213" t="s">
        <v>173</v>
      </c>
      <c r="J3213">
        <v>1</v>
      </c>
      <c r="K3213" s="6">
        <v>3.16</v>
      </c>
      <c r="L3213" t="s">
        <v>200</v>
      </c>
      <c r="M3213">
        <v>1</v>
      </c>
      <c r="N3213" t="s">
        <v>187</v>
      </c>
      <c r="O3213">
        <v>2</v>
      </c>
      <c r="P3213">
        <v>0</v>
      </c>
      <c r="Q3213" s="6">
        <v>54.3</v>
      </c>
      <c r="R3213">
        <v>0</v>
      </c>
      <c r="S3213" s="6">
        <v>0</v>
      </c>
      <c r="T3213">
        <v>0</v>
      </c>
      <c r="U3213" s="6">
        <v>1613</v>
      </c>
      <c r="V3213">
        <v>1</v>
      </c>
      <c r="W3213">
        <v>0</v>
      </c>
      <c r="X3213">
        <v>0</v>
      </c>
      <c r="Y3213" s="6">
        <v>25</v>
      </c>
      <c r="Z3213">
        <v>0.52800000000000002</v>
      </c>
      <c r="AA3213">
        <v>9.7000000000000003E-2</v>
      </c>
      <c r="AB3213">
        <v>8.6999999999999994E-2</v>
      </c>
      <c r="AC3213">
        <v>4</v>
      </c>
      <c r="AD3213" s="6">
        <v>130</v>
      </c>
      <c r="AE3213" s="6">
        <v>0</v>
      </c>
      <c r="AF3213" s="6">
        <v>0</v>
      </c>
      <c r="AG3213" s="6">
        <v>135.37</v>
      </c>
      <c r="AH3213" s="6">
        <v>171.75</v>
      </c>
      <c r="AI3213" s="6">
        <f t="shared" si="100"/>
        <v>36.379999999999995</v>
      </c>
      <c r="AJ3213" s="5">
        <f t="shared" si="101"/>
        <v>0.21181950509461425</v>
      </c>
    </row>
    <row r="3214" spans="1:36">
      <c r="A3214" t="s">
        <v>210</v>
      </c>
      <c r="B3214" t="s">
        <v>3499</v>
      </c>
      <c r="C3214" t="s">
        <v>132</v>
      </c>
      <c r="D3214" t="s">
        <v>60</v>
      </c>
      <c r="E3214" t="s">
        <v>55</v>
      </c>
      <c r="F3214">
        <v>0</v>
      </c>
      <c r="G3214">
        <v>180</v>
      </c>
      <c r="H3214">
        <v>1</v>
      </c>
      <c r="I3214" t="s">
        <v>173</v>
      </c>
      <c r="J3214">
        <v>1</v>
      </c>
      <c r="K3214" s="6">
        <v>1.88</v>
      </c>
      <c r="L3214" t="s">
        <v>200</v>
      </c>
      <c r="M3214">
        <v>1</v>
      </c>
      <c r="N3214" t="s">
        <v>175</v>
      </c>
      <c r="O3214">
        <v>1</v>
      </c>
      <c r="P3214">
        <v>0</v>
      </c>
      <c r="Q3214" s="6">
        <v>39.1</v>
      </c>
      <c r="R3214">
        <v>1</v>
      </c>
      <c r="S3214" s="6">
        <v>662</v>
      </c>
      <c r="T3214">
        <v>0</v>
      </c>
      <c r="U3214" s="6">
        <v>1870</v>
      </c>
      <c r="V3214">
        <v>0</v>
      </c>
      <c r="W3214">
        <v>0</v>
      </c>
      <c r="X3214">
        <v>0</v>
      </c>
      <c r="Y3214" s="6">
        <v>25</v>
      </c>
      <c r="Z3214">
        <v>0.52800000000000002</v>
      </c>
      <c r="AA3214">
        <v>9.7000000000000003E-2</v>
      </c>
      <c r="AB3214">
        <v>8.6999999999999994E-2</v>
      </c>
      <c r="AC3214">
        <v>4</v>
      </c>
      <c r="AD3214" s="6">
        <v>130</v>
      </c>
      <c r="AE3214" s="6">
        <v>30</v>
      </c>
      <c r="AF3214" s="6">
        <v>0</v>
      </c>
      <c r="AG3214" s="6">
        <v>86.16</v>
      </c>
      <c r="AH3214" s="6">
        <v>133.35</v>
      </c>
      <c r="AI3214" s="6">
        <f t="shared" si="100"/>
        <v>47.19</v>
      </c>
      <c r="AJ3214" s="5">
        <f t="shared" si="101"/>
        <v>0.35388076490438697</v>
      </c>
    </row>
    <row r="3215" spans="1:36">
      <c r="A3215" t="s">
        <v>353</v>
      </c>
      <c r="B3215" t="s">
        <v>3500</v>
      </c>
      <c r="C3215" t="s">
        <v>132</v>
      </c>
      <c r="D3215" t="s">
        <v>60</v>
      </c>
      <c r="E3215" t="s">
        <v>55</v>
      </c>
      <c r="F3215">
        <v>0</v>
      </c>
      <c r="G3215">
        <v>180</v>
      </c>
      <c r="H3215">
        <v>1.22</v>
      </c>
      <c r="I3215" t="s">
        <v>173</v>
      </c>
      <c r="J3215">
        <v>1</v>
      </c>
      <c r="K3215" s="6">
        <v>2.37</v>
      </c>
      <c r="L3215" t="s">
        <v>200</v>
      </c>
      <c r="M3215">
        <v>1</v>
      </c>
      <c r="N3215" t="s">
        <v>187</v>
      </c>
      <c r="O3215">
        <v>2</v>
      </c>
      <c r="P3215">
        <v>0</v>
      </c>
      <c r="Q3215" s="6">
        <v>32.299999999999997</v>
      </c>
      <c r="R3215">
        <v>1</v>
      </c>
      <c r="S3215" s="6">
        <v>2543</v>
      </c>
      <c r="T3215">
        <v>0</v>
      </c>
      <c r="U3215" s="6">
        <v>1813</v>
      </c>
      <c r="V3215">
        <v>0</v>
      </c>
      <c r="W3215">
        <v>0</v>
      </c>
      <c r="X3215">
        <v>0</v>
      </c>
      <c r="Y3215" s="6">
        <v>25</v>
      </c>
      <c r="Z3215">
        <v>0.52800000000000002</v>
      </c>
      <c r="AA3215">
        <v>9.7000000000000003E-2</v>
      </c>
      <c r="AB3215">
        <v>8.6999999999999994E-2</v>
      </c>
      <c r="AC3215">
        <v>4</v>
      </c>
      <c r="AD3215" s="6">
        <v>130</v>
      </c>
      <c r="AE3215" s="6">
        <v>50</v>
      </c>
      <c r="AF3215" s="6">
        <v>0</v>
      </c>
      <c r="AG3215" s="6">
        <v>100.44</v>
      </c>
      <c r="AH3215" s="6">
        <v>134.27000000000001</v>
      </c>
      <c r="AI3215" s="6">
        <f t="shared" si="100"/>
        <v>33.830000000000013</v>
      </c>
      <c r="AJ3215" s="5">
        <f t="shared" si="101"/>
        <v>0.25195501601251219</v>
      </c>
    </row>
    <row r="3216" spans="1:36">
      <c r="A3216" t="s">
        <v>293</v>
      </c>
      <c r="B3216" t="s">
        <v>3501</v>
      </c>
      <c r="C3216" t="s">
        <v>132</v>
      </c>
      <c r="D3216" t="s">
        <v>60</v>
      </c>
      <c r="E3216" t="s">
        <v>55</v>
      </c>
      <c r="F3216">
        <v>0</v>
      </c>
      <c r="G3216">
        <v>180</v>
      </c>
      <c r="H3216">
        <v>1.22</v>
      </c>
      <c r="I3216" t="s">
        <v>220</v>
      </c>
      <c r="J3216">
        <v>2</v>
      </c>
      <c r="K3216" s="6">
        <v>4.1399999999999997</v>
      </c>
      <c r="L3216" t="s">
        <v>174</v>
      </c>
      <c r="M3216">
        <v>0</v>
      </c>
      <c r="N3216" t="s">
        <v>175</v>
      </c>
      <c r="O3216">
        <v>1</v>
      </c>
      <c r="P3216">
        <v>0</v>
      </c>
      <c r="Q3216" s="6">
        <v>41.8</v>
      </c>
      <c r="R3216">
        <v>0</v>
      </c>
      <c r="S3216" s="6">
        <v>0</v>
      </c>
      <c r="T3216">
        <v>0</v>
      </c>
      <c r="U3216" s="6">
        <v>2374</v>
      </c>
      <c r="V3216">
        <v>0</v>
      </c>
      <c r="W3216">
        <v>0</v>
      </c>
      <c r="X3216">
        <v>0</v>
      </c>
      <c r="Y3216" s="6">
        <v>25</v>
      </c>
      <c r="Z3216">
        <v>0.52800000000000002</v>
      </c>
      <c r="AA3216">
        <v>9.7000000000000003E-2</v>
      </c>
      <c r="AB3216">
        <v>8.6999999999999994E-2</v>
      </c>
      <c r="AC3216">
        <v>4</v>
      </c>
      <c r="AD3216" s="6">
        <v>70</v>
      </c>
      <c r="AE3216" s="6">
        <v>0</v>
      </c>
      <c r="AF3216" s="6">
        <v>0</v>
      </c>
      <c r="AG3216" s="6">
        <v>71.72</v>
      </c>
      <c r="AH3216" s="6">
        <v>93.21</v>
      </c>
      <c r="AI3216" s="6">
        <f t="shared" si="100"/>
        <v>21.489999999999995</v>
      </c>
      <c r="AJ3216" s="5">
        <f t="shared" si="101"/>
        <v>0.23055466151700457</v>
      </c>
    </row>
    <row r="3217" spans="1:36">
      <c r="A3217" t="s">
        <v>212</v>
      </c>
      <c r="B3217" t="s">
        <v>3502</v>
      </c>
      <c r="C3217" t="s">
        <v>132</v>
      </c>
      <c r="D3217" t="s">
        <v>60</v>
      </c>
      <c r="E3217" t="s">
        <v>55</v>
      </c>
      <c r="F3217">
        <v>0</v>
      </c>
      <c r="G3217">
        <v>180</v>
      </c>
      <c r="H3217">
        <v>1.22</v>
      </c>
      <c r="I3217" t="s">
        <v>220</v>
      </c>
      <c r="J3217">
        <v>2</v>
      </c>
      <c r="K3217" s="6">
        <v>3.47</v>
      </c>
      <c r="L3217" t="s">
        <v>174</v>
      </c>
      <c r="M3217">
        <v>0</v>
      </c>
      <c r="N3217" t="s">
        <v>175</v>
      </c>
      <c r="O3217">
        <v>1</v>
      </c>
      <c r="P3217">
        <v>0</v>
      </c>
      <c r="Q3217" s="6">
        <v>28.8</v>
      </c>
      <c r="R3217">
        <v>1</v>
      </c>
      <c r="S3217" s="6">
        <v>1599</v>
      </c>
      <c r="T3217">
        <v>0</v>
      </c>
      <c r="U3217" s="6">
        <v>3100</v>
      </c>
      <c r="V3217">
        <v>0</v>
      </c>
      <c r="W3217">
        <v>1</v>
      </c>
      <c r="X3217">
        <v>0</v>
      </c>
      <c r="Y3217" s="6">
        <v>25</v>
      </c>
      <c r="Z3217">
        <v>0.52800000000000002</v>
      </c>
      <c r="AA3217">
        <v>9.7000000000000003E-2</v>
      </c>
      <c r="AB3217">
        <v>8.6999999999999994E-2</v>
      </c>
      <c r="AC3217">
        <v>4</v>
      </c>
      <c r="AD3217" s="6">
        <v>70</v>
      </c>
      <c r="AE3217" s="6">
        <v>30</v>
      </c>
      <c r="AF3217" s="6">
        <v>0</v>
      </c>
      <c r="AG3217" s="6">
        <v>106.46</v>
      </c>
      <c r="AH3217" s="6">
        <v>137.68</v>
      </c>
      <c r="AI3217" s="6">
        <f t="shared" si="100"/>
        <v>31.220000000000013</v>
      </c>
      <c r="AJ3217" s="5">
        <f t="shared" si="101"/>
        <v>0.2267576990122023</v>
      </c>
    </row>
    <row r="3218" spans="1:36">
      <c r="A3218" t="s">
        <v>212</v>
      </c>
      <c r="B3218" t="s">
        <v>3503</v>
      </c>
      <c r="C3218" t="s">
        <v>132</v>
      </c>
      <c r="D3218" t="s">
        <v>60</v>
      </c>
      <c r="E3218" t="s">
        <v>55</v>
      </c>
      <c r="F3218">
        <v>0</v>
      </c>
      <c r="G3218">
        <v>180</v>
      </c>
      <c r="H3218">
        <v>1.22</v>
      </c>
      <c r="I3218" t="s">
        <v>173</v>
      </c>
      <c r="J3218">
        <v>1</v>
      </c>
      <c r="K3218" s="6">
        <v>1.17</v>
      </c>
      <c r="L3218" t="s">
        <v>174</v>
      </c>
      <c r="M3218">
        <v>0</v>
      </c>
      <c r="N3218" t="s">
        <v>175</v>
      </c>
      <c r="O3218">
        <v>1</v>
      </c>
      <c r="P3218">
        <v>0</v>
      </c>
      <c r="Q3218" s="6">
        <v>21.2</v>
      </c>
      <c r="R3218">
        <v>0</v>
      </c>
      <c r="S3218" s="6">
        <v>0</v>
      </c>
      <c r="T3218">
        <v>0</v>
      </c>
      <c r="U3218" s="6">
        <v>1418</v>
      </c>
      <c r="V3218">
        <v>0</v>
      </c>
      <c r="W3218">
        <v>0</v>
      </c>
      <c r="X3218">
        <v>0</v>
      </c>
      <c r="Y3218" s="6">
        <v>25</v>
      </c>
      <c r="Z3218">
        <v>0.52800000000000002</v>
      </c>
      <c r="AA3218">
        <v>9.7000000000000003E-2</v>
      </c>
      <c r="AB3218">
        <v>8.6999999999999994E-2</v>
      </c>
      <c r="AC3218">
        <v>4</v>
      </c>
      <c r="AD3218" s="6">
        <v>65</v>
      </c>
      <c r="AE3218" s="6">
        <v>0</v>
      </c>
      <c r="AF3218" s="6">
        <v>0</v>
      </c>
      <c r="AG3218" s="6">
        <v>62.45</v>
      </c>
      <c r="AH3218" s="6">
        <v>81.819999999999993</v>
      </c>
      <c r="AI3218" s="6">
        <f t="shared" si="100"/>
        <v>19.36999999999999</v>
      </c>
      <c r="AJ3218" s="5">
        <f t="shared" si="101"/>
        <v>0.23673918357369828</v>
      </c>
    </row>
    <row r="3219" spans="1:36">
      <c r="A3219" t="s">
        <v>313</v>
      </c>
      <c r="B3219" t="s">
        <v>3504</v>
      </c>
      <c r="C3219" t="s">
        <v>132</v>
      </c>
      <c r="D3219" t="s">
        <v>60</v>
      </c>
      <c r="E3219" t="s">
        <v>55</v>
      </c>
      <c r="F3219">
        <v>0</v>
      </c>
      <c r="G3219">
        <v>180</v>
      </c>
      <c r="H3219">
        <v>1.22</v>
      </c>
      <c r="I3219" t="s">
        <v>173</v>
      </c>
      <c r="J3219">
        <v>1</v>
      </c>
      <c r="K3219" s="6">
        <v>1.66</v>
      </c>
      <c r="L3219" t="s">
        <v>200</v>
      </c>
      <c r="M3219">
        <v>1</v>
      </c>
      <c r="N3219" t="s">
        <v>182</v>
      </c>
      <c r="O3219">
        <v>3</v>
      </c>
      <c r="P3219">
        <v>0</v>
      </c>
      <c r="Q3219" s="6">
        <v>85.5</v>
      </c>
      <c r="R3219">
        <v>0</v>
      </c>
      <c r="S3219" s="6">
        <v>0</v>
      </c>
      <c r="T3219">
        <v>0</v>
      </c>
      <c r="U3219" s="6">
        <v>2775</v>
      </c>
      <c r="V3219">
        <v>0</v>
      </c>
      <c r="W3219">
        <v>0</v>
      </c>
      <c r="X3219">
        <v>0</v>
      </c>
      <c r="Y3219" s="6">
        <v>25</v>
      </c>
      <c r="Z3219">
        <v>0.52800000000000002</v>
      </c>
      <c r="AA3219">
        <v>9.7000000000000003E-2</v>
      </c>
      <c r="AB3219">
        <v>8.6999999999999994E-2</v>
      </c>
      <c r="AC3219">
        <v>4</v>
      </c>
      <c r="AD3219" s="6">
        <v>130</v>
      </c>
      <c r="AE3219" s="6">
        <v>0</v>
      </c>
      <c r="AF3219" s="6">
        <v>0</v>
      </c>
      <c r="AG3219" s="6">
        <v>98.41</v>
      </c>
      <c r="AH3219" s="6">
        <v>130.75</v>
      </c>
      <c r="AI3219" s="6">
        <f t="shared" si="100"/>
        <v>32.340000000000003</v>
      </c>
      <c r="AJ3219" s="5">
        <f t="shared" si="101"/>
        <v>0.24734225621414915</v>
      </c>
    </row>
    <row r="3220" spans="1:36">
      <c r="A3220" t="s">
        <v>277</v>
      </c>
      <c r="B3220" t="s">
        <v>3505</v>
      </c>
      <c r="C3220" t="s">
        <v>132</v>
      </c>
      <c r="D3220" t="s">
        <v>60</v>
      </c>
      <c r="E3220" t="s">
        <v>55</v>
      </c>
      <c r="F3220">
        <v>0</v>
      </c>
      <c r="G3220">
        <v>180</v>
      </c>
      <c r="H3220">
        <v>1.22</v>
      </c>
      <c r="I3220" t="s">
        <v>173</v>
      </c>
      <c r="J3220">
        <v>1</v>
      </c>
      <c r="K3220" s="6">
        <v>1.42</v>
      </c>
      <c r="L3220" t="s">
        <v>174</v>
      </c>
      <c r="M3220">
        <v>0</v>
      </c>
      <c r="N3220" t="s">
        <v>175</v>
      </c>
      <c r="O3220">
        <v>1</v>
      </c>
      <c r="P3220">
        <v>0</v>
      </c>
      <c r="Q3220" s="6">
        <v>39.6</v>
      </c>
      <c r="R3220">
        <v>0</v>
      </c>
      <c r="S3220" s="6">
        <v>0</v>
      </c>
      <c r="T3220">
        <v>0</v>
      </c>
      <c r="U3220" s="6">
        <v>1244</v>
      </c>
      <c r="V3220">
        <v>0</v>
      </c>
      <c r="W3220">
        <v>0</v>
      </c>
      <c r="X3220">
        <v>0</v>
      </c>
      <c r="Y3220" s="6">
        <v>25</v>
      </c>
      <c r="Z3220">
        <v>0.52800000000000002</v>
      </c>
      <c r="AA3220">
        <v>9.7000000000000003E-2</v>
      </c>
      <c r="AB3220">
        <v>8.6999999999999994E-2</v>
      </c>
      <c r="AC3220">
        <v>4</v>
      </c>
      <c r="AD3220" s="6">
        <v>65</v>
      </c>
      <c r="AE3220" s="6">
        <v>0</v>
      </c>
      <c r="AF3220" s="6">
        <v>0</v>
      </c>
      <c r="AG3220" s="6">
        <v>62.13</v>
      </c>
      <c r="AH3220" s="6">
        <v>82.22</v>
      </c>
      <c r="AI3220" s="6">
        <f t="shared" si="100"/>
        <v>20.089999999999996</v>
      </c>
      <c r="AJ3220" s="5">
        <f t="shared" si="101"/>
        <v>0.24434444174166864</v>
      </c>
    </row>
    <row r="3221" spans="1:36">
      <c r="A3221" t="s">
        <v>251</v>
      </c>
      <c r="B3221" t="s">
        <v>3506</v>
      </c>
      <c r="C3221" t="s">
        <v>132</v>
      </c>
      <c r="D3221" t="s">
        <v>60</v>
      </c>
      <c r="E3221" t="s">
        <v>55</v>
      </c>
      <c r="F3221">
        <v>0</v>
      </c>
      <c r="G3221">
        <v>180</v>
      </c>
      <c r="H3221">
        <v>1</v>
      </c>
      <c r="I3221" t="s">
        <v>173</v>
      </c>
      <c r="J3221">
        <v>1</v>
      </c>
      <c r="K3221" s="6">
        <v>1.87</v>
      </c>
      <c r="L3221" t="s">
        <v>200</v>
      </c>
      <c r="M3221">
        <v>1</v>
      </c>
      <c r="N3221" t="s">
        <v>175</v>
      </c>
      <c r="O3221">
        <v>1</v>
      </c>
      <c r="P3221">
        <v>0</v>
      </c>
      <c r="Q3221" s="6">
        <v>52.2</v>
      </c>
      <c r="R3221">
        <v>1</v>
      </c>
      <c r="S3221" s="6">
        <v>1474</v>
      </c>
      <c r="T3221">
        <v>0</v>
      </c>
      <c r="U3221" s="6">
        <v>1502</v>
      </c>
      <c r="V3221">
        <v>0</v>
      </c>
      <c r="W3221">
        <v>0</v>
      </c>
      <c r="X3221">
        <v>0</v>
      </c>
      <c r="Y3221" s="6">
        <v>25</v>
      </c>
      <c r="Z3221">
        <v>0.52800000000000002</v>
      </c>
      <c r="AA3221">
        <v>9.7000000000000003E-2</v>
      </c>
      <c r="AB3221">
        <v>8.6999999999999994E-2</v>
      </c>
      <c r="AC3221">
        <v>4</v>
      </c>
      <c r="AD3221" s="6">
        <v>130</v>
      </c>
      <c r="AE3221" s="6">
        <v>30</v>
      </c>
      <c r="AF3221" s="6">
        <v>0</v>
      </c>
      <c r="AG3221" s="6">
        <v>92.1</v>
      </c>
      <c r="AH3221" s="6">
        <v>132.19999999999999</v>
      </c>
      <c r="AI3221" s="6">
        <f t="shared" si="100"/>
        <v>40.099999999999994</v>
      </c>
      <c r="AJ3221" s="5">
        <f t="shared" si="101"/>
        <v>0.30332829046898635</v>
      </c>
    </row>
    <row r="3222" spans="1:36">
      <c r="A3222" t="s">
        <v>245</v>
      </c>
      <c r="B3222" t="s">
        <v>3507</v>
      </c>
      <c r="C3222" t="s">
        <v>132</v>
      </c>
      <c r="D3222" t="s">
        <v>60</v>
      </c>
      <c r="E3222" t="s">
        <v>55</v>
      </c>
      <c r="F3222">
        <v>0</v>
      </c>
      <c r="G3222">
        <v>180</v>
      </c>
      <c r="H3222">
        <v>1.22</v>
      </c>
      <c r="I3222" t="s">
        <v>173</v>
      </c>
      <c r="J3222">
        <v>1</v>
      </c>
      <c r="K3222" s="6">
        <v>1.67</v>
      </c>
      <c r="L3222" t="s">
        <v>174</v>
      </c>
      <c r="M3222">
        <v>0</v>
      </c>
      <c r="N3222" t="s">
        <v>175</v>
      </c>
      <c r="O3222">
        <v>1</v>
      </c>
      <c r="P3222">
        <v>0</v>
      </c>
      <c r="Q3222" s="6">
        <v>32.4</v>
      </c>
      <c r="R3222">
        <v>0</v>
      </c>
      <c r="S3222" s="6">
        <v>0</v>
      </c>
      <c r="T3222">
        <v>0</v>
      </c>
      <c r="U3222" s="6">
        <v>626</v>
      </c>
      <c r="V3222">
        <v>0</v>
      </c>
      <c r="W3222">
        <v>0</v>
      </c>
      <c r="X3222">
        <v>0</v>
      </c>
      <c r="Y3222" s="6">
        <v>25</v>
      </c>
      <c r="Z3222">
        <v>0.52800000000000002</v>
      </c>
      <c r="AA3222">
        <v>9.7000000000000003E-2</v>
      </c>
      <c r="AB3222">
        <v>8.6999999999999994E-2</v>
      </c>
      <c r="AC3222">
        <v>4</v>
      </c>
      <c r="AD3222" s="6">
        <v>65</v>
      </c>
      <c r="AE3222" s="6">
        <v>0</v>
      </c>
      <c r="AF3222" s="6">
        <v>0</v>
      </c>
      <c r="AG3222" s="6">
        <v>65.48</v>
      </c>
      <c r="AH3222" s="6">
        <v>82.34</v>
      </c>
      <c r="AI3222" s="6">
        <f t="shared" si="100"/>
        <v>16.86</v>
      </c>
      <c r="AJ3222" s="5">
        <f t="shared" si="101"/>
        <v>0.20476074811756131</v>
      </c>
    </row>
    <row r="3223" spans="1:36">
      <c r="A3223" t="s">
        <v>397</v>
      </c>
      <c r="B3223" t="s">
        <v>3508</v>
      </c>
      <c r="C3223" t="s">
        <v>132</v>
      </c>
      <c r="D3223" t="s">
        <v>60</v>
      </c>
      <c r="E3223" t="s">
        <v>55</v>
      </c>
      <c r="F3223">
        <v>0</v>
      </c>
      <c r="G3223">
        <v>180</v>
      </c>
      <c r="H3223">
        <v>1.22</v>
      </c>
      <c r="I3223" t="s">
        <v>181</v>
      </c>
      <c r="J3223">
        <v>3</v>
      </c>
      <c r="K3223" s="6">
        <v>5.78</v>
      </c>
      <c r="L3223" t="s">
        <v>200</v>
      </c>
      <c r="M3223">
        <v>1</v>
      </c>
      <c r="N3223" t="s">
        <v>175</v>
      </c>
      <c r="O3223">
        <v>1</v>
      </c>
      <c r="P3223">
        <v>0</v>
      </c>
      <c r="Q3223" s="6">
        <v>46.1</v>
      </c>
      <c r="R3223">
        <v>1</v>
      </c>
      <c r="S3223" s="6">
        <v>2244</v>
      </c>
      <c r="T3223">
        <v>0</v>
      </c>
      <c r="U3223" s="6">
        <v>816</v>
      </c>
      <c r="V3223">
        <v>0</v>
      </c>
      <c r="W3223">
        <v>0</v>
      </c>
      <c r="X3223">
        <v>0</v>
      </c>
      <c r="Y3223" s="6">
        <v>25</v>
      </c>
      <c r="Z3223">
        <v>0.52800000000000002</v>
      </c>
      <c r="AA3223">
        <v>9.7000000000000003E-2</v>
      </c>
      <c r="AB3223">
        <v>8.6999999999999994E-2</v>
      </c>
      <c r="AC3223">
        <v>4</v>
      </c>
      <c r="AD3223" s="6">
        <v>210</v>
      </c>
      <c r="AE3223" s="6">
        <v>50</v>
      </c>
      <c r="AF3223" s="6">
        <v>0</v>
      </c>
      <c r="AG3223" s="6">
        <v>120.01</v>
      </c>
      <c r="AH3223" s="6">
        <v>212.32</v>
      </c>
      <c r="AI3223" s="6">
        <f t="shared" si="100"/>
        <v>92.309999999999988</v>
      </c>
      <c r="AJ3223" s="5">
        <f t="shared" si="101"/>
        <v>0.43476827430293891</v>
      </c>
    </row>
    <row r="3224" spans="1:36">
      <c r="A3224" t="s">
        <v>403</v>
      </c>
      <c r="B3224" t="s">
        <v>3509</v>
      </c>
      <c r="C3224" t="s">
        <v>132</v>
      </c>
      <c r="D3224" t="s">
        <v>60</v>
      </c>
      <c r="E3224" t="s">
        <v>55</v>
      </c>
      <c r="F3224">
        <v>0</v>
      </c>
      <c r="G3224">
        <v>180</v>
      </c>
      <c r="H3224">
        <v>1.22</v>
      </c>
      <c r="I3224" t="s">
        <v>220</v>
      </c>
      <c r="J3224">
        <v>2</v>
      </c>
      <c r="K3224" s="6">
        <v>5.0599999999999996</v>
      </c>
      <c r="L3224" t="s">
        <v>200</v>
      </c>
      <c r="M3224">
        <v>1</v>
      </c>
      <c r="N3224" t="s">
        <v>175</v>
      </c>
      <c r="O3224">
        <v>1</v>
      </c>
      <c r="P3224">
        <v>1</v>
      </c>
      <c r="Q3224" s="6">
        <v>22.4</v>
      </c>
      <c r="R3224">
        <v>0</v>
      </c>
      <c r="S3224" s="6">
        <v>0</v>
      </c>
      <c r="T3224">
        <v>0</v>
      </c>
      <c r="U3224" s="6">
        <v>1328</v>
      </c>
      <c r="V3224">
        <v>0</v>
      </c>
      <c r="W3224">
        <v>0</v>
      </c>
      <c r="X3224">
        <v>0</v>
      </c>
      <c r="Y3224" s="6">
        <v>25</v>
      </c>
      <c r="Z3224">
        <v>0.52800000000000002</v>
      </c>
      <c r="AA3224">
        <v>9.7000000000000003E-2</v>
      </c>
      <c r="AB3224">
        <v>8.6999999999999994E-2</v>
      </c>
      <c r="AC3224">
        <v>4</v>
      </c>
      <c r="AD3224" s="6">
        <v>160</v>
      </c>
      <c r="AE3224" s="6">
        <v>0</v>
      </c>
      <c r="AF3224" s="6">
        <v>0</v>
      </c>
      <c r="AG3224" s="6">
        <v>147.53</v>
      </c>
      <c r="AH3224" s="6">
        <v>186.97</v>
      </c>
      <c r="AI3224" s="6">
        <f t="shared" si="100"/>
        <v>39.44</v>
      </c>
      <c r="AJ3224" s="5">
        <f t="shared" si="101"/>
        <v>0.21094293202117986</v>
      </c>
    </row>
    <row r="3225" spans="1:36">
      <c r="A3225" t="s">
        <v>261</v>
      </c>
      <c r="B3225" t="s">
        <v>3510</v>
      </c>
      <c r="C3225" t="s">
        <v>132</v>
      </c>
      <c r="D3225" t="s">
        <v>60</v>
      </c>
      <c r="E3225" t="s">
        <v>55</v>
      </c>
      <c r="F3225">
        <v>0</v>
      </c>
      <c r="G3225">
        <v>180</v>
      </c>
      <c r="H3225">
        <v>1</v>
      </c>
      <c r="I3225" t="s">
        <v>220</v>
      </c>
      <c r="J3225">
        <v>2</v>
      </c>
      <c r="K3225" s="6">
        <v>3.75</v>
      </c>
      <c r="L3225" t="s">
        <v>200</v>
      </c>
      <c r="M3225">
        <v>1</v>
      </c>
      <c r="N3225" t="s">
        <v>187</v>
      </c>
      <c r="O3225">
        <v>2</v>
      </c>
      <c r="P3225">
        <v>0</v>
      </c>
      <c r="Q3225" s="6">
        <v>73.099999999999994</v>
      </c>
      <c r="R3225">
        <v>0</v>
      </c>
      <c r="S3225" s="6">
        <v>0</v>
      </c>
      <c r="T3225">
        <v>0</v>
      </c>
      <c r="U3225" s="6">
        <v>649</v>
      </c>
      <c r="V3225">
        <v>0</v>
      </c>
      <c r="W3225">
        <v>0</v>
      </c>
      <c r="X3225">
        <v>0</v>
      </c>
      <c r="Y3225" s="6">
        <v>25</v>
      </c>
      <c r="Z3225">
        <v>0.52800000000000002</v>
      </c>
      <c r="AA3225">
        <v>9.7000000000000003E-2</v>
      </c>
      <c r="AB3225">
        <v>8.6999999999999994E-2</v>
      </c>
      <c r="AC3225">
        <v>4</v>
      </c>
      <c r="AD3225" s="6">
        <v>160</v>
      </c>
      <c r="AE3225" s="6">
        <v>0</v>
      </c>
      <c r="AF3225" s="6">
        <v>0</v>
      </c>
      <c r="AG3225" s="6">
        <v>104.58</v>
      </c>
      <c r="AH3225" s="6">
        <v>164.86</v>
      </c>
      <c r="AI3225" s="6">
        <f t="shared" si="100"/>
        <v>60.280000000000015</v>
      </c>
      <c r="AJ3225" s="5">
        <f t="shared" si="101"/>
        <v>0.36564357636782729</v>
      </c>
    </row>
    <row r="3226" spans="1:36">
      <c r="A3226" t="s">
        <v>384</v>
      </c>
      <c r="B3226" t="s">
        <v>3511</v>
      </c>
      <c r="C3226" t="s">
        <v>132</v>
      </c>
      <c r="D3226" t="s">
        <v>60</v>
      </c>
      <c r="E3226" t="s">
        <v>55</v>
      </c>
      <c r="F3226">
        <v>0</v>
      </c>
      <c r="G3226">
        <v>180</v>
      </c>
      <c r="H3226">
        <v>1.22</v>
      </c>
      <c r="I3226" t="s">
        <v>220</v>
      </c>
      <c r="J3226">
        <v>2</v>
      </c>
      <c r="K3226" s="6">
        <v>5.24</v>
      </c>
      <c r="L3226" t="s">
        <v>200</v>
      </c>
      <c r="M3226">
        <v>1</v>
      </c>
      <c r="N3226" t="s">
        <v>187</v>
      </c>
      <c r="O3226">
        <v>2</v>
      </c>
      <c r="P3226">
        <v>0</v>
      </c>
      <c r="Q3226" s="6">
        <v>67.099999999999994</v>
      </c>
      <c r="R3226">
        <v>1</v>
      </c>
      <c r="S3226" s="6">
        <v>1274</v>
      </c>
      <c r="T3226">
        <v>0</v>
      </c>
      <c r="U3226" s="6">
        <v>1150</v>
      </c>
      <c r="V3226">
        <v>0</v>
      </c>
      <c r="W3226">
        <v>0</v>
      </c>
      <c r="X3226">
        <v>0</v>
      </c>
      <c r="Y3226" s="6">
        <v>25</v>
      </c>
      <c r="Z3226">
        <v>0.52800000000000002</v>
      </c>
      <c r="AA3226">
        <v>9.7000000000000003E-2</v>
      </c>
      <c r="AB3226">
        <v>8.6999999999999994E-2</v>
      </c>
      <c r="AC3226">
        <v>4</v>
      </c>
      <c r="AD3226" s="6">
        <v>160</v>
      </c>
      <c r="AE3226" s="6">
        <v>30</v>
      </c>
      <c r="AF3226" s="6">
        <v>0</v>
      </c>
      <c r="AG3226" s="6">
        <v>105</v>
      </c>
      <c r="AH3226" s="6">
        <v>161.37</v>
      </c>
      <c r="AI3226" s="6">
        <f t="shared" si="100"/>
        <v>56.370000000000005</v>
      </c>
      <c r="AJ3226" s="5">
        <f t="shared" si="101"/>
        <v>0.34932143521100578</v>
      </c>
    </row>
    <row r="3227" spans="1:36">
      <c r="A3227" t="s">
        <v>298</v>
      </c>
      <c r="B3227" t="s">
        <v>3512</v>
      </c>
      <c r="C3227" t="s">
        <v>132</v>
      </c>
      <c r="D3227" t="s">
        <v>60</v>
      </c>
      <c r="E3227" t="s">
        <v>55</v>
      </c>
      <c r="F3227">
        <v>0</v>
      </c>
      <c r="G3227">
        <v>180</v>
      </c>
      <c r="H3227">
        <v>1.22</v>
      </c>
      <c r="I3227" t="s">
        <v>173</v>
      </c>
      <c r="J3227">
        <v>1</v>
      </c>
      <c r="K3227" s="6">
        <v>1.35</v>
      </c>
      <c r="L3227" t="s">
        <v>174</v>
      </c>
      <c r="M3227">
        <v>0</v>
      </c>
      <c r="N3227" t="s">
        <v>182</v>
      </c>
      <c r="O3227">
        <v>3</v>
      </c>
      <c r="P3227">
        <v>0</v>
      </c>
      <c r="Q3227" s="6">
        <v>62.4</v>
      </c>
      <c r="R3227">
        <v>1</v>
      </c>
      <c r="S3227" s="6">
        <v>2992</v>
      </c>
      <c r="T3227">
        <v>0</v>
      </c>
      <c r="U3227" s="6">
        <v>4484</v>
      </c>
      <c r="V3227">
        <v>0</v>
      </c>
      <c r="W3227">
        <v>0</v>
      </c>
      <c r="X3227">
        <v>1</v>
      </c>
      <c r="Y3227" s="6">
        <v>25</v>
      </c>
      <c r="Z3227">
        <v>0.52800000000000002</v>
      </c>
      <c r="AA3227">
        <v>9.7000000000000003E-2</v>
      </c>
      <c r="AB3227">
        <v>8.6999999999999994E-2</v>
      </c>
      <c r="AC3227">
        <v>4</v>
      </c>
      <c r="AD3227" s="6">
        <v>65</v>
      </c>
      <c r="AE3227" s="6">
        <v>50</v>
      </c>
      <c r="AF3227" s="6">
        <v>0</v>
      </c>
      <c r="AG3227" s="6">
        <v>63.82</v>
      </c>
      <c r="AH3227" s="6">
        <v>81.849999999999994</v>
      </c>
      <c r="AI3227" s="6">
        <f t="shared" si="100"/>
        <v>18.029999999999994</v>
      </c>
      <c r="AJ3227" s="5">
        <f t="shared" si="101"/>
        <v>0.22028100183262059</v>
      </c>
    </row>
    <row r="3228" spans="1:36">
      <c r="A3228" t="s">
        <v>303</v>
      </c>
      <c r="B3228" t="s">
        <v>3513</v>
      </c>
      <c r="C3228" t="s">
        <v>132</v>
      </c>
      <c r="D3228" t="s">
        <v>60</v>
      </c>
      <c r="E3228" t="s">
        <v>55</v>
      </c>
      <c r="F3228">
        <v>0</v>
      </c>
      <c r="G3228">
        <v>180</v>
      </c>
      <c r="H3228">
        <v>1</v>
      </c>
      <c r="I3228" t="s">
        <v>173</v>
      </c>
      <c r="J3228">
        <v>1</v>
      </c>
      <c r="K3228" s="6">
        <v>1.42</v>
      </c>
      <c r="L3228" t="s">
        <v>174</v>
      </c>
      <c r="M3228">
        <v>0</v>
      </c>
      <c r="N3228" t="s">
        <v>272</v>
      </c>
      <c r="O3228">
        <v>5</v>
      </c>
      <c r="P3228">
        <v>1</v>
      </c>
      <c r="Q3228" s="6">
        <v>172.4</v>
      </c>
      <c r="R3228">
        <v>0</v>
      </c>
      <c r="S3228" s="6">
        <v>0</v>
      </c>
      <c r="T3228">
        <v>0</v>
      </c>
      <c r="U3228" s="6">
        <v>1237</v>
      </c>
      <c r="V3228">
        <v>0</v>
      </c>
      <c r="W3228">
        <v>0</v>
      </c>
      <c r="X3228">
        <v>0</v>
      </c>
      <c r="Y3228" s="6">
        <v>25</v>
      </c>
      <c r="Z3228">
        <v>0.52800000000000002</v>
      </c>
      <c r="AA3228">
        <v>9.7000000000000003E-2</v>
      </c>
      <c r="AB3228">
        <v>8.6999999999999994E-2</v>
      </c>
      <c r="AC3228">
        <v>4</v>
      </c>
      <c r="AD3228" s="6">
        <v>125</v>
      </c>
      <c r="AE3228" s="6">
        <v>0</v>
      </c>
      <c r="AF3228" s="6">
        <v>0</v>
      </c>
      <c r="AG3228" s="6">
        <v>153.99</v>
      </c>
      <c r="AH3228" s="6">
        <v>193.21</v>
      </c>
      <c r="AI3228" s="6">
        <f t="shared" si="100"/>
        <v>39.22</v>
      </c>
      <c r="AJ3228" s="5">
        <f t="shared" si="101"/>
        <v>0.20299156358366544</v>
      </c>
    </row>
    <row r="3229" spans="1:36">
      <c r="A3229" t="s">
        <v>693</v>
      </c>
      <c r="B3229" t="s">
        <v>3514</v>
      </c>
      <c r="C3229" t="s">
        <v>132</v>
      </c>
      <c r="D3229" t="s">
        <v>60</v>
      </c>
      <c r="E3229" t="s">
        <v>55</v>
      </c>
      <c r="F3229">
        <v>0</v>
      </c>
      <c r="G3229">
        <v>180</v>
      </c>
      <c r="H3229">
        <v>1.22</v>
      </c>
      <c r="I3229" t="s">
        <v>173</v>
      </c>
      <c r="J3229">
        <v>1</v>
      </c>
      <c r="K3229" s="6">
        <v>2.8</v>
      </c>
      <c r="L3229" t="s">
        <v>200</v>
      </c>
      <c r="M3229">
        <v>1</v>
      </c>
      <c r="N3229" t="s">
        <v>187</v>
      </c>
      <c r="O3229">
        <v>2</v>
      </c>
      <c r="P3229">
        <v>1</v>
      </c>
      <c r="Q3229" s="6">
        <v>45.6</v>
      </c>
      <c r="R3229">
        <v>1</v>
      </c>
      <c r="S3229" s="6">
        <v>6770</v>
      </c>
      <c r="T3229">
        <v>0</v>
      </c>
      <c r="U3229" s="6">
        <v>1591</v>
      </c>
      <c r="V3229">
        <v>0</v>
      </c>
      <c r="W3229">
        <v>0</v>
      </c>
      <c r="X3229">
        <v>0</v>
      </c>
      <c r="Y3229" s="6">
        <v>25</v>
      </c>
      <c r="Z3229">
        <v>0.52800000000000002</v>
      </c>
      <c r="AA3229">
        <v>9.7000000000000003E-2</v>
      </c>
      <c r="AB3229">
        <v>8.6999999999999994E-2</v>
      </c>
      <c r="AC3229">
        <v>4</v>
      </c>
      <c r="AD3229" s="6">
        <v>130</v>
      </c>
      <c r="AE3229" s="6">
        <v>80</v>
      </c>
      <c r="AF3229" s="6">
        <v>0</v>
      </c>
      <c r="AG3229" s="6">
        <v>139.29</v>
      </c>
      <c r="AH3229" s="6">
        <v>174.58</v>
      </c>
      <c r="AI3229" s="6">
        <f t="shared" si="100"/>
        <v>35.29000000000002</v>
      </c>
      <c r="AJ3229" s="5">
        <f t="shared" si="101"/>
        <v>0.20214228433955789</v>
      </c>
    </row>
    <row r="3230" spans="1:36">
      <c r="A3230" t="s">
        <v>277</v>
      </c>
      <c r="B3230" t="s">
        <v>3515</v>
      </c>
      <c r="C3230" t="s">
        <v>132</v>
      </c>
      <c r="D3230" t="s">
        <v>60</v>
      </c>
      <c r="E3230" t="s">
        <v>55</v>
      </c>
      <c r="F3230">
        <v>0</v>
      </c>
      <c r="G3230">
        <v>180</v>
      </c>
      <c r="H3230">
        <v>1.22</v>
      </c>
      <c r="I3230" t="s">
        <v>173</v>
      </c>
      <c r="J3230">
        <v>1</v>
      </c>
      <c r="K3230" s="6">
        <v>2.0299999999999998</v>
      </c>
      <c r="L3230" t="s">
        <v>200</v>
      </c>
      <c r="M3230">
        <v>1</v>
      </c>
      <c r="N3230" t="s">
        <v>182</v>
      </c>
      <c r="O3230">
        <v>3</v>
      </c>
      <c r="P3230">
        <v>0</v>
      </c>
      <c r="Q3230" s="6">
        <v>117</v>
      </c>
      <c r="R3230">
        <v>0</v>
      </c>
      <c r="S3230" s="6">
        <v>0</v>
      </c>
      <c r="T3230">
        <v>0</v>
      </c>
      <c r="U3230" s="6">
        <v>1293</v>
      </c>
      <c r="V3230">
        <v>0</v>
      </c>
      <c r="W3230">
        <v>0</v>
      </c>
      <c r="X3230">
        <v>0</v>
      </c>
      <c r="Y3230" s="6">
        <v>25</v>
      </c>
      <c r="Z3230">
        <v>0.52800000000000002</v>
      </c>
      <c r="AA3230">
        <v>9.7000000000000003E-2</v>
      </c>
      <c r="AB3230">
        <v>8.6999999999999994E-2</v>
      </c>
      <c r="AC3230">
        <v>4</v>
      </c>
      <c r="AD3230" s="6">
        <v>130</v>
      </c>
      <c r="AE3230" s="6">
        <v>0</v>
      </c>
      <c r="AF3230" s="6">
        <v>0</v>
      </c>
      <c r="AG3230" s="6">
        <v>101.47</v>
      </c>
      <c r="AH3230" s="6">
        <v>130.26</v>
      </c>
      <c r="AI3230" s="6">
        <f t="shared" si="100"/>
        <v>28.789999999999992</v>
      </c>
      <c r="AJ3230" s="5">
        <f t="shared" si="101"/>
        <v>0.22101949946261318</v>
      </c>
    </row>
    <row r="3231" spans="1:36">
      <c r="A3231" t="s">
        <v>512</v>
      </c>
      <c r="B3231" t="s">
        <v>3516</v>
      </c>
      <c r="C3231" t="s">
        <v>132</v>
      </c>
      <c r="D3231" t="s">
        <v>60</v>
      </c>
      <c r="E3231" t="s">
        <v>55</v>
      </c>
      <c r="F3231">
        <v>0</v>
      </c>
      <c r="G3231">
        <v>180</v>
      </c>
      <c r="H3231">
        <v>1.22</v>
      </c>
      <c r="I3231" t="s">
        <v>173</v>
      </c>
      <c r="J3231">
        <v>1</v>
      </c>
      <c r="K3231" s="6">
        <v>2.16</v>
      </c>
      <c r="L3231" t="s">
        <v>174</v>
      </c>
      <c r="M3231">
        <v>0</v>
      </c>
      <c r="N3231" t="s">
        <v>175</v>
      </c>
      <c r="O3231">
        <v>1</v>
      </c>
      <c r="P3231">
        <v>0</v>
      </c>
      <c r="Q3231" s="6">
        <v>29.7</v>
      </c>
      <c r="R3231">
        <v>0</v>
      </c>
      <c r="S3231" s="6">
        <v>0</v>
      </c>
      <c r="T3231">
        <v>0</v>
      </c>
      <c r="U3231" s="6">
        <v>4394</v>
      </c>
      <c r="V3231">
        <v>0</v>
      </c>
      <c r="W3231">
        <v>0</v>
      </c>
      <c r="X3231">
        <v>0</v>
      </c>
      <c r="Y3231" s="6">
        <v>25</v>
      </c>
      <c r="Z3231">
        <v>0.52800000000000002</v>
      </c>
      <c r="AA3231">
        <v>9.7000000000000003E-2</v>
      </c>
      <c r="AB3231">
        <v>8.6999999999999994E-2</v>
      </c>
      <c r="AC3231">
        <v>4</v>
      </c>
      <c r="AD3231" s="6">
        <v>65</v>
      </c>
      <c r="AE3231" s="6">
        <v>0</v>
      </c>
      <c r="AF3231" s="6">
        <v>0</v>
      </c>
      <c r="AG3231" s="6">
        <v>60.94</v>
      </c>
      <c r="AH3231" s="6">
        <v>80.92</v>
      </c>
      <c r="AI3231" s="6">
        <f t="shared" si="100"/>
        <v>19.980000000000004</v>
      </c>
      <c r="AJ3231" s="5">
        <f t="shared" si="101"/>
        <v>0.24691052891744938</v>
      </c>
    </row>
    <row r="3232" spans="1:36">
      <c r="A3232" t="s">
        <v>501</v>
      </c>
      <c r="B3232" t="s">
        <v>3517</v>
      </c>
      <c r="C3232" t="s">
        <v>132</v>
      </c>
      <c r="D3232" t="s">
        <v>60</v>
      </c>
      <c r="E3232" t="s">
        <v>55</v>
      </c>
      <c r="F3232">
        <v>0</v>
      </c>
      <c r="G3232">
        <v>180</v>
      </c>
      <c r="H3232">
        <v>1</v>
      </c>
      <c r="I3232" t="s">
        <v>220</v>
      </c>
      <c r="J3232">
        <v>2</v>
      </c>
      <c r="K3232" s="6">
        <v>4.96</v>
      </c>
      <c r="L3232" t="s">
        <v>174</v>
      </c>
      <c r="M3232">
        <v>0</v>
      </c>
      <c r="N3232" t="s">
        <v>187</v>
      </c>
      <c r="O3232">
        <v>2</v>
      </c>
      <c r="P3232">
        <v>0</v>
      </c>
      <c r="Q3232" s="6">
        <v>52.1</v>
      </c>
      <c r="R3232">
        <v>0</v>
      </c>
      <c r="S3232" s="6">
        <v>0</v>
      </c>
      <c r="T3232">
        <v>0</v>
      </c>
      <c r="U3232" s="6">
        <v>1205</v>
      </c>
      <c r="V3232">
        <v>0</v>
      </c>
      <c r="W3232">
        <v>0</v>
      </c>
      <c r="X3232">
        <v>0</v>
      </c>
      <c r="Y3232" s="6">
        <v>25</v>
      </c>
      <c r="Z3232">
        <v>0.52800000000000002</v>
      </c>
      <c r="AA3232">
        <v>9.7000000000000003E-2</v>
      </c>
      <c r="AB3232">
        <v>8.6999999999999994E-2</v>
      </c>
      <c r="AC3232">
        <v>4</v>
      </c>
      <c r="AD3232" s="6">
        <v>70</v>
      </c>
      <c r="AE3232" s="6">
        <v>0</v>
      </c>
      <c r="AF3232" s="6">
        <v>0</v>
      </c>
      <c r="AG3232" s="6">
        <v>74.209999999999994</v>
      </c>
      <c r="AH3232" s="6">
        <v>95.11</v>
      </c>
      <c r="AI3232" s="6">
        <f t="shared" si="100"/>
        <v>20.900000000000006</v>
      </c>
      <c r="AJ3232" s="5">
        <f t="shared" si="101"/>
        <v>0.21974555777520771</v>
      </c>
    </row>
    <row r="3233" spans="1:36">
      <c r="A3233" t="s">
        <v>411</v>
      </c>
      <c r="B3233" t="s">
        <v>3518</v>
      </c>
      <c r="C3233" t="s">
        <v>132</v>
      </c>
      <c r="D3233" t="s">
        <v>60</v>
      </c>
      <c r="E3233" t="s">
        <v>55</v>
      </c>
      <c r="F3233">
        <v>0</v>
      </c>
      <c r="G3233">
        <v>180</v>
      </c>
      <c r="H3233">
        <v>1.22</v>
      </c>
      <c r="I3233" t="s">
        <v>173</v>
      </c>
      <c r="J3233">
        <v>1</v>
      </c>
      <c r="K3233" s="6">
        <v>2.17</v>
      </c>
      <c r="L3233" t="s">
        <v>200</v>
      </c>
      <c r="M3233">
        <v>1</v>
      </c>
      <c r="N3233" t="s">
        <v>187</v>
      </c>
      <c r="O3233">
        <v>2</v>
      </c>
      <c r="P3233">
        <v>0</v>
      </c>
      <c r="Q3233" s="6">
        <v>70</v>
      </c>
      <c r="R3233">
        <v>1</v>
      </c>
      <c r="S3233" s="6">
        <v>653</v>
      </c>
      <c r="T3233">
        <v>0</v>
      </c>
      <c r="U3233" s="6">
        <v>2439</v>
      </c>
      <c r="V3233">
        <v>0</v>
      </c>
      <c r="W3233">
        <v>0</v>
      </c>
      <c r="X3233">
        <v>0</v>
      </c>
      <c r="Y3233" s="6">
        <v>25</v>
      </c>
      <c r="Z3233">
        <v>0.52800000000000002</v>
      </c>
      <c r="AA3233">
        <v>9.7000000000000003E-2</v>
      </c>
      <c r="AB3233">
        <v>8.6999999999999994E-2</v>
      </c>
      <c r="AC3233">
        <v>4</v>
      </c>
      <c r="AD3233" s="6">
        <v>130</v>
      </c>
      <c r="AE3233" s="6">
        <v>30</v>
      </c>
      <c r="AF3233" s="6">
        <v>0</v>
      </c>
      <c r="AG3233" s="6">
        <v>96.9</v>
      </c>
      <c r="AH3233" s="6">
        <v>134.68</v>
      </c>
      <c r="AI3233" s="6">
        <f t="shared" si="100"/>
        <v>37.78</v>
      </c>
      <c r="AJ3233" s="5">
        <f t="shared" si="101"/>
        <v>0.28051678051678053</v>
      </c>
    </row>
    <row r="3234" spans="1:36">
      <c r="A3234" t="s">
        <v>251</v>
      </c>
      <c r="B3234" t="s">
        <v>3519</v>
      </c>
      <c r="C3234" t="s">
        <v>132</v>
      </c>
      <c r="D3234" t="s">
        <v>60</v>
      </c>
      <c r="E3234" t="s">
        <v>55</v>
      </c>
      <c r="F3234">
        <v>0</v>
      </c>
      <c r="G3234">
        <v>180</v>
      </c>
      <c r="H3234">
        <v>1</v>
      </c>
      <c r="I3234" t="s">
        <v>173</v>
      </c>
      <c r="J3234">
        <v>1</v>
      </c>
      <c r="K3234" s="6">
        <v>1.89</v>
      </c>
      <c r="L3234" t="s">
        <v>174</v>
      </c>
      <c r="M3234">
        <v>0</v>
      </c>
      <c r="N3234" t="s">
        <v>187</v>
      </c>
      <c r="O3234">
        <v>2</v>
      </c>
      <c r="P3234">
        <v>0</v>
      </c>
      <c r="Q3234" s="6">
        <v>62.2</v>
      </c>
      <c r="R3234">
        <v>0</v>
      </c>
      <c r="S3234" s="6">
        <v>0</v>
      </c>
      <c r="T3234">
        <v>0</v>
      </c>
      <c r="U3234" s="6">
        <v>2940</v>
      </c>
      <c r="V3234">
        <v>0</v>
      </c>
      <c r="W3234">
        <v>0</v>
      </c>
      <c r="X3234">
        <v>0</v>
      </c>
      <c r="Y3234" s="6">
        <v>25</v>
      </c>
      <c r="Z3234">
        <v>0.52800000000000002</v>
      </c>
      <c r="AA3234">
        <v>9.7000000000000003E-2</v>
      </c>
      <c r="AB3234">
        <v>8.6999999999999994E-2</v>
      </c>
      <c r="AC3234">
        <v>4</v>
      </c>
      <c r="AD3234" s="6">
        <v>65</v>
      </c>
      <c r="AE3234" s="6">
        <v>0</v>
      </c>
      <c r="AF3234" s="6">
        <v>0</v>
      </c>
      <c r="AG3234" s="6">
        <v>67.12</v>
      </c>
      <c r="AH3234" s="6">
        <v>87.49</v>
      </c>
      <c r="AI3234" s="6">
        <f t="shared" si="100"/>
        <v>20.36999999999999</v>
      </c>
      <c r="AJ3234" s="5">
        <f t="shared" si="101"/>
        <v>0.23282660875528621</v>
      </c>
    </row>
    <row r="3235" spans="1:36">
      <c r="A3235" t="s">
        <v>210</v>
      </c>
      <c r="B3235" t="s">
        <v>3520</v>
      </c>
      <c r="C3235" t="s">
        <v>132</v>
      </c>
      <c r="D3235" t="s">
        <v>60</v>
      </c>
      <c r="E3235" t="s">
        <v>55</v>
      </c>
      <c r="F3235">
        <v>0</v>
      </c>
      <c r="G3235">
        <v>180</v>
      </c>
      <c r="H3235">
        <v>1</v>
      </c>
      <c r="I3235" t="s">
        <v>173</v>
      </c>
      <c r="J3235">
        <v>1</v>
      </c>
      <c r="K3235" s="6">
        <v>1.43</v>
      </c>
      <c r="L3235" t="s">
        <v>200</v>
      </c>
      <c r="M3235">
        <v>1</v>
      </c>
      <c r="N3235" t="s">
        <v>175</v>
      </c>
      <c r="O3235">
        <v>1</v>
      </c>
      <c r="P3235">
        <v>0</v>
      </c>
      <c r="Q3235" s="6">
        <v>39.5</v>
      </c>
      <c r="R3235">
        <v>0</v>
      </c>
      <c r="S3235" s="6">
        <v>0</v>
      </c>
      <c r="T3235">
        <v>0</v>
      </c>
      <c r="U3235" s="6">
        <v>1582</v>
      </c>
      <c r="V3235">
        <v>0</v>
      </c>
      <c r="W3235">
        <v>0</v>
      </c>
      <c r="X3235">
        <v>0</v>
      </c>
      <c r="Y3235" s="6">
        <v>25</v>
      </c>
      <c r="Z3235">
        <v>0.52800000000000002</v>
      </c>
      <c r="AA3235">
        <v>9.7000000000000003E-2</v>
      </c>
      <c r="AB3235">
        <v>8.6999999999999994E-2</v>
      </c>
      <c r="AC3235">
        <v>4</v>
      </c>
      <c r="AD3235" s="6">
        <v>130</v>
      </c>
      <c r="AE3235" s="6">
        <v>0</v>
      </c>
      <c r="AF3235" s="6">
        <v>0</v>
      </c>
      <c r="AG3235" s="6">
        <v>85.75</v>
      </c>
      <c r="AH3235" s="6">
        <v>132</v>
      </c>
      <c r="AI3235" s="6">
        <f t="shared" si="100"/>
        <v>46.25</v>
      </c>
      <c r="AJ3235" s="5">
        <f t="shared" si="101"/>
        <v>0.3503787878787879</v>
      </c>
    </row>
    <row r="3236" spans="1:36">
      <c r="A3236" t="s">
        <v>185</v>
      </c>
      <c r="B3236" t="s">
        <v>3521</v>
      </c>
      <c r="C3236" t="s">
        <v>132</v>
      </c>
      <c r="D3236" t="s">
        <v>60</v>
      </c>
      <c r="E3236" t="s">
        <v>55</v>
      </c>
      <c r="F3236">
        <v>0</v>
      </c>
      <c r="G3236">
        <v>180</v>
      </c>
      <c r="H3236">
        <v>1.22</v>
      </c>
      <c r="I3236" t="s">
        <v>173</v>
      </c>
      <c r="J3236">
        <v>1</v>
      </c>
      <c r="K3236" s="6">
        <v>1.47</v>
      </c>
      <c r="L3236" t="s">
        <v>174</v>
      </c>
      <c r="M3236">
        <v>0</v>
      </c>
      <c r="N3236" t="s">
        <v>175</v>
      </c>
      <c r="O3236">
        <v>1</v>
      </c>
      <c r="P3236">
        <v>0</v>
      </c>
      <c r="Q3236" s="6">
        <v>28.1</v>
      </c>
      <c r="R3236">
        <v>1</v>
      </c>
      <c r="S3236" s="6">
        <v>635</v>
      </c>
      <c r="T3236">
        <v>0</v>
      </c>
      <c r="U3236" s="6">
        <v>1555</v>
      </c>
      <c r="V3236">
        <v>0</v>
      </c>
      <c r="W3236">
        <v>1</v>
      </c>
      <c r="X3236">
        <v>0</v>
      </c>
      <c r="Y3236" s="6">
        <v>25</v>
      </c>
      <c r="Z3236">
        <v>0.52800000000000002</v>
      </c>
      <c r="AA3236">
        <v>9.7000000000000003E-2</v>
      </c>
      <c r="AB3236">
        <v>8.6999999999999994E-2</v>
      </c>
      <c r="AC3236">
        <v>4</v>
      </c>
      <c r="AD3236" s="6">
        <v>65</v>
      </c>
      <c r="AE3236" s="6">
        <v>30</v>
      </c>
      <c r="AF3236" s="6">
        <v>0</v>
      </c>
      <c r="AG3236" s="6">
        <v>94.09</v>
      </c>
      <c r="AH3236" s="6">
        <v>121.97</v>
      </c>
      <c r="AI3236" s="6">
        <f t="shared" si="100"/>
        <v>27.879999999999995</v>
      </c>
      <c r="AJ3236" s="5">
        <f t="shared" si="101"/>
        <v>0.22858079855702218</v>
      </c>
    </row>
    <row r="3237" spans="1:36">
      <c r="A3237" t="s">
        <v>251</v>
      </c>
      <c r="B3237" t="s">
        <v>3522</v>
      </c>
      <c r="C3237" t="s">
        <v>132</v>
      </c>
      <c r="D3237" t="s">
        <v>60</v>
      </c>
      <c r="E3237" t="s">
        <v>55</v>
      </c>
      <c r="F3237">
        <v>0</v>
      </c>
      <c r="G3237">
        <v>180</v>
      </c>
      <c r="H3237">
        <v>1</v>
      </c>
      <c r="I3237" t="s">
        <v>173</v>
      </c>
      <c r="J3237">
        <v>1</v>
      </c>
      <c r="K3237" s="6">
        <v>1.9</v>
      </c>
      <c r="L3237" t="s">
        <v>174</v>
      </c>
      <c r="M3237">
        <v>0</v>
      </c>
      <c r="N3237" t="s">
        <v>187</v>
      </c>
      <c r="O3237">
        <v>2</v>
      </c>
      <c r="P3237">
        <v>0</v>
      </c>
      <c r="Q3237" s="6">
        <v>46.7</v>
      </c>
      <c r="R3237">
        <v>0</v>
      </c>
      <c r="S3237" s="6">
        <v>0</v>
      </c>
      <c r="T3237">
        <v>0</v>
      </c>
      <c r="U3237" s="6">
        <v>4492</v>
      </c>
      <c r="V3237">
        <v>0</v>
      </c>
      <c r="W3237">
        <v>0</v>
      </c>
      <c r="X3237">
        <v>0</v>
      </c>
      <c r="Y3237" s="6">
        <v>25</v>
      </c>
      <c r="Z3237">
        <v>0.52800000000000002</v>
      </c>
      <c r="AA3237">
        <v>9.7000000000000003E-2</v>
      </c>
      <c r="AB3237">
        <v>8.6999999999999994E-2</v>
      </c>
      <c r="AC3237">
        <v>4</v>
      </c>
      <c r="AD3237" s="6">
        <v>65</v>
      </c>
      <c r="AE3237" s="6">
        <v>0</v>
      </c>
      <c r="AF3237" s="6">
        <v>0</v>
      </c>
      <c r="AG3237" s="6">
        <v>62.39</v>
      </c>
      <c r="AH3237" s="6">
        <v>78.569999999999993</v>
      </c>
      <c r="AI3237" s="6">
        <f t="shared" si="100"/>
        <v>16.179999999999993</v>
      </c>
      <c r="AJ3237" s="5">
        <f t="shared" si="101"/>
        <v>0.20593101692758042</v>
      </c>
    </row>
    <row r="3238" spans="1:36">
      <c r="A3238" t="s">
        <v>459</v>
      </c>
      <c r="B3238" t="s">
        <v>3523</v>
      </c>
      <c r="C3238" t="s">
        <v>132</v>
      </c>
      <c r="D3238" t="s">
        <v>60</v>
      </c>
      <c r="E3238" t="s">
        <v>55</v>
      </c>
      <c r="F3238">
        <v>0</v>
      </c>
      <c r="G3238">
        <v>180</v>
      </c>
      <c r="H3238">
        <v>1</v>
      </c>
      <c r="I3238" t="s">
        <v>173</v>
      </c>
      <c r="J3238">
        <v>1</v>
      </c>
      <c r="K3238" s="6">
        <v>1.59</v>
      </c>
      <c r="L3238" t="s">
        <v>200</v>
      </c>
      <c r="M3238">
        <v>1</v>
      </c>
      <c r="N3238" t="s">
        <v>175</v>
      </c>
      <c r="O3238">
        <v>1</v>
      </c>
      <c r="P3238">
        <v>0</v>
      </c>
      <c r="Q3238" s="6">
        <v>27.6</v>
      </c>
      <c r="R3238">
        <v>1</v>
      </c>
      <c r="S3238" s="6">
        <v>641</v>
      </c>
      <c r="T3238">
        <v>0</v>
      </c>
      <c r="U3238" s="6">
        <v>1855</v>
      </c>
      <c r="V3238">
        <v>0</v>
      </c>
      <c r="W3238">
        <v>0</v>
      </c>
      <c r="X3238">
        <v>0</v>
      </c>
      <c r="Y3238" s="6">
        <v>25</v>
      </c>
      <c r="Z3238">
        <v>0.52800000000000002</v>
      </c>
      <c r="AA3238">
        <v>9.7000000000000003E-2</v>
      </c>
      <c r="AB3238">
        <v>8.6999999999999994E-2</v>
      </c>
      <c r="AC3238">
        <v>4</v>
      </c>
      <c r="AD3238" s="6">
        <v>130</v>
      </c>
      <c r="AE3238" s="6">
        <v>30</v>
      </c>
      <c r="AF3238" s="6">
        <v>0</v>
      </c>
      <c r="AG3238" s="6">
        <v>91.57</v>
      </c>
      <c r="AH3238" s="6">
        <v>132.99</v>
      </c>
      <c r="AI3238" s="6">
        <f t="shared" si="100"/>
        <v>41.420000000000016</v>
      </c>
      <c r="AJ3238" s="5">
        <f t="shared" si="101"/>
        <v>0.31145198887134379</v>
      </c>
    </row>
    <row r="3239" spans="1:36">
      <c r="A3239" t="s">
        <v>372</v>
      </c>
      <c r="B3239" t="s">
        <v>3524</v>
      </c>
      <c r="C3239" t="s">
        <v>132</v>
      </c>
      <c r="D3239" t="s">
        <v>60</v>
      </c>
      <c r="E3239" t="s">
        <v>55</v>
      </c>
      <c r="F3239">
        <v>0</v>
      </c>
      <c r="G3239">
        <v>180</v>
      </c>
      <c r="H3239">
        <v>1.22</v>
      </c>
      <c r="I3239" t="s">
        <v>220</v>
      </c>
      <c r="J3239">
        <v>2</v>
      </c>
      <c r="K3239" s="6">
        <v>3.52</v>
      </c>
      <c r="L3239" t="s">
        <v>174</v>
      </c>
      <c r="M3239">
        <v>0</v>
      </c>
      <c r="N3239" t="s">
        <v>217</v>
      </c>
      <c r="O3239">
        <v>4</v>
      </c>
      <c r="P3239">
        <v>1</v>
      </c>
      <c r="Q3239" s="6">
        <v>115</v>
      </c>
      <c r="R3239">
        <v>0</v>
      </c>
      <c r="S3239" s="6">
        <v>0</v>
      </c>
      <c r="T3239">
        <v>0</v>
      </c>
      <c r="U3239" s="6">
        <v>2762</v>
      </c>
      <c r="V3239">
        <v>0</v>
      </c>
      <c r="W3239">
        <v>0</v>
      </c>
      <c r="X3239">
        <v>0</v>
      </c>
      <c r="Y3239" s="6">
        <v>25</v>
      </c>
      <c r="Z3239">
        <v>0.52800000000000002</v>
      </c>
      <c r="AA3239">
        <v>9.7000000000000003E-2</v>
      </c>
      <c r="AB3239">
        <v>8.6999999999999994E-2</v>
      </c>
      <c r="AC3239">
        <v>4</v>
      </c>
      <c r="AD3239" s="6">
        <v>70</v>
      </c>
      <c r="AE3239" s="6">
        <v>0</v>
      </c>
      <c r="AF3239" s="6">
        <v>0</v>
      </c>
      <c r="AG3239" s="6">
        <v>123.65</v>
      </c>
      <c r="AH3239" s="6">
        <v>156.19999999999999</v>
      </c>
      <c r="AI3239" s="6">
        <f t="shared" si="100"/>
        <v>32.549999999999983</v>
      </c>
      <c r="AJ3239" s="5">
        <f t="shared" si="101"/>
        <v>0.20838668373879632</v>
      </c>
    </row>
    <row r="3240" spans="1:36">
      <c r="A3240" t="s">
        <v>176</v>
      </c>
      <c r="B3240" t="s">
        <v>3525</v>
      </c>
      <c r="C3240" t="s">
        <v>132</v>
      </c>
      <c r="D3240" t="s">
        <v>60</v>
      </c>
      <c r="E3240" t="s">
        <v>55</v>
      </c>
      <c r="F3240">
        <v>0</v>
      </c>
      <c r="G3240">
        <v>180</v>
      </c>
      <c r="H3240">
        <v>1.22</v>
      </c>
      <c r="I3240" t="s">
        <v>173</v>
      </c>
      <c r="J3240">
        <v>1</v>
      </c>
      <c r="K3240" s="6">
        <v>2.5</v>
      </c>
      <c r="L3240" t="s">
        <v>174</v>
      </c>
      <c r="M3240">
        <v>0</v>
      </c>
      <c r="N3240" t="s">
        <v>217</v>
      </c>
      <c r="O3240">
        <v>4</v>
      </c>
      <c r="P3240">
        <v>1</v>
      </c>
      <c r="Q3240" s="6">
        <v>166.6</v>
      </c>
      <c r="R3240">
        <v>1</v>
      </c>
      <c r="S3240" s="6">
        <v>1162</v>
      </c>
      <c r="T3240">
        <v>0</v>
      </c>
      <c r="U3240" s="6">
        <v>2290</v>
      </c>
      <c r="V3240">
        <v>0</v>
      </c>
      <c r="W3240">
        <v>0</v>
      </c>
      <c r="X3240">
        <v>0</v>
      </c>
      <c r="Y3240" s="6">
        <v>25</v>
      </c>
      <c r="Z3240">
        <v>0.52800000000000002</v>
      </c>
      <c r="AA3240">
        <v>9.7000000000000003E-2</v>
      </c>
      <c r="AB3240">
        <v>8.6999999999999994E-2</v>
      </c>
      <c r="AC3240">
        <v>4</v>
      </c>
      <c r="AD3240" s="6">
        <v>65</v>
      </c>
      <c r="AE3240" s="6">
        <v>30</v>
      </c>
      <c r="AF3240" s="6">
        <v>0</v>
      </c>
      <c r="AG3240" s="6">
        <v>115.7</v>
      </c>
      <c r="AH3240" s="6">
        <v>148.6</v>
      </c>
      <c r="AI3240" s="6">
        <f t="shared" si="100"/>
        <v>32.899999999999991</v>
      </c>
      <c r="AJ3240" s="5">
        <f t="shared" si="101"/>
        <v>0.22139973082099593</v>
      </c>
    </row>
    <row r="3241" spans="1:36">
      <c r="A3241" t="s">
        <v>501</v>
      </c>
      <c r="B3241" t="s">
        <v>3526</v>
      </c>
      <c r="C3241" t="s">
        <v>132</v>
      </c>
      <c r="D3241" t="s">
        <v>60</v>
      </c>
      <c r="E3241" t="s">
        <v>55</v>
      </c>
      <c r="F3241">
        <v>0</v>
      </c>
      <c r="G3241">
        <v>180</v>
      </c>
      <c r="H3241">
        <v>1</v>
      </c>
      <c r="I3241" t="s">
        <v>173</v>
      </c>
      <c r="J3241">
        <v>1</v>
      </c>
      <c r="K3241" s="6">
        <v>2.19</v>
      </c>
      <c r="L3241" t="s">
        <v>200</v>
      </c>
      <c r="M3241">
        <v>1</v>
      </c>
      <c r="N3241" t="s">
        <v>182</v>
      </c>
      <c r="O3241">
        <v>3</v>
      </c>
      <c r="P3241">
        <v>0</v>
      </c>
      <c r="Q3241" s="6">
        <v>92.1</v>
      </c>
      <c r="R3241">
        <v>0</v>
      </c>
      <c r="S3241" s="6">
        <v>0</v>
      </c>
      <c r="T3241">
        <v>0</v>
      </c>
      <c r="U3241" s="6">
        <v>1070</v>
      </c>
      <c r="V3241">
        <v>0</v>
      </c>
      <c r="W3241">
        <v>0</v>
      </c>
      <c r="X3241">
        <v>0</v>
      </c>
      <c r="Y3241" s="6">
        <v>25</v>
      </c>
      <c r="Z3241">
        <v>0.52800000000000002</v>
      </c>
      <c r="AA3241">
        <v>9.7000000000000003E-2</v>
      </c>
      <c r="AB3241">
        <v>8.6999999999999994E-2</v>
      </c>
      <c r="AC3241">
        <v>4</v>
      </c>
      <c r="AD3241" s="6">
        <v>130</v>
      </c>
      <c r="AE3241" s="6">
        <v>0</v>
      </c>
      <c r="AF3241" s="6">
        <v>0</v>
      </c>
      <c r="AG3241" s="6">
        <v>98.32</v>
      </c>
      <c r="AH3241" s="6">
        <v>133.71</v>
      </c>
      <c r="AI3241" s="6">
        <f t="shared" si="100"/>
        <v>35.390000000000015</v>
      </c>
      <c r="AJ3241" s="5">
        <f t="shared" si="101"/>
        <v>0.26467728666517099</v>
      </c>
    </row>
    <row r="3242" spans="1:36">
      <c r="A3242" t="s">
        <v>293</v>
      </c>
      <c r="B3242" t="s">
        <v>3527</v>
      </c>
      <c r="C3242" t="s">
        <v>132</v>
      </c>
      <c r="D3242" t="s">
        <v>60</v>
      </c>
      <c r="E3242" t="s">
        <v>55</v>
      </c>
      <c r="F3242">
        <v>0</v>
      </c>
      <c r="G3242">
        <v>180</v>
      </c>
      <c r="H3242">
        <v>1.22</v>
      </c>
      <c r="I3242" t="s">
        <v>173</v>
      </c>
      <c r="J3242">
        <v>1</v>
      </c>
      <c r="K3242" s="6">
        <v>1.76</v>
      </c>
      <c r="L3242" t="s">
        <v>174</v>
      </c>
      <c r="M3242">
        <v>0</v>
      </c>
      <c r="N3242" t="s">
        <v>182</v>
      </c>
      <c r="O3242">
        <v>3</v>
      </c>
      <c r="P3242">
        <v>0</v>
      </c>
      <c r="Q3242" s="6">
        <v>109.7</v>
      </c>
      <c r="R3242">
        <v>0</v>
      </c>
      <c r="S3242" s="6">
        <v>0</v>
      </c>
      <c r="T3242">
        <v>0</v>
      </c>
      <c r="U3242" s="6">
        <v>3605</v>
      </c>
      <c r="V3242">
        <v>0</v>
      </c>
      <c r="W3242">
        <v>0</v>
      </c>
      <c r="X3242">
        <v>1</v>
      </c>
      <c r="Y3242" s="6">
        <v>25</v>
      </c>
      <c r="Z3242">
        <v>0.52800000000000002</v>
      </c>
      <c r="AA3242">
        <v>9.7000000000000003E-2</v>
      </c>
      <c r="AB3242">
        <v>8.6999999999999994E-2</v>
      </c>
      <c r="AC3242">
        <v>4</v>
      </c>
      <c r="AD3242" s="6">
        <v>65</v>
      </c>
      <c r="AE3242" s="6">
        <v>0</v>
      </c>
      <c r="AF3242" s="6">
        <v>0</v>
      </c>
      <c r="AG3242" s="6">
        <v>69.86</v>
      </c>
      <c r="AH3242" s="6">
        <v>90.59</v>
      </c>
      <c r="AI3242" s="6">
        <f t="shared" si="100"/>
        <v>20.730000000000004</v>
      </c>
      <c r="AJ3242" s="5">
        <f t="shared" si="101"/>
        <v>0.22883320454796338</v>
      </c>
    </row>
    <row r="3243" spans="1:36">
      <c r="A3243" t="s">
        <v>469</v>
      </c>
      <c r="B3243" t="s">
        <v>3528</v>
      </c>
      <c r="C3243" t="s">
        <v>132</v>
      </c>
      <c r="D3243" t="s">
        <v>60</v>
      </c>
      <c r="E3243" t="s">
        <v>55</v>
      </c>
      <c r="F3243">
        <v>0</v>
      </c>
      <c r="G3243">
        <v>180</v>
      </c>
      <c r="H3243">
        <v>1</v>
      </c>
      <c r="I3243" t="s">
        <v>173</v>
      </c>
      <c r="J3243">
        <v>1</v>
      </c>
      <c r="K3243" s="6">
        <v>1.67</v>
      </c>
      <c r="L3243" t="s">
        <v>200</v>
      </c>
      <c r="M3243">
        <v>1</v>
      </c>
      <c r="N3243" t="s">
        <v>187</v>
      </c>
      <c r="O3243">
        <v>2</v>
      </c>
      <c r="P3243">
        <v>0</v>
      </c>
      <c r="Q3243" s="6">
        <v>30.7</v>
      </c>
      <c r="R3243">
        <v>1</v>
      </c>
      <c r="S3243" s="6">
        <v>1069</v>
      </c>
      <c r="T3243">
        <v>0</v>
      </c>
      <c r="U3243" s="6">
        <v>1342</v>
      </c>
      <c r="V3243">
        <v>0</v>
      </c>
      <c r="W3243">
        <v>0</v>
      </c>
      <c r="X3243">
        <v>0</v>
      </c>
      <c r="Y3243" s="6">
        <v>25</v>
      </c>
      <c r="Z3243">
        <v>0.52800000000000002</v>
      </c>
      <c r="AA3243">
        <v>9.7000000000000003E-2</v>
      </c>
      <c r="AB3243">
        <v>8.6999999999999994E-2</v>
      </c>
      <c r="AC3243">
        <v>4</v>
      </c>
      <c r="AD3243" s="6">
        <v>130</v>
      </c>
      <c r="AE3243" s="6">
        <v>30</v>
      </c>
      <c r="AF3243" s="6">
        <v>0</v>
      </c>
      <c r="AG3243" s="6">
        <v>87.83</v>
      </c>
      <c r="AH3243" s="6">
        <v>132.63999999999999</v>
      </c>
      <c r="AI3243" s="6">
        <f t="shared" si="100"/>
        <v>44.809999999999988</v>
      </c>
      <c r="AJ3243" s="5">
        <f t="shared" si="101"/>
        <v>0.33783172496984315</v>
      </c>
    </row>
    <row r="3244" spans="1:36">
      <c r="A3244" t="s">
        <v>201</v>
      </c>
      <c r="B3244" t="s">
        <v>3529</v>
      </c>
      <c r="C3244" t="s">
        <v>132</v>
      </c>
      <c r="D3244" t="s">
        <v>60</v>
      </c>
      <c r="E3244" t="s">
        <v>55</v>
      </c>
      <c r="F3244">
        <v>0</v>
      </c>
      <c r="G3244">
        <v>180</v>
      </c>
      <c r="H3244">
        <v>1.22</v>
      </c>
      <c r="I3244" t="s">
        <v>173</v>
      </c>
      <c r="J3244">
        <v>1</v>
      </c>
      <c r="K3244" s="6">
        <v>1.87</v>
      </c>
      <c r="L3244" t="s">
        <v>174</v>
      </c>
      <c r="M3244">
        <v>0</v>
      </c>
      <c r="N3244" t="s">
        <v>175</v>
      </c>
      <c r="O3244">
        <v>1</v>
      </c>
      <c r="P3244">
        <v>0</v>
      </c>
      <c r="Q3244" s="6">
        <v>42.1</v>
      </c>
      <c r="R3244">
        <v>0</v>
      </c>
      <c r="S3244" s="6">
        <v>0</v>
      </c>
      <c r="T3244">
        <v>0</v>
      </c>
      <c r="U3244" s="6">
        <v>2690</v>
      </c>
      <c r="V3244">
        <v>1</v>
      </c>
      <c r="W3244">
        <v>0</v>
      </c>
      <c r="X3244">
        <v>0</v>
      </c>
      <c r="Y3244" s="6">
        <v>25</v>
      </c>
      <c r="Z3244">
        <v>0.52800000000000002</v>
      </c>
      <c r="AA3244">
        <v>9.7000000000000003E-2</v>
      </c>
      <c r="AB3244">
        <v>8.6999999999999994E-2</v>
      </c>
      <c r="AC3244">
        <v>4</v>
      </c>
      <c r="AD3244" s="6">
        <v>65</v>
      </c>
      <c r="AE3244" s="6">
        <v>0</v>
      </c>
      <c r="AF3244" s="6">
        <v>0</v>
      </c>
      <c r="AG3244" s="6">
        <v>104.66</v>
      </c>
      <c r="AH3244" s="6">
        <v>131.99</v>
      </c>
      <c r="AI3244" s="6">
        <f t="shared" si="100"/>
        <v>27.330000000000013</v>
      </c>
      <c r="AJ3244" s="5">
        <f t="shared" si="101"/>
        <v>0.20706114099553005</v>
      </c>
    </row>
    <row r="3245" spans="1:36">
      <c r="A3245" t="s">
        <v>263</v>
      </c>
      <c r="B3245" t="s">
        <v>3530</v>
      </c>
      <c r="C3245" t="s">
        <v>132</v>
      </c>
      <c r="D3245" t="s">
        <v>60</v>
      </c>
      <c r="E3245" t="s">
        <v>55</v>
      </c>
      <c r="F3245">
        <v>0</v>
      </c>
      <c r="G3245">
        <v>180</v>
      </c>
      <c r="H3245">
        <v>1.22</v>
      </c>
      <c r="I3245" t="s">
        <v>173</v>
      </c>
      <c r="J3245">
        <v>1</v>
      </c>
      <c r="K3245" s="6">
        <v>1.6</v>
      </c>
      <c r="L3245" t="s">
        <v>174</v>
      </c>
      <c r="M3245">
        <v>0</v>
      </c>
      <c r="N3245" t="s">
        <v>182</v>
      </c>
      <c r="O3245">
        <v>3</v>
      </c>
      <c r="P3245">
        <v>0</v>
      </c>
      <c r="Q3245" s="6">
        <v>136.69999999999999</v>
      </c>
      <c r="R3245">
        <v>0</v>
      </c>
      <c r="S3245" s="6">
        <v>0</v>
      </c>
      <c r="T3245">
        <v>0</v>
      </c>
      <c r="U3245" s="6">
        <v>2657</v>
      </c>
      <c r="V3245">
        <v>0</v>
      </c>
      <c r="W3245">
        <v>0</v>
      </c>
      <c r="X3245">
        <v>0</v>
      </c>
      <c r="Y3245" s="6">
        <v>25</v>
      </c>
      <c r="Z3245">
        <v>0.52800000000000002</v>
      </c>
      <c r="AA3245">
        <v>9.7000000000000003E-2</v>
      </c>
      <c r="AB3245">
        <v>8.6999999999999994E-2</v>
      </c>
      <c r="AC3245">
        <v>4</v>
      </c>
      <c r="AD3245" s="6">
        <v>65</v>
      </c>
      <c r="AE3245" s="6">
        <v>0</v>
      </c>
      <c r="AF3245" s="6">
        <v>0</v>
      </c>
      <c r="AG3245" s="6">
        <v>78.64</v>
      </c>
      <c r="AH3245" s="6">
        <v>98.4</v>
      </c>
      <c r="AI3245" s="6">
        <f t="shared" si="100"/>
        <v>19.760000000000005</v>
      </c>
      <c r="AJ3245" s="5">
        <f t="shared" si="101"/>
        <v>0.20081300813008135</v>
      </c>
    </row>
    <row r="3246" spans="1:36">
      <c r="A3246" t="s">
        <v>360</v>
      </c>
      <c r="B3246" t="s">
        <v>3531</v>
      </c>
      <c r="C3246" t="s">
        <v>132</v>
      </c>
      <c r="D3246" t="s">
        <v>60</v>
      </c>
      <c r="E3246" t="s">
        <v>55</v>
      </c>
      <c r="F3246">
        <v>0</v>
      </c>
      <c r="G3246">
        <v>180</v>
      </c>
      <c r="H3246">
        <v>1.22</v>
      </c>
      <c r="I3246" t="s">
        <v>220</v>
      </c>
      <c r="J3246">
        <v>2</v>
      </c>
      <c r="K3246" s="6">
        <v>5.65</v>
      </c>
      <c r="L3246" t="s">
        <v>174</v>
      </c>
      <c r="M3246">
        <v>0</v>
      </c>
      <c r="N3246" t="s">
        <v>187</v>
      </c>
      <c r="O3246">
        <v>2</v>
      </c>
      <c r="P3246">
        <v>0</v>
      </c>
      <c r="Q3246" s="6">
        <v>65.900000000000006</v>
      </c>
      <c r="R3246">
        <v>0</v>
      </c>
      <c r="S3246" s="6">
        <v>0</v>
      </c>
      <c r="T3246">
        <v>0</v>
      </c>
      <c r="U3246" s="6">
        <v>3011</v>
      </c>
      <c r="V3246">
        <v>0</v>
      </c>
      <c r="W3246">
        <v>0</v>
      </c>
      <c r="X3246">
        <v>0</v>
      </c>
      <c r="Y3246" s="6">
        <v>25</v>
      </c>
      <c r="Z3246">
        <v>0.52800000000000002</v>
      </c>
      <c r="AA3246">
        <v>9.7000000000000003E-2</v>
      </c>
      <c r="AB3246">
        <v>8.6999999999999994E-2</v>
      </c>
      <c r="AC3246">
        <v>4</v>
      </c>
      <c r="AD3246" s="6">
        <v>70</v>
      </c>
      <c r="AE3246" s="6">
        <v>0</v>
      </c>
      <c r="AF3246" s="6">
        <v>0</v>
      </c>
      <c r="AG3246" s="6">
        <v>80.23</v>
      </c>
      <c r="AH3246" s="6">
        <v>102.83</v>
      </c>
      <c r="AI3246" s="6">
        <f t="shared" si="100"/>
        <v>22.599999999999994</v>
      </c>
      <c r="AJ3246" s="5">
        <f t="shared" si="101"/>
        <v>0.21978021978021972</v>
      </c>
    </row>
    <row r="3247" spans="1:36">
      <c r="A3247" t="s">
        <v>691</v>
      </c>
      <c r="B3247" t="s">
        <v>3532</v>
      </c>
      <c r="C3247" t="s">
        <v>132</v>
      </c>
      <c r="D3247" t="s">
        <v>60</v>
      </c>
      <c r="E3247" t="s">
        <v>55</v>
      </c>
      <c r="F3247">
        <v>0</v>
      </c>
      <c r="G3247">
        <v>180</v>
      </c>
      <c r="H3247">
        <v>1.22</v>
      </c>
      <c r="I3247" t="s">
        <v>173</v>
      </c>
      <c r="J3247">
        <v>1</v>
      </c>
      <c r="K3247" s="6">
        <v>1.95</v>
      </c>
      <c r="L3247" t="s">
        <v>200</v>
      </c>
      <c r="M3247">
        <v>1</v>
      </c>
      <c r="N3247" t="s">
        <v>217</v>
      </c>
      <c r="O3247">
        <v>4</v>
      </c>
      <c r="P3247">
        <v>1</v>
      </c>
      <c r="Q3247" s="6">
        <v>227.4</v>
      </c>
      <c r="R3247">
        <v>1</v>
      </c>
      <c r="S3247" s="6">
        <v>2170</v>
      </c>
      <c r="T3247">
        <v>0</v>
      </c>
      <c r="U3247" s="6">
        <v>2365</v>
      </c>
      <c r="V3247">
        <v>0</v>
      </c>
      <c r="W3247">
        <v>0</v>
      </c>
      <c r="X3247">
        <v>0</v>
      </c>
      <c r="Y3247" s="6">
        <v>25</v>
      </c>
      <c r="Z3247">
        <v>0.52800000000000002</v>
      </c>
      <c r="AA3247">
        <v>9.7000000000000003E-2</v>
      </c>
      <c r="AB3247">
        <v>8.6999999999999994E-2</v>
      </c>
      <c r="AC3247">
        <v>4</v>
      </c>
      <c r="AD3247" s="6">
        <v>130</v>
      </c>
      <c r="AE3247" s="6">
        <v>50</v>
      </c>
      <c r="AF3247" s="6">
        <v>0</v>
      </c>
      <c r="AG3247" s="6">
        <v>162.74</v>
      </c>
      <c r="AH3247" s="6">
        <v>204.87</v>
      </c>
      <c r="AI3247" s="6">
        <f t="shared" si="100"/>
        <v>42.129999999999995</v>
      </c>
      <c r="AJ3247" s="5">
        <f t="shared" si="101"/>
        <v>0.20564260262605552</v>
      </c>
    </row>
    <row r="3248" spans="1:36">
      <c r="A3248" t="s">
        <v>319</v>
      </c>
      <c r="B3248" t="s">
        <v>3533</v>
      </c>
      <c r="C3248" t="s">
        <v>132</v>
      </c>
      <c r="D3248" t="s">
        <v>60</v>
      </c>
      <c r="E3248" t="s">
        <v>55</v>
      </c>
      <c r="F3248">
        <v>0</v>
      </c>
      <c r="G3248">
        <v>180</v>
      </c>
      <c r="H3248">
        <v>1.22</v>
      </c>
      <c r="I3248" t="s">
        <v>220</v>
      </c>
      <c r="J3248">
        <v>2</v>
      </c>
      <c r="K3248" s="6">
        <v>3.83</v>
      </c>
      <c r="L3248" t="s">
        <v>200</v>
      </c>
      <c r="M3248">
        <v>1</v>
      </c>
      <c r="N3248" t="s">
        <v>217</v>
      </c>
      <c r="O3248">
        <v>4</v>
      </c>
      <c r="P3248">
        <v>1</v>
      </c>
      <c r="Q3248" s="6">
        <v>126.4</v>
      </c>
      <c r="R3248">
        <v>0</v>
      </c>
      <c r="S3248" s="6">
        <v>0</v>
      </c>
      <c r="T3248">
        <v>0</v>
      </c>
      <c r="U3248" s="6">
        <v>1393</v>
      </c>
      <c r="V3248">
        <v>0</v>
      </c>
      <c r="W3248">
        <v>0</v>
      </c>
      <c r="X3248">
        <v>0</v>
      </c>
      <c r="Y3248" s="6">
        <v>25</v>
      </c>
      <c r="Z3248">
        <v>0.52800000000000002</v>
      </c>
      <c r="AA3248">
        <v>9.7000000000000003E-2</v>
      </c>
      <c r="AB3248">
        <v>8.6999999999999994E-2</v>
      </c>
      <c r="AC3248">
        <v>4</v>
      </c>
      <c r="AD3248" s="6">
        <v>160</v>
      </c>
      <c r="AE3248" s="6">
        <v>0</v>
      </c>
      <c r="AF3248" s="6">
        <v>0</v>
      </c>
      <c r="AG3248" s="6">
        <v>171.46</v>
      </c>
      <c r="AH3248" s="6">
        <v>214.91</v>
      </c>
      <c r="AI3248" s="6">
        <f t="shared" si="100"/>
        <v>43.449999999999989</v>
      </c>
      <c r="AJ3248" s="5">
        <f t="shared" si="101"/>
        <v>0.20217765576287744</v>
      </c>
    </row>
    <row r="3249" spans="1:36">
      <c r="A3249" t="s">
        <v>494</v>
      </c>
      <c r="B3249" t="s">
        <v>3534</v>
      </c>
      <c r="C3249" t="s">
        <v>132</v>
      </c>
      <c r="D3249" t="s">
        <v>60</v>
      </c>
      <c r="E3249" t="s">
        <v>55</v>
      </c>
      <c r="F3249">
        <v>0</v>
      </c>
      <c r="G3249">
        <v>180</v>
      </c>
      <c r="H3249">
        <v>1</v>
      </c>
      <c r="I3249" t="s">
        <v>173</v>
      </c>
      <c r="J3249">
        <v>1</v>
      </c>
      <c r="K3249" s="6">
        <v>2.0299999999999998</v>
      </c>
      <c r="L3249" t="s">
        <v>174</v>
      </c>
      <c r="M3249">
        <v>0</v>
      </c>
      <c r="N3249" t="s">
        <v>187</v>
      </c>
      <c r="O3249">
        <v>2</v>
      </c>
      <c r="P3249">
        <v>0</v>
      </c>
      <c r="Q3249" s="6">
        <v>45.7</v>
      </c>
      <c r="R3249">
        <v>0</v>
      </c>
      <c r="S3249" s="6">
        <v>0</v>
      </c>
      <c r="T3249">
        <v>0</v>
      </c>
      <c r="U3249" s="6">
        <v>2846</v>
      </c>
      <c r="V3249">
        <v>0</v>
      </c>
      <c r="W3249">
        <v>0</v>
      </c>
      <c r="X3249">
        <v>0</v>
      </c>
      <c r="Y3249" s="6">
        <v>25</v>
      </c>
      <c r="Z3249">
        <v>0.52800000000000002</v>
      </c>
      <c r="AA3249">
        <v>9.7000000000000003E-2</v>
      </c>
      <c r="AB3249">
        <v>8.6999999999999994E-2</v>
      </c>
      <c r="AC3249">
        <v>4</v>
      </c>
      <c r="AD3249" s="6">
        <v>65</v>
      </c>
      <c r="AE3249" s="6">
        <v>0</v>
      </c>
      <c r="AF3249" s="6">
        <v>0</v>
      </c>
      <c r="AG3249" s="6">
        <v>59.72</v>
      </c>
      <c r="AH3249" s="6">
        <v>79.459999999999994</v>
      </c>
      <c r="AI3249" s="6">
        <f t="shared" si="100"/>
        <v>19.739999999999995</v>
      </c>
      <c r="AJ3249" s="5">
        <f t="shared" si="101"/>
        <v>0.248426881449786</v>
      </c>
    </row>
    <row r="3250" spans="1:36">
      <c r="A3250" t="s">
        <v>384</v>
      </c>
      <c r="B3250" t="s">
        <v>3535</v>
      </c>
      <c r="C3250" t="s">
        <v>132</v>
      </c>
      <c r="D3250" t="s">
        <v>60</v>
      </c>
      <c r="E3250" t="s">
        <v>55</v>
      </c>
      <c r="F3250">
        <v>0</v>
      </c>
      <c r="G3250">
        <v>180</v>
      </c>
      <c r="H3250">
        <v>1.22</v>
      </c>
      <c r="I3250" t="s">
        <v>220</v>
      </c>
      <c r="J3250">
        <v>2</v>
      </c>
      <c r="K3250" s="6">
        <v>2.71</v>
      </c>
      <c r="L3250" t="s">
        <v>200</v>
      </c>
      <c r="M3250">
        <v>1</v>
      </c>
      <c r="N3250" t="s">
        <v>187</v>
      </c>
      <c r="O3250">
        <v>2</v>
      </c>
      <c r="P3250">
        <v>1</v>
      </c>
      <c r="Q3250" s="6">
        <v>45.3</v>
      </c>
      <c r="R3250">
        <v>0</v>
      </c>
      <c r="S3250" s="6">
        <v>0</v>
      </c>
      <c r="T3250">
        <v>0</v>
      </c>
      <c r="U3250" s="6">
        <v>710</v>
      </c>
      <c r="V3250">
        <v>0</v>
      </c>
      <c r="W3250">
        <v>0</v>
      </c>
      <c r="X3250">
        <v>0</v>
      </c>
      <c r="Y3250" s="6">
        <v>25</v>
      </c>
      <c r="Z3250">
        <v>0.52800000000000002</v>
      </c>
      <c r="AA3250">
        <v>9.7000000000000003E-2</v>
      </c>
      <c r="AB3250">
        <v>8.6999999999999994E-2</v>
      </c>
      <c r="AC3250">
        <v>4</v>
      </c>
      <c r="AD3250" s="6">
        <v>160</v>
      </c>
      <c r="AE3250" s="6">
        <v>0</v>
      </c>
      <c r="AF3250" s="6">
        <v>0</v>
      </c>
      <c r="AG3250" s="6">
        <v>146.94</v>
      </c>
      <c r="AH3250" s="6">
        <v>186.66</v>
      </c>
      <c r="AI3250" s="6">
        <f t="shared" si="100"/>
        <v>39.72</v>
      </c>
      <c r="AJ3250" s="5">
        <f t="shared" si="101"/>
        <v>0.21279331404693025</v>
      </c>
    </row>
    <row r="3251" spans="1:36">
      <c r="A3251" t="s">
        <v>512</v>
      </c>
      <c r="B3251" t="s">
        <v>3536</v>
      </c>
      <c r="C3251" t="s">
        <v>132</v>
      </c>
      <c r="D3251" t="s">
        <v>60</v>
      </c>
      <c r="E3251" t="s">
        <v>55</v>
      </c>
      <c r="F3251">
        <v>0</v>
      </c>
      <c r="G3251">
        <v>180</v>
      </c>
      <c r="H3251">
        <v>1.22</v>
      </c>
      <c r="I3251" t="s">
        <v>220</v>
      </c>
      <c r="J3251">
        <v>2</v>
      </c>
      <c r="K3251" s="6">
        <v>3.46</v>
      </c>
      <c r="L3251" t="s">
        <v>200</v>
      </c>
      <c r="M3251">
        <v>1</v>
      </c>
      <c r="N3251" t="s">
        <v>187</v>
      </c>
      <c r="O3251">
        <v>2</v>
      </c>
      <c r="P3251">
        <v>0</v>
      </c>
      <c r="Q3251" s="6">
        <v>51.4</v>
      </c>
      <c r="R3251">
        <v>0</v>
      </c>
      <c r="S3251" s="6">
        <v>0</v>
      </c>
      <c r="T3251">
        <v>0</v>
      </c>
      <c r="U3251" s="6">
        <v>2205</v>
      </c>
      <c r="V3251">
        <v>1</v>
      </c>
      <c r="W3251">
        <v>0</v>
      </c>
      <c r="X3251">
        <v>0</v>
      </c>
      <c r="Y3251" s="6">
        <v>25</v>
      </c>
      <c r="Z3251">
        <v>0.52800000000000002</v>
      </c>
      <c r="AA3251">
        <v>9.7000000000000003E-2</v>
      </c>
      <c r="AB3251">
        <v>8.6999999999999994E-2</v>
      </c>
      <c r="AC3251">
        <v>4</v>
      </c>
      <c r="AD3251" s="6">
        <v>160</v>
      </c>
      <c r="AE3251" s="6">
        <v>0</v>
      </c>
      <c r="AF3251" s="6">
        <v>0</v>
      </c>
      <c r="AG3251" s="6">
        <v>151.04</v>
      </c>
      <c r="AH3251" s="6">
        <v>192.56</v>
      </c>
      <c r="AI3251" s="6">
        <f t="shared" si="100"/>
        <v>41.52000000000001</v>
      </c>
      <c r="AJ3251" s="5">
        <f t="shared" si="101"/>
        <v>0.21562110511009561</v>
      </c>
    </row>
    <row r="3252" spans="1:36">
      <c r="A3252" t="s">
        <v>183</v>
      </c>
      <c r="B3252" t="s">
        <v>3537</v>
      </c>
      <c r="C3252" t="s">
        <v>132</v>
      </c>
      <c r="D3252" t="s">
        <v>60</v>
      </c>
      <c r="E3252" t="s">
        <v>55</v>
      </c>
      <c r="F3252">
        <v>0</v>
      </c>
      <c r="G3252">
        <v>180</v>
      </c>
      <c r="H3252">
        <v>1</v>
      </c>
      <c r="I3252" t="s">
        <v>220</v>
      </c>
      <c r="J3252">
        <v>2</v>
      </c>
      <c r="K3252" s="6">
        <v>4.6399999999999997</v>
      </c>
      <c r="L3252" t="s">
        <v>200</v>
      </c>
      <c r="M3252">
        <v>1</v>
      </c>
      <c r="N3252" t="s">
        <v>182</v>
      </c>
      <c r="O3252">
        <v>3</v>
      </c>
      <c r="P3252">
        <v>0</v>
      </c>
      <c r="Q3252" s="6">
        <v>98.6</v>
      </c>
      <c r="R3252">
        <v>0</v>
      </c>
      <c r="S3252" s="6">
        <v>0</v>
      </c>
      <c r="T3252">
        <v>0</v>
      </c>
      <c r="U3252" s="6">
        <v>2063</v>
      </c>
      <c r="V3252">
        <v>0</v>
      </c>
      <c r="W3252">
        <v>0</v>
      </c>
      <c r="X3252">
        <v>0</v>
      </c>
      <c r="Y3252" s="6">
        <v>25</v>
      </c>
      <c r="Z3252">
        <v>0.52800000000000002</v>
      </c>
      <c r="AA3252">
        <v>9.7000000000000003E-2</v>
      </c>
      <c r="AB3252">
        <v>8.6999999999999994E-2</v>
      </c>
      <c r="AC3252">
        <v>4</v>
      </c>
      <c r="AD3252" s="6">
        <v>160</v>
      </c>
      <c r="AE3252" s="6">
        <v>0</v>
      </c>
      <c r="AF3252" s="6">
        <v>0</v>
      </c>
      <c r="AG3252" s="6">
        <v>103.6</v>
      </c>
      <c r="AH3252" s="6">
        <v>160.84</v>
      </c>
      <c r="AI3252" s="6">
        <f t="shared" si="100"/>
        <v>57.240000000000009</v>
      </c>
      <c r="AJ3252" s="5">
        <f t="shared" si="101"/>
        <v>0.35588162148719227</v>
      </c>
    </row>
    <row r="3253" spans="1:36">
      <c r="A3253" t="s">
        <v>306</v>
      </c>
      <c r="B3253" t="s">
        <v>3538</v>
      </c>
      <c r="C3253" t="s">
        <v>132</v>
      </c>
      <c r="D3253" t="s">
        <v>60</v>
      </c>
      <c r="E3253" t="s">
        <v>55</v>
      </c>
      <c r="F3253">
        <v>0</v>
      </c>
      <c r="G3253">
        <v>180</v>
      </c>
      <c r="H3253">
        <v>1.22</v>
      </c>
      <c r="I3253" t="s">
        <v>173</v>
      </c>
      <c r="J3253">
        <v>1</v>
      </c>
      <c r="K3253" s="6">
        <v>2.4300000000000002</v>
      </c>
      <c r="L3253" t="s">
        <v>200</v>
      </c>
      <c r="M3253">
        <v>1</v>
      </c>
      <c r="N3253" t="s">
        <v>187</v>
      </c>
      <c r="O3253">
        <v>2</v>
      </c>
      <c r="P3253">
        <v>0</v>
      </c>
      <c r="Q3253" s="6">
        <v>65.8</v>
      </c>
      <c r="R3253">
        <v>1</v>
      </c>
      <c r="S3253" s="6">
        <v>1091</v>
      </c>
      <c r="T3253">
        <v>0</v>
      </c>
      <c r="U3253" s="6">
        <v>2315</v>
      </c>
      <c r="V3253">
        <v>0</v>
      </c>
      <c r="W3253">
        <v>0</v>
      </c>
      <c r="X3253">
        <v>0</v>
      </c>
      <c r="Y3253" s="6">
        <v>25</v>
      </c>
      <c r="Z3253">
        <v>0.52800000000000002</v>
      </c>
      <c r="AA3253">
        <v>9.7000000000000003E-2</v>
      </c>
      <c r="AB3253">
        <v>8.6999999999999994E-2</v>
      </c>
      <c r="AC3253">
        <v>4</v>
      </c>
      <c r="AD3253" s="6">
        <v>130</v>
      </c>
      <c r="AE3253" s="6">
        <v>30</v>
      </c>
      <c r="AF3253" s="6">
        <v>0</v>
      </c>
      <c r="AG3253" s="6">
        <v>104.45</v>
      </c>
      <c r="AH3253" s="6">
        <v>133.04</v>
      </c>
      <c r="AI3253" s="6">
        <f t="shared" si="100"/>
        <v>28.589999999999989</v>
      </c>
      <c r="AJ3253" s="5">
        <f t="shared" si="101"/>
        <v>0.21489777510523145</v>
      </c>
    </row>
    <row r="3254" spans="1:36">
      <c r="A3254" t="s">
        <v>206</v>
      </c>
      <c r="B3254" t="s">
        <v>3539</v>
      </c>
      <c r="C3254" t="s">
        <v>132</v>
      </c>
      <c r="D3254" t="s">
        <v>60</v>
      </c>
      <c r="E3254" t="s">
        <v>55</v>
      </c>
      <c r="F3254">
        <v>0</v>
      </c>
      <c r="G3254">
        <v>180</v>
      </c>
      <c r="H3254">
        <v>1.22</v>
      </c>
      <c r="I3254" t="s">
        <v>220</v>
      </c>
      <c r="J3254">
        <v>2</v>
      </c>
      <c r="K3254" s="6">
        <v>5.48</v>
      </c>
      <c r="L3254" t="s">
        <v>200</v>
      </c>
      <c r="M3254">
        <v>1</v>
      </c>
      <c r="N3254" t="s">
        <v>175</v>
      </c>
      <c r="O3254">
        <v>1</v>
      </c>
      <c r="P3254">
        <v>0</v>
      </c>
      <c r="Q3254" s="6">
        <v>29.8</v>
      </c>
      <c r="R3254">
        <v>0</v>
      </c>
      <c r="S3254" s="6">
        <v>0</v>
      </c>
      <c r="T3254">
        <v>0</v>
      </c>
      <c r="U3254" s="6">
        <v>4054</v>
      </c>
      <c r="V3254">
        <v>0</v>
      </c>
      <c r="W3254">
        <v>0</v>
      </c>
      <c r="X3254">
        <v>0</v>
      </c>
      <c r="Y3254" s="6">
        <v>25</v>
      </c>
      <c r="Z3254">
        <v>0.52800000000000002</v>
      </c>
      <c r="AA3254">
        <v>9.7000000000000003E-2</v>
      </c>
      <c r="AB3254">
        <v>8.6999999999999994E-2</v>
      </c>
      <c r="AC3254">
        <v>4</v>
      </c>
      <c r="AD3254" s="6">
        <v>160</v>
      </c>
      <c r="AE3254" s="6">
        <v>0</v>
      </c>
      <c r="AF3254" s="6">
        <v>0</v>
      </c>
      <c r="AG3254" s="6">
        <v>103.21</v>
      </c>
      <c r="AH3254" s="6">
        <v>163.83000000000001</v>
      </c>
      <c r="AI3254" s="6">
        <f t="shared" si="100"/>
        <v>60.620000000000019</v>
      </c>
      <c r="AJ3254" s="5">
        <f t="shared" si="101"/>
        <v>0.37001770127571271</v>
      </c>
    </row>
    <row r="3255" spans="1:36">
      <c r="A3255" t="s">
        <v>434</v>
      </c>
      <c r="B3255" t="s">
        <v>3540</v>
      </c>
      <c r="C3255" t="s">
        <v>132</v>
      </c>
      <c r="D3255" t="s">
        <v>60</v>
      </c>
      <c r="E3255" t="s">
        <v>55</v>
      </c>
      <c r="F3255">
        <v>0</v>
      </c>
      <c r="G3255">
        <v>180</v>
      </c>
      <c r="H3255">
        <v>1</v>
      </c>
      <c r="I3255" t="s">
        <v>220</v>
      </c>
      <c r="J3255">
        <v>2</v>
      </c>
      <c r="K3255" s="6">
        <v>2.66</v>
      </c>
      <c r="L3255" t="s">
        <v>200</v>
      </c>
      <c r="M3255">
        <v>1</v>
      </c>
      <c r="N3255" t="s">
        <v>217</v>
      </c>
      <c r="O3255">
        <v>4</v>
      </c>
      <c r="P3255">
        <v>1</v>
      </c>
      <c r="Q3255" s="6">
        <v>100.3</v>
      </c>
      <c r="R3255">
        <v>1</v>
      </c>
      <c r="S3255" s="6">
        <v>1019</v>
      </c>
      <c r="T3255">
        <v>0</v>
      </c>
      <c r="U3255" s="6">
        <v>492</v>
      </c>
      <c r="V3255">
        <v>0</v>
      </c>
      <c r="W3255">
        <v>0</v>
      </c>
      <c r="X3255">
        <v>0</v>
      </c>
      <c r="Y3255" s="6">
        <v>25</v>
      </c>
      <c r="Z3255">
        <v>0.52800000000000002</v>
      </c>
      <c r="AA3255">
        <v>9.7000000000000003E-2</v>
      </c>
      <c r="AB3255">
        <v>8.6999999999999994E-2</v>
      </c>
      <c r="AC3255">
        <v>4</v>
      </c>
      <c r="AD3255" s="6">
        <v>160</v>
      </c>
      <c r="AE3255" s="6">
        <v>30</v>
      </c>
      <c r="AF3255" s="6">
        <v>0</v>
      </c>
      <c r="AG3255" s="6">
        <v>172.26</v>
      </c>
      <c r="AH3255" s="6">
        <v>217.27</v>
      </c>
      <c r="AI3255" s="6">
        <f t="shared" si="100"/>
        <v>45.010000000000019</v>
      </c>
      <c r="AJ3255" s="5">
        <f t="shared" si="101"/>
        <v>0.20716159617066332</v>
      </c>
    </row>
    <row r="3256" spans="1:36">
      <c r="A3256" t="s">
        <v>230</v>
      </c>
      <c r="B3256" t="s">
        <v>3541</v>
      </c>
      <c r="C3256" t="s">
        <v>132</v>
      </c>
      <c r="D3256" t="s">
        <v>60</v>
      </c>
      <c r="E3256" t="s">
        <v>55</v>
      </c>
      <c r="F3256">
        <v>0</v>
      </c>
      <c r="G3256">
        <v>180</v>
      </c>
      <c r="H3256">
        <v>1</v>
      </c>
      <c r="I3256" t="s">
        <v>220</v>
      </c>
      <c r="J3256">
        <v>2</v>
      </c>
      <c r="K3256" s="6">
        <v>4.2699999999999996</v>
      </c>
      <c r="L3256" t="s">
        <v>174</v>
      </c>
      <c r="M3256">
        <v>0</v>
      </c>
      <c r="N3256" t="s">
        <v>187</v>
      </c>
      <c r="O3256">
        <v>2</v>
      </c>
      <c r="P3256">
        <v>0</v>
      </c>
      <c r="Q3256" s="6">
        <v>34.5</v>
      </c>
      <c r="R3256">
        <v>0</v>
      </c>
      <c r="S3256" s="6">
        <v>0</v>
      </c>
      <c r="T3256">
        <v>0</v>
      </c>
      <c r="U3256" s="6">
        <v>1833</v>
      </c>
      <c r="V3256">
        <v>0</v>
      </c>
      <c r="W3256">
        <v>0</v>
      </c>
      <c r="X3256">
        <v>0</v>
      </c>
      <c r="Y3256" s="6">
        <v>25</v>
      </c>
      <c r="Z3256">
        <v>0.52800000000000002</v>
      </c>
      <c r="AA3256">
        <v>9.7000000000000003E-2</v>
      </c>
      <c r="AB3256">
        <v>8.6999999999999994E-2</v>
      </c>
      <c r="AC3256">
        <v>4</v>
      </c>
      <c r="AD3256" s="6">
        <v>70</v>
      </c>
      <c r="AE3256" s="6">
        <v>0</v>
      </c>
      <c r="AF3256" s="6">
        <v>0</v>
      </c>
      <c r="AG3256" s="6">
        <v>67.959999999999994</v>
      </c>
      <c r="AH3256" s="6">
        <v>88.51</v>
      </c>
      <c r="AI3256" s="6">
        <f t="shared" si="100"/>
        <v>20.550000000000011</v>
      </c>
      <c r="AJ3256" s="5">
        <f t="shared" si="101"/>
        <v>0.23217715512371495</v>
      </c>
    </row>
    <row r="3257" spans="1:36">
      <c r="A3257" t="s">
        <v>362</v>
      </c>
      <c r="B3257" t="s">
        <v>3542</v>
      </c>
      <c r="C3257" t="s">
        <v>132</v>
      </c>
      <c r="D3257" t="s">
        <v>60</v>
      </c>
      <c r="E3257" t="s">
        <v>55</v>
      </c>
      <c r="F3257">
        <v>0</v>
      </c>
      <c r="G3257">
        <v>180</v>
      </c>
      <c r="H3257">
        <v>1</v>
      </c>
      <c r="I3257" t="s">
        <v>173</v>
      </c>
      <c r="J3257">
        <v>1</v>
      </c>
      <c r="K3257" s="6">
        <v>1.2</v>
      </c>
      <c r="L3257" t="s">
        <v>174</v>
      </c>
      <c r="M3257">
        <v>0</v>
      </c>
      <c r="N3257" t="s">
        <v>182</v>
      </c>
      <c r="O3257">
        <v>3</v>
      </c>
      <c r="P3257">
        <v>0</v>
      </c>
      <c r="Q3257" s="6">
        <v>41.8</v>
      </c>
      <c r="R3257">
        <v>0</v>
      </c>
      <c r="S3257" s="6">
        <v>0</v>
      </c>
      <c r="T3257">
        <v>0</v>
      </c>
      <c r="U3257" s="6">
        <v>2776</v>
      </c>
      <c r="V3257">
        <v>1</v>
      </c>
      <c r="W3257">
        <v>0</v>
      </c>
      <c r="X3257">
        <v>1</v>
      </c>
      <c r="Y3257" s="6">
        <v>25</v>
      </c>
      <c r="Z3257">
        <v>0.52800000000000002</v>
      </c>
      <c r="AA3257">
        <v>9.7000000000000003E-2</v>
      </c>
      <c r="AB3257">
        <v>8.6999999999999994E-2</v>
      </c>
      <c r="AC3257">
        <v>4</v>
      </c>
      <c r="AD3257" s="6">
        <v>65</v>
      </c>
      <c r="AE3257" s="6">
        <v>0</v>
      </c>
      <c r="AF3257" s="6">
        <v>0</v>
      </c>
      <c r="AG3257" s="6">
        <v>101.1</v>
      </c>
      <c r="AH3257" s="6">
        <v>126.5</v>
      </c>
      <c r="AI3257" s="6">
        <f t="shared" si="100"/>
        <v>25.400000000000006</v>
      </c>
      <c r="AJ3257" s="5">
        <f t="shared" si="101"/>
        <v>0.20079051383399213</v>
      </c>
    </row>
    <row r="3258" spans="1:36">
      <c r="A3258" t="s">
        <v>319</v>
      </c>
      <c r="B3258" t="s">
        <v>3543</v>
      </c>
      <c r="C3258" t="s">
        <v>132</v>
      </c>
      <c r="D3258" t="s">
        <v>60</v>
      </c>
      <c r="E3258" t="s">
        <v>55</v>
      </c>
      <c r="F3258">
        <v>0</v>
      </c>
      <c r="G3258">
        <v>180</v>
      </c>
      <c r="H3258">
        <v>1.22</v>
      </c>
      <c r="I3258" t="s">
        <v>220</v>
      </c>
      <c r="J3258">
        <v>2</v>
      </c>
      <c r="K3258" s="6">
        <v>4.55</v>
      </c>
      <c r="L3258" t="s">
        <v>200</v>
      </c>
      <c r="M3258">
        <v>1</v>
      </c>
      <c r="N3258" t="s">
        <v>175</v>
      </c>
      <c r="O3258">
        <v>1</v>
      </c>
      <c r="P3258">
        <v>0</v>
      </c>
      <c r="Q3258" s="6">
        <v>23.8</v>
      </c>
      <c r="R3258">
        <v>0</v>
      </c>
      <c r="S3258" s="6">
        <v>0</v>
      </c>
      <c r="T3258">
        <v>0</v>
      </c>
      <c r="U3258" s="6">
        <v>1035</v>
      </c>
      <c r="V3258">
        <v>0</v>
      </c>
      <c r="W3258">
        <v>0</v>
      </c>
      <c r="X3258">
        <v>0</v>
      </c>
      <c r="Y3258" s="6">
        <v>25</v>
      </c>
      <c r="Z3258">
        <v>0.52800000000000002</v>
      </c>
      <c r="AA3258">
        <v>9.7000000000000003E-2</v>
      </c>
      <c r="AB3258">
        <v>8.6999999999999994E-2</v>
      </c>
      <c r="AC3258">
        <v>4</v>
      </c>
      <c r="AD3258" s="6">
        <v>160</v>
      </c>
      <c r="AE3258" s="6">
        <v>0</v>
      </c>
      <c r="AF3258" s="6">
        <v>0</v>
      </c>
      <c r="AG3258" s="6">
        <v>102.89</v>
      </c>
      <c r="AH3258" s="6">
        <v>160.55000000000001</v>
      </c>
      <c r="AI3258" s="6">
        <f t="shared" si="100"/>
        <v>57.660000000000011</v>
      </c>
      <c r="AJ3258" s="5">
        <f t="shared" si="101"/>
        <v>0.35914045468701344</v>
      </c>
    </row>
    <row r="3259" spans="1:36">
      <c r="A3259" t="s">
        <v>240</v>
      </c>
      <c r="B3259" t="s">
        <v>3544</v>
      </c>
      <c r="C3259" t="s">
        <v>132</v>
      </c>
      <c r="D3259" t="s">
        <v>60</v>
      </c>
      <c r="E3259" t="s">
        <v>55</v>
      </c>
      <c r="F3259">
        <v>0</v>
      </c>
      <c r="G3259">
        <v>180</v>
      </c>
      <c r="H3259">
        <v>1</v>
      </c>
      <c r="I3259" t="s">
        <v>173</v>
      </c>
      <c r="J3259">
        <v>1</v>
      </c>
      <c r="K3259" s="6">
        <v>1.1000000000000001</v>
      </c>
      <c r="L3259" t="s">
        <v>200</v>
      </c>
      <c r="M3259">
        <v>1</v>
      </c>
      <c r="N3259" t="s">
        <v>175</v>
      </c>
      <c r="O3259">
        <v>1</v>
      </c>
      <c r="P3259">
        <v>1</v>
      </c>
      <c r="Q3259" s="6">
        <v>26.8</v>
      </c>
      <c r="R3259">
        <v>0</v>
      </c>
      <c r="S3259" s="6">
        <v>0</v>
      </c>
      <c r="T3259">
        <v>0</v>
      </c>
      <c r="U3259" s="6">
        <v>1657</v>
      </c>
      <c r="V3259">
        <v>0</v>
      </c>
      <c r="W3259">
        <v>0</v>
      </c>
      <c r="X3259">
        <v>0</v>
      </c>
      <c r="Y3259" s="6">
        <v>25</v>
      </c>
      <c r="Z3259">
        <v>0.52800000000000002</v>
      </c>
      <c r="AA3259">
        <v>9.7000000000000003E-2</v>
      </c>
      <c r="AB3259">
        <v>8.6999999999999994E-2</v>
      </c>
      <c r="AC3259">
        <v>4</v>
      </c>
      <c r="AD3259" s="6">
        <v>130</v>
      </c>
      <c r="AE3259" s="6">
        <v>0</v>
      </c>
      <c r="AF3259" s="6">
        <v>0</v>
      </c>
      <c r="AG3259" s="6">
        <v>123.59</v>
      </c>
      <c r="AH3259" s="6">
        <v>156.03</v>
      </c>
      <c r="AI3259" s="6">
        <f t="shared" si="100"/>
        <v>32.44</v>
      </c>
      <c r="AJ3259" s="5">
        <f t="shared" si="101"/>
        <v>0.20790873549958339</v>
      </c>
    </row>
    <row r="3260" spans="1:36">
      <c r="A3260" t="s">
        <v>183</v>
      </c>
      <c r="B3260" t="s">
        <v>3545</v>
      </c>
      <c r="C3260" t="s">
        <v>132</v>
      </c>
      <c r="D3260" t="s">
        <v>60</v>
      </c>
      <c r="E3260" t="s">
        <v>55</v>
      </c>
      <c r="F3260">
        <v>0</v>
      </c>
      <c r="G3260">
        <v>180</v>
      </c>
      <c r="H3260">
        <v>1</v>
      </c>
      <c r="I3260" t="s">
        <v>173</v>
      </c>
      <c r="J3260">
        <v>1</v>
      </c>
      <c r="K3260" s="6">
        <v>1.04</v>
      </c>
      <c r="L3260" t="s">
        <v>200</v>
      </c>
      <c r="M3260">
        <v>1</v>
      </c>
      <c r="N3260" t="s">
        <v>175</v>
      </c>
      <c r="O3260">
        <v>1</v>
      </c>
      <c r="P3260">
        <v>0</v>
      </c>
      <c r="Q3260" s="6">
        <v>42</v>
      </c>
      <c r="R3260">
        <v>0</v>
      </c>
      <c r="S3260" s="6">
        <v>0</v>
      </c>
      <c r="T3260">
        <v>0</v>
      </c>
      <c r="U3260" s="6">
        <v>731</v>
      </c>
      <c r="V3260">
        <v>0</v>
      </c>
      <c r="W3260">
        <v>1</v>
      </c>
      <c r="X3260">
        <v>0</v>
      </c>
      <c r="Y3260" s="6">
        <v>25</v>
      </c>
      <c r="Z3260">
        <v>0.52800000000000002</v>
      </c>
      <c r="AA3260">
        <v>9.7000000000000003E-2</v>
      </c>
      <c r="AB3260">
        <v>8.6999999999999994E-2</v>
      </c>
      <c r="AC3260">
        <v>4</v>
      </c>
      <c r="AD3260" s="6">
        <v>130</v>
      </c>
      <c r="AE3260" s="6">
        <v>0</v>
      </c>
      <c r="AF3260" s="6">
        <v>0</v>
      </c>
      <c r="AG3260" s="6">
        <v>117</v>
      </c>
      <c r="AH3260" s="6">
        <v>148.71</v>
      </c>
      <c r="AI3260" s="6">
        <f t="shared" si="100"/>
        <v>31.710000000000008</v>
      </c>
      <c r="AJ3260" s="5">
        <f t="shared" si="101"/>
        <v>0.21323381077264478</v>
      </c>
    </row>
    <row r="3261" spans="1:36">
      <c r="A3261" t="s">
        <v>277</v>
      </c>
      <c r="B3261" t="s">
        <v>3546</v>
      </c>
      <c r="C3261" t="s">
        <v>132</v>
      </c>
      <c r="D3261" t="s">
        <v>60</v>
      </c>
      <c r="E3261" t="s">
        <v>55</v>
      </c>
      <c r="F3261">
        <v>0</v>
      </c>
      <c r="G3261">
        <v>180</v>
      </c>
      <c r="H3261">
        <v>1.22</v>
      </c>
      <c r="I3261" t="s">
        <v>173</v>
      </c>
      <c r="J3261">
        <v>1</v>
      </c>
      <c r="K3261" s="6">
        <v>1.69</v>
      </c>
      <c r="L3261" t="s">
        <v>174</v>
      </c>
      <c r="M3261">
        <v>0</v>
      </c>
      <c r="N3261" t="s">
        <v>175</v>
      </c>
      <c r="O3261">
        <v>1</v>
      </c>
      <c r="P3261">
        <v>0</v>
      </c>
      <c r="Q3261" s="6">
        <v>27.1</v>
      </c>
      <c r="R3261">
        <v>0</v>
      </c>
      <c r="S3261" s="6">
        <v>0</v>
      </c>
      <c r="T3261">
        <v>0</v>
      </c>
      <c r="U3261" s="6">
        <v>777</v>
      </c>
      <c r="V3261">
        <v>0</v>
      </c>
      <c r="W3261">
        <v>0</v>
      </c>
      <c r="X3261">
        <v>0</v>
      </c>
      <c r="Y3261" s="6">
        <v>25</v>
      </c>
      <c r="Z3261">
        <v>0.52800000000000002</v>
      </c>
      <c r="AA3261">
        <v>9.7000000000000003E-2</v>
      </c>
      <c r="AB3261">
        <v>8.6999999999999994E-2</v>
      </c>
      <c r="AC3261">
        <v>4</v>
      </c>
      <c r="AD3261" s="6">
        <v>65</v>
      </c>
      <c r="AE3261" s="6">
        <v>0</v>
      </c>
      <c r="AF3261" s="6">
        <v>0</v>
      </c>
      <c r="AG3261" s="6">
        <v>63.26</v>
      </c>
      <c r="AH3261" s="6">
        <v>80.41</v>
      </c>
      <c r="AI3261" s="6">
        <f t="shared" si="100"/>
        <v>17.149999999999999</v>
      </c>
      <c r="AJ3261" s="5">
        <f t="shared" si="101"/>
        <v>0.21328193010819549</v>
      </c>
    </row>
    <row r="3262" spans="1:36">
      <c r="A3262" t="s">
        <v>423</v>
      </c>
      <c r="B3262" t="s">
        <v>3547</v>
      </c>
      <c r="C3262" t="s">
        <v>134</v>
      </c>
      <c r="D3262" t="s">
        <v>77</v>
      </c>
      <c r="E3262" t="s">
        <v>69</v>
      </c>
      <c r="F3262">
        <v>0</v>
      </c>
      <c r="G3262">
        <v>1134</v>
      </c>
      <c r="H3262">
        <v>1</v>
      </c>
      <c r="I3262" t="s">
        <v>220</v>
      </c>
      <c r="J3262">
        <v>2</v>
      </c>
      <c r="K3262" s="6">
        <v>2.42</v>
      </c>
      <c r="L3262" t="s">
        <v>174</v>
      </c>
      <c r="M3262">
        <v>0</v>
      </c>
      <c r="N3262" t="s">
        <v>187</v>
      </c>
      <c r="O3262">
        <v>2</v>
      </c>
      <c r="P3262">
        <v>0</v>
      </c>
      <c r="Q3262" s="6">
        <v>57.8</v>
      </c>
      <c r="R3262">
        <v>0</v>
      </c>
      <c r="S3262" s="6">
        <v>0</v>
      </c>
      <c r="T3262">
        <v>0</v>
      </c>
      <c r="U3262" s="6">
        <v>6710</v>
      </c>
      <c r="V3262">
        <v>0</v>
      </c>
      <c r="W3262">
        <v>0</v>
      </c>
      <c r="X3262">
        <v>0</v>
      </c>
      <c r="Y3262" s="6">
        <v>37.4</v>
      </c>
      <c r="Z3262">
        <v>0.158</v>
      </c>
      <c r="AA3262">
        <v>0.15</v>
      </c>
      <c r="AB3262">
        <v>4.7E-2</v>
      </c>
      <c r="AC3262">
        <v>5</v>
      </c>
      <c r="AD3262" s="6">
        <v>51</v>
      </c>
      <c r="AE3262" s="6">
        <v>0</v>
      </c>
      <c r="AF3262" s="6">
        <v>0</v>
      </c>
      <c r="AG3262" s="6">
        <v>63.98</v>
      </c>
      <c r="AH3262" s="6">
        <v>80.84</v>
      </c>
      <c r="AI3262" s="6">
        <f t="shared" si="100"/>
        <v>16.860000000000007</v>
      </c>
      <c r="AJ3262" s="5">
        <f t="shared" si="101"/>
        <v>0.2085601187530926</v>
      </c>
    </row>
    <row r="3263" spans="1:36">
      <c r="A3263" t="s">
        <v>635</v>
      </c>
      <c r="B3263" t="s">
        <v>3548</v>
      </c>
      <c r="C3263" t="s">
        <v>134</v>
      </c>
      <c r="D3263" t="s">
        <v>77</v>
      </c>
      <c r="E3263" t="s">
        <v>69</v>
      </c>
      <c r="F3263">
        <v>0</v>
      </c>
      <c r="G3263">
        <v>1134</v>
      </c>
      <c r="H3263">
        <v>1</v>
      </c>
      <c r="I3263" t="s">
        <v>173</v>
      </c>
      <c r="J3263">
        <v>1</v>
      </c>
      <c r="K3263" s="6">
        <v>0.72</v>
      </c>
      <c r="L3263" t="s">
        <v>174</v>
      </c>
      <c r="M3263">
        <v>0</v>
      </c>
      <c r="N3263" t="s">
        <v>217</v>
      </c>
      <c r="O3263">
        <v>4</v>
      </c>
      <c r="P3263">
        <v>1</v>
      </c>
      <c r="Q3263" s="6">
        <v>181.8</v>
      </c>
      <c r="R3263">
        <v>0</v>
      </c>
      <c r="S3263" s="6">
        <v>0</v>
      </c>
      <c r="T3263">
        <v>0</v>
      </c>
      <c r="U3263" s="6">
        <v>3043</v>
      </c>
      <c r="V3263">
        <v>0</v>
      </c>
      <c r="W3263">
        <v>0</v>
      </c>
      <c r="X3263">
        <v>0</v>
      </c>
      <c r="Y3263" s="6">
        <v>37.4</v>
      </c>
      <c r="Z3263">
        <v>0.158</v>
      </c>
      <c r="AA3263">
        <v>0.15</v>
      </c>
      <c r="AB3263">
        <v>4.7E-2</v>
      </c>
      <c r="AC3263">
        <v>5</v>
      </c>
      <c r="AD3263" s="6">
        <v>51</v>
      </c>
      <c r="AE3263" s="6">
        <v>0</v>
      </c>
      <c r="AF3263" s="6">
        <v>0</v>
      </c>
      <c r="AG3263" s="6">
        <v>99.52</v>
      </c>
      <c r="AH3263" s="6">
        <v>124.61</v>
      </c>
      <c r="AI3263" s="6">
        <f t="shared" si="100"/>
        <v>25.090000000000003</v>
      </c>
      <c r="AJ3263" s="5">
        <f t="shared" si="101"/>
        <v>0.20134820640398043</v>
      </c>
    </row>
    <row r="3264" spans="1:36">
      <c r="A3264" t="s">
        <v>266</v>
      </c>
      <c r="B3264" t="s">
        <v>3549</v>
      </c>
      <c r="C3264" t="s">
        <v>134</v>
      </c>
      <c r="D3264" t="s">
        <v>77</v>
      </c>
      <c r="E3264" t="s">
        <v>69</v>
      </c>
      <c r="F3264">
        <v>0</v>
      </c>
      <c r="G3264">
        <v>1134</v>
      </c>
      <c r="H3264">
        <v>1</v>
      </c>
      <c r="I3264" t="s">
        <v>181</v>
      </c>
      <c r="J3264">
        <v>3</v>
      </c>
      <c r="K3264" s="6">
        <v>7.48</v>
      </c>
      <c r="L3264" t="s">
        <v>174</v>
      </c>
      <c r="M3264">
        <v>0</v>
      </c>
      <c r="N3264" t="s">
        <v>187</v>
      </c>
      <c r="O3264">
        <v>2</v>
      </c>
      <c r="P3264">
        <v>0</v>
      </c>
      <c r="Q3264" s="6">
        <v>41.3</v>
      </c>
      <c r="R3264">
        <v>0</v>
      </c>
      <c r="S3264" s="6">
        <v>0</v>
      </c>
      <c r="T3264">
        <v>0</v>
      </c>
      <c r="U3264" s="6">
        <v>3449</v>
      </c>
      <c r="V3264">
        <v>0</v>
      </c>
      <c r="W3264">
        <v>0</v>
      </c>
      <c r="X3264">
        <v>0</v>
      </c>
      <c r="Y3264" s="6">
        <v>37.4</v>
      </c>
      <c r="Z3264">
        <v>0.158</v>
      </c>
      <c r="AA3264">
        <v>0.15</v>
      </c>
      <c r="AB3264">
        <v>4.7E-2</v>
      </c>
      <c r="AC3264">
        <v>5</v>
      </c>
      <c r="AD3264" s="6">
        <v>61</v>
      </c>
      <c r="AE3264" s="6">
        <v>0</v>
      </c>
      <c r="AF3264" s="6">
        <v>0</v>
      </c>
      <c r="AG3264" s="6">
        <v>84.8</v>
      </c>
      <c r="AH3264" s="6">
        <v>108.98</v>
      </c>
      <c r="AI3264" s="6">
        <f t="shared" si="100"/>
        <v>24.180000000000007</v>
      </c>
      <c r="AJ3264" s="5">
        <f t="shared" si="101"/>
        <v>0.22187557349972478</v>
      </c>
    </row>
    <row r="3265" spans="1:36">
      <c r="A3265" t="s">
        <v>350</v>
      </c>
      <c r="B3265" t="s">
        <v>3550</v>
      </c>
      <c r="C3265" t="s">
        <v>134</v>
      </c>
      <c r="D3265" t="s">
        <v>77</v>
      </c>
      <c r="E3265" t="s">
        <v>69</v>
      </c>
      <c r="F3265">
        <v>0</v>
      </c>
      <c r="G3265">
        <v>1134</v>
      </c>
      <c r="H3265">
        <v>1</v>
      </c>
      <c r="I3265" t="s">
        <v>173</v>
      </c>
      <c r="J3265">
        <v>1</v>
      </c>
      <c r="K3265" s="6">
        <v>0.45</v>
      </c>
      <c r="L3265" t="s">
        <v>200</v>
      </c>
      <c r="M3265">
        <v>1</v>
      </c>
      <c r="N3265" t="s">
        <v>187</v>
      </c>
      <c r="O3265">
        <v>2</v>
      </c>
      <c r="P3265">
        <v>1</v>
      </c>
      <c r="Q3265" s="6">
        <v>38.9</v>
      </c>
      <c r="R3265">
        <v>1</v>
      </c>
      <c r="S3265" s="6">
        <v>912</v>
      </c>
      <c r="T3265">
        <v>0</v>
      </c>
      <c r="U3265" s="6">
        <v>3572</v>
      </c>
      <c r="V3265">
        <v>0</v>
      </c>
      <c r="W3265">
        <v>0</v>
      </c>
      <c r="X3265">
        <v>0</v>
      </c>
      <c r="Y3265" s="6">
        <v>37.4</v>
      </c>
      <c r="Z3265">
        <v>0.158</v>
      </c>
      <c r="AA3265">
        <v>0.15</v>
      </c>
      <c r="AB3265">
        <v>4.7E-2</v>
      </c>
      <c r="AC3265">
        <v>5</v>
      </c>
      <c r="AD3265" s="6">
        <v>100</v>
      </c>
      <c r="AE3265" s="6">
        <v>25</v>
      </c>
      <c r="AF3265" s="6">
        <v>0</v>
      </c>
      <c r="AG3265" s="6">
        <v>126.67</v>
      </c>
      <c r="AH3265" s="6">
        <v>162.1</v>
      </c>
      <c r="AI3265" s="6">
        <f t="shared" si="100"/>
        <v>35.429999999999993</v>
      </c>
      <c r="AJ3265" s="5">
        <f t="shared" si="101"/>
        <v>0.21856878470080193</v>
      </c>
    </row>
    <row r="3266" spans="1:36">
      <c r="A3266" t="s">
        <v>269</v>
      </c>
      <c r="B3266" t="s">
        <v>3551</v>
      </c>
      <c r="C3266" t="s">
        <v>134</v>
      </c>
      <c r="D3266" t="s">
        <v>77</v>
      </c>
      <c r="E3266" t="s">
        <v>69</v>
      </c>
      <c r="F3266">
        <v>0</v>
      </c>
      <c r="G3266">
        <v>1134</v>
      </c>
      <c r="H3266">
        <v>1</v>
      </c>
      <c r="I3266" t="s">
        <v>173</v>
      </c>
      <c r="J3266">
        <v>1</v>
      </c>
      <c r="K3266" s="6">
        <v>1.91</v>
      </c>
      <c r="L3266" t="s">
        <v>174</v>
      </c>
      <c r="M3266">
        <v>0</v>
      </c>
      <c r="N3266" t="s">
        <v>175</v>
      </c>
      <c r="O3266">
        <v>1</v>
      </c>
      <c r="P3266">
        <v>0</v>
      </c>
      <c r="Q3266" s="6">
        <v>31</v>
      </c>
      <c r="R3266">
        <v>0</v>
      </c>
      <c r="S3266" s="6">
        <v>0</v>
      </c>
      <c r="T3266">
        <v>0</v>
      </c>
      <c r="U3266" s="6">
        <v>2614</v>
      </c>
      <c r="V3266">
        <v>0</v>
      </c>
      <c r="W3266">
        <v>0</v>
      </c>
      <c r="X3266">
        <v>0</v>
      </c>
      <c r="Y3266" s="6">
        <v>37.4</v>
      </c>
      <c r="Z3266">
        <v>0.158</v>
      </c>
      <c r="AA3266">
        <v>0.15</v>
      </c>
      <c r="AB3266">
        <v>4.7E-2</v>
      </c>
      <c r="AC3266">
        <v>5</v>
      </c>
      <c r="AD3266" s="6">
        <v>51</v>
      </c>
      <c r="AE3266" s="6">
        <v>0</v>
      </c>
      <c r="AF3266" s="6">
        <v>0</v>
      </c>
      <c r="AG3266" s="6">
        <v>52.06</v>
      </c>
      <c r="AH3266" s="6">
        <v>68.510000000000005</v>
      </c>
      <c r="AI3266" s="6">
        <f t="shared" ref="AI3266:AI3329" si="102">AH3266-AG3266</f>
        <v>16.450000000000003</v>
      </c>
      <c r="AJ3266" s="5">
        <f t="shared" ref="AJ3266:AJ3329" si="103">IFERROR(AI3266/AH3266,0)</f>
        <v>0.24011093271055323</v>
      </c>
    </row>
    <row r="3267" spans="1:36">
      <c r="A3267" t="s">
        <v>233</v>
      </c>
      <c r="B3267" t="s">
        <v>3552</v>
      </c>
      <c r="C3267" t="s">
        <v>134</v>
      </c>
      <c r="D3267" t="s">
        <v>77</v>
      </c>
      <c r="E3267" t="s">
        <v>69</v>
      </c>
      <c r="F3267">
        <v>0</v>
      </c>
      <c r="G3267">
        <v>1134</v>
      </c>
      <c r="H3267">
        <v>1</v>
      </c>
      <c r="I3267" t="s">
        <v>181</v>
      </c>
      <c r="J3267">
        <v>3</v>
      </c>
      <c r="K3267" s="6">
        <v>8.17</v>
      </c>
      <c r="L3267" t="s">
        <v>200</v>
      </c>
      <c r="M3267">
        <v>1</v>
      </c>
      <c r="N3267" t="s">
        <v>187</v>
      </c>
      <c r="O3267">
        <v>2</v>
      </c>
      <c r="P3267">
        <v>1</v>
      </c>
      <c r="Q3267" s="6">
        <v>53.3</v>
      </c>
      <c r="R3267">
        <v>0</v>
      </c>
      <c r="S3267" s="6">
        <v>0</v>
      </c>
      <c r="T3267">
        <v>0</v>
      </c>
      <c r="U3267" s="6">
        <v>2435</v>
      </c>
      <c r="V3267">
        <v>0</v>
      </c>
      <c r="W3267">
        <v>0</v>
      </c>
      <c r="X3267">
        <v>0</v>
      </c>
      <c r="Y3267" s="6">
        <v>37.4</v>
      </c>
      <c r="Z3267">
        <v>0.158</v>
      </c>
      <c r="AA3267">
        <v>0.15</v>
      </c>
      <c r="AB3267">
        <v>4.7E-2</v>
      </c>
      <c r="AC3267">
        <v>5</v>
      </c>
      <c r="AD3267" s="6">
        <v>140</v>
      </c>
      <c r="AE3267" s="6">
        <v>0</v>
      </c>
      <c r="AF3267" s="6">
        <v>0</v>
      </c>
      <c r="AG3267" s="6">
        <v>163.32</v>
      </c>
      <c r="AH3267" s="6">
        <v>208.19</v>
      </c>
      <c r="AI3267" s="6">
        <f t="shared" si="102"/>
        <v>44.870000000000005</v>
      </c>
      <c r="AJ3267" s="5">
        <f t="shared" si="103"/>
        <v>0.21552428070512514</v>
      </c>
    </row>
    <row r="3268" spans="1:36">
      <c r="A3268" t="s">
        <v>478</v>
      </c>
      <c r="B3268" t="s">
        <v>3553</v>
      </c>
      <c r="C3268" t="s">
        <v>134</v>
      </c>
      <c r="D3268" t="s">
        <v>77</v>
      </c>
      <c r="E3268" t="s">
        <v>69</v>
      </c>
      <c r="F3268">
        <v>0</v>
      </c>
      <c r="G3268">
        <v>1134</v>
      </c>
      <c r="H3268">
        <v>1</v>
      </c>
      <c r="I3268" t="s">
        <v>173</v>
      </c>
      <c r="J3268">
        <v>1</v>
      </c>
      <c r="K3268" s="6">
        <v>2.23</v>
      </c>
      <c r="L3268" t="s">
        <v>174</v>
      </c>
      <c r="M3268">
        <v>0</v>
      </c>
      <c r="N3268" t="s">
        <v>175</v>
      </c>
      <c r="O3268">
        <v>1</v>
      </c>
      <c r="P3268">
        <v>1</v>
      </c>
      <c r="Q3268" s="6">
        <v>31.5</v>
      </c>
      <c r="R3268">
        <v>0</v>
      </c>
      <c r="S3268" s="6">
        <v>0</v>
      </c>
      <c r="T3268">
        <v>0</v>
      </c>
      <c r="U3268" s="6">
        <v>4644</v>
      </c>
      <c r="V3268">
        <v>0</v>
      </c>
      <c r="W3268">
        <v>0</v>
      </c>
      <c r="X3268">
        <v>0</v>
      </c>
      <c r="Y3268" s="6">
        <v>37.4</v>
      </c>
      <c r="Z3268">
        <v>0.158</v>
      </c>
      <c r="AA3268">
        <v>0.15</v>
      </c>
      <c r="AB3268">
        <v>4.7E-2</v>
      </c>
      <c r="AC3268">
        <v>5</v>
      </c>
      <c r="AD3268" s="6">
        <v>51</v>
      </c>
      <c r="AE3268" s="6">
        <v>0</v>
      </c>
      <c r="AF3268" s="6">
        <v>0</v>
      </c>
      <c r="AG3268" s="6">
        <v>66.28</v>
      </c>
      <c r="AH3268" s="6">
        <v>87.44</v>
      </c>
      <c r="AI3268" s="6">
        <f t="shared" si="102"/>
        <v>21.159999999999997</v>
      </c>
      <c r="AJ3268" s="5">
        <f t="shared" si="103"/>
        <v>0.24199451052150042</v>
      </c>
    </row>
    <row r="3269" spans="1:36">
      <c r="A3269" t="s">
        <v>360</v>
      </c>
      <c r="B3269" t="s">
        <v>3554</v>
      </c>
      <c r="C3269" t="s">
        <v>134</v>
      </c>
      <c r="D3269" t="s">
        <v>77</v>
      </c>
      <c r="E3269" t="s">
        <v>69</v>
      </c>
      <c r="F3269">
        <v>0</v>
      </c>
      <c r="G3269">
        <v>1134</v>
      </c>
      <c r="H3269">
        <v>1</v>
      </c>
      <c r="I3269" t="s">
        <v>178</v>
      </c>
      <c r="J3269">
        <v>4</v>
      </c>
      <c r="K3269" s="6">
        <v>17.32</v>
      </c>
      <c r="L3269" t="s">
        <v>174</v>
      </c>
      <c r="M3269">
        <v>0</v>
      </c>
      <c r="N3269" t="s">
        <v>175</v>
      </c>
      <c r="O3269">
        <v>1</v>
      </c>
      <c r="P3269">
        <v>0</v>
      </c>
      <c r="Q3269" s="6">
        <v>21.5</v>
      </c>
      <c r="R3269">
        <v>0</v>
      </c>
      <c r="S3269" s="6">
        <v>0</v>
      </c>
      <c r="T3269">
        <v>0</v>
      </c>
      <c r="U3269" s="6">
        <v>1601</v>
      </c>
      <c r="V3269">
        <v>0</v>
      </c>
      <c r="W3269">
        <v>0</v>
      </c>
      <c r="X3269">
        <v>0</v>
      </c>
      <c r="Y3269" s="6">
        <v>37.4</v>
      </c>
      <c r="Z3269">
        <v>0.158</v>
      </c>
      <c r="AA3269">
        <v>0.15</v>
      </c>
      <c r="AB3269">
        <v>4.7E-2</v>
      </c>
      <c r="AC3269">
        <v>5</v>
      </c>
      <c r="AD3269" s="6">
        <v>66</v>
      </c>
      <c r="AE3269" s="6">
        <v>0</v>
      </c>
      <c r="AF3269" s="6">
        <v>0</v>
      </c>
      <c r="AG3269" s="6">
        <v>132.91</v>
      </c>
      <c r="AH3269" s="6">
        <v>167.1</v>
      </c>
      <c r="AI3269" s="6">
        <f t="shared" si="102"/>
        <v>34.19</v>
      </c>
      <c r="AJ3269" s="5">
        <f t="shared" si="103"/>
        <v>0.20460801915020946</v>
      </c>
    </row>
    <row r="3270" spans="1:36">
      <c r="A3270" t="s">
        <v>296</v>
      </c>
      <c r="B3270" t="s">
        <v>3555</v>
      </c>
      <c r="C3270" t="s">
        <v>134</v>
      </c>
      <c r="D3270" t="s">
        <v>77</v>
      </c>
      <c r="E3270" t="s">
        <v>69</v>
      </c>
      <c r="F3270">
        <v>0</v>
      </c>
      <c r="G3270">
        <v>1134</v>
      </c>
      <c r="H3270">
        <v>1</v>
      </c>
      <c r="I3270" t="s">
        <v>173</v>
      </c>
      <c r="J3270">
        <v>1</v>
      </c>
      <c r="K3270" s="6">
        <v>2.02</v>
      </c>
      <c r="L3270" t="s">
        <v>174</v>
      </c>
      <c r="M3270">
        <v>0</v>
      </c>
      <c r="N3270" t="s">
        <v>175</v>
      </c>
      <c r="O3270">
        <v>1</v>
      </c>
      <c r="P3270">
        <v>0</v>
      </c>
      <c r="Q3270" s="6">
        <v>41.8</v>
      </c>
      <c r="R3270">
        <v>0</v>
      </c>
      <c r="S3270" s="6">
        <v>0</v>
      </c>
      <c r="T3270">
        <v>0</v>
      </c>
      <c r="U3270" s="6">
        <v>5614</v>
      </c>
      <c r="V3270">
        <v>0</v>
      </c>
      <c r="W3270">
        <v>0</v>
      </c>
      <c r="X3270">
        <v>0</v>
      </c>
      <c r="Y3270" s="6">
        <v>37.4</v>
      </c>
      <c r="Z3270">
        <v>0.158</v>
      </c>
      <c r="AA3270">
        <v>0.15</v>
      </c>
      <c r="AB3270">
        <v>4.7E-2</v>
      </c>
      <c r="AC3270">
        <v>5</v>
      </c>
      <c r="AD3270" s="6">
        <v>51</v>
      </c>
      <c r="AE3270" s="6">
        <v>0</v>
      </c>
      <c r="AF3270" s="6">
        <v>0</v>
      </c>
      <c r="AG3270" s="6">
        <v>51.02</v>
      </c>
      <c r="AH3270" s="6">
        <v>68.47</v>
      </c>
      <c r="AI3270" s="6">
        <f t="shared" si="102"/>
        <v>17.449999999999996</v>
      </c>
      <c r="AJ3270" s="5">
        <f t="shared" si="103"/>
        <v>0.25485614137578494</v>
      </c>
    </row>
    <row r="3271" spans="1:36">
      <c r="A3271" t="s">
        <v>208</v>
      </c>
      <c r="B3271" t="s">
        <v>3556</v>
      </c>
      <c r="C3271" t="s">
        <v>134</v>
      </c>
      <c r="D3271" t="s">
        <v>77</v>
      </c>
      <c r="E3271" t="s">
        <v>69</v>
      </c>
      <c r="F3271">
        <v>0</v>
      </c>
      <c r="G3271">
        <v>1134</v>
      </c>
      <c r="H3271">
        <v>1</v>
      </c>
      <c r="I3271" t="s">
        <v>173</v>
      </c>
      <c r="J3271">
        <v>1</v>
      </c>
      <c r="K3271" s="6">
        <v>1.1200000000000001</v>
      </c>
      <c r="L3271" t="s">
        <v>200</v>
      </c>
      <c r="M3271">
        <v>1</v>
      </c>
      <c r="N3271" t="s">
        <v>187</v>
      </c>
      <c r="O3271">
        <v>2</v>
      </c>
      <c r="P3271">
        <v>1</v>
      </c>
      <c r="Q3271" s="6">
        <v>42.6</v>
      </c>
      <c r="R3271">
        <v>0</v>
      </c>
      <c r="S3271" s="6">
        <v>0</v>
      </c>
      <c r="T3271">
        <v>0</v>
      </c>
      <c r="U3271" s="6">
        <v>4681</v>
      </c>
      <c r="V3271">
        <v>0</v>
      </c>
      <c r="W3271">
        <v>0</v>
      </c>
      <c r="X3271">
        <v>0</v>
      </c>
      <c r="Y3271" s="6">
        <v>37.4</v>
      </c>
      <c r="Z3271">
        <v>0.158</v>
      </c>
      <c r="AA3271">
        <v>0.15</v>
      </c>
      <c r="AB3271">
        <v>4.7E-2</v>
      </c>
      <c r="AC3271">
        <v>5</v>
      </c>
      <c r="AD3271" s="6">
        <v>100</v>
      </c>
      <c r="AE3271" s="6">
        <v>0</v>
      </c>
      <c r="AF3271" s="6">
        <v>0</v>
      </c>
      <c r="AG3271" s="6">
        <v>126.82</v>
      </c>
      <c r="AH3271" s="6">
        <v>160.02000000000001</v>
      </c>
      <c r="AI3271" s="6">
        <f t="shared" si="102"/>
        <v>33.200000000000017</v>
      </c>
      <c r="AJ3271" s="5">
        <f t="shared" si="103"/>
        <v>0.20747406574178237</v>
      </c>
    </row>
    <row r="3272" spans="1:36">
      <c r="A3272" t="s">
        <v>411</v>
      </c>
      <c r="B3272" t="s">
        <v>3557</v>
      </c>
      <c r="C3272" t="s">
        <v>134</v>
      </c>
      <c r="D3272" t="s">
        <v>77</v>
      </c>
      <c r="E3272" t="s">
        <v>69</v>
      </c>
      <c r="F3272">
        <v>0</v>
      </c>
      <c r="G3272">
        <v>1134</v>
      </c>
      <c r="H3272">
        <v>1</v>
      </c>
      <c r="I3272" t="s">
        <v>173</v>
      </c>
      <c r="J3272">
        <v>1</v>
      </c>
      <c r="K3272" s="6">
        <v>1.94</v>
      </c>
      <c r="L3272" t="s">
        <v>174</v>
      </c>
      <c r="M3272">
        <v>0</v>
      </c>
      <c r="N3272" t="s">
        <v>217</v>
      </c>
      <c r="O3272">
        <v>4</v>
      </c>
      <c r="P3272">
        <v>1</v>
      </c>
      <c r="Q3272" s="6">
        <v>157.4</v>
      </c>
      <c r="R3272">
        <v>0</v>
      </c>
      <c r="S3272" s="6">
        <v>0</v>
      </c>
      <c r="T3272">
        <v>0</v>
      </c>
      <c r="U3272" s="6">
        <v>2239</v>
      </c>
      <c r="V3272">
        <v>0</v>
      </c>
      <c r="W3272">
        <v>0</v>
      </c>
      <c r="X3272">
        <v>0</v>
      </c>
      <c r="Y3272" s="6">
        <v>37.4</v>
      </c>
      <c r="Z3272">
        <v>0.158</v>
      </c>
      <c r="AA3272">
        <v>0.15</v>
      </c>
      <c r="AB3272">
        <v>4.7E-2</v>
      </c>
      <c r="AC3272">
        <v>5</v>
      </c>
      <c r="AD3272" s="6">
        <v>51</v>
      </c>
      <c r="AE3272" s="6">
        <v>0</v>
      </c>
      <c r="AF3272" s="6">
        <v>0</v>
      </c>
      <c r="AG3272" s="6">
        <v>100.54</v>
      </c>
      <c r="AH3272" s="6">
        <v>129.77000000000001</v>
      </c>
      <c r="AI3272" s="6">
        <f t="shared" si="102"/>
        <v>29.230000000000004</v>
      </c>
      <c r="AJ3272" s="5">
        <f t="shared" si="103"/>
        <v>0.22524466363566312</v>
      </c>
    </row>
    <row r="3273" spans="1:36">
      <c r="A3273" t="s">
        <v>190</v>
      </c>
      <c r="B3273" t="s">
        <v>3558</v>
      </c>
      <c r="C3273" t="s">
        <v>134</v>
      </c>
      <c r="D3273" t="s">
        <v>77</v>
      </c>
      <c r="E3273" t="s">
        <v>69</v>
      </c>
      <c r="F3273">
        <v>0</v>
      </c>
      <c r="G3273">
        <v>1134</v>
      </c>
      <c r="H3273">
        <v>1</v>
      </c>
      <c r="I3273" t="s">
        <v>173</v>
      </c>
      <c r="J3273">
        <v>1</v>
      </c>
      <c r="K3273" s="6">
        <v>1.45</v>
      </c>
      <c r="L3273" t="s">
        <v>174</v>
      </c>
      <c r="M3273">
        <v>0</v>
      </c>
      <c r="N3273" t="s">
        <v>187</v>
      </c>
      <c r="O3273">
        <v>2</v>
      </c>
      <c r="P3273">
        <v>0</v>
      </c>
      <c r="Q3273" s="6">
        <v>67.7</v>
      </c>
      <c r="R3273">
        <v>0</v>
      </c>
      <c r="S3273" s="6">
        <v>0</v>
      </c>
      <c r="T3273">
        <v>0</v>
      </c>
      <c r="U3273" s="6">
        <v>3189</v>
      </c>
      <c r="V3273">
        <v>0</v>
      </c>
      <c r="W3273">
        <v>0</v>
      </c>
      <c r="X3273">
        <v>0</v>
      </c>
      <c r="Y3273" s="6">
        <v>37.4</v>
      </c>
      <c r="Z3273">
        <v>0.158</v>
      </c>
      <c r="AA3273">
        <v>0.15</v>
      </c>
      <c r="AB3273">
        <v>4.7E-2</v>
      </c>
      <c r="AC3273">
        <v>5</v>
      </c>
      <c r="AD3273" s="6">
        <v>51</v>
      </c>
      <c r="AE3273" s="6">
        <v>0</v>
      </c>
      <c r="AF3273" s="6">
        <v>0</v>
      </c>
      <c r="AG3273" s="6">
        <v>52.46</v>
      </c>
      <c r="AH3273" s="6">
        <v>68.400000000000006</v>
      </c>
      <c r="AI3273" s="6">
        <f t="shared" si="102"/>
        <v>15.940000000000005</v>
      </c>
      <c r="AJ3273" s="5">
        <f t="shared" si="103"/>
        <v>0.23304093567251466</v>
      </c>
    </row>
    <row r="3274" spans="1:36">
      <c r="A3274" t="s">
        <v>393</v>
      </c>
      <c r="B3274" t="s">
        <v>3559</v>
      </c>
      <c r="C3274" t="s">
        <v>134</v>
      </c>
      <c r="D3274" t="s">
        <v>77</v>
      </c>
      <c r="E3274" t="s">
        <v>69</v>
      </c>
      <c r="F3274">
        <v>0</v>
      </c>
      <c r="G3274">
        <v>1134</v>
      </c>
      <c r="H3274">
        <v>1</v>
      </c>
      <c r="I3274" t="s">
        <v>220</v>
      </c>
      <c r="J3274">
        <v>2</v>
      </c>
      <c r="K3274" s="6">
        <v>3.47</v>
      </c>
      <c r="L3274" t="s">
        <v>174</v>
      </c>
      <c r="M3274">
        <v>0</v>
      </c>
      <c r="N3274" t="s">
        <v>182</v>
      </c>
      <c r="O3274">
        <v>3</v>
      </c>
      <c r="P3274">
        <v>0</v>
      </c>
      <c r="Q3274" s="6">
        <v>117.3</v>
      </c>
      <c r="R3274">
        <v>0</v>
      </c>
      <c r="S3274" s="6">
        <v>0</v>
      </c>
      <c r="T3274">
        <v>0</v>
      </c>
      <c r="U3274" s="6">
        <v>1694</v>
      </c>
      <c r="V3274">
        <v>0</v>
      </c>
      <c r="W3274">
        <v>0</v>
      </c>
      <c r="X3274">
        <v>0</v>
      </c>
      <c r="Y3274" s="6">
        <v>37.4</v>
      </c>
      <c r="Z3274">
        <v>0.158</v>
      </c>
      <c r="AA3274">
        <v>0.15</v>
      </c>
      <c r="AB3274">
        <v>4.7E-2</v>
      </c>
      <c r="AC3274">
        <v>5</v>
      </c>
      <c r="AD3274" s="6">
        <v>51</v>
      </c>
      <c r="AE3274" s="6">
        <v>0</v>
      </c>
      <c r="AF3274" s="6">
        <v>0</v>
      </c>
      <c r="AG3274" s="6">
        <v>70.400000000000006</v>
      </c>
      <c r="AH3274" s="6">
        <v>92.25</v>
      </c>
      <c r="AI3274" s="6">
        <f t="shared" si="102"/>
        <v>21.849999999999994</v>
      </c>
      <c r="AJ3274" s="5">
        <f t="shared" si="103"/>
        <v>0.23685636856368558</v>
      </c>
    </row>
    <row r="3275" spans="1:36">
      <c r="A3275" t="s">
        <v>298</v>
      </c>
      <c r="B3275" t="s">
        <v>3560</v>
      </c>
      <c r="C3275" t="s">
        <v>134</v>
      </c>
      <c r="D3275" t="s">
        <v>77</v>
      </c>
      <c r="E3275" t="s">
        <v>69</v>
      </c>
      <c r="F3275">
        <v>0</v>
      </c>
      <c r="G3275">
        <v>1134</v>
      </c>
      <c r="H3275">
        <v>1</v>
      </c>
      <c r="I3275" t="s">
        <v>220</v>
      </c>
      <c r="J3275">
        <v>2</v>
      </c>
      <c r="K3275" s="6">
        <v>2.6</v>
      </c>
      <c r="L3275" t="s">
        <v>174</v>
      </c>
      <c r="M3275">
        <v>0</v>
      </c>
      <c r="N3275" t="s">
        <v>175</v>
      </c>
      <c r="O3275">
        <v>1</v>
      </c>
      <c r="P3275">
        <v>0</v>
      </c>
      <c r="Q3275" s="6">
        <v>29.4</v>
      </c>
      <c r="R3275">
        <v>0</v>
      </c>
      <c r="S3275" s="6">
        <v>0</v>
      </c>
      <c r="T3275">
        <v>0</v>
      </c>
      <c r="U3275" s="6">
        <v>742</v>
      </c>
      <c r="V3275">
        <v>0</v>
      </c>
      <c r="W3275">
        <v>0</v>
      </c>
      <c r="X3275">
        <v>0</v>
      </c>
      <c r="Y3275" s="6">
        <v>37.4</v>
      </c>
      <c r="Z3275">
        <v>0.158</v>
      </c>
      <c r="AA3275">
        <v>0.15</v>
      </c>
      <c r="AB3275">
        <v>4.7E-2</v>
      </c>
      <c r="AC3275">
        <v>5</v>
      </c>
      <c r="AD3275" s="6">
        <v>51</v>
      </c>
      <c r="AE3275" s="6">
        <v>0</v>
      </c>
      <c r="AF3275" s="6">
        <v>0</v>
      </c>
      <c r="AG3275" s="6">
        <v>61.04</v>
      </c>
      <c r="AH3275" s="6">
        <v>80.81</v>
      </c>
      <c r="AI3275" s="6">
        <f t="shared" si="102"/>
        <v>19.770000000000003</v>
      </c>
      <c r="AJ3275" s="5">
        <f t="shared" si="103"/>
        <v>0.24464793961143427</v>
      </c>
    </row>
    <row r="3276" spans="1:36">
      <c r="A3276" t="s">
        <v>345</v>
      </c>
      <c r="B3276" t="s">
        <v>3561</v>
      </c>
      <c r="C3276" t="s">
        <v>134</v>
      </c>
      <c r="D3276" t="s">
        <v>77</v>
      </c>
      <c r="E3276" t="s">
        <v>69</v>
      </c>
      <c r="F3276">
        <v>0</v>
      </c>
      <c r="G3276">
        <v>1134</v>
      </c>
      <c r="H3276">
        <v>1</v>
      </c>
      <c r="I3276" t="s">
        <v>178</v>
      </c>
      <c r="J3276">
        <v>4</v>
      </c>
      <c r="K3276" s="6">
        <v>8.34</v>
      </c>
      <c r="L3276" t="s">
        <v>174</v>
      </c>
      <c r="M3276">
        <v>0</v>
      </c>
      <c r="N3276" t="s">
        <v>175</v>
      </c>
      <c r="O3276">
        <v>1</v>
      </c>
      <c r="P3276">
        <v>0</v>
      </c>
      <c r="Q3276" s="6">
        <v>27.7</v>
      </c>
      <c r="R3276">
        <v>0</v>
      </c>
      <c r="S3276" s="6">
        <v>0</v>
      </c>
      <c r="T3276">
        <v>0</v>
      </c>
      <c r="U3276" s="6">
        <v>4804</v>
      </c>
      <c r="V3276">
        <v>0</v>
      </c>
      <c r="W3276">
        <v>0</v>
      </c>
      <c r="X3276">
        <v>0</v>
      </c>
      <c r="Y3276" s="6">
        <v>37.4</v>
      </c>
      <c r="Z3276">
        <v>0.158</v>
      </c>
      <c r="AA3276">
        <v>0.15</v>
      </c>
      <c r="AB3276">
        <v>4.7E-2</v>
      </c>
      <c r="AC3276">
        <v>5</v>
      </c>
      <c r="AD3276" s="6">
        <v>66</v>
      </c>
      <c r="AE3276" s="6">
        <v>0</v>
      </c>
      <c r="AF3276" s="6">
        <v>0</v>
      </c>
      <c r="AG3276" s="6">
        <v>105.47</v>
      </c>
      <c r="AH3276" s="6">
        <v>135.97999999999999</v>
      </c>
      <c r="AI3276" s="6">
        <f t="shared" si="102"/>
        <v>30.509999999999991</v>
      </c>
      <c r="AJ3276" s="5">
        <f t="shared" si="103"/>
        <v>0.22437123106339163</v>
      </c>
    </row>
    <row r="3277" spans="1:36">
      <c r="A3277" t="s">
        <v>190</v>
      </c>
      <c r="B3277" t="s">
        <v>3562</v>
      </c>
      <c r="C3277" t="s">
        <v>134</v>
      </c>
      <c r="D3277" t="s">
        <v>77</v>
      </c>
      <c r="E3277" t="s">
        <v>69</v>
      </c>
      <c r="F3277">
        <v>0</v>
      </c>
      <c r="G3277">
        <v>1134</v>
      </c>
      <c r="H3277">
        <v>1</v>
      </c>
      <c r="I3277" t="s">
        <v>173</v>
      </c>
      <c r="J3277">
        <v>1</v>
      </c>
      <c r="K3277" s="6">
        <v>2.5</v>
      </c>
      <c r="L3277" t="s">
        <v>174</v>
      </c>
      <c r="M3277">
        <v>0</v>
      </c>
      <c r="N3277" t="s">
        <v>187</v>
      </c>
      <c r="O3277">
        <v>2</v>
      </c>
      <c r="P3277">
        <v>0</v>
      </c>
      <c r="Q3277" s="6">
        <v>54.5</v>
      </c>
      <c r="R3277">
        <v>1</v>
      </c>
      <c r="S3277" s="6">
        <v>544</v>
      </c>
      <c r="T3277">
        <v>0</v>
      </c>
      <c r="U3277" s="6">
        <v>3738</v>
      </c>
      <c r="V3277">
        <v>0</v>
      </c>
      <c r="W3277">
        <v>0</v>
      </c>
      <c r="X3277">
        <v>0</v>
      </c>
      <c r="Y3277" s="6">
        <v>37.4</v>
      </c>
      <c r="Z3277">
        <v>0.158</v>
      </c>
      <c r="AA3277">
        <v>0.15</v>
      </c>
      <c r="AB3277">
        <v>4.7E-2</v>
      </c>
      <c r="AC3277">
        <v>5</v>
      </c>
      <c r="AD3277" s="6">
        <v>51</v>
      </c>
      <c r="AE3277" s="6">
        <v>25</v>
      </c>
      <c r="AF3277" s="6">
        <v>0</v>
      </c>
      <c r="AG3277" s="6">
        <v>61.18</v>
      </c>
      <c r="AH3277" s="6">
        <v>77.48</v>
      </c>
      <c r="AI3277" s="6">
        <f t="shared" si="102"/>
        <v>16.300000000000004</v>
      </c>
      <c r="AJ3277" s="5">
        <f t="shared" si="103"/>
        <v>0.210376871450697</v>
      </c>
    </row>
    <row r="3278" spans="1:36">
      <c r="A3278" t="s">
        <v>263</v>
      </c>
      <c r="B3278" t="s">
        <v>3563</v>
      </c>
      <c r="C3278" t="s">
        <v>134</v>
      </c>
      <c r="D3278" t="s">
        <v>77</v>
      </c>
      <c r="E3278" t="s">
        <v>69</v>
      </c>
      <c r="F3278">
        <v>0</v>
      </c>
      <c r="G3278">
        <v>1134</v>
      </c>
      <c r="H3278">
        <v>1</v>
      </c>
      <c r="I3278" t="s">
        <v>173</v>
      </c>
      <c r="J3278">
        <v>1</v>
      </c>
      <c r="K3278" s="6">
        <v>1.02</v>
      </c>
      <c r="L3278" t="s">
        <v>174</v>
      </c>
      <c r="M3278">
        <v>0</v>
      </c>
      <c r="N3278" t="s">
        <v>175</v>
      </c>
      <c r="O3278">
        <v>1</v>
      </c>
      <c r="P3278">
        <v>0</v>
      </c>
      <c r="Q3278" s="6">
        <v>35.1</v>
      </c>
      <c r="R3278">
        <v>0</v>
      </c>
      <c r="S3278" s="6">
        <v>0</v>
      </c>
      <c r="T3278">
        <v>0</v>
      </c>
      <c r="U3278" s="6">
        <v>2085</v>
      </c>
      <c r="V3278">
        <v>1</v>
      </c>
      <c r="W3278">
        <v>0</v>
      </c>
      <c r="X3278">
        <v>0</v>
      </c>
      <c r="Y3278" s="6">
        <v>37.4</v>
      </c>
      <c r="Z3278">
        <v>0.158</v>
      </c>
      <c r="AA3278">
        <v>0.15</v>
      </c>
      <c r="AB3278">
        <v>4.7E-2</v>
      </c>
      <c r="AC3278">
        <v>5</v>
      </c>
      <c r="AD3278" s="6">
        <v>51</v>
      </c>
      <c r="AE3278" s="6">
        <v>0</v>
      </c>
      <c r="AF3278" s="6">
        <v>0</v>
      </c>
      <c r="AG3278" s="6">
        <v>85.34</v>
      </c>
      <c r="AH3278" s="6">
        <v>106.92</v>
      </c>
      <c r="AI3278" s="6">
        <f t="shared" si="102"/>
        <v>21.58</v>
      </c>
      <c r="AJ3278" s="5">
        <f t="shared" si="103"/>
        <v>0.20183314627759069</v>
      </c>
    </row>
    <row r="3279" spans="1:36">
      <c r="A3279" t="s">
        <v>263</v>
      </c>
      <c r="B3279" t="s">
        <v>3564</v>
      </c>
      <c r="C3279" t="s">
        <v>134</v>
      </c>
      <c r="D3279" t="s">
        <v>77</v>
      </c>
      <c r="E3279" t="s">
        <v>69</v>
      </c>
      <c r="F3279">
        <v>0</v>
      </c>
      <c r="G3279">
        <v>1134</v>
      </c>
      <c r="H3279">
        <v>1</v>
      </c>
      <c r="I3279" t="s">
        <v>181</v>
      </c>
      <c r="J3279">
        <v>3</v>
      </c>
      <c r="K3279" s="6">
        <v>6.09</v>
      </c>
      <c r="L3279" t="s">
        <v>174</v>
      </c>
      <c r="M3279">
        <v>0</v>
      </c>
      <c r="N3279" t="s">
        <v>217</v>
      </c>
      <c r="O3279">
        <v>4</v>
      </c>
      <c r="P3279">
        <v>1</v>
      </c>
      <c r="Q3279" s="6">
        <v>163.6</v>
      </c>
      <c r="R3279">
        <v>0</v>
      </c>
      <c r="S3279" s="6">
        <v>0</v>
      </c>
      <c r="T3279">
        <v>0</v>
      </c>
      <c r="U3279" s="6">
        <v>2186</v>
      </c>
      <c r="V3279">
        <v>0</v>
      </c>
      <c r="W3279">
        <v>0</v>
      </c>
      <c r="X3279">
        <v>0</v>
      </c>
      <c r="Y3279" s="6">
        <v>37.4</v>
      </c>
      <c r="Z3279">
        <v>0.158</v>
      </c>
      <c r="AA3279">
        <v>0.15</v>
      </c>
      <c r="AB3279">
        <v>4.7E-2</v>
      </c>
      <c r="AC3279">
        <v>5</v>
      </c>
      <c r="AD3279" s="6">
        <v>61</v>
      </c>
      <c r="AE3279" s="6">
        <v>0</v>
      </c>
      <c r="AF3279" s="6">
        <v>0</v>
      </c>
      <c r="AG3279" s="6">
        <v>127.39</v>
      </c>
      <c r="AH3279" s="6">
        <v>162.16</v>
      </c>
      <c r="AI3279" s="6">
        <f t="shared" si="102"/>
        <v>34.769999999999996</v>
      </c>
      <c r="AJ3279" s="5">
        <f t="shared" si="103"/>
        <v>0.21441785890478537</v>
      </c>
    </row>
    <row r="3280" spans="1:36">
      <c r="A3280" t="s">
        <v>457</v>
      </c>
      <c r="B3280" t="s">
        <v>3565</v>
      </c>
      <c r="C3280" t="s">
        <v>134</v>
      </c>
      <c r="D3280" t="s">
        <v>77</v>
      </c>
      <c r="E3280" t="s">
        <v>69</v>
      </c>
      <c r="F3280">
        <v>0</v>
      </c>
      <c r="G3280">
        <v>1134</v>
      </c>
      <c r="H3280">
        <v>1</v>
      </c>
      <c r="I3280" t="s">
        <v>173</v>
      </c>
      <c r="J3280">
        <v>1</v>
      </c>
      <c r="K3280" s="6">
        <v>2.4300000000000002</v>
      </c>
      <c r="L3280" t="s">
        <v>174</v>
      </c>
      <c r="M3280">
        <v>0</v>
      </c>
      <c r="N3280" t="s">
        <v>217</v>
      </c>
      <c r="O3280">
        <v>4</v>
      </c>
      <c r="P3280">
        <v>1</v>
      </c>
      <c r="Q3280" s="6">
        <v>147</v>
      </c>
      <c r="R3280">
        <v>0</v>
      </c>
      <c r="S3280" s="6">
        <v>0</v>
      </c>
      <c r="T3280">
        <v>0</v>
      </c>
      <c r="U3280" s="6">
        <v>3876</v>
      </c>
      <c r="V3280">
        <v>0</v>
      </c>
      <c r="W3280">
        <v>0</v>
      </c>
      <c r="X3280">
        <v>0</v>
      </c>
      <c r="Y3280" s="6">
        <v>37.4</v>
      </c>
      <c r="Z3280">
        <v>0.158</v>
      </c>
      <c r="AA3280">
        <v>0.15</v>
      </c>
      <c r="AB3280">
        <v>4.7E-2</v>
      </c>
      <c r="AC3280">
        <v>5</v>
      </c>
      <c r="AD3280" s="6">
        <v>51</v>
      </c>
      <c r="AE3280" s="6">
        <v>0</v>
      </c>
      <c r="AF3280" s="6">
        <v>0</v>
      </c>
      <c r="AG3280" s="6">
        <v>99.25</v>
      </c>
      <c r="AH3280" s="6">
        <v>126.36</v>
      </c>
      <c r="AI3280" s="6">
        <f t="shared" si="102"/>
        <v>27.11</v>
      </c>
      <c r="AJ3280" s="5">
        <f t="shared" si="103"/>
        <v>0.21454574232352011</v>
      </c>
    </row>
    <row r="3281" spans="1:36">
      <c r="A3281" t="s">
        <v>635</v>
      </c>
      <c r="B3281" t="s">
        <v>3566</v>
      </c>
      <c r="C3281" t="s">
        <v>134</v>
      </c>
      <c r="D3281" t="s">
        <v>77</v>
      </c>
      <c r="E3281" t="s">
        <v>69</v>
      </c>
      <c r="F3281">
        <v>0</v>
      </c>
      <c r="G3281">
        <v>1134</v>
      </c>
      <c r="H3281">
        <v>1</v>
      </c>
      <c r="I3281" t="s">
        <v>181</v>
      </c>
      <c r="J3281">
        <v>3</v>
      </c>
      <c r="K3281" s="6">
        <v>8.08</v>
      </c>
      <c r="L3281" t="s">
        <v>174</v>
      </c>
      <c r="M3281">
        <v>0</v>
      </c>
      <c r="N3281" t="s">
        <v>175</v>
      </c>
      <c r="O3281">
        <v>1</v>
      </c>
      <c r="P3281">
        <v>0</v>
      </c>
      <c r="Q3281" s="6">
        <v>42.7</v>
      </c>
      <c r="R3281">
        <v>0</v>
      </c>
      <c r="S3281" s="6">
        <v>0</v>
      </c>
      <c r="T3281">
        <v>0</v>
      </c>
      <c r="U3281" s="6">
        <v>3151</v>
      </c>
      <c r="V3281">
        <v>0</v>
      </c>
      <c r="W3281">
        <v>0</v>
      </c>
      <c r="X3281">
        <v>0</v>
      </c>
      <c r="Y3281" s="6">
        <v>37.4</v>
      </c>
      <c r="Z3281">
        <v>0.158</v>
      </c>
      <c r="AA3281">
        <v>0.15</v>
      </c>
      <c r="AB3281">
        <v>4.7E-2</v>
      </c>
      <c r="AC3281">
        <v>5</v>
      </c>
      <c r="AD3281" s="6">
        <v>61</v>
      </c>
      <c r="AE3281" s="6">
        <v>0</v>
      </c>
      <c r="AF3281" s="6">
        <v>0</v>
      </c>
      <c r="AG3281" s="6">
        <v>90.24</v>
      </c>
      <c r="AH3281" s="6">
        <v>113.29</v>
      </c>
      <c r="AI3281" s="6">
        <f t="shared" si="102"/>
        <v>23.050000000000011</v>
      </c>
      <c r="AJ3281" s="5">
        <f t="shared" si="103"/>
        <v>0.20346014652661321</v>
      </c>
    </row>
    <row r="3282" spans="1:36">
      <c r="A3282" t="s">
        <v>274</v>
      </c>
      <c r="B3282" t="s">
        <v>3567</v>
      </c>
      <c r="C3282" t="s">
        <v>134</v>
      </c>
      <c r="D3282" t="s">
        <v>77</v>
      </c>
      <c r="E3282" t="s">
        <v>69</v>
      </c>
      <c r="F3282">
        <v>0</v>
      </c>
      <c r="G3282">
        <v>1134</v>
      </c>
      <c r="H3282">
        <v>1</v>
      </c>
      <c r="I3282" t="s">
        <v>173</v>
      </c>
      <c r="J3282">
        <v>1</v>
      </c>
      <c r="K3282" s="6">
        <v>1.78</v>
      </c>
      <c r="L3282" t="s">
        <v>174</v>
      </c>
      <c r="M3282">
        <v>0</v>
      </c>
      <c r="N3282" t="s">
        <v>217</v>
      </c>
      <c r="O3282">
        <v>4</v>
      </c>
      <c r="P3282">
        <v>1</v>
      </c>
      <c r="Q3282" s="6">
        <v>213.2</v>
      </c>
      <c r="R3282">
        <v>0</v>
      </c>
      <c r="S3282" s="6">
        <v>0</v>
      </c>
      <c r="T3282">
        <v>0</v>
      </c>
      <c r="U3282" s="6">
        <v>4347</v>
      </c>
      <c r="V3282">
        <v>0</v>
      </c>
      <c r="W3282">
        <v>0</v>
      </c>
      <c r="X3282">
        <v>0</v>
      </c>
      <c r="Y3282" s="6">
        <v>37.4</v>
      </c>
      <c r="Z3282">
        <v>0.158</v>
      </c>
      <c r="AA3282">
        <v>0.15</v>
      </c>
      <c r="AB3282">
        <v>4.7E-2</v>
      </c>
      <c r="AC3282">
        <v>5</v>
      </c>
      <c r="AD3282" s="6">
        <v>51</v>
      </c>
      <c r="AE3282" s="6">
        <v>0</v>
      </c>
      <c r="AF3282" s="6">
        <v>0</v>
      </c>
      <c r="AG3282" s="6">
        <v>105.15</v>
      </c>
      <c r="AH3282" s="6">
        <v>135.04</v>
      </c>
      <c r="AI3282" s="6">
        <f t="shared" si="102"/>
        <v>29.889999999999986</v>
      </c>
      <c r="AJ3282" s="5">
        <f t="shared" si="103"/>
        <v>0.22134182464454968</v>
      </c>
    </row>
    <row r="3283" spans="1:36">
      <c r="A3283" t="s">
        <v>693</v>
      </c>
      <c r="B3283" t="s">
        <v>3568</v>
      </c>
      <c r="C3283" t="s">
        <v>134</v>
      </c>
      <c r="D3283" t="s">
        <v>77</v>
      </c>
      <c r="E3283" t="s">
        <v>69</v>
      </c>
      <c r="F3283">
        <v>0</v>
      </c>
      <c r="G3283">
        <v>1134</v>
      </c>
      <c r="H3283">
        <v>1</v>
      </c>
      <c r="I3283" t="s">
        <v>181</v>
      </c>
      <c r="J3283">
        <v>3</v>
      </c>
      <c r="K3283" s="6">
        <v>8.0399999999999991</v>
      </c>
      <c r="L3283" t="s">
        <v>200</v>
      </c>
      <c r="M3283">
        <v>1</v>
      </c>
      <c r="N3283" t="s">
        <v>182</v>
      </c>
      <c r="O3283">
        <v>3</v>
      </c>
      <c r="P3283">
        <v>0</v>
      </c>
      <c r="Q3283" s="6">
        <v>60.6</v>
      </c>
      <c r="R3283">
        <v>1</v>
      </c>
      <c r="S3283" s="6">
        <v>3938</v>
      </c>
      <c r="T3283">
        <v>0</v>
      </c>
      <c r="U3283" s="6">
        <v>4789</v>
      </c>
      <c r="V3283">
        <v>0</v>
      </c>
      <c r="W3283">
        <v>0</v>
      </c>
      <c r="X3283">
        <v>0</v>
      </c>
      <c r="Y3283" s="6">
        <v>37.4</v>
      </c>
      <c r="Z3283">
        <v>0.158</v>
      </c>
      <c r="AA3283">
        <v>0.15</v>
      </c>
      <c r="AB3283">
        <v>4.7E-2</v>
      </c>
      <c r="AC3283">
        <v>5</v>
      </c>
      <c r="AD3283" s="6">
        <v>140</v>
      </c>
      <c r="AE3283" s="6">
        <v>40</v>
      </c>
      <c r="AF3283" s="6">
        <v>0</v>
      </c>
      <c r="AG3283" s="6">
        <v>137.4</v>
      </c>
      <c r="AH3283" s="6">
        <v>174.79</v>
      </c>
      <c r="AI3283" s="6">
        <f t="shared" si="102"/>
        <v>37.389999999999986</v>
      </c>
      <c r="AJ3283" s="5">
        <f t="shared" si="103"/>
        <v>0.21391383946450018</v>
      </c>
    </row>
    <row r="3284" spans="1:36">
      <c r="A3284" t="s">
        <v>562</v>
      </c>
      <c r="B3284" t="s">
        <v>3569</v>
      </c>
      <c r="C3284" t="s">
        <v>134</v>
      </c>
      <c r="D3284" t="s">
        <v>77</v>
      </c>
      <c r="E3284" t="s">
        <v>69</v>
      </c>
      <c r="F3284">
        <v>0</v>
      </c>
      <c r="G3284">
        <v>1134</v>
      </c>
      <c r="H3284">
        <v>1</v>
      </c>
      <c r="I3284" t="s">
        <v>173</v>
      </c>
      <c r="J3284">
        <v>1</v>
      </c>
      <c r="K3284" s="6">
        <v>1.83</v>
      </c>
      <c r="L3284" t="s">
        <v>174</v>
      </c>
      <c r="M3284">
        <v>0</v>
      </c>
      <c r="N3284" t="s">
        <v>175</v>
      </c>
      <c r="O3284">
        <v>1</v>
      </c>
      <c r="P3284">
        <v>0</v>
      </c>
      <c r="Q3284" s="6">
        <v>34.4</v>
      </c>
      <c r="R3284">
        <v>0</v>
      </c>
      <c r="S3284" s="6">
        <v>0</v>
      </c>
      <c r="T3284">
        <v>0</v>
      </c>
      <c r="U3284" s="6">
        <v>3723</v>
      </c>
      <c r="V3284">
        <v>0</v>
      </c>
      <c r="W3284">
        <v>0</v>
      </c>
      <c r="X3284">
        <v>0</v>
      </c>
      <c r="Y3284" s="6">
        <v>37.4</v>
      </c>
      <c r="Z3284">
        <v>0.158</v>
      </c>
      <c r="AA3284">
        <v>0.15</v>
      </c>
      <c r="AB3284">
        <v>4.7E-2</v>
      </c>
      <c r="AC3284">
        <v>5</v>
      </c>
      <c r="AD3284" s="6">
        <v>51</v>
      </c>
      <c r="AE3284" s="6">
        <v>0</v>
      </c>
      <c r="AF3284" s="6">
        <v>0</v>
      </c>
      <c r="AG3284" s="6">
        <v>49.08</v>
      </c>
      <c r="AH3284" s="6">
        <v>63.98</v>
      </c>
      <c r="AI3284" s="6">
        <f t="shared" si="102"/>
        <v>14.899999999999999</v>
      </c>
      <c r="AJ3284" s="5">
        <f t="shared" si="103"/>
        <v>0.23288527664895278</v>
      </c>
    </row>
    <row r="3285" spans="1:36">
      <c r="A3285" t="s">
        <v>233</v>
      </c>
      <c r="B3285" t="s">
        <v>3570</v>
      </c>
      <c r="C3285" t="s">
        <v>134</v>
      </c>
      <c r="D3285" t="s">
        <v>77</v>
      </c>
      <c r="E3285" t="s">
        <v>69</v>
      </c>
      <c r="F3285">
        <v>0</v>
      </c>
      <c r="G3285">
        <v>1134</v>
      </c>
      <c r="H3285">
        <v>1</v>
      </c>
      <c r="I3285" t="s">
        <v>173</v>
      </c>
      <c r="J3285">
        <v>1</v>
      </c>
      <c r="K3285" s="6">
        <v>2.68</v>
      </c>
      <c r="L3285" t="s">
        <v>200</v>
      </c>
      <c r="M3285">
        <v>1</v>
      </c>
      <c r="N3285" t="s">
        <v>175</v>
      </c>
      <c r="O3285">
        <v>1</v>
      </c>
      <c r="P3285">
        <v>0</v>
      </c>
      <c r="Q3285" s="6">
        <v>41.7</v>
      </c>
      <c r="R3285">
        <v>0</v>
      </c>
      <c r="S3285" s="6">
        <v>0</v>
      </c>
      <c r="T3285">
        <v>0</v>
      </c>
      <c r="U3285" s="6">
        <v>2399</v>
      </c>
      <c r="V3285">
        <v>0</v>
      </c>
      <c r="W3285">
        <v>0</v>
      </c>
      <c r="X3285">
        <v>0</v>
      </c>
      <c r="Y3285" s="6">
        <v>37.4</v>
      </c>
      <c r="Z3285">
        <v>0.158</v>
      </c>
      <c r="AA3285">
        <v>0.15</v>
      </c>
      <c r="AB3285">
        <v>4.7E-2</v>
      </c>
      <c r="AC3285">
        <v>5</v>
      </c>
      <c r="AD3285" s="6">
        <v>100</v>
      </c>
      <c r="AE3285" s="6">
        <v>0</v>
      </c>
      <c r="AF3285" s="6">
        <v>0</v>
      </c>
      <c r="AG3285" s="6">
        <v>84.84</v>
      </c>
      <c r="AH3285" s="6">
        <v>106.4</v>
      </c>
      <c r="AI3285" s="6">
        <f t="shared" si="102"/>
        <v>21.560000000000002</v>
      </c>
      <c r="AJ3285" s="5">
        <f t="shared" si="103"/>
        <v>0.20263157894736844</v>
      </c>
    </row>
    <row r="3286" spans="1:36">
      <c r="A3286" t="s">
        <v>236</v>
      </c>
      <c r="B3286" t="s">
        <v>3571</v>
      </c>
      <c r="C3286" t="s">
        <v>134</v>
      </c>
      <c r="D3286" t="s">
        <v>77</v>
      </c>
      <c r="E3286" t="s">
        <v>69</v>
      </c>
      <c r="F3286">
        <v>0</v>
      </c>
      <c r="G3286">
        <v>1134</v>
      </c>
      <c r="H3286">
        <v>1</v>
      </c>
      <c r="I3286" t="s">
        <v>173</v>
      </c>
      <c r="J3286">
        <v>1</v>
      </c>
      <c r="K3286" s="6">
        <v>1.42</v>
      </c>
      <c r="L3286" t="s">
        <v>174</v>
      </c>
      <c r="M3286">
        <v>0</v>
      </c>
      <c r="N3286" t="s">
        <v>175</v>
      </c>
      <c r="O3286">
        <v>1</v>
      </c>
      <c r="P3286">
        <v>0</v>
      </c>
      <c r="Q3286" s="6">
        <v>26.7</v>
      </c>
      <c r="R3286">
        <v>0</v>
      </c>
      <c r="S3286" s="6">
        <v>0</v>
      </c>
      <c r="T3286">
        <v>0</v>
      </c>
      <c r="U3286" s="6">
        <v>4259</v>
      </c>
      <c r="V3286">
        <v>0</v>
      </c>
      <c r="W3286">
        <v>0</v>
      </c>
      <c r="X3286">
        <v>0</v>
      </c>
      <c r="Y3286" s="6">
        <v>37.4</v>
      </c>
      <c r="Z3286">
        <v>0.158</v>
      </c>
      <c r="AA3286">
        <v>0.15</v>
      </c>
      <c r="AB3286">
        <v>4.7E-2</v>
      </c>
      <c r="AC3286">
        <v>5</v>
      </c>
      <c r="AD3286" s="6">
        <v>51</v>
      </c>
      <c r="AE3286" s="6">
        <v>0</v>
      </c>
      <c r="AF3286" s="6">
        <v>0</v>
      </c>
      <c r="AG3286" s="6">
        <v>54.32</v>
      </c>
      <c r="AH3286" s="6">
        <v>71.88</v>
      </c>
      <c r="AI3286" s="6">
        <f t="shared" si="102"/>
        <v>17.559999999999995</v>
      </c>
      <c r="AJ3286" s="5">
        <f t="shared" si="103"/>
        <v>0.24429604897050636</v>
      </c>
    </row>
    <row r="3287" spans="1:36">
      <c r="A3287" t="s">
        <v>298</v>
      </c>
      <c r="B3287" t="s">
        <v>3572</v>
      </c>
      <c r="C3287" t="s">
        <v>134</v>
      </c>
      <c r="D3287" t="s">
        <v>77</v>
      </c>
      <c r="E3287" t="s">
        <v>69</v>
      </c>
      <c r="F3287">
        <v>0</v>
      </c>
      <c r="G3287">
        <v>1134</v>
      </c>
      <c r="H3287">
        <v>1</v>
      </c>
      <c r="I3287" t="s">
        <v>181</v>
      </c>
      <c r="J3287">
        <v>3</v>
      </c>
      <c r="K3287" s="6">
        <v>9.1</v>
      </c>
      <c r="L3287" t="s">
        <v>200</v>
      </c>
      <c r="M3287">
        <v>1</v>
      </c>
      <c r="N3287" t="s">
        <v>175</v>
      </c>
      <c r="O3287">
        <v>1</v>
      </c>
      <c r="P3287">
        <v>0</v>
      </c>
      <c r="Q3287" s="6">
        <v>51</v>
      </c>
      <c r="R3287">
        <v>0</v>
      </c>
      <c r="S3287" s="6">
        <v>0</v>
      </c>
      <c r="T3287">
        <v>0</v>
      </c>
      <c r="U3287" s="6">
        <v>6289</v>
      </c>
      <c r="V3287">
        <v>0</v>
      </c>
      <c r="W3287">
        <v>0</v>
      </c>
      <c r="X3287">
        <v>0</v>
      </c>
      <c r="Y3287" s="6">
        <v>37.4</v>
      </c>
      <c r="Z3287">
        <v>0.158</v>
      </c>
      <c r="AA3287">
        <v>0.15</v>
      </c>
      <c r="AB3287">
        <v>4.7E-2</v>
      </c>
      <c r="AC3287">
        <v>5</v>
      </c>
      <c r="AD3287" s="6">
        <v>140</v>
      </c>
      <c r="AE3287" s="6">
        <v>0</v>
      </c>
      <c r="AF3287" s="6">
        <v>0</v>
      </c>
      <c r="AG3287" s="6">
        <v>123.25</v>
      </c>
      <c r="AH3287" s="6">
        <v>158.71</v>
      </c>
      <c r="AI3287" s="6">
        <f t="shared" si="102"/>
        <v>35.460000000000008</v>
      </c>
      <c r="AJ3287" s="5">
        <f t="shared" si="103"/>
        <v>0.22342637514964406</v>
      </c>
    </row>
    <row r="3288" spans="1:36">
      <c r="A3288" t="s">
        <v>330</v>
      </c>
      <c r="B3288" t="s">
        <v>3573</v>
      </c>
      <c r="C3288" t="s">
        <v>134</v>
      </c>
      <c r="D3288" t="s">
        <v>77</v>
      </c>
      <c r="E3288" t="s">
        <v>69</v>
      </c>
      <c r="F3288">
        <v>0</v>
      </c>
      <c r="G3288">
        <v>1134</v>
      </c>
      <c r="H3288">
        <v>1</v>
      </c>
      <c r="I3288" t="s">
        <v>173</v>
      </c>
      <c r="J3288">
        <v>1</v>
      </c>
      <c r="K3288" s="6">
        <v>1.65</v>
      </c>
      <c r="L3288" t="s">
        <v>200</v>
      </c>
      <c r="M3288">
        <v>1</v>
      </c>
      <c r="N3288" t="s">
        <v>182</v>
      </c>
      <c r="O3288">
        <v>3</v>
      </c>
      <c r="P3288">
        <v>0</v>
      </c>
      <c r="Q3288" s="6">
        <v>119.5</v>
      </c>
      <c r="R3288">
        <v>0</v>
      </c>
      <c r="S3288" s="6">
        <v>0</v>
      </c>
      <c r="T3288">
        <v>0</v>
      </c>
      <c r="U3288" s="6">
        <v>1752</v>
      </c>
      <c r="V3288">
        <v>0</v>
      </c>
      <c r="W3288">
        <v>0</v>
      </c>
      <c r="X3288">
        <v>0</v>
      </c>
      <c r="Y3288" s="6">
        <v>37.4</v>
      </c>
      <c r="Z3288">
        <v>0.158</v>
      </c>
      <c r="AA3288">
        <v>0.15</v>
      </c>
      <c r="AB3288">
        <v>4.7E-2</v>
      </c>
      <c r="AC3288">
        <v>5</v>
      </c>
      <c r="AD3288" s="6">
        <v>100</v>
      </c>
      <c r="AE3288" s="6">
        <v>0</v>
      </c>
      <c r="AF3288" s="6">
        <v>0</v>
      </c>
      <c r="AG3288" s="6">
        <v>89.9</v>
      </c>
      <c r="AH3288" s="6">
        <v>116.64</v>
      </c>
      <c r="AI3288" s="6">
        <f t="shared" si="102"/>
        <v>26.739999999999995</v>
      </c>
      <c r="AJ3288" s="5">
        <f t="shared" si="103"/>
        <v>0.22925240054869681</v>
      </c>
    </row>
    <row r="3289" spans="1:36">
      <c r="A3289" t="s">
        <v>221</v>
      </c>
      <c r="B3289" t="s">
        <v>3574</v>
      </c>
      <c r="C3289" t="s">
        <v>134</v>
      </c>
      <c r="D3289" t="s">
        <v>77</v>
      </c>
      <c r="E3289" t="s">
        <v>69</v>
      </c>
      <c r="F3289">
        <v>0</v>
      </c>
      <c r="G3289">
        <v>1134</v>
      </c>
      <c r="H3289">
        <v>1</v>
      </c>
      <c r="I3289" t="s">
        <v>173</v>
      </c>
      <c r="J3289">
        <v>1</v>
      </c>
      <c r="K3289" s="6">
        <v>1.68</v>
      </c>
      <c r="L3289" t="s">
        <v>174</v>
      </c>
      <c r="M3289">
        <v>0</v>
      </c>
      <c r="N3289" t="s">
        <v>175</v>
      </c>
      <c r="O3289">
        <v>1</v>
      </c>
      <c r="P3289">
        <v>0</v>
      </c>
      <c r="Q3289" s="6">
        <v>37.6</v>
      </c>
      <c r="R3289">
        <v>0</v>
      </c>
      <c r="S3289" s="6">
        <v>0</v>
      </c>
      <c r="T3289">
        <v>0</v>
      </c>
      <c r="U3289" s="6">
        <v>6202</v>
      </c>
      <c r="V3289">
        <v>0</v>
      </c>
      <c r="W3289">
        <v>0</v>
      </c>
      <c r="X3289">
        <v>0</v>
      </c>
      <c r="Y3289" s="6">
        <v>37.4</v>
      </c>
      <c r="Z3289">
        <v>0.158</v>
      </c>
      <c r="AA3289">
        <v>0.15</v>
      </c>
      <c r="AB3289">
        <v>4.7E-2</v>
      </c>
      <c r="AC3289">
        <v>5</v>
      </c>
      <c r="AD3289" s="6">
        <v>51</v>
      </c>
      <c r="AE3289" s="6">
        <v>0</v>
      </c>
      <c r="AF3289" s="6">
        <v>0</v>
      </c>
      <c r="AG3289" s="6">
        <v>46.15</v>
      </c>
      <c r="AH3289" s="6">
        <v>59.81</v>
      </c>
      <c r="AI3289" s="6">
        <f t="shared" si="102"/>
        <v>13.660000000000004</v>
      </c>
      <c r="AJ3289" s="5">
        <f t="shared" si="103"/>
        <v>0.22838990135428863</v>
      </c>
    </row>
    <row r="3290" spans="1:36">
      <c r="A3290" t="s">
        <v>494</v>
      </c>
      <c r="B3290" t="s">
        <v>3575</v>
      </c>
      <c r="C3290" t="s">
        <v>134</v>
      </c>
      <c r="D3290" t="s">
        <v>77</v>
      </c>
      <c r="E3290" t="s">
        <v>69</v>
      </c>
      <c r="F3290">
        <v>0</v>
      </c>
      <c r="G3290">
        <v>1134</v>
      </c>
      <c r="H3290">
        <v>1</v>
      </c>
      <c r="I3290" t="s">
        <v>173</v>
      </c>
      <c r="J3290">
        <v>1</v>
      </c>
      <c r="K3290" s="6">
        <v>1.51</v>
      </c>
      <c r="L3290" t="s">
        <v>174</v>
      </c>
      <c r="M3290">
        <v>0</v>
      </c>
      <c r="N3290" t="s">
        <v>182</v>
      </c>
      <c r="O3290">
        <v>3</v>
      </c>
      <c r="P3290">
        <v>0</v>
      </c>
      <c r="Q3290" s="6">
        <v>123.6</v>
      </c>
      <c r="R3290">
        <v>0</v>
      </c>
      <c r="S3290" s="6">
        <v>0</v>
      </c>
      <c r="T3290">
        <v>0</v>
      </c>
      <c r="U3290" s="6">
        <v>2678</v>
      </c>
      <c r="V3290">
        <v>0</v>
      </c>
      <c r="W3290">
        <v>0</v>
      </c>
      <c r="X3290">
        <v>0</v>
      </c>
      <c r="Y3290" s="6">
        <v>37.4</v>
      </c>
      <c r="Z3290">
        <v>0.158</v>
      </c>
      <c r="AA3290">
        <v>0.15</v>
      </c>
      <c r="AB3290">
        <v>4.7E-2</v>
      </c>
      <c r="AC3290">
        <v>5</v>
      </c>
      <c r="AD3290" s="6">
        <v>51</v>
      </c>
      <c r="AE3290" s="6">
        <v>0</v>
      </c>
      <c r="AF3290" s="6">
        <v>0</v>
      </c>
      <c r="AG3290" s="6">
        <v>60.63</v>
      </c>
      <c r="AH3290" s="6">
        <v>78.02</v>
      </c>
      <c r="AI3290" s="6">
        <f t="shared" si="102"/>
        <v>17.389999999999993</v>
      </c>
      <c r="AJ3290" s="5">
        <f t="shared" si="103"/>
        <v>0.22289156626506018</v>
      </c>
    </row>
    <row r="3291" spans="1:36">
      <c r="A3291" t="s">
        <v>391</v>
      </c>
      <c r="B3291" t="s">
        <v>3576</v>
      </c>
      <c r="C3291" t="s">
        <v>134</v>
      </c>
      <c r="D3291" t="s">
        <v>77</v>
      </c>
      <c r="E3291" t="s">
        <v>69</v>
      </c>
      <c r="F3291">
        <v>0</v>
      </c>
      <c r="G3291">
        <v>1134</v>
      </c>
      <c r="H3291">
        <v>1</v>
      </c>
      <c r="I3291" t="s">
        <v>173</v>
      </c>
      <c r="J3291">
        <v>1</v>
      </c>
      <c r="K3291" s="6">
        <v>1.98</v>
      </c>
      <c r="L3291" t="s">
        <v>174</v>
      </c>
      <c r="M3291">
        <v>0</v>
      </c>
      <c r="N3291" t="s">
        <v>175</v>
      </c>
      <c r="O3291">
        <v>1</v>
      </c>
      <c r="P3291">
        <v>0</v>
      </c>
      <c r="Q3291" s="6">
        <v>33.200000000000003</v>
      </c>
      <c r="R3291">
        <v>0</v>
      </c>
      <c r="S3291" s="6">
        <v>0</v>
      </c>
      <c r="T3291">
        <v>0</v>
      </c>
      <c r="U3291" s="6">
        <v>3334</v>
      </c>
      <c r="V3291">
        <v>0</v>
      </c>
      <c r="W3291">
        <v>0</v>
      </c>
      <c r="X3291">
        <v>0</v>
      </c>
      <c r="Y3291" s="6">
        <v>37.4</v>
      </c>
      <c r="Z3291">
        <v>0.158</v>
      </c>
      <c r="AA3291">
        <v>0.15</v>
      </c>
      <c r="AB3291">
        <v>4.7E-2</v>
      </c>
      <c r="AC3291">
        <v>5</v>
      </c>
      <c r="AD3291" s="6">
        <v>51</v>
      </c>
      <c r="AE3291" s="6">
        <v>0</v>
      </c>
      <c r="AF3291" s="6">
        <v>0</v>
      </c>
      <c r="AG3291" s="6">
        <v>53.6</v>
      </c>
      <c r="AH3291" s="6">
        <v>67.459999999999994</v>
      </c>
      <c r="AI3291" s="6">
        <f t="shared" si="102"/>
        <v>13.859999999999992</v>
      </c>
      <c r="AJ3291" s="5">
        <f t="shared" si="103"/>
        <v>0.20545508449451516</v>
      </c>
    </row>
    <row r="3292" spans="1:36">
      <c r="A3292" t="s">
        <v>517</v>
      </c>
      <c r="B3292" t="s">
        <v>3577</v>
      </c>
      <c r="C3292" t="s">
        <v>134</v>
      </c>
      <c r="D3292" t="s">
        <v>77</v>
      </c>
      <c r="E3292" t="s">
        <v>69</v>
      </c>
      <c r="F3292">
        <v>0</v>
      </c>
      <c r="G3292">
        <v>1134</v>
      </c>
      <c r="H3292">
        <v>1</v>
      </c>
      <c r="I3292" t="s">
        <v>220</v>
      </c>
      <c r="J3292">
        <v>2</v>
      </c>
      <c r="K3292" s="6">
        <v>2.65</v>
      </c>
      <c r="L3292" t="s">
        <v>174</v>
      </c>
      <c r="M3292">
        <v>0</v>
      </c>
      <c r="N3292" t="s">
        <v>272</v>
      </c>
      <c r="O3292">
        <v>5</v>
      </c>
      <c r="P3292">
        <v>1</v>
      </c>
      <c r="Q3292" s="6">
        <v>242.5</v>
      </c>
      <c r="R3292">
        <v>0</v>
      </c>
      <c r="S3292" s="6">
        <v>0</v>
      </c>
      <c r="T3292">
        <v>0</v>
      </c>
      <c r="U3292" s="6">
        <v>2317</v>
      </c>
      <c r="V3292">
        <v>0</v>
      </c>
      <c r="W3292">
        <v>0</v>
      </c>
      <c r="X3292">
        <v>0</v>
      </c>
      <c r="Y3292" s="6">
        <v>37.4</v>
      </c>
      <c r="Z3292">
        <v>0.158</v>
      </c>
      <c r="AA3292">
        <v>0.15</v>
      </c>
      <c r="AB3292">
        <v>4.7E-2</v>
      </c>
      <c r="AC3292">
        <v>5</v>
      </c>
      <c r="AD3292" s="6">
        <v>51</v>
      </c>
      <c r="AE3292" s="6">
        <v>0</v>
      </c>
      <c r="AF3292" s="6">
        <v>0</v>
      </c>
      <c r="AG3292" s="6">
        <v>153.38</v>
      </c>
      <c r="AH3292" s="6">
        <v>196.31</v>
      </c>
      <c r="AI3292" s="6">
        <f t="shared" si="102"/>
        <v>42.930000000000007</v>
      </c>
      <c r="AJ3292" s="5">
        <f t="shared" si="103"/>
        <v>0.21868473332993738</v>
      </c>
    </row>
    <row r="3293" spans="1:36">
      <c r="A3293" t="s">
        <v>406</v>
      </c>
      <c r="B3293" t="s">
        <v>3578</v>
      </c>
      <c r="C3293" t="s">
        <v>134</v>
      </c>
      <c r="D3293" t="s">
        <v>77</v>
      </c>
      <c r="E3293" t="s">
        <v>69</v>
      </c>
      <c r="F3293">
        <v>0</v>
      </c>
      <c r="G3293">
        <v>1134</v>
      </c>
      <c r="H3293">
        <v>1</v>
      </c>
      <c r="I3293" t="s">
        <v>220</v>
      </c>
      <c r="J3293">
        <v>2</v>
      </c>
      <c r="K3293" s="6">
        <v>4.51</v>
      </c>
      <c r="L3293" t="s">
        <v>174</v>
      </c>
      <c r="M3293">
        <v>0</v>
      </c>
      <c r="N3293" t="s">
        <v>175</v>
      </c>
      <c r="O3293">
        <v>1</v>
      </c>
      <c r="P3293">
        <v>0</v>
      </c>
      <c r="Q3293" s="6">
        <v>29.7</v>
      </c>
      <c r="R3293">
        <v>0</v>
      </c>
      <c r="S3293" s="6">
        <v>0</v>
      </c>
      <c r="T3293">
        <v>0</v>
      </c>
      <c r="U3293" s="6">
        <v>2956</v>
      </c>
      <c r="V3293">
        <v>0</v>
      </c>
      <c r="W3293">
        <v>0</v>
      </c>
      <c r="X3293">
        <v>0</v>
      </c>
      <c r="Y3293" s="6">
        <v>37.4</v>
      </c>
      <c r="Z3293">
        <v>0.158</v>
      </c>
      <c r="AA3293">
        <v>0.15</v>
      </c>
      <c r="AB3293">
        <v>4.7E-2</v>
      </c>
      <c r="AC3293">
        <v>5</v>
      </c>
      <c r="AD3293" s="6">
        <v>51</v>
      </c>
      <c r="AE3293" s="6">
        <v>0</v>
      </c>
      <c r="AF3293" s="6">
        <v>0</v>
      </c>
      <c r="AG3293" s="6">
        <v>61.15</v>
      </c>
      <c r="AH3293" s="6">
        <v>80.430000000000007</v>
      </c>
      <c r="AI3293" s="6">
        <f t="shared" si="102"/>
        <v>19.280000000000008</v>
      </c>
      <c r="AJ3293" s="5">
        <f t="shared" si="103"/>
        <v>0.23971155041651132</v>
      </c>
    </row>
    <row r="3294" spans="1:36">
      <c r="A3294" t="s">
        <v>225</v>
      </c>
      <c r="B3294" t="s">
        <v>3579</v>
      </c>
      <c r="C3294" t="s">
        <v>134</v>
      </c>
      <c r="D3294" t="s">
        <v>77</v>
      </c>
      <c r="E3294" t="s">
        <v>69</v>
      </c>
      <c r="F3294">
        <v>0</v>
      </c>
      <c r="G3294">
        <v>1134</v>
      </c>
      <c r="H3294">
        <v>1</v>
      </c>
      <c r="I3294" t="s">
        <v>173</v>
      </c>
      <c r="J3294">
        <v>1</v>
      </c>
      <c r="K3294" s="6">
        <v>1.45</v>
      </c>
      <c r="L3294" t="s">
        <v>174</v>
      </c>
      <c r="M3294">
        <v>0</v>
      </c>
      <c r="N3294" t="s">
        <v>182</v>
      </c>
      <c r="O3294">
        <v>3</v>
      </c>
      <c r="P3294">
        <v>0</v>
      </c>
      <c r="Q3294" s="6">
        <v>119.9</v>
      </c>
      <c r="R3294">
        <v>0</v>
      </c>
      <c r="S3294" s="6">
        <v>0</v>
      </c>
      <c r="T3294">
        <v>0</v>
      </c>
      <c r="U3294" s="6">
        <v>7326</v>
      </c>
      <c r="V3294">
        <v>0</v>
      </c>
      <c r="W3294">
        <v>0</v>
      </c>
      <c r="X3294">
        <v>0</v>
      </c>
      <c r="Y3294" s="6">
        <v>37.4</v>
      </c>
      <c r="Z3294">
        <v>0.158</v>
      </c>
      <c r="AA3294">
        <v>0.15</v>
      </c>
      <c r="AB3294">
        <v>4.7E-2</v>
      </c>
      <c r="AC3294">
        <v>5</v>
      </c>
      <c r="AD3294" s="6">
        <v>51</v>
      </c>
      <c r="AE3294" s="6">
        <v>0</v>
      </c>
      <c r="AF3294" s="6">
        <v>0</v>
      </c>
      <c r="AG3294" s="6">
        <v>63.51</v>
      </c>
      <c r="AH3294" s="6">
        <v>83.21</v>
      </c>
      <c r="AI3294" s="6">
        <f t="shared" si="102"/>
        <v>19.699999999999996</v>
      </c>
      <c r="AJ3294" s="5">
        <f t="shared" si="103"/>
        <v>0.2367503905780555</v>
      </c>
    </row>
    <row r="3295" spans="1:36">
      <c r="A3295" t="s">
        <v>375</v>
      </c>
      <c r="B3295" t="s">
        <v>3580</v>
      </c>
      <c r="C3295" t="s">
        <v>134</v>
      </c>
      <c r="D3295" t="s">
        <v>77</v>
      </c>
      <c r="E3295" t="s">
        <v>69</v>
      </c>
      <c r="F3295">
        <v>0</v>
      </c>
      <c r="G3295">
        <v>1134</v>
      </c>
      <c r="H3295">
        <v>1</v>
      </c>
      <c r="I3295" t="s">
        <v>173</v>
      </c>
      <c r="J3295">
        <v>1</v>
      </c>
      <c r="K3295" s="6">
        <v>2</v>
      </c>
      <c r="L3295" t="s">
        <v>174</v>
      </c>
      <c r="M3295">
        <v>0</v>
      </c>
      <c r="N3295" t="s">
        <v>187</v>
      </c>
      <c r="O3295">
        <v>2</v>
      </c>
      <c r="P3295">
        <v>1</v>
      </c>
      <c r="Q3295" s="6">
        <v>38.700000000000003</v>
      </c>
      <c r="R3295">
        <v>0</v>
      </c>
      <c r="S3295" s="6">
        <v>0</v>
      </c>
      <c r="T3295">
        <v>0</v>
      </c>
      <c r="U3295" s="6">
        <v>5770</v>
      </c>
      <c r="V3295">
        <v>0</v>
      </c>
      <c r="W3295">
        <v>0</v>
      </c>
      <c r="X3295">
        <v>0</v>
      </c>
      <c r="Y3295" s="6">
        <v>37.4</v>
      </c>
      <c r="Z3295">
        <v>0.158</v>
      </c>
      <c r="AA3295">
        <v>0.15</v>
      </c>
      <c r="AB3295">
        <v>4.7E-2</v>
      </c>
      <c r="AC3295">
        <v>5</v>
      </c>
      <c r="AD3295" s="6">
        <v>51</v>
      </c>
      <c r="AE3295" s="6">
        <v>0</v>
      </c>
      <c r="AF3295" s="6">
        <v>0</v>
      </c>
      <c r="AG3295" s="6">
        <v>83.6</v>
      </c>
      <c r="AH3295" s="6">
        <v>108.82</v>
      </c>
      <c r="AI3295" s="6">
        <f t="shared" si="102"/>
        <v>25.22</v>
      </c>
      <c r="AJ3295" s="5">
        <f t="shared" si="103"/>
        <v>0.23175886785517369</v>
      </c>
    </row>
    <row r="3296" spans="1:36">
      <c r="A3296" t="s">
        <v>431</v>
      </c>
      <c r="B3296" t="s">
        <v>3581</v>
      </c>
      <c r="C3296" t="s">
        <v>134</v>
      </c>
      <c r="D3296" t="s">
        <v>77</v>
      </c>
      <c r="E3296" t="s">
        <v>69</v>
      </c>
      <c r="F3296">
        <v>0</v>
      </c>
      <c r="G3296">
        <v>1134</v>
      </c>
      <c r="H3296">
        <v>1</v>
      </c>
      <c r="I3296" t="s">
        <v>173</v>
      </c>
      <c r="J3296">
        <v>1</v>
      </c>
      <c r="K3296" s="6">
        <v>1.66</v>
      </c>
      <c r="L3296" t="s">
        <v>174</v>
      </c>
      <c r="M3296">
        <v>0</v>
      </c>
      <c r="N3296" t="s">
        <v>182</v>
      </c>
      <c r="O3296">
        <v>3</v>
      </c>
      <c r="P3296">
        <v>0</v>
      </c>
      <c r="Q3296" s="6">
        <v>169.1</v>
      </c>
      <c r="R3296">
        <v>0</v>
      </c>
      <c r="S3296" s="6">
        <v>0</v>
      </c>
      <c r="T3296">
        <v>0</v>
      </c>
      <c r="U3296" s="6">
        <v>3085</v>
      </c>
      <c r="V3296">
        <v>0</v>
      </c>
      <c r="W3296">
        <v>0</v>
      </c>
      <c r="X3296">
        <v>0</v>
      </c>
      <c r="Y3296" s="6">
        <v>37.4</v>
      </c>
      <c r="Z3296">
        <v>0.158</v>
      </c>
      <c r="AA3296">
        <v>0.15</v>
      </c>
      <c r="AB3296">
        <v>4.7E-2</v>
      </c>
      <c r="AC3296">
        <v>5</v>
      </c>
      <c r="AD3296" s="6">
        <v>51</v>
      </c>
      <c r="AE3296" s="6">
        <v>0</v>
      </c>
      <c r="AF3296" s="6">
        <v>0</v>
      </c>
      <c r="AG3296" s="6">
        <v>61.2</v>
      </c>
      <c r="AH3296" s="6">
        <v>79.69</v>
      </c>
      <c r="AI3296" s="6">
        <f t="shared" si="102"/>
        <v>18.489999999999995</v>
      </c>
      <c r="AJ3296" s="5">
        <f t="shared" si="103"/>
        <v>0.23202409336177682</v>
      </c>
    </row>
    <row r="3297" spans="1:36">
      <c r="A3297" t="s">
        <v>691</v>
      </c>
      <c r="B3297" t="s">
        <v>3582</v>
      </c>
      <c r="C3297" t="s">
        <v>134</v>
      </c>
      <c r="D3297" t="s">
        <v>77</v>
      </c>
      <c r="E3297" t="s">
        <v>69</v>
      </c>
      <c r="F3297">
        <v>0</v>
      </c>
      <c r="G3297">
        <v>1134</v>
      </c>
      <c r="H3297">
        <v>1</v>
      </c>
      <c r="I3297" t="s">
        <v>173</v>
      </c>
      <c r="J3297">
        <v>1</v>
      </c>
      <c r="K3297" s="6">
        <v>1.5</v>
      </c>
      <c r="L3297" t="s">
        <v>174</v>
      </c>
      <c r="M3297">
        <v>0</v>
      </c>
      <c r="N3297" t="s">
        <v>187</v>
      </c>
      <c r="O3297">
        <v>2</v>
      </c>
      <c r="P3297">
        <v>0</v>
      </c>
      <c r="Q3297" s="6">
        <v>69.099999999999994</v>
      </c>
      <c r="R3297">
        <v>0</v>
      </c>
      <c r="S3297" s="6">
        <v>0</v>
      </c>
      <c r="T3297">
        <v>0</v>
      </c>
      <c r="U3297" s="6">
        <v>4453</v>
      </c>
      <c r="V3297">
        <v>0</v>
      </c>
      <c r="W3297">
        <v>0</v>
      </c>
      <c r="X3297">
        <v>0</v>
      </c>
      <c r="Y3297" s="6">
        <v>37.4</v>
      </c>
      <c r="Z3297">
        <v>0.158</v>
      </c>
      <c r="AA3297">
        <v>0.15</v>
      </c>
      <c r="AB3297">
        <v>4.7E-2</v>
      </c>
      <c r="AC3297">
        <v>5</v>
      </c>
      <c r="AD3297" s="6">
        <v>51</v>
      </c>
      <c r="AE3297" s="6">
        <v>0</v>
      </c>
      <c r="AF3297" s="6">
        <v>0</v>
      </c>
      <c r="AG3297" s="6">
        <v>58.53</v>
      </c>
      <c r="AH3297" s="6">
        <v>75.94</v>
      </c>
      <c r="AI3297" s="6">
        <f t="shared" si="102"/>
        <v>17.409999999999997</v>
      </c>
      <c r="AJ3297" s="5">
        <f t="shared" si="103"/>
        <v>0.22925994205952063</v>
      </c>
    </row>
    <row r="3298" spans="1:36">
      <c r="A3298" t="s">
        <v>190</v>
      </c>
      <c r="B3298" t="s">
        <v>3583</v>
      </c>
      <c r="C3298" t="s">
        <v>134</v>
      </c>
      <c r="D3298" t="s">
        <v>77</v>
      </c>
      <c r="E3298" t="s">
        <v>69</v>
      </c>
      <c r="F3298">
        <v>0</v>
      </c>
      <c r="G3298">
        <v>1134</v>
      </c>
      <c r="H3298">
        <v>1</v>
      </c>
      <c r="I3298" t="s">
        <v>220</v>
      </c>
      <c r="J3298">
        <v>2</v>
      </c>
      <c r="K3298" s="6">
        <v>3.19</v>
      </c>
      <c r="L3298" t="s">
        <v>200</v>
      </c>
      <c r="M3298">
        <v>1</v>
      </c>
      <c r="N3298" t="s">
        <v>182</v>
      </c>
      <c r="O3298">
        <v>3</v>
      </c>
      <c r="P3298">
        <v>0</v>
      </c>
      <c r="Q3298" s="6">
        <v>117.1</v>
      </c>
      <c r="R3298">
        <v>0</v>
      </c>
      <c r="S3298" s="6">
        <v>0</v>
      </c>
      <c r="T3298">
        <v>0</v>
      </c>
      <c r="U3298" s="6">
        <v>1850</v>
      </c>
      <c r="V3298">
        <v>0</v>
      </c>
      <c r="W3298">
        <v>0</v>
      </c>
      <c r="X3298">
        <v>0</v>
      </c>
      <c r="Y3298" s="6">
        <v>37.4</v>
      </c>
      <c r="Z3298">
        <v>0.158</v>
      </c>
      <c r="AA3298">
        <v>0.15</v>
      </c>
      <c r="AB3298">
        <v>4.7E-2</v>
      </c>
      <c r="AC3298">
        <v>5</v>
      </c>
      <c r="AD3298" s="6">
        <v>120</v>
      </c>
      <c r="AE3298" s="6">
        <v>0</v>
      </c>
      <c r="AF3298" s="6">
        <v>0</v>
      </c>
      <c r="AG3298" s="6">
        <v>100.66</v>
      </c>
      <c r="AH3298" s="6">
        <v>129.21</v>
      </c>
      <c r="AI3298" s="6">
        <f t="shared" si="102"/>
        <v>28.550000000000011</v>
      </c>
      <c r="AJ3298" s="5">
        <f t="shared" si="103"/>
        <v>0.22095813017568308</v>
      </c>
    </row>
    <row r="3299" spans="1:36">
      <c r="A3299" t="s">
        <v>691</v>
      </c>
      <c r="B3299" t="s">
        <v>3584</v>
      </c>
      <c r="C3299" t="s">
        <v>134</v>
      </c>
      <c r="D3299" t="s">
        <v>77</v>
      </c>
      <c r="E3299" t="s">
        <v>69</v>
      </c>
      <c r="F3299">
        <v>0</v>
      </c>
      <c r="G3299">
        <v>1134</v>
      </c>
      <c r="H3299">
        <v>1</v>
      </c>
      <c r="I3299" t="s">
        <v>173</v>
      </c>
      <c r="J3299">
        <v>1</v>
      </c>
      <c r="K3299" s="6">
        <v>1.85</v>
      </c>
      <c r="L3299" t="s">
        <v>174</v>
      </c>
      <c r="M3299">
        <v>0</v>
      </c>
      <c r="N3299" t="s">
        <v>175</v>
      </c>
      <c r="O3299">
        <v>1</v>
      </c>
      <c r="P3299">
        <v>0</v>
      </c>
      <c r="Q3299" s="6">
        <v>50.6</v>
      </c>
      <c r="R3299">
        <v>0</v>
      </c>
      <c r="S3299" s="6">
        <v>0</v>
      </c>
      <c r="T3299">
        <v>0</v>
      </c>
      <c r="U3299" s="6">
        <v>3406</v>
      </c>
      <c r="V3299">
        <v>0</v>
      </c>
      <c r="W3299">
        <v>0</v>
      </c>
      <c r="X3299">
        <v>0</v>
      </c>
      <c r="Y3299" s="6">
        <v>37.4</v>
      </c>
      <c r="Z3299">
        <v>0.158</v>
      </c>
      <c r="AA3299">
        <v>0.15</v>
      </c>
      <c r="AB3299">
        <v>4.7E-2</v>
      </c>
      <c r="AC3299">
        <v>5</v>
      </c>
      <c r="AD3299" s="6">
        <v>51</v>
      </c>
      <c r="AE3299" s="6">
        <v>0</v>
      </c>
      <c r="AF3299" s="6">
        <v>0</v>
      </c>
      <c r="AG3299" s="6">
        <v>51.22</v>
      </c>
      <c r="AH3299" s="6">
        <v>67.7</v>
      </c>
      <c r="AI3299" s="6">
        <f t="shared" si="102"/>
        <v>16.480000000000004</v>
      </c>
      <c r="AJ3299" s="5">
        <f t="shared" si="103"/>
        <v>0.24342688330871498</v>
      </c>
    </row>
    <row r="3300" spans="1:36">
      <c r="A3300" t="s">
        <v>263</v>
      </c>
      <c r="B3300" t="s">
        <v>3585</v>
      </c>
      <c r="C3300" t="s">
        <v>134</v>
      </c>
      <c r="D3300" t="s">
        <v>77</v>
      </c>
      <c r="E3300" t="s">
        <v>69</v>
      </c>
      <c r="F3300">
        <v>0</v>
      </c>
      <c r="G3300">
        <v>1134</v>
      </c>
      <c r="H3300">
        <v>1</v>
      </c>
      <c r="I3300" t="s">
        <v>173</v>
      </c>
      <c r="J3300">
        <v>1</v>
      </c>
      <c r="K3300" s="6">
        <v>1.3</v>
      </c>
      <c r="L3300" t="s">
        <v>200</v>
      </c>
      <c r="M3300">
        <v>1</v>
      </c>
      <c r="N3300" t="s">
        <v>175</v>
      </c>
      <c r="O3300">
        <v>1</v>
      </c>
      <c r="P3300">
        <v>0</v>
      </c>
      <c r="Q3300" s="6">
        <v>24.9</v>
      </c>
      <c r="R3300">
        <v>0</v>
      </c>
      <c r="S3300" s="6">
        <v>0</v>
      </c>
      <c r="T3300">
        <v>0</v>
      </c>
      <c r="U3300" s="6">
        <v>4233</v>
      </c>
      <c r="V3300">
        <v>0</v>
      </c>
      <c r="W3300">
        <v>0</v>
      </c>
      <c r="X3300">
        <v>0</v>
      </c>
      <c r="Y3300" s="6">
        <v>37.4</v>
      </c>
      <c r="Z3300">
        <v>0.158</v>
      </c>
      <c r="AA3300">
        <v>0.15</v>
      </c>
      <c r="AB3300">
        <v>4.7E-2</v>
      </c>
      <c r="AC3300">
        <v>5</v>
      </c>
      <c r="AD3300" s="6">
        <v>100</v>
      </c>
      <c r="AE3300" s="6">
        <v>0</v>
      </c>
      <c r="AF3300" s="6">
        <v>0</v>
      </c>
      <c r="AG3300" s="6">
        <v>74.92</v>
      </c>
      <c r="AH3300" s="6">
        <v>104.42</v>
      </c>
      <c r="AI3300" s="6">
        <f t="shared" si="102"/>
        <v>29.5</v>
      </c>
      <c r="AJ3300" s="5">
        <f t="shared" si="103"/>
        <v>0.28251292855774757</v>
      </c>
    </row>
    <row r="3301" spans="1:36">
      <c r="A3301" t="s">
        <v>300</v>
      </c>
      <c r="B3301" t="s">
        <v>3586</v>
      </c>
      <c r="C3301" t="s">
        <v>134</v>
      </c>
      <c r="D3301" t="s">
        <v>77</v>
      </c>
      <c r="E3301" t="s">
        <v>69</v>
      </c>
      <c r="F3301">
        <v>0</v>
      </c>
      <c r="G3301">
        <v>1134</v>
      </c>
      <c r="H3301">
        <v>1</v>
      </c>
      <c r="I3301" t="s">
        <v>173</v>
      </c>
      <c r="J3301">
        <v>1</v>
      </c>
      <c r="K3301" s="6">
        <v>2.2400000000000002</v>
      </c>
      <c r="L3301" t="s">
        <v>174</v>
      </c>
      <c r="M3301">
        <v>0</v>
      </c>
      <c r="N3301" t="s">
        <v>175</v>
      </c>
      <c r="O3301">
        <v>1</v>
      </c>
      <c r="P3301">
        <v>0</v>
      </c>
      <c r="Q3301" s="6">
        <v>56.1</v>
      </c>
      <c r="R3301">
        <v>0</v>
      </c>
      <c r="S3301" s="6">
        <v>0</v>
      </c>
      <c r="T3301">
        <v>0</v>
      </c>
      <c r="U3301" s="6">
        <v>3689</v>
      </c>
      <c r="V3301">
        <v>0</v>
      </c>
      <c r="W3301">
        <v>0</v>
      </c>
      <c r="X3301">
        <v>0</v>
      </c>
      <c r="Y3301" s="6">
        <v>37.4</v>
      </c>
      <c r="Z3301">
        <v>0.158</v>
      </c>
      <c r="AA3301">
        <v>0.15</v>
      </c>
      <c r="AB3301">
        <v>4.7E-2</v>
      </c>
      <c r="AC3301">
        <v>5</v>
      </c>
      <c r="AD3301" s="6">
        <v>51</v>
      </c>
      <c r="AE3301" s="6">
        <v>0</v>
      </c>
      <c r="AF3301" s="6">
        <v>0</v>
      </c>
      <c r="AG3301" s="6">
        <v>53.84</v>
      </c>
      <c r="AH3301" s="6">
        <v>69.63</v>
      </c>
      <c r="AI3301" s="6">
        <f t="shared" si="102"/>
        <v>15.789999999999992</v>
      </c>
      <c r="AJ3301" s="5">
        <f t="shared" si="103"/>
        <v>0.226770070371966</v>
      </c>
    </row>
    <row r="3302" spans="1:36">
      <c r="A3302" t="s">
        <v>517</v>
      </c>
      <c r="B3302" t="s">
        <v>3587</v>
      </c>
      <c r="C3302" t="s">
        <v>134</v>
      </c>
      <c r="D3302" t="s">
        <v>77</v>
      </c>
      <c r="E3302" t="s">
        <v>69</v>
      </c>
      <c r="F3302">
        <v>0</v>
      </c>
      <c r="G3302">
        <v>1134</v>
      </c>
      <c r="H3302">
        <v>1</v>
      </c>
      <c r="I3302" t="s">
        <v>220</v>
      </c>
      <c r="J3302">
        <v>2</v>
      </c>
      <c r="K3302" s="6">
        <v>4.2300000000000004</v>
      </c>
      <c r="L3302" t="s">
        <v>200</v>
      </c>
      <c r="M3302">
        <v>1</v>
      </c>
      <c r="N3302" t="s">
        <v>182</v>
      </c>
      <c r="O3302">
        <v>3</v>
      </c>
      <c r="P3302">
        <v>0</v>
      </c>
      <c r="Q3302" s="6">
        <v>103.5</v>
      </c>
      <c r="R3302">
        <v>0</v>
      </c>
      <c r="S3302" s="6">
        <v>0</v>
      </c>
      <c r="T3302">
        <v>0</v>
      </c>
      <c r="U3302" s="6">
        <v>761</v>
      </c>
      <c r="V3302">
        <v>0</v>
      </c>
      <c r="W3302">
        <v>0</v>
      </c>
      <c r="X3302">
        <v>0</v>
      </c>
      <c r="Y3302" s="6">
        <v>37.4</v>
      </c>
      <c r="Z3302">
        <v>0.158</v>
      </c>
      <c r="AA3302">
        <v>0.15</v>
      </c>
      <c r="AB3302">
        <v>4.7E-2</v>
      </c>
      <c r="AC3302">
        <v>5</v>
      </c>
      <c r="AD3302" s="6">
        <v>120</v>
      </c>
      <c r="AE3302" s="6">
        <v>0</v>
      </c>
      <c r="AF3302" s="6">
        <v>0</v>
      </c>
      <c r="AG3302" s="6">
        <v>96.43</v>
      </c>
      <c r="AH3302" s="6">
        <v>122.37</v>
      </c>
      <c r="AI3302" s="6">
        <f t="shared" si="102"/>
        <v>25.939999999999998</v>
      </c>
      <c r="AJ3302" s="5">
        <f t="shared" si="103"/>
        <v>0.21198006047233797</v>
      </c>
    </row>
    <row r="3303" spans="1:36">
      <c r="A3303" t="s">
        <v>288</v>
      </c>
      <c r="B3303" t="s">
        <v>3588</v>
      </c>
      <c r="C3303" t="s">
        <v>134</v>
      </c>
      <c r="D3303" t="s">
        <v>77</v>
      </c>
      <c r="E3303" t="s">
        <v>69</v>
      </c>
      <c r="F3303">
        <v>0</v>
      </c>
      <c r="G3303">
        <v>1134</v>
      </c>
      <c r="H3303">
        <v>1</v>
      </c>
      <c r="I3303" t="s">
        <v>173</v>
      </c>
      <c r="J3303">
        <v>1</v>
      </c>
      <c r="K3303" s="6">
        <v>1.58</v>
      </c>
      <c r="L3303" t="s">
        <v>174</v>
      </c>
      <c r="M3303">
        <v>0</v>
      </c>
      <c r="N3303" t="s">
        <v>175</v>
      </c>
      <c r="O3303">
        <v>1</v>
      </c>
      <c r="P3303">
        <v>0</v>
      </c>
      <c r="Q3303" s="6">
        <v>34.700000000000003</v>
      </c>
      <c r="R3303">
        <v>1</v>
      </c>
      <c r="S3303" s="6">
        <v>1680</v>
      </c>
      <c r="T3303">
        <v>0</v>
      </c>
      <c r="U3303" s="6">
        <v>3598</v>
      </c>
      <c r="V3303">
        <v>0</v>
      </c>
      <c r="W3303">
        <v>0</v>
      </c>
      <c r="X3303">
        <v>0</v>
      </c>
      <c r="Y3303" s="6">
        <v>37.4</v>
      </c>
      <c r="Z3303">
        <v>0.158</v>
      </c>
      <c r="AA3303">
        <v>0.15</v>
      </c>
      <c r="AB3303">
        <v>4.7E-2</v>
      </c>
      <c r="AC3303">
        <v>5</v>
      </c>
      <c r="AD3303" s="6">
        <v>51</v>
      </c>
      <c r="AE3303" s="6">
        <v>25</v>
      </c>
      <c r="AF3303" s="6">
        <v>0</v>
      </c>
      <c r="AG3303" s="6">
        <v>49.78</v>
      </c>
      <c r="AH3303" s="6">
        <v>63.51</v>
      </c>
      <c r="AI3303" s="6">
        <f t="shared" si="102"/>
        <v>13.729999999999997</v>
      </c>
      <c r="AJ3303" s="5">
        <f t="shared" si="103"/>
        <v>0.21618642733427804</v>
      </c>
    </row>
    <row r="3304" spans="1:36">
      <c r="A3304" t="s">
        <v>375</v>
      </c>
      <c r="B3304" t="s">
        <v>3589</v>
      </c>
      <c r="C3304" t="s">
        <v>134</v>
      </c>
      <c r="D3304" t="s">
        <v>77</v>
      </c>
      <c r="E3304" t="s">
        <v>69</v>
      </c>
      <c r="F3304">
        <v>0</v>
      </c>
      <c r="G3304">
        <v>1134</v>
      </c>
      <c r="H3304">
        <v>1</v>
      </c>
      <c r="I3304" t="s">
        <v>220</v>
      </c>
      <c r="J3304">
        <v>2</v>
      </c>
      <c r="K3304" s="6">
        <v>3.99</v>
      </c>
      <c r="L3304" t="s">
        <v>174</v>
      </c>
      <c r="M3304">
        <v>0</v>
      </c>
      <c r="N3304" t="s">
        <v>175</v>
      </c>
      <c r="O3304">
        <v>1</v>
      </c>
      <c r="P3304">
        <v>0</v>
      </c>
      <c r="Q3304" s="6">
        <v>32.5</v>
      </c>
      <c r="R3304">
        <v>0</v>
      </c>
      <c r="S3304" s="6">
        <v>0</v>
      </c>
      <c r="T3304">
        <v>0</v>
      </c>
      <c r="U3304" s="6">
        <v>1893</v>
      </c>
      <c r="V3304">
        <v>0</v>
      </c>
      <c r="W3304">
        <v>0</v>
      </c>
      <c r="X3304">
        <v>0</v>
      </c>
      <c r="Y3304" s="6">
        <v>37.4</v>
      </c>
      <c r="Z3304">
        <v>0.158</v>
      </c>
      <c r="AA3304">
        <v>0.15</v>
      </c>
      <c r="AB3304">
        <v>4.7E-2</v>
      </c>
      <c r="AC3304">
        <v>5</v>
      </c>
      <c r="AD3304" s="6">
        <v>51</v>
      </c>
      <c r="AE3304" s="6">
        <v>0</v>
      </c>
      <c r="AF3304" s="6">
        <v>0</v>
      </c>
      <c r="AG3304" s="6">
        <v>59.23</v>
      </c>
      <c r="AH3304" s="6">
        <v>77.59</v>
      </c>
      <c r="AI3304" s="6">
        <f t="shared" si="102"/>
        <v>18.360000000000007</v>
      </c>
      <c r="AJ3304" s="5">
        <f t="shared" si="103"/>
        <v>0.23662843149890458</v>
      </c>
    </row>
    <row r="3305" spans="1:36">
      <c r="A3305" t="s">
        <v>263</v>
      </c>
      <c r="B3305" t="s">
        <v>3590</v>
      </c>
      <c r="C3305" t="s">
        <v>134</v>
      </c>
      <c r="D3305" t="s">
        <v>77</v>
      </c>
      <c r="E3305" t="s">
        <v>69</v>
      </c>
      <c r="F3305">
        <v>0</v>
      </c>
      <c r="G3305">
        <v>1134</v>
      </c>
      <c r="H3305">
        <v>1</v>
      </c>
      <c r="I3305" t="s">
        <v>173</v>
      </c>
      <c r="J3305">
        <v>1</v>
      </c>
      <c r="K3305" s="6">
        <v>1.01</v>
      </c>
      <c r="L3305" t="s">
        <v>200</v>
      </c>
      <c r="M3305">
        <v>1</v>
      </c>
      <c r="N3305" t="s">
        <v>175</v>
      </c>
      <c r="O3305">
        <v>1</v>
      </c>
      <c r="P3305">
        <v>0</v>
      </c>
      <c r="Q3305" s="6">
        <v>40.1</v>
      </c>
      <c r="R3305">
        <v>0</v>
      </c>
      <c r="S3305" s="6">
        <v>0</v>
      </c>
      <c r="T3305">
        <v>0</v>
      </c>
      <c r="U3305" s="6">
        <v>2166</v>
      </c>
      <c r="V3305">
        <v>0</v>
      </c>
      <c r="W3305">
        <v>0</v>
      </c>
      <c r="X3305">
        <v>0</v>
      </c>
      <c r="Y3305" s="6">
        <v>37.4</v>
      </c>
      <c r="Z3305">
        <v>0.158</v>
      </c>
      <c r="AA3305">
        <v>0.15</v>
      </c>
      <c r="AB3305">
        <v>4.7E-2</v>
      </c>
      <c r="AC3305">
        <v>5</v>
      </c>
      <c r="AD3305" s="6">
        <v>100</v>
      </c>
      <c r="AE3305" s="6">
        <v>0</v>
      </c>
      <c r="AF3305" s="6">
        <v>0</v>
      </c>
      <c r="AG3305" s="6">
        <v>77.069999999999993</v>
      </c>
      <c r="AH3305" s="6">
        <v>101.89</v>
      </c>
      <c r="AI3305" s="6">
        <f t="shared" si="102"/>
        <v>24.820000000000007</v>
      </c>
      <c r="AJ3305" s="5">
        <f t="shared" si="103"/>
        <v>0.24359603493964085</v>
      </c>
    </row>
    <row r="3306" spans="1:36">
      <c r="A3306" t="s">
        <v>494</v>
      </c>
      <c r="B3306" t="s">
        <v>3591</v>
      </c>
      <c r="C3306" t="s">
        <v>134</v>
      </c>
      <c r="D3306" t="s">
        <v>77</v>
      </c>
      <c r="E3306" t="s">
        <v>69</v>
      </c>
      <c r="F3306">
        <v>0</v>
      </c>
      <c r="G3306">
        <v>1134</v>
      </c>
      <c r="H3306">
        <v>1</v>
      </c>
      <c r="I3306" t="s">
        <v>181</v>
      </c>
      <c r="J3306">
        <v>3</v>
      </c>
      <c r="K3306" s="6">
        <v>7.35</v>
      </c>
      <c r="L3306" t="s">
        <v>174</v>
      </c>
      <c r="M3306">
        <v>0</v>
      </c>
      <c r="N3306" t="s">
        <v>175</v>
      </c>
      <c r="O3306">
        <v>1</v>
      </c>
      <c r="P3306">
        <v>0</v>
      </c>
      <c r="Q3306" s="6">
        <v>23.6</v>
      </c>
      <c r="R3306">
        <v>0</v>
      </c>
      <c r="S3306" s="6">
        <v>0</v>
      </c>
      <c r="T3306">
        <v>0</v>
      </c>
      <c r="U3306" s="6">
        <v>3026</v>
      </c>
      <c r="V3306">
        <v>0</v>
      </c>
      <c r="W3306">
        <v>0</v>
      </c>
      <c r="X3306">
        <v>0</v>
      </c>
      <c r="Y3306" s="6">
        <v>37.4</v>
      </c>
      <c r="Z3306">
        <v>0.158</v>
      </c>
      <c r="AA3306">
        <v>0.15</v>
      </c>
      <c r="AB3306">
        <v>4.7E-2</v>
      </c>
      <c r="AC3306">
        <v>5</v>
      </c>
      <c r="AD3306" s="6">
        <v>61</v>
      </c>
      <c r="AE3306" s="6">
        <v>0</v>
      </c>
      <c r="AF3306" s="6">
        <v>0</v>
      </c>
      <c r="AG3306" s="6">
        <v>76.510000000000005</v>
      </c>
      <c r="AH3306" s="6">
        <v>97.02</v>
      </c>
      <c r="AI3306" s="6">
        <f t="shared" si="102"/>
        <v>20.509999999999991</v>
      </c>
      <c r="AJ3306" s="5">
        <f t="shared" si="103"/>
        <v>0.21139971139971131</v>
      </c>
    </row>
    <row r="3307" spans="1:36">
      <c r="A3307" t="s">
        <v>263</v>
      </c>
      <c r="B3307" t="s">
        <v>3592</v>
      </c>
      <c r="C3307" t="s">
        <v>134</v>
      </c>
      <c r="D3307" t="s">
        <v>77</v>
      </c>
      <c r="E3307" t="s">
        <v>69</v>
      </c>
      <c r="F3307">
        <v>0</v>
      </c>
      <c r="G3307">
        <v>1134</v>
      </c>
      <c r="H3307">
        <v>1</v>
      </c>
      <c r="I3307" t="s">
        <v>173</v>
      </c>
      <c r="J3307">
        <v>1</v>
      </c>
      <c r="K3307" s="6">
        <v>1.55</v>
      </c>
      <c r="L3307" t="s">
        <v>174</v>
      </c>
      <c r="M3307">
        <v>0</v>
      </c>
      <c r="N3307" t="s">
        <v>175</v>
      </c>
      <c r="O3307">
        <v>1</v>
      </c>
      <c r="P3307">
        <v>0</v>
      </c>
      <c r="Q3307" s="6">
        <v>52.5</v>
      </c>
      <c r="R3307">
        <v>0</v>
      </c>
      <c r="S3307" s="6">
        <v>0</v>
      </c>
      <c r="T3307">
        <v>0</v>
      </c>
      <c r="U3307" s="6">
        <v>3545</v>
      </c>
      <c r="V3307">
        <v>0</v>
      </c>
      <c r="W3307">
        <v>0</v>
      </c>
      <c r="X3307">
        <v>0</v>
      </c>
      <c r="Y3307" s="6">
        <v>37.4</v>
      </c>
      <c r="Z3307">
        <v>0.158</v>
      </c>
      <c r="AA3307">
        <v>0.15</v>
      </c>
      <c r="AB3307">
        <v>4.7E-2</v>
      </c>
      <c r="AC3307">
        <v>5</v>
      </c>
      <c r="AD3307" s="6">
        <v>51</v>
      </c>
      <c r="AE3307" s="6">
        <v>0</v>
      </c>
      <c r="AF3307" s="6">
        <v>0</v>
      </c>
      <c r="AG3307" s="6">
        <v>46.39</v>
      </c>
      <c r="AH3307" s="6">
        <v>60.87</v>
      </c>
      <c r="AI3307" s="6">
        <f t="shared" si="102"/>
        <v>14.479999999999997</v>
      </c>
      <c r="AJ3307" s="5">
        <f t="shared" si="103"/>
        <v>0.23788401511417773</v>
      </c>
    </row>
    <row r="3308" spans="1:36">
      <c r="A3308" t="s">
        <v>403</v>
      </c>
      <c r="B3308" t="s">
        <v>3593</v>
      </c>
      <c r="C3308" t="s">
        <v>134</v>
      </c>
      <c r="D3308" t="s">
        <v>77</v>
      </c>
      <c r="E3308" t="s">
        <v>69</v>
      </c>
      <c r="F3308">
        <v>0</v>
      </c>
      <c r="G3308">
        <v>1134</v>
      </c>
      <c r="H3308">
        <v>1</v>
      </c>
      <c r="I3308" t="s">
        <v>220</v>
      </c>
      <c r="J3308">
        <v>2</v>
      </c>
      <c r="K3308" s="6">
        <v>3.6</v>
      </c>
      <c r="L3308" t="s">
        <v>174</v>
      </c>
      <c r="M3308">
        <v>0</v>
      </c>
      <c r="N3308" t="s">
        <v>182</v>
      </c>
      <c r="O3308">
        <v>3</v>
      </c>
      <c r="P3308">
        <v>0</v>
      </c>
      <c r="Q3308" s="6">
        <v>111.1</v>
      </c>
      <c r="R3308">
        <v>0</v>
      </c>
      <c r="S3308" s="6">
        <v>0</v>
      </c>
      <c r="T3308">
        <v>0</v>
      </c>
      <c r="U3308" s="6">
        <v>1797</v>
      </c>
      <c r="V3308">
        <v>0</v>
      </c>
      <c r="W3308">
        <v>0</v>
      </c>
      <c r="X3308">
        <v>0</v>
      </c>
      <c r="Y3308" s="6">
        <v>37.4</v>
      </c>
      <c r="Z3308">
        <v>0.158</v>
      </c>
      <c r="AA3308">
        <v>0.15</v>
      </c>
      <c r="AB3308">
        <v>4.7E-2</v>
      </c>
      <c r="AC3308">
        <v>5</v>
      </c>
      <c r="AD3308" s="6">
        <v>51</v>
      </c>
      <c r="AE3308" s="6">
        <v>0</v>
      </c>
      <c r="AF3308" s="6">
        <v>0</v>
      </c>
      <c r="AG3308" s="6">
        <v>64.680000000000007</v>
      </c>
      <c r="AH3308" s="6">
        <v>81.14</v>
      </c>
      <c r="AI3308" s="6">
        <f t="shared" si="102"/>
        <v>16.459999999999994</v>
      </c>
      <c r="AJ3308" s="5">
        <f t="shared" si="103"/>
        <v>0.20285925560759174</v>
      </c>
    </row>
    <row r="3309" spans="1:36">
      <c r="A3309" t="s">
        <v>185</v>
      </c>
      <c r="B3309" t="s">
        <v>3594</v>
      </c>
      <c r="C3309" t="s">
        <v>134</v>
      </c>
      <c r="D3309" t="s">
        <v>77</v>
      </c>
      <c r="E3309" t="s">
        <v>69</v>
      </c>
      <c r="F3309">
        <v>0</v>
      </c>
      <c r="G3309">
        <v>1134</v>
      </c>
      <c r="H3309">
        <v>1</v>
      </c>
      <c r="I3309" t="s">
        <v>220</v>
      </c>
      <c r="J3309">
        <v>2</v>
      </c>
      <c r="K3309" s="6">
        <v>3.37</v>
      </c>
      <c r="L3309" t="s">
        <v>174</v>
      </c>
      <c r="M3309">
        <v>0</v>
      </c>
      <c r="N3309" t="s">
        <v>175</v>
      </c>
      <c r="O3309">
        <v>1</v>
      </c>
      <c r="P3309">
        <v>0</v>
      </c>
      <c r="Q3309" s="6">
        <v>32.700000000000003</v>
      </c>
      <c r="R3309">
        <v>0</v>
      </c>
      <c r="S3309" s="6">
        <v>0</v>
      </c>
      <c r="T3309">
        <v>0</v>
      </c>
      <c r="U3309" s="6">
        <v>3233</v>
      </c>
      <c r="V3309">
        <v>0</v>
      </c>
      <c r="W3309">
        <v>0</v>
      </c>
      <c r="X3309">
        <v>0</v>
      </c>
      <c r="Y3309" s="6">
        <v>37.4</v>
      </c>
      <c r="Z3309">
        <v>0.158</v>
      </c>
      <c r="AA3309">
        <v>0.15</v>
      </c>
      <c r="AB3309">
        <v>4.7E-2</v>
      </c>
      <c r="AC3309">
        <v>5</v>
      </c>
      <c r="AD3309" s="6">
        <v>51</v>
      </c>
      <c r="AE3309" s="6">
        <v>0</v>
      </c>
      <c r="AF3309" s="6">
        <v>0</v>
      </c>
      <c r="AG3309" s="6">
        <v>58.58</v>
      </c>
      <c r="AH3309" s="6">
        <v>77.67</v>
      </c>
      <c r="AI3309" s="6">
        <f t="shared" si="102"/>
        <v>19.090000000000003</v>
      </c>
      <c r="AJ3309" s="5">
        <f t="shared" si="103"/>
        <v>0.24578344277069658</v>
      </c>
    </row>
    <row r="3310" spans="1:36">
      <c r="A3310" t="s">
        <v>215</v>
      </c>
      <c r="B3310" t="s">
        <v>3595</v>
      </c>
      <c r="C3310" t="s">
        <v>134</v>
      </c>
      <c r="D3310" t="s">
        <v>77</v>
      </c>
      <c r="E3310" t="s">
        <v>69</v>
      </c>
      <c r="F3310">
        <v>0</v>
      </c>
      <c r="G3310">
        <v>1134</v>
      </c>
      <c r="H3310">
        <v>1</v>
      </c>
      <c r="I3310" t="s">
        <v>173</v>
      </c>
      <c r="J3310">
        <v>1</v>
      </c>
      <c r="K3310" s="6">
        <v>1.27</v>
      </c>
      <c r="L3310" t="s">
        <v>174</v>
      </c>
      <c r="M3310">
        <v>0</v>
      </c>
      <c r="N3310" t="s">
        <v>175</v>
      </c>
      <c r="O3310">
        <v>1</v>
      </c>
      <c r="P3310">
        <v>0</v>
      </c>
      <c r="Q3310" s="6">
        <v>36.4</v>
      </c>
      <c r="R3310">
        <v>0</v>
      </c>
      <c r="S3310" s="6">
        <v>0</v>
      </c>
      <c r="T3310">
        <v>0</v>
      </c>
      <c r="U3310" s="6">
        <v>2692</v>
      </c>
      <c r="V3310">
        <v>0</v>
      </c>
      <c r="W3310">
        <v>0</v>
      </c>
      <c r="X3310">
        <v>0</v>
      </c>
      <c r="Y3310" s="6">
        <v>37.4</v>
      </c>
      <c r="Z3310">
        <v>0.158</v>
      </c>
      <c r="AA3310">
        <v>0.15</v>
      </c>
      <c r="AB3310">
        <v>4.7E-2</v>
      </c>
      <c r="AC3310">
        <v>5</v>
      </c>
      <c r="AD3310" s="6">
        <v>51</v>
      </c>
      <c r="AE3310" s="6">
        <v>0</v>
      </c>
      <c r="AF3310" s="6">
        <v>0</v>
      </c>
      <c r="AG3310" s="6">
        <v>46.54</v>
      </c>
      <c r="AH3310" s="6">
        <v>60.03</v>
      </c>
      <c r="AI3310" s="6">
        <f t="shared" si="102"/>
        <v>13.490000000000002</v>
      </c>
      <c r="AJ3310" s="5">
        <f t="shared" si="103"/>
        <v>0.22472097284690989</v>
      </c>
    </row>
    <row r="3311" spans="1:36">
      <c r="A3311" t="s">
        <v>303</v>
      </c>
      <c r="B3311" t="s">
        <v>3596</v>
      </c>
      <c r="C3311" t="s">
        <v>134</v>
      </c>
      <c r="D3311" t="s">
        <v>77</v>
      </c>
      <c r="E3311" t="s">
        <v>69</v>
      </c>
      <c r="F3311">
        <v>0</v>
      </c>
      <c r="G3311">
        <v>1134</v>
      </c>
      <c r="H3311">
        <v>1</v>
      </c>
      <c r="I3311" t="s">
        <v>220</v>
      </c>
      <c r="J3311">
        <v>2</v>
      </c>
      <c r="K3311" s="6">
        <v>4</v>
      </c>
      <c r="L3311" t="s">
        <v>174</v>
      </c>
      <c r="M3311">
        <v>0</v>
      </c>
      <c r="N3311" t="s">
        <v>217</v>
      </c>
      <c r="O3311">
        <v>4</v>
      </c>
      <c r="P3311">
        <v>1</v>
      </c>
      <c r="Q3311" s="6">
        <v>101.2</v>
      </c>
      <c r="R3311">
        <v>1</v>
      </c>
      <c r="S3311" s="6">
        <v>792</v>
      </c>
      <c r="T3311">
        <v>0</v>
      </c>
      <c r="U3311" s="6">
        <v>992</v>
      </c>
      <c r="V3311">
        <v>0</v>
      </c>
      <c r="W3311">
        <v>0</v>
      </c>
      <c r="X3311">
        <v>0</v>
      </c>
      <c r="Y3311" s="6">
        <v>37.4</v>
      </c>
      <c r="Z3311">
        <v>0.158</v>
      </c>
      <c r="AA3311">
        <v>0.15</v>
      </c>
      <c r="AB3311">
        <v>4.7E-2</v>
      </c>
      <c r="AC3311">
        <v>5</v>
      </c>
      <c r="AD3311" s="6">
        <v>51</v>
      </c>
      <c r="AE3311" s="6">
        <v>25</v>
      </c>
      <c r="AF3311" s="6">
        <v>0</v>
      </c>
      <c r="AG3311" s="6">
        <v>112.54</v>
      </c>
      <c r="AH3311" s="6">
        <v>143.69999999999999</v>
      </c>
      <c r="AI3311" s="6">
        <f t="shared" si="102"/>
        <v>31.159999999999982</v>
      </c>
      <c r="AJ3311" s="5">
        <f t="shared" si="103"/>
        <v>0.21684064022268604</v>
      </c>
    </row>
    <row r="3312" spans="1:36">
      <c r="A3312" t="s">
        <v>291</v>
      </c>
      <c r="B3312" t="s">
        <v>3597</v>
      </c>
      <c r="C3312" t="s">
        <v>134</v>
      </c>
      <c r="D3312" t="s">
        <v>77</v>
      </c>
      <c r="E3312" t="s">
        <v>69</v>
      </c>
      <c r="F3312">
        <v>0</v>
      </c>
      <c r="G3312">
        <v>1134</v>
      </c>
      <c r="H3312">
        <v>1</v>
      </c>
      <c r="I3312" t="s">
        <v>173</v>
      </c>
      <c r="J3312">
        <v>1</v>
      </c>
      <c r="K3312" s="6">
        <v>2.06</v>
      </c>
      <c r="L3312" t="s">
        <v>174</v>
      </c>
      <c r="M3312">
        <v>0</v>
      </c>
      <c r="N3312" t="s">
        <v>182</v>
      </c>
      <c r="O3312">
        <v>3</v>
      </c>
      <c r="P3312">
        <v>0</v>
      </c>
      <c r="Q3312" s="6">
        <v>136.4</v>
      </c>
      <c r="R3312">
        <v>0</v>
      </c>
      <c r="S3312" s="6">
        <v>0</v>
      </c>
      <c r="T3312">
        <v>0</v>
      </c>
      <c r="U3312" s="6">
        <v>3760</v>
      </c>
      <c r="V3312">
        <v>0</v>
      </c>
      <c r="W3312">
        <v>0</v>
      </c>
      <c r="X3312">
        <v>0</v>
      </c>
      <c r="Y3312" s="6">
        <v>37.4</v>
      </c>
      <c r="Z3312">
        <v>0.158</v>
      </c>
      <c r="AA3312">
        <v>0.15</v>
      </c>
      <c r="AB3312">
        <v>4.7E-2</v>
      </c>
      <c r="AC3312">
        <v>5</v>
      </c>
      <c r="AD3312" s="6">
        <v>51</v>
      </c>
      <c r="AE3312" s="6">
        <v>0</v>
      </c>
      <c r="AF3312" s="6">
        <v>0</v>
      </c>
      <c r="AG3312" s="6">
        <v>64.180000000000007</v>
      </c>
      <c r="AH3312" s="6">
        <v>83.43</v>
      </c>
      <c r="AI3312" s="6">
        <f t="shared" si="102"/>
        <v>19.25</v>
      </c>
      <c r="AJ3312" s="5">
        <f t="shared" si="103"/>
        <v>0.23073235047345078</v>
      </c>
    </row>
    <row r="3313" spans="1:36">
      <c r="A3313" t="s">
        <v>236</v>
      </c>
      <c r="B3313" t="s">
        <v>3598</v>
      </c>
      <c r="C3313" t="s">
        <v>134</v>
      </c>
      <c r="D3313" t="s">
        <v>77</v>
      </c>
      <c r="E3313" t="s">
        <v>69</v>
      </c>
      <c r="F3313">
        <v>0</v>
      </c>
      <c r="G3313">
        <v>1134</v>
      </c>
      <c r="H3313">
        <v>1</v>
      </c>
      <c r="I3313" t="s">
        <v>173</v>
      </c>
      <c r="J3313">
        <v>1</v>
      </c>
      <c r="K3313" s="6">
        <v>2.2799999999999998</v>
      </c>
      <c r="L3313" t="s">
        <v>174</v>
      </c>
      <c r="M3313">
        <v>0</v>
      </c>
      <c r="N3313" t="s">
        <v>182</v>
      </c>
      <c r="O3313">
        <v>3</v>
      </c>
      <c r="P3313">
        <v>1</v>
      </c>
      <c r="Q3313" s="6">
        <v>87.7</v>
      </c>
      <c r="R3313">
        <v>1</v>
      </c>
      <c r="S3313" s="6">
        <v>5809</v>
      </c>
      <c r="T3313">
        <v>0</v>
      </c>
      <c r="U3313" s="6">
        <v>1498</v>
      </c>
      <c r="V3313">
        <v>0</v>
      </c>
      <c r="W3313">
        <v>0</v>
      </c>
      <c r="X3313">
        <v>0</v>
      </c>
      <c r="Y3313" s="6">
        <v>37.4</v>
      </c>
      <c r="Z3313">
        <v>0.158</v>
      </c>
      <c r="AA3313">
        <v>0.15</v>
      </c>
      <c r="AB3313">
        <v>4.7E-2</v>
      </c>
      <c r="AC3313">
        <v>5</v>
      </c>
      <c r="AD3313" s="6">
        <v>51</v>
      </c>
      <c r="AE3313" s="6">
        <v>50</v>
      </c>
      <c r="AF3313" s="6">
        <v>0</v>
      </c>
      <c r="AG3313" s="6">
        <v>86.16</v>
      </c>
      <c r="AH3313" s="6">
        <v>110.58</v>
      </c>
      <c r="AI3313" s="6">
        <f t="shared" si="102"/>
        <v>24.42</v>
      </c>
      <c r="AJ3313" s="5">
        <f t="shared" si="103"/>
        <v>0.22083559413998916</v>
      </c>
    </row>
    <row r="3314" spans="1:36">
      <c r="A3314" t="s">
        <v>206</v>
      </c>
      <c r="B3314" t="s">
        <v>3599</v>
      </c>
      <c r="C3314" t="s">
        <v>134</v>
      </c>
      <c r="D3314" t="s">
        <v>77</v>
      </c>
      <c r="E3314" t="s">
        <v>69</v>
      </c>
      <c r="F3314">
        <v>0</v>
      </c>
      <c r="G3314">
        <v>1134</v>
      </c>
      <c r="H3314">
        <v>1</v>
      </c>
      <c r="I3314" t="s">
        <v>220</v>
      </c>
      <c r="J3314">
        <v>2</v>
      </c>
      <c r="K3314" s="6">
        <v>4.16</v>
      </c>
      <c r="L3314" t="s">
        <v>174</v>
      </c>
      <c r="M3314">
        <v>0</v>
      </c>
      <c r="N3314" t="s">
        <v>187</v>
      </c>
      <c r="O3314">
        <v>2</v>
      </c>
      <c r="P3314">
        <v>0</v>
      </c>
      <c r="Q3314" s="6">
        <v>74</v>
      </c>
      <c r="R3314">
        <v>0</v>
      </c>
      <c r="S3314" s="6">
        <v>0</v>
      </c>
      <c r="T3314">
        <v>0</v>
      </c>
      <c r="U3314" s="6">
        <v>3498</v>
      </c>
      <c r="V3314">
        <v>0</v>
      </c>
      <c r="W3314">
        <v>0</v>
      </c>
      <c r="X3314">
        <v>0</v>
      </c>
      <c r="Y3314" s="6">
        <v>37.4</v>
      </c>
      <c r="Z3314">
        <v>0.158</v>
      </c>
      <c r="AA3314">
        <v>0.15</v>
      </c>
      <c r="AB3314">
        <v>4.7E-2</v>
      </c>
      <c r="AC3314">
        <v>5</v>
      </c>
      <c r="AD3314" s="6">
        <v>51</v>
      </c>
      <c r="AE3314" s="6">
        <v>0</v>
      </c>
      <c r="AF3314" s="6">
        <v>0</v>
      </c>
      <c r="AG3314" s="6">
        <v>62.7</v>
      </c>
      <c r="AH3314" s="6">
        <v>80.64</v>
      </c>
      <c r="AI3314" s="6">
        <f t="shared" si="102"/>
        <v>17.939999999999998</v>
      </c>
      <c r="AJ3314" s="5">
        <f t="shared" si="103"/>
        <v>0.22247023809523805</v>
      </c>
    </row>
    <row r="3315" spans="1:36">
      <c r="A3315" t="s">
        <v>384</v>
      </c>
      <c r="B3315" t="s">
        <v>3600</v>
      </c>
      <c r="C3315" t="s">
        <v>134</v>
      </c>
      <c r="D3315" t="s">
        <v>77</v>
      </c>
      <c r="E3315" t="s">
        <v>69</v>
      </c>
      <c r="F3315">
        <v>0</v>
      </c>
      <c r="G3315">
        <v>1134</v>
      </c>
      <c r="H3315">
        <v>1</v>
      </c>
      <c r="I3315" t="s">
        <v>220</v>
      </c>
      <c r="J3315">
        <v>2</v>
      </c>
      <c r="K3315" s="6">
        <v>4.1900000000000004</v>
      </c>
      <c r="L3315" t="s">
        <v>174</v>
      </c>
      <c r="M3315">
        <v>0</v>
      </c>
      <c r="N3315" t="s">
        <v>217</v>
      </c>
      <c r="O3315">
        <v>4</v>
      </c>
      <c r="P3315">
        <v>1</v>
      </c>
      <c r="Q3315" s="6">
        <v>144.30000000000001</v>
      </c>
      <c r="R3315">
        <v>0</v>
      </c>
      <c r="S3315" s="6">
        <v>0</v>
      </c>
      <c r="T3315">
        <v>0</v>
      </c>
      <c r="U3315" s="6">
        <v>2535</v>
      </c>
      <c r="V3315">
        <v>0</v>
      </c>
      <c r="W3315">
        <v>0</v>
      </c>
      <c r="X3315">
        <v>0</v>
      </c>
      <c r="Y3315" s="6">
        <v>37.4</v>
      </c>
      <c r="Z3315">
        <v>0.158</v>
      </c>
      <c r="AA3315">
        <v>0.15</v>
      </c>
      <c r="AB3315">
        <v>4.7E-2</v>
      </c>
      <c r="AC3315">
        <v>5</v>
      </c>
      <c r="AD3315" s="6">
        <v>51</v>
      </c>
      <c r="AE3315" s="6">
        <v>0</v>
      </c>
      <c r="AF3315" s="6">
        <v>0</v>
      </c>
      <c r="AG3315" s="6">
        <v>109.76</v>
      </c>
      <c r="AH3315" s="6">
        <v>141.9</v>
      </c>
      <c r="AI3315" s="6">
        <f t="shared" si="102"/>
        <v>32.14</v>
      </c>
      <c r="AJ3315" s="5">
        <f t="shared" si="103"/>
        <v>0.22649753347427765</v>
      </c>
    </row>
    <row r="3316" spans="1:36">
      <c r="A3316" t="s">
        <v>411</v>
      </c>
      <c r="B3316" t="s">
        <v>3601</v>
      </c>
      <c r="C3316" t="s">
        <v>134</v>
      </c>
      <c r="D3316" t="s">
        <v>77</v>
      </c>
      <c r="E3316" t="s">
        <v>69</v>
      </c>
      <c r="F3316">
        <v>0</v>
      </c>
      <c r="G3316">
        <v>1134</v>
      </c>
      <c r="H3316">
        <v>1</v>
      </c>
      <c r="I3316" t="s">
        <v>181</v>
      </c>
      <c r="J3316">
        <v>3</v>
      </c>
      <c r="K3316" s="6">
        <v>9.74</v>
      </c>
      <c r="L3316" t="s">
        <v>174</v>
      </c>
      <c r="M3316">
        <v>0</v>
      </c>
      <c r="N3316" t="s">
        <v>175</v>
      </c>
      <c r="O3316">
        <v>1</v>
      </c>
      <c r="P3316">
        <v>0</v>
      </c>
      <c r="Q3316" s="6">
        <v>30.5</v>
      </c>
      <c r="R3316">
        <v>0</v>
      </c>
      <c r="S3316" s="6">
        <v>0</v>
      </c>
      <c r="T3316">
        <v>0</v>
      </c>
      <c r="U3316" s="6">
        <v>2397</v>
      </c>
      <c r="V3316">
        <v>0</v>
      </c>
      <c r="W3316">
        <v>0</v>
      </c>
      <c r="X3316">
        <v>0</v>
      </c>
      <c r="Y3316" s="6">
        <v>37.4</v>
      </c>
      <c r="Z3316">
        <v>0.158</v>
      </c>
      <c r="AA3316">
        <v>0.15</v>
      </c>
      <c r="AB3316">
        <v>4.7E-2</v>
      </c>
      <c r="AC3316">
        <v>5</v>
      </c>
      <c r="AD3316" s="6">
        <v>61</v>
      </c>
      <c r="AE3316" s="6">
        <v>0</v>
      </c>
      <c r="AF3316" s="6">
        <v>0</v>
      </c>
      <c r="AG3316" s="6">
        <v>97.12</v>
      </c>
      <c r="AH3316" s="6">
        <v>124.5</v>
      </c>
      <c r="AI3316" s="6">
        <f t="shared" si="102"/>
        <v>27.379999999999995</v>
      </c>
      <c r="AJ3316" s="5">
        <f t="shared" si="103"/>
        <v>0.2199196787148594</v>
      </c>
    </row>
    <row r="3317" spans="1:36">
      <c r="A3317" t="s">
        <v>313</v>
      </c>
      <c r="B3317" t="s">
        <v>3602</v>
      </c>
      <c r="C3317" t="s">
        <v>134</v>
      </c>
      <c r="D3317" t="s">
        <v>77</v>
      </c>
      <c r="E3317" t="s">
        <v>69</v>
      </c>
      <c r="F3317">
        <v>0</v>
      </c>
      <c r="G3317">
        <v>1134</v>
      </c>
      <c r="H3317">
        <v>1</v>
      </c>
      <c r="I3317" t="s">
        <v>178</v>
      </c>
      <c r="J3317">
        <v>4</v>
      </c>
      <c r="K3317" s="6">
        <v>13.46</v>
      </c>
      <c r="L3317" t="s">
        <v>174</v>
      </c>
      <c r="M3317">
        <v>0</v>
      </c>
      <c r="N3317" t="s">
        <v>182</v>
      </c>
      <c r="O3317">
        <v>3</v>
      </c>
      <c r="P3317">
        <v>0</v>
      </c>
      <c r="Q3317" s="6">
        <v>77.400000000000006</v>
      </c>
      <c r="R3317">
        <v>0</v>
      </c>
      <c r="S3317" s="6">
        <v>0</v>
      </c>
      <c r="T3317">
        <v>0</v>
      </c>
      <c r="U3317" s="6">
        <v>3774</v>
      </c>
      <c r="V3317">
        <v>0</v>
      </c>
      <c r="W3317">
        <v>0</v>
      </c>
      <c r="X3317">
        <v>0</v>
      </c>
      <c r="Y3317" s="6">
        <v>37.4</v>
      </c>
      <c r="Z3317">
        <v>0.158</v>
      </c>
      <c r="AA3317">
        <v>0.15</v>
      </c>
      <c r="AB3317">
        <v>4.7E-2</v>
      </c>
      <c r="AC3317">
        <v>5</v>
      </c>
      <c r="AD3317" s="6">
        <v>66</v>
      </c>
      <c r="AE3317" s="6">
        <v>0</v>
      </c>
      <c r="AF3317" s="6">
        <v>0</v>
      </c>
      <c r="AG3317" s="6">
        <v>134.29</v>
      </c>
      <c r="AH3317" s="6">
        <v>172.21</v>
      </c>
      <c r="AI3317" s="6">
        <f t="shared" si="102"/>
        <v>37.920000000000016</v>
      </c>
      <c r="AJ3317" s="5">
        <f t="shared" si="103"/>
        <v>0.2201962719934964</v>
      </c>
    </row>
    <row r="3318" spans="1:36">
      <c r="A3318" t="s">
        <v>303</v>
      </c>
      <c r="B3318" t="s">
        <v>3603</v>
      </c>
      <c r="C3318" t="s">
        <v>134</v>
      </c>
      <c r="D3318" t="s">
        <v>77</v>
      </c>
      <c r="E3318" t="s">
        <v>69</v>
      </c>
      <c r="F3318">
        <v>0</v>
      </c>
      <c r="G3318">
        <v>1134</v>
      </c>
      <c r="H3318">
        <v>1</v>
      </c>
      <c r="I3318" t="s">
        <v>173</v>
      </c>
      <c r="J3318">
        <v>1</v>
      </c>
      <c r="K3318" s="6">
        <v>1.46</v>
      </c>
      <c r="L3318" t="s">
        <v>174</v>
      </c>
      <c r="M3318">
        <v>0</v>
      </c>
      <c r="N3318" t="s">
        <v>175</v>
      </c>
      <c r="O3318">
        <v>1</v>
      </c>
      <c r="P3318">
        <v>0</v>
      </c>
      <c r="Q3318" s="6">
        <v>25.9</v>
      </c>
      <c r="R3318">
        <v>1</v>
      </c>
      <c r="S3318" s="6">
        <v>4653</v>
      </c>
      <c r="T3318">
        <v>0</v>
      </c>
      <c r="U3318" s="6">
        <v>3613</v>
      </c>
      <c r="V3318">
        <v>0</v>
      </c>
      <c r="W3318">
        <v>0</v>
      </c>
      <c r="X3318">
        <v>0</v>
      </c>
      <c r="Y3318" s="6">
        <v>37.4</v>
      </c>
      <c r="Z3318">
        <v>0.158</v>
      </c>
      <c r="AA3318">
        <v>0.15</v>
      </c>
      <c r="AB3318">
        <v>4.7E-2</v>
      </c>
      <c r="AC3318">
        <v>5</v>
      </c>
      <c r="AD3318" s="6">
        <v>51</v>
      </c>
      <c r="AE3318" s="6">
        <v>40</v>
      </c>
      <c r="AF3318" s="6">
        <v>0</v>
      </c>
      <c r="AG3318" s="6">
        <v>54.78</v>
      </c>
      <c r="AH3318" s="6">
        <v>68.8</v>
      </c>
      <c r="AI3318" s="6">
        <f t="shared" si="102"/>
        <v>14.019999999999996</v>
      </c>
      <c r="AJ3318" s="5">
        <f t="shared" si="103"/>
        <v>0.20377906976744181</v>
      </c>
    </row>
    <row r="3319" spans="1:36">
      <c r="A3319" t="s">
        <v>215</v>
      </c>
      <c r="B3319" t="s">
        <v>3604</v>
      </c>
      <c r="C3319" t="s">
        <v>134</v>
      </c>
      <c r="D3319" t="s">
        <v>77</v>
      </c>
      <c r="E3319" t="s">
        <v>69</v>
      </c>
      <c r="F3319">
        <v>0</v>
      </c>
      <c r="G3319">
        <v>1134</v>
      </c>
      <c r="H3319">
        <v>1</v>
      </c>
      <c r="I3319" t="s">
        <v>173</v>
      </c>
      <c r="J3319">
        <v>1</v>
      </c>
      <c r="K3319" s="6">
        <v>2.2799999999999998</v>
      </c>
      <c r="L3319" t="s">
        <v>174</v>
      </c>
      <c r="M3319">
        <v>0</v>
      </c>
      <c r="N3319" t="s">
        <v>187</v>
      </c>
      <c r="O3319">
        <v>2</v>
      </c>
      <c r="P3319">
        <v>0</v>
      </c>
      <c r="Q3319" s="6">
        <v>75.2</v>
      </c>
      <c r="R3319">
        <v>0</v>
      </c>
      <c r="S3319" s="6">
        <v>0</v>
      </c>
      <c r="T3319">
        <v>0</v>
      </c>
      <c r="U3319" s="6">
        <v>3141</v>
      </c>
      <c r="V3319">
        <v>0</v>
      </c>
      <c r="W3319">
        <v>0</v>
      </c>
      <c r="X3319">
        <v>0</v>
      </c>
      <c r="Y3319" s="6">
        <v>37.4</v>
      </c>
      <c r="Z3319">
        <v>0.158</v>
      </c>
      <c r="AA3319">
        <v>0.15</v>
      </c>
      <c r="AB3319">
        <v>4.7E-2</v>
      </c>
      <c r="AC3319">
        <v>5</v>
      </c>
      <c r="AD3319" s="6">
        <v>51</v>
      </c>
      <c r="AE3319" s="6">
        <v>0</v>
      </c>
      <c r="AF3319" s="6">
        <v>0</v>
      </c>
      <c r="AG3319" s="6">
        <v>58.03</v>
      </c>
      <c r="AH3319" s="6">
        <v>72.900000000000006</v>
      </c>
      <c r="AI3319" s="6">
        <f t="shared" si="102"/>
        <v>14.870000000000005</v>
      </c>
      <c r="AJ3319" s="5">
        <f t="shared" si="103"/>
        <v>0.20397805212620032</v>
      </c>
    </row>
    <row r="3320" spans="1:36">
      <c r="A3320" t="s">
        <v>210</v>
      </c>
      <c r="B3320" t="s">
        <v>3605</v>
      </c>
      <c r="C3320" t="s">
        <v>134</v>
      </c>
      <c r="D3320" t="s">
        <v>77</v>
      </c>
      <c r="E3320" t="s">
        <v>69</v>
      </c>
      <c r="F3320">
        <v>0</v>
      </c>
      <c r="G3320">
        <v>1134</v>
      </c>
      <c r="H3320">
        <v>1</v>
      </c>
      <c r="I3320" t="s">
        <v>173</v>
      </c>
      <c r="J3320">
        <v>1</v>
      </c>
      <c r="K3320" s="6">
        <v>2.88</v>
      </c>
      <c r="L3320" t="s">
        <v>200</v>
      </c>
      <c r="M3320">
        <v>1</v>
      </c>
      <c r="N3320" t="s">
        <v>182</v>
      </c>
      <c r="O3320">
        <v>3</v>
      </c>
      <c r="P3320">
        <v>0</v>
      </c>
      <c r="Q3320" s="6">
        <v>82.3</v>
      </c>
      <c r="R3320">
        <v>0</v>
      </c>
      <c r="S3320" s="6">
        <v>0</v>
      </c>
      <c r="T3320">
        <v>0</v>
      </c>
      <c r="U3320" s="6">
        <v>2547</v>
      </c>
      <c r="V3320">
        <v>0</v>
      </c>
      <c r="W3320">
        <v>0</v>
      </c>
      <c r="X3320">
        <v>0</v>
      </c>
      <c r="Y3320" s="6">
        <v>37.4</v>
      </c>
      <c r="Z3320">
        <v>0.158</v>
      </c>
      <c r="AA3320">
        <v>0.15</v>
      </c>
      <c r="AB3320">
        <v>4.7E-2</v>
      </c>
      <c r="AC3320">
        <v>5</v>
      </c>
      <c r="AD3320" s="6">
        <v>100</v>
      </c>
      <c r="AE3320" s="6">
        <v>0</v>
      </c>
      <c r="AF3320" s="6">
        <v>0</v>
      </c>
      <c r="AG3320" s="6">
        <v>90.55</v>
      </c>
      <c r="AH3320" s="6">
        <v>116.26</v>
      </c>
      <c r="AI3320" s="6">
        <f t="shared" si="102"/>
        <v>25.710000000000008</v>
      </c>
      <c r="AJ3320" s="5">
        <f t="shared" si="103"/>
        <v>0.22114226733184247</v>
      </c>
    </row>
    <row r="3321" spans="1:36">
      <c r="A3321" t="s">
        <v>381</v>
      </c>
      <c r="B3321" t="s">
        <v>3606</v>
      </c>
      <c r="C3321" t="s">
        <v>134</v>
      </c>
      <c r="D3321" t="s">
        <v>77</v>
      </c>
      <c r="E3321" t="s">
        <v>69</v>
      </c>
      <c r="F3321">
        <v>0</v>
      </c>
      <c r="G3321">
        <v>1134</v>
      </c>
      <c r="H3321">
        <v>1</v>
      </c>
      <c r="I3321" t="s">
        <v>220</v>
      </c>
      <c r="J3321">
        <v>2</v>
      </c>
      <c r="K3321" s="6">
        <v>3.27</v>
      </c>
      <c r="L3321" t="s">
        <v>174</v>
      </c>
      <c r="M3321">
        <v>0</v>
      </c>
      <c r="N3321" t="s">
        <v>175</v>
      </c>
      <c r="O3321">
        <v>1</v>
      </c>
      <c r="P3321">
        <v>0</v>
      </c>
      <c r="Q3321" s="6">
        <v>30.9</v>
      </c>
      <c r="R3321">
        <v>0</v>
      </c>
      <c r="S3321" s="6">
        <v>0</v>
      </c>
      <c r="T3321">
        <v>0</v>
      </c>
      <c r="U3321" s="6">
        <v>2055</v>
      </c>
      <c r="V3321">
        <v>0</v>
      </c>
      <c r="W3321">
        <v>0</v>
      </c>
      <c r="X3321">
        <v>0</v>
      </c>
      <c r="Y3321" s="6">
        <v>37.4</v>
      </c>
      <c r="Z3321">
        <v>0.158</v>
      </c>
      <c r="AA3321">
        <v>0.15</v>
      </c>
      <c r="AB3321">
        <v>4.7E-2</v>
      </c>
      <c r="AC3321">
        <v>5</v>
      </c>
      <c r="AD3321" s="6">
        <v>51</v>
      </c>
      <c r="AE3321" s="6">
        <v>0</v>
      </c>
      <c r="AF3321" s="6">
        <v>0</v>
      </c>
      <c r="AG3321" s="6">
        <v>58.75</v>
      </c>
      <c r="AH3321" s="6">
        <v>77.25</v>
      </c>
      <c r="AI3321" s="6">
        <f t="shared" si="102"/>
        <v>18.5</v>
      </c>
      <c r="AJ3321" s="5">
        <f t="shared" si="103"/>
        <v>0.23948220064724918</v>
      </c>
    </row>
    <row r="3322" spans="1:36">
      <c r="A3322" t="s">
        <v>251</v>
      </c>
      <c r="B3322" t="s">
        <v>3607</v>
      </c>
      <c r="C3322" t="s">
        <v>134</v>
      </c>
      <c r="D3322" t="s">
        <v>77</v>
      </c>
      <c r="E3322" t="s">
        <v>69</v>
      </c>
      <c r="F3322">
        <v>0</v>
      </c>
      <c r="G3322">
        <v>1134</v>
      </c>
      <c r="H3322">
        <v>1</v>
      </c>
      <c r="I3322" t="s">
        <v>173</v>
      </c>
      <c r="J3322">
        <v>1</v>
      </c>
      <c r="K3322" s="6">
        <v>2.09</v>
      </c>
      <c r="L3322" t="s">
        <v>174</v>
      </c>
      <c r="M3322">
        <v>0</v>
      </c>
      <c r="N3322" t="s">
        <v>187</v>
      </c>
      <c r="O3322">
        <v>2</v>
      </c>
      <c r="P3322">
        <v>0</v>
      </c>
      <c r="Q3322" s="6">
        <v>59.8</v>
      </c>
      <c r="R3322">
        <v>0</v>
      </c>
      <c r="S3322" s="6">
        <v>0</v>
      </c>
      <c r="T3322">
        <v>0</v>
      </c>
      <c r="U3322" s="6">
        <v>3189</v>
      </c>
      <c r="V3322">
        <v>0</v>
      </c>
      <c r="W3322">
        <v>0</v>
      </c>
      <c r="X3322">
        <v>0</v>
      </c>
      <c r="Y3322" s="6">
        <v>37.4</v>
      </c>
      <c r="Z3322">
        <v>0.158</v>
      </c>
      <c r="AA3322">
        <v>0.15</v>
      </c>
      <c r="AB3322">
        <v>4.7E-2</v>
      </c>
      <c r="AC3322">
        <v>5</v>
      </c>
      <c r="AD3322" s="6">
        <v>51</v>
      </c>
      <c r="AE3322" s="6">
        <v>0</v>
      </c>
      <c r="AF3322" s="6">
        <v>0</v>
      </c>
      <c r="AG3322" s="6">
        <v>60.06</v>
      </c>
      <c r="AH3322" s="6">
        <v>78.63</v>
      </c>
      <c r="AI3322" s="6">
        <f t="shared" si="102"/>
        <v>18.569999999999993</v>
      </c>
      <c r="AJ3322" s="5">
        <f t="shared" si="103"/>
        <v>0.23616940099198772</v>
      </c>
    </row>
    <row r="3323" spans="1:36">
      <c r="A3323" t="s">
        <v>362</v>
      </c>
      <c r="B3323" t="s">
        <v>3608</v>
      </c>
      <c r="C3323" t="s">
        <v>134</v>
      </c>
      <c r="D3323" t="s">
        <v>77</v>
      </c>
      <c r="E3323" t="s">
        <v>69</v>
      </c>
      <c r="F3323">
        <v>0</v>
      </c>
      <c r="G3323">
        <v>1134</v>
      </c>
      <c r="H3323">
        <v>1</v>
      </c>
      <c r="I3323" t="s">
        <v>220</v>
      </c>
      <c r="J3323">
        <v>2</v>
      </c>
      <c r="K3323" s="6">
        <v>4.3600000000000003</v>
      </c>
      <c r="L3323" t="s">
        <v>174</v>
      </c>
      <c r="M3323">
        <v>0</v>
      </c>
      <c r="N3323" t="s">
        <v>175</v>
      </c>
      <c r="O3323">
        <v>1</v>
      </c>
      <c r="P3323">
        <v>0</v>
      </c>
      <c r="Q3323" s="6">
        <v>27.5</v>
      </c>
      <c r="R3323">
        <v>0</v>
      </c>
      <c r="S3323" s="6">
        <v>0</v>
      </c>
      <c r="T3323">
        <v>0</v>
      </c>
      <c r="U3323" s="6">
        <v>5027</v>
      </c>
      <c r="V3323">
        <v>0</v>
      </c>
      <c r="W3323">
        <v>0</v>
      </c>
      <c r="X3323">
        <v>0</v>
      </c>
      <c r="Y3323" s="6">
        <v>37.4</v>
      </c>
      <c r="Z3323">
        <v>0.158</v>
      </c>
      <c r="AA3323">
        <v>0.15</v>
      </c>
      <c r="AB3323">
        <v>4.7E-2</v>
      </c>
      <c r="AC3323">
        <v>5</v>
      </c>
      <c r="AD3323" s="6">
        <v>51</v>
      </c>
      <c r="AE3323" s="6">
        <v>0</v>
      </c>
      <c r="AF3323" s="6">
        <v>0</v>
      </c>
      <c r="AG3323" s="6">
        <v>55.03</v>
      </c>
      <c r="AH3323" s="6">
        <v>68.95</v>
      </c>
      <c r="AI3323" s="6">
        <f t="shared" si="102"/>
        <v>13.920000000000002</v>
      </c>
      <c r="AJ3323" s="5">
        <f t="shared" si="103"/>
        <v>0.20188542422044961</v>
      </c>
    </row>
    <row r="3324" spans="1:36">
      <c r="A3324" t="s">
        <v>176</v>
      </c>
      <c r="B3324" t="s">
        <v>3609</v>
      </c>
      <c r="C3324" t="s">
        <v>134</v>
      </c>
      <c r="D3324" t="s">
        <v>77</v>
      </c>
      <c r="E3324" t="s">
        <v>69</v>
      </c>
      <c r="F3324">
        <v>0</v>
      </c>
      <c r="G3324">
        <v>1134</v>
      </c>
      <c r="H3324">
        <v>1</v>
      </c>
      <c r="I3324" t="s">
        <v>220</v>
      </c>
      <c r="J3324">
        <v>2</v>
      </c>
      <c r="K3324" s="6">
        <v>2.72</v>
      </c>
      <c r="L3324" t="s">
        <v>200</v>
      </c>
      <c r="M3324">
        <v>1</v>
      </c>
      <c r="N3324" t="s">
        <v>217</v>
      </c>
      <c r="O3324">
        <v>4</v>
      </c>
      <c r="P3324">
        <v>1</v>
      </c>
      <c r="Q3324" s="6">
        <v>98.3</v>
      </c>
      <c r="R3324">
        <v>0</v>
      </c>
      <c r="S3324" s="6">
        <v>0</v>
      </c>
      <c r="T3324">
        <v>0</v>
      </c>
      <c r="U3324" s="6">
        <v>2837</v>
      </c>
      <c r="V3324">
        <v>0</v>
      </c>
      <c r="W3324">
        <v>0</v>
      </c>
      <c r="X3324">
        <v>0</v>
      </c>
      <c r="Y3324" s="6">
        <v>37.4</v>
      </c>
      <c r="Z3324">
        <v>0.158</v>
      </c>
      <c r="AA3324">
        <v>0.15</v>
      </c>
      <c r="AB3324">
        <v>4.7E-2</v>
      </c>
      <c r="AC3324">
        <v>5</v>
      </c>
      <c r="AD3324" s="6">
        <v>120</v>
      </c>
      <c r="AE3324" s="6">
        <v>0</v>
      </c>
      <c r="AF3324" s="6">
        <v>0</v>
      </c>
      <c r="AG3324" s="6">
        <v>157.72999999999999</v>
      </c>
      <c r="AH3324" s="6">
        <v>201.92</v>
      </c>
      <c r="AI3324" s="6">
        <f t="shared" si="102"/>
        <v>44.19</v>
      </c>
      <c r="AJ3324" s="5">
        <f t="shared" si="103"/>
        <v>0.21884904912836767</v>
      </c>
    </row>
    <row r="3325" spans="1:36">
      <c r="A3325" t="s">
        <v>194</v>
      </c>
      <c r="B3325" t="s">
        <v>3610</v>
      </c>
      <c r="C3325" t="s">
        <v>134</v>
      </c>
      <c r="D3325" t="s">
        <v>77</v>
      </c>
      <c r="E3325" t="s">
        <v>69</v>
      </c>
      <c r="F3325">
        <v>0</v>
      </c>
      <c r="G3325">
        <v>1134</v>
      </c>
      <c r="H3325">
        <v>1</v>
      </c>
      <c r="I3325" t="s">
        <v>173</v>
      </c>
      <c r="J3325">
        <v>1</v>
      </c>
      <c r="K3325" s="6">
        <v>2.41</v>
      </c>
      <c r="L3325" t="s">
        <v>174</v>
      </c>
      <c r="M3325">
        <v>0</v>
      </c>
      <c r="N3325" t="s">
        <v>187</v>
      </c>
      <c r="O3325">
        <v>2</v>
      </c>
      <c r="P3325">
        <v>0</v>
      </c>
      <c r="Q3325" s="6">
        <v>63.2</v>
      </c>
      <c r="R3325">
        <v>0</v>
      </c>
      <c r="S3325" s="6">
        <v>0</v>
      </c>
      <c r="T3325">
        <v>0</v>
      </c>
      <c r="U3325" s="6">
        <v>2456</v>
      </c>
      <c r="V3325">
        <v>0</v>
      </c>
      <c r="W3325">
        <v>0</v>
      </c>
      <c r="X3325">
        <v>0</v>
      </c>
      <c r="Y3325" s="6">
        <v>37.4</v>
      </c>
      <c r="Z3325">
        <v>0.158</v>
      </c>
      <c r="AA3325">
        <v>0.15</v>
      </c>
      <c r="AB3325">
        <v>4.7E-2</v>
      </c>
      <c r="AC3325">
        <v>5</v>
      </c>
      <c r="AD3325" s="6">
        <v>51</v>
      </c>
      <c r="AE3325" s="6">
        <v>0</v>
      </c>
      <c r="AF3325" s="6">
        <v>0</v>
      </c>
      <c r="AG3325" s="6">
        <v>59.75</v>
      </c>
      <c r="AH3325" s="6">
        <v>79.400000000000006</v>
      </c>
      <c r="AI3325" s="6">
        <f t="shared" si="102"/>
        <v>19.650000000000006</v>
      </c>
      <c r="AJ3325" s="5">
        <f t="shared" si="103"/>
        <v>0.24748110831234263</v>
      </c>
    </row>
    <row r="3326" spans="1:36">
      <c r="A3326" t="s">
        <v>225</v>
      </c>
      <c r="B3326" t="s">
        <v>3611</v>
      </c>
      <c r="C3326" t="s">
        <v>134</v>
      </c>
      <c r="D3326" t="s">
        <v>77</v>
      </c>
      <c r="E3326" t="s">
        <v>69</v>
      </c>
      <c r="F3326">
        <v>0</v>
      </c>
      <c r="G3326">
        <v>1134</v>
      </c>
      <c r="H3326">
        <v>1</v>
      </c>
      <c r="I3326" t="s">
        <v>220</v>
      </c>
      <c r="J3326">
        <v>2</v>
      </c>
      <c r="K3326" s="6">
        <v>4.47</v>
      </c>
      <c r="L3326" t="s">
        <v>174</v>
      </c>
      <c r="M3326">
        <v>0</v>
      </c>
      <c r="N3326" t="s">
        <v>175</v>
      </c>
      <c r="O3326">
        <v>1</v>
      </c>
      <c r="P3326">
        <v>0</v>
      </c>
      <c r="Q3326" s="6">
        <v>45.4</v>
      </c>
      <c r="R3326">
        <v>0</v>
      </c>
      <c r="S3326" s="6">
        <v>0</v>
      </c>
      <c r="T3326">
        <v>0</v>
      </c>
      <c r="U3326" s="6">
        <v>3739</v>
      </c>
      <c r="V3326">
        <v>0</v>
      </c>
      <c r="W3326">
        <v>0</v>
      </c>
      <c r="X3326">
        <v>0</v>
      </c>
      <c r="Y3326" s="6">
        <v>37.4</v>
      </c>
      <c r="Z3326">
        <v>0.158</v>
      </c>
      <c r="AA3326">
        <v>0.15</v>
      </c>
      <c r="AB3326">
        <v>4.7E-2</v>
      </c>
      <c r="AC3326">
        <v>5</v>
      </c>
      <c r="AD3326" s="6">
        <v>51</v>
      </c>
      <c r="AE3326" s="6">
        <v>0</v>
      </c>
      <c r="AF3326" s="6">
        <v>0</v>
      </c>
      <c r="AG3326" s="6">
        <v>60.48</v>
      </c>
      <c r="AH3326" s="6">
        <v>79.7</v>
      </c>
      <c r="AI3326" s="6">
        <f t="shared" si="102"/>
        <v>19.220000000000006</v>
      </c>
      <c r="AJ3326" s="5">
        <f t="shared" si="103"/>
        <v>0.24115432873274786</v>
      </c>
    </row>
    <row r="3327" spans="1:36">
      <c r="A3327" t="s">
        <v>319</v>
      </c>
      <c r="B3327" t="s">
        <v>3612</v>
      </c>
      <c r="C3327" t="s">
        <v>134</v>
      </c>
      <c r="D3327" t="s">
        <v>77</v>
      </c>
      <c r="E3327" t="s">
        <v>69</v>
      </c>
      <c r="F3327">
        <v>0</v>
      </c>
      <c r="G3327">
        <v>1134</v>
      </c>
      <c r="H3327">
        <v>1</v>
      </c>
      <c r="I3327" t="s">
        <v>220</v>
      </c>
      <c r="J3327">
        <v>2</v>
      </c>
      <c r="K3327" s="6">
        <v>3.71</v>
      </c>
      <c r="L3327" t="s">
        <v>174</v>
      </c>
      <c r="M3327">
        <v>0</v>
      </c>
      <c r="N3327" t="s">
        <v>175</v>
      </c>
      <c r="O3327">
        <v>1</v>
      </c>
      <c r="P3327">
        <v>0</v>
      </c>
      <c r="Q3327" s="6">
        <v>25.6</v>
      </c>
      <c r="R3327">
        <v>0</v>
      </c>
      <c r="S3327" s="6">
        <v>0</v>
      </c>
      <c r="T3327">
        <v>0</v>
      </c>
      <c r="U3327" s="6">
        <v>3033</v>
      </c>
      <c r="V3327">
        <v>0</v>
      </c>
      <c r="W3327">
        <v>0</v>
      </c>
      <c r="X3327">
        <v>0</v>
      </c>
      <c r="Y3327" s="6">
        <v>37.4</v>
      </c>
      <c r="Z3327">
        <v>0.158</v>
      </c>
      <c r="AA3327">
        <v>0.15</v>
      </c>
      <c r="AB3327">
        <v>4.7E-2</v>
      </c>
      <c r="AC3327">
        <v>5</v>
      </c>
      <c r="AD3327" s="6">
        <v>51</v>
      </c>
      <c r="AE3327" s="6">
        <v>0</v>
      </c>
      <c r="AF3327" s="6">
        <v>0</v>
      </c>
      <c r="AG3327" s="6">
        <v>62.45</v>
      </c>
      <c r="AH3327" s="6">
        <v>79.37</v>
      </c>
      <c r="AI3327" s="6">
        <f t="shared" si="102"/>
        <v>16.920000000000002</v>
      </c>
      <c r="AJ3327" s="5">
        <f t="shared" si="103"/>
        <v>0.21317878291545925</v>
      </c>
    </row>
    <row r="3328" spans="1:36">
      <c r="A3328" t="s">
        <v>693</v>
      </c>
      <c r="B3328" t="s">
        <v>3613</v>
      </c>
      <c r="C3328" t="s">
        <v>134</v>
      </c>
      <c r="D3328" t="s">
        <v>77</v>
      </c>
      <c r="E3328" t="s">
        <v>69</v>
      </c>
      <c r="F3328">
        <v>0</v>
      </c>
      <c r="G3328">
        <v>1134</v>
      </c>
      <c r="H3328">
        <v>1</v>
      </c>
      <c r="I3328" t="s">
        <v>220</v>
      </c>
      <c r="J3328">
        <v>2</v>
      </c>
      <c r="K3328" s="6">
        <v>5.33</v>
      </c>
      <c r="L3328" t="s">
        <v>200</v>
      </c>
      <c r="M3328">
        <v>1</v>
      </c>
      <c r="N3328" t="s">
        <v>175</v>
      </c>
      <c r="O3328">
        <v>1</v>
      </c>
      <c r="P3328">
        <v>1</v>
      </c>
      <c r="Q3328" s="6">
        <v>27.4</v>
      </c>
      <c r="R3328">
        <v>0</v>
      </c>
      <c r="S3328" s="6">
        <v>0</v>
      </c>
      <c r="T3328">
        <v>0</v>
      </c>
      <c r="U3328" s="6">
        <v>3556</v>
      </c>
      <c r="V3328">
        <v>0</v>
      </c>
      <c r="W3328">
        <v>0</v>
      </c>
      <c r="X3328">
        <v>0</v>
      </c>
      <c r="Y3328" s="6">
        <v>37.4</v>
      </c>
      <c r="Z3328">
        <v>0.158</v>
      </c>
      <c r="AA3328">
        <v>0.15</v>
      </c>
      <c r="AB3328">
        <v>4.7E-2</v>
      </c>
      <c r="AC3328">
        <v>5</v>
      </c>
      <c r="AD3328" s="6">
        <v>120</v>
      </c>
      <c r="AE3328" s="6">
        <v>0</v>
      </c>
      <c r="AF3328" s="6">
        <v>0</v>
      </c>
      <c r="AG3328" s="6">
        <v>126.59</v>
      </c>
      <c r="AH3328" s="6">
        <v>161.53</v>
      </c>
      <c r="AI3328" s="6">
        <f t="shared" si="102"/>
        <v>34.94</v>
      </c>
      <c r="AJ3328" s="5">
        <f t="shared" si="103"/>
        <v>0.21630656843929918</v>
      </c>
    </row>
    <row r="3329" spans="1:36">
      <c r="A3329" t="s">
        <v>243</v>
      </c>
      <c r="B3329" t="s">
        <v>3614</v>
      </c>
      <c r="C3329" t="s">
        <v>134</v>
      </c>
      <c r="D3329" t="s">
        <v>77</v>
      </c>
      <c r="E3329" t="s">
        <v>69</v>
      </c>
      <c r="F3329">
        <v>0</v>
      </c>
      <c r="G3329">
        <v>1134</v>
      </c>
      <c r="H3329">
        <v>1</v>
      </c>
      <c r="I3329" t="s">
        <v>173</v>
      </c>
      <c r="J3329">
        <v>1</v>
      </c>
      <c r="K3329" s="6">
        <v>1.92</v>
      </c>
      <c r="L3329" t="s">
        <v>174</v>
      </c>
      <c r="M3329">
        <v>0</v>
      </c>
      <c r="N3329" t="s">
        <v>187</v>
      </c>
      <c r="O3329">
        <v>2</v>
      </c>
      <c r="P3329">
        <v>0</v>
      </c>
      <c r="Q3329" s="6">
        <v>44.6</v>
      </c>
      <c r="R3329">
        <v>0</v>
      </c>
      <c r="S3329" s="6">
        <v>0</v>
      </c>
      <c r="T3329">
        <v>0</v>
      </c>
      <c r="U3329" s="6">
        <v>3137</v>
      </c>
      <c r="V3329">
        <v>0</v>
      </c>
      <c r="W3329">
        <v>0</v>
      </c>
      <c r="X3329">
        <v>0</v>
      </c>
      <c r="Y3329" s="6">
        <v>37.4</v>
      </c>
      <c r="Z3329">
        <v>0.158</v>
      </c>
      <c r="AA3329">
        <v>0.15</v>
      </c>
      <c r="AB3329">
        <v>4.7E-2</v>
      </c>
      <c r="AC3329">
        <v>5</v>
      </c>
      <c r="AD3329" s="6">
        <v>51</v>
      </c>
      <c r="AE3329" s="6">
        <v>0</v>
      </c>
      <c r="AF3329" s="6">
        <v>0</v>
      </c>
      <c r="AG3329" s="6">
        <v>51.42</v>
      </c>
      <c r="AH3329" s="6">
        <v>66.88</v>
      </c>
      <c r="AI3329" s="6">
        <f t="shared" si="102"/>
        <v>15.459999999999994</v>
      </c>
      <c r="AJ3329" s="5">
        <f t="shared" si="103"/>
        <v>0.23116028708133962</v>
      </c>
    </row>
    <row r="3330" spans="1:36">
      <c r="A3330" t="s">
        <v>494</v>
      </c>
      <c r="B3330" t="s">
        <v>3615</v>
      </c>
      <c r="C3330" t="s">
        <v>134</v>
      </c>
      <c r="D3330" t="s">
        <v>77</v>
      </c>
      <c r="E3330" t="s">
        <v>69</v>
      </c>
      <c r="F3330">
        <v>0</v>
      </c>
      <c r="G3330">
        <v>1134</v>
      </c>
      <c r="H3330">
        <v>1</v>
      </c>
      <c r="I3330" t="s">
        <v>173</v>
      </c>
      <c r="J3330">
        <v>1</v>
      </c>
      <c r="K3330" s="6">
        <v>1.55</v>
      </c>
      <c r="L3330" t="s">
        <v>174</v>
      </c>
      <c r="M3330">
        <v>0</v>
      </c>
      <c r="N3330" t="s">
        <v>182</v>
      </c>
      <c r="O3330">
        <v>3</v>
      </c>
      <c r="P3330">
        <v>1</v>
      </c>
      <c r="Q3330" s="6">
        <v>116.6</v>
      </c>
      <c r="R3330">
        <v>0</v>
      </c>
      <c r="S3330" s="6">
        <v>0</v>
      </c>
      <c r="T3330">
        <v>0</v>
      </c>
      <c r="U3330" s="6">
        <v>1507</v>
      </c>
      <c r="V3330">
        <v>0</v>
      </c>
      <c r="W3330">
        <v>0</v>
      </c>
      <c r="X3330">
        <v>0</v>
      </c>
      <c r="Y3330" s="6">
        <v>37.4</v>
      </c>
      <c r="Z3330">
        <v>0.158</v>
      </c>
      <c r="AA3330">
        <v>0.15</v>
      </c>
      <c r="AB3330">
        <v>4.7E-2</v>
      </c>
      <c r="AC3330">
        <v>5</v>
      </c>
      <c r="AD3330" s="6">
        <v>51</v>
      </c>
      <c r="AE3330" s="6">
        <v>0</v>
      </c>
      <c r="AF3330" s="6">
        <v>0</v>
      </c>
      <c r="AG3330" s="6">
        <v>79.83</v>
      </c>
      <c r="AH3330" s="6">
        <v>102.73</v>
      </c>
      <c r="AI3330" s="6">
        <f t="shared" ref="AI3330:AI3393" si="104">AH3330-AG3330</f>
        <v>22.900000000000006</v>
      </c>
      <c r="AJ3330" s="5">
        <f t="shared" ref="AJ3330:AJ3393" si="105">IFERROR(AI3330/AH3330,0)</f>
        <v>0.2229144358999319</v>
      </c>
    </row>
    <row r="3331" spans="1:36">
      <c r="A3331" t="s">
        <v>284</v>
      </c>
      <c r="B3331" t="s">
        <v>3616</v>
      </c>
      <c r="C3331" t="s">
        <v>134</v>
      </c>
      <c r="D3331" t="s">
        <v>77</v>
      </c>
      <c r="E3331" t="s">
        <v>69</v>
      </c>
      <c r="F3331">
        <v>0</v>
      </c>
      <c r="G3331">
        <v>1134</v>
      </c>
      <c r="H3331">
        <v>1</v>
      </c>
      <c r="I3331" t="s">
        <v>173</v>
      </c>
      <c r="J3331">
        <v>1</v>
      </c>
      <c r="K3331" s="6">
        <v>2.09</v>
      </c>
      <c r="L3331" t="s">
        <v>174</v>
      </c>
      <c r="M3331">
        <v>0</v>
      </c>
      <c r="N3331" t="s">
        <v>175</v>
      </c>
      <c r="O3331">
        <v>1</v>
      </c>
      <c r="P3331">
        <v>1</v>
      </c>
      <c r="Q3331" s="6">
        <v>14.9</v>
      </c>
      <c r="R3331">
        <v>0</v>
      </c>
      <c r="S3331" s="6">
        <v>0</v>
      </c>
      <c r="T3331">
        <v>0</v>
      </c>
      <c r="U3331" s="6">
        <v>4579</v>
      </c>
      <c r="V3331">
        <v>0</v>
      </c>
      <c r="W3331">
        <v>0</v>
      </c>
      <c r="X3331">
        <v>0</v>
      </c>
      <c r="Y3331" s="6">
        <v>37.4</v>
      </c>
      <c r="Z3331">
        <v>0.158</v>
      </c>
      <c r="AA3331">
        <v>0.15</v>
      </c>
      <c r="AB3331">
        <v>4.7E-2</v>
      </c>
      <c r="AC3331">
        <v>5</v>
      </c>
      <c r="AD3331" s="6">
        <v>51</v>
      </c>
      <c r="AE3331" s="6">
        <v>0</v>
      </c>
      <c r="AF3331" s="6">
        <v>0</v>
      </c>
      <c r="AG3331" s="6">
        <v>64.45</v>
      </c>
      <c r="AH3331" s="6">
        <v>81.81</v>
      </c>
      <c r="AI3331" s="6">
        <f t="shared" si="104"/>
        <v>17.36</v>
      </c>
      <c r="AJ3331" s="5">
        <f t="shared" si="105"/>
        <v>0.21219899767754552</v>
      </c>
    </row>
    <row r="3332" spans="1:36">
      <c r="A3332" t="s">
        <v>204</v>
      </c>
      <c r="B3332" t="s">
        <v>3617</v>
      </c>
      <c r="C3332" t="s">
        <v>134</v>
      </c>
      <c r="D3332" t="s">
        <v>77</v>
      </c>
      <c r="E3332" t="s">
        <v>69</v>
      </c>
      <c r="F3332">
        <v>0</v>
      </c>
      <c r="G3332">
        <v>1134</v>
      </c>
      <c r="H3332">
        <v>1</v>
      </c>
      <c r="I3332" t="s">
        <v>220</v>
      </c>
      <c r="J3332">
        <v>2</v>
      </c>
      <c r="K3332" s="6">
        <v>5.32</v>
      </c>
      <c r="L3332" t="s">
        <v>200</v>
      </c>
      <c r="M3332">
        <v>1</v>
      </c>
      <c r="N3332" t="s">
        <v>175</v>
      </c>
      <c r="O3332">
        <v>1</v>
      </c>
      <c r="P3332">
        <v>0</v>
      </c>
      <c r="Q3332" s="6">
        <v>25.4</v>
      </c>
      <c r="R3332">
        <v>0</v>
      </c>
      <c r="S3332" s="6">
        <v>0</v>
      </c>
      <c r="T3332">
        <v>0</v>
      </c>
      <c r="U3332" s="6">
        <v>8353</v>
      </c>
      <c r="V3332">
        <v>1</v>
      </c>
      <c r="W3332">
        <v>0</v>
      </c>
      <c r="X3332">
        <v>0</v>
      </c>
      <c r="Y3332" s="6">
        <v>37.4</v>
      </c>
      <c r="Z3332">
        <v>0.158</v>
      </c>
      <c r="AA3332">
        <v>0.15</v>
      </c>
      <c r="AB3332">
        <v>4.7E-2</v>
      </c>
      <c r="AC3332">
        <v>5</v>
      </c>
      <c r="AD3332" s="6">
        <v>120</v>
      </c>
      <c r="AE3332" s="6">
        <v>0</v>
      </c>
      <c r="AF3332" s="6">
        <v>0</v>
      </c>
      <c r="AG3332" s="6">
        <v>122.63</v>
      </c>
      <c r="AH3332" s="6">
        <v>155.15</v>
      </c>
      <c r="AI3332" s="6">
        <f t="shared" si="104"/>
        <v>32.52000000000001</v>
      </c>
      <c r="AJ3332" s="5">
        <f t="shared" si="105"/>
        <v>0.20960360941024819</v>
      </c>
    </row>
    <row r="3333" spans="1:36">
      <c r="A3333" t="s">
        <v>345</v>
      </c>
      <c r="B3333" t="s">
        <v>3618</v>
      </c>
      <c r="C3333" t="s">
        <v>134</v>
      </c>
      <c r="D3333" t="s">
        <v>77</v>
      </c>
      <c r="E3333" t="s">
        <v>69</v>
      </c>
      <c r="F3333">
        <v>0</v>
      </c>
      <c r="G3333">
        <v>1134</v>
      </c>
      <c r="H3333">
        <v>1</v>
      </c>
      <c r="I3333" t="s">
        <v>173</v>
      </c>
      <c r="J3333">
        <v>1</v>
      </c>
      <c r="K3333" s="6">
        <v>1.59</v>
      </c>
      <c r="L3333" t="s">
        <v>174</v>
      </c>
      <c r="M3333">
        <v>0</v>
      </c>
      <c r="N3333" t="s">
        <v>175</v>
      </c>
      <c r="O3333">
        <v>1</v>
      </c>
      <c r="P3333">
        <v>0</v>
      </c>
      <c r="Q3333" s="6">
        <v>32.299999999999997</v>
      </c>
      <c r="R3333">
        <v>0</v>
      </c>
      <c r="S3333" s="6">
        <v>0</v>
      </c>
      <c r="T3333">
        <v>0</v>
      </c>
      <c r="U3333" s="6">
        <v>1025</v>
      </c>
      <c r="V3333">
        <v>0</v>
      </c>
      <c r="W3333">
        <v>0</v>
      </c>
      <c r="X3333">
        <v>0</v>
      </c>
      <c r="Y3333" s="6">
        <v>37.4</v>
      </c>
      <c r="Z3333">
        <v>0.158</v>
      </c>
      <c r="AA3333">
        <v>0.15</v>
      </c>
      <c r="AB3333">
        <v>4.7E-2</v>
      </c>
      <c r="AC3333">
        <v>5</v>
      </c>
      <c r="AD3333" s="6">
        <v>51</v>
      </c>
      <c r="AE3333" s="6">
        <v>0</v>
      </c>
      <c r="AF3333" s="6">
        <v>0</v>
      </c>
      <c r="AG3333" s="6">
        <v>47.83</v>
      </c>
      <c r="AH3333" s="6">
        <v>62.11</v>
      </c>
      <c r="AI3333" s="6">
        <f t="shared" si="104"/>
        <v>14.280000000000001</v>
      </c>
      <c r="AJ3333" s="5">
        <f t="shared" si="105"/>
        <v>0.22991466752535825</v>
      </c>
    </row>
    <row r="3334" spans="1:36">
      <c r="A3334" t="s">
        <v>562</v>
      </c>
      <c r="B3334" t="s">
        <v>3619</v>
      </c>
      <c r="C3334" t="s">
        <v>134</v>
      </c>
      <c r="D3334" t="s">
        <v>77</v>
      </c>
      <c r="E3334" t="s">
        <v>69</v>
      </c>
      <c r="F3334">
        <v>0</v>
      </c>
      <c r="G3334">
        <v>1134</v>
      </c>
      <c r="H3334">
        <v>1</v>
      </c>
      <c r="I3334" t="s">
        <v>173</v>
      </c>
      <c r="J3334">
        <v>1</v>
      </c>
      <c r="K3334" s="6">
        <v>0.99</v>
      </c>
      <c r="L3334" t="s">
        <v>174</v>
      </c>
      <c r="M3334">
        <v>0</v>
      </c>
      <c r="N3334" t="s">
        <v>182</v>
      </c>
      <c r="O3334">
        <v>3</v>
      </c>
      <c r="P3334">
        <v>1</v>
      </c>
      <c r="Q3334" s="6">
        <v>99.2</v>
      </c>
      <c r="R3334">
        <v>0</v>
      </c>
      <c r="S3334" s="6">
        <v>0</v>
      </c>
      <c r="T3334">
        <v>0</v>
      </c>
      <c r="U3334" s="6">
        <v>3172</v>
      </c>
      <c r="V3334">
        <v>0</v>
      </c>
      <c r="W3334">
        <v>0</v>
      </c>
      <c r="X3334">
        <v>0</v>
      </c>
      <c r="Y3334" s="6">
        <v>37.4</v>
      </c>
      <c r="Z3334">
        <v>0.158</v>
      </c>
      <c r="AA3334">
        <v>0.15</v>
      </c>
      <c r="AB3334">
        <v>4.7E-2</v>
      </c>
      <c r="AC3334">
        <v>5</v>
      </c>
      <c r="AD3334" s="6">
        <v>51</v>
      </c>
      <c r="AE3334" s="6">
        <v>0</v>
      </c>
      <c r="AF3334" s="6">
        <v>0</v>
      </c>
      <c r="AG3334" s="6">
        <v>80.48</v>
      </c>
      <c r="AH3334" s="6">
        <v>102.46</v>
      </c>
      <c r="AI3334" s="6">
        <f t="shared" si="104"/>
        <v>21.97999999999999</v>
      </c>
      <c r="AJ3334" s="5">
        <f t="shared" si="105"/>
        <v>0.21452274058169032</v>
      </c>
    </row>
    <row r="3335" spans="1:36">
      <c r="A3335" t="s">
        <v>218</v>
      </c>
      <c r="B3335" t="s">
        <v>3620</v>
      </c>
      <c r="C3335" t="s">
        <v>134</v>
      </c>
      <c r="D3335" t="s">
        <v>77</v>
      </c>
      <c r="E3335" t="s">
        <v>69</v>
      </c>
      <c r="F3335">
        <v>0</v>
      </c>
      <c r="G3335">
        <v>1134</v>
      </c>
      <c r="H3335">
        <v>1</v>
      </c>
      <c r="I3335" t="s">
        <v>173</v>
      </c>
      <c r="J3335">
        <v>1</v>
      </c>
      <c r="K3335" s="6">
        <v>1.53</v>
      </c>
      <c r="L3335" t="s">
        <v>174</v>
      </c>
      <c r="M3335">
        <v>0</v>
      </c>
      <c r="N3335" t="s">
        <v>182</v>
      </c>
      <c r="O3335">
        <v>3</v>
      </c>
      <c r="P3335">
        <v>0</v>
      </c>
      <c r="Q3335" s="6">
        <v>87.3</v>
      </c>
      <c r="R3335">
        <v>0</v>
      </c>
      <c r="S3335" s="6">
        <v>0</v>
      </c>
      <c r="T3335">
        <v>0</v>
      </c>
      <c r="U3335" s="6">
        <v>1995</v>
      </c>
      <c r="V3335">
        <v>0</v>
      </c>
      <c r="W3335">
        <v>0</v>
      </c>
      <c r="X3335">
        <v>0</v>
      </c>
      <c r="Y3335" s="6">
        <v>37.4</v>
      </c>
      <c r="Z3335">
        <v>0.158</v>
      </c>
      <c r="AA3335">
        <v>0.15</v>
      </c>
      <c r="AB3335">
        <v>4.7E-2</v>
      </c>
      <c r="AC3335">
        <v>5</v>
      </c>
      <c r="AD3335" s="6">
        <v>51</v>
      </c>
      <c r="AE3335" s="6">
        <v>0</v>
      </c>
      <c r="AF3335" s="6">
        <v>0</v>
      </c>
      <c r="AG3335" s="6">
        <v>61.42</v>
      </c>
      <c r="AH3335" s="6">
        <v>78.56</v>
      </c>
      <c r="AI3335" s="6">
        <f t="shared" si="104"/>
        <v>17.14</v>
      </c>
      <c r="AJ3335" s="5">
        <f t="shared" si="105"/>
        <v>0.21817718940936864</v>
      </c>
    </row>
    <row r="3336" spans="1:36">
      <c r="A3336" t="s">
        <v>253</v>
      </c>
      <c r="B3336" t="s">
        <v>3621</v>
      </c>
      <c r="C3336" t="s">
        <v>134</v>
      </c>
      <c r="D3336" t="s">
        <v>77</v>
      </c>
      <c r="E3336" t="s">
        <v>69</v>
      </c>
      <c r="F3336">
        <v>0</v>
      </c>
      <c r="G3336">
        <v>1134</v>
      </c>
      <c r="H3336">
        <v>1</v>
      </c>
      <c r="I3336" t="s">
        <v>173</v>
      </c>
      <c r="J3336">
        <v>1</v>
      </c>
      <c r="K3336" s="6">
        <v>1.79</v>
      </c>
      <c r="L3336" t="s">
        <v>174</v>
      </c>
      <c r="M3336">
        <v>0</v>
      </c>
      <c r="N3336" t="s">
        <v>175</v>
      </c>
      <c r="O3336">
        <v>1</v>
      </c>
      <c r="P3336">
        <v>0</v>
      </c>
      <c r="Q3336" s="6">
        <v>43.2</v>
      </c>
      <c r="R3336">
        <v>0</v>
      </c>
      <c r="S3336" s="6">
        <v>0</v>
      </c>
      <c r="T3336">
        <v>0</v>
      </c>
      <c r="U3336" s="6">
        <v>1695</v>
      </c>
      <c r="V3336">
        <v>0</v>
      </c>
      <c r="W3336">
        <v>0</v>
      </c>
      <c r="X3336">
        <v>0</v>
      </c>
      <c r="Y3336" s="6">
        <v>37.4</v>
      </c>
      <c r="Z3336">
        <v>0.158</v>
      </c>
      <c r="AA3336">
        <v>0.15</v>
      </c>
      <c r="AB3336">
        <v>4.7E-2</v>
      </c>
      <c r="AC3336">
        <v>5</v>
      </c>
      <c r="AD3336" s="6">
        <v>51</v>
      </c>
      <c r="AE3336" s="6">
        <v>0</v>
      </c>
      <c r="AF3336" s="6">
        <v>0</v>
      </c>
      <c r="AG3336" s="6">
        <v>49.79</v>
      </c>
      <c r="AH3336" s="6">
        <v>62.62</v>
      </c>
      <c r="AI3336" s="6">
        <f t="shared" si="104"/>
        <v>12.829999999999998</v>
      </c>
      <c r="AJ3336" s="5">
        <f t="shared" si="105"/>
        <v>0.20488661769402744</v>
      </c>
    </row>
    <row r="3337" spans="1:36">
      <c r="A3337" t="s">
        <v>375</v>
      </c>
      <c r="B3337" t="s">
        <v>3622</v>
      </c>
      <c r="C3337" t="s">
        <v>134</v>
      </c>
      <c r="D3337" t="s">
        <v>77</v>
      </c>
      <c r="E3337" t="s">
        <v>69</v>
      </c>
      <c r="F3337">
        <v>0</v>
      </c>
      <c r="G3337">
        <v>1134</v>
      </c>
      <c r="H3337">
        <v>1</v>
      </c>
      <c r="I3337" t="s">
        <v>173</v>
      </c>
      <c r="J3337">
        <v>1</v>
      </c>
      <c r="K3337" s="6">
        <v>2.5299999999999998</v>
      </c>
      <c r="L3337" t="s">
        <v>174</v>
      </c>
      <c r="M3337">
        <v>0</v>
      </c>
      <c r="N3337" t="s">
        <v>175</v>
      </c>
      <c r="O3337">
        <v>1</v>
      </c>
      <c r="P3337">
        <v>0</v>
      </c>
      <c r="Q3337" s="6">
        <v>41.2</v>
      </c>
      <c r="R3337">
        <v>0</v>
      </c>
      <c r="S3337" s="6">
        <v>0</v>
      </c>
      <c r="T3337">
        <v>0</v>
      </c>
      <c r="U3337" s="6">
        <v>1749</v>
      </c>
      <c r="V3337">
        <v>0</v>
      </c>
      <c r="W3337">
        <v>0</v>
      </c>
      <c r="X3337">
        <v>0</v>
      </c>
      <c r="Y3337" s="6">
        <v>37.4</v>
      </c>
      <c r="Z3337">
        <v>0.158</v>
      </c>
      <c r="AA3337">
        <v>0.15</v>
      </c>
      <c r="AB3337">
        <v>4.7E-2</v>
      </c>
      <c r="AC3337">
        <v>5</v>
      </c>
      <c r="AD3337" s="6">
        <v>51</v>
      </c>
      <c r="AE3337" s="6">
        <v>0</v>
      </c>
      <c r="AF3337" s="6">
        <v>0</v>
      </c>
      <c r="AG3337" s="6">
        <v>50.43</v>
      </c>
      <c r="AH3337" s="6">
        <v>67</v>
      </c>
      <c r="AI3337" s="6">
        <f t="shared" si="104"/>
        <v>16.57</v>
      </c>
      <c r="AJ3337" s="5">
        <f t="shared" si="105"/>
        <v>0.24731343283582091</v>
      </c>
    </row>
    <row r="3338" spans="1:36">
      <c r="A3338" t="s">
        <v>171</v>
      </c>
      <c r="B3338" t="s">
        <v>3623</v>
      </c>
      <c r="C3338" t="s">
        <v>134</v>
      </c>
      <c r="D3338" t="s">
        <v>77</v>
      </c>
      <c r="E3338" t="s">
        <v>69</v>
      </c>
      <c r="F3338">
        <v>0</v>
      </c>
      <c r="G3338">
        <v>1134</v>
      </c>
      <c r="H3338">
        <v>1</v>
      </c>
      <c r="I3338" t="s">
        <v>173</v>
      </c>
      <c r="J3338">
        <v>1</v>
      </c>
      <c r="K3338" s="6">
        <v>1.94</v>
      </c>
      <c r="L3338" t="s">
        <v>174</v>
      </c>
      <c r="M3338">
        <v>0</v>
      </c>
      <c r="N3338" t="s">
        <v>217</v>
      </c>
      <c r="O3338">
        <v>4</v>
      </c>
      <c r="P3338">
        <v>1</v>
      </c>
      <c r="Q3338" s="6">
        <v>151.5</v>
      </c>
      <c r="R3338">
        <v>0</v>
      </c>
      <c r="S3338" s="6">
        <v>0</v>
      </c>
      <c r="T3338">
        <v>0</v>
      </c>
      <c r="U3338" s="6">
        <v>3012</v>
      </c>
      <c r="V3338">
        <v>0</v>
      </c>
      <c r="W3338">
        <v>0</v>
      </c>
      <c r="X3338">
        <v>0</v>
      </c>
      <c r="Y3338" s="6">
        <v>37.4</v>
      </c>
      <c r="Z3338">
        <v>0.158</v>
      </c>
      <c r="AA3338">
        <v>0.15</v>
      </c>
      <c r="AB3338">
        <v>4.7E-2</v>
      </c>
      <c r="AC3338">
        <v>5</v>
      </c>
      <c r="AD3338" s="6">
        <v>51</v>
      </c>
      <c r="AE3338" s="6">
        <v>0</v>
      </c>
      <c r="AF3338" s="6">
        <v>0</v>
      </c>
      <c r="AG3338" s="6">
        <v>97.14</v>
      </c>
      <c r="AH3338" s="6">
        <v>122.29</v>
      </c>
      <c r="AI3338" s="6">
        <f t="shared" si="104"/>
        <v>25.150000000000006</v>
      </c>
      <c r="AJ3338" s="5">
        <f t="shared" si="105"/>
        <v>0.20565868018644209</v>
      </c>
    </row>
    <row r="3339" spans="1:36">
      <c r="A3339" t="s">
        <v>221</v>
      </c>
      <c r="B3339" t="s">
        <v>3624</v>
      </c>
      <c r="C3339" t="s">
        <v>134</v>
      </c>
      <c r="D3339" t="s">
        <v>77</v>
      </c>
      <c r="E3339" t="s">
        <v>69</v>
      </c>
      <c r="F3339">
        <v>0</v>
      </c>
      <c r="G3339">
        <v>1134</v>
      </c>
      <c r="H3339">
        <v>1</v>
      </c>
      <c r="I3339" t="s">
        <v>173</v>
      </c>
      <c r="J3339">
        <v>1</v>
      </c>
      <c r="K3339" s="6">
        <v>1.75</v>
      </c>
      <c r="L3339" t="s">
        <v>174</v>
      </c>
      <c r="M3339">
        <v>0</v>
      </c>
      <c r="N3339" t="s">
        <v>175</v>
      </c>
      <c r="O3339">
        <v>1</v>
      </c>
      <c r="P3339">
        <v>0</v>
      </c>
      <c r="Q3339" s="6">
        <v>38.5</v>
      </c>
      <c r="R3339">
        <v>0</v>
      </c>
      <c r="S3339" s="6">
        <v>0</v>
      </c>
      <c r="T3339">
        <v>0</v>
      </c>
      <c r="U3339" s="6">
        <v>711</v>
      </c>
      <c r="V3339">
        <v>0</v>
      </c>
      <c r="W3339">
        <v>0</v>
      </c>
      <c r="X3339">
        <v>0</v>
      </c>
      <c r="Y3339" s="6">
        <v>37.4</v>
      </c>
      <c r="Z3339">
        <v>0.158</v>
      </c>
      <c r="AA3339">
        <v>0.15</v>
      </c>
      <c r="AB3339">
        <v>4.7E-2</v>
      </c>
      <c r="AC3339">
        <v>5</v>
      </c>
      <c r="AD3339" s="6">
        <v>51</v>
      </c>
      <c r="AE3339" s="6">
        <v>0</v>
      </c>
      <c r="AF3339" s="6">
        <v>0</v>
      </c>
      <c r="AG3339" s="6">
        <v>55.21</v>
      </c>
      <c r="AH3339" s="6">
        <v>69.22</v>
      </c>
      <c r="AI3339" s="6">
        <f t="shared" si="104"/>
        <v>14.009999999999998</v>
      </c>
      <c r="AJ3339" s="5">
        <f t="shared" si="105"/>
        <v>0.20239815082346141</v>
      </c>
    </row>
    <row r="3340" spans="1:36">
      <c r="A3340" t="s">
        <v>296</v>
      </c>
      <c r="B3340" t="s">
        <v>3625</v>
      </c>
      <c r="C3340" t="s">
        <v>134</v>
      </c>
      <c r="D3340" t="s">
        <v>77</v>
      </c>
      <c r="E3340" t="s">
        <v>69</v>
      </c>
      <c r="F3340">
        <v>0</v>
      </c>
      <c r="G3340">
        <v>1134</v>
      </c>
      <c r="H3340">
        <v>1</v>
      </c>
      <c r="I3340" t="s">
        <v>181</v>
      </c>
      <c r="J3340">
        <v>3</v>
      </c>
      <c r="K3340" s="6">
        <v>11.58</v>
      </c>
      <c r="L3340" t="s">
        <v>200</v>
      </c>
      <c r="M3340">
        <v>1</v>
      </c>
      <c r="N3340" t="s">
        <v>187</v>
      </c>
      <c r="O3340">
        <v>2</v>
      </c>
      <c r="P3340">
        <v>0</v>
      </c>
      <c r="Q3340" s="6">
        <v>56.9</v>
      </c>
      <c r="R3340">
        <v>0</v>
      </c>
      <c r="S3340" s="6">
        <v>0</v>
      </c>
      <c r="T3340">
        <v>0</v>
      </c>
      <c r="U3340" s="6">
        <v>4234</v>
      </c>
      <c r="V3340">
        <v>0</v>
      </c>
      <c r="W3340">
        <v>0</v>
      </c>
      <c r="X3340">
        <v>0</v>
      </c>
      <c r="Y3340" s="6">
        <v>37.4</v>
      </c>
      <c r="Z3340">
        <v>0.158</v>
      </c>
      <c r="AA3340">
        <v>0.15</v>
      </c>
      <c r="AB3340">
        <v>4.7E-2</v>
      </c>
      <c r="AC3340">
        <v>5</v>
      </c>
      <c r="AD3340" s="6">
        <v>140</v>
      </c>
      <c r="AE3340" s="6">
        <v>0</v>
      </c>
      <c r="AF3340" s="6">
        <v>0</v>
      </c>
      <c r="AG3340" s="6">
        <v>137.02000000000001</v>
      </c>
      <c r="AH3340" s="6">
        <v>173.87</v>
      </c>
      <c r="AI3340" s="6">
        <f t="shared" si="104"/>
        <v>36.849999999999994</v>
      </c>
      <c r="AJ3340" s="5">
        <f t="shared" si="105"/>
        <v>0.21193995513889685</v>
      </c>
    </row>
    <row r="3341" spans="1:36">
      <c r="A3341" t="s">
        <v>469</v>
      </c>
      <c r="B3341" t="s">
        <v>3626</v>
      </c>
      <c r="C3341" t="s">
        <v>134</v>
      </c>
      <c r="D3341" t="s">
        <v>77</v>
      </c>
      <c r="E3341" t="s">
        <v>69</v>
      </c>
      <c r="F3341">
        <v>0</v>
      </c>
      <c r="G3341">
        <v>1134</v>
      </c>
      <c r="H3341">
        <v>1</v>
      </c>
      <c r="I3341" t="s">
        <v>173</v>
      </c>
      <c r="J3341">
        <v>1</v>
      </c>
      <c r="K3341" s="6">
        <v>1.79</v>
      </c>
      <c r="L3341" t="s">
        <v>200</v>
      </c>
      <c r="M3341">
        <v>1</v>
      </c>
      <c r="N3341" t="s">
        <v>187</v>
      </c>
      <c r="O3341">
        <v>2</v>
      </c>
      <c r="P3341">
        <v>0</v>
      </c>
      <c r="Q3341" s="6">
        <v>70.900000000000006</v>
      </c>
      <c r="R3341">
        <v>0</v>
      </c>
      <c r="S3341" s="6">
        <v>0</v>
      </c>
      <c r="T3341">
        <v>0</v>
      </c>
      <c r="U3341" s="6">
        <v>4490</v>
      </c>
      <c r="V3341">
        <v>0</v>
      </c>
      <c r="W3341">
        <v>0</v>
      </c>
      <c r="X3341">
        <v>0</v>
      </c>
      <c r="Y3341" s="6">
        <v>37.4</v>
      </c>
      <c r="Z3341">
        <v>0.158</v>
      </c>
      <c r="AA3341">
        <v>0.15</v>
      </c>
      <c r="AB3341">
        <v>4.7E-2</v>
      </c>
      <c r="AC3341">
        <v>5</v>
      </c>
      <c r="AD3341" s="6">
        <v>100</v>
      </c>
      <c r="AE3341" s="6">
        <v>0</v>
      </c>
      <c r="AF3341" s="6">
        <v>0</v>
      </c>
      <c r="AG3341" s="6">
        <v>86.2</v>
      </c>
      <c r="AH3341" s="6">
        <v>109.92</v>
      </c>
      <c r="AI3341" s="6">
        <f t="shared" si="104"/>
        <v>23.72</v>
      </c>
      <c r="AJ3341" s="5">
        <f t="shared" si="105"/>
        <v>0.21579330422125181</v>
      </c>
    </row>
    <row r="3342" spans="1:36">
      <c r="A3342" t="s">
        <v>381</v>
      </c>
      <c r="B3342" t="s">
        <v>3627</v>
      </c>
      <c r="C3342" t="s">
        <v>134</v>
      </c>
      <c r="D3342" t="s">
        <v>77</v>
      </c>
      <c r="E3342" t="s">
        <v>69</v>
      </c>
      <c r="F3342">
        <v>0</v>
      </c>
      <c r="G3342">
        <v>1134</v>
      </c>
      <c r="H3342">
        <v>1</v>
      </c>
      <c r="I3342" t="s">
        <v>173</v>
      </c>
      <c r="J3342">
        <v>1</v>
      </c>
      <c r="K3342" s="6">
        <v>2.59</v>
      </c>
      <c r="L3342" t="s">
        <v>174</v>
      </c>
      <c r="M3342">
        <v>0</v>
      </c>
      <c r="N3342" t="s">
        <v>182</v>
      </c>
      <c r="O3342">
        <v>3</v>
      </c>
      <c r="P3342">
        <v>0</v>
      </c>
      <c r="Q3342" s="6">
        <v>72.099999999999994</v>
      </c>
      <c r="R3342">
        <v>0</v>
      </c>
      <c r="S3342" s="6">
        <v>0</v>
      </c>
      <c r="T3342">
        <v>0</v>
      </c>
      <c r="U3342" s="6">
        <v>3000</v>
      </c>
      <c r="V3342">
        <v>0</v>
      </c>
      <c r="W3342">
        <v>0</v>
      </c>
      <c r="X3342">
        <v>0</v>
      </c>
      <c r="Y3342" s="6">
        <v>37.4</v>
      </c>
      <c r="Z3342">
        <v>0.158</v>
      </c>
      <c r="AA3342">
        <v>0.15</v>
      </c>
      <c r="AB3342">
        <v>4.7E-2</v>
      </c>
      <c r="AC3342">
        <v>5</v>
      </c>
      <c r="AD3342" s="6">
        <v>51</v>
      </c>
      <c r="AE3342" s="6">
        <v>0</v>
      </c>
      <c r="AF3342" s="6">
        <v>0</v>
      </c>
      <c r="AG3342" s="6">
        <v>63.91</v>
      </c>
      <c r="AH3342" s="6">
        <v>80.260000000000005</v>
      </c>
      <c r="AI3342" s="6">
        <f t="shared" si="104"/>
        <v>16.350000000000009</v>
      </c>
      <c r="AJ3342" s="5">
        <f t="shared" si="105"/>
        <v>0.20371293296785456</v>
      </c>
    </row>
    <row r="3343" spans="1:36">
      <c r="A3343" t="s">
        <v>338</v>
      </c>
      <c r="B3343" t="s">
        <v>3628</v>
      </c>
      <c r="C3343" t="s">
        <v>134</v>
      </c>
      <c r="D3343" t="s">
        <v>77</v>
      </c>
      <c r="E3343" t="s">
        <v>69</v>
      </c>
      <c r="F3343">
        <v>0</v>
      </c>
      <c r="G3343">
        <v>1134</v>
      </c>
      <c r="H3343">
        <v>1</v>
      </c>
      <c r="I3343" t="s">
        <v>173</v>
      </c>
      <c r="J3343">
        <v>1</v>
      </c>
      <c r="K3343" s="6">
        <v>2.06</v>
      </c>
      <c r="L3343" t="s">
        <v>200</v>
      </c>
      <c r="M3343">
        <v>1</v>
      </c>
      <c r="N3343" t="s">
        <v>182</v>
      </c>
      <c r="O3343">
        <v>3</v>
      </c>
      <c r="P3343">
        <v>0</v>
      </c>
      <c r="Q3343" s="6">
        <v>55.3</v>
      </c>
      <c r="R3343">
        <v>0</v>
      </c>
      <c r="S3343" s="6">
        <v>0</v>
      </c>
      <c r="T3343">
        <v>0</v>
      </c>
      <c r="U3343" s="6">
        <v>4645</v>
      </c>
      <c r="V3343">
        <v>0</v>
      </c>
      <c r="W3343">
        <v>0</v>
      </c>
      <c r="X3343">
        <v>0</v>
      </c>
      <c r="Y3343" s="6">
        <v>37.4</v>
      </c>
      <c r="Z3343">
        <v>0.158</v>
      </c>
      <c r="AA3343">
        <v>0.15</v>
      </c>
      <c r="AB3343">
        <v>4.7E-2</v>
      </c>
      <c r="AC3343">
        <v>5</v>
      </c>
      <c r="AD3343" s="6">
        <v>100</v>
      </c>
      <c r="AE3343" s="6">
        <v>0</v>
      </c>
      <c r="AF3343" s="6">
        <v>0</v>
      </c>
      <c r="AG3343" s="6">
        <v>92.37</v>
      </c>
      <c r="AH3343" s="6">
        <v>118.15</v>
      </c>
      <c r="AI3343" s="6">
        <f t="shared" si="104"/>
        <v>25.78</v>
      </c>
      <c r="AJ3343" s="5">
        <f t="shared" si="105"/>
        <v>0.2181972069403301</v>
      </c>
    </row>
    <row r="3344" spans="1:36">
      <c r="A3344" t="s">
        <v>517</v>
      </c>
      <c r="B3344" t="s">
        <v>3629</v>
      </c>
      <c r="C3344" t="s">
        <v>134</v>
      </c>
      <c r="D3344" t="s">
        <v>77</v>
      </c>
      <c r="E3344" t="s">
        <v>69</v>
      </c>
      <c r="F3344">
        <v>0</v>
      </c>
      <c r="G3344">
        <v>1134</v>
      </c>
      <c r="H3344">
        <v>1</v>
      </c>
      <c r="I3344" t="s">
        <v>178</v>
      </c>
      <c r="J3344">
        <v>4</v>
      </c>
      <c r="K3344" s="6">
        <v>10.98</v>
      </c>
      <c r="L3344" t="s">
        <v>174</v>
      </c>
      <c r="M3344">
        <v>0</v>
      </c>
      <c r="N3344" t="s">
        <v>187</v>
      </c>
      <c r="O3344">
        <v>2</v>
      </c>
      <c r="P3344">
        <v>0</v>
      </c>
      <c r="Q3344" s="6">
        <v>51.7</v>
      </c>
      <c r="R3344">
        <v>0</v>
      </c>
      <c r="S3344" s="6">
        <v>0</v>
      </c>
      <c r="T3344">
        <v>0</v>
      </c>
      <c r="U3344" s="6">
        <v>2441</v>
      </c>
      <c r="V3344">
        <v>0</v>
      </c>
      <c r="W3344">
        <v>0</v>
      </c>
      <c r="X3344">
        <v>0</v>
      </c>
      <c r="Y3344" s="6">
        <v>37.4</v>
      </c>
      <c r="Z3344">
        <v>0.158</v>
      </c>
      <c r="AA3344">
        <v>0.15</v>
      </c>
      <c r="AB3344">
        <v>4.7E-2</v>
      </c>
      <c r="AC3344">
        <v>5</v>
      </c>
      <c r="AD3344" s="6">
        <v>66</v>
      </c>
      <c r="AE3344" s="6">
        <v>0</v>
      </c>
      <c r="AF3344" s="6">
        <v>0</v>
      </c>
      <c r="AG3344" s="6">
        <v>114.22</v>
      </c>
      <c r="AH3344" s="6">
        <v>145.13999999999999</v>
      </c>
      <c r="AI3344" s="6">
        <f t="shared" si="104"/>
        <v>30.919999999999987</v>
      </c>
      <c r="AJ3344" s="5">
        <f t="shared" si="105"/>
        <v>0.21303568967893063</v>
      </c>
    </row>
    <row r="3345" spans="1:36">
      <c r="A3345" t="s">
        <v>233</v>
      </c>
      <c r="B3345" t="s">
        <v>3630</v>
      </c>
      <c r="C3345" t="s">
        <v>134</v>
      </c>
      <c r="D3345" t="s">
        <v>77</v>
      </c>
      <c r="E3345" t="s">
        <v>69</v>
      </c>
      <c r="F3345">
        <v>0</v>
      </c>
      <c r="G3345">
        <v>1134</v>
      </c>
      <c r="H3345">
        <v>1</v>
      </c>
      <c r="I3345" t="s">
        <v>220</v>
      </c>
      <c r="J3345">
        <v>2</v>
      </c>
      <c r="K3345" s="6">
        <v>4.3499999999999996</v>
      </c>
      <c r="L3345" t="s">
        <v>174</v>
      </c>
      <c r="M3345">
        <v>0</v>
      </c>
      <c r="N3345" t="s">
        <v>187</v>
      </c>
      <c r="O3345">
        <v>2</v>
      </c>
      <c r="P3345">
        <v>1</v>
      </c>
      <c r="Q3345" s="6">
        <v>59</v>
      </c>
      <c r="R3345">
        <v>0</v>
      </c>
      <c r="S3345" s="6">
        <v>0</v>
      </c>
      <c r="T3345">
        <v>0</v>
      </c>
      <c r="U3345" s="6">
        <v>6359</v>
      </c>
      <c r="V3345">
        <v>0</v>
      </c>
      <c r="W3345">
        <v>0</v>
      </c>
      <c r="X3345">
        <v>0</v>
      </c>
      <c r="Y3345" s="6">
        <v>37.4</v>
      </c>
      <c r="Z3345">
        <v>0.158</v>
      </c>
      <c r="AA3345">
        <v>0.15</v>
      </c>
      <c r="AB3345">
        <v>4.7E-2</v>
      </c>
      <c r="AC3345">
        <v>5</v>
      </c>
      <c r="AD3345" s="6">
        <v>51</v>
      </c>
      <c r="AE3345" s="6">
        <v>0</v>
      </c>
      <c r="AF3345" s="6">
        <v>0</v>
      </c>
      <c r="AG3345" s="6">
        <v>81.099999999999994</v>
      </c>
      <c r="AH3345" s="6">
        <v>104.87</v>
      </c>
      <c r="AI3345" s="6">
        <f t="shared" si="104"/>
        <v>23.77000000000001</v>
      </c>
      <c r="AJ3345" s="5">
        <f t="shared" si="105"/>
        <v>0.22666158100505396</v>
      </c>
    </row>
    <row r="3346" spans="1:36">
      <c r="A3346" t="s">
        <v>171</v>
      </c>
      <c r="B3346" t="s">
        <v>3631</v>
      </c>
      <c r="C3346" t="s">
        <v>134</v>
      </c>
      <c r="D3346" t="s">
        <v>77</v>
      </c>
      <c r="E3346" t="s">
        <v>69</v>
      </c>
      <c r="F3346">
        <v>0</v>
      </c>
      <c r="G3346">
        <v>1134</v>
      </c>
      <c r="H3346">
        <v>1</v>
      </c>
      <c r="I3346" t="s">
        <v>173</v>
      </c>
      <c r="J3346">
        <v>1</v>
      </c>
      <c r="K3346" s="6">
        <v>1.36</v>
      </c>
      <c r="L3346" t="s">
        <v>174</v>
      </c>
      <c r="M3346">
        <v>0</v>
      </c>
      <c r="N3346" t="s">
        <v>182</v>
      </c>
      <c r="O3346">
        <v>3</v>
      </c>
      <c r="P3346">
        <v>0</v>
      </c>
      <c r="Q3346" s="6">
        <v>128.1</v>
      </c>
      <c r="R3346">
        <v>0</v>
      </c>
      <c r="S3346" s="6">
        <v>0</v>
      </c>
      <c r="T3346">
        <v>0</v>
      </c>
      <c r="U3346" s="6">
        <v>4386</v>
      </c>
      <c r="V3346">
        <v>0</v>
      </c>
      <c r="W3346">
        <v>0</v>
      </c>
      <c r="X3346">
        <v>0</v>
      </c>
      <c r="Y3346" s="6">
        <v>37.4</v>
      </c>
      <c r="Z3346">
        <v>0.158</v>
      </c>
      <c r="AA3346">
        <v>0.15</v>
      </c>
      <c r="AB3346">
        <v>4.7E-2</v>
      </c>
      <c r="AC3346">
        <v>5</v>
      </c>
      <c r="AD3346" s="6">
        <v>51</v>
      </c>
      <c r="AE3346" s="6">
        <v>0</v>
      </c>
      <c r="AF3346" s="6">
        <v>0</v>
      </c>
      <c r="AG3346" s="6">
        <v>55.71</v>
      </c>
      <c r="AH3346" s="6">
        <v>72.7</v>
      </c>
      <c r="AI3346" s="6">
        <f t="shared" si="104"/>
        <v>16.990000000000002</v>
      </c>
      <c r="AJ3346" s="5">
        <f t="shared" si="105"/>
        <v>0.23370013755158187</v>
      </c>
    </row>
    <row r="3347" spans="1:36">
      <c r="A3347" t="s">
        <v>353</v>
      </c>
      <c r="B3347" t="s">
        <v>3632</v>
      </c>
      <c r="C3347" t="s">
        <v>134</v>
      </c>
      <c r="D3347" t="s">
        <v>77</v>
      </c>
      <c r="E3347" t="s">
        <v>69</v>
      </c>
      <c r="F3347">
        <v>0</v>
      </c>
      <c r="G3347">
        <v>1134</v>
      </c>
      <c r="H3347">
        <v>1</v>
      </c>
      <c r="I3347" t="s">
        <v>173</v>
      </c>
      <c r="J3347">
        <v>1</v>
      </c>
      <c r="K3347" s="6">
        <v>1.75</v>
      </c>
      <c r="L3347" t="s">
        <v>174</v>
      </c>
      <c r="M3347">
        <v>0</v>
      </c>
      <c r="N3347" t="s">
        <v>187</v>
      </c>
      <c r="O3347">
        <v>2</v>
      </c>
      <c r="P3347">
        <v>0</v>
      </c>
      <c r="Q3347" s="6">
        <v>51.1</v>
      </c>
      <c r="R3347">
        <v>0</v>
      </c>
      <c r="S3347" s="6">
        <v>0</v>
      </c>
      <c r="T3347">
        <v>0</v>
      </c>
      <c r="U3347" s="6">
        <v>4307</v>
      </c>
      <c r="V3347">
        <v>0</v>
      </c>
      <c r="W3347">
        <v>0</v>
      </c>
      <c r="X3347">
        <v>0</v>
      </c>
      <c r="Y3347" s="6">
        <v>37.4</v>
      </c>
      <c r="Z3347">
        <v>0.158</v>
      </c>
      <c r="AA3347">
        <v>0.15</v>
      </c>
      <c r="AB3347">
        <v>4.7E-2</v>
      </c>
      <c r="AC3347">
        <v>5</v>
      </c>
      <c r="AD3347" s="6">
        <v>51</v>
      </c>
      <c r="AE3347" s="6">
        <v>0</v>
      </c>
      <c r="AF3347" s="6">
        <v>0</v>
      </c>
      <c r="AG3347" s="6">
        <v>56</v>
      </c>
      <c r="AH3347" s="6">
        <v>71.709999999999994</v>
      </c>
      <c r="AI3347" s="6">
        <f t="shared" si="104"/>
        <v>15.709999999999994</v>
      </c>
      <c r="AJ3347" s="5">
        <f t="shared" si="105"/>
        <v>0.21907683726119084</v>
      </c>
    </row>
    <row r="3348" spans="1:36">
      <c r="A3348" t="s">
        <v>190</v>
      </c>
      <c r="B3348" t="s">
        <v>3633</v>
      </c>
      <c r="C3348" t="s">
        <v>134</v>
      </c>
      <c r="D3348" t="s">
        <v>77</v>
      </c>
      <c r="E3348" t="s">
        <v>69</v>
      </c>
      <c r="F3348">
        <v>0</v>
      </c>
      <c r="G3348">
        <v>1134</v>
      </c>
      <c r="H3348">
        <v>1</v>
      </c>
      <c r="I3348" t="s">
        <v>220</v>
      </c>
      <c r="J3348">
        <v>2</v>
      </c>
      <c r="K3348" s="6">
        <v>6.88</v>
      </c>
      <c r="L3348" t="s">
        <v>174</v>
      </c>
      <c r="M3348">
        <v>0</v>
      </c>
      <c r="N3348" t="s">
        <v>175</v>
      </c>
      <c r="O3348">
        <v>1</v>
      </c>
      <c r="P3348">
        <v>0</v>
      </c>
      <c r="Q3348" s="6">
        <v>27.1</v>
      </c>
      <c r="R3348">
        <v>0</v>
      </c>
      <c r="S3348" s="6">
        <v>0</v>
      </c>
      <c r="T3348">
        <v>0</v>
      </c>
      <c r="U3348" s="6">
        <v>2893</v>
      </c>
      <c r="V3348">
        <v>0</v>
      </c>
      <c r="W3348">
        <v>0</v>
      </c>
      <c r="X3348">
        <v>0</v>
      </c>
      <c r="Y3348" s="6">
        <v>37.4</v>
      </c>
      <c r="Z3348">
        <v>0.158</v>
      </c>
      <c r="AA3348">
        <v>0.15</v>
      </c>
      <c r="AB3348">
        <v>4.7E-2</v>
      </c>
      <c r="AC3348">
        <v>5</v>
      </c>
      <c r="AD3348" s="6">
        <v>51</v>
      </c>
      <c r="AE3348" s="6">
        <v>0</v>
      </c>
      <c r="AF3348" s="6">
        <v>0</v>
      </c>
      <c r="AG3348" s="6">
        <v>65.260000000000005</v>
      </c>
      <c r="AH3348" s="6">
        <v>82.1</v>
      </c>
      <c r="AI3348" s="6">
        <f t="shared" si="104"/>
        <v>16.839999999999989</v>
      </c>
      <c r="AJ3348" s="5">
        <f t="shared" si="105"/>
        <v>0.2051157125456759</v>
      </c>
    </row>
    <row r="3349" spans="1:36">
      <c r="A3349" t="s">
        <v>284</v>
      </c>
      <c r="B3349" t="s">
        <v>3634</v>
      </c>
      <c r="C3349" t="s">
        <v>134</v>
      </c>
      <c r="D3349" t="s">
        <v>77</v>
      </c>
      <c r="E3349" t="s">
        <v>69</v>
      </c>
      <c r="F3349">
        <v>0</v>
      </c>
      <c r="G3349">
        <v>1134</v>
      </c>
      <c r="H3349">
        <v>1</v>
      </c>
      <c r="I3349" t="s">
        <v>220</v>
      </c>
      <c r="J3349">
        <v>2</v>
      </c>
      <c r="K3349" s="6">
        <v>4.04</v>
      </c>
      <c r="L3349" t="s">
        <v>174</v>
      </c>
      <c r="M3349">
        <v>0</v>
      </c>
      <c r="N3349" t="s">
        <v>187</v>
      </c>
      <c r="O3349">
        <v>2</v>
      </c>
      <c r="P3349">
        <v>0</v>
      </c>
      <c r="Q3349" s="6">
        <v>69.3</v>
      </c>
      <c r="R3349">
        <v>0</v>
      </c>
      <c r="S3349" s="6">
        <v>0</v>
      </c>
      <c r="T3349">
        <v>0</v>
      </c>
      <c r="U3349" s="6">
        <v>2242</v>
      </c>
      <c r="V3349">
        <v>0</v>
      </c>
      <c r="W3349">
        <v>0</v>
      </c>
      <c r="X3349">
        <v>0</v>
      </c>
      <c r="Y3349" s="6">
        <v>37.4</v>
      </c>
      <c r="Z3349">
        <v>0.158</v>
      </c>
      <c r="AA3349">
        <v>0.15</v>
      </c>
      <c r="AB3349">
        <v>4.7E-2</v>
      </c>
      <c r="AC3349">
        <v>5</v>
      </c>
      <c r="AD3349" s="6">
        <v>51</v>
      </c>
      <c r="AE3349" s="6">
        <v>0</v>
      </c>
      <c r="AF3349" s="6">
        <v>0</v>
      </c>
      <c r="AG3349" s="6">
        <v>63.94</v>
      </c>
      <c r="AH3349" s="6">
        <v>83.22</v>
      </c>
      <c r="AI3349" s="6">
        <f t="shared" si="104"/>
        <v>19.28</v>
      </c>
      <c r="AJ3349" s="5">
        <f t="shared" si="105"/>
        <v>0.23167507810622448</v>
      </c>
    </row>
    <row r="3350" spans="1:36">
      <c r="A3350" t="s">
        <v>528</v>
      </c>
      <c r="B3350" t="s">
        <v>3635</v>
      </c>
      <c r="C3350" t="s">
        <v>134</v>
      </c>
      <c r="D3350" t="s">
        <v>77</v>
      </c>
      <c r="E3350" t="s">
        <v>69</v>
      </c>
      <c r="F3350">
        <v>0</v>
      </c>
      <c r="G3350">
        <v>1134</v>
      </c>
      <c r="H3350">
        <v>1</v>
      </c>
      <c r="I3350" t="s">
        <v>220</v>
      </c>
      <c r="J3350">
        <v>2</v>
      </c>
      <c r="K3350" s="6">
        <v>4.51</v>
      </c>
      <c r="L3350" t="s">
        <v>200</v>
      </c>
      <c r="M3350">
        <v>1</v>
      </c>
      <c r="N3350" t="s">
        <v>175</v>
      </c>
      <c r="O3350">
        <v>1</v>
      </c>
      <c r="P3350">
        <v>0</v>
      </c>
      <c r="Q3350" s="6">
        <v>26.4</v>
      </c>
      <c r="R3350">
        <v>0</v>
      </c>
      <c r="S3350" s="6">
        <v>0</v>
      </c>
      <c r="T3350">
        <v>0</v>
      </c>
      <c r="U3350" s="6">
        <v>2064</v>
      </c>
      <c r="V3350">
        <v>0</v>
      </c>
      <c r="W3350">
        <v>0</v>
      </c>
      <c r="X3350">
        <v>0</v>
      </c>
      <c r="Y3350" s="6">
        <v>37.4</v>
      </c>
      <c r="Z3350">
        <v>0.158</v>
      </c>
      <c r="AA3350">
        <v>0.15</v>
      </c>
      <c r="AB3350">
        <v>4.7E-2</v>
      </c>
      <c r="AC3350">
        <v>5</v>
      </c>
      <c r="AD3350" s="6">
        <v>120</v>
      </c>
      <c r="AE3350" s="6">
        <v>0</v>
      </c>
      <c r="AF3350" s="6">
        <v>0</v>
      </c>
      <c r="AG3350" s="6">
        <v>83.29</v>
      </c>
      <c r="AH3350" s="6">
        <v>124.95</v>
      </c>
      <c r="AI3350" s="6">
        <f t="shared" si="104"/>
        <v>41.66</v>
      </c>
      <c r="AJ3350" s="5">
        <f t="shared" si="105"/>
        <v>0.33341336534613841</v>
      </c>
    </row>
    <row r="3351" spans="1:36">
      <c r="A3351" t="s">
        <v>233</v>
      </c>
      <c r="B3351" t="s">
        <v>3636</v>
      </c>
      <c r="C3351" t="s">
        <v>134</v>
      </c>
      <c r="D3351" t="s">
        <v>77</v>
      </c>
      <c r="E3351" t="s">
        <v>69</v>
      </c>
      <c r="F3351">
        <v>0</v>
      </c>
      <c r="G3351">
        <v>1134</v>
      </c>
      <c r="H3351">
        <v>1</v>
      </c>
      <c r="I3351" t="s">
        <v>173</v>
      </c>
      <c r="J3351">
        <v>1</v>
      </c>
      <c r="K3351" s="6">
        <v>2.1</v>
      </c>
      <c r="L3351" t="s">
        <v>174</v>
      </c>
      <c r="M3351">
        <v>0</v>
      </c>
      <c r="N3351" t="s">
        <v>175</v>
      </c>
      <c r="O3351">
        <v>1</v>
      </c>
      <c r="P3351">
        <v>0</v>
      </c>
      <c r="Q3351" s="6">
        <v>46.6</v>
      </c>
      <c r="R3351">
        <v>0</v>
      </c>
      <c r="S3351" s="6">
        <v>0</v>
      </c>
      <c r="T3351">
        <v>0</v>
      </c>
      <c r="U3351" s="6">
        <v>1118</v>
      </c>
      <c r="V3351">
        <v>0</v>
      </c>
      <c r="W3351">
        <v>0</v>
      </c>
      <c r="X3351">
        <v>0</v>
      </c>
      <c r="Y3351" s="6">
        <v>37.4</v>
      </c>
      <c r="Z3351">
        <v>0.158</v>
      </c>
      <c r="AA3351">
        <v>0.15</v>
      </c>
      <c r="AB3351">
        <v>4.7E-2</v>
      </c>
      <c r="AC3351">
        <v>5</v>
      </c>
      <c r="AD3351" s="6">
        <v>51</v>
      </c>
      <c r="AE3351" s="6">
        <v>0</v>
      </c>
      <c r="AF3351" s="6">
        <v>0</v>
      </c>
      <c r="AG3351" s="6">
        <v>48.47</v>
      </c>
      <c r="AH3351" s="6">
        <v>61.74</v>
      </c>
      <c r="AI3351" s="6">
        <f t="shared" si="104"/>
        <v>13.270000000000003</v>
      </c>
      <c r="AJ3351" s="5">
        <f t="shared" si="105"/>
        <v>0.21493359248461294</v>
      </c>
    </row>
    <row r="3352" spans="1:36">
      <c r="A3352" t="s">
        <v>258</v>
      </c>
      <c r="B3352" t="s">
        <v>3637</v>
      </c>
      <c r="C3352" t="s">
        <v>134</v>
      </c>
      <c r="D3352" t="s">
        <v>77</v>
      </c>
      <c r="E3352" t="s">
        <v>69</v>
      </c>
      <c r="F3352">
        <v>0</v>
      </c>
      <c r="G3352">
        <v>1134</v>
      </c>
      <c r="H3352">
        <v>1</v>
      </c>
      <c r="I3352" t="s">
        <v>220</v>
      </c>
      <c r="J3352">
        <v>2</v>
      </c>
      <c r="K3352" s="6">
        <v>4.3600000000000003</v>
      </c>
      <c r="L3352" t="s">
        <v>200</v>
      </c>
      <c r="M3352">
        <v>1</v>
      </c>
      <c r="N3352" t="s">
        <v>175</v>
      </c>
      <c r="O3352">
        <v>1</v>
      </c>
      <c r="P3352">
        <v>0</v>
      </c>
      <c r="Q3352" s="6">
        <v>41.1</v>
      </c>
      <c r="R3352">
        <v>0</v>
      </c>
      <c r="S3352" s="6">
        <v>0</v>
      </c>
      <c r="T3352">
        <v>0</v>
      </c>
      <c r="U3352" s="6">
        <v>3495</v>
      </c>
      <c r="V3352">
        <v>0</v>
      </c>
      <c r="W3352">
        <v>0</v>
      </c>
      <c r="X3352">
        <v>0</v>
      </c>
      <c r="Y3352" s="6">
        <v>37.4</v>
      </c>
      <c r="Z3352">
        <v>0.158</v>
      </c>
      <c r="AA3352">
        <v>0.15</v>
      </c>
      <c r="AB3352">
        <v>4.7E-2</v>
      </c>
      <c r="AC3352">
        <v>5</v>
      </c>
      <c r="AD3352" s="6">
        <v>120</v>
      </c>
      <c r="AE3352" s="6">
        <v>0</v>
      </c>
      <c r="AF3352" s="6">
        <v>0</v>
      </c>
      <c r="AG3352" s="6">
        <v>95.15</v>
      </c>
      <c r="AH3352" s="6">
        <v>124.07</v>
      </c>
      <c r="AI3352" s="6">
        <f t="shared" si="104"/>
        <v>28.919999999999987</v>
      </c>
      <c r="AJ3352" s="5">
        <f t="shared" si="105"/>
        <v>0.23309422100427168</v>
      </c>
    </row>
    <row r="3353" spans="1:36">
      <c r="A3353" t="s">
        <v>261</v>
      </c>
      <c r="B3353" t="s">
        <v>3638</v>
      </c>
      <c r="C3353" t="s">
        <v>134</v>
      </c>
      <c r="D3353" t="s">
        <v>77</v>
      </c>
      <c r="E3353" t="s">
        <v>69</v>
      </c>
      <c r="F3353">
        <v>0</v>
      </c>
      <c r="G3353">
        <v>1134</v>
      </c>
      <c r="H3353">
        <v>1</v>
      </c>
      <c r="I3353" t="s">
        <v>178</v>
      </c>
      <c r="J3353">
        <v>4</v>
      </c>
      <c r="K3353" s="6">
        <v>16.84</v>
      </c>
      <c r="L3353" t="s">
        <v>174</v>
      </c>
      <c r="M3353">
        <v>0</v>
      </c>
      <c r="N3353" t="s">
        <v>175</v>
      </c>
      <c r="O3353">
        <v>1</v>
      </c>
      <c r="P3353">
        <v>0</v>
      </c>
      <c r="Q3353" s="6">
        <v>39.200000000000003</v>
      </c>
      <c r="R3353">
        <v>0</v>
      </c>
      <c r="S3353" s="6">
        <v>0</v>
      </c>
      <c r="T3353">
        <v>0</v>
      </c>
      <c r="U3353" s="6">
        <v>3150</v>
      </c>
      <c r="V3353">
        <v>0</v>
      </c>
      <c r="W3353">
        <v>0</v>
      </c>
      <c r="X3353">
        <v>0</v>
      </c>
      <c r="Y3353" s="6">
        <v>37.4</v>
      </c>
      <c r="Z3353">
        <v>0.158</v>
      </c>
      <c r="AA3353">
        <v>0.15</v>
      </c>
      <c r="AB3353">
        <v>4.7E-2</v>
      </c>
      <c r="AC3353">
        <v>5</v>
      </c>
      <c r="AD3353" s="6">
        <v>66</v>
      </c>
      <c r="AE3353" s="6">
        <v>0</v>
      </c>
      <c r="AF3353" s="6">
        <v>0</v>
      </c>
      <c r="AG3353" s="6">
        <v>121.59</v>
      </c>
      <c r="AH3353" s="6">
        <v>156.05000000000001</v>
      </c>
      <c r="AI3353" s="6">
        <f t="shared" si="104"/>
        <v>34.460000000000008</v>
      </c>
      <c r="AJ3353" s="5">
        <f t="shared" si="105"/>
        <v>0.22082665812239671</v>
      </c>
    </row>
    <row r="3354" spans="1:36">
      <c r="A3354" t="s">
        <v>279</v>
      </c>
      <c r="B3354" t="s">
        <v>3639</v>
      </c>
      <c r="C3354" t="s">
        <v>134</v>
      </c>
      <c r="D3354" t="s">
        <v>77</v>
      </c>
      <c r="E3354" t="s">
        <v>69</v>
      </c>
      <c r="F3354">
        <v>0</v>
      </c>
      <c r="G3354">
        <v>1134</v>
      </c>
      <c r="H3354">
        <v>1</v>
      </c>
      <c r="I3354" t="s">
        <v>220</v>
      </c>
      <c r="J3354">
        <v>2</v>
      </c>
      <c r="K3354" s="6">
        <v>5.46</v>
      </c>
      <c r="L3354" t="s">
        <v>174</v>
      </c>
      <c r="M3354">
        <v>0</v>
      </c>
      <c r="N3354" t="s">
        <v>182</v>
      </c>
      <c r="O3354">
        <v>3</v>
      </c>
      <c r="P3354">
        <v>0</v>
      </c>
      <c r="Q3354" s="6">
        <v>74.7</v>
      </c>
      <c r="R3354">
        <v>0</v>
      </c>
      <c r="S3354" s="6">
        <v>0</v>
      </c>
      <c r="T3354">
        <v>0</v>
      </c>
      <c r="U3354" s="6">
        <v>8163</v>
      </c>
      <c r="V3354">
        <v>0</v>
      </c>
      <c r="W3354">
        <v>0</v>
      </c>
      <c r="X3354">
        <v>0</v>
      </c>
      <c r="Y3354" s="6">
        <v>37.4</v>
      </c>
      <c r="Z3354">
        <v>0.158</v>
      </c>
      <c r="AA3354">
        <v>0.15</v>
      </c>
      <c r="AB3354">
        <v>4.7E-2</v>
      </c>
      <c r="AC3354">
        <v>5</v>
      </c>
      <c r="AD3354" s="6">
        <v>51</v>
      </c>
      <c r="AE3354" s="6">
        <v>0</v>
      </c>
      <c r="AF3354" s="6">
        <v>0</v>
      </c>
      <c r="AG3354" s="6">
        <v>68.09</v>
      </c>
      <c r="AH3354" s="6">
        <v>86.14</v>
      </c>
      <c r="AI3354" s="6">
        <f t="shared" si="104"/>
        <v>18.049999999999997</v>
      </c>
      <c r="AJ3354" s="5">
        <f t="shared" si="105"/>
        <v>0.20954260506152772</v>
      </c>
    </row>
    <row r="3355" spans="1:36">
      <c r="A3355" t="s">
        <v>258</v>
      </c>
      <c r="B3355" t="s">
        <v>3640</v>
      </c>
      <c r="C3355" t="s">
        <v>136</v>
      </c>
      <c r="D3355" t="s">
        <v>68</v>
      </c>
      <c r="E3355" t="s">
        <v>69</v>
      </c>
      <c r="F3355">
        <v>0</v>
      </c>
      <c r="G3355">
        <v>655</v>
      </c>
      <c r="H3355">
        <v>1</v>
      </c>
      <c r="I3355" t="s">
        <v>181</v>
      </c>
      <c r="J3355">
        <v>3</v>
      </c>
      <c r="K3355" s="6">
        <v>6.07</v>
      </c>
      <c r="L3355" t="s">
        <v>174</v>
      </c>
      <c r="M3355">
        <v>0</v>
      </c>
      <c r="N3355" t="s">
        <v>182</v>
      </c>
      <c r="O3355">
        <v>3</v>
      </c>
      <c r="P3355">
        <v>0</v>
      </c>
      <c r="Q3355" s="6">
        <v>123</v>
      </c>
      <c r="R3355">
        <v>0</v>
      </c>
      <c r="S3355" s="6">
        <v>0</v>
      </c>
      <c r="T3355">
        <v>0</v>
      </c>
      <c r="U3355" s="6">
        <v>4850</v>
      </c>
      <c r="V3355">
        <v>0</v>
      </c>
      <c r="W3355">
        <v>0</v>
      </c>
      <c r="X3355">
        <v>0</v>
      </c>
      <c r="Y3355" s="6">
        <v>39.299999999999997</v>
      </c>
      <c r="Z3355">
        <v>1.6E-2</v>
      </c>
      <c r="AA3355">
        <v>7.0000000000000007E-2</v>
      </c>
      <c r="AB3355">
        <v>4.8000000000000001E-2</v>
      </c>
      <c r="AC3355">
        <v>4</v>
      </c>
      <c r="AD3355" s="6">
        <v>105</v>
      </c>
      <c r="AE3355" s="6">
        <v>0</v>
      </c>
      <c r="AF3355" s="6">
        <v>0</v>
      </c>
      <c r="AG3355" s="6">
        <v>88.01</v>
      </c>
      <c r="AH3355" s="6">
        <v>110.32</v>
      </c>
      <c r="AI3355" s="6">
        <f t="shared" si="104"/>
        <v>22.309999999999988</v>
      </c>
      <c r="AJ3355" s="5">
        <f t="shared" si="105"/>
        <v>0.20222987672226242</v>
      </c>
    </row>
    <row r="3356" spans="1:36">
      <c r="A3356" t="s">
        <v>230</v>
      </c>
      <c r="B3356" t="s">
        <v>3641</v>
      </c>
      <c r="C3356" t="s">
        <v>136</v>
      </c>
      <c r="D3356" t="s">
        <v>68</v>
      </c>
      <c r="E3356" t="s">
        <v>69</v>
      </c>
      <c r="F3356">
        <v>0</v>
      </c>
      <c r="G3356">
        <v>655</v>
      </c>
      <c r="H3356">
        <v>1</v>
      </c>
      <c r="I3356" t="s">
        <v>173</v>
      </c>
      <c r="J3356">
        <v>1</v>
      </c>
      <c r="K3356" s="6">
        <v>1.69</v>
      </c>
      <c r="L3356" t="s">
        <v>174</v>
      </c>
      <c r="M3356">
        <v>0</v>
      </c>
      <c r="N3356" t="s">
        <v>175</v>
      </c>
      <c r="O3356">
        <v>1</v>
      </c>
      <c r="P3356">
        <v>0</v>
      </c>
      <c r="Q3356" s="6">
        <v>41</v>
      </c>
      <c r="R3356">
        <v>0</v>
      </c>
      <c r="S3356" s="6">
        <v>0</v>
      </c>
      <c r="T3356">
        <v>0</v>
      </c>
      <c r="U3356" s="6">
        <v>2851</v>
      </c>
      <c r="V3356">
        <v>0</v>
      </c>
      <c r="W3356">
        <v>0</v>
      </c>
      <c r="X3356">
        <v>0</v>
      </c>
      <c r="Y3356" s="6">
        <v>39.299999999999997</v>
      </c>
      <c r="Z3356">
        <v>1.6E-2</v>
      </c>
      <c r="AA3356">
        <v>7.0000000000000007E-2</v>
      </c>
      <c r="AB3356">
        <v>4.8000000000000001E-2</v>
      </c>
      <c r="AC3356">
        <v>4</v>
      </c>
      <c r="AD3356" s="6">
        <v>65</v>
      </c>
      <c r="AE3356" s="6">
        <v>0</v>
      </c>
      <c r="AF3356" s="6">
        <v>0</v>
      </c>
      <c r="AG3356" s="6">
        <v>57.45</v>
      </c>
      <c r="AH3356" s="6">
        <v>75.430000000000007</v>
      </c>
      <c r="AI3356" s="6">
        <f t="shared" si="104"/>
        <v>17.980000000000004</v>
      </c>
      <c r="AJ3356" s="5">
        <f t="shared" si="105"/>
        <v>0.23836669760042425</v>
      </c>
    </row>
    <row r="3357" spans="1:36">
      <c r="A3357" t="s">
        <v>693</v>
      </c>
      <c r="B3357" t="s">
        <v>3642</v>
      </c>
      <c r="C3357" t="s">
        <v>136</v>
      </c>
      <c r="D3357" t="s">
        <v>68</v>
      </c>
      <c r="E3357" t="s">
        <v>69</v>
      </c>
      <c r="F3357">
        <v>0</v>
      </c>
      <c r="G3357">
        <v>655</v>
      </c>
      <c r="H3357">
        <v>1</v>
      </c>
      <c r="I3357" t="s">
        <v>181</v>
      </c>
      <c r="J3357">
        <v>3</v>
      </c>
      <c r="K3357" s="6">
        <v>7.43</v>
      </c>
      <c r="L3357" t="s">
        <v>174</v>
      </c>
      <c r="M3357">
        <v>0</v>
      </c>
      <c r="N3357" t="s">
        <v>175</v>
      </c>
      <c r="O3357">
        <v>1</v>
      </c>
      <c r="P3357">
        <v>0</v>
      </c>
      <c r="Q3357" s="6">
        <v>48.9</v>
      </c>
      <c r="R3357">
        <v>0</v>
      </c>
      <c r="S3357" s="6">
        <v>0</v>
      </c>
      <c r="T3357">
        <v>0</v>
      </c>
      <c r="U3357" s="6">
        <v>4638</v>
      </c>
      <c r="V3357">
        <v>0</v>
      </c>
      <c r="W3357">
        <v>0</v>
      </c>
      <c r="X3357">
        <v>0</v>
      </c>
      <c r="Y3357" s="6">
        <v>39.299999999999997</v>
      </c>
      <c r="Z3357">
        <v>1.6E-2</v>
      </c>
      <c r="AA3357">
        <v>7.0000000000000007E-2</v>
      </c>
      <c r="AB3357">
        <v>4.8000000000000001E-2</v>
      </c>
      <c r="AC3357">
        <v>4</v>
      </c>
      <c r="AD3357" s="6">
        <v>105</v>
      </c>
      <c r="AE3357" s="6">
        <v>0</v>
      </c>
      <c r="AF3357" s="6">
        <v>0</v>
      </c>
      <c r="AG3357" s="6">
        <v>88.12</v>
      </c>
      <c r="AH3357" s="6">
        <v>114.46</v>
      </c>
      <c r="AI3357" s="6">
        <f t="shared" si="104"/>
        <v>26.339999999999989</v>
      </c>
      <c r="AJ3357" s="5">
        <f t="shared" si="105"/>
        <v>0.23012406080726883</v>
      </c>
    </row>
    <row r="3358" spans="1:36">
      <c r="A3358" t="s">
        <v>343</v>
      </c>
      <c r="B3358" t="s">
        <v>3643</v>
      </c>
      <c r="C3358" t="s">
        <v>136</v>
      </c>
      <c r="D3358" t="s">
        <v>68</v>
      </c>
      <c r="E3358" t="s">
        <v>69</v>
      </c>
      <c r="F3358">
        <v>0</v>
      </c>
      <c r="G3358">
        <v>655</v>
      </c>
      <c r="H3358">
        <v>1</v>
      </c>
      <c r="I3358" t="s">
        <v>181</v>
      </c>
      <c r="J3358">
        <v>3</v>
      </c>
      <c r="K3358" s="6">
        <v>8.19</v>
      </c>
      <c r="L3358" t="s">
        <v>174</v>
      </c>
      <c r="M3358">
        <v>0</v>
      </c>
      <c r="N3358" t="s">
        <v>187</v>
      </c>
      <c r="O3358">
        <v>2</v>
      </c>
      <c r="P3358">
        <v>0</v>
      </c>
      <c r="Q3358" s="6">
        <v>49</v>
      </c>
      <c r="R3358">
        <v>0</v>
      </c>
      <c r="S3358" s="6">
        <v>0</v>
      </c>
      <c r="T3358">
        <v>0</v>
      </c>
      <c r="U3358" s="6">
        <v>4988</v>
      </c>
      <c r="V3358">
        <v>0</v>
      </c>
      <c r="W3358">
        <v>0</v>
      </c>
      <c r="X3358">
        <v>0</v>
      </c>
      <c r="Y3358" s="6">
        <v>39.299999999999997</v>
      </c>
      <c r="Z3358">
        <v>1.6E-2</v>
      </c>
      <c r="AA3358">
        <v>7.0000000000000007E-2</v>
      </c>
      <c r="AB3358">
        <v>4.8000000000000001E-2</v>
      </c>
      <c r="AC3358">
        <v>4</v>
      </c>
      <c r="AD3358" s="6">
        <v>105</v>
      </c>
      <c r="AE3358" s="6">
        <v>0</v>
      </c>
      <c r="AF3358" s="6">
        <v>0</v>
      </c>
      <c r="AG3358" s="6">
        <v>101.93</v>
      </c>
      <c r="AH3358" s="6">
        <v>131.04</v>
      </c>
      <c r="AI3358" s="6">
        <f t="shared" si="104"/>
        <v>29.109999999999985</v>
      </c>
      <c r="AJ3358" s="5">
        <f t="shared" si="105"/>
        <v>0.22214590964590955</v>
      </c>
    </row>
    <row r="3359" spans="1:36">
      <c r="A3359" t="s">
        <v>179</v>
      </c>
      <c r="B3359" t="s">
        <v>3644</v>
      </c>
      <c r="C3359" t="s">
        <v>136</v>
      </c>
      <c r="D3359" t="s">
        <v>68</v>
      </c>
      <c r="E3359" t="s">
        <v>69</v>
      </c>
      <c r="F3359">
        <v>0</v>
      </c>
      <c r="G3359">
        <v>655</v>
      </c>
      <c r="H3359">
        <v>1</v>
      </c>
      <c r="I3359" t="s">
        <v>181</v>
      </c>
      <c r="J3359">
        <v>3</v>
      </c>
      <c r="K3359" s="6">
        <v>6.5</v>
      </c>
      <c r="L3359" t="s">
        <v>174</v>
      </c>
      <c r="M3359">
        <v>0</v>
      </c>
      <c r="N3359" t="s">
        <v>272</v>
      </c>
      <c r="O3359">
        <v>5</v>
      </c>
      <c r="P3359">
        <v>1</v>
      </c>
      <c r="Q3359" s="6">
        <v>271</v>
      </c>
      <c r="R3359">
        <v>0</v>
      </c>
      <c r="S3359" s="6">
        <v>0</v>
      </c>
      <c r="T3359">
        <v>0</v>
      </c>
      <c r="U3359" s="6">
        <v>5952</v>
      </c>
      <c r="V3359">
        <v>0</v>
      </c>
      <c r="W3359">
        <v>0</v>
      </c>
      <c r="X3359">
        <v>0</v>
      </c>
      <c r="Y3359" s="6">
        <v>39.299999999999997</v>
      </c>
      <c r="Z3359">
        <v>1.6E-2</v>
      </c>
      <c r="AA3359">
        <v>7.0000000000000007E-2</v>
      </c>
      <c r="AB3359">
        <v>4.8000000000000001E-2</v>
      </c>
      <c r="AC3359">
        <v>4</v>
      </c>
      <c r="AD3359" s="6">
        <v>195</v>
      </c>
      <c r="AE3359" s="6">
        <v>0</v>
      </c>
      <c r="AF3359" s="6">
        <v>0</v>
      </c>
      <c r="AG3359" s="6">
        <v>176.4</v>
      </c>
      <c r="AH3359" s="6">
        <v>224.09</v>
      </c>
      <c r="AI3359" s="6">
        <f t="shared" si="104"/>
        <v>47.69</v>
      </c>
      <c r="AJ3359" s="5">
        <f t="shared" si="105"/>
        <v>0.21281627917354634</v>
      </c>
    </row>
    <row r="3360" spans="1:36">
      <c r="A3360" t="s">
        <v>253</v>
      </c>
      <c r="B3360" t="s">
        <v>3645</v>
      </c>
      <c r="C3360" t="s">
        <v>136</v>
      </c>
      <c r="D3360" t="s">
        <v>68</v>
      </c>
      <c r="E3360" t="s">
        <v>69</v>
      </c>
      <c r="F3360">
        <v>0</v>
      </c>
      <c r="G3360">
        <v>655</v>
      </c>
      <c r="H3360">
        <v>1</v>
      </c>
      <c r="I3360" t="s">
        <v>181</v>
      </c>
      <c r="J3360">
        <v>3</v>
      </c>
      <c r="K3360" s="6">
        <v>7.55</v>
      </c>
      <c r="L3360" t="s">
        <v>174</v>
      </c>
      <c r="M3360">
        <v>0</v>
      </c>
      <c r="N3360" t="s">
        <v>175</v>
      </c>
      <c r="O3360">
        <v>1</v>
      </c>
      <c r="P3360">
        <v>1</v>
      </c>
      <c r="Q3360" s="6">
        <v>34.299999999999997</v>
      </c>
      <c r="R3360">
        <v>0</v>
      </c>
      <c r="S3360" s="6">
        <v>0</v>
      </c>
      <c r="T3360">
        <v>0</v>
      </c>
      <c r="U3360" s="6">
        <v>4650</v>
      </c>
      <c r="V3360">
        <v>0</v>
      </c>
      <c r="W3360">
        <v>0</v>
      </c>
      <c r="X3360">
        <v>0</v>
      </c>
      <c r="Y3360" s="6">
        <v>39.299999999999997</v>
      </c>
      <c r="Z3360">
        <v>1.6E-2</v>
      </c>
      <c r="AA3360">
        <v>7.0000000000000007E-2</v>
      </c>
      <c r="AB3360">
        <v>4.8000000000000001E-2</v>
      </c>
      <c r="AC3360">
        <v>4</v>
      </c>
      <c r="AD3360" s="6">
        <v>105</v>
      </c>
      <c r="AE3360" s="6">
        <v>0</v>
      </c>
      <c r="AF3360" s="6">
        <v>0</v>
      </c>
      <c r="AG3360" s="6">
        <v>104.74</v>
      </c>
      <c r="AH3360" s="6">
        <v>132.35</v>
      </c>
      <c r="AI3360" s="6">
        <f t="shared" si="104"/>
        <v>27.61</v>
      </c>
      <c r="AJ3360" s="5">
        <f t="shared" si="105"/>
        <v>0.20861352474499434</v>
      </c>
    </row>
    <row r="3361" spans="1:36">
      <c r="A3361" t="s">
        <v>436</v>
      </c>
      <c r="B3361" t="s">
        <v>3646</v>
      </c>
      <c r="C3361" t="s">
        <v>136</v>
      </c>
      <c r="D3361" t="s">
        <v>68</v>
      </c>
      <c r="E3361" t="s">
        <v>69</v>
      </c>
      <c r="F3361">
        <v>0</v>
      </c>
      <c r="G3361">
        <v>655</v>
      </c>
      <c r="H3361">
        <v>1</v>
      </c>
      <c r="I3361" t="s">
        <v>181</v>
      </c>
      <c r="J3361">
        <v>3</v>
      </c>
      <c r="K3361" s="6">
        <v>3.92</v>
      </c>
      <c r="L3361" t="s">
        <v>174</v>
      </c>
      <c r="M3361">
        <v>0</v>
      </c>
      <c r="N3361" t="s">
        <v>175</v>
      </c>
      <c r="O3361">
        <v>1</v>
      </c>
      <c r="P3361">
        <v>0</v>
      </c>
      <c r="Q3361" s="6">
        <v>57.2</v>
      </c>
      <c r="R3361">
        <v>0</v>
      </c>
      <c r="S3361" s="6">
        <v>0</v>
      </c>
      <c r="T3361">
        <v>0</v>
      </c>
      <c r="U3361" s="6">
        <v>5356</v>
      </c>
      <c r="V3361">
        <v>0</v>
      </c>
      <c r="W3361">
        <v>0</v>
      </c>
      <c r="X3361">
        <v>0</v>
      </c>
      <c r="Y3361" s="6">
        <v>39.299999999999997</v>
      </c>
      <c r="Z3361">
        <v>1.6E-2</v>
      </c>
      <c r="AA3361">
        <v>7.0000000000000007E-2</v>
      </c>
      <c r="AB3361">
        <v>4.8000000000000001E-2</v>
      </c>
      <c r="AC3361">
        <v>4</v>
      </c>
      <c r="AD3361" s="6">
        <v>105</v>
      </c>
      <c r="AE3361" s="6">
        <v>0</v>
      </c>
      <c r="AF3361" s="6">
        <v>0</v>
      </c>
      <c r="AG3361" s="6">
        <v>87.09</v>
      </c>
      <c r="AH3361" s="6">
        <v>112.71</v>
      </c>
      <c r="AI3361" s="6">
        <f t="shared" si="104"/>
        <v>25.61999999999999</v>
      </c>
      <c r="AJ3361" s="5">
        <f t="shared" si="105"/>
        <v>0.22730902315677395</v>
      </c>
    </row>
    <row r="3362" spans="1:36">
      <c r="A3362" t="s">
        <v>210</v>
      </c>
      <c r="B3362" t="s">
        <v>3647</v>
      </c>
      <c r="C3362" t="s">
        <v>136</v>
      </c>
      <c r="D3362" t="s">
        <v>68</v>
      </c>
      <c r="E3362" t="s">
        <v>69</v>
      </c>
      <c r="F3362">
        <v>0</v>
      </c>
      <c r="G3362">
        <v>655</v>
      </c>
      <c r="H3362">
        <v>1</v>
      </c>
      <c r="I3362" t="s">
        <v>173</v>
      </c>
      <c r="J3362">
        <v>1</v>
      </c>
      <c r="K3362" s="6">
        <v>2.11</v>
      </c>
      <c r="L3362" t="s">
        <v>174</v>
      </c>
      <c r="M3362">
        <v>0</v>
      </c>
      <c r="N3362" t="s">
        <v>187</v>
      </c>
      <c r="O3362">
        <v>2</v>
      </c>
      <c r="P3362">
        <v>0</v>
      </c>
      <c r="Q3362" s="6">
        <v>72.099999999999994</v>
      </c>
      <c r="R3362">
        <v>0</v>
      </c>
      <c r="S3362" s="6">
        <v>0</v>
      </c>
      <c r="T3362">
        <v>0</v>
      </c>
      <c r="U3362" s="6">
        <v>2398</v>
      </c>
      <c r="V3362">
        <v>1</v>
      </c>
      <c r="W3362">
        <v>0</v>
      </c>
      <c r="X3362">
        <v>0</v>
      </c>
      <c r="Y3362" s="6">
        <v>39.299999999999997</v>
      </c>
      <c r="Z3362">
        <v>1.6E-2</v>
      </c>
      <c r="AA3362">
        <v>7.0000000000000007E-2</v>
      </c>
      <c r="AB3362">
        <v>4.8000000000000001E-2</v>
      </c>
      <c r="AC3362">
        <v>4</v>
      </c>
      <c r="AD3362" s="6">
        <v>65</v>
      </c>
      <c r="AE3362" s="6">
        <v>0</v>
      </c>
      <c r="AF3362" s="6">
        <v>0</v>
      </c>
      <c r="AG3362" s="6">
        <v>101.05</v>
      </c>
      <c r="AH3362" s="6">
        <v>128.56</v>
      </c>
      <c r="AI3362" s="6">
        <f t="shared" si="104"/>
        <v>27.510000000000005</v>
      </c>
      <c r="AJ3362" s="5">
        <f t="shared" si="105"/>
        <v>0.21398568761667708</v>
      </c>
    </row>
    <row r="3363" spans="1:36">
      <c r="A3363" t="s">
        <v>303</v>
      </c>
      <c r="B3363" t="s">
        <v>3648</v>
      </c>
      <c r="C3363" t="s">
        <v>136</v>
      </c>
      <c r="D3363" t="s">
        <v>68</v>
      </c>
      <c r="E3363" t="s">
        <v>69</v>
      </c>
      <c r="F3363">
        <v>0</v>
      </c>
      <c r="G3363">
        <v>655</v>
      </c>
      <c r="H3363">
        <v>1</v>
      </c>
      <c r="I3363" t="s">
        <v>173</v>
      </c>
      <c r="J3363">
        <v>1</v>
      </c>
      <c r="K3363" s="6">
        <v>1.35</v>
      </c>
      <c r="L3363" t="s">
        <v>174</v>
      </c>
      <c r="M3363">
        <v>0</v>
      </c>
      <c r="N3363" t="s">
        <v>187</v>
      </c>
      <c r="O3363">
        <v>2</v>
      </c>
      <c r="P3363">
        <v>0</v>
      </c>
      <c r="Q3363" s="6">
        <v>84</v>
      </c>
      <c r="R3363">
        <v>0</v>
      </c>
      <c r="S3363" s="6">
        <v>0</v>
      </c>
      <c r="T3363">
        <v>0</v>
      </c>
      <c r="U3363" s="6">
        <v>3466</v>
      </c>
      <c r="V3363">
        <v>0</v>
      </c>
      <c r="W3363">
        <v>0</v>
      </c>
      <c r="X3363">
        <v>0</v>
      </c>
      <c r="Y3363" s="6">
        <v>39.299999999999997</v>
      </c>
      <c r="Z3363">
        <v>1.6E-2</v>
      </c>
      <c r="AA3363">
        <v>7.0000000000000007E-2</v>
      </c>
      <c r="AB3363">
        <v>4.8000000000000001E-2</v>
      </c>
      <c r="AC3363">
        <v>4</v>
      </c>
      <c r="AD3363" s="6">
        <v>65</v>
      </c>
      <c r="AE3363" s="6">
        <v>0</v>
      </c>
      <c r="AF3363" s="6">
        <v>0</v>
      </c>
      <c r="AG3363" s="6">
        <v>70.150000000000006</v>
      </c>
      <c r="AH3363" s="6">
        <v>88.27</v>
      </c>
      <c r="AI3363" s="6">
        <f t="shared" si="104"/>
        <v>18.11999999999999</v>
      </c>
      <c r="AJ3363" s="5">
        <f t="shared" si="105"/>
        <v>0.20527925682564849</v>
      </c>
    </row>
    <row r="3364" spans="1:36">
      <c r="A3364" t="s">
        <v>298</v>
      </c>
      <c r="B3364" t="s">
        <v>3649</v>
      </c>
      <c r="C3364" t="s">
        <v>136</v>
      </c>
      <c r="D3364" t="s">
        <v>68</v>
      </c>
      <c r="E3364" t="s">
        <v>69</v>
      </c>
      <c r="F3364">
        <v>0</v>
      </c>
      <c r="G3364">
        <v>655</v>
      </c>
      <c r="H3364">
        <v>1</v>
      </c>
      <c r="I3364" t="s">
        <v>220</v>
      </c>
      <c r="J3364">
        <v>2</v>
      </c>
      <c r="K3364" s="6">
        <v>5.32</v>
      </c>
      <c r="L3364" t="s">
        <v>174</v>
      </c>
      <c r="M3364">
        <v>0</v>
      </c>
      <c r="N3364" t="s">
        <v>187</v>
      </c>
      <c r="O3364">
        <v>2</v>
      </c>
      <c r="P3364">
        <v>0</v>
      </c>
      <c r="Q3364" s="6">
        <v>34.9</v>
      </c>
      <c r="R3364">
        <v>0</v>
      </c>
      <c r="S3364" s="6">
        <v>0</v>
      </c>
      <c r="T3364">
        <v>0</v>
      </c>
      <c r="U3364" s="6">
        <v>6363</v>
      </c>
      <c r="V3364">
        <v>0</v>
      </c>
      <c r="W3364">
        <v>0</v>
      </c>
      <c r="X3364">
        <v>0</v>
      </c>
      <c r="Y3364" s="6">
        <v>39.299999999999997</v>
      </c>
      <c r="Z3364">
        <v>1.6E-2</v>
      </c>
      <c r="AA3364">
        <v>7.0000000000000007E-2</v>
      </c>
      <c r="AB3364">
        <v>4.8000000000000001E-2</v>
      </c>
      <c r="AC3364">
        <v>4</v>
      </c>
      <c r="AD3364" s="6">
        <v>70</v>
      </c>
      <c r="AE3364" s="6">
        <v>0</v>
      </c>
      <c r="AF3364" s="6">
        <v>0</v>
      </c>
      <c r="AG3364" s="6">
        <v>74.19</v>
      </c>
      <c r="AH3364" s="6">
        <v>97.19</v>
      </c>
      <c r="AI3364" s="6">
        <f t="shared" si="104"/>
        <v>23</v>
      </c>
      <c r="AJ3364" s="5">
        <f t="shared" si="105"/>
        <v>0.23664986109682068</v>
      </c>
    </row>
    <row r="3365" spans="1:36">
      <c r="A3365" t="s">
        <v>288</v>
      </c>
      <c r="B3365" t="s">
        <v>3650</v>
      </c>
      <c r="C3365" t="s">
        <v>136</v>
      </c>
      <c r="D3365" t="s">
        <v>68</v>
      </c>
      <c r="E3365" t="s">
        <v>69</v>
      </c>
      <c r="F3365">
        <v>0</v>
      </c>
      <c r="G3365">
        <v>655</v>
      </c>
      <c r="H3365">
        <v>1</v>
      </c>
      <c r="I3365" t="s">
        <v>181</v>
      </c>
      <c r="J3365">
        <v>3</v>
      </c>
      <c r="K3365" s="6">
        <v>7.84</v>
      </c>
      <c r="L3365" t="s">
        <v>174</v>
      </c>
      <c r="M3365">
        <v>0</v>
      </c>
      <c r="N3365" t="s">
        <v>175</v>
      </c>
      <c r="O3365">
        <v>1</v>
      </c>
      <c r="P3365">
        <v>0</v>
      </c>
      <c r="Q3365" s="6">
        <v>41.9</v>
      </c>
      <c r="R3365">
        <v>0</v>
      </c>
      <c r="S3365" s="6">
        <v>0</v>
      </c>
      <c r="T3365">
        <v>0</v>
      </c>
      <c r="U3365" s="6">
        <v>4420</v>
      </c>
      <c r="V3365">
        <v>0</v>
      </c>
      <c r="W3365">
        <v>0</v>
      </c>
      <c r="X3365">
        <v>0</v>
      </c>
      <c r="Y3365" s="6">
        <v>39.299999999999997</v>
      </c>
      <c r="Z3365">
        <v>1.6E-2</v>
      </c>
      <c r="AA3365">
        <v>7.0000000000000007E-2</v>
      </c>
      <c r="AB3365">
        <v>4.8000000000000001E-2</v>
      </c>
      <c r="AC3365">
        <v>4</v>
      </c>
      <c r="AD3365" s="6">
        <v>105</v>
      </c>
      <c r="AE3365" s="6">
        <v>0</v>
      </c>
      <c r="AF3365" s="6">
        <v>0</v>
      </c>
      <c r="AG3365" s="6">
        <v>81.12</v>
      </c>
      <c r="AH3365" s="6">
        <v>107.34</v>
      </c>
      <c r="AI3365" s="6">
        <f t="shared" si="104"/>
        <v>26.22</v>
      </c>
      <c r="AJ3365" s="5">
        <f t="shared" si="105"/>
        <v>0.24427054220234767</v>
      </c>
    </row>
    <row r="3366" spans="1:36">
      <c r="A3366" t="s">
        <v>330</v>
      </c>
      <c r="B3366" t="s">
        <v>3651</v>
      </c>
      <c r="C3366" t="s">
        <v>136</v>
      </c>
      <c r="D3366" t="s">
        <v>68</v>
      </c>
      <c r="E3366" t="s">
        <v>69</v>
      </c>
      <c r="F3366">
        <v>0</v>
      </c>
      <c r="G3366">
        <v>655</v>
      </c>
      <c r="H3366">
        <v>1</v>
      </c>
      <c r="I3366" t="s">
        <v>181</v>
      </c>
      <c r="J3366">
        <v>3</v>
      </c>
      <c r="K3366" s="6">
        <v>5.53</v>
      </c>
      <c r="L3366" t="s">
        <v>174</v>
      </c>
      <c r="M3366">
        <v>0</v>
      </c>
      <c r="N3366" t="s">
        <v>175</v>
      </c>
      <c r="O3366">
        <v>1</v>
      </c>
      <c r="P3366">
        <v>0</v>
      </c>
      <c r="Q3366" s="6">
        <v>34.4</v>
      </c>
      <c r="R3366">
        <v>0</v>
      </c>
      <c r="S3366" s="6">
        <v>0</v>
      </c>
      <c r="T3366">
        <v>0</v>
      </c>
      <c r="U3366" s="6">
        <v>2721</v>
      </c>
      <c r="V3366">
        <v>1</v>
      </c>
      <c r="W3366">
        <v>0</v>
      </c>
      <c r="X3366">
        <v>0</v>
      </c>
      <c r="Y3366" s="6">
        <v>39.299999999999997</v>
      </c>
      <c r="Z3366">
        <v>1.6E-2</v>
      </c>
      <c r="AA3366">
        <v>7.0000000000000007E-2</v>
      </c>
      <c r="AB3366">
        <v>4.8000000000000001E-2</v>
      </c>
      <c r="AC3366">
        <v>4</v>
      </c>
      <c r="AD3366" s="6">
        <v>105</v>
      </c>
      <c r="AE3366" s="6">
        <v>0</v>
      </c>
      <c r="AF3366" s="6">
        <v>0</v>
      </c>
      <c r="AG3366" s="6">
        <v>118.2</v>
      </c>
      <c r="AH3366" s="6">
        <v>149.81</v>
      </c>
      <c r="AI3366" s="6">
        <f t="shared" si="104"/>
        <v>31.61</v>
      </c>
      <c r="AJ3366" s="5">
        <f t="shared" si="105"/>
        <v>0.21100060076096389</v>
      </c>
    </row>
    <row r="3367" spans="1:36">
      <c r="A3367" t="s">
        <v>517</v>
      </c>
      <c r="B3367" t="s">
        <v>3652</v>
      </c>
      <c r="C3367" t="s">
        <v>136</v>
      </c>
      <c r="D3367" t="s">
        <v>68</v>
      </c>
      <c r="E3367" t="s">
        <v>69</v>
      </c>
      <c r="F3367">
        <v>0</v>
      </c>
      <c r="G3367">
        <v>655</v>
      </c>
      <c r="H3367">
        <v>1</v>
      </c>
      <c r="I3367" t="s">
        <v>181</v>
      </c>
      <c r="J3367">
        <v>3</v>
      </c>
      <c r="K3367" s="6">
        <v>7.58</v>
      </c>
      <c r="L3367" t="s">
        <v>174</v>
      </c>
      <c r="M3367">
        <v>0</v>
      </c>
      <c r="N3367" t="s">
        <v>187</v>
      </c>
      <c r="O3367">
        <v>2</v>
      </c>
      <c r="P3367">
        <v>0</v>
      </c>
      <c r="Q3367" s="6">
        <v>49.9</v>
      </c>
      <c r="R3367">
        <v>0</v>
      </c>
      <c r="S3367" s="6">
        <v>0</v>
      </c>
      <c r="T3367">
        <v>0</v>
      </c>
      <c r="U3367" s="6">
        <v>8945</v>
      </c>
      <c r="V3367">
        <v>0</v>
      </c>
      <c r="W3367">
        <v>0</v>
      </c>
      <c r="X3367">
        <v>0</v>
      </c>
      <c r="Y3367" s="6">
        <v>39.299999999999997</v>
      </c>
      <c r="Z3367">
        <v>1.6E-2</v>
      </c>
      <c r="AA3367">
        <v>7.0000000000000007E-2</v>
      </c>
      <c r="AB3367">
        <v>4.8000000000000001E-2</v>
      </c>
      <c r="AC3367">
        <v>4</v>
      </c>
      <c r="AD3367" s="6">
        <v>105</v>
      </c>
      <c r="AE3367" s="6">
        <v>0</v>
      </c>
      <c r="AF3367" s="6">
        <v>0</v>
      </c>
      <c r="AG3367" s="6">
        <v>82.33</v>
      </c>
      <c r="AH3367" s="6">
        <v>107.65</v>
      </c>
      <c r="AI3367" s="6">
        <f t="shared" si="104"/>
        <v>25.320000000000007</v>
      </c>
      <c r="AJ3367" s="5">
        <f t="shared" si="105"/>
        <v>0.23520668834184863</v>
      </c>
    </row>
    <row r="3368" spans="1:36">
      <c r="A3368" t="s">
        <v>343</v>
      </c>
      <c r="B3368" t="s">
        <v>3653</v>
      </c>
      <c r="C3368" t="s">
        <v>136</v>
      </c>
      <c r="D3368" t="s">
        <v>68</v>
      </c>
      <c r="E3368" t="s">
        <v>69</v>
      </c>
      <c r="F3368">
        <v>0</v>
      </c>
      <c r="G3368">
        <v>655</v>
      </c>
      <c r="H3368">
        <v>1</v>
      </c>
      <c r="I3368" t="s">
        <v>220</v>
      </c>
      <c r="J3368">
        <v>2</v>
      </c>
      <c r="K3368" s="6">
        <v>2.0299999999999998</v>
      </c>
      <c r="L3368" t="s">
        <v>174</v>
      </c>
      <c r="M3368">
        <v>0</v>
      </c>
      <c r="N3368" t="s">
        <v>182</v>
      </c>
      <c r="O3368">
        <v>3</v>
      </c>
      <c r="P3368">
        <v>0</v>
      </c>
      <c r="Q3368" s="6">
        <v>102.2</v>
      </c>
      <c r="R3368">
        <v>0</v>
      </c>
      <c r="S3368" s="6">
        <v>0</v>
      </c>
      <c r="T3368">
        <v>0</v>
      </c>
      <c r="U3368" s="6">
        <v>1465</v>
      </c>
      <c r="V3368">
        <v>0</v>
      </c>
      <c r="W3368">
        <v>0</v>
      </c>
      <c r="X3368">
        <v>0</v>
      </c>
      <c r="Y3368" s="6">
        <v>39.299999999999997</v>
      </c>
      <c r="Z3368">
        <v>1.6E-2</v>
      </c>
      <c r="AA3368">
        <v>7.0000000000000007E-2</v>
      </c>
      <c r="AB3368">
        <v>4.8000000000000001E-2</v>
      </c>
      <c r="AC3368">
        <v>4</v>
      </c>
      <c r="AD3368" s="6">
        <v>70</v>
      </c>
      <c r="AE3368" s="6">
        <v>0</v>
      </c>
      <c r="AF3368" s="6">
        <v>0</v>
      </c>
      <c r="AG3368" s="6">
        <v>70.180000000000007</v>
      </c>
      <c r="AH3368" s="6">
        <v>90.57</v>
      </c>
      <c r="AI3368" s="6">
        <f t="shared" si="104"/>
        <v>20.389999999999986</v>
      </c>
      <c r="AJ3368" s="5">
        <f t="shared" si="105"/>
        <v>0.22512973390747476</v>
      </c>
    </row>
    <row r="3369" spans="1:36">
      <c r="A3369" t="s">
        <v>286</v>
      </c>
      <c r="B3369" t="s">
        <v>3654</v>
      </c>
      <c r="C3369" t="s">
        <v>136</v>
      </c>
      <c r="D3369" t="s">
        <v>68</v>
      </c>
      <c r="E3369" t="s">
        <v>69</v>
      </c>
      <c r="F3369">
        <v>0</v>
      </c>
      <c r="G3369">
        <v>655</v>
      </c>
      <c r="H3369">
        <v>1</v>
      </c>
      <c r="I3369" t="s">
        <v>220</v>
      </c>
      <c r="J3369">
        <v>2</v>
      </c>
      <c r="K3369" s="6">
        <v>3.39</v>
      </c>
      <c r="L3369" t="s">
        <v>174</v>
      </c>
      <c r="M3369">
        <v>0</v>
      </c>
      <c r="N3369" t="s">
        <v>182</v>
      </c>
      <c r="O3369">
        <v>3</v>
      </c>
      <c r="P3369">
        <v>0</v>
      </c>
      <c r="Q3369" s="6">
        <v>129.9</v>
      </c>
      <c r="R3369">
        <v>0</v>
      </c>
      <c r="S3369" s="6">
        <v>0</v>
      </c>
      <c r="T3369">
        <v>0</v>
      </c>
      <c r="U3369" s="6">
        <v>1564</v>
      </c>
      <c r="V3369">
        <v>0</v>
      </c>
      <c r="W3369">
        <v>0</v>
      </c>
      <c r="X3369">
        <v>0</v>
      </c>
      <c r="Y3369" s="6">
        <v>39.299999999999997</v>
      </c>
      <c r="Z3369">
        <v>1.6E-2</v>
      </c>
      <c r="AA3369">
        <v>7.0000000000000007E-2</v>
      </c>
      <c r="AB3369">
        <v>4.8000000000000001E-2</v>
      </c>
      <c r="AC3369">
        <v>4</v>
      </c>
      <c r="AD3369" s="6">
        <v>70</v>
      </c>
      <c r="AE3369" s="6">
        <v>0</v>
      </c>
      <c r="AF3369" s="6">
        <v>0</v>
      </c>
      <c r="AG3369" s="6">
        <v>73.5</v>
      </c>
      <c r="AH3369" s="6">
        <v>96.79</v>
      </c>
      <c r="AI3369" s="6">
        <f t="shared" si="104"/>
        <v>23.290000000000006</v>
      </c>
      <c r="AJ3369" s="5">
        <f t="shared" si="105"/>
        <v>0.24062403140820338</v>
      </c>
    </row>
    <row r="3370" spans="1:36">
      <c r="A3370" t="s">
        <v>176</v>
      </c>
      <c r="B3370" t="s">
        <v>3655</v>
      </c>
      <c r="C3370" t="s">
        <v>136</v>
      </c>
      <c r="D3370" t="s">
        <v>68</v>
      </c>
      <c r="E3370" t="s">
        <v>69</v>
      </c>
      <c r="F3370">
        <v>0</v>
      </c>
      <c r="G3370">
        <v>655</v>
      </c>
      <c r="H3370">
        <v>1</v>
      </c>
      <c r="I3370" t="s">
        <v>220</v>
      </c>
      <c r="J3370">
        <v>2</v>
      </c>
      <c r="K3370" s="6">
        <v>4.71</v>
      </c>
      <c r="L3370" t="s">
        <v>174</v>
      </c>
      <c r="M3370">
        <v>0</v>
      </c>
      <c r="N3370" t="s">
        <v>187</v>
      </c>
      <c r="O3370">
        <v>2</v>
      </c>
      <c r="P3370">
        <v>0</v>
      </c>
      <c r="Q3370" s="6">
        <v>40.799999999999997</v>
      </c>
      <c r="R3370">
        <v>0</v>
      </c>
      <c r="S3370" s="6">
        <v>0</v>
      </c>
      <c r="T3370">
        <v>0</v>
      </c>
      <c r="U3370" s="6">
        <v>7397</v>
      </c>
      <c r="V3370">
        <v>0</v>
      </c>
      <c r="W3370">
        <v>0</v>
      </c>
      <c r="X3370">
        <v>0</v>
      </c>
      <c r="Y3370" s="6">
        <v>39.299999999999997</v>
      </c>
      <c r="Z3370">
        <v>1.6E-2</v>
      </c>
      <c r="AA3370">
        <v>7.0000000000000007E-2</v>
      </c>
      <c r="AB3370">
        <v>4.8000000000000001E-2</v>
      </c>
      <c r="AC3370">
        <v>4</v>
      </c>
      <c r="AD3370" s="6">
        <v>70</v>
      </c>
      <c r="AE3370" s="6">
        <v>0</v>
      </c>
      <c r="AF3370" s="6">
        <v>0</v>
      </c>
      <c r="AG3370" s="6">
        <v>65.739999999999995</v>
      </c>
      <c r="AH3370" s="6">
        <v>86.64</v>
      </c>
      <c r="AI3370" s="6">
        <f t="shared" si="104"/>
        <v>20.900000000000006</v>
      </c>
      <c r="AJ3370" s="5">
        <f t="shared" si="105"/>
        <v>0.24122807017543865</v>
      </c>
    </row>
    <row r="3371" spans="1:36">
      <c r="A3371" t="s">
        <v>365</v>
      </c>
      <c r="B3371" t="s">
        <v>3656</v>
      </c>
      <c r="C3371" t="s">
        <v>136</v>
      </c>
      <c r="D3371" t="s">
        <v>68</v>
      </c>
      <c r="E3371" t="s">
        <v>69</v>
      </c>
      <c r="F3371">
        <v>0</v>
      </c>
      <c r="G3371">
        <v>655</v>
      </c>
      <c r="H3371">
        <v>1</v>
      </c>
      <c r="I3371" t="s">
        <v>220</v>
      </c>
      <c r="J3371">
        <v>2</v>
      </c>
      <c r="K3371" s="6">
        <v>4.7300000000000004</v>
      </c>
      <c r="L3371" t="s">
        <v>174</v>
      </c>
      <c r="M3371">
        <v>0</v>
      </c>
      <c r="N3371" t="s">
        <v>175</v>
      </c>
      <c r="O3371">
        <v>1</v>
      </c>
      <c r="P3371">
        <v>0</v>
      </c>
      <c r="Q3371" s="6">
        <v>41.5</v>
      </c>
      <c r="R3371">
        <v>0</v>
      </c>
      <c r="S3371" s="6">
        <v>0</v>
      </c>
      <c r="T3371">
        <v>0</v>
      </c>
      <c r="U3371" s="6">
        <v>6574</v>
      </c>
      <c r="V3371">
        <v>0</v>
      </c>
      <c r="W3371">
        <v>0</v>
      </c>
      <c r="X3371">
        <v>0</v>
      </c>
      <c r="Y3371" s="6">
        <v>39.299999999999997</v>
      </c>
      <c r="Z3371">
        <v>1.6E-2</v>
      </c>
      <c r="AA3371">
        <v>7.0000000000000007E-2</v>
      </c>
      <c r="AB3371">
        <v>4.8000000000000001E-2</v>
      </c>
      <c r="AC3371">
        <v>4</v>
      </c>
      <c r="AD3371" s="6">
        <v>70</v>
      </c>
      <c r="AE3371" s="6">
        <v>0</v>
      </c>
      <c r="AF3371" s="6">
        <v>0</v>
      </c>
      <c r="AG3371" s="6">
        <v>67.2</v>
      </c>
      <c r="AH3371" s="6">
        <v>85.22</v>
      </c>
      <c r="AI3371" s="6">
        <f t="shared" si="104"/>
        <v>18.019999999999996</v>
      </c>
      <c r="AJ3371" s="5">
        <f t="shared" si="105"/>
        <v>0.21145271063130716</v>
      </c>
    </row>
    <row r="3372" spans="1:36">
      <c r="A3372" t="s">
        <v>403</v>
      </c>
      <c r="B3372" t="s">
        <v>3657</v>
      </c>
      <c r="C3372" t="s">
        <v>136</v>
      </c>
      <c r="D3372" t="s">
        <v>68</v>
      </c>
      <c r="E3372" t="s">
        <v>69</v>
      </c>
      <c r="F3372">
        <v>0</v>
      </c>
      <c r="G3372">
        <v>655</v>
      </c>
      <c r="H3372">
        <v>1</v>
      </c>
      <c r="I3372" t="s">
        <v>181</v>
      </c>
      <c r="J3372">
        <v>3</v>
      </c>
      <c r="K3372" s="6">
        <v>11.41</v>
      </c>
      <c r="L3372" t="s">
        <v>174</v>
      </c>
      <c r="M3372">
        <v>0</v>
      </c>
      <c r="N3372" t="s">
        <v>182</v>
      </c>
      <c r="O3372">
        <v>3</v>
      </c>
      <c r="P3372">
        <v>1</v>
      </c>
      <c r="Q3372" s="6">
        <v>90.9</v>
      </c>
      <c r="R3372">
        <v>0</v>
      </c>
      <c r="S3372" s="6">
        <v>0</v>
      </c>
      <c r="T3372">
        <v>0</v>
      </c>
      <c r="U3372" s="6">
        <v>12846</v>
      </c>
      <c r="V3372">
        <v>0</v>
      </c>
      <c r="W3372">
        <v>0</v>
      </c>
      <c r="X3372">
        <v>0</v>
      </c>
      <c r="Y3372" s="6">
        <v>39.299999999999997</v>
      </c>
      <c r="Z3372">
        <v>1.6E-2</v>
      </c>
      <c r="AA3372">
        <v>7.0000000000000007E-2</v>
      </c>
      <c r="AB3372">
        <v>4.8000000000000001E-2</v>
      </c>
      <c r="AC3372">
        <v>4</v>
      </c>
      <c r="AD3372" s="6">
        <v>105</v>
      </c>
      <c r="AE3372" s="6">
        <v>0</v>
      </c>
      <c r="AF3372" s="6">
        <v>0</v>
      </c>
      <c r="AG3372" s="6">
        <v>138.72</v>
      </c>
      <c r="AH3372" s="6">
        <v>174.23</v>
      </c>
      <c r="AI3372" s="6">
        <f t="shared" si="104"/>
        <v>35.509999999999991</v>
      </c>
      <c r="AJ3372" s="5">
        <f t="shared" si="105"/>
        <v>0.20381105435344082</v>
      </c>
    </row>
    <row r="3373" spans="1:36">
      <c r="A3373" t="s">
        <v>360</v>
      </c>
      <c r="B3373" t="s">
        <v>3658</v>
      </c>
      <c r="C3373" t="s">
        <v>136</v>
      </c>
      <c r="D3373" t="s">
        <v>68</v>
      </c>
      <c r="E3373" t="s">
        <v>69</v>
      </c>
      <c r="F3373">
        <v>0</v>
      </c>
      <c r="G3373">
        <v>655</v>
      </c>
      <c r="H3373">
        <v>1</v>
      </c>
      <c r="I3373" t="s">
        <v>220</v>
      </c>
      <c r="J3373">
        <v>2</v>
      </c>
      <c r="K3373" s="6">
        <v>4.66</v>
      </c>
      <c r="L3373" t="s">
        <v>174</v>
      </c>
      <c r="M3373">
        <v>0</v>
      </c>
      <c r="N3373" t="s">
        <v>175</v>
      </c>
      <c r="O3373">
        <v>1</v>
      </c>
      <c r="P3373">
        <v>0</v>
      </c>
      <c r="Q3373" s="6">
        <v>34</v>
      </c>
      <c r="R3373">
        <v>0</v>
      </c>
      <c r="S3373" s="6">
        <v>0</v>
      </c>
      <c r="T3373">
        <v>0</v>
      </c>
      <c r="U3373" s="6">
        <v>8168</v>
      </c>
      <c r="V3373">
        <v>0</v>
      </c>
      <c r="W3373">
        <v>0</v>
      </c>
      <c r="X3373">
        <v>0</v>
      </c>
      <c r="Y3373" s="6">
        <v>39.299999999999997</v>
      </c>
      <c r="Z3373">
        <v>1.6E-2</v>
      </c>
      <c r="AA3373">
        <v>7.0000000000000007E-2</v>
      </c>
      <c r="AB3373">
        <v>4.8000000000000001E-2</v>
      </c>
      <c r="AC3373">
        <v>4</v>
      </c>
      <c r="AD3373" s="6">
        <v>70</v>
      </c>
      <c r="AE3373" s="6">
        <v>0</v>
      </c>
      <c r="AF3373" s="6">
        <v>0</v>
      </c>
      <c r="AG3373" s="6">
        <v>67.010000000000005</v>
      </c>
      <c r="AH3373" s="6">
        <v>86.99</v>
      </c>
      <c r="AI3373" s="6">
        <f t="shared" si="104"/>
        <v>19.97999999999999</v>
      </c>
      <c r="AJ3373" s="5">
        <f t="shared" si="105"/>
        <v>0.22968157259455099</v>
      </c>
    </row>
    <row r="3374" spans="1:36">
      <c r="A3374" t="s">
        <v>355</v>
      </c>
      <c r="B3374" t="s">
        <v>3659</v>
      </c>
      <c r="C3374" t="s">
        <v>136</v>
      </c>
      <c r="D3374" t="s">
        <v>68</v>
      </c>
      <c r="E3374" t="s">
        <v>69</v>
      </c>
      <c r="F3374">
        <v>0</v>
      </c>
      <c r="G3374">
        <v>655</v>
      </c>
      <c r="H3374">
        <v>1</v>
      </c>
      <c r="I3374" t="s">
        <v>220</v>
      </c>
      <c r="J3374">
        <v>2</v>
      </c>
      <c r="K3374" s="6">
        <v>5.04</v>
      </c>
      <c r="L3374" t="s">
        <v>174</v>
      </c>
      <c r="M3374">
        <v>0</v>
      </c>
      <c r="N3374" t="s">
        <v>175</v>
      </c>
      <c r="O3374">
        <v>1</v>
      </c>
      <c r="P3374">
        <v>0</v>
      </c>
      <c r="Q3374" s="6">
        <v>37.6</v>
      </c>
      <c r="R3374">
        <v>0</v>
      </c>
      <c r="S3374" s="6">
        <v>0</v>
      </c>
      <c r="T3374">
        <v>0</v>
      </c>
      <c r="U3374" s="6">
        <v>4485</v>
      </c>
      <c r="V3374">
        <v>0</v>
      </c>
      <c r="W3374">
        <v>0</v>
      </c>
      <c r="X3374">
        <v>0</v>
      </c>
      <c r="Y3374" s="6">
        <v>39.299999999999997</v>
      </c>
      <c r="Z3374">
        <v>1.6E-2</v>
      </c>
      <c r="AA3374">
        <v>7.0000000000000007E-2</v>
      </c>
      <c r="AB3374">
        <v>4.8000000000000001E-2</v>
      </c>
      <c r="AC3374">
        <v>4</v>
      </c>
      <c r="AD3374" s="6">
        <v>70</v>
      </c>
      <c r="AE3374" s="6">
        <v>0</v>
      </c>
      <c r="AF3374" s="6">
        <v>0</v>
      </c>
      <c r="AG3374" s="6">
        <v>67.540000000000006</v>
      </c>
      <c r="AH3374" s="6">
        <v>88.8</v>
      </c>
      <c r="AI3374" s="6">
        <f t="shared" si="104"/>
        <v>21.259999999999991</v>
      </c>
      <c r="AJ3374" s="5">
        <f t="shared" si="105"/>
        <v>0.23941441441441433</v>
      </c>
    </row>
    <row r="3375" spans="1:36">
      <c r="A3375" t="s">
        <v>171</v>
      </c>
      <c r="B3375" t="s">
        <v>3660</v>
      </c>
      <c r="C3375" t="s">
        <v>136</v>
      </c>
      <c r="D3375" t="s">
        <v>68</v>
      </c>
      <c r="E3375" t="s">
        <v>69</v>
      </c>
      <c r="F3375">
        <v>0</v>
      </c>
      <c r="G3375">
        <v>655</v>
      </c>
      <c r="H3375">
        <v>1</v>
      </c>
      <c r="I3375" t="s">
        <v>220</v>
      </c>
      <c r="J3375">
        <v>2</v>
      </c>
      <c r="K3375" s="6">
        <v>4.33</v>
      </c>
      <c r="L3375" t="s">
        <v>174</v>
      </c>
      <c r="M3375">
        <v>0</v>
      </c>
      <c r="N3375" t="s">
        <v>175</v>
      </c>
      <c r="O3375">
        <v>1</v>
      </c>
      <c r="P3375">
        <v>0</v>
      </c>
      <c r="Q3375" s="6">
        <v>42.7</v>
      </c>
      <c r="R3375">
        <v>0</v>
      </c>
      <c r="S3375" s="6">
        <v>0</v>
      </c>
      <c r="T3375">
        <v>0</v>
      </c>
      <c r="U3375" s="6">
        <v>10730</v>
      </c>
      <c r="V3375">
        <v>0</v>
      </c>
      <c r="W3375">
        <v>0</v>
      </c>
      <c r="X3375">
        <v>0</v>
      </c>
      <c r="Y3375" s="6">
        <v>39.299999999999997</v>
      </c>
      <c r="Z3375">
        <v>1.6E-2</v>
      </c>
      <c r="AA3375">
        <v>7.0000000000000007E-2</v>
      </c>
      <c r="AB3375">
        <v>4.8000000000000001E-2</v>
      </c>
      <c r="AC3375">
        <v>4</v>
      </c>
      <c r="AD3375" s="6">
        <v>70</v>
      </c>
      <c r="AE3375" s="6">
        <v>0</v>
      </c>
      <c r="AF3375" s="6">
        <v>0</v>
      </c>
      <c r="AG3375" s="6">
        <v>69.03</v>
      </c>
      <c r="AH3375" s="6">
        <v>88.87</v>
      </c>
      <c r="AI3375" s="6">
        <f t="shared" si="104"/>
        <v>19.840000000000003</v>
      </c>
      <c r="AJ3375" s="5">
        <f t="shared" si="105"/>
        <v>0.22324744008101724</v>
      </c>
    </row>
    <row r="3376" spans="1:36">
      <c r="A3376" t="s">
        <v>277</v>
      </c>
      <c r="B3376" t="s">
        <v>3661</v>
      </c>
      <c r="C3376" t="s">
        <v>136</v>
      </c>
      <c r="D3376" t="s">
        <v>68</v>
      </c>
      <c r="E3376" t="s">
        <v>69</v>
      </c>
      <c r="F3376">
        <v>0</v>
      </c>
      <c r="G3376">
        <v>655</v>
      </c>
      <c r="H3376">
        <v>1</v>
      </c>
      <c r="I3376" t="s">
        <v>173</v>
      </c>
      <c r="J3376">
        <v>1</v>
      </c>
      <c r="K3376" s="6">
        <v>2.44</v>
      </c>
      <c r="L3376" t="s">
        <v>174</v>
      </c>
      <c r="M3376">
        <v>0</v>
      </c>
      <c r="N3376" t="s">
        <v>187</v>
      </c>
      <c r="O3376">
        <v>2</v>
      </c>
      <c r="P3376">
        <v>0</v>
      </c>
      <c r="Q3376" s="6">
        <v>61.3</v>
      </c>
      <c r="R3376">
        <v>0</v>
      </c>
      <c r="S3376" s="6">
        <v>0</v>
      </c>
      <c r="T3376">
        <v>0</v>
      </c>
      <c r="U3376" s="6">
        <v>2162</v>
      </c>
      <c r="V3376">
        <v>0</v>
      </c>
      <c r="W3376">
        <v>0</v>
      </c>
      <c r="X3376">
        <v>0</v>
      </c>
      <c r="Y3376" s="6">
        <v>39.299999999999997</v>
      </c>
      <c r="Z3376">
        <v>1.6E-2</v>
      </c>
      <c r="AA3376">
        <v>7.0000000000000007E-2</v>
      </c>
      <c r="AB3376">
        <v>4.8000000000000001E-2</v>
      </c>
      <c r="AC3376">
        <v>4</v>
      </c>
      <c r="AD3376" s="6">
        <v>65</v>
      </c>
      <c r="AE3376" s="6">
        <v>0</v>
      </c>
      <c r="AF3376" s="6">
        <v>0</v>
      </c>
      <c r="AG3376" s="6">
        <v>60.92</v>
      </c>
      <c r="AH3376" s="6">
        <v>76.69</v>
      </c>
      <c r="AI3376" s="6">
        <f t="shared" si="104"/>
        <v>15.769999999999996</v>
      </c>
      <c r="AJ3376" s="5">
        <f t="shared" si="105"/>
        <v>0.20563306819663577</v>
      </c>
    </row>
    <row r="3377" spans="1:36">
      <c r="A3377" t="s">
        <v>579</v>
      </c>
      <c r="B3377" t="s">
        <v>3662</v>
      </c>
      <c r="C3377" t="s">
        <v>136</v>
      </c>
      <c r="D3377" t="s">
        <v>68</v>
      </c>
      <c r="E3377" t="s">
        <v>69</v>
      </c>
      <c r="F3377">
        <v>0</v>
      </c>
      <c r="G3377">
        <v>655</v>
      </c>
      <c r="H3377">
        <v>1</v>
      </c>
      <c r="I3377" t="s">
        <v>220</v>
      </c>
      <c r="J3377">
        <v>2</v>
      </c>
      <c r="K3377" s="6">
        <v>3.3</v>
      </c>
      <c r="L3377" t="s">
        <v>174</v>
      </c>
      <c r="M3377">
        <v>0</v>
      </c>
      <c r="N3377" t="s">
        <v>175</v>
      </c>
      <c r="O3377">
        <v>1</v>
      </c>
      <c r="P3377">
        <v>0</v>
      </c>
      <c r="Q3377" s="6">
        <v>42.6</v>
      </c>
      <c r="R3377">
        <v>0</v>
      </c>
      <c r="S3377" s="6">
        <v>0</v>
      </c>
      <c r="T3377">
        <v>0</v>
      </c>
      <c r="U3377" s="6">
        <v>4352</v>
      </c>
      <c r="V3377">
        <v>0</v>
      </c>
      <c r="W3377">
        <v>0</v>
      </c>
      <c r="X3377">
        <v>0</v>
      </c>
      <c r="Y3377" s="6">
        <v>39.299999999999997</v>
      </c>
      <c r="Z3377">
        <v>1.6E-2</v>
      </c>
      <c r="AA3377">
        <v>7.0000000000000007E-2</v>
      </c>
      <c r="AB3377">
        <v>4.8000000000000001E-2</v>
      </c>
      <c r="AC3377">
        <v>4</v>
      </c>
      <c r="AD3377" s="6">
        <v>70</v>
      </c>
      <c r="AE3377" s="6">
        <v>0</v>
      </c>
      <c r="AF3377" s="6">
        <v>0</v>
      </c>
      <c r="AG3377" s="6">
        <v>68.180000000000007</v>
      </c>
      <c r="AH3377" s="6">
        <v>88.6</v>
      </c>
      <c r="AI3377" s="6">
        <f t="shared" si="104"/>
        <v>20.419999999999987</v>
      </c>
      <c r="AJ3377" s="5">
        <f t="shared" si="105"/>
        <v>0.23047404063205404</v>
      </c>
    </row>
    <row r="3378" spans="1:36">
      <c r="A3378" t="s">
        <v>401</v>
      </c>
      <c r="B3378" t="s">
        <v>3663</v>
      </c>
      <c r="C3378" t="s">
        <v>136</v>
      </c>
      <c r="D3378" t="s">
        <v>68</v>
      </c>
      <c r="E3378" t="s">
        <v>69</v>
      </c>
      <c r="F3378">
        <v>0</v>
      </c>
      <c r="G3378">
        <v>655</v>
      </c>
      <c r="H3378">
        <v>1</v>
      </c>
      <c r="I3378" t="s">
        <v>220</v>
      </c>
      <c r="J3378">
        <v>2</v>
      </c>
      <c r="K3378" s="6">
        <v>4.9000000000000004</v>
      </c>
      <c r="L3378" t="s">
        <v>174</v>
      </c>
      <c r="M3378">
        <v>0</v>
      </c>
      <c r="N3378" t="s">
        <v>175</v>
      </c>
      <c r="O3378">
        <v>1</v>
      </c>
      <c r="P3378">
        <v>0</v>
      </c>
      <c r="Q3378" s="6">
        <v>42.9</v>
      </c>
      <c r="R3378">
        <v>0</v>
      </c>
      <c r="S3378" s="6">
        <v>0</v>
      </c>
      <c r="T3378">
        <v>0</v>
      </c>
      <c r="U3378" s="6">
        <v>2611</v>
      </c>
      <c r="V3378">
        <v>0</v>
      </c>
      <c r="W3378">
        <v>0</v>
      </c>
      <c r="X3378">
        <v>0</v>
      </c>
      <c r="Y3378" s="6">
        <v>39.299999999999997</v>
      </c>
      <c r="Z3378">
        <v>1.6E-2</v>
      </c>
      <c r="AA3378">
        <v>7.0000000000000007E-2</v>
      </c>
      <c r="AB3378">
        <v>4.8000000000000001E-2</v>
      </c>
      <c r="AC3378">
        <v>4</v>
      </c>
      <c r="AD3378" s="6">
        <v>70</v>
      </c>
      <c r="AE3378" s="6">
        <v>0</v>
      </c>
      <c r="AF3378" s="6">
        <v>0</v>
      </c>
      <c r="AG3378" s="6">
        <v>63.62</v>
      </c>
      <c r="AH3378" s="6">
        <v>83.15</v>
      </c>
      <c r="AI3378" s="6">
        <f t="shared" si="104"/>
        <v>19.530000000000008</v>
      </c>
      <c r="AJ3378" s="5">
        <f t="shared" si="105"/>
        <v>0.23487672880336749</v>
      </c>
    </row>
    <row r="3379" spans="1:36">
      <c r="A3379" t="s">
        <v>196</v>
      </c>
      <c r="B3379" t="s">
        <v>3664</v>
      </c>
      <c r="C3379" t="s">
        <v>136</v>
      </c>
      <c r="D3379" t="s">
        <v>68</v>
      </c>
      <c r="E3379" t="s">
        <v>69</v>
      </c>
      <c r="F3379">
        <v>0</v>
      </c>
      <c r="G3379">
        <v>655</v>
      </c>
      <c r="H3379">
        <v>1</v>
      </c>
      <c r="I3379" t="s">
        <v>178</v>
      </c>
      <c r="J3379">
        <v>4</v>
      </c>
      <c r="K3379" s="6">
        <v>16.760000000000002</v>
      </c>
      <c r="L3379" t="s">
        <v>174</v>
      </c>
      <c r="M3379">
        <v>0</v>
      </c>
      <c r="N3379" t="s">
        <v>217</v>
      </c>
      <c r="O3379">
        <v>4</v>
      </c>
      <c r="P3379">
        <v>1</v>
      </c>
      <c r="Q3379" s="6">
        <v>61.7</v>
      </c>
      <c r="R3379">
        <v>0</v>
      </c>
      <c r="S3379" s="6">
        <v>0</v>
      </c>
      <c r="T3379">
        <v>0</v>
      </c>
      <c r="U3379" s="6">
        <v>17985</v>
      </c>
      <c r="V3379">
        <v>0</v>
      </c>
      <c r="W3379">
        <v>0</v>
      </c>
      <c r="X3379">
        <v>0</v>
      </c>
      <c r="Y3379" s="6">
        <v>39.299999999999997</v>
      </c>
      <c r="Z3379">
        <v>1.6E-2</v>
      </c>
      <c r="AA3379">
        <v>7.0000000000000007E-2</v>
      </c>
      <c r="AB3379">
        <v>4.8000000000000001E-2</v>
      </c>
      <c r="AC3379">
        <v>4</v>
      </c>
      <c r="AD3379" s="6">
        <v>125</v>
      </c>
      <c r="AE3379" s="6">
        <v>0</v>
      </c>
      <c r="AF3379" s="6">
        <v>0</v>
      </c>
      <c r="AG3379" s="6">
        <v>195.83</v>
      </c>
      <c r="AH3379" s="6">
        <v>248.53</v>
      </c>
      <c r="AI3379" s="6">
        <f t="shared" si="104"/>
        <v>52.699999999999989</v>
      </c>
      <c r="AJ3379" s="5">
        <f t="shared" si="105"/>
        <v>0.21204683539210553</v>
      </c>
    </row>
    <row r="3380" spans="1:36">
      <c r="A3380" t="s">
        <v>210</v>
      </c>
      <c r="B3380" t="s">
        <v>3665</v>
      </c>
      <c r="C3380" t="s">
        <v>136</v>
      </c>
      <c r="D3380" t="s">
        <v>68</v>
      </c>
      <c r="E3380" t="s">
        <v>69</v>
      </c>
      <c r="F3380">
        <v>0</v>
      </c>
      <c r="G3380">
        <v>655</v>
      </c>
      <c r="H3380">
        <v>1</v>
      </c>
      <c r="I3380" t="s">
        <v>173</v>
      </c>
      <c r="J3380">
        <v>1</v>
      </c>
      <c r="K3380" s="6">
        <v>1.75</v>
      </c>
      <c r="L3380" t="s">
        <v>174</v>
      </c>
      <c r="M3380">
        <v>0</v>
      </c>
      <c r="N3380" t="s">
        <v>175</v>
      </c>
      <c r="O3380">
        <v>1</v>
      </c>
      <c r="P3380">
        <v>0</v>
      </c>
      <c r="Q3380" s="6">
        <v>37.299999999999997</v>
      </c>
      <c r="R3380">
        <v>0</v>
      </c>
      <c r="S3380" s="6">
        <v>0</v>
      </c>
      <c r="T3380">
        <v>0</v>
      </c>
      <c r="U3380" s="6">
        <v>4054</v>
      </c>
      <c r="V3380">
        <v>0</v>
      </c>
      <c r="W3380">
        <v>0</v>
      </c>
      <c r="X3380">
        <v>0</v>
      </c>
      <c r="Y3380" s="6">
        <v>39.299999999999997</v>
      </c>
      <c r="Z3380">
        <v>1.6E-2</v>
      </c>
      <c r="AA3380">
        <v>7.0000000000000007E-2</v>
      </c>
      <c r="AB3380">
        <v>4.8000000000000001E-2</v>
      </c>
      <c r="AC3380">
        <v>4</v>
      </c>
      <c r="AD3380" s="6">
        <v>65</v>
      </c>
      <c r="AE3380" s="6">
        <v>0</v>
      </c>
      <c r="AF3380" s="6">
        <v>0</v>
      </c>
      <c r="AG3380" s="6">
        <v>59.85</v>
      </c>
      <c r="AH3380" s="6">
        <v>79.400000000000006</v>
      </c>
      <c r="AI3380" s="6">
        <f t="shared" si="104"/>
        <v>19.550000000000004</v>
      </c>
      <c r="AJ3380" s="5">
        <f t="shared" si="105"/>
        <v>0.2462216624685139</v>
      </c>
    </row>
    <row r="3381" spans="1:36">
      <c r="A3381" t="s">
        <v>635</v>
      </c>
      <c r="B3381" t="s">
        <v>3666</v>
      </c>
      <c r="C3381" t="s">
        <v>136</v>
      </c>
      <c r="D3381" t="s">
        <v>68</v>
      </c>
      <c r="E3381" t="s">
        <v>69</v>
      </c>
      <c r="F3381">
        <v>0</v>
      </c>
      <c r="G3381">
        <v>655</v>
      </c>
      <c r="H3381">
        <v>1</v>
      </c>
      <c r="I3381" t="s">
        <v>220</v>
      </c>
      <c r="J3381">
        <v>2</v>
      </c>
      <c r="K3381" s="6">
        <v>4.53</v>
      </c>
      <c r="L3381" t="s">
        <v>174</v>
      </c>
      <c r="M3381">
        <v>0</v>
      </c>
      <c r="N3381" t="s">
        <v>182</v>
      </c>
      <c r="O3381">
        <v>3</v>
      </c>
      <c r="P3381">
        <v>0</v>
      </c>
      <c r="Q3381" s="6">
        <v>123.5</v>
      </c>
      <c r="R3381">
        <v>0</v>
      </c>
      <c r="S3381" s="6">
        <v>0</v>
      </c>
      <c r="T3381">
        <v>0</v>
      </c>
      <c r="U3381" s="6">
        <v>6132</v>
      </c>
      <c r="V3381">
        <v>0</v>
      </c>
      <c r="W3381">
        <v>0</v>
      </c>
      <c r="X3381">
        <v>0</v>
      </c>
      <c r="Y3381" s="6">
        <v>39.299999999999997</v>
      </c>
      <c r="Z3381">
        <v>1.6E-2</v>
      </c>
      <c r="AA3381">
        <v>7.0000000000000007E-2</v>
      </c>
      <c r="AB3381">
        <v>4.8000000000000001E-2</v>
      </c>
      <c r="AC3381">
        <v>4</v>
      </c>
      <c r="AD3381" s="6">
        <v>70</v>
      </c>
      <c r="AE3381" s="6">
        <v>0</v>
      </c>
      <c r="AF3381" s="6">
        <v>0</v>
      </c>
      <c r="AG3381" s="6">
        <v>78.97</v>
      </c>
      <c r="AH3381" s="6">
        <v>100.8</v>
      </c>
      <c r="AI3381" s="6">
        <f t="shared" si="104"/>
        <v>21.83</v>
      </c>
      <c r="AJ3381" s="5">
        <f t="shared" si="105"/>
        <v>0.2165674603174603</v>
      </c>
    </row>
    <row r="3382" spans="1:36">
      <c r="A3382" t="s">
        <v>261</v>
      </c>
      <c r="B3382" t="s">
        <v>3667</v>
      </c>
      <c r="C3382" t="s">
        <v>136</v>
      </c>
      <c r="D3382" t="s">
        <v>68</v>
      </c>
      <c r="E3382" t="s">
        <v>69</v>
      </c>
      <c r="F3382">
        <v>0</v>
      </c>
      <c r="G3382">
        <v>655</v>
      </c>
      <c r="H3382">
        <v>1</v>
      </c>
      <c r="I3382" t="s">
        <v>220</v>
      </c>
      <c r="J3382">
        <v>2</v>
      </c>
      <c r="K3382" s="6">
        <v>3.19</v>
      </c>
      <c r="L3382" t="s">
        <v>174</v>
      </c>
      <c r="M3382">
        <v>0</v>
      </c>
      <c r="N3382" t="s">
        <v>182</v>
      </c>
      <c r="O3382">
        <v>3</v>
      </c>
      <c r="P3382">
        <v>0</v>
      </c>
      <c r="Q3382" s="6">
        <v>143.80000000000001</v>
      </c>
      <c r="R3382">
        <v>0</v>
      </c>
      <c r="S3382" s="6">
        <v>0</v>
      </c>
      <c r="T3382">
        <v>0</v>
      </c>
      <c r="U3382" s="6">
        <v>7169</v>
      </c>
      <c r="V3382">
        <v>0</v>
      </c>
      <c r="W3382">
        <v>0</v>
      </c>
      <c r="X3382">
        <v>0</v>
      </c>
      <c r="Y3382" s="6">
        <v>39.299999999999997</v>
      </c>
      <c r="Z3382">
        <v>1.6E-2</v>
      </c>
      <c r="AA3382">
        <v>7.0000000000000007E-2</v>
      </c>
      <c r="AB3382">
        <v>4.8000000000000001E-2</v>
      </c>
      <c r="AC3382">
        <v>4</v>
      </c>
      <c r="AD3382" s="6">
        <v>70</v>
      </c>
      <c r="AE3382" s="6">
        <v>0</v>
      </c>
      <c r="AF3382" s="6">
        <v>0</v>
      </c>
      <c r="AG3382" s="6">
        <v>76.11</v>
      </c>
      <c r="AH3382" s="6">
        <v>95.84</v>
      </c>
      <c r="AI3382" s="6">
        <f t="shared" si="104"/>
        <v>19.730000000000004</v>
      </c>
      <c r="AJ3382" s="5">
        <f t="shared" si="105"/>
        <v>0.20586393989983309</v>
      </c>
    </row>
    <row r="3383" spans="1:36">
      <c r="A3383" t="s">
        <v>212</v>
      </c>
      <c r="B3383" t="s">
        <v>3668</v>
      </c>
      <c r="C3383" t="s">
        <v>136</v>
      </c>
      <c r="D3383" t="s">
        <v>68</v>
      </c>
      <c r="E3383" t="s">
        <v>69</v>
      </c>
      <c r="F3383">
        <v>0</v>
      </c>
      <c r="G3383">
        <v>655</v>
      </c>
      <c r="H3383">
        <v>1</v>
      </c>
      <c r="I3383" t="s">
        <v>220</v>
      </c>
      <c r="J3383">
        <v>2</v>
      </c>
      <c r="K3383" s="6">
        <v>1.31</v>
      </c>
      <c r="L3383" t="s">
        <v>174</v>
      </c>
      <c r="M3383">
        <v>0</v>
      </c>
      <c r="N3383" t="s">
        <v>175</v>
      </c>
      <c r="O3383">
        <v>1</v>
      </c>
      <c r="P3383">
        <v>0</v>
      </c>
      <c r="Q3383" s="6">
        <v>19.600000000000001</v>
      </c>
      <c r="R3383">
        <v>0</v>
      </c>
      <c r="S3383" s="6">
        <v>0</v>
      </c>
      <c r="T3383">
        <v>0</v>
      </c>
      <c r="U3383" s="6">
        <v>2088</v>
      </c>
      <c r="V3383">
        <v>0</v>
      </c>
      <c r="W3383">
        <v>0</v>
      </c>
      <c r="X3383">
        <v>0</v>
      </c>
      <c r="Y3383" s="6">
        <v>39.299999999999997</v>
      </c>
      <c r="Z3383">
        <v>1.6E-2</v>
      </c>
      <c r="AA3383">
        <v>7.0000000000000007E-2</v>
      </c>
      <c r="AB3383">
        <v>4.8000000000000001E-2</v>
      </c>
      <c r="AC3383">
        <v>4</v>
      </c>
      <c r="AD3383" s="6">
        <v>70</v>
      </c>
      <c r="AE3383" s="6">
        <v>0</v>
      </c>
      <c r="AF3383" s="6">
        <v>0</v>
      </c>
      <c r="AG3383" s="6">
        <v>69.08</v>
      </c>
      <c r="AH3383" s="6">
        <v>86.88</v>
      </c>
      <c r="AI3383" s="6">
        <f t="shared" si="104"/>
        <v>17.799999999999997</v>
      </c>
      <c r="AJ3383" s="5">
        <f t="shared" si="105"/>
        <v>0.20488029465930016</v>
      </c>
    </row>
    <row r="3384" spans="1:36">
      <c r="A3384" t="s">
        <v>350</v>
      </c>
      <c r="B3384" t="s">
        <v>3669</v>
      </c>
      <c r="C3384" t="s">
        <v>136</v>
      </c>
      <c r="D3384" t="s">
        <v>68</v>
      </c>
      <c r="E3384" t="s">
        <v>69</v>
      </c>
      <c r="F3384">
        <v>0</v>
      </c>
      <c r="G3384">
        <v>655</v>
      </c>
      <c r="H3384">
        <v>1</v>
      </c>
      <c r="I3384" t="s">
        <v>220</v>
      </c>
      <c r="J3384">
        <v>2</v>
      </c>
      <c r="K3384" s="6">
        <v>4.3600000000000003</v>
      </c>
      <c r="L3384" t="s">
        <v>174</v>
      </c>
      <c r="M3384">
        <v>0</v>
      </c>
      <c r="N3384" t="s">
        <v>217</v>
      </c>
      <c r="O3384">
        <v>4</v>
      </c>
      <c r="P3384">
        <v>1</v>
      </c>
      <c r="Q3384" s="6">
        <v>95.4</v>
      </c>
      <c r="R3384">
        <v>0</v>
      </c>
      <c r="S3384" s="6">
        <v>0</v>
      </c>
      <c r="T3384">
        <v>0</v>
      </c>
      <c r="U3384" s="6">
        <v>10429</v>
      </c>
      <c r="V3384">
        <v>0</v>
      </c>
      <c r="W3384">
        <v>0</v>
      </c>
      <c r="X3384">
        <v>0</v>
      </c>
      <c r="Y3384" s="6">
        <v>39.299999999999997</v>
      </c>
      <c r="Z3384">
        <v>1.6E-2</v>
      </c>
      <c r="AA3384">
        <v>7.0000000000000007E-2</v>
      </c>
      <c r="AB3384">
        <v>4.8000000000000001E-2</v>
      </c>
      <c r="AC3384">
        <v>4</v>
      </c>
      <c r="AD3384" s="6">
        <v>70</v>
      </c>
      <c r="AE3384" s="6">
        <v>0</v>
      </c>
      <c r="AF3384" s="6">
        <v>0</v>
      </c>
      <c r="AG3384" s="6">
        <v>115.49</v>
      </c>
      <c r="AH3384" s="6">
        <v>149.08000000000001</v>
      </c>
      <c r="AI3384" s="6">
        <f t="shared" si="104"/>
        <v>33.590000000000018</v>
      </c>
      <c r="AJ3384" s="5">
        <f t="shared" si="105"/>
        <v>0.22531526697075405</v>
      </c>
    </row>
    <row r="3385" spans="1:36">
      <c r="A3385" t="s">
        <v>478</v>
      </c>
      <c r="B3385" t="s">
        <v>3670</v>
      </c>
      <c r="C3385" t="s">
        <v>136</v>
      </c>
      <c r="D3385" t="s">
        <v>68</v>
      </c>
      <c r="E3385" t="s">
        <v>69</v>
      </c>
      <c r="F3385">
        <v>0</v>
      </c>
      <c r="G3385">
        <v>655</v>
      </c>
      <c r="H3385">
        <v>1</v>
      </c>
      <c r="I3385" t="s">
        <v>220</v>
      </c>
      <c r="J3385">
        <v>2</v>
      </c>
      <c r="K3385" s="6">
        <v>4.05</v>
      </c>
      <c r="L3385" t="s">
        <v>174</v>
      </c>
      <c r="M3385">
        <v>0</v>
      </c>
      <c r="N3385" t="s">
        <v>187</v>
      </c>
      <c r="O3385">
        <v>2</v>
      </c>
      <c r="P3385">
        <v>0</v>
      </c>
      <c r="Q3385" s="6">
        <v>61.7</v>
      </c>
      <c r="R3385">
        <v>0</v>
      </c>
      <c r="S3385" s="6">
        <v>0</v>
      </c>
      <c r="T3385">
        <v>0</v>
      </c>
      <c r="U3385" s="6">
        <v>1989</v>
      </c>
      <c r="V3385">
        <v>0</v>
      </c>
      <c r="W3385">
        <v>0</v>
      </c>
      <c r="X3385">
        <v>0</v>
      </c>
      <c r="Y3385" s="6">
        <v>39.299999999999997</v>
      </c>
      <c r="Z3385">
        <v>1.6E-2</v>
      </c>
      <c r="AA3385">
        <v>7.0000000000000007E-2</v>
      </c>
      <c r="AB3385">
        <v>4.8000000000000001E-2</v>
      </c>
      <c r="AC3385">
        <v>4</v>
      </c>
      <c r="AD3385" s="6">
        <v>70</v>
      </c>
      <c r="AE3385" s="6">
        <v>0</v>
      </c>
      <c r="AF3385" s="6">
        <v>0</v>
      </c>
      <c r="AG3385" s="6">
        <v>68.03</v>
      </c>
      <c r="AH3385" s="6">
        <v>87.19</v>
      </c>
      <c r="AI3385" s="6">
        <f t="shared" si="104"/>
        <v>19.159999999999997</v>
      </c>
      <c r="AJ3385" s="5">
        <f t="shared" si="105"/>
        <v>0.21974997132698701</v>
      </c>
    </row>
    <row r="3386" spans="1:36">
      <c r="A3386" t="s">
        <v>313</v>
      </c>
      <c r="B3386" t="s">
        <v>3671</v>
      </c>
      <c r="C3386" t="s">
        <v>136</v>
      </c>
      <c r="D3386" t="s">
        <v>68</v>
      </c>
      <c r="E3386" t="s">
        <v>69</v>
      </c>
      <c r="F3386">
        <v>0</v>
      </c>
      <c r="G3386">
        <v>655</v>
      </c>
      <c r="H3386">
        <v>1</v>
      </c>
      <c r="I3386" t="s">
        <v>220</v>
      </c>
      <c r="J3386">
        <v>2</v>
      </c>
      <c r="K3386" s="6">
        <v>2.4300000000000002</v>
      </c>
      <c r="L3386" t="s">
        <v>174</v>
      </c>
      <c r="M3386">
        <v>0</v>
      </c>
      <c r="N3386" t="s">
        <v>187</v>
      </c>
      <c r="O3386">
        <v>2</v>
      </c>
      <c r="P3386">
        <v>0</v>
      </c>
      <c r="Q3386" s="6">
        <v>58.4</v>
      </c>
      <c r="R3386">
        <v>0</v>
      </c>
      <c r="S3386" s="6">
        <v>0</v>
      </c>
      <c r="T3386">
        <v>0</v>
      </c>
      <c r="U3386" s="6">
        <v>1923</v>
      </c>
      <c r="V3386">
        <v>0</v>
      </c>
      <c r="W3386">
        <v>0</v>
      </c>
      <c r="X3386">
        <v>0</v>
      </c>
      <c r="Y3386" s="6">
        <v>39.299999999999997</v>
      </c>
      <c r="Z3386">
        <v>1.6E-2</v>
      </c>
      <c r="AA3386">
        <v>7.0000000000000007E-2</v>
      </c>
      <c r="AB3386">
        <v>4.8000000000000001E-2</v>
      </c>
      <c r="AC3386">
        <v>4</v>
      </c>
      <c r="AD3386" s="6">
        <v>70</v>
      </c>
      <c r="AE3386" s="6">
        <v>0</v>
      </c>
      <c r="AF3386" s="6">
        <v>0</v>
      </c>
      <c r="AG3386" s="6">
        <v>71.16</v>
      </c>
      <c r="AH3386" s="6">
        <v>89.59</v>
      </c>
      <c r="AI3386" s="6">
        <f t="shared" si="104"/>
        <v>18.430000000000007</v>
      </c>
      <c r="AJ3386" s="5">
        <f t="shared" si="105"/>
        <v>0.2057149235405738</v>
      </c>
    </row>
    <row r="3387" spans="1:36">
      <c r="A3387" t="s">
        <v>494</v>
      </c>
      <c r="B3387" t="s">
        <v>3672</v>
      </c>
      <c r="C3387" t="s">
        <v>136</v>
      </c>
      <c r="D3387" t="s">
        <v>68</v>
      </c>
      <c r="E3387" t="s">
        <v>69</v>
      </c>
      <c r="F3387">
        <v>0</v>
      </c>
      <c r="G3387">
        <v>655</v>
      </c>
      <c r="H3387">
        <v>1</v>
      </c>
      <c r="I3387" t="s">
        <v>220</v>
      </c>
      <c r="J3387">
        <v>2</v>
      </c>
      <c r="K3387" s="6">
        <v>2.31</v>
      </c>
      <c r="L3387" t="s">
        <v>174</v>
      </c>
      <c r="M3387">
        <v>0</v>
      </c>
      <c r="N3387" t="s">
        <v>175</v>
      </c>
      <c r="O3387">
        <v>1</v>
      </c>
      <c r="P3387">
        <v>0</v>
      </c>
      <c r="Q3387" s="6">
        <v>33.700000000000003</v>
      </c>
      <c r="R3387">
        <v>0</v>
      </c>
      <c r="S3387" s="6">
        <v>0</v>
      </c>
      <c r="T3387">
        <v>0</v>
      </c>
      <c r="U3387" s="6">
        <v>3928</v>
      </c>
      <c r="V3387">
        <v>1</v>
      </c>
      <c r="W3387">
        <v>0</v>
      </c>
      <c r="X3387">
        <v>0</v>
      </c>
      <c r="Y3387" s="6">
        <v>39.299999999999997</v>
      </c>
      <c r="Z3387">
        <v>1.6E-2</v>
      </c>
      <c r="AA3387">
        <v>7.0000000000000007E-2</v>
      </c>
      <c r="AB3387">
        <v>4.8000000000000001E-2</v>
      </c>
      <c r="AC3387">
        <v>4</v>
      </c>
      <c r="AD3387" s="6">
        <v>70</v>
      </c>
      <c r="AE3387" s="6">
        <v>0</v>
      </c>
      <c r="AF3387" s="6">
        <v>0</v>
      </c>
      <c r="AG3387" s="6">
        <v>99.77</v>
      </c>
      <c r="AH3387" s="6">
        <v>126.55</v>
      </c>
      <c r="AI3387" s="6">
        <f t="shared" si="104"/>
        <v>26.78</v>
      </c>
      <c r="AJ3387" s="5">
        <f t="shared" si="105"/>
        <v>0.21161596207032796</v>
      </c>
    </row>
    <row r="3388" spans="1:36">
      <c r="A3388" t="s">
        <v>431</v>
      </c>
      <c r="B3388" t="s">
        <v>3673</v>
      </c>
      <c r="C3388" t="s">
        <v>136</v>
      </c>
      <c r="D3388" t="s">
        <v>68</v>
      </c>
      <c r="E3388" t="s">
        <v>69</v>
      </c>
      <c r="F3388">
        <v>0</v>
      </c>
      <c r="G3388">
        <v>655</v>
      </c>
      <c r="H3388">
        <v>1</v>
      </c>
      <c r="I3388" t="s">
        <v>220</v>
      </c>
      <c r="J3388">
        <v>2</v>
      </c>
      <c r="K3388" s="6">
        <v>4.29</v>
      </c>
      <c r="L3388" t="s">
        <v>174</v>
      </c>
      <c r="M3388">
        <v>0</v>
      </c>
      <c r="N3388" t="s">
        <v>182</v>
      </c>
      <c r="O3388">
        <v>3</v>
      </c>
      <c r="P3388">
        <v>0</v>
      </c>
      <c r="Q3388" s="6">
        <v>114.4</v>
      </c>
      <c r="R3388">
        <v>0</v>
      </c>
      <c r="S3388" s="6">
        <v>0</v>
      </c>
      <c r="T3388">
        <v>0</v>
      </c>
      <c r="U3388" s="6">
        <v>3474</v>
      </c>
      <c r="V3388">
        <v>0</v>
      </c>
      <c r="W3388">
        <v>0</v>
      </c>
      <c r="X3388">
        <v>0</v>
      </c>
      <c r="Y3388" s="6">
        <v>39.299999999999997</v>
      </c>
      <c r="Z3388">
        <v>1.6E-2</v>
      </c>
      <c r="AA3388">
        <v>7.0000000000000007E-2</v>
      </c>
      <c r="AB3388">
        <v>4.8000000000000001E-2</v>
      </c>
      <c r="AC3388">
        <v>4</v>
      </c>
      <c r="AD3388" s="6">
        <v>70</v>
      </c>
      <c r="AE3388" s="6">
        <v>0</v>
      </c>
      <c r="AF3388" s="6">
        <v>0</v>
      </c>
      <c r="AG3388" s="6">
        <v>80.64</v>
      </c>
      <c r="AH3388" s="6">
        <v>102.13</v>
      </c>
      <c r="AI3388" s="6">
        <f t="shared" si="104"/>
        <v>21.489999999999995</v>
      </c>
      <c r="AJ3388" s="5">
        <f t="shared" si="105"/>
        <v>0.21041809458533237</v>
      </c>
    </row>
    <row r="3389" spans="1:36">
      <c r="A3389" t="s">
        <v>179</v>
      </c>
      <c r="B3389" t="s">
        <v>3674</v>
      </c>
      <c r="C3389" t="s">
        <v>136</v>
      </c>
      <c r="D3389" t="s">
        <v>68</v>
      </c>
      <c r="E3389" t="s">
        <v>69</v>
      </c>
      <c r="F3389">
        <v>0</v>
      </c>
      <c r="G3389">
        <v>655</v>
      </c>
      <c r="H3389">
        <v>1</v>
      </c>
      <c r="I3389" t="s">
        <v>220</v>
      </c>
      <c r="J3389">
        <v>2</v>
      </c>
      <c r="K3389" s="6">
        <v>5.6</v>
      </c>
      <c r="L3389" t="s">
        <v>174</v>
      </c>
      <c r="M3389">
        <v>0</v>
      </c>
      <c r="N3389" t="s">
        <v>175</v>
      </c>
      <c r="O3389">
        <v>1</v>
      </c>
      <c r="P3389">
        <v>0</v>
      </c>
      <c r="Q3389" s="6">
        <v>35.5</v>
      </c>
      <c r="R3389">
        <v>0</v>
      </c>
      <c r="S3389" s="6">
        <v>0</v>
      </c>
      <c r="T3389">
        <v>0</v>
      </c>
      <c r="U3389" s="6">
        <v>1835</v>
      </c>
      <c r="V3389">
        <v>0</v>
      </c>
      <c r="W3389">
        <v>0</v>
      </c>
      <c r="X3389">
        <v>0</v>
      </c>
      <c r="Y3389" s="6">
        <v>39.299999999999997</v>
      </c>
      <c r="Z3389">
        <v>1.6E-2</v>
      </c>
      <c r="AA3389">
        <v>7.0000000000000007E-2</v>
      </c>
      <c r="AB3389">
        <v>4.8000000000000001E-2</v>
      </c>
      <c r="AC3389">
        <v>4</v>
      </c>
      <c r="AD3389" s="6">
        <v>70</v>
      </c>
      <c r="AE3389" s="6">
        <v>0</v>
      </c>
      <c r="AF3389" s="6">
        <v>0</v>
      </c>
      <c r="AG3389" s="6">
        <v>69.48</v>
      </c>
      <c r="AH3389" s="6">
        <v>88.2</v>
      </c>
      <c r="AI3389" s="6">
        <f t="shared" si="104"/>
        <v>18.72</v>
      </c>
      <c r="AJ3389" s="5">
        <f t="shared" si="105"/>
        <v>0.21224489795918366</v>
      </c>
    </row>
    <row r="3390" spans="1:36">
      <c r="A3390" t="s">
        <v>691</v>
      </c>
      <c r="B3390" t="s">
        <v>3675</v>
      </c>
      <c r="C3390" t="s">
        <v>136</v>
      </c>
      <c r="D3390" t="s">
        <v>68</v>
      </c>
      <c r="E3390" t="s">
        <v>69</v>
      </c>
      <c r="F3390">
        <v>0</v>
      </c>
      <c r="G3390">
        <v>655</v>
      </c>
      <c r="H3390">
        <v>1</v>
      </c>
      <c r="I3390" t="s">
        <v>220</v>
      </c>
      <c r="J3390">
        <v>2</v>
      </c>
      <c r="K3390" s="6">
        <v>5.71</v>
      </c>
      <c r="L3390" t="s">
        <v>174</v>
      </c>
      <c r="M3390">
        <v>0</v>
      </c>
      <c r="N3390" t="s">
        <v>182</v>
      </c>
      <c r="O3390">
        <v>3</v>
      </c>
      <c r="P3390">
        <v>0</v>
      </c>
      <c r="Q3390" s="6">
        <v>86.3</v>
      </c>
      <c r="R3390">
        <v>0</v>
      </c>
      <c r="S3390" s="6">
        <v>0</v>
      </c>
      <c r="T3390">
        <v>0</v>
      </c>
      <c r="U3390" s="6">
        <v>3769</v>
      </c>
      <c r="V3390">
        <v>0</v>
      </c>
      <c r="W3390">
        <v>0</v>
      </c>
      <c r="X3390">
        <v>0</v>
      </c>
      <c r="Y3390" s="6">
        <v>39.299999999999997</v>
      </c>
      <c r="Z3390">
        <v>1.6E-2</v>
      </c>
      <c r="AA3390">
        <v>7.0000000000000007E-2</v>
      </c>
      <c r="AB3390">
        <v>4.8000000000000001E-2</v>
      </c>
      <c r="AC3390">
        <v>4</v>
      </c>
      <c r="AD3390" s="6">
        <v>70</v>
      </c>
      <c r="AE3390" s="6">
        <v>0</v>
      </c>
      <c r="AF3390" s="6">
        <v>0</v>
      </c>
      <c r="AG3390" s="6">
        <v>81.349999999999994</v>
      </c>
      <c r="AH3390" s="6">
        <v>102.77</v>
      </c>
      <c r="AI3390" s="6">
        <f t="shared" si="104"/>
        <v>21.42</v>
      </c>
      <c r="AJ3390" s="5">
        <f t="shared" si="105"/>
        <v>0.20842658363335606</v>
      </c>
    </row>
    <row r="3391" spans="1:36">
      <c r="A3391" t="s">
        <v>225</v>
      </c>
      <c r="B3391" t="s">
        <v>3676</v>
      </c>
      <c r="C3391" t="s">
        <v>136</v>
      </c>
      <c r="D3391" t="s">
        <v>68</v>
      </c>
      <c r="E3391" t="s">
        <v>69</v>
      </c>
      <c r="F3391">
        <v>0</v>
      </c>
      <c r="G3391">
        <v>655</v>
      </c>
      <c r="H3391">
        <v>1</v>
      </c>
      <c r="I3391" t="s">
        <v>178</v>
      </c>
      <c r="J3391">
        <v>4</v>
      </c>
      <c r="K3391" s="6">
        <v>11.52</v>
      </c>
      <c r="L3391" t="s">
        <v>174</v>
      </c>
      <c r="M3391">
        <v>0</v>
      </c>
      <c r="N3391" t="s">
        <v>187</v>
      </c>
      <c r="O3391">
        <v>2</v>
      </c>
      <c r="P3391">
        <v>0</v>
      </c>
      <c r="Q3391" s="6">
        <v>57</v>
      </c>
      <c r="R3391">
        <v>0</v>
      </c>
      <c r="S3391" s="6">
        <v>0</v>
      </c>
      <c r="T3391">
        <v>0</v>
      </c>
      <c r="U3391" s="6">
        <v>5973</v>
      </c>
      <c r="V3391">
        <v>0</v>
      </c>
      <c r="W3391">
        <v>0</v>
      </c>
      <c r="X3391">
        <v>0</v>
      </c>
      <c r="Y3391" s="6">
        <v>39.299999999999997</v>
      </c>
      <c r="Z3391">
        <v>1.6E-2</v>
      </c>
      <c r="AA3391">
        <v>7.0000000000000007E-2</v>
      </c>
      <c r="AB3391">
        <v>4.8000000000000001E-2</v>
      </c>
      <c r="AC3391">
        <v>4</v>
      </c>
      <c r="AD3391" s="6">
        <v>125</v>
      </c>
      <c r="AE3391" s="6">
        <v>0</v>
      </c>
      <c r="AF3391" s="6">
        <v>0</v>
      </c>
      <c r="AG3391" s="6">
        <v>132.22999999999999</v>
      </c>
      <c r="AH3391" s="6">
        <v>168.88</v>
      </c>
      <c r="AI3391" s="6">
        <f t="shared" si="104"/>
        <v>36.650000000000006</v>
      </c>
      <c r="AJ3391" s="5">
        <f t="shared" si="105"/>
        <v>0.21701800094741833</v>
      </c>
    </row>
    <row r="3392" spans="1:36">
      <c r="A3392" t="s">
        <v>204</v>
      </c>
      <c r="B3392" t="s">
        <v>3677</v>
      </c>
      <c r="C3392" t="s">
        <v>136</v>
      </c>
      <c r="D3392" t="s">
        <v>68</v>
      </c>
      <c r="E3392" t="s">
        <v>69</v>
      </c>
      <c r="F3392">
        <v>0</v>
      </c>
      <c r="G3392">
        <v>655</v>
      </c>
      <c r="H3392">
        <v>1</v>
      </c>
      <c r="I3392" t="s">
        <v>173</v>
      </c>
      <c r="J3392">
        <v>1</v>
      </c>
      <c r="K3392" s="6">
        <v>1.49</v>
      </c>
      <c r="L3392" t="s">
        <v>174</v>
      </c>
      <c r="M3392">
        <v>0</v>
      </c>
      <c r="N3392" t="s">
        <v>217</v>
      </c>
      <c r="O3392">
        <v>4</v>
      </c>
      <c r="P3392">
        <v>1</v>
      </c>
      <c r="Q3392" s="6">
        <v>160.69999999999999</v>
      </c>
      <c r="R3392">
        <v>0</v>
      </c>
      <c r="S3392" s="6">
        <v>0</v>
      </c>
      <c r="T3392">
        <v>0</v>
      </c>
      <c r="U3392" s="6">
        <v>7777</v>
      </c>
      <c r="V3392">
        <v>0</v>
      </c>
      <c r="W3392">
        <v>0</v>
      </c>
      <c r="X3392">
        <v>0</v>
      </c>
      <c r="Y3392" s="6">
        <v>39.299999999999997</v>
      </c>
      <c r="Z3392">
        <v>1.6E-2</v>
      </c>
      <c r="AA3392">
        <v>7.0000000000000007E-2</v>
      </c>
      <c r="AB3392">
        <v>4.8000000000000001E-2</v>
      </c>
      <c r="AC3392">
        <v>4</v>
      </c>
      <c r="AD3392" s="6">
        <v>65</v>
      </c>
      <c r="AE3392" s="6">
        <v>0</v>
      </c>
      <c r="AF3392" s="6">
        <v>0</v>
      </c>
      <c r="AG3392" s="6">
        <v>108.72</v>
      </c>
      <c r="AH3392" s="6">
        <v>138.31</v>
      </c>
      <c r="AI3392" s="6">
        <f t="shared" si="104"/>
        <v>29.590000000000003</v>
      </c>
      <c r="AJ3392" s="5">
        <f t="shared" si="105"/>
        <v>0.21393970067240259</v>
      </c>
    </row>
    <row r="3393" spans="1:36">
      <c r="A3393" t="s">
        <v>194</v>
      </c>
      <c r="B3393" t="s">
        <v>3678</v>
      </c>
      <c r="C3393" t="s">
        <v>136</v>
      </c>
      <c r="D3393" t="s">
        <v>68</v>
      </c>
      <c r="E3393" t="s">
        <v>69</v>
      </c>
      <c r="F3393">
        <v>0</v>
      </c>
      <c r="G3393">
        <v>655</v>
      </c>
      <c r="H3393">
        <v>1</v>
      </c>
      <c r="I3393" t="s">
        <v>220</v>
      </c>
      <c r="J3393">
        <v>2</v>
      </c>
      <c r="K3393" s="6">
        <v>3.22</v>
      </c>
      <c r="L3393" t="s">
        <v>174</v>
      </c>
      <c r="M3393">
        <v>0</v>
      </c>
      <c r="N3393" t="s">
        <v>182</v>
      </c>
      <c r="O3393">
        <v>3</v>
      </c>
      <c r="P3393">
        <v>0</v>
      </c>
      <c r="Q3393" s="6">
        <v>129.1</v>
      </c>
      <c r="R3393">
        <v>0</v>
      </c>
      <c r="S3393" s="6">
        <v>0</v>
      </c>
      <c r="T3393">
        <v>0</v>
      </c>
      <c r="U3393" s="6">
        <v>4342</v>
      </c>
      <c r="V3393">
        <v>0</v>
      </c>
      <c r="W3393">
        <v>0</v>
      </c>
      <c r="X3393">
        <v>0</v>
      </c>
      <c r="Y3393" s="6">
        <v>39.299999999999997</v>
      </c>
      <c r="Z3393">
        <v>1.6E-2</v>
      </c>
      <c r="AA3393">
        <v>7.0000000000000007E-2</v>
      </c>
      <c r="AB3393">
        <v>4.8000000000000001E-2</v>
      </c>
      <c r="AC3393">
        <v>4</v>
      </c>
      <c r="AD3393" s="6">
        <v>70</v>
      </c>
      <c r="AE3393" s="6">
        <v>0</v>
      </c>
      <c r="AF3393" s="6">
        <v>0</v>
      </c>
      <c r="AG3393" s="6">
        <v>80.739999999999995</v>
      </c>
      <c r="AH3393" s="6">
        <v>104.06</v>
      </c>
      <c r="AI3393" s="6">
        <f t="shared" si="104"/>
        <v>23.320000000000007</v>
      </c>
      <c r="AJ3393" s="5">
        <f t="shared" si="105"/>
        <v>0.22410147991543347</v>
      </c>
    </row>
    <row r="3394" spans="1:36">
      <c r="A3394" t="s">
        <v>279</v>
      </c>
      <c r="B3394" t="s">
        <v>3679</v>
      </c>
      <c r="C3394" t="s">
        <v>136</v>
      </c>
      <c r="D3394" t="s">
        <v>68</v>
      </c>
      <c r="E3394" t="s">
        <v>69</v>
      </c>
      <c r="F3394">
        <v>0</v>
      </c>
      <c r="G3394">
        <v>655</v>
      </c>
      <c r="H3394">
        <v>1</v>
      </c>
      <c r="I3394" t="s">
        <v>181</v>
      </c>
      <c r="J3394">
        <v>3</v>
      </c>
      <c r="K3394" s="6">
        <v>5.53</v>
      </c>
      <c r="L3394" t="s">
        <v>174</v>
      </c>
      <c r="M3394">
        <v>0</v>
      </c>
      <c r="N3394" t="s">
        <v>217</v>
      </c>
      <c r="O3394">
        <v>4</v>
      </c>
      <c r="P3394">
        <v>1</v>
      </c>
      <c r="Q3394" s="6">
        <v>177.4</v>
      </c>
      <c r="R3394">
        <v>0</v>
      </c>
      <c r="S3394" s="6">
        <v>0</v>
      </c>
      <c r="T3394">
        <v>0</v>
      </c>
      <c r="U3394" s="6">
        <v>4007</v>
      </c>
      <c r="V3394">
        <v>0</v>
      </c>
      <c r="W3394">
        <v>0</v>
      </c>
      <c r="X3394">
        <v>0</v>
      </c>
      <c r="Y3394" s="6">
        <v>39.299999999999997</v>
      </c>
      <c r="Z3394">
        <v>1.6E-2</v>
      </c>
      <c r="AA3394">
        <v>7.0000000000000007E-2</v>
      </c>
      <c r="AB3394">
        <v>4.8000000000000001E-2</v>
      </c>
      <c r="AC3394">
        <v>4</v>
      </c>
      <c r="AD3394" s="6">
        <v>105</v>
      </c>
      <c r="AE3394" s="6">
        <v>0</v>
      </c>
      <c r="AF3394" s="6">
        <v>0</v>
      </c>
      <c r="AG3394" s="6">
        <v>130.46</v>
      </c>
      <c r="AH3394" s="6">
        <v>163.33000000000001</v>
      </c>
      <c r="AI3394" s="6">
        <f t="shared" ref="AI3394:AI3457" si="106">AH3394-AG3394</f>
        <v>32.870000000000005</v>
      </c>
      <c r="AJ3394" s="5">
        <f t="shared" ref="AJ3394:AJ3457" si="107">IFERROR(AI3394/AH3394,0)</f>
        <v>0.20124900508173638</v>
      </c>
    </row>
    <row r="3395" spans="1:36">
      <c r="A3395" t="s">
        <v>296</v>
      </c>
      <c r="B3395" t="s">
        <v>3680</v>
      </c>
      <c r="C3395" t="s">
        <v>136</v>
      </c>
      <c r="D3395" t="s">
        <v>68</v>
      </c>
      <c r="E3395" t="s">
        <v>69</v>
      </c>
      <c r="F3395">
        <v>0</v>
      </c>
      <c r="G3395">
        <v>655</v>
      </c>
      <c r="H3395">
        <v>1</v>
      </c>
      <c r="I3395" t="s">
        <v>220</v>
      </c>
      <c r="J3395">
        <v>2</v>
      </c>
      <c r="K3395" s="6">
        <v>3.85</v>
      </c>
      <c r="L3395" t="s">
        <v>174</v>
      </c>
      <c r="M3395">
        <v>0</v>
      </c>
      <c r="N3395" t="s">
        <v>187</v>
      </c>
      <c r="O3395">
        <v>2</v>
      </c>
      <c r="P3395">
        <v>0</v>
      </c>
      <c r="Q3395" s="6">
        <v>47.4</v>
      </c>
      <c r="R3395">
        <v>0</v>
      </c>
      <c r="S3395" s="6">
        <v>0</v>
      </c>
      <c r="T3395">
        <v>0</v>
      </c>
      <c r="U3395" s="6">
        <v>12024</v>
      </c>
      <c r="V3395">
        <v>0</v>
      </c>
      <c r="W3395">
        <v>0</v>
      </c>
      <c r="X3395">
        <v>0</v>
      </c>
      <c r="Y3395" s="6">
        <v>39.299999999999997</v>
      </c>
      <c r="Z3395">
        <v>1.6E-2</v>
      </c>
      <c r="AA3395">
        <v>7.0000000000000007E-2</v>
      </c>
      <c r="AB3395">
        <v>4.8000000000000001E-2</v>
      </c>
      <c r="AC3395">
        <v>4</v>
      </c>
      <c r="AD3395" s="6">
        <v>70</v>
      </c>
      <c r="AE3395" s="6">
        <v>0</v>
      </c>
      <c r="AF3395" s="6">
        <v>0</v>
      </c>
      <c r="AG3395" s="6">
        <v>75.03</v>
      </c>
      <c r="AH3395" s="6">
        <v>98.49</v>
      </c>
      <c r="AI3395" s="6">
        <f t="shared" si="106"/>
        <v>23.459999999999994</v>
      </c>
      <c r="AJ3395" s="5">
        <f t="shared" si="107"/>
        <v>0.23819677124581171</v>
      </c>
    </row>
    <row r="3396" spans="1:36">
      <c r="A3396" t="s">
        <v>291</v>
      </c>
      <c r="B3396" t="s">
        <v>3681</v>
      </c>
      <c r="C3396" t="s">
        <v>136</v>
      </c>
      <c r="D3396" t="s">
        <v>68</v>
      </c>
      <c r="E3396" t="s">
        <v>69</v>
      </c>
      <c r="F3396">
        <v>0</v>
      </c>
      <c r="G3396">
        <v>655</v>
      </c>
      <c r="H3396">
        <v>1</v>
      </c>
      <c r="I3396" t="s">
        <v>220</v>
      </c>
      <c r="J3396">
        <v>2</v>
      </c>
      <c r="K3396" s="6">
        <v>6.23</v>
      </c>
      <c r="L3396" t="s">
        <v>174</v>
      </c>
      <c r="M3396">
        <v>0</v>
      </c>
      <c r="N3396" t="s">
        <v>182</v>
      </c>
      <c r="O3396">
        <v>3</v>
      </c>
      <c r="P3396">
        <v>0</v>
      </c>
      <c r="Q3396" s="6">
        <v>69.900000000000006</v>
      </c>
      <c r="R3396">
        <v>0</v>
      </c>
      <c r="S3396" s="6">
        <v>0</v>
      </c>
      <c r="T3396">
        <v>0</v>
      </c>
      <c r="U3396" s="6">
        <v>4445</v>
      </c>
      <c r="V3396">
        <v>0</v>
      </c>
      <c r="W3396">
        <v>0</v>
      </c>
      <c r="X3396">
        <v>0</v>
      </c>
      <c r="Y3396" s="6">
        <v>39.299999999999997</v>
      </c>
      <c r="Z3396">
        <v>1.6E-2</v>
      </c>
      <c r="AA3396">
        <v>7.0000000000000007E-2</v>
      </c>
      <c r="AB3396">
        <v>4.8000000000000001E-2</v>
      </c>
      <c r="AC3396">
        <v>4</v>
      </c>
      <c r="AD3396" s="6">
        <v>70</v>
      </c>
      <c r="AE3396" s="6">
        <v>0</v>
      </c>
      <c r="AF3396" s="6">
        <v>0</v>
      </c>
      <c r="AG3396" s="6">
        <v>78.19</v>
      </c>
      <c r="AH3396" s="6">
        <v>97.73</v>
      </c>
      <c r="AI3396" s="6">
        <f t="shared" si="106"/>
        <v>19.540000000000006</v>
      </c>
      <c r="AJ3396" s="5">
        <f t="shared" si="107"/>
        <v>0.19993860636447361</v>
      </c>
    </row>
    <row r="3397" spans="1:36">
      <c r="A3397" t="s">
        <v>263</v>
      </c>
      <c r="B3397" t="s">
        <v>3682</v>
      </c>
      <c r="C3397" t="s">
        <v>136</v>
      </c>
      <c r="D3397" t="s">
        <v>68</v>
      </c>
      <c r="E3397" t="s">
        <v>69</v>
      </c>
      <c r="F3397">
        <v>0</v>
      </c>
      <c r="G3397">
        <v>655</v>
      </c>
      <c r="H3397">
        <v>1</v>
      </c>
      <c r="I3397" t="s">
        <v>181</v>
      </c>
      <c r="J3397">
        <v>3</v>
      </c>
      <c r="K3397" s="6">
        <v>7.34</v>
      </c>
      <c r="L3397" t="s">
        <v>174</v>
      </c>
      <c r="M3397">
        <v>0</v>
      </c>
      <c r="N3397" t="s">
        <v>217</v>
      </c>
      <c r="O3397">
        <v>4</v>
      </c>
      <c r="P3397">
        <v>1</v>
      </c>
      <c r="Q3397" s="6">
        <v>168.6</v>
      </c>
      <c r="R3397">
        <v>0</v>
      </c>
      <c r="S3397" s="6">
        <v>0</v>
      </c>
      <c r="T3397">
        <v>0</v>
      </c>
      <c r="U3397" s="6">
        <v>10797</v>
      </c>
      <c r="V3397">
        <v>0</v>
      </c>
      <c r="W3397">
        <v>0</v>
      </c>
      <c r="X3397">
        <v>0</v>
      </c>
      <c r="Y3397" s="6">
        <v>39.299999999999997</v>
      </c>
      <c r="Z3397">
        <v>1.6E-2</v>
      </c>
      <c r="AA3397">
        <v>7.0000000000000007E-2</v>
      </c>
      <c r="AB3397">
        <v>4.8000000000000001E-2</v>
      </c>
      <c r="AC3397">
        <v>4</v>
      </c>
      <c r="AD3397" s="6">
        <v>105</v>
      </c>
      <c r="AE3397" s="6">
        <v>0</v>
      </c>
      <c r="AF3397" s="6">
        <v>0</v>
      </c>
      <c r="AG3397" s="6">
        <v>135.1</v>
      </c>
      <c r="AH3397" s="6">
        <v>169.05</v>
      </c>
      <c r="AI3397" s="6">
        <f t="shared" si="106"/>
        <v>33.950000000000017</v>
      </c>
      <c r="AJ3397" s="5">
        <f t="shared" si="107"/>
        <v>0.20082815734989656</v>
      </c>
    </row>
    <row r="3398" spans="1:36">
      <c r="A3398" t="s">
        <v>236</v>
      </c>
      <c r="B3398" t="s">
        <v>3683</v>
      </c>
      <c r="C3398" t="s">
        <v>136</v>
      </c>
      <c r="D3398" t="s">
        <v>68</v>
      </c>
      <c r="E3398" t="s">
        <v>69</v>
      </c>
      <c r="F3398">
        <v>0</v>
      </c>
      <c r="G3398">
        <v>655</v>
      </c>
      <c r="H3398">
        <v>1</v>
      </c>
      <c r="I3398" t="s">
        <v>220</v>
      </c>
      <c r="J3398">
        <v>2</v>
      </c>
      <c r="K3398" s="6">
        <v>3.46</v>
      </c>
      <c r="L3398" t="s">
        <v>174</v>
      </c>
      <c r="M3398">
        <v>0</v>
      </c>
      <c r="N3398" t="s">
        <v>175</v>
      </c>
      <c r="O3398">
        <v>1</v>
      </c>
      <c r="P3398">
        <v>0</v>
      </c>
      <c r="Q3398" s="6">
        <v>39.1</v>
      </c>
      <c r="R3398">
        <v>0</v>
      </c>
      <c r="S3398" s="6">
        <v>0</v>
      </c>
      <c r="T3398">
        <v>0</v>
      </c>
      <c r="U3398" s="6">
        <v>3231</v>
      </c>
      <c r="V3398">
        <v>0</v>
      </c>
      <c r="W3398">
        <v>0</v>
      </c>
      <c r="X3398">
        <v>0</v>
      </c>
      <c r="Y3398" s="6">
        <v>39.299999999999997</v>
      </c>
      <c r="Z3398">
        <v>1.6E-2</v>
      </c>
      <c r="AA3398">
        <v>7.0000000000000007E-2</v>
      </c>
      <c r="AB3398">
        <v>4.8000000000000001E-2</v>
      </c>
      <c r="AC3398">
        <v>4</v>
      </c>
      <c r="AD3398" s="6">
        <v>70</v>
      </c>
      <c r="AE3398" s="6">
        <v>0</v>
      </c>
      <c r="AF3398" s="6">
        <v>0</v>
      </c>
      <c r="AG3398" s="6">
        <v>63.48</v>
      </c>
      <c r="AH3398" s="6">
        <v>79.83</v>
      </c>
      <c r="AI3398" s="6">
        <f t="shared" si="106"/>
        <v>16.350000000000001</v>
      </c>
      <c r="AJ3398" s="5">
        <f t="shared" si="107"/>
        <v>0.20481022172115748</v>
      </c>
    </row>
    <row r="3399" spans="1:36">
      <c r="A3399" t="s">
        <v>296</v>
      </c>
      <c r="B3399" t="s">
        <v>3684</v>
      </c>
      <c r="C3399" t="s">
        <v>136</v>
      </c>
      <c r="D3399" t="s">
        <v>68</v>
      </c>
      <c r="E3399" t="s">
        <v>69</v>
      </c>
      <c r="F3399">
        <v>0</v>
      </c>
      <c r="G3399">
        <v>655</v>
      </c>
      <c r="H3399">
        <v>1</v>
      </c>
      <c r="I3399" t="s">
        <v>173</v>
      </c>
      <c r="J3399">
        <v>1</v>
      </c>
      <c r="K3399" s="6">
        <v>1.78</v>
      </c>
      <c r="L3399" t="s">
        <v>174</v>
      </c>
      <c r="M3399">
        <v>0</v>
      </c>
      <c r="N3399" t="s">
        <v>175</v>
      </c>
      <c r="O3399">
        <v>1</v>
      </c>
      <c r="P3399">
        <v>0</v>
      </c>
      <c r="Q3399" s="6">
        <v>24.5</v>
      </c>
      <c r="R3399">
        <v>0</v>
      </c>
      <c r="S3399" s="6">
        <v>0</v>
      </c>
      <c r="T3399">
        <v>0</v>
      </c>
      <c r="U3399" s="6">
        <v>2262</v>
      </c>
      <c r="V3399">
        <v>0</v>
      </c>
      <c r="W3399">
        <v>0</v>
      </c>
      <c r="X3399">
        <v>0</v>
      </c>
      <c r="Y3399" s="6">
        <v>39.299999999999997</v>
      </c>
      <c r="Z3399">
        <v>1.6E-2</v>
      </c>
      <c r="AA3399">
        <v>7.0000000000000007E-2</v>
      </c>
      <c r="AB3399">
        <v>4.8000000000000001E-2</v>
      </c>
      <c r="AC3399">
        <v>4</v>
      </c>
      <c r="AD3399" s="6">
        <v>65</v>
      </c>
      <c r="AE3399" s="6">
        <v>0</v>
      </c>
      <c r="AF3399" s="6">
        <v>0</v>
      </c>
      <c r="AG3399" s="6">
        <v>62.63</v>
      </c>
      <c r="AH3399" s="6">
        <v>81.099999999999994</v>
      </c>
      <c r="AI3399" s="6">
        <f t="shared" si="106"/>
        <v>18.469999999999992</v>
      </c>
      <c r="AJ3399" s="5">
        <f t="shared" si="107"/>
        <v>0.2277435265104808</v>
      </c>
    </row>
    <row r="3400" spans="1:36">
      <c r="A3400" t="s">
        <v>381</v>
      </c>
      <c r="B3400" t="s">
        <v>3685</v>
      </c>
      <c r="C3400" t="s">
        <v>136</v>
      </c>
      <c r="D3400" t="s">
        <v>68</v>
      </c>
      <c r="E3400" t="s">
        <v>69</v>
      </c>
      <c r="F3400">
        <v>0</v>
      </c>
      <c r="G3400">
        <v>655</v>
      </c>
      <c r="H3400">
        <v>1</v>
      </c>
      <c r="I3400" t="s">
        <v>173</v>
      </c>
      <c r="J3400">
        <v>1</v>
      </c>
      <c r="K3400" s="6">
        <v>1.97</v>
      </c>
      <c r="L3400" t="s">
        <v>174</v>
      </c>
      <c r="M3400">
        <v>0</v>
      </c>
      <c r="N3400" t="s">
        <v>182</v>
      </c>
      <c r="O3400">
        <v>3</v>
      </c>
      <c r="P3400">
        <v>0</v>
      </c>
      <c r="Q3400" s="6">
        <v>110.3</v>
      </c>
      <c r="R3400">
        <v>0</v>
      </c>
      <c r="S3400" s="6">
        <v>0</v>
      </c>
      <c r="T3400">
        <v>0</v>
      </c>
      <c r="U3400" s="6">
        <v>6760</v>
      </c>
      <c r="V3400">
        <v>0</v>
      </c>
      <c r="W3400">
        <v>0</v>
      </c>
      <c r="X3400">
        <v>0</v>
      </c>
      <c r="Y3400" s="6">
        <v>39.299999999999997</v>
      </c>
      <c r="Z3400">
        <v>1.6E-2</v>
      </c>
      <c r="AA3400">
        <v>7.0000000000000007E-2</v>
      </c>
      <c r="AB3400">
        <v>4.8000000000000001E-2</v>
      </c>
      <c r="AC3400">
        <v>4</v>
      </c>
      <c r="AD3400" s="6">
        <v>65</v>
      </c>
      <c r="AE3400" s="6">
        <v>0</v>
      </c>
      <c r="AF3400" s="6">
        <v>0</v>
      </c>
      <c r="AG3400" s="6">
        <v>72.39</v>
      </c>
      <c r="AH3400" s="6">
        <v>94.07</v>
      </c>
      <c r="AI3400" s="6">
        <f t="shared" si="106"/>
        <v>21.679999999999993</v>
      </c>
      <c r="AJ3400" s="5">
        <f t="shared" si="107"/>
        <v>0.2304666737535877</v>
      </c>
    </row>
    <row r="3401" spans="1:36">
      <c r="A3401" t="s">
        <v>401</v>
      </c>
      <c r="B3401" t="s">
        <v>3686</v>
      </c>
      <c r="C3401" t="s">
        <v>136</v>
      </c>
      <c r="D3401" t="s">
        <v>68</v>
      </c>
      <c r="E3401" t="s">
        <v>69</v>
      </c>
      <c r="F3401">
        <v>0</v>
      </c>
      <c r="G3401">
        <v>655</v>
      </c>
      <c r="H3401">
        <v>1</v>
      </c>
      <c r="I3401" t="s">
        <v>220</v>
      </c>
      <c r="J3401">
        <v>2</v>
      </c>
      <c r="K3401" s="6">
        <v>4.55</v>
      </c>
      <c r="L3401" t="s">
        <v>174</v>
      </c>
      <c r="M3401">
        <v>0</v>
      </c>
      <c r="N3401" t="s">
        <v>175</v>
      </c>
      <c r="O3401">
        <v>1</v>
      </c>
      <c r="P3401">
        <v>0</v>
      </c>
      <c r="Q3401" s="6">
        <v>42.5</v>
      </c>
      <c r="R3401">
        <v>0</v>
      </c>
      <c r="S3401" s="6">
        <v>0</v>
      </c>
      <c r="T3401">
        <v>0</v>
      </c>
      <c r="U3401" s="6">
        <v>3729</v>
      </c>
      <c r="V3401">
        <v>0</v>
      </c>
      <c r="W3401">
        <v>0</v>
      </c>
      <c r="X3401">
        <v>0</v>
      </c>
      <c r="Y3401" s="6">
        <v>39.299999999999997</v>
      </c>
      <c r="Z3401">
        <v>1.6E-2</v>
      </c>
      <c r="AA3401">
        <v>7.0000000000000007E-2</v>
      </c>
      <c r="AB3401">
        <v>4.8000000000000001E-2</v>
      </c>
      <c r="AC3401">
        <v>4</v>
      </c>
      <c r="AD3401" s="6">
        <v>70</v>
      </c>
      <c r="AE3401" s="6">
        <v>0</v>
      </c>
      <c r="AF3401" s="6">
        <v>0</v>
      </c>
      <c r="AG3401" s="6">
        <v>66.02</v>
      </c>
      <c r="AH3401" s="6">
        <v>86.17</v>
      </c>
      <c r="AI3401" s="6">
        <f t="shared" si="106"/>
        <v>20.150000000000006</v>
      </c>
      <c r="AJ3401" s="5">
        <f t="shared" si="107"/>
        <v>0.23384008355576194</v>
      </c>
    </row>
    <row r="3402" spans="1:36">
      <c r="A3402" t="s">
        <v>355</v>
      </c>
      <c r="B3402" t="s">
        <v>3687</v>
      </c>
      <c r="C3402" t="s">
        <v>136</v>
      </c>
      <c r="D3402" t="s">
        <v>68</v>
      </c>
      <c r="E3402" t="s">
        <v>69</v>
      </c>
      <c r="F3402">
        <v>0</v>
      </c>
      <c r="G3402">
        <v>655</v>
      </c>
      <c r="H3402">
        <v>1</v>
      </c>
      <c r="I3402" t="s">
        <v>220</v>
      </c>
      <c r="J3402">
        <v>2</v>
      </c>
      <c r="K3402" s="6">
        <v>5.51</v>
      </c>
      <c r="L3402" t="s">
        <v>174</v>
      </c>
      <c r="M3402">
        <v>0</v>
      </c>
      <c r="N3402" t="s">
        <v>182</v>
      </c>
      <c r="O3402">
        <v>3</v>
      </c>
      <c r="P3402">
        <v>0</v>
      </c>
      <c r="Q3402" s="6">
        <v>113</v>
      </c>
      <c r="R3402">
        <v>0</v>
      </c>
      <c r="S3402" s="6">
        <v>0</v>
      </c>
      <c r="T3402">
        <v>0</v>
      </c>
      <c r="U3402" s="6">
        <v>3155</v>
      </c>
      <c r="V3402">
        <v>0</v>
      </c>
      <c r="W3402">
        <v>0</v>
      </c>
      <c r="X3402">
        <v>0</v>
      </c>
      <c r="Y3402" s="6">
        <v>39.299999999999997</v>
      </c>
      <c r="Z3402">
        <v>1.6E-2</v>
      </c>
      <c r="AA3402">
        <v>7.0000000000000007E-2</v>
      </c>
      <c r="AB3402">
        <v>4.8000000000000001E-2</v>
      </c>
      <c r="AC3402">
        <v>4</v>
      </c>
      <c r="AD3402" s="6">
        <v>70</v>
      </c>
      <c r="AE3402" s="6">
        <v>0</v>
      </c>
      <c r="AF3402" s="6">
        <v>0</v>
      </c>
      <c r="AG3402" s="6">
        <v>70.62</v>
      </c>
      <c r="AH3402" s="6">
        <v>91.68</v>
      </c>
      <c r="AI3402" s="6">
        <f t="shared" si="106"/>
        <v>21.060000000000002</v>
      </c>
      <c r="AJ3402" s="5">
        <f t="shared" si="107"/>
        <v>0.22971204188481675</v>
      </c>
    </row>
    <row r="3403" spans="1:36">
      <c r="A3403" t="s">
        <v>353</v>
      </c>
      <c r="B3403" t="s">
        <v>3688</v>
      </c>
      <c r="C3403" t="s">
        <v>136</v>
      </c>
      <c r="D3403" t="s">
        <v>68</v>
      </c>
      <c r="E3403" t="s">
        <v>69</v>
      </c>
      <c r="F3403">
        <v>0</v>
      </c>
      <c r="G3403">
        <v>655</v>
      </c>
      <c r="H3403">
        <v>1</v>
      </c>
      <c r="I3403" t="s">
        <v>220</v>
      </c>
      <c r="J3403">
        <v>2</v>
      </c>
      <c r="K3403" s="6">
        <v>5.16</v>
      </c>
      <c r="L3403" t="s">
        <v>174</v>
      </c>
      <c r="M3403">
        <v>0</v>
      </c>
      <c r="N3403" t="s">
        <v>187</v>
      </c>
      <c r="O3403">
        <v>2</v>
      </c>
      <c r="P3403">
        <v>0</v>
      </c>
      <c r="Q3403" s="6">
        <v>70</v>
      </c>
      <c r="R3403">
        <v>0</v>
      </c>
      <c r="S3403" s="6">
        <v>0</v>
      </c>
      <c r="T3403">
        <v>0</v>
      </c>
      <c r="U3403" s="6">
        <v>3771</v>
      </c>
      <c r="V3403">
        <v>0</v>
      </c>
      <c r="W3403">
        <v>0</v>
      </c>
      <c r="X3403">
        <v>0</v>
      </c>
      <c r="Y3403" s="6">
        <v>39.299999999999997</v>
      </c>
      <c r="Z3403">
        <v>1.6E-2</v>
      </c>
      <c r="AA3403">
        <v>7.0000000000000007E-2</v>
      </c>
      <c r="AB3403">
        <v>4.8000000000000001E-2</v>
      </c>
      <c r="AC3403">
        <v>4</v>
      </c>
      <c r="AD3403" s="6">
        <v>70</v>
      </c>
      <c r="AE3403" s="6">
        <v>0</v>
      </c>
      <c r="AF3403" s="6">
        <v>0</v>
      </c>
      <c r="AG3403" s="6">
        <v>75.86</v>
      </c>
      <c r="AH3403" s="6">
        <v>99.73</v>
      </c>
      <c r="AI3403" s="6">
        <f t="shared" si="106"/>
        <v>23.870000000000005</v>
      </c>
      <c r="AJ3403" s="5">
        <f t="shared" si="107"/>
        <v>0.23934623483405199</v>
      </c>
    </row>
    <row r="3404" spans="1:36">
      <c r="A3404" t="s">
        <v>245</v>
      </c>
      <c r="B3404" t="s">
        <v>3689</v>
      </c>
      <c r="C3404" t="s">
        <v>136</v>
      </c>
      <c r="D3404" t="s">
        <v>68</v>
      </c>
      <c r="E3404" t="s">
        <v>69</v>
      </c>
      <c r="F3404">
        <v>0</v>
      </c>
      <c r="G3404">
        <v>655</v>
      </c>
      <c r="H3404">
        <v>1</v>
      </c>
      <c r="I3404" t="s">
        <v>220</v>
      </c>
      <c r="J3404">
        <v>2</v>
      </c>
      <c r="K3404" s="6">
        <v>4.9800000000000004</v>
      </c>
      <c r="L3404" t="s">
        <v>174</v>
      </c>
      <c r="M3404">
        <v>0</v>
      </c>
      <c r="N3404" t="s">
        <v>182</v>
      </c>
      <c r="O3404">
        <v>3</v>
      </c>
      <c r="P3404">
        <v>0</v>
      </c>
      <c r="Q3404" s="6">
        <v>84.5</v>
      </c>
      <c r="R3404">
        <v>0</v>
      </c>
      <c r="S3404" s="6">
        <v>0</v>
      </c>
      <c r="T3404">
        <v>0</v>
      </c>
      <c r="U3404" s="6">
        <v>3521</v>
      </c>
      <c r="V3404">
        <v>0</v>
      </c>
      <c r="W3404">
        <v>0</v>
      </c>
      <c r="X3404">
        <v>0</v>
      </c>
      <c r="Y3404" s="6">
        <v>39.299999999999997</v>
      </c>
      <c r="Z3404">
        <v>1.6E-2</v>
      </c>
      <c r="AA3404">
        <v>7.0000000000000007E-2</v>
      </c>
      <c r="AB3404">
        <v>4.8000000000000001E-2</v>
      </c>
      <c r="AC3404">
        <v>4</v>
      </c>
      <c r="AD3404" s="6">
        <v>70</v>
      </c>
      <c r="AE3404" s="6">
        <v>0</v>
      </c>
      <c r="AF3404" s="6">
        <v>0</v>
      </c>
      <c r="AG3404" s="6">
        <v>79.53</v>
      </c>
      <c r="AH3404" s="6">
        <v>100.28</v>
      </c>
      <c r="AI3404" s="6">
        <f t="shared" si="106"/>
        <v>20.75</v>
      </c>
      <c r="AJ3404" s="5">
        <f t="shared" si="107"/>
        <v>0.20692062225767849</v>
      </c>
    </row>
    <row r="3405" spans="1:36">
      <c r="A3405" t="s">
        <v>293</v>
      </c>
      <c r="B3405" t="s">
        <v>3690</v>
      </c>
      <c r="C3405" t="s">
        <v>136</v>
      </c>
      <c r="D3405" t="s">
        <v>68</v>
      </c>
      <c r="E3405" t="s">
        <v>69</v>
      </c>
      <c r="F3405">
        <v>0</v>
      </c>
      <c r="G3405">
        <v>655</v>
      </c>
      <c r="H3405">
        <v>1</v>
      </c>
      <c r="I3405" t="s">
        <v>220</v>
      </c>
      <c r="J3405">
        <v>2</v>
      </c>
      <c r="K3405" s="6">
        <v>5.31</v>
      </c>
      <c r="L3405" t="s">
        <v>174</v>
      </c>
      <c r="M3405">
        <v>0</v>
      </c>
      <c r="N3405" t="s">
        <v>217</v>
      </c>
      <c r="O3405">
        <v>4</v>
      </c>
      <c r="P3405">
        <v>1</v>
      </c>
      <c r="Q3405" s="6">
        <v>192</v>
      </c>
      <c r="R3405">
        <v>0</v>
      </c>
      <c r="S3405" s="6">
        <v>0</v>
      </c>
      <c r="T3405">
        <v>0</v>
      </c>
      <c r="U3405" s="6">
        <v>2631</v>
      </c>
      <c r="V3405">
        <v>0</v>
      </c>
      <c r="W3405">
        <v>0</v>
      </c>
      <c r="X3405">
        <v>0</v>
      </c>
      <c r="Y3405" s="6">
        <v>39.299999999999997</v>
      </c>
      <c r="Z3405">
        <v>1.6E-2</v>
      </c>
      <c r="AA3405">
        <v>7.0000000000000007E-2</v>
      </c>
      <c r="AB3405">
        <v>4.8000000000000001E-2</v>
      </c>
      <c r="AC3405">
        <v>4</v>
      </c>
      <c r="AD3405" s="6">
        <v>70</v>
      </c>
      <c r="AE3405" s="6">
        <v>0</v>
      </c>
      <c r="AF3405" s="6">
        <v>0</v>
      </c>
      <c r="AG3405" s="6">
        <v>112.68</v>
      </c>
      <c r="AH3405" s="6">
        <v>142.36000000000001</v>
      </c>
      <c r="AI3405" s="6">
        <f t="shared" si="106"/>
        <v>29.680000000000007</v>
      </c>
      <c r="AJ3405" s="5">
        <f t="shared" si="107"/>
        <v>0.20848552964315822</v>
      </c>
    </row>
    <row r="3406" spans="1:36">
      <c r="A3406" t="s">
        <v>243</v>
      </c>
      <c r="B3406" t="s">
        <v>3691</v>
      </c>
      <c r="C3406" t="s">
        <v>136</v>
      </c>
      <c r="D3406" t="s">
        <v>68</v>
      </c>
      <c r="E3406" t="s">
        <v>69</v>
      </c>
      <c r="F3406">
        <v>0</v>
      </c>
      <c r="G3406">
        <v>655</v>
      </c>
      <c r="H3406">
        <v>1</v>
      </c>
      <c r="I3406" t="s">
        <v>220</v>
      </c>
      <c r="J3406">
        <v>2</v>
      </c>
      <c r="K3406" s="6">
        <v>3.76</v>
      </c>
      <c r="L3406" t="s">
        <v>174</v>
      </c>
      <c r="M3406">
        <v>0</v>
      </c>
      <c r="N3406" t="s">
        <v>187</v>
      </c>
      <c r="O3406">
        <v>2</v>
      </c>
      <c r="P3406">
        <v>0</v>
      </c>
      <c r="Q3406" s="6">
        <v>56.7</v>
      </c>
      <c r="R3406">
        <v>0</v>
      </c>
      <c r="S3406" s="6">
        <v>0</v>
      </c>
      <c r="T3406">
        <v>0</v>
      </c>
      <c r="U3406" s="6">
        <v>8533</v>
      </c>
      <c r="V3406">
        <v>0</v>
      </c>
      <c r="W3406">
        <v>0</v>
      </c>
      <c r="X3406">
        <v>0</v>
      </c>
      <c r="Y3406" s="6">
        <v>39.299999999999997</v>
      </c>
      <c r="Z3406">
        <v>1.6E-2</v>
      </c>
      <c r="AA3406">
        <v>7.0000000000000007E-2</v>
      </c>
      <c r="AB3406">
        <v>4.8000000000000001E-2</v>
      </c>
      <c r="AC3406">
        <v>4</v>
      </c>
      <c r="AD3406" s="6">
        <v>70</v>
      </c>
      <c r="AE3406" s="6">
        <v>0</v>
      </c>
      <c r="AF3406" s="6">
        <v>0</v>
      </c>
      <c r="AG3406" s="6">
        <v>69.540000000000006</v>
      </c>
      <c r="AH3406" s="6">
        <v>90.77</v>
      </c>
      <c r="AI3406" s="6">
        <f t="shared" si="106"/>
        <v>21.22999999999999</v>
      </c>
      <c r="AJ3406" s="5">
        <f t="shared" si="107"/>
        <v>0.23388784840806423</v>
      </c>
    </row>
    <row r="3407" spans="1:36">
      <c r="A3407" t="s">
        <v>194</v>
      </c>
      <c r="B3407" t="s">
        <v>3692</v>
      </c>
      <c r="C3407" t="s">
        <v>136</v>
      </c>
      <c r="D3407" t="s">
        <v>68</v>
      </c>
      <c r="E3407" t="s">
        <v>69</v>
      </c>
      <c r="F3407">
        <v>0</v>
      </c>
      <c r="G3407">
        <v>655</v>
      </c>
      <c r="H3407">
        <v>1</v>
      </c>
      <c r="I3407" t="s">
        <v>173</v>
      </c>
      <c r="J3407">
        <v>1</v>
      </c>
      <c r="K3407" s="6">
        <v>2.75</v>
      </c>
      <c r="L3407" t="s">
        <v>174</v>
      </c>
      <c r="M3407">
        <v>0</v>
      </c>
      <c r="N3407" t="s">
        <v>182</v>
      </c>
      <c r="O3407">
        <v>3</v>
      </c>
      <c r="P3407">
        <v>0</v>
      </c>
      <c r="Q3407" s="6">
        <v>80.900000000000006</v>
      </c>
      <c r="R3407">
        <v>0</v>
      </c>
      <c r="S3407" s="6">
        <v>0</v>
      </c>
      <c r="T3407">
        <v>0</v>
      </c>
      <c r="U3407" s="6">
        <v>2065</v>
      </c>
      <c r="V3407">
        <v>0</v>
      </c>
      <c r="W3407">
        <v>0</v>
      </c>
      <c r="X3407">
        <v>0</v>
      </c>
      <c r="Y3407" s="6">
        <v>39.299999999999997</v>
      </c>
      <c r="Z3407">
        <v>1.6E-2</v>
      </c>
      <c r="AA3407">
        <v>7.0000000000000007E-2</v>
      </c>
      <c r="AB3407">
        <v>4.8000000000000001E-2</v>
      </c>
      <c r="AC3407">
        <v>4</v>
      </c>
      <c r="AD3407" s="6">
        <v>65</v>
      </c>
      <c r="AE3407" s="6">
        <v>0</v>
      </c>
      <c r="AF3407" s="6">
        <v>0</v>
      </c>
      <c r="AG3407" s="6">
        <v>80.459999999999994</v>
      </c>
      <c r="AH3407" s="6">
        <v>104.93</v>
      </c>
      <c r="AI3407" s="6">
        <f t="shared" si="106"/>
        <v>24.470000000000013</v>
      </c>
      <c r="AJ3407" s="5">
        <f t="shared" si="107"/>
        <v>0.23320308777280102</v>
      </c>
    </row>
    <row r="3408" spans="1:36">
      <c r="A3408" t="s">
        <v>316</v>
      </c>
      <c r="B3408" t="s">
        <v>3693</v>
      </c>
      <c r="C3408" t="s">
        <v>136</v>
      </c>
      <c r="D3408" t="s">
        <v>68</v>
      </c>
      <c r="E3408" t="s">
        <v>69</v>
      </c>
      <c r="F3408">
        <v>0</v>
      </c>
      <c r="G3408">
        <v>655</v>
      </c>
      <c r="H3408">
        <v>1</v>
      </c>
      <c r="I3408" t="s">
        <v>178</v>
      </c>
      <c r="J3408">
        <v>4</v>
      </c>
      <c r="K3408" s="6">
        <v>9.64</v>
      </c>
      <c r="L3408" t="s">
        <v>174</v>
      </c>
      <c r="M3408">
        <v>0</v>
      </c>
      <c r="N3408" t="s">
        <v>182</v>
      </c>
      <c r="O3408">
        <v>3</v>
      </c>
      <c r="P3408">
        <v>0</v>
      </c>
      <c r="Q3408" s="6">
        <v>129.19999999999999</v>
      </c>
      <c r="R3408">
        <v>0</v>
      </c>
      <c r="S3408" s="6">
        <v>0</v>
      </c>
      <c r="T3408">
        <v>0</v>
      </c>
      <c r="U3408" s="6">
        <v>4074</v>
      </c>
      <c r="V3408">
        <v>0</v>
      </c>
      <c r="W3408">
        <v>0</v>
      </c>
      <c r="X3408">
        <v>0</v>
      </c>
      <c r="Y3408" s="6">
        <v>39.299999999999997</v>
      </c>
      <c r="Z3408">
        <v>1.6E-2</v>
      </c>
      <c r="AA3408">
        <v>7.0000000000000007E-2</v>
      </c>
      <c r="AB3408">
        <v>4.8000000000000001E-2</v>
      </c>
      <c r="AC3408">
        <v>4</v>
      </c>
      <c r="AD3408" s="6">
        <v>125</v>
      </c>
      <c r="AE3408" s="6">
        <v>0</v>
      </c>
      <c r="AF3408" s="6">
        <v>0</v>
      </c>
      <c r="AG3408" s="6">
        <v>131.19999999999999</v>
      </c>
      <c r="AH3408" s="6">
        <v>167.31</v>
      </c>
      <c r="AI3408" s="6">
        <f t="shared" si="106"/>
        <v>36.110000000000014</v>
      </c>
      <c r="AJ3408" s="5">
        <f t="shared" si="107"/>
        <v>0.21582690813460051</v>
      </c>
    </row>
    <row r="3409" spans="1:36">
      <c r="A3409" t="s">
        <v>210</v>
      </c>
      <c r="B3409" t="s">
        <v>3694</v>
      </c>
      <c r="C3409" t="s">
        <v>136</v>
      </c>
      <c r="D3409" t="s">
        <v>68</v>
      </c>
      <c r="E3409" t="s">
        <v>69</v>
      </c>
      <c r="F3409">
        <v>0</v>
      </c>
      <c r="G3409">
        <v>655</v>
      </c>
      <c r="H3409">
        <v>1</v>
      </c>
      <c r="I3409" t="s">
        <v>220</v>
      </c>
      <c r="J3409">
        <v>2</v>
      </c>
      <c r="K3409" s="6">
        <v>4.12</v>
      </c>
      <c r="L3409" t="s">
        <v>174</v>
      </c>
      <c r="M3409">
        <v>0</v>
      </c>
      <c r="N3409" t="s">
        <v>272</v>
      </c>
      <c r="O3409">
        <v>5</v>
      </c>
      <c r="P3409">
        <v>1</v>
      </c>
      <c r="Q3409" s="6">
        <v>320.3</v>
      </c>
      <c r="R3409">
        <v>0</v>
      </c>
      <c r="S3409" s="6">
        <v>0</v>
      </c>
      <c r="T3409">
        <v>0</v>
      </c>
      <c r="U3409" s="6">
        <v>1768</v>
      </c>
      <c r="V3409">
        <v>0</v>
      </c>
      <c r="W3409">
        <v>0</v>
      </c>
      <c r="X3409">
        <v>0</v>
      </c>
      <c r="Y3409" s="6">
        <v>39.299999999999997</v>
      </c>
      <c r="Z3409">
        <v>1.6E-2</v>
      </c>
      <c r="AA3409">
        <v>7.0000000000000007E-2</v>
      </c>
      <c r="AB3409">
        <v>4.8000000000000001E-2</v>
      </c>
      <c r="AC3409">
        <v>4</v>
      </c>
      <c r="AD3409" s="6">
        <v>155</v>
      </c>
      <c r="AE3409" s="6">
        <v>0</v>
      </c>
      <c r="AF3409" s="6">
        <v>0</v>
      </c>
      <c r="AG3409" s="6">
        <v>170.32</v>
      </c>
      <c r="AH3409" s="6">
        <v>213.72</v>
      </c>
      <c r="AI3409" s="6">
        <f t="shared" si="106"/>
        <v>43.400000000000006</v>
      </c>
      <c r="AJ3409" s="5">
        <f t="shared" si="107"/>
        <v>0.20306943664607902</v>
      </c>
    </row>
    <row r="3410" spans="1:36">
      <c r="A3410" t="s">
        <v>478</v>
      </c>
      <c r="B3410" t="s">
        <v>3695</v>
      </c>
      <c r="C3410" t="s">
        <v>136</v>
      </c>
      <c r="D3410" t="s">
        <v>68</v>
      </c>
      <c r="E3410" t="s">
        <v>69</v>
      </c>
      <c r="F3410">
        <v>0</v>
      </c>
      <c r="G3410">
        <v>655</v>
      </c>
      <c r="H3410">
        <v>1</v>
      </c>
      <c r="I3410" t="s">
        <v>173</v>
      </c>
      <c r="J3410">
        <v>1</v>
      </c>
      <c r="K3410" s="6">
        <v>2.12</v>
      </c>
      <c r="L3410" t="s">
        <v>174</v>
      </c>
      <c r="M3410">
        <v>0</v>
      </c>
      <c r="N3410" t="s">
        <v>182</v>
      </c>
      <c r="O3410">
        <v>3</v>
      </c>
      <c r="P3410">
        <v>0</v>
      </c>
      <c r="Q3410" s="6">
        <v>84.9</v>
      </c>
      <c r="R3410">
        <v>0</v>
      </c>
      <c r="S3410" s="6">
        <v>0</v>
      </c>
      <c r="T3410">
        <v>0</v>
      </c>
      <c r="U3410" s="6">
        <v>4387</v>
      </c>
      <c r="V3410">
        <v>0</v>
      </c>
      <c r="W3410">
        <v>0</v>
      </c>
      <c r="X3410">
        <v>0</v>
      </c>
      <c r="Y3410" s="6">
        <v>39.299999999999997</v>
      </c>
      <c r="Z3410">
        <v>1.6E-2</v>
      </c>
      <c r="AA3410">
        <v>7.0000000000000007E-2</v>
      </c>
      <c r="AB3410">
        <v>4.8000000000000001E-2</v>
      </c>
      <c r="AC3410">
        <v>4</v>
      </c>
      <c r="AD3410" s="6">
        <v>65</v>
      </c>
      <c r="AE3410" s="6">
        <v>0</v>
      </c>
      <c r="AF3410" s="6">
        <v>0</v>
      </c>
      <c r="AG3410" s="6">
        <v>67.59</v>
      </c>
      <c r="AH3410" s="6">
        <v>88.89</v>
      </c>
      <c r="AI3410" s="6">
        <f t="shared" si="106"/>
        <v>21.299999999999997</v>
      </c>
      <c r="AJ3410" s="5">
        <f t="shared" si="107"/>
        <v>0.23962200472494091</v>
      </c>
    </row>
    <row r="3411" spans="1:36">
      <c r="A3411" t="s">
        <v>323</v>
      </c>
      <c r="B3411" t="s">
        <v>3696</v>
      </c>
      <c r="C3411" t="s">
        <v>136</v>
      </c>
      <c r="D3411" t="s">
        <v>68</v>
      </c>
      <c r="E3411" t="s">
        <v>69</v>
      </c>
      <c r="F3411">
        <v>0</v>
      </c>
      <c r="G3411">
        <v>655</v>
      </c>
      <c r="H3411">
        <v>1</v>
      </c>
      <c r="I3411" t="s">
        <v>181</v>
      </c>
      <c r="J3411">
        <v>3</v>
      </c>
      <c r="K3411" s="6">
        <v>6.36</v>
      </c>
      <c r="L3411" t="s">
        <v>174</v>
      </c>
      <c r="M3411">
        <v>0</v>
      </c>
      <c r="N3411" t="s">
        <v>187</v>
      </c>
      <c r="O3411">
        <v>2</v>
      </c>
      <c r="P3411">
        <v>1</v>
      </c>
      <c r="Q3411" s="6">
        <v>58.8</v>
      </c>
      <c r="R3411">
        <v>0</v>
      </c>
      <c r="S3411" s="6">
        <v>0</v>
      </c>
      <c r="T3411">
        <v>0</v>
      </c>
      <c r="U3411" s="6">
        <v>7020</v>
      </c>
      <c r="V3411">
        <v>0</v>
      </c>
      <c r="W3411">
        <v>0</v>
      </c>
      <c r="X3411">
        <v>0</v>
      </c>
      <c r="Y3411" s="6">
        <v>39.299999999999997</v>
      </c>
      <c r="Z3411">
        <v>1.6E-2</v>
      </c>
      <c r="AA3411">
        <v>7.0000000000000007E-2</v>
      </c>
      <c r="AB3411">
        <v>4.8000000000000001E-2</v>
      </c>
      <c r="AC3411">
        <v>4</v>
      </c>
      <c r="AD3411" s="6">
        <v>105</v>
      </c>
      <c r="AE3411" s="6">
        <v>0</v>
      </c>
      <c r="AF3411" s="6">
        <v>0</v>
      </c>
      <c r="AG3411" s="6">
        <v>114.92</v>
      </c>
      <c r="AH3411" s="6">
        <v>147.56</v>
      </c>
      <c r="AI3411" s="6">
        <f t="shared" si="106"/>
        <v>32.64</v>
      </c>
      <c r="AJ3411" s="5">
        <f t="shared" si="107"/>
        <v>0.22119815668202766</v>
      </c>
    </row>
    <row r="3412" spans="1:36">
      <c r="A3412" t="s">
        <v>459</v>
      </c>
      <c r="B3412" t="s">
        <v>3697</v>
      </c>
      <c r="C3412" t="s">
        <v>136</v>
      </c>
      <c r="D3412" t="s">
        <v>68</v>
      </c>
      <c r="E3412" t="s">
        <v>69</v>
      </c>
      <c r="F3412">
        <v>0</v>
      </c>
      <c r="G3412">
        <v>655</v>
      </c>
      <c r="H3412">
        <v>1</v>
      </c>
      <c r="I3412" t="s">
        <v>220</v>
      </c>
      <c r="J3412">
        <v>2</v>
      </c>
      <c r="K3412" s="6">
        <v>5.61</v>
      </c>
      <c r="L3412" t="s">
        <v>200</v>
      </c>
      <c r="M3412">
        <v>1</v>
      </c>
      <c r="N3412" t="s">
        <v>217</v>
      </c>
      <c r="O3412">
        <v>4</v>
      </c>
      <c r="P3412">
        <v>1</v>
      </c>
      <c r="Q3412" s="6">
        <v>167</v>
      </c>
      <c r="R3412">
        <v>0</v>
      </c>
      <c r="S3412" s="6">
        <v>0</v>
      </c>
      <c r="T3412">
        <v>0</v>
      </c>
      <c r="U3412" s="6">
        <v>2195</v>
      </c>
      <c r="V3412">
        <v>0</v>
      </c>
      <c r="W3412">
        <v>0</v>
      </c>
      <c r="X3412">
        <v>0</v>
      </c>
      <c r="Y3412" s="6">
        <v>39.299999999999997</v>
      </c>
      <c r="Z3412">
        <v>1.6E-2</v>
      </c>
      <c r="AA3412">
        <v>7.0000000000000007E-2</v>
      </c>
      <c r="AB3412">
        <v>4.8000000000000001E-2</v>
      </c>
      <c r="AC3412">
        <v>4</v>
      </c>
      <c r="AD3412" s="6">
        <v>160</v>
      </c>
      <c r="AE3412" s="6">
        <v>0</v>
      </c>
      <c r="AF3412" s="6">
        <v>0</v>
      </c>
      <c r="AG3412" s="6">
        <v>166.63</v>
      </c>
      <c r="AH3412" s="6">
        <v>211.28</v>
      </c>
      <c r="AI3412" s="6">
        <f t="shared" si="106"/>
        <v>44.650000000000006</v>
      </c>
      <c r="AJ3412" s="5">
        <f t="shared" si="107"/>
        <v>0.21133093525179858</v>
      </c>
    </row>
    <row r="3413" spans="1:36">
      <c r="A3413" t="s">
        <v>488</v>
      </c>
      <c r="B3413" t="s">
        <v>3698</v>
      </c>
      <c r="C3413" t="s">
        <v>136</v>
      </c>
      <c r="D3413" t="s">
        <v>68</v>
      </c>
      <c r="E3413" t="s">
        <v>69</v>
      </c>
      <c r="F3413">
        <v>0</v>
      </c>
      <c r="G3413">
        <v>655</v>
      </c>
      <c r="H3413">
        <v>1</v>
      </c>
      <c r="I3413" t="s">
        <v>181</v>
      </c>
      <c r="J3413">
        <v>3</v>
      </c>
      <c r="K3413" s="6">
        <v>10.199999999999999</v>
      </c>
      <c r="L3413" t="s">
        <v>174</v>
      </c>
      <c r="M3413">
        <v>0</v>
      </c>
      <c r="N3413" t="s">
        <v>217</v>
      </c>
      <c r="O3413">
        <v>4</v>
      </c>
      <c r="P3413">
        <v>1</v>
      </c>
      <c r="Q3413" s="6">
        <v>203.4</v>
      </c>
      <c r="R3413">
        <v>0</v>
      </c>
      <c r="S3413" s="6">
        <v>0</v>
      </c>
      <c r="T3413">
        <v>0</v>
      </c>
      <c r="U3413" s="6">
        <v>4133</v>
      </c>
      <c r="V3413">
        <v>0</v>
      </c>
      <c r="W3413">
        <v>0</v>
      </c>
      <c r="X3413">
        <v>0</v>
      </c>
      <c r="Y3413" s="6">
        <v>39.299999999999997</v>
      </c>
      <c r="Z3413">
        <v>1.6E-2</v>
      </c>
      <c r="AA3413">
        <v>7.0000000000000007E-2</v>
      </c>
      <c r="AB3413">
        <v>4.8000000000000001E-2</v>
      </c>
      <c r="AC3413">
        <v>4</v>
      </c>
      <c r="AD3413" s="6">
        <v>105</v>
      </c>
      <c r="AE3413" s="6">
        <v>0</v>
      </c>
      <c r="AF3413" s="6">
        <v>0</v>
      </c>
      <c r="AG3413" s="6">
        <v>148.94</v>
      </c>
      <c r="AH3413" s="6">
        <v>187.65</v>
      </c>
      <c r="AI3413" s="6">
        <f t="shared" si="106"/>
        <v>38.710000000000008</v>
      </c>
      <c r="AJ3413" s="5">
        <f t="shared" si="107"/>
        <v>0.20628830269118043</v>
      </c>
    </row>
    <row r="3414" spans="1:36">
      <c r="A3414" t="s">
        <v>291</v>
      </c>
      <c r="B3414" t="s">
        <v>3699</v>
      </c>
      <c r="C3414" t="s">
        <v>136</v>
      </c>
      <c r="D3414" t="s">
        <v>68</v>
      </c>
      <c r="E3414" t="s">
        <v>69</v>
      </c>
      <c r="F3414">
        <v>0</v>
      </c>
      <c r="G3414">
        <v>655</v>
      </c>
      <c r="H3414">
        <v>1</v>
      </c>
      <c r="I3414" t="s">
        <v>220</v>
      </c>
      <c r="J3414">
        <v>2</v>
      </c>
      <c r="K3414" s="6">
        <v>4.62</v>
      </c>
      <c r="L3414" t="s">
        <v>174</v>
      </c>
      <c r="M3414">
        <v>0</v>
      </c>
      <c r="N3414" t="s">
        <v>182</v>
      </c>
      <c r="O3414">
        <v>3</v>
      </c>
      <c r="P3414">
        <v>0</v>
      </c>
      <c r="Q3414" s="6">
        <v>108.1</v>
      </c>
      <c r="R3414">
        <v>0</v>
      </c>
      <c r="S3414" s="6">
        <v>0</v>
      </c>
      <c r="T3414">
        <v>0</v>
      </c>
      <c r="U3414" s="6">
        <v>3729</v>
      </c>
      <c r="V3414">
        <v>0</v>
      </c>
      <c r="W3414">
        <v>0</v>
      </c>
      <c r="X3414">
        <v>0</v>
      </c>
      <c r="Y3414" s="6">
        <v>39.299999999999997</v>
      </c>
      <c r="Z3414">
        <v>1.6E-2</v>
      </c>
      <c r="AA3414">
        <v>7.0000000000000007E-2</v>
      </c>
      <c r="AB3414">
        <v>4.8000000000000001E-2</v>
      </c>
      <c r="AC3414">
        <v>4</v>
      </c>
      <c r="AD3414" s="6">
        <v>70</v>
      </c>
      <c r="AE3414" s="6">
        <v>0</v>
      </c>
      <c r="AF3414" s="6">
        <v>0</v>
      </c>
      <c r="AG3414" s="6">
        <v>78.05</v>
      </c>
      <c r="AH3414" s="6">
        <v>97.84</v>
      </c>
      <c r="AI3414" s="6">
        <f t="shared" si="106"/>
        <v>19.790000000000006</v>
      </c>
      <c r="AJ3414" s="5">
        <f t="shared" si="107"/>
        <v>0.2022690106295994</v>
      </c>
    </row>
    <row r="3415" spans="1:36">
      <c r="A3415" t="s">
        <v>348</v>
      </c>
      <c r="B3415" t="s">
        <v>3700</v>
      </c>
      <c r="C3415" t="s">
        <v>136</v>
      </c>
      <c r="D3415" t="s">
        <v>68</v>
      </c>
      <c r="E3415" t="s">
        <v>69</v>
      </c>
      <c r="F3415">
        <v>0</v>
      </c>
      <c r="G3415">
        <v>655</v>
      </c>
      <c r="H3415">
        <v>1</v>
      </c>
      <c r="I3415" t="s">
        <v>220</v>
      </c>
      <c r="J3415">
        <v>2</v>
      </c>
      <c r="K3415" s="6">
        <v>4.57</v>
      </c>
      <c r="L3415" t="s">
        <v>174</v>
      </c>
      <c r="M3415">
        <v>0</v>
      </c>
      <c r="N3415" t="s">
        <v>187</v>
      </c>
      <c r="O3415">
        <v>2</v>
      </c>
      <c r="P3415">
        <v>0</v>
      </c>
      <c r="Q3415" s="6">
        <v>85</v>
      </c>
      <c r="R3415">
        <v>0</v>
      </c>
      <c r="S3415" s="6">
        <v>0</v>
      </c>
      <c r="T3415">
        <v>0</v>
      </c>
      <c r="U3415" s="6">
        <v>6245</v>
      </c>
      <c r="V3415">
        <v>0</v>
      </c>
      <c r="W3415">
        <v>0</v>
      </c>
      <c r="X3415">
        <v>0</v>
      </c>
      <c r="Y3415" s="6">
        <v>39.299999999999997</v>
      </c>
      <c r="Z3415">
        <v>1.6E-2</v>
      </c>
      <c r="AA3415">
        <v>7.0000000000000007E-2</v>
      </c>
      <c r="AB3415">
        <v>4.8000000000000001E-2</v>
      </c>
      <c r="AC3415">
        <v>4</v>
      </c>
      <c r="AD3415" s="6">
        <v>70</v>
      </c>
      <c r="AE3415" s="6">
        <v>0</v>
      </c>
      <c r="AF3415" s="6">
        <v>0</v>
      </c>
      <c r="AG3415" s="6">
        <v>75.14</v>
      </c>
      <c r="AH3415" s="6">
        <v>95.39</v>
      </c>
      <c r="AI3415" s="6">
        <f t="shared" si="106"/>
        <v>20.25</v>
      </c>
      <c r="AJ3415" s="5">
        <f t="shared" si="107"/>
        <v>0.21228640318691686</v>
      </c>
    </row>
    <row r="3416" spans="1:36">
      <c r="A3416" t="s">
        <v>501</v>
      </c>
      <c r="B3416" t="s">
        <v>3701</v>
      </c>
      <c r="C3416" t="s">
        <v>136</v>
      </c>
      <c r="D3416" t="s">
        <v>68</v>
      </c>
      <c r="E3416" t="s">
        <v>69</v>
      </c>
      <c r="F3416">
        <v>0</v>
      </c>
      <c r="G3416">
        <v>655</v>
      </c>
      <c r="H3416">
        <v>1</v>
      </c>
      <c r="I3416" t="s">
        <v>220</v>
      </c>
      <c r="J3416">
        <v>2</v>
      </c>
      <c r="K3416" s="6">
        <v>3.46</v>
      </c>
      <c r="L3416" t="s">
        <v>174</v>
      </c>
      <c r="M3416">
        <v>0</v>
      </c>
      <c r="N3416" t="s">
        <v>217</v>
      </c>
      <c r="O3416">
        <v>4</v>
      </c>
      <c r="P3416">
        <v>1</v>
      </c>
      <c r="Q3416" s="6">
        <v>141.1</v>
      </c>
      <c r="R3416">
        <v>0</v>
      </c>
      <c r="S3416" s="6">
        <v>0</v>
      </c>
      <c r="T3416">
        <v>0</v>
      </c>
      <c r="U3416" s="6">
        <v>3098</v>
      </c>
      <c r="V3416">
        <v>0</v>
      </c>
      <c r="W3416">
        <v>0</v>
      </c>
      <c r="X3416">
        <v>0</v>
      </c>
      <c r="Y3416" s="6">
        <v>39.299999999999997</v>
      </c>
      <c r="Z3416">
        <v>1.6E-2</v>
      </c>
      <c r="AA3416">
        <v>7.0000000000000007E-2</v>
      </c>
      <c r="AB3416">
        <v>4.8000000000000001E-2</v>
      </c>
      <c r="AC3416">
        <v>4</v>
      </c>
      <c r="AD3416" s="6">
        <v>70</v>
      </c>
      <c r="AE3416" s="6">
        <v>0</v>
      </c>
      <c r="AF3416" s="6">
        <v>0</v>
      </c>
      <c r="AG3416" s="6">
        <v>119.65</v>
      </c>
      <c r="AH3416" s="6">
        <v>153.13</v>
      </c>
      <c r="AI3416" s="6">
        <f t="shared" si="106"/>
        <v>33.47999999999999</v>
      </c>
      <c r="AJ3416" s="5">
        <f t="shared" si="107"/>
        <v>0.2186377587670606</v>
      </c>
    </row>
    <row r="3417" spans="1:36">
      <c r="A3417" t="s">
        <v>269</v>
      </c>
      <c r="B3417" t="s">
        <v>3702</v>
      </c>
      <c r="C3417" t="s">
        <v>136</v>
      </c>
      <c r="D3417" t="s">
        <v>68</v>
      </c>
      <c r="E3417" t="s">
        <v>69</v>
      </c>
      <c r="F3417">
        <v>0</v>
      </c>
      <c r="G3417">
        <v>655</v>
      </c>
      <c r="H3417">
        <v>1</v>
      </c>
      <c r="I3417" t="s">
        <v>220</v>
      </c>
      <c r="J3417">
        <v>2</v>
      </c>
      <c r="K3417" s="6">
        <v>2.95</v>
      </c>
      <c r="L3417" t="s">
        <v>174</v>
      </c>
      <c r="M3417">
        <v>0</v>
      </c>
      <c r="N3417" t="s">
        <v>175</v>
      </c>
      <c r="O3417">
        <v>1</v>
      </c>
      <c r="P3417">
        <v>0</v>
      </c>
      <c r="Q3417" s="6">
        <v>32.6</v>
      </c>
      <c r="R3417">
        <v>0</v>
      </c>
      <c r="S3417" s="6">
        <v>0</v>
      </c>
      <c r="T3417">
        <v>0</v>
      </c>
      <c r="U3417" s="6">
        <v>2536</v>
      </c>
      <c r="V3417">
        <v>0</v>
      </c>
      <c r="W3417">
        <v>0</v>
      </c>
      <c r="X3417">
        <v>0</v>
      </c>
      <c r="Y3417" s="6">
        <v>39.299999999999997</v>
      </c>
      <c r="Z3417">
        <v>1.6E-2</v>
      </c>
      <c r="AA3417">
        <v>7.0000000000000007E-2</v>
      </c>
      <c r="AB3417">
        <v>4.8000000000000001E-2</v>
      </c>
      <c r="AC3417">
        <v>4</v>
      </c>
      <c r="AD3417" s="6">
        <v>70</v>
      </c>
      <c r="AE3417" s="6">
        <v>0</v>
      </c>
      <c r="AF3417" s="6">
        <v>0</v>
      </c>
      <c r="AG3417" s="6">
        <v>65.77</v>
      </c>
      <c r="AH3417" s="6">
        <v>82.72</v>
      </c>
      <c r="AI3417" s="6">
        <f t="shared" si="106"/>
        <v>16.950000000000003</v>
      </c>
      <c r="AJ3417" s="5">
        <f t="shared" si="107"/>
        <v>0.20490812379110254</v>
      </c>
    </row>
    <row r="3418" spans="1:36">
      <c r="A3418" t="s">
        <v>355</v>
      </c>
      <c r="B3418" t="s">
        <v>3703</v>
      </c>
      <c r="C3418" t="s">
        <v>136</v>
      </c>
      <c r="D3418" t="s">
        <v>68</v>
      </c>
      <c r="E3418" t="s">
        <v>69</v>
      </c>
      <c r="F3418">
        <v>0</v>
      </c>
      <c r="G3418">
        <v>655</v>
      </c>
      <c r="H3418">
        <v>1</v>
      </c>
      <c r="I3418" t="s">
        <v>173</v>
      </c>
      <c r="J3418">
        <v>1</v>
      </c>
      <c r="K3418" s="6">
        <v>0.71</v>
      </c>
      <c r="L3418" t="s">
        <v>174</v>
      </c>
      <c r="M3418">
        <v>0</v>
      </c>
      <c r="N3418" t="s">
        <v>187</v>
      </c>
      <c r="O3418">
        <v>2</v>
      </c>
      <c r="P3418">
        <v>0</v>
      </c>
      <c r="Q3418" s="6">
        <v>49.4</v>
      </c>
      <c r="R3418">
        <v>0</v>
      </c>
      <c r="S3418" s="6">
        <v>0</v>
      </c>
      <c r="T3418">
        <v>0</v>
      </c>
      <c r="U3418" s="6">
        <v>3558</v>
      </c>
      <c r="V3418">
        <v>0</v>
      </c>
      <c r="W3418">
        <v>0</v>
      </c>
      <c r="X3418">
        <v>0</v>
      </c>
      <c r="Y3418" s="6">
        <v>39.299999999999997</v>
      </c>
      <c r="Z3418">
        <v>1.6E-2</v>
      </c>
      <c r="AA3418">
        <v>7.0000000000000007E-2</v>
      </c>
      <c r="AB3418">
        <v>4.8000000000000001E-2</v>
      </c>
      <c r="AC3418">
        <v>4</v>
      </c>
      <c r="AD3418" s="6">
        <v>65</v>
      </c>
      <c r="AE3418" s="6">
        <v>0</v>
      </c>
      <c r="AF3418" s="6">
        <v>0</v>
      </c>
      <c r="AG3418" s="6">
        <v>59.64</v>
      </c>
      <c r="AH3418" s="6">
        <v>77.900000000000006</v>
      </c>
      <c r="AI3418" s="6">
        <f t="shared" si="106"/>
        <v>18.260000000000005</v>
      </c>
      <c r="AJ3418" s="5">
        <f t="shared" si="107"/>
        <v>0.23440308087291403</v>
      </c>
    </row>
    <row r="3419" spans="1:36">
      <c r="A3419" t="s">
        <v>298</v>
      </c>
      <c r="B3419" t="s">
        <v>3704</v>
      </c>
      <c r="C3419" t="s">
        <v>136</v>
      </c>
      <c r="D3419" t="s">
        <v>68</v>
      </c>
      <c r="E3419" t="s">
        <v>69</v>
      </c>
      <c r="F3419">
        <v>0</v>
      </c>
      <c r="G3419">
        <v>655</v>
      </c>
      <c r="H3419">
        <v>1</v>
      </c>
      <c r="I3419" t="s">
        <v>220</v>
      </c>
      <c r="J3419">
        <v>2</v>
      </c>
      <c r="K3419" s="6">
        <v>5.38</v>
      </c>
      <c r="L3419" t="s">
        <v>174</v>
      </c>
      <c r="M3419">
        <v>0</v>
      </c>
      <c r="N3419" t="s">
        <v>182</v>
      </c>
      <c r="O3419">
        <v>3</v>
      </c>
      <c r="P3419">
        <v>0</v>
      </c>
      <c r="Q3419" s="6">
        <v>145.9</v>
      </c>
      <c r="R3419">
        <v>0</v>
      </c>
      <c r="S3419" s="6">
        <v>0</v>
      </c>
      <c r="T3419">
        <v>0</v>
      </c>
      <c r="U3419" s="6">
        <v>9470</v>
      </c>
      <c r="V3419">
        <v>0</v>
      </c>
      <c r="W3419">
        <v>0</v>
      </c>
      <c r="X3419">
        <v>0</v>
      </c>
      <c r="Y3419" s="6">
        <v>39.299999999999997</v>
      </c>
      <c r="Z3419">
        <v>1.6E-2</v>
      </c>
      <c r="AA3419">
        <v>7.0000000000000007E-2</v>
      </c>
      <c r="AB3419">
        <v>4.8000000000000001E-2</v>
      </c>
      <c r="AC3419">
        <v>4</v>
      </c>
      <c r="AD3419" s="6">
        <v>70</v>
      </c>
      <c r="AE3419" s="6">
        <v>0</v>
      </c>
      <c r="AF3419" s="6">
        <v>0</v>
      </c>
      <c r="AG3419" s="6">
        <v>82.72</v>
      </c>
      <c r="AH3419" s="6">
        <v>107.7</v>
      </c>
      <c r="AI3419" s="6">
        <f t="shared" si="106"/>
        <v>24.980000000000004</v>
      </c>
      <c r="AJ3419" s="5">
        <f t="shared" si="107"/>
        <v>0.23194057567316623</v>
      </c>
    </row>
    <row r="3420" spans="1:36">
      <c r="A3420" t="s">
        <v>393</v>
      </c>
      <c r="B3420" t="s">
        <v>3705</v>
      </c>
      <c r="C3420" t="s">
        <v>136</v>
      </c>
      <c r="D3420" t="s">
        <v>68</v>
      </c>
      <c r="E3420" t="s">
        <v>69</v>
      </c>
      <c r="F3420">
        <v>0</v>
      </c>
      <c r="G3420">
        <v>655</v>
      </c>
      <c r="H3420">
        <v>1</v>
      </c>
      <c r="I3420" t="s">
        <v>220</v>
      </c>
      <c r="J3420">
        <v>2</v>
      </c>
      <c r="K3420" s="6">
        <v>4.45</v>
      </c>
      <c r="L3420" t="s">
        <v>174</v>
      </c>
      <c r="M3420">
        <v>0</v>
      </c>
      <c r="N3420" t="s">
        <v>175</v>
      </c>
      <c r="O3420">
        <v>1</v>
      </c>
      <c r="P3420">
        <v>0</v>
      </c>
      <c r="Q3420" s="6">
        <v>25.6</v>
      </c>
      <c r="R3420">
        <v>0</v>
      </c>
      <c r="S3420" s="6">
        <v>0</v>
      </c>
      <c r="T3420">
        <v>0</v>
      </c>
      <c r="U3420" s="6">
        <v>4340</v>
      </c>
      <c r="V3420">
        <v>0</v>
      </c>
      <c r="W3420">
        <v>0</v>
      </c>
      <c r="X3420">
        <v>0</v>
      </c>
      <c r="Y3420" s="6">
        <v>39.299999999999997</v>
      </c>
      <c r="Z3420">
        <v>1.6E-2</v>
      </c>
      <c r="AA3420">
        <v>7.0000000000000007E-2</v>
      </c>
      <c r="AB3420">
        <v>4.8000000000000001E-2</v>
      </c>
      <c r="AC3420">
        <v>4</v>
      </c>
      <c r="AD3420" s="6">
        <v>70</v>
      </c>
      <c r="AE3420" s="6">
        <v>0</v>
      </c>
      <c r="AF3420" s="6">
        <v>0</v>
      </c>
      <c r="AG3420" s="6">
        <v>61.97</v>
      </c>
      <c r="AH3420" s="6">
        <v>81.849999999999994</v>
      </c>
      <c r="AI3420" s="6">
        <f t="shared" si="106"/>
        <v>19.879999999999995</v>
      </c>
      <c r="AJ3420" s="5">
        <f t="shared" si="107"/>
        <v>0.24288332315210748</v>
      </c>
    </row>
    <row r="3421" spans="1:36">
      <c r="A3421" t="s">
        <v>255</v>
      </c>
      <c r="B3421" t="s">
        <v>3706</v>
      </c>
      <c r="C3421" t="s">
        <v>136</v>
      </c>
      <c r="D3421" t="s">
        <v>68</v>
      </c>
      <c r="E3421" t="s">
        <v>69</v>
      </c>
      <c r="F3421">
        <v>0</v>
      </c>
      <c r="G3421">
        <v>655</v>
      </c>
      <c r="H3421">
        <v>1</v>
      </c>
      <c r="I3421" t="s">
        <v>178</v>
      </c>
      <c r="J3421">
        <v>4</v>
      </c>
      <c r="K3421" s="6">
        <v>17.670000000000002</v>
      </c>
      <c r="L3421" t="s">
        <v>174</v>
      </c>
      <c r="M3421">
        <v>0</v>
      </c>
      <c r="N3421" t="s">
        <v>175</v>
      </c>
      <c r="O3421">
        <v>1</v>
      </c>
      <c r="P3421">
        <v>0</v>
      </c>
      <c r="Q3421" s="6">
        <v>26.5</v>
      </c>
      <c r="R3421">
        <v>0</v>
      </c>
      <c r="S3421" s="6">
        <v>0</v>
      </c>
      <c r="T3421">
        <v>0</v>
      </c>
      <c r="U3421" s="6">
        <v>2405</v>
      </c>
      <c r="V3421">
        <v>0</v>
      </c>
      <c r="W3421">
        <v>0</v>
      </c>
      <c r="X3421">
        <v>0</v>
      </c>
      <c r="Y3421" s="6">
        <v>39.299999999999997</v>
      </c>
      <c r="Z3421">
        <v>1.6E-2</v>
      </c>
      <c r="AA3421">
        <v>7.0000000000000007E-2</v>
      </c>
      <c r="AB3421">
        <v>4.8000000000000001E-2</v>
      </c>
      <c r="AC3421">
        <v>4</v>
      </c>
      <c r="AD3421" s="6">
        <v>125</v>
      </c>
      <c r="AE3421" s="6">
        <v>0</v>
      </c>
      <c r="AF3421" s="6">
        <v>0</v>
      </c>
      <c r="AG3421" s="6">
        <v>145.54</v>
      </c>
      <c r="AH3421" s="6">
        <v>183.95</v>
      </c>
      <c r="AI3421" s="6">
        <f t="shared" si="106"/>
        <v>38.409999999999997</v>
      </c>
      <c r="AJ3421" s="5">
        <f t="shared" si="107"/>
        <v>0.20880674096221799</v>
      </c>
    </row>
    <row r="3422" spans="1:36">
      <c r="A3422" t="s">
        <v>291</v>
      </c>
      <c r="B3422" t="s">
        <v>3707</v>
      </c>
      <c r="C3422" t="s">
        <v>138</v>
      </c>
      <c r="D3422" t="s">
        <v>63</v>
      </c>
      <c r="E3422" t="s">
        <v>55</v>
      </c>
      <c r="F3422">
        <v>0</v>
      </c>
      <c r="G3422">
        <v>772</v>
      </c>
      <c r="H3422">
        <v>1</v>
      </c>
      <c r="I3422" t="s">
        <v>173</v>
      </c>
      <c r="J3422">
        <v>1</v>
      </c>
      <c r="K3422" s="6">
        <v>1.62</v>
      </c>
      <c r="L3422" t="s">
        <v>174</v>
      </c>
      <c r="M3422">
        <v>0</v>
      </c>
      <c r="N3422" t="s">
        <v>175</v>
      </c>
      <c r="O3422">
        <v>1</v>
      </c>
      <c r="P3422">
        <v>0</v>
      </c>
      <c r="Q3422" s="6">
        <v>26.4</v>
      </c>
      <c r="R3422">
        <v>0</v>
      </c>
      <c r="S3422" s="6">
        <v>0</v>
      </c>
      <c r="T3422">
        <v>0</v>
      </c>
      <c r="U3422" s="6">
        <v>910</v>
      </c>
      <c r="V3422">
        <v>0</v>
      </c>
      <c r="W3422">
        <v>0</v>
      </c>
      <c r="X3422">
        <v>0</v>
      </c>
      <c r="Y3422" s="6">
        <v>42.3</v>
      </c>
      <c r="Z3422">
        <v>3.2000000000000001E-2</v>
      </c>
      <c r="AA3422">
        <v>0.106</v>
      </c>
      <c r="AB3422">
        <v>8.1000000000000003E-2</v>
      </c>
      <c r="AC3422">
        <v>5</v>
      </c>
      <c r="AD3422" s="6">
        <v>51</v>
      </c>
      <c r="AE3422" s="6">
        <v>0</v>
      </c>
      <c r="AF3422" s="6">
        <v>0</v>
      </c>
      <c r="AG3422" s="6">
        <v>57.27</v>
      </c>
      <c r="AH3422" s="6">
        <v>76.12</v>
      </c>
      <c r="AI3422" s="6">
        <f t="shared" si="106"/>
        <v>18.850000000000001</v>
      </c>
      <c r="AJ3422" s="5">
        <f t="shared" si="107"/>
        <v>0.2476353126642144</v>
      </c>
    </row>
    <row r="3423" spans="1:36">
      <c r="A3423" t="s">
        <v>501</v>
      </c>
      <c r="B3423" t="s">
        <v>3708</v>
      </c>
      <c r="C3423" t="s">
        <v>138</v>
      </c>
      <c r="D3423" t="s">
        <v>63</v>
      </c>
      <c r="E3423" t="s">
        <v>55</v>
      </c>
      <c r="F3423">
        <v>0</v>
      </c>
      <c r="G3423">
        <v>772</v>
      </c>
      <c r="H3423">
        <v>1</v>
      </c>
      <c r="I3423" t="s">
        <v>173</v>
      </c>
      <c r="J3423">
        <v>1</v>
      </c>
      <c r="K3423" s="6">
        <v>2.2400000000000002</v>
      </c>
      <c r="L3423" t="s">
        <v>174</v>
      </c>
      <c r="M3423">
        <v>0</v>
      </c>
      <c r="N3423" t="s">
        <v>182</v>
      </c>
      <c r="O3423">
        <v>3</v>
      </c>
      <c r="P3423">
        <v>0</v>
      </c>
      <c r="Q3423" s="6">
        <v>71.7</v>
      </c>
      <c r="R3423">
        <v>0</v>
      </c>
      <c r="S3423" s="6">
        <v>0</v>
      </c>
      <c r="T3423">
        <v>0</v>
      </c>
      <c r="U3423" s="6">
        <v>1070</v>
      </c>
      <c r="V3423">
        <v>0</v>
      </c>
      <c r="W3423">
        <v>0</v>
      </c>
      <c r="X3423">
        <v>0</v>
      </c>
      <c r="Y3423" s="6">
        <v>42.3</v>
      </c>
      <c r="Z3423">
        <v>3.2000000000000001E-2</v>
      </c>
      <c r="AA3423">
        <v>0.106</v>
      </c>
      <c r="AB3423">
        <v>8.1000000000000003E-2</v>
      </c>
      <c r="AC3423">
        <v>5</v>
      </c>
      <c r="AD3423" s="6">
        <v>51</v>
      </c>
      <c r="AE3423" s="6">
        <v>0</v>
      </c>
      <c r="AF3423" s="6">
        <v>0</v>
      </c>
      <c r="AG3423" s="6">
        <v>72.569999999999993</v>
      </c>
      <c r="AH3423" s="6">
        <v>94.37</v>
      </c>
      <c r="AI3423" s="6">
        <f t="shared" si="106"/>
        <v>21.800000000000011</v>
      </c>
      <c r="AJ3423" s="5">
        <f t="shared" si="107"/>
        <v>0.23100561619158641</v>
      </c>
    </row>
    <row r="3424" spans="1:36">
      <c r="A3424" t="s">
        <v>261</v>
      </c>
      <c r="B3424" t="s">
        <v>3709</v>
      </c>
      <c r="C3424" t="s">
        <v>138</v>
      </c>
      <c r="D3424" t="s">
        <v>63</v>
      </c>
      <c r="E3424" t="s">
        <v>55</v>
      </c>
      <c r="F3424">
        <v>0</v>
      </c>
      <c r="G3424">
        <v>772</v>
      </c>
      <c r="H3424">
        <v>1</v>
      </c>
      <c r="I3424" t="s">
        <v>220</v>
      </c>
      <c r="J3424">
        <v>2</v>
      </c>
      <c r="K3424" s="6">
        <v>3.51</v>
      </c>
      <c r="L3424" t="s">
        <v>174</v>
      </c>
      <c r="M3424">
        <v>0</v>
      </c>
      <c r="N3424" t="s">
        <v>182</v>
      </c>
      <c r="O3424">
        <v>3</v>
      </c>
      <c r="P3424">
        <v>0</v>
      </c>
      <c r="Q3424" s="6">
        <v>82.4</v>
      </c>
      <c r="R3424">
        <v>0</v>
      </c>
      <c r="S3424" s="6">
        <v>0</v>
      </c>
      <c r="T3424">
        <v>0</v>
      </c>
      <c r="U3424" s="6">
        <v>1446</v>
      </c>
      <c r="V3424">
        <v>1</v>
      </c>
      <c r="W3424">
        <v>0</v>
      </c>
      <c r="X3424">
        <v>0</v>
      </c>
      <c r="Y3424" s="6">
        <v>42.3</v>
      </c>
      <c r="Z3424">
        <v>3.2000000000000001E-2</v>
      </c>
      <c r="AA3424">
        <v>0.106</v>
      </c>
      <c r="AB3424">
        <v>8.1000000000000003E-2</v>
      </c>
      <c r="AC3424">
        <v>5</v>
      </c>
      <c r="AD3424" s="6">
        <v>51</v>
      </c>
      <c r="AE3424" s="6">
        <v>0</v>
      </c>
      <c r="AF3424" s="6">
        <v>0</v>
      </c>
      <c r="AG3424" s="6">
        <v>123.51</v>
      </c>
      <c r="AH3424" s="6">
        <v>157.94999999999999</v>
      </c>
      <c r="AI3424" s="6">
        <f t="shared" si="106"/>
        <v>34.439999999999984</v>
      </c>
      <c r="AJ3424" s="5">
        <f t="shared" si="107"/>
        <v>0.21804368471035129</v>
      </c>
    </row>
    <row r="3425" spans="1:36">
      <c r="A3425" t="s">
        <v>319</v>
      </c>
      <c r="B3425" t="s">
        <v>3710</v>
      </c>
      <c r="C3425" t="s">
        <v>138</v>
      </c>
      <c r="D3425" t="s">
        <v>63</v>
      </c>
      <c r="E3425" t="s">
        <v>55</v>
      </c>
      <c r="F3425">
        <v>0</v>
      </c>
      <c r="G3425">
        <v>772</v>
      </c>
      <c r="H3425">
        <v>1</v>
      </c>
      <c r="I3425" t="s">
        <v>220</v>
      </c>
      <c r="J3425">
        <v>2</v>
      </c>
      <c r="K3425" s="6">
        <v>5.4</v>
      </c>
      <c r="L3425" t="s">
        <v>200</v>
      </c>
      <c r="M3425">
        <v>1</v>
      </c>
      <c r="N3425" t="s">
        <v>175</v>
      </c>
      <c r="O3425">
        <v>1</v>
      </c>
      <c r="P3425">
        <v>0</v>
      </c>
      <c r="Q3425" s="6">
        <v>47.8</v>
      </c>
      <c r="R3425">
        <v>0</v>
      </c>
      <c r="S3425" s="6">
        <v>0</v>
      </c>
      <c r="T3425">
        <v>0</v>
      </c>
      <c r="U3425" s="6">
        <v>1009</v>
      </c>
      <c r="V3425">
        <v>0</v>
      </c>
      <c r="W3425">
        <v>0</v>
      </c>
      <c r="X3425">
        <v>0</v>
      </c>
      <c r="Y3425" s="6">
        <v>42.3</v>
      </c>
      <c r="Z3425">
        <v>3.2000000000000001E-2</v>
      </c>
      <c r="AA3425">
        <v>0.106</v>
      </c>
      <c r="AB3425">
        <v>8.1000000000000003E-2</v>
      </c>
      <c r="AC3425">
        <v>5</v>
      </c>
      <c r="AD3425" s="6">
        <v>120</v>
      </c>
      <c r="AE3425" s="6">
        <v>0</v>
      </c>
      <c r="AF3425" s="6">
        <v>0</v>
      </c>
      <c r="AG3425" s="6">
        <v>107.04</v>
      </c>
      <c r="AH3425" s="6">
        <v>134.54</v>
      </c>
      <c r="AI3425" s="6">
        <f t="shared" si="106"/>
        <v>27.499999999999986</v>
      </c>
      <c r="AJ3425" s="5">
        <f t="shared" si="107"/>
        <v>0.20440017838561014</v>
      </c>
    </row>
    <row r="3426" spans="1:36">
      <c r="A3426" t="s">
        <v>494</v>
      </c>
      <c r="B3426" t="s">
        <v>3711</v>
      </c>
      <c r="C3426" t="s">
        <v>138</v>
      </c>
      <c r="D3426" t="s">
        <v>63</v>
      </c>
      <c r="E3426" t="s">
        <v>55</v>
      </c>
      <c r="F3426">
        <v>0</v>
      </c>
      <c r="G3426">
        <v>772</v>
      </c>
      <c r="H3426">
        <v>1</v>
      </c>
      <c r="I3426" t="s">
        <v>220</v>
      </c>
      <c r="J3426">
        <v>2</v>
      </c>
      <c r="K3426" s="6">
        <v>6.63</v>
      </c>
      <c r="L3426" t="s">
        <v>174</v>
      </c>
      <c r="M3426">
        <v>0</v>
      </c>
      <c r="N3426" t="s">
        <v>187</v>
      </c>
      <c r="O3426">
        <v>2</v>
      </c>
      <c r="P3426">
        <v>0</v>
      </c>
      <c r="Q3426" s="6">
        <v>50.6</v>
      </c>
      <c r="R3426">
        <v>0</v>
      </c>
      <c r="S3426" s="6">
        <v>0</v>
      </c>
      <c r="T3426">
        <v>0</v>
      </c>
      <c r="U3426" s="6">
        <v>1522</v>
      </c>
      <c r="V3426">
        <v>1</v>
      </c>
      <c r="W3426">
        <v>0</v>
      </c>
      <c r="X3426">
        <v>0</v>
      </c>
      <c r="Y3426" s="6">
        <v>42.3</v>
      </c>
      <c r="Z3426">
        <v>3.2000000000000001E-2</v>
      </c>
      <c r="AA3426">
        <v>0.106</v>
      </c>
      <c r="AB3426">
        <v>8.1000000000000003E-2</v>
      </c>
      <c r="AC3426">
        <v>5</v>
      </c>
      <c r="AD3426" s="6">
        <v>51</v>
      </c>
      <c r="AE3426" s="6">
        <v>0</v>
      </c>
      <c r="AF3426" s="6">
        <v>0</v>
      </c>
      <c r="AG3426" s="6">
        <v>112.06</v>
      </c>
      <c r="AH3426" s="6">
        <v>143.54</v>
      </c>
      <c r="AI3426" s="6">
        <f t="shared" si="106"/>
        <v>31.47999999999999</v>
      </c>
      <c r="AJ3426" s="5">
        <f t="shared" si="107"/>
        <v>0.21931169012122051</v>
      </c>
    </row>
    <row r="3427" spans="1:36">
      <c r="A3427" t="s">
        <v>562</v>
      </c>
      <c r="B3427" t="s">
        <v>3712</v>
      </c>
      <c r="C3427" t="s">
        <v>138</v>
      </c>
      <c r="D3427" t="s">
        <v>63</v>
      </c>
      <c r="E3427" t="s">
        <v>55</v>
      </c>
      <c r="F3427">
        <v>0</v>
      </c>
      <c r="G3427">
        <v>772</v>
      </c>
      <c r="H3427">
        <v>1</v>
      </c>
      <c r="I3427" t="s">
        <v>173</v>
      </c>
      <c r="J3427">
        <v>1</v>
      </c>
      <c r="K3427" s="6">
        <v>1.89</v>
      </c>
      <c r="L3427" t="s">
        <v>174</v>
      </c>
      <c r="M3427">
        <v>0</v>
      </c>
      <c r="N3427" t="s">
        <v>175</v>
      </c>
      <c r="O3427">
        <v>1</v>
      </c>
      <c r="P3427">
        <v>0</v>
      </c>
      <c r="Q3427" s="6">
        <v>32.200000000000003</v>
      </c>
      <c r="R3427">
        <v>0</v>
      </c>
      <c r="S3427" s="6">
        <v>0</v>
      </c>
      <c r="T3427">
        <v>0</v>
      </c>
      <c r="U3427" s="6">
        <v>1317</v>
      </c>
      <c r="V3427">
        <v>0</v>
      </c>
      <c r="W3427">
        <v>0</v>
      </c>
      <c r="X3427">
        <v>0</v>
      </c>
      <c r="Y3427" s="6">
        <v>42.3</v>
      </c>
      <c r="Z3427">
        <v>3.2000000000000001E-2</v>
      </c>
      <c r="AA3427">
        <v>0.106</v>
      </c>
      <c r="AB3427">
        <v>8.1000000000000003E-2</v>
      </c>
      <c r="AC3427">
        <v>5</v>
      </c>
      <c r="AD3427" s="6">
        <v>51</v>
      </c>
      <c r="AE3427" s="6">
        <v>0</v>
      </c>
      <c r="AF3427" s="6">
        <v>0</v>
      </c>
      <c r="AG3427" s="6">
        <v>58.96</v>
      </c>
      <c r="AH3427" s="6">
        <v>75.650000000000006</v>
      </c>
      <c r="AI3427" s="6">
        <f t="shared" si="106"/>
        <v>16.690000000000005</v>
      </c>
      <c r="AJ3427" s="5">
        <f t="shared" si="107"/>
        <v>0.22062128222075353</v>
      </c>
    </row>
    <row r="3428" spans="1:36">
      <c r="A3428" t="s">
        <v>478</v>
      </c>
      <c r="B3428" t="s">
        <v>3713</v>
      </c>
      <c r="C3428" t="s">
        <v>138</v>
      </c>
      <c r="D3428" t="s">
        <v>63</v>
      </c>
      <c r="E3428" t="s">
        <v>55</v>
      </c>
      <c r="F3428">
        <v>0</v>
      </c>
      <c r="G3428">
        <v>772</v>
      </c>
      <c r="H3428">
        <v>1</v>
      </c>
      <c r="I3428" t="s">
        <v>173</v>
      </c>
      <c r="J3428">
        <v>1</v>
      </c>
      <c r="K3428" s="6">
        <v>2.69</v>
      </c>
      <c r="L3428" t="s">
        <v>174</v>
      </c>
      <c r="M3428">
        <v>0</v>
      </c>
      <c r="N3428" t="s">
        <v>217</v>
      </c>
      <c r="O3428">
        <v>4</v>
      </c>
      <c r="P3428">
        <v>1</v>
      </c>
      <c r="Q3428" s="6">
        <v>146.19999999999999</v>
      </c>
      <c r="R3428">
        <v>0</v>
      </c>
      <c r="S3428" s="6">
        <v>0</v>
      </c>
      <c r="T3428">
        <v>0</v>
      </c>
      <c r="U3428" s="6">
        <v>1278</v>
      </c>
      <c r="V3428">
        <v>1</v>
      </c>
      <c r="W3428">
        <v>0</v>
      </c>
      <c r="X3428">
        <v>0</v>
      </c>
      <c r="Y3428" s="6">
        <v>42.3</v>
      </c>
      <c r="Z3428">
        <v>3.2000000000000001E-2</v>
      </c>
      <c r="AA3428">
        <v>0.106</v>
      </c>
      <c r="AB3428">
        <v>8.1000000000000003E-2</v>
      </c>
      <c r="AC3428">
        <v>5</v>
      </c>
      <c r="AD3428" s="6">
        <v>51</v>
      </c>
      <c r="AE3428" s="6">
        <v>0</v>
      </c>
      <c r="AF3428" s="6">
        <v>0</v>
      </c>
      <c r="AG3428" s="6">
        <v>168.67</v>
      </c>
      <c r="AH3428" s="6">
        <v>214.64</v>
      </c>
      <c r="AI3428" s="6">
        <f t="shared" si="106"/>
        <v>45.97</v>
      </c>
      <c r="AJ3428" s="5">
        <f t="shared" si="107"/>
        <v>0.21417256802087217</v>
      </c>
    </row>
    <row r="3429" spans="1:36">
      <c r="A3429" t="s">
        <v>277</v>
      </c>
      <c r="B3429" t="s">
        <v>3714</v>
      </c>
      <c r="C3429" t="s">
        <v>138</v>
      </c>
      <c r="D3429" t="s">
        <v>63</v>
      </c>
      <c r="E3429" t="s">
        <v>55</v>
      </c>
      <c r="F3429">
        <v>0</v>
      </c>
      <c r="G3429">
        <v>772</v>
      </c>
      <c r="H3429">
        <v>1</v>
      </c>
      <c r="I3429" t="s">
        <v>173</v>
      </c>
      <c r="J3429">
        <v>1</v>
      </c>
      <c r="K3429" s="6">
        <v>2.2000000000000002</v>
      </c>
      <c r="L3429" t="s">
        <v>174</v>
      </c>
      <c r="M3429">
        <v>0</v>
      </c>
      <c r="N3429" t="s">
        <v>187</v>
      </c>
      <c r="O3429">
        <v>2</v>
      </c>
      <c r="P3429">
        <v>0</v>
      </c>
      <c r="Q3429" s="6">
        <v>37</v>
      </c>
      <c r="R3429">
        <v>0</v>
      </c>
      <c r="S3429" s="6">
        <v>0</v>
      </c>
      <c r="T3429">
        <v>0</v>
      </c>
      <c r="U3429" s="6">
        <v>721</v>
      </c>
      <c r="V3429">
        <v>0</v>
      </c>
      <c r="W3429">
        <v>0</v>
      </c>
      <c r="X3429">
        <v>1</v>
      </c>
      <c r="Y3429" s="6">
        <v>42.3</v>
      </c>
      <c r="Z3429">
        <v>3.2000000000000001E-2</v>
      </c>
      <c r="AA3429">
        <v>0.106</v>
      </c>
      <c r="AB3429">
        <v>8.1000000000000003E-2</v>
      </c>
      <c r="AC3429">
        <v>5</v>
      </c>
      <c r="AD3429" s="6">
        <v>51</v>
      </c>
      <c r="AE3429" s="6">
        <v>0</v>
      </c>
      <c r="AF3429" s="6">
        <v>0</v>
      </c>
      <c r="AG3429" s="6">
        <v>58.96</v>
      </c>
      <c r="AH3429" s="6">
        <v>74.62</v>
      </c>
      <c r="AI3429" s="6">
        <f t="shared" si="106"/>
        <v>15.660000000000004</v>
      </c>
      <c r="AJ3429" s="5">
        <f t="shared" si="107"/>
        <v>0.20986330742428308</v>
      </c>
    </row>
    <row r="3430" spans="1:36">
      <c r="A3430" t="s">
        <v>223</v>
      </c>
      <c r="B3430" t="s">
        <v>3715</v>
      </c>
      <c r="C3430" t="s">
        <v>138</v>
      </c>
      <c r="D3430" t="s">
        <v>63</v>
      </c>
      <c r="E3430" t="s">
        <v>55</v>
      </c>
      <c r="F3430">
        <v>0</v>
      </c>
      <c r="G3430">
        <v>772</v>
      </c>
      <c r="H3430">
        <v>1</v>
      </c>
      <c r="I3430" t="s">
        <v>220</v>
      </c>
      <c r="J3430">
        <v>2</v>
      </c>
      <c r="K3430" s="6">
        <v>4.47</v>
      </c>
      <c r="L3430" t="s">
        <v>174</v>
      </c>
      <c r="M3430">
        <v>0</v>
      </c>
      <c r="N3430" t="s">
        <v>187</v>
      </c>
      <c r="O3430">
        <v>2</v>
      </c>
      <c r="P3430">
        <v>0</v>
      </c>
      <c r="Q3430" s="6">
        <v>52.8</v>
      </c>
      <c r="R3430">
        <v>1</v>
      </c>
      <c r="S3430" s="6">
        <v>2801</v>
      </c>
      <c r="T3430">
        <v>0</v>
      </c>
      <c r="U3430" s="6">
        <v>1583</v>
      </c>
      <c r="V3430">
        <v>0</v>
      </c>
      <c r="W3430">
        <v>0</v>
      </c>
      <c r="X3430">
        <v>0</v>
      </c>
      <c r="Y3430" s="6">
        <v>42.3</v>
      </c>
      <c r="Z3430">
        <v>3.2000000000000001E-2</v>
      </c>
      <c r="AA3430">
        <v>0.106</v>
      </c>
      <c r="AB3430">
        <v>8.1000000000000003E-2</v>
      </c>
      <c r="AC3430">
        <v>5</v>
      </c>
      <c r="AD3430" s="6">
        <v>51</v>
      </c>
      <c r="AE3430" s="6">
        <v>40</v>
      </c>
      <c r="AF3430" s="6">
        <v>0</v>
      </c>
      <c r="AG3430" s="6">
        <v>79.58</v>
      </c>
      <c r="AH3430" s="6">
        <v>99.87</v>
      </c>
      <c r="AI3430" s="6">
        <f t="shared" si="106"/>
        <v>20.290000000000006</v>
      </c>
      <c r="AJ3430" s="5">
        <f t="shared" si="107"/>
        <v>0.2031641133473516</v>
      </c>
    </row>
    <row r="3431" spans="1:36">
      <c r="A3431" t="s">
        <v>316</v>
      </c>
      <c r="B3431" t="s">
        <v>3716</v>
      </c>
      <c r="C3431" t="s">
        <v>138</v>
      </c>
      <c r="D3431" t="s">
        <v>63</v>
      </c>
      <c r="E3431" t="s">
        <v>55</v>
      </c>
      <c r="F3431">
        <v>0</v>
      </c>
      <c r="G3431">
        <v>772</v>
      </c>
      <c r="H3431">
        <v>1</v>
      </c>
      <c r="I3431" t="s">
        <v>173</v>
      </c>
      <c r="J3431">
        <v>1</v>
      </c>
      <c r="K3431" s="6">
        <v>1.43</v>
      </c>
      <c r="L3431" t="s">
        <v>174</v>
      </c>
      <c r="M3431">
        <v>0</v>
      </c>
      <c r="N3431" t="s">
        <v>175</v>
      </c>
      <c r="O3431">
        <v>1</v>
      </c>
      <c r="P3431">
        <v>0</v>
      </c>
      <c r="Q3431" s="6">
        <v>26.3</v>
      </c>
      <c r="R3431">
        <v>1</v>
      </c>
      <c r="S3431" s="6">
        <v>374</v>
      </c>
      <c r="T3431">
        <v>0</v>
      </c>
      <c r="U3431" s="6">
        <v>1455</v>
      </c>
      <c r="V3431">
        <v>0</v>
      </c>
      <c r="W3431">
        <v>0</v>
      </c>
      <c r="X3431">
        <v>0</v>
      </c>
      <c r="Y3431" s="6">
        <v>42.3</v>
      </c>
      <c r="Z3431">
        <v>3.2000000000000001E-2</v>
      </c>
      <c r="AA3431">
        <v>0.106</v>
      </c>
      <c r="AB3431">
        <v>8.1000000000000003E-2</v>
      </c>
      <c r="AC3431">
        <v>5</v>
      </c>
      <c r="AD3431" s="6">
        <v>51</v>
      </c>
      <c r="AE3431" s="6">
        <v>25</v>
      </c>
      <c r="AF3431" s="6">
        <v>0</v>
      </c>
      <c r="AG3431" s="6">
        <v>65.09</v>
      </c>
      <c r="AH3431" s="6">
        <v>84.98</v>
      </c>
      <c r="AI3431" s="6">
        <f t="shared" si="106"/>
        <v>19.89</v>
      </c>
      <c r="AJ3431" s="5">
        <f t="shared" si="107"/>
        <v>0.23405507178159565</v>
      </c>
    </row>
    <row r="3432" spans="1:36">
      <c r="A3432" t="s">
        <v>210</v>
      </c>
      <c r="B3432" t="s">
        <v>3717</v>
      </c>
      <c r="C3432" t="s">
        <v>138</v>
      </c>
      <c r="D3432" t="s">
        <v>63</v>
      </c>
      <c r="E3432" t="s">
        <v>55</v>
      </c>
      <c r="F3432">
        <v>0</v>
      </c>
      <c r="G3432">
        <v>772</v>
      </c>
      <c r="H3432">
        <v>1</v>
      </c>
      <c r="I3432" t="s">
        <v>220</v>
      </c>
      <c r="J3432">
        <v>2</v>
      </c>
      <c r="K3432" s="6">
        <v>3.61</v>
      </c>
      <c r="L3432" t="s">
        <v>174</v>
      </c>
      <c r="M3432">
        <v>0</v>
      </c>
      <c r="N3432" t="s">
        <v>217</v>
      </c>
      <c r="O3432">
        <v>4</v>
      </c>
      <c r="P3432">
        <v>1</v>
      </c>
      <c r="Q3432" s="6">
        <v>160.4</v>
      </c>
      <c r="R3432">
        <v>0</v>
      </c>
      <c r="S3432" s="6">
        <v>0</v>
      </c>
      <c r="T3432">
        <v>0</v>
      </c>
      <c r="U3432" s="6">
        <v>1275</v>
      </c>
      <c r="V3432">
        <v>0</v>
      </c>
      <c r="W3432">
        <v>0</v>
      </c>
      <c r="X3432">
        <v>1</v>
      </c>
      <c r="Y3432" s="6">
        <v>42.3</v>
      </c>
      <c r="Z3432">
        <v>3.2000000000000001E-2</v>
      </c>
      <c r="AA3432">
        <v>0.106</v>
      </c>
      <c r="AB3432">
        <v>8.1000000000000003E-2</v>
      </c>
      <c r="AC3432">
        <v>5</v>
      </c>
      <c r="AD3432" s="6">
        <v>51</v>
      </c>
      <c r="AE3432" s="6">
        <v>0</v>
      </c>
      <c r="AF3432" s="6">
        <v>0</v>
      </c>
      <c r="AG3432" s="6">
        <v>105.52</v>
      </c>
      <c r="AH3432" s="6">
        <v>136.5</v>
      </c>
      <c r="AI3432" s="6">
        <f t="shared" si="106"/>
        <v>30.980000000000004</v>
      </c>
      <c r="AJ3432" s="5">
        <f t="shared" si="107"/>
        <v>0.22695970695970699</v>
      </c>
    </row>
    <row r="3433" spans="1:36">
      <c r="A3433" t="s">
        <v>288</v>
      </c>
      <c r="B3433" t="s">
        <v>3718</v>
      </c>
      <c r="C3433" t="s">
        <v>138</v>
      </c>
      <c r="D3433" t="s">
        <v>63</v>
      </c>
      <c r="E3433" t="s">
        <v>55</v>
      </c>
      <c r="F3433">
        <v>0</v>
      </c>
      <c r="G3433">
        <v>772</v>
      </c>
      <c r="H3433">
        <v>1</v>
      </c>
      <c r="I3433" t="s">
        <v>220</v>
      </c>
      <c r="J3433">
        <v>2</v>
      </c>
      <c r="K3433" s="6">
        <v>4.91</v>
      </c>
      <c r="L3433" t="s">
        <v>200</v>
      </c>
      <c r="M3433">
        <v>1</v>
      </c>
      <c r="N3433" t="s">
        <v>187</v>
      </c>
      <c r="O3433">
        <v>2</v>
      </c>
      <c r="P3433">
        <v>0</v>
      </c>
      <c r="Q3433" s="6">
        <v>59.7</v>
      </c>
      <c r="R3433">
        <v>0</v>
      </c>
      <c r="S3433" s="6">
        <v>0</v>
      </c>
      <c r="T3433">
        <v>0</v>
      </c>
      <c r="U3433" s="6">
        <v>562</v>
      </c>
      <c r="V3433">
        <v>0</v>
      </c>
      <c r="W3433">
        <v>0</v>
      </c>
      <c r="X3433">
        <v>0</v>
      </c>
      <c r="Y3433" s="6">
        <v>42.3</v>
      </c>
      <c r="Z3433">
        <v>3.2000000000000001E-2</v>
      </c>
      <c r="AA3433">
        <v>0.106</v>
      </c>
      <c r="AB3433">
        <v>8.1000000000000003E-2</v>
      </c>
      <c r="AC3433">
        <v>5</v>
      </c>
      <c r="AD3433" s="6">
        <v>120</v>
      </c>
      <c r="AE3433" s="6">
        <v>0</v>
      </c>
      <c r="AF3433" s="6">
        <v>0</v>
      </c>
      <c r="AG3433" s="6">
        <v>92.55</v>
      </c>
      <c r="AH3433" s="6">
        <v>120.58</v>
      </c>
      <c r="AI3433" s="6">
        <f t="shared" si="106"/>
        <v>28.03</v>
      </c>
      <c r="AJ3433" s="5">
        <f t="shared" si="107"/>
        <v>0.23245977774091892</v>
      </c>
    </row>
    <row r="3434" spans="1:36">
      <c r="A3434" t="s">
        <v>240</v>
      </c>
      <c r="B3434" t="s">
        <v>3719</v>
      </c>
      <c r="C3434" t="s">
        <v>138</v>
      </c>
      <c r="D3434" t="s">
        <v>63</v>
      </c>
      <c r="E3434" t="s">
        <v>55</v>
      </c>
      <c r="F3434">
        <v>0</v>
      </c>
      <c r="G3434">
        <v>772</v>
      </c>
      <c r="H3434">
        <v>1</v>
      </c>
      <c r="I3434" t="s">
        <v>220</v>
      </c>
      <c r="J3434">
        <v>2</v>
      </c>
      <c r="K3434" s="6">
        <v>5.25</v>
      </c>
      <c r="L3434" t="s">
        <v>174</v>
      </c>
      <c r="M3434">
        <v>0</v>
      </c>
      <c r="N3434" t="s">
        <v>175</v>
      </c>
      <c r="O3434">
        <v>1</v>
      </c>
      <c r="P3434">
        <v>0</v>
      </c>
      <c r="Q3434" s="6">
        <v>24.9</v>
      </c>
      <c r="R3434">
        <v>1</v>
      </c>
      <c r="S3434" s="6">
        <v>899</v>
      </c>
      <c r="T3434">
        <v>0</v>
      </c>
      <c r="U3434" s="6">
        <v>900</v>
      </c>
      <c r="V3434">
        <v>0</v>
      </c>
      <c r="W3434">
        <v>0</v>
      </c>
      <c r="X3434">
        <v>0</v>
      </c>
      <c r="Y3434" s="6">
        <v>42.3</v>
      </c>
      <c r="Z3434">
        <v>3.2000000000000001E-2</v>
      </c>
      <c r="AA3434">
        <v>0.106</v>
      </c>
      <c r="AB3434">
        <v>8.1000000000000003E-2</v>
      </c>
      <c r="AC3434">
        <v>5</v>
      </c>
      <c r="AD3434" s="6">
        <v>51</v>
      </c>
      <c r="AE3434" s="6">
        <v>25</v>
      </c>
      <c r="AF3434" s="6">
        <v>0</v>
      </c>
      <c r="AG3434" s="6">
        <v>74.650000000000006</v>
      </c>
      <c r="AH3434" s="6">
        <v>94.32</v>
      </c>
      <c r="AI3434" s="6">
        <f t="shared" si="106"/>
        <v>19.669999999999987</v>
      </c>
      <c r="AJ3434" s="5">
        <f t="shared" si="107"/>
        <v>0.2085453774385071</v>
      </c>
    </row>
    <row r="3435" spans="1:36">
      <c r="A3435" t="s">
        <v>258</v>
      </c>
      <c r="B3435" t="s">
        <v>3720</v>
      </c>
      <c r="C3435" t="s">
        <v>138</v>
      </c>
      <c r="D3435" t="s">
        <v>63</v>
      </c>
      <c r="E3435" t="s">
        <v>55</v>
      </c>
      <c r="F3435">
        <v>0</v>
      </c>
      <c r="G3435">
        <v>772</v>
      </c>
      <c r="H3435">
        <v>1</v>
      </c>
      <c r="I3435" t="s">
        <v>220</v>
      </c>
      <c r="J3435">
        <v>2</v>
      </c>
      <c r="K3435" s="6">
        <v>4.22</v>
      </c>
      <c r="L3435" t="s">
        <v>174</v>
      </c>
      <c r="M3435">
        <v>0</v>
      </c>
      <c r="N3435" t="s">
        <v>187</v>
      </c>
      <c r="O3435">
        <v>2</v>
      </c>
      <c r="P3435">
        <v>0</v>
      </c>
      <c r="Q3435" s="6">
        <v>69.8</v>
      </c>
      <c r="R3435">
        <v>0</v>
      </c>
      <c r="S3435" s="6">
        <v>0</v>
      </c>
      <c r="T3435">
        <v>0</v>
      </c>
      <c r="U3435" s="6">
        <v>1167</v>
      </c>
      <c r="V3435">
        <v>0</v>
      </c>
      <c r="W3435">
        <v>0</v>
      </c>
      <c r="X3435">
        <v>1</v>
      </c>
      <c r="Y3435" s="6">
        <v>42.3</v>
      </c>
      <c r="Z3435">
        <v>3.2000000000000001E-2</v>
      </c>
      <c r="AA3435">
        <v>0.106</v>
      </c>
      <c r="AB3435">
        <v>8.1000000000000003E-2</v>
      </c>
      <c r="AC3435">
        <v>5</v>
      </c>
      <c r="AD3435" s="6">
        <v>51</v>
      </c>
      <c r="AE3435" s="6">
        <v>0</v>
      </c>
      <c r="AF3435" s="6">
        <v>0</v>
      </c>
      <c r="AG3435" s="6">
        <v>72.27</v>
      </c>
      <c r="AH3435" s="6">
        <v>93.8</v>
      </c>
      <c r="AI3435" s="6">
        <f t="shared" si="106"/>
        <v>21.53</v>
      </c>
      <c r="AJ3435" s="5">
        <f t="shared" si="107"/>
        <v>0.2295309168443497</v>
      </c>
    </row>
    <row r="3436" spans="1:36">
      <c r="A3436" t="s">
        <v>501</v>
      </c>
      <c r="B3436" t="s">
        <v>3721</v>
      </c>
      <c r="C3436" t="s">
        <v>138</v>
      </c>
      <c r="D3436" t="s">
        <v>63</v>
      </c>
      <c r="E3436" t="s">
        <v>55</v>
      </c>
      <c r="F3436">
        <v>0</v>
      </c>
      <c r="G3436">
        <v>772</v>
      </c>
      <c r="H3436">
        <v>1</v>
      </c>
      <c r="I3436" t="s">
        <v>173</v>
      </c>
      <c r="J3436">
        <v>1</v>
      </c>
      <c r="K3436" s="6">
        <v>1.1299999999999999</v>
      </c>
      <c r="L3436" t="s">
        <v>174</v>
      </c>
      <c r="M3436">
        <v>0</v>
      </c>
      <c r="N3436" t="s">
        <v>175</v>
      </c>
      <c r="O3436">
        <v>1</v>
      </c>
      <c r="P3436">
        <v>0</v>
      </c>
      <c r="Q3436" s="6">
        <v>27.1</v>
      </c>
      <c r="R3436">
        <v>0</v>
      </c>
      <c r="S3436" s="6">
        <v>0</v>
      </c>
      <c r="T3436">
        <v>0</v>
      </c>
      <c r="U3436" s="6">
        <v>1746</v>
      </c>
      <c r="V3436">
        <v>0</v>
      </c>
      <c r="W3436">
        <v>0</v>
      </c>
      <c r="X3436">
        <v>0</v>
      </c>
      <c r="Y3436" s="6">
        <v>42.3</v>
      </c>
      <c r="Z3436">
        <v>3.2000000000000001E-2</v>
      </c>
      <c r="AA3436">
        <v>0.106</v>
      </c>
      <c r="AB3436">
        <v>8.1000000000000003E-2</v>
      </c>
      <c r="AC3436">
        <v>5</v>
      </c>
      <c r="AD3436" s="6">
        <v>51</v>
      </c>
      <c r="AE3436" s="6">
        <v>0</v>
      </c>
      <c r="AF3436" s="6">
        <v>0</v>
      </c>
      <c r="AG3436" s="6">
        <v>59.58</v>
      </c>
      <c r="AH3436" s="6">
        <v>75.3</v>
      </c>
      <c r="AI3436" s="6">
        <f t="shared" si="106"/>
        <v>15.719999999999999</v>
      </c>
      <c r="AJ3436" s="5">
        <f t="shared" si="107"/>
        <v>0.20876494023904382</v>
      </c>
    </row>
    <row r="3437" spans="1:36">
      <c r="A3437" t="s">
        <v>284</v>
      </c>
      <c r="B3437" t="s">
        <v>3722</v>
      </c>
      <c r="C3437" t="s">
        <v>138</v>
      </c>
      <c r="D3437" t="s">
        <v>63</v>
      </c>
      <c r="E3437" t="s">
        <v>55</v>
      </c>
      <c r="F3437">
        <v>0</v>
      </c>
      <c r="G3437">
        <v>772</v>
      </c>
      <c r="H3437">
        <v>1</v>
      </c>
      <c r="I3437" t="s">
        <v>220</v>
      </c>
      <c r="J3437">
        <v>2</v>
      </c>
      <c r="K3437" s="6">
        <v>3.11</v>
      </c>
      <c r="L3437" t="s">
        <v>174</v>
      </c>
      <c r="M3437">
        <v>0</v>
      </c>
      <c r="N3437" t="s">
        <v>187</v>
      </c>
      <c r="O3437">
        <v>2</v>
      </c>
      <c r="P3437">
        <v>0</v>
      </c>
      <c r="Q3437" s="6">
        <v>31.3</v>
      </c>
      <c r="R3437">
        <v>0</v>
      </c>
      <c r="S3437" s="6">
        <v>0</v>
      </c>
      <c r="T3437">
        <v>0</v>
      </c>
      <c r="U3437" s="6">
        <v>442</v>
      </c>
      <c r="V3437">
        <v>0</v>
      </c>
      <c r="W3437">
        <v>0</v>
      </c>
      <c r="X3437">
        <v>0</v>
      </c>
      <c r="Y3437" s="6">
        <v>42.3</v>
      </c>
      <c r="Z3437">
        <v>3.2000000000000001E-2</v>
      </c>
      <c r="AA3437">
        <v>0.106</v>
      </c>
      <c r="AB3437">
        <v>8.1000000000000003E-2</v>
      </c>
      <c r="AC3437">
        <v>5</v>
      </c>
      <c r="AD3437" s="6">
        <v>51</v>
      </c>
      <c r="AE3437" s="6">
        <v>0</v>
      </c>
      <c r="AF3437" s="6">
        <v>0</v>
      </c>
      <c r="AG3437" s="6">
        <v>78.86</v>
      </c>
      <c r="AH3437" s="6">
        <v>101.38</v>
      </c>
      <c r="AI3437" s="6">
        <f t="shared" si="106"/>
        <v>22.519999999999996</v>
      </c>
      <c r="AJ3437" s="5">
        <f t="shared" si="107"/>
        <v>0.22213454330242649</v>
      </c>
    </row>
    <row r="3438" spans="1:36">
      <c r="A3438" t="s">
        <v>279</v>
      </c>
      <c r="B3438" t="s">
        <v>3723</v>
      </c>
      <c r="C3438" t="s">
        <v>138</v>
      </c>
      <c r="D3438" t="s">
        <v>63</v>
      </c>
      <c r="E3438" t="s">
        <v>55</v>
      </c>
      <c r="F3438">
        <v>0</v>
      </c>
      <c r="G3438">
        <v>772</v>
      </c>
      <c r="H3438">
        <v>1</v>
      </c>
      <c r="I3438" t="s">
        <v>220</v>
      </c>
      <c r="J3438">
        <v>2</v>
      </c>
      <c r="K3438" s="6">
        <v>2.92</v>
      </c>
      <c r="L3438" t="s">
        <v>174</v>
      </c>
      <c r="M3438">
        <v>0</v>
      </c>
      <c r="N3438" t="s">
        <v>272</v>
      </c>
      <c r="O3438">
        <v>5</v>
      </c>
      <c r="P3438">
        <v>1</v>
      </c>
      <c r="Q3438" s="6">
        <v>241.5</v>
      </c>
      <c r="R3438">
        <v>1</v>
      </c>
      <c r="S3438" s="6">
        <v>4532</v>
      </c>
      <c r="T3438">
        <v>0</v>
      </c>
      <c r="U3438" s="6">
        <v>1446</v>
      </c>
      <c r="V3438">
        <v>0</v>
      </c>
      <c r="W3438">
        <v>0</v>
      </c>
      <c r="X3438">
        <v>0</v>
      </c>
      <c r="Y3438" s="6">
        <v>42.3</v>
      </c>
      <c r="Z3438">
        <v>3.2000000000000001E-2</v>
      </c>
      <c r="AA3438">
        <v>0.106</v>
      </c>
      <c r="AB3438">
        <v>8.1000000000000003E-2</v>
      </c>
      <c r="AC3438">
        <v>5</v>
      </c>
      <c r="AD3438" s="6">
        <v>51</v>
      </c>
      <c r="AE3438" s="6">
        <v>40</v>
      </c>
      <c r="AF3438" s="6">
        <v>0</v>
      </c>
      <c r="AG3438" s="6">
        <v>167.16</v>
      </c>
      <c r="AH3438" s="6">
        <v>211.23</v>
      </c>
      <c r="AI3438" s="6">
        <f t="shared" si="106"/>
        <v>44.069999999999993</v>
      </c>
      <c r="AJ3438" s="5">
        <f t="shared" si="107"/>
        <v>0.20863513705439565</v>
      </c>
    </row>
    <row r="3439" spans="1:36">
      <c r="A3439" t="s">
        <v>201</v>
      </c>
      <c r="B3439" t="s">
        <v>3724</v>
      </c>
      <c r="C3439" t="s">
        <v>138</v>
      </c>
      <c r="D3439" t="s">
        <v>63</v>
      </c>
      <c r="E3439" t="s">
        <v>55</v>
      </c>
      <c r="F3439">
        <v>0</v>
      </c>
      <c r="G3439">
        <v>772</v>
      </c>
      <c r="H3439">
        <v>1</v>
      </c>
      <c r="I3439" t="s">
        <v>173</v>
      </c>
      <c r="J3439">
        <v>1</v>
      </c>
      <c r="K3439" s="6">
        <v>1.76</v>
      </c>
      <c r="L3439" t="s">
        <v>174</v>
      </c>
      <c r="M3439">
        <v>0</v>
      </c>
      <c r="N3439" t="s">
        <v>182</v>
      </c>
      <c r="O3439">
        <v>3</v>
      </c>
      <c r="P3439">
        <v>0</v>
      </c>
      <c r="Q3439" s="6">
        <v>61.7</v>
      </c>
      <c r="R3439">
        <v>0</v>
      </c>
      <c r="S3439" s="6">
        <v>0</v>
      </c>
      <c r="T3439">
        <v>0</v>
      </c>
      <c r="U3439" s="6">
        <v>3002</v>
      </c>
      <c r="V3439">
        <v>0</v>
      </c>
      <c r="W3439">
        <v>0</v>
      </c>
      <c r="X3439">
        <v>0</v>
      </c>
      <c r="Y3439" s="6">
        <v>42.3</v>
      </c>
      <c r="Z3439">
        <v>3.2000000000000001E-2</v>
      </c>
      <c r="AA3439">
        <v>0.106</v>
      </c>
      <c r="AB3439">
        <v>8.1000000000000003E-2</v>
      </c>
      <c r="AC3439">
        <v>5</v>
      </c>
      <c r="AD3439" s="6">
        <v>51</v>
      </c>
      <c r="AE3439" s="6">
        <v>0</v>
      </c>
      <c r="AF3439" s="6">
        <v>0</v>
      </c>
      <c r="AG3439" s="6">
        <v>64.97</v>
      </c>
      <c r="AH3439" s="6">
        <v>81.31</v>
      </c>
      <c r="AI3439" s="6">
        <f t="shared" si="106"/>
        <v>16.340000000000003</v>
      </c>
      <c r="AJ3439" s="5">
        <f t="shared" si="107"/>
        <v>0.20095929160004924</v>
      </c>
    </row>
    <row r="3440" spans="1:36">
      <c r="A3440" t="s">
        <v>436</v>
      </c>
      <c r="B3440" t="s">
        <v>3725</v>
      </c>
      <c r="C3440" t="s">
        <v>138</v>
      </c>
      <c r="D3440" t="s">
        <v>63</v>
      </c>
      <c r="E3440" t="s">
        <v>55</v>
      </c>
      <c r="F3440">
        <v>0</v>
      </c>
      <c r="G3440">
        <v>772</v>
      </c>
      <c r="H3440">
        <v>1</v>
      </c>
      <c r="I3440" t="s">
        <v>173</v>
      </c>
      <c r="J3440">
        <v>1</v>
      </c>
      <c r="K3440" s="6">
        <v>1.84</v>
      </c>
      <c r="L3440" t="s">
        <v>174</v>
      </c>
      <c r="M3440">
        <v>0</v>
      </c>
      <c r="N3440" t="s">
        <v>175</v>
      </c>
      <c r="O3440">
        <v>1</v>
      </c>
      <c r="P3440">
        <v>0</v>
      </c>
      <c r="Q3440" s="6">
        <v>27.2</v>
      </c>
      <c r="R3440">
        <v>0</v>
      </c>
      <c r="S3440" s="6">
        <v>0</v>
      </c>
      <c r="T3440">
        <v>0</v>
      </c>
      <c r="U3440" s="6">
        <v>1558</v>
      </c>
      <c r="V3440">
        <v>0</v>
      </c>
      <c r="W3440">
        <v>0</v>
      </c>
      <c r="X3440">
        <v>0</v>
      </c>
      <c r="Y3440" s="6">
        <v>42.3</v>
      </c>
      <c r="Z3440">
        <v>3.2000000000000001E-2</v>
      </c>
      <c r="AA3440">
        <v>0.106</v>
      </c>
      <c r="AB3440">
        <v>8.1000000000000003E-2</v>
      </c>
      <c r="AC3440">
        <v>5</v>
      </c>
      <c r="AD3440" s="6">
        <v>51</v>
      </c>
      <c r="AE3440" s="6">
        <v>0</v>
      </c>
      <c r="AF3440" s="6">
        <v>0</v>
      </c>
      <c r="AG3440" s="6">
        <v>54.5</v>
      </c>
      <c r="AH3440" s="6">
        <v>69.569999999999993</v>
      </c>
      <c r="AI3440" s="6">
        <f t="shared" si="106"/>
        <v>15.069999999999993</v>
      </c>
      <c r="AJ3440" s="5">
        <f t="shared" si="107"/>
        <v>0.21661635762541318</v>
      </c>
    </row>
    <row r="3441" spans="1:36">
      <c r="A3441" t="s">
        <v>478</v>
      </c>
      <c r="B3441" t="s">
        <v>3726</v>
      </c>
      <c r="C3441" t="s">
        <v>138</v>
      </c>
      <c r="D3441" t="s">
        <v>63</v>
      </c>
      <c r="E3441" t="s">
        <v>55</v>
      </c>
      <c r="F3441">
        <v>0</v>
      </c>
      <c r="G3441">
        <v>772</v>
      </c>
      <c r="H3441">
        <v>1</v>
      </c>
      <c r="I3441" t="s">
        <v>181</v>
      </c>
      <c r="J3441">
        <v>3</v>
      </c>
      <c r="K3441" s="6">
        <v>12.48</v>
      </c>
      <c r="L3441" t="s">
        <v>174</v>
      </c>
      <c r="M3441">
        <v>0</v>
      </c>
      <c r="N3441" t="s">
        <v>182</v>
      </c>
      <c r="O3441">
        <v>3</v>
      </c>
      <c r="P3441">
        <v>0</v>
      </c>
      <c r="Q3441" s="6">
        <v>93</v>
      </c>
      <c r="R3441">
        <v>0</v>
      </c>
      <c r="S3441" s="6">
        <v>0</v>
      </c>
      <c r="T3441">
        <v>0</v>
      </c>
      <c r="U3441" s="6">
        <v>1217</v>
      </c>
      <c r="V3441">
        <v>0</v>
      </c>
      <c r="W3441">
        <v>0</v>
      </c>
      <c r="X3441">
        <v>0</v>
      </c>
      <c r="Y3441" s="6">
        <v>42.3</v>
      </c>
      <c r="Z3441">
        <v>3.2000000000000001E-2</v>
      </c>
      <c r="AA3441">
        <v>0.106</v>
      </c>
      <c r="AB3441">
        <v>8.1000000000000003E-2</v>
      </c>
      <c r="AC3441">
        <v>5</v>
      </c>
      <c r="AD3441" s="6">
        <v>61</v>
      </c>
      <c r="AE3441" s="6">
        <v>0</v>
      </c>
      <c r="AF3441" s="6">
        <v>0</v>
      </c>
      <c r="AG3441" s="6">
        <v>115.5</v>
      </c>
      <c r="AH3441" s="6">
        <v>145.72999999999999</v>
      </c>
      <c r="AI3441" s="6">
        <f t="shared" si="106"/>
        <v>30.22999999999999</v>
      </c>
      <c r="AJ3441" s="5">
        <f t="shared" si="107"/>
        <v>0.20743841350442593</v>
      </c>
    </row>
    <row r="3442" spans="1:36">
      <c r="A3442" t="s">
        <v>194</v>
      </c>
      <c r="B3442" t="s">
        <v>3727</v>
      </c>
      <c r="C3442" t="s">
        <v>138</v>
      </c>
      <c r="D3442" t="s">
        <v>63</v>
      </c>
      <c r="E3442" t="s">
        <v>55</v>
      </c>
      <c r="F3442">
        <v>0</v>
      </c>
      <c r="G3442">
        <v>772</v>
      </c>
      <c r="H3442">
        <v>1</v>
      </c>
      <c r="I3442" t="s">
        <v>220</v>
      </c>
      <c r="J3442">
        <v>2</v>
      </c>
      <c r="K3442" s="6">
        <v>3.26</v>
      </c>
      <c r="L3442" t="s">
        <v>174</v>
      </c>
      <c r="M3442">
        <v>0</v>
      </c>
      <c r="N3442" t="s">
        <v>182</v>
      </c>
      <c r="O3442">
        <v>3</v>
      </c>
      <c r="P3442">
        <v>0</v>
      </c>
      <c r="Q3442" s="6">
        <v>99.1</v>
      </c>
      <c r="R3442">
        <v>0</v>
      </c>
      <c r="S3442" s="6">
        <v>0</v>
      </c>
      <c r="T3442">
        <v>0</v>
      </c>
      <c r="U3442" s="6">
        <v>3052</v>
      </c>
      <c r="V3442">
        <v>1</v>
      </c>
      <c r="W3442">
        <v>0</v>
      </c>
      <c r="X3442">
        <v>0</v>
      </c>
      <c r="Y3442" s="6">
        <v>42.3</v>
      </c>
      <c r="Z3442">
        <v>3.2000000000000001E-2</v>
      </c>
      <c r="AA3442">
        <v>0.106</v>
      </c>
      <c r="AB3442">
        <v>8.1000000000000003E-2</v>
      </c>
      <c r="AC3442">
        <v>5</v>
      </c>
      <c r="AD3442" s="6">
        <v>51</v>
      </c>
      <c r="AE3442" s="6">
        <v>0</v>
      </c>
      <c r="AF3442" s="6">
        <v>0</v>
      </c>
      <c r="AG3442" s="6">
        <v>119.93</v>
      </c>
      <c r="AH3442" s="6">
        <v>154.44999999999999</v>
      </c>
      <c r="AI3442" s="6">
        <f t="shared" si="106"/>
        <v>34.519999999999982</v>
      </c>
      <c r="AJ3442" s="5">
        <f t="shared" si="107"/>
        <v>0.22350275169957906</v>
      </c>
    </row>
    <row r="3443" spans="1:36">
      <c r="A3443" t="s">
        <v>238</v>
      </c>
      <c r="B3443" t="s">
        <v>3728</v>
      </c>
      <c r="C3443" t="s">
        <v>138</v>
      </c>
      <c r="D3443" t="s">
        <v>63</v>
      </c>
      <c r="E3443" t="s">
        <v>55</v>
      </c>
      <c r="F3443">
        <v>0</v>
      </c>
      <c r="G3443">
        <v>772</v>
      </c>
      <c r="H3443">
        <v>1</v>
      </c>
      <c r="I3443" t="s">
        <v>220</v>
      </c>
      <c r="J3443">
        <v>2</v>
      </c>
      <c r="K3443" s="6">
        <v>0.55000000000000004</v>
      </c>
      <c r="L3443" t="s">
        <v>174</v>
      </c>
      <c r="M3443">
        <v>0</v>
      </c>
      <c r="N3443" t="s">
        <v>175</v>
      </c>
      <c r="O3443">
        <v>1</v>
      </c>
      <c r="P3443">
        <v>0</v>
      </c>
      <c r="Q3443" s="6">
        <v>42.4</v>
      </c>
      <c r="R3443">
        <v>0</v>
      </c>
      <c r="S3443" s="6">
        <v>0</v>
      </c>
      <c r="T3443">
        <v>0</v>
      </c>
      <c r="U3443" s="6">
        <v>718</v>
      </c>
      <c r="V3443">
        <v>1</v>
      </c>
      <c r="W3443">
        <v>0</v>
      </c>
      <c r="X3443">
        <v>0</v>
      </c>
      <c r="Y3443" s="6">
        <v>42.3</v>
      </c>
      <c r="Z3443">
        <v>3.2000000000000001E-2</v>
      </c>
      <c r="AA3443">
        <v>0.106</v>
      </c>
      <c r="AB3443">
        <v>8.1000000000000003E-2</v>
      </c>
      <c r="AC3443">
        <v>5</v>
      </c>
      <c r="AD3443" s="6">
        <v>51</v>
      </c>
      <c r="AE3443" s="6">
        <v>0</v>
      </c>
      <c r="AF3443" s="6">
        <v>0</v>
      </c>
      <c r="AG3443" s="6">
        <v>100.58</v>
      </c>
      <c r="AH3443" s="6">
        <v>127.32</v>
      </c>
      <c r="AI3443" s="6">
        <f t="shared" si="106"/>
        <v>26.739999999999995</v>
      </c>
      <c r="AJ3443" s="5">
        <f t="shared" si="107"/>
        <v>0.21002199183160539</v>
      </c>
    </row>
    <row r="3444" spans="1:36">
      <c r="A3444" t="s">
        <v>406</v>
      </c>
      <c r="B3444" t="s">
        <v>3729</v>
      </c>
      <c r="C3444" t="s">
        <v>138</v>
      </c>
      <c r="D3444" t="s">
        <v>63</v>
      </c>
      <c r="E3444" t="s">
        <v>55</v>
      </c>
      <c r="F3444">
        <v>0</v>
      </c>
      <c r="G3444">
        <v>772</v>
      </c>
      <c r="H3444">
        <v>1</v>
      </c>
      <c r="I3444" t="s">
        <v>220</v>
      </c>
      <c r="J3444">
        <v>2</v>
      </c>
      <c r="K3444" s="6">
        <v>3.33</v>
      </c>
      <c r="L3444" t="s">
        <v>174</v>
      </c>
      <c r="M3444">
        <v>0</v>
      </c>
      <c r="N3444" t="s">
        <v>217</v>
      </c>
      <c r="O3444">
        <v>4</v>
      </c>
      <c r="P3444">
        <v>1</v>
      </c>
      <c r="Q3444" s="6">
        <v>66.400000000000006</v>
      </c>
      <c r="R3444">
        <v>0</v>
      </c>
      <c r="S3444" s="6">
        <v>0</v>
      </c>
      <c r="T3444">
        <v>0</v>
      </c>
      <c r="U3444" s="6">
        <v>1175</v>
      </c>
      <c r="V3444">
        <v>0</v>
      </c>
      <c r="W3444">
        <v>0</v>
      </c>
      <c r="X3444">
        <v>0</v>
      </c>
      <c r="Y3444" s="6">
        <v>42.3</v>
      </c>
      <c r="Z3444">
        <v>3.2000000000000001E-2</v>
      </c>
      <c r="AA3444">
        <v>0.106</v>
      </c>
      <c r="AB3444">
        <v>8.1000000000000003E-2</v>
      </c>
      <c r="AC3444">
        <v>5</v>
      </c>
      <c r="AD3444" s="6">
        <v>51</v>
      </c>
      <c r="AE3444" s="6">
        <v>0</v>
      </c>
      <c r="AF3444" s="6">
        <v>0</v>
      </c>
      <c r="AG3444" s="6">
        <v>113.34</v>
      </c>
      <c r="AH3444" s="6">
        <v>143.83000000000001</v>
      </c>
      <c r="AI3444" s="6">
        <f t="shared" si="106"/>
        <v>30.490000000000009</v>
      </c>
      <c r="AJ3444" s="5">
        <f t="shared" si="107"/>
        <v>0.2119863728012237</v>
      </c>
    </row>
    <row r="3445" spans="1:36">
      <c r="A3445" t="s">
        <v>230</v>
      </c>
      <c r="B3445" t="s">
        <v>3730</v>
      </c>
      <c r="C3445" t="s">
        <v>138</v>
      </c>
      <c r="D3445" t="s">
        <v>63</v>
      </c>
      <c r="E3445" t="s">
        <v>55</v>
      </c>
      <c r="F3445">
        <v>0</v>
      </c>
      <c r="G3445">
        <v>772</v>
      </c>
      <c r="H3445">
        <v>1</v>
      </c>
      <c r="I3445" t="s">
        <v>173</v>
      </c>
      <c r="J3445">
        <v>1</v>
      </c>
      <c r="K3445" s="6">
        <v>1.67</v>
      </c>
      <c r="L3445" t="s">
        <v>174</v>
      </c>
      <c r="M3445">
        <v>0</v>
      </c>
      <c r="N3445" t="s">
        <v>175</v>
      </c>
      <c r="O3445">
        <v>1</v>
      </c>
      <c r="P3445">
        <v>0</v>
      </c>
      <c r="Q3445" s="6">
        <v>43.1</v>
      </c>
      <c r="R3445">
        <v>0</v>
      </c>
      <c r="S3445" s="6">
        <v>0</v>
      </c>
      <c r="T3445">
        <v>0</v>
      </c>
      <c r="U3445" s="6">
        <v>1672</v>
      </c>
      <c r="V3445">
        <v>0</v>
      </c>
      <c r="W3445">
        <v>0</v>
      </c>
      <c r="X3445">
        <v>0</v>
      </c>
      <c r="Y3445" s="6">
        <v>42.3</v>
      </c>
      <c r="Z3445">
        <v>3.2000000000000001E-2</v>
      </c>
      <c r="AA3445">
        <v>0.106</v>
      </c>
      <c r="AB3445">
        <v>8.1000000000000003E-2</v>
      </c>
      <c r="AC3445">
        <v>5</v>
      </c>
      <c r="AD3445" s="6">
        <v>51</v>
      </c>
      <c r="AE3445" s="6">
        <v>0</v>
      </c>
      <c r="AF3445" s="6">
        <v>0</v>
      </c>
      <c r="AG3445" s="6">
        <v>58.26</v>
      </c>
      <c r="AH3445" s="6">
        <v>74.319999999999993</v>
      </c>
      <c r="AI3445" s="6">
        <f t="shared" si="106"/>
        <v>16.059999999999995</v>
      </c>
      <c r="AJ3445" s="5">
        <f t="shared" si="107"/>
        <v>0.21609257265877282</v>
      </c>
    </row>
    <row r="3446" spans="1:36">
      <c r="A3446" t="s">
        <v>298</v>
      </c>
      <c r="B3446" t="s">
        <v>3731</v>
      </c>
      <c r="C3446" t="s">
        <v>138</v>
      </c>
      <c r="D3446" t="s">
        <v>63</v>
      </c>
      <c r="E3446" t="s">
        <v>55</v>
      </c>
      <c r="F3446">
        <v>0</v>
      </c>
      <c r="G3446">
        <v>772</v>
      </c>
      <c r="H3446">
        <v>1</v>
      </c>
      <c r="I3446" t="s">
        <v>173</v>
      </c>
      <c r="J3446">
        <v>1</v>
      </c>
      <c r="K3446" s="6">
        <v>1.97</v>
      </c>
      <c r="L3446" t="s">
        <v>174</v>
      </c>
      <c r="M3446">
        <v>0</v>
      </c>
      <c r="N3446" t="s">
        <v>175</v>
      </c>
      <c r="O3446">
        <v>1</v>
      </c>
      <c r="P3446">
        <v>0</v>
      </c>
      <c r="Q3446" s="6">
        <v>25.5</v>
      </c>
      <c r="R3446">
        <v>0</v>
      </c>
      <c r="S3446" s="6">
        <v>0</v>
      </c>
      <c r="T3446">
        <v>0</v>
      </c>
      <c r="U3446" s="6">
        <v>1376</v>
      </c>
      <c r="V3446">
        <v>0</v>
      </c>
      <c r="W3446">
        <v>0</v>
      </c>
      <c r="X3446">
        <v>0</v>
      </c>
      <c r="Y3446" s="6">
        <v>42.3</v>
      </c>
      <c r="Z3446">
        <v>3.2000000000000001E-2</v>
      </c>
      <c r="AA3446">
        <v>0.106</v>
      </c>
      <c r="AB3446">
        <v>8.1000000000000003E-2</v>
      </c>
      <c r="AC3446">
        <v>5</v>
      </c>
      <c r="AD3446" s="6">
        <v>51</v>
      </c>
      <c r="AE3446" s="6">
        <v>0</v>
      </c>
      <c r="AF3446" s="6">
        <v>0</v>
      </c>
      <c r="AG3446" s="6">
        <v>61.87</v>
      </c>
      <c r="AH3446" s="6">
        <v>81.92</v>
      </c>
      <c r="AI3446" s="6">
        <f t="shared" si="106"/>
        <v>20.050000000000004</v>
      </c>
      <c r="AJ3446" s="5">
        <f t="shared" si="107"/>
        <v>0.24475097656250006</v>
      </c>
    </row>
    <row r="3447" spans="1:36">
      <c r="A3447" t="s">
        <v>251</v>
      </c>
      <c r="B3447" t="s">
        <v>3732</v>
      </c>
      <c r="C3447" t="s">
        <v>138</v>
      </c>
      <c r="D3447" t="s">
        <v>63</v>
      </c>
      <c r="E3447" t="s">
        <v>55</v>
      </c>
      <c r="F3447">
        <v>0</v>
      </c>
      <c r="G3447">
        <v>772</v>
      </c>
      <c r="H3447">
        <v>1</v>
      </c>
      <c r="I3447" t="s">
        <v>220</v>
      </c>
      <c r="J3447">
        <v>2</v>
      </c>
      <c r="K3447" s="6">
        <v>3.22</v>
      </c>
      <c r="L3447" t="s">
        <v>174</v>
      </c>
      <c r="M3447">
        <v>0</v>
      </c>
      <c r="N3447" t="s">
        <v>182</v>
      </c>
      <c r="O3447">
        <v>3</v>
      </c>
      <c r="P3447">
        <v>1</v>
      </c>
      <c r="Q3447" s="6">
        <v>114.8</v>
      </c>
      <c r="R3447">
        <v>0</v>
      </c>
      <c r="S3447" s="6">
        <v>0</v>
      </c>
      <c r="T3447">
        <v>0</v>
      </c>
      <c r="U3447" s="6">
        <v>667</v>
      </c>
      <c r="V3447">
        <v>0</v>
      </c>
      <c r="W3447">
        <v>0</v>
      </c>
      <c r="X3447">
        <v>0</v>
      </c>
      <c r="Y3447" s="6">
        <v>42.3</v>
      </c>
      <c r="Z3447">
        <v>3.2000000000000001E-2</v>
      </c>
      <c r="AA3447">
        <v>0.106</v>
      </c>
      <c r="AB3447">
        <v>8.1000000000000003E-2</v>
      </c>
      <c r="AC3447">
        <v>5</v>
      </c>
      <c r="AD3447" s="6">
        <v>51</v>
      </c>
      <c r="AE3447" s="6">
        <v>0</v>
      </c>
      <c r="AF3447" s="6">
        <v>0</v>
      </c>
      <c r="AG3447" s="6">
        <v>104.05</v>
      </c>
      <c r="AH3447" s="6">
        <v>131.31</v>
      </c>
      <c r="AI3447" s="6">
        <f t="shared" si="106"/>
        <v>27.260000000000005</v>
      </c>
      <c r="AJ3447" s="5">
        <f t="shared" si="107"/>
        <v>0.2076003350849136</v>
      </c>
    </row>
    <row r="3448" spans="1:36">
      <c r="A3448" t="s">
        <v>300</v>
      </c>
      <c r="B3448" t="s">
        <v>3733</v>
      </c>
      <c r="C3448" t="s">
        <v>138</v>
      </c>
      <c r="D3448" t="s">
        <v>63</v>
      </c>
      <c r="E3448" t="s">
        <v>55</v>
      </c>
      <c r="F3448">
        <v>0</v>
      </c>
      <c r="G3448">
        <v>772</v>
      </c>
      <c r="H3448">
        <v>1</v>
      </c>
      <c r="I3448" t="s">
        <v>173</v>
      </c>
      <c r="J3448">
        <v>1</v>
      </c>
      <c r="K3448" s="6">
        <v>1.66</v>
      </c>
      <c r="L3448" t="s">
        <v>174</v>
      </c>
      <c r="M3448">
        <v>0</v>
      </c>
      <c r="N3448" t="s">
        <v>182</v>
      </c>
      <c r="O3448">
        <v>3</v>
      </c>
      <c r="P3448">
        <v>0</v>
      </c>
      <c r="Q3448" s="6">
        <v>124.6</v>
      </c>
      <c r="R3448">
        <v>0</v>
      </c>
      <c r="S3448" s="6">
        <v>0</v>
      </c>
      <c r="T3448">
        <v>0</v>
      </c>
      <c r="U3448" s="6">
        <v>1182</v>
      </c>
      <c r="V3448">
        <v>1</v>
      </c>
      <c r="W3448">
        <v>0</v>
      </c>
      <c r="X3448">
        <v>0</v>
      </c>
      <c r="Y3448" s="6">
        <v>42.3</v>
      </c>
      <c r="Z3448">
        <v>3.2000000000000001E-2</v>
      </c>
      <c r="AA3448">
        <v>0.106</v>
      </c>
      <c r="AB3448">
        <v>8.1000000000000003E-2</v>
      </c>
      <c r="AC3448">
        <v>5</v>
      </c>
      <c r="AD3448" s="6">
        <v>51</v>
      </c>
      <c r="AE3448" s="6">
        <v>0</v>
      </c>
      <c r="AF3448" s="6">
        <v>0</v>
      </c>
      <c r="AG3448" s="6">
        <v>105.48</v>
      </c>
      <c r="AH3448" s="6">
        <v>131.94999999999999</v>
      </c>
      <c r="AI3448" s="6">
        <f t="shared" si="106"/>
        <v>26.469999999999985</v>
      </c>
      <c r="AJ3448" s="5">
        <f t="shared" si="107"/>
        <v>0.20060629026146257</v>
      </c>
    </row>
    <row r="3449" spans="1:36">
      <c r="A3449" t="s">
        <v>228</v>
      </c>
      <c r="B3449" t="s">
        <v>3734</v>
      </c>
      <c r="C3449" t="s">
        <v>138</v>
      </c>
      <c r="D3449" t="s">
        <v>63</v>
      </c>
      <c r="E3449" t="s">
        <v>55</v>
      </c>
      <c r="F3449">
        <v>0</v>
      </c>
      <c r="G3449">
        <v>772</v>
      </c>
      <c r="H3449">
        <v>1</v>
      </c>
      <c r="I3449" t="s">
        <v>181</v>
      </c>
      <c r="J3449">
        <v>3</v>
      </c>
      <c r="K3449" s="6">
        <v>9.42</v>
      </c>
      <c r="L3449" t="s">
        <v>174</v>
      </c>
      <c r="M3449">
        <v>0</v>
      </c>
      <c r="N3449" t="s">
        <v>175</v>
      </c>
      <c r="O3449">
        <v>1</v>
      </c>
      <c r="P3449">
        <v>0</v>
      </c>
      <c r="Q3449" s="6">
        <v>32.700000000000003</v>
      </c>
      <c r="R3449">
        <v>0</v>
      </c>
      <c r="S3449" s="6">
        <v>0</v>
      </c>
      <c r="T3449">
        <v>0</v>
      </c>
      <c r="U3449" s="6">
        <v>2449</v>
      </c>
      <c r="V3449">
        <v>0</v>
      </c>
      <c r="W3449">
        <v>0</v>
      </c>
      <c r="X3449">
        <v>0</v>
      </c>
      <c r="Y3449" s="6">
        <v>42.3</v>
      </c>
      <c r="Z3449">
        <v>3.2000000000000001E-2</v>
      </c>
      <c r="AA3449">
        <v>0.106</v>
      </c>
      <c r="AB3449">
        <v>8.1000000000000003E-2</v>
      </c>
      <c r="AC3449">
        <v>5</v>
      </c>
      <c r="AD3449" s="6">
        <v>61</v>
      </c>
      <c r="AE3449" s="6">
        <v>0</v>
      </c>
      <c r="AF3449" s="6">
        <v>0</v>
      </c>
      <c r="AG3449" s="6">
        <v>99.64</v>
      </c>
      <c r="AH3449" s="6">
        <v>127.63</v>
      </c>
      <c r="AI3449" s="6">
        <f t="shared" si="106"/>
        <v>27.989999999999995</v>
      </c>
      <c r="AJ3449" s="5">
        <f t="shared" si="107"/>
        <v>0.21930580584502074</v>
      </c>
    </row>
    <row r="3450" spans="1:36">
      <c r="A3450" t="s">
        <v>286</v>
      </c>
      <c r="B3450" t="s">
        <v>3735</v>
      </c>
      <c r="C3450" t="s">
        <v>138</v>
      </c>
      <c r="D3450" t="s">
        <v>63</v>
      </c>
      <c r="E3450" t="s">
        <v>55</v>
      </c>
      <c r="F3450">
        <v>0</v>
      </c>
      <c r="G3450">
        <v>772</v>
      </c>
      <c r="H3450">
        <v>1</v>
      </c>
      <c r="I3450" t="s">
        <v>220</v>
      </c>
      <c r="J3450">
        <v>2</v>
      </c>
      <c r="K3450" s="6">
        <v>4.49</v>
      </c>
      <c r="L3450" t="s">
        <v>200</v>
      </c>
      <c r="M3450">
        <v>1</v>
      </c>
      <c r="N3450" t="s">
        <v>175</v>
      </c>
      <c r="O3450">
        <v>1</v>
      </c>
      <c r="P3450">
        <v>0</v>
      </c>
      <c r="Q3450" s="6">
        <v>47</v>
      </c>
      <c r="R3450">
        <v>0</v>
      </c>
      <c r="S3450" s="6">
        <v>0</v>
      </c>
      <c r="T3450">
        <v>0</v>
      </c>
      <c r="U3450" s="6">
        <v>1905</v>
      </c>
      <c r="V3450">
        <v>0</v>
      </c>
      <c r="W3450">
        <v>0</v>
      </c>
      <c r="X3450">
        <v>0</v>
      </c>
      <c r="Y3450" s="6">
        <v>42.3</v>
      </c>
      <c r="Z3450">
        <v>3.2000000000000001E-2</v>
      </c>
      <c r="AA3450">
        <v>0.106</v>
      </c>
      <c r="AB3450">
        <v>8.1000000000000003E-2</v>
      </c>
      <c r="AC3450">
        <v>5</v>
      </c>
      <c r="AD3450" s="6">
        <v>120</v>
      </c>
      <c r="AE3450" s="6">
        <v>0</v>
      </c>
      <c r="AF3450" s="6">
        <v>0</v>
      </c>
      <c r="AG3450" s="6">
        <v>99.34</v>
      </c>
      <c r="AH3450" s="6">
        <v>125.79</v>
      </c>
      <c r="AI3450" s="6">
        <f t="shared" si="106"/>
        <v>26.450000000000003</v>
      </c>
      <c r="AJ3450" s="5">
        <f t="shared" si="107"/>
        <v>0.21027108673185468</v>
      </c>
    </row>
    <row r="3451" spans="1:36">
      <c r="A3451" t="s">
        <v>225</v>
      </c>
      <c r="B3451" t="s">
        <v>3736</v>
      </c>
      <c r="C3451" t="s">
        <v>138</v>
      </c>
      <c r="D3451" t="s">
        <v>63</v>
      </c>
      <c r="E3451" t="s">
        <v>55</v>
      </c>
      <c r="F3451">
        <v>0</v>
      </c>
      <c r="G3451">
        <v>772</v>
      </c>
      <c r="H3451">
        <v>1</v>
      </c>
      <c r="I3451" t="s">
        <v>173</v>
      </c>
      <c r="J3451">
        <v>1</v>
      </c>
      <c r="K3451" s="6">
        <v>2.2599999999999998</v>
      </c>
      <c r="L3451" t="s">
        <v>174</v>
      </c>
      <c r="M3451">
        <v>0</v>
      </c>
      <c r="N3451" t="s">
        <v>187</v>
      </c>
      <c r="O3451">
        <v>2</v>
      </c>
      <c r="P3451">
        <v>1</v>
      </c>
      <c r="Q3451" s="6">
        <v>43.5</v>
      </c>
      <c r="R3451">
        <v>0</v>
      </c>
      <c r="S3451" s="6">
        <v>0</v>
      </c>
      <c r="T3451">
        <v>0</v>
      </c>
      <c r="U3451" s="6">
        <v>1154</v>
      </c>
      <c r="V3451">
        <v>0</v>
      </c>
      <c r="W3451">
        <v>0</v>
      </c>
      <c r="X3451">
        <v>0</v>
      </c>
      <c r="Y3451" s="6">
        <v>42.3</v>
      </c>
      <c r="Z3451">
        <v>3.2000000000000001E-2</v>
      </c>
      <c r="AA3451">
        <v>0.106</v>
      </c>
      <c r="AB3451">
        <v>8.1000000000000003E-2</v>
      </c>
      <c r="AC3451">
        <v>5</v>
      </c>
      <c r="AD3451" s="6">
        <v>51</v>
      </c>
      <c r="AE3451" s="6">
        <v>0</v>
      </c>
      <c r="AF3451" s="6">
        <v>0</v>
      </c>
      <c r="AG3451" s="6">
        <v>89.34</v>
      </c>
      <c r="AH3451" s="6">
        <v>114.64</v>
      </c>
      <c r="AI3451" s="6">
        <f t="shared" si="106"/>
        <v>25.299999999999997</v>
      </c>
      <c r="AJ3451" s="5">
        <f t="shared" si="107"/>
        <v>0.22069085833914862</v>
      </c>
    </row>
    <row r="3452" spans="1:36">
      <c r="A3452" t="s">
        <v>274</v>
      </c>
      <c r="B3452" t="s">
        <v>3737</v>
      </c>
      <c r="C3452" t="s">
        <v>138</v>
      </c>
      <c r="D3452" t="s">
        <v>63</v>
      </c>
      <c r="E3452" t="s">
        <v>55</v>
      </c>
      <c r="F3452">
        <v>0</v>
      </c>
      <c r="G3452">
        <v>772</v>
      </c>
      <c r="H3452">
        <v>1</v>
      </c>
      <c r="I3452" t="s">
        <v>220</v>
      </c>
      <c r="J3452">
        <v>2</v>
      </c>
      <c r="K3452" s="6">
        <v>2.95</v>
      </c>
      <c r="L3452" t="s">
        <v>174</v>
      </c>
      <c r="M3452">
        <v>0</v>
      </c>
      <c r="N3452" t="s">
        <v>175</v>
      </c>
      <c r="O3452">
        <v>1</v>
      </c>
      <c r="P3452">
        <v>0</v>
      </c>
      <c r="Q3452" s="6">
        <v>37.200000000000003</v>
      </c>
      <c r="R3452">
        <v>0</v>
      </c>
      <c r="S3452" s="6">
        <v>0</v>
      </c>
      <c r="T3452">
        <v>0</v>
      </c>
      <c r="U3452" s="6">
        <v>887</v>
      </c>
      <c r="V3452">
        <v>0</v>
      </c>
      <c r="W3452">
        <v>0</v>
      </c>
      <c r="X3452">
        <v>0</v>
      </c>
      <c r="Y3452" s="6">
        <v>42.3</v>
      </c>
      <c r="Z3452">
        <v>3.2000000000000001E-2</v>
      </c>
      <c r="AA3452">
        <v>0.106</v>
      </c>
      <c r="AB3452">
        <v>8.1000000000000003E-2</v>
      </c>
      <c r="AC3452">
        <v>5</v>
      </c>
      <c r="AD3452" s="6">
        <v>51</v>
      </c>
      <c r="AE3452" s="6">
        <v>0</v>
      </c>
      <c r="AF3452" s="6">
        <v>0</v>
      </c>
      <c r="AG3452" s="6">
        <v>73.06</v>
      </c>
      <c r="AH3452" s="6">
        <v>91.49</v>
      </c>
      <c r="AI3452" s="6">
        <f t="shared" si="106"/>
        <v>18.429999999999993</v>
      </c>
      <c r="AJ3452" s="5">
        <f t="shared" si="107"/>
        <v>0.20144278063176296</v>
      </c>
    </row>
    <row r="3453" spans="1:36">
      <c r="A3453" t="s">
        <v>225</v>
      </c>
      <c r="B3453" t="s">
        <v>3738</v>
      </c>
      <c r="C3453" t="s">
        <v>138</v>
      </c>
      <c r="D3453" t="s">
        <v>63</v>
      </c>
      <c r="E3453" t="s">
        <v>55</v>
      </c>
      <c r="F3453">
        <v>0</v>
      </c>
      <c r="G3453">
        <v>772</v>
      </c>
      <c r="H3453">
        <v>1</v>
      </c>
      <c r="I3453" t="s">
        <v>173</v>
      </c>
      <c r="J3453">
        <v>1</v>
      </c>
      <c r="K3453" s="6">
        <v>1.8</v>
      </c>
      <c r="L3453" t="s">
        <v>174</v>
      </c>
      <c r="M3453">
        <v>0</v>
      </c>
      <c r="N3453" t="s">
        <v>175</v>
      </c>
      <c r="O3453">
        <v>1</v>
      </c>
      <c r="P3453">
        <v>0</v>
      </c>
      <c r="Q3453" s="6">
        <v>21.5</v>
      </c>
      <c r="R3453">
        <v>0</v>
      </c>
      <c r="S3453" s="6">
        <v>0</v>
      </c>
      <c r="T3453">
        <v>0</v>
      </c>
      <c r="U3453" s="6">
        <v>753</v>
      </c>
      <c r="V3453">
        <v>0</v>
      </c>
      <c r="W3453">
        <v>1</v>
      </c>
      <c r="X3453">
        <v>0</v>
      </c>
      <c r="Y3453" s="6">
        <v>42.3</v>
      </c>
      <c r="Z3453">
        <v>3.2000000000000001E-2</v>
      </c>
      <c r="AA3453">
        <v>0.106</v>
      </c>
      <c r="AB3453">
        <v>8.1000000000000003E-2</v>
      </c>
      <c r="AC3453">
        <v>5</v>
      </c>
      <c r="AD3453" s="6">
        <v>51</v>
      </c>
      <c r="AE3453" s="6">
        <v>0</v>
      </c>
      <c r="AF3453" s="6">
        <v>0</v>
      </c>
      <c r="AG3453" s="6">
        <v>82.88</v>
      </c>
      <c r="AH3453" s="6">
        <v>106.63</v>
      </c>
      <c r="AI3453" s="6">
        <f t="shared" si="106"/>
        <v>23.75</v>
      </c>
      <c r="AJ3453" s="5">
        <f t="shared" si="107"/>
        <v>0.22273281440495171</v>
      </c>
    </row>
    <row r="3454" spans="1:36">
      <c r="A3454" t="s">
        <v>183</v>
      </c>
      <c r="B3454" t="s">
        <v>3739</v>
      </c>
      <c r="C3454" t="s">
        <v>138</v>
      </c>
      <c r="D3454" t="s">
        <v>63</v>
      </c>
      <c r="E3454" t="s">
        <v>55</v>
      </c>
      <c r="F3454">
        <v>0</v>
      </c>
      <c r="G3454">
        <v>772</v>
      </c>
      <c r="H3454">
        <v>1</v>
      </c>
      <c r="I3454" t="s">
        <v>220</v>
      </c>
      <c r="J3454">
        <v>2</v>
      </c>
      <c r="K3454" s="6">
        <v>3.9</v>
      </c>
      <c r="L3454" t="s">
        <v>174</v>
      </c>
      <c r="M3454">
        <v>0</v>
      </c>
      <c r="N3454" t="s">
        <v>182</v>
      </c>
      <c r="O3454">
        <v>3</v>
      </c>
      <c r="P3454">
        <v>0</v>
      </c>
      <c r="Q3454" s="6">
        <v>63.6</v>
      </c>
      <c r="R3454">
        <v>0</v>
      </c>
      <c r="S3454" s="6">
        <v>0</v>
      </c>
      <c r="T3454">
        <v>0</v>
      </c>
      <c r="U3454" s="6">
        <v>620</v>
      </c>
      <c r="V3454">
        <v>0</v>
      </c>
      <c r="W3454">
        <v>0</v>
      </c>
      <c r="X3454">
        <v>0</v>
      </c>
      <c r="Y3454" s="6">
        <v>42.3</v>
      </c>
      <c r="Z3454">
        <v>3.2000000000000001E-2</v>
      </c>
      <c r="AA3454">
        <v>0.106</v>
      </c>
      <c r="AB3454">
        <v>8.1000000000000003E-2</v>
      </c>
      <c r="AC3454">
        <v>5</v>
      </c>
      <c r="AD3454" s="6">
        <v>51</v>
      </c>
      <c r="AE3454" s="6">
        <v>0</v>
      </c>
      <c r="AF3454" s="6">
        <v>0</v>
      </c>
      <c r="AG3454" s="6">
        <v>71.97</v>
      </c>
      <c r="AH3454" s="6">
        <v>93.13</v>
      </c>
      <c r="AI3454" s="6">
        <f t="shared" si="106"/>
        <v>21.159999999999997</v>
      </c>
      <c r="AJ3454" s="5">
        <f t="shared" si="107"/>
        <v>0.22720927735423599</v>
      </c>
    </row>
    <row r="3455" spans="1:36">
      <c r="A3455" t="s">
        <v>311</v>
      </c>
      <c r="B3455" t="s">
        <v>3740</v>
      </c>
      <c r="C3455" t="s">
        <v>138</v>
      </c>
      <c r="D3455" t="s">
        <v>63</v>
      </c>
      <c r="E3455" t="s">
        <v>55</v>
      </c>
      <c r="F3455">
        <v>0</v>
      </c>
      <c r="G3455">
        <v>772</v>
      </c>
      <c r="H3455">
        <v>1</v>
      </c>
      <c r="I3455" t="s">
        <v>173</v>
      </c>
      <c r="J3455">
        <v>1</v>
      </c>
      <c r="K3455" s="6">
        <v>1.66</v>
      </c>
      <c r="L3455" t="s">
        <v>174</v>
      </c>
      <c r="M3455">
        <v>0</v>
      </c>
      <c r="N3455" t="s">
        <v>217</v>
      </c>
      <c r="O3455">
        <v>4</v>
      </c>
      <c r="P3455">
        <v>1</v>
      </c>
      <c r="Q3455" s="6">
        <v>163.4</v>
      </c>
      <c r="R3455">
        <v>1</v>
      </c>
      <c r="S3455" s="6">
        <v>913</v>
      </c>
      <c r="T3455">
        <v>0</v>
      </c>
      <c r="U3455" s="6">
        <v>1113</v>
      </c>
      <c r="V3455">
        <v>0</v>
      </c>
      <c r="W3455">
        <v>0</v>
      </c>
      <c r="X3455">
        <v>0</v>
      </c>
      <c r="Y3455" s="6">
        <v>42.3</v>
      </c>
      <c r="Z3455">
        <v>3.2000000000000001E-2</v>
      </c>
      <c r="AA3455">
        <v>0.106</v>
      </c>
      <c r="AB3455">
        <v>8.1000000000000003E-2</v>
      </c>
      <c r="AC3455">
        <v>5</v>
      </c>
      <c r="AD3455" s="6">
        <v>51</v>
      </c>
      <c r="AE3455" s="6">
        <v>25</v>
      </c>
      <c r="AF3455" s="6">
        <v>0</v>
      </c>
      <c r="AG3455" s="6">
        <v>111.1</v>
      </c>
      <c r="AH3455" s="6">
        <v>143.71</v>
      </c>
      <c r="AI3455" s="6">
        <f t="shared" si="106"/>
        <v>32.610000000000014</v>
      </c>
      <c r="AJ3455" s="5">
        <f t="shared" si="107"/>
        <v>0.22691531556607064</v>
      </c>
    </row>
    <row r="3456" spans="1:36">
      <c r="A3456" t="s">
        <v>176</v>
      </c>
      <c r="B3456" t="s">
        <v>3741</v>
      </c>
      <c r="C3456" t="s">
        <v>138</v>
      </c>
      <c r="D3456" t="s">
        <v>63</v>
      </c>
      <c r="E3456" t="s">
        <v>55</v>
      </c>
      <c r="F3456">
        <v>0</v>
      </c>
      <c r="G3456">
        <v>772</v>
      </c>
      <c r="H3456">
        <v>1</v>
      </c>
      <c r="I3456" t="s">
        <v>220</v>
      </c>
      <c r="J3456">
        <v>2</v>
      </c>
      <c r="K3456" s="6">
        <v>3.45</v>
      </c>
      <c r="L3456" t="s">
        <v>174</v>
      </c>
      <c r="M3456">
        <v>0</v>
      </c>
      <c r="N3456" t="s">
        <v>187</v>
      </c>
      <c r="O3456">
        <v>2</v>
      </c>
      <c r="P3456">
        <v>0</v>
      </c>
      <c r="Q3456" s="6">
        <v>76.599999999999994</v>
      </c>
      <c r="R3456">
        <v>0</v>
      </c>
      <c r="S3456" s="6">
        <v>0</v>
      </c>
      <c r="T3456">
        <v>0</v>
      </c>
      <c r="U3456" s="6">
        <v>1031</v>
      </c>
      <c r="V3456">
        <v>0</v>
      </c>
      <c r="W3456">
        <v>0</v>
      </c>
      <c r="X3456">
        <v>0</v>
      </c>
      <c r="Y3456" s="6">
        <v>42.3</v>
      </c>
      <c r="Z3456">
        <v>3.2000000000000001E-2</v>
      </c>
      <c r="AA3456">
        <v>0.106</v>
      </c>
      <c r="AB3456">
        <v>8.1000000000000003E-2</v>
      </c>
      <c r="AC3456">
        <v>5</v>
      </c>
      <c r="AD3456" s="6">
        <v>51</v>
      </c>
      <c r="AE3456" s="6">
        <v>0</v>
      </c>
      <c r="AF3456" s="6">
        <v>0</v>
      </c>
      <c r="AG3456" s="6">
        <v>72</v>
      </c>
      <c r="AH3456" s="6">
        <v>92.62</v>
      </c>
      <c r="AI3456" s="6">
        <f t="shared" si="106"/>
        <v>20.620000000000005</v>
      </c>
      <c r="AJ3456" s="5">
        <f t="shared" si="107"/>
        <v>0.22263010148995901</v>
      </c>
    </row>
    <row r="3457" spans="1:36">
      <c r="A3457" t="s">
        <v>212</v>
      </c>
      <c r="B3457" t="s">
        <v>3742</v>
      </c>
      <c r="C3457" t="s">
        <v>138</v>
      </c>
      <c r="D3457" t="s">
        <v>63</v>
      </c>
      <c r="E3457" t="s">
        <v>55</v>
      </c>
      <c r="F3457">
        <v>0</v>
      </c>
      <c r="G3457">
        <v>772</v>
      </c>
      <c r="H3457">
        <v>1</v>
      </c>
      <c r="I3457" t="s">
        <v>173</v>
      </c>
      <c r="J3457">
        <v>1</v>
      </c>
      <c r="K3457" s="6">
        <v>3.13</v>
      </c>
      <c r="L3457" t="s">
        <v>174</v>
      </c>
      <c r="M3457">
        <v>0</v>
      </c>
      <c r="N3457" t="s">
        <v>175</v>
      </c>
      <c r="O3457">
        <v>1</v>
      </c>
      <c r="P3457">
        <v>0</v>
      </c>
      <c r="Q3457" s="6">
        <v>32.6</v>
      </c>
      <c r="R3457">
        <v>0</v>
      </c>
      <c r="S3457" s="6">
        <v>0</v>
      </c>
      <c r="T3457">
        <v>0</v>
      </c>
      <c r="U3457" s="6">
        <v>1657</v>
      </c>
      <c r="V3457">
        <v>0</v>
      </c>
      <c r="W3457">
        <v>0</v>
      </c>
      <c r="X3457">
        <v>0</v>
      </c>
      <c r="Y3457" s="6">
        <v>42.3</v>
      </c>
      <c r="Z3457">
        <v>3.2000000000000001E-2</v>
      </c>
      <c r="AA3457">
        <v>0.106</v>
      </c>
      <c r="AB3457">
        <v>8.1000000000000003E-2</v>
      </c>
      <c r="AC3457">
        <v>5</v>
      </c>
      <c r="AD3457" s="6">
        <v>51</v>
      </c>
      <c r="AE3457" s="6">
        <v>0</v>
      </c>
      <c r="AF3457" s="6">
        <v>0</v>
      </c>
      <c r="AG3457" s="6">
        <v>62.04</v>
      </c>
      <c r="AH3457" s="6">
        <v>81.44</v>
      </c>
      <c r="AI3457" s="6">
        <f t="shared" si="106"/>
        <v>19.399999999999999</v>
      </c>
      <c r="AJ3457" s="5">
        <f t="shared" si="107"/>
        <v>0.23821218074656186</v>
      </c>
    </row>
    <row r="3458" spans="1:36">
      <c r="A3458" t="s">
        <v>381</v>
      </c>
      <c r="B3458" t="s">
        <v>3743</v>
      </c>
      <c r="C3458" t="s">
        <v>138</v>
      </c>
      <c r="D3458" t="s">
        <v>63</v>
      </c>
      <c r="E3458" t="s">
        <v>55</v>
      </c>
      <c r="F3458">
        <v>0</v>
      </c>
      <c r="G3458">
        <v>772</v>
      </c>
      <c r="H3458">
        <v>1</v>
      </c>
      <c r="I3458" t="s">
        <v>220</v>
      </c>
      <c r="J3458">
        <v>2</v>
      </c>
      <c r="K3458" s="6">
        <v>5.21</v>
      </c>
      <c r="L3458" t="s">
        <v>174</v>
      </c>
      <c r="M3458">
        <v>0</v>
      </c>
      <c r="N3458" t="s">
        <v>182</v>
      </c>
      <c r="O3458">
        <v>3</v>
      </c>
      <c r="P3458">
        <v>0</v>
      </c>
      <c r="Q3458" s="6">
        <v>129.80000000000001</v>
      </c>
      <c r="R3458">
        <v>1</v>
      </c>
      <c r="S3458" s="6">
        <v>2825</v>
      </c>
      <c r="T3458">
        <v>0</v>
      </c>
      <c r="U3458" s="6">
        <v>1218</v>
      </c>
      <c r="V3458">
        <v>0</v>
      </c>
      <c r="W3458">
        <v>0</v>
      </c>
      <c r="X3458">
        <v>0</v>
      </c>
      <c r="Y3458" s="6">
        <v>42.3</v>
      </c>
      <c r="Z3458">
        <v>3.2000000000000001E-2</v>
      </c>
      <c r="AA3458">
        <v>0.106</v>
      </c>
      <c r="AB3458">
        <v>8.1000000000000003E-2</v>
      </c>
      <c r="AC3458">
        <v>5</v>
      </c>
      <c r="AD3458" s="6">
        <v>51</v>
      </c>
      <c r="AE3458" s="6">
        <v>40</v>
      </c>
      <c r="AF3458" s="6">
        <v>0</v>
      </c>
      <c r="AG3458" s="6">
        <v>79.2</v>
      </c>
      <c r="AH3458" s="6">
        <v>101.32</v>
      </c>
      <c r="AI3458" s="6">
        <f t="shared" ref="AI3458:AI3521" si="108">AH3458-AG3458</f>
        <v>22.11999999999999</v>
      </c>
      <c r="AJ3458" s="5">
        <f t="shared" ref="AJ3458:AJ3521" si="109">IFERROR(AI3458/AH3458,0)</f>
        <v>0.21831819976312664</v>
      </c>
    </row>
    <row r="3459" spans="1:36">
      <c r="A3459" t="s">
        <v>348</v>
      </c>
      <c r="B3459" t="s">
        <v>3744</v>
      </c>
      <c r="C3459" t="s">
        <v>138</v>
      </c>
      <c r="D3459" t="s">
        <v>63</v>
      </c>
      <c r="E3459" t="s">
        <v>55</v>
      </c>
      <c r="F3459">
        <v>0</v>
      </c>
      <c r="G3459">
        <v>772</v>
      </c>
      <c r="H3459">
        <v>1</v>
      </c>
      <c r="I3459" t="s">
        <v>178</v>
      </c>
      <c r="J3459">
        <v>4</v>
      </c>
      <c r="K3459" s="6">
        <v>17.440000000000001</v>
      </c>
      <c r="L3459" t="s">
        <v>174</v>
      </c>
      <c r="M3459">
        <v>0</v>
      </c>
      <c r="N3459" t="s">
        <v>175</v>
      </c>
      <c r="O3459">
        <v>1</v>
      </c>
      <c r="P3459">
        <v>0</v>
      </c>
      <c r="Q3459" s="6">
        <v>26.4</v>
      </c>
      <c r="R3459">
        <v>0</v>
      </c>
      <c r="S3459" s="6">
        <v>0</v>
      </c>
      <c r="T3459">
        <v>0</v>
      </c>
      <c r="U3459" s="6">
        <v>1149</v>
      </c>
      <c r="V3459">
        <v>1</v>
      </c>
      <c r="W3459">
        <v>0</v>
      </c>
      <c r="X3459">
        <v>0</v>
      </c>
      <c r="Y3459" s="6">
        <v>42.3</v>
      </c>
      <c r="Z3459">
        <v>3.2000000000000001E-2</v>
      </c>
      <c r="AA3459">
        <v>0.106</v>
      </c>
      <c r="AB3459">
        <v>8.1000000000000003E-2</v>
      </c>
      <c r="AC3459">
        <v>5</v>
      </c>
      <c r="AD3459" s="6">
        <v>66</v>
      </c>
      <c r="AE3459" s="6">
        <v>0</v>
      </c>
      <c r="AF3459" s="6">
        <v>0</v>
      </c>
      <c r="AG3459" s="6">
        <v>173.32</v>
      </c>
      <c r="AH3459" s="6">
        <v>220.21</v>
      </c>
      <c r="AI3459" s="6">
        <f t="shared" si="108"/>
        <v>46.890000000000015</v>
      </c>
      <c r="AJ3459" s="5">
        <f t="shared" si="109"/>
        <v>0.21293310930475462</v>
      </c>
    </row>
    <row r="3460" spans="1:36">
      <c r="A3460" t="s">
        <v>434</v>
      </c>
      <c r="B3460" t="s">
        <v>3745</v>
      </c>
      <c r="C3460" t="s">
        <v>138</v>
      </c>
      <c r="D3460" t="s">
        <v>63</v>
      </c>
      <c r="E3460" t="s">
        <v>55</v>
      </c>
      <c r="F3460">
        <v>0</v>
      </c>
      <c r="G3460">
        <v>772</v>
      </c>
      <c r="H3460">
        <v>1</v>
      </c>
      <c r="I3460" t="s">
        <v>220</v>
      </c>
      <c r="J3460">
        <v>2</v>
      </c>
      <c r="K3460" s="6">
        <v>2.2799999999999998</v>
      </c>
      <c r="L3460" t="s">
        <v>174</v>
      </c>
      <c r="M3460">
        <v>0</v>
      </c>
      <c r="N3460" t="s">
        <v>182</v>
      </c>
      <c r="O3460">
        <v>3</v>
      </c>
      <c r="P3460">
        <v>0</v>
      </c>
      <c r="Q3460" s="6">
        <v>85.1</v>
      </c>
      <c r="R3460">
        <v>0</v>
      </c>
      <c r="S3460" s="6">
        <v>0</v>
      </c>
      <c r="T3460">
        <v>0</v>
      </c>
      <c r="U3460" s="6">
        <v>1534</v>
      </c>
      <c r="V3460">
        <v>0</v>
      </c>
      <c r="W3460">
        <v>0</v>
      </c>
      <c r="X3460">
        <v>0</v>
      </c>
      <c r="Y3460" s="6">
        <v>42.3</v>
      </c>
      <c r="Z3460">
        <v>3.2000000000000001E-2</v>
      </c>
      <c r="AA3460">
        <v>0.106</v>
      </c>
      <c r="AB3460">
        <v>8.1000000000000003E-2</v>
      </c>
      <c r="AC3460">
        <v>5</v>
      </c>
      <c r="AD3460" s="6">
        <v>51</v>
      </c>
      <c r="AE3460" s="6">
        <v>0</v>
      </c>
      <c r="AF3460" s="6">
        <v>0</v>
      </c>
      <c r="AG3460" s="6">
        <v>80.89</v>
      </c>
      <c r="AH3460" s="6">
        <v>105.05</v>
      </c>
      <c r="AI3460" s="6">
        <f t="shared" si="108"/>
        <v>24.159999999999997</v>
      </c>
      <c r="AJ3460" s="5">
        <f t="shared" si="109"/>
        <v>0.22998572108519749</v>
      </c>
    </row>
    <row r="3461" spans="1:36">
      <c r="A3461" t="s">
        <v>190</v>
      </c>
      <c r="B3461" t="s">
        <v>3746</v>
      </c>
      <c r="C3461" t="s">
        <v>138</v>
      </c>
      <c r="D3461" t="s">
        <v>63</v>
      </c>
      <c r="E3461" t="s">
        <v>55</v>
      </c>
      <c r="F3461">
        <v>0</v>
      </c>
      <c r="G3461">
        <v>772</v>
      </c>
      <c r="H3461">
        <v>1</v>
      </c>
      <c r="I3461" t="s">
        <v>173</v>
      </c>
      <c r="J3461">
        <v>1</v>
      </c>
      <c r="K3461" s="6">
        <v>1.17</v>
      </c>
      <c r="L3461" t="s">
        <v>174</v>
      </c>
      <c r="M3461">
        <v>0</v>
      </c>
      <c r="N3461" t="s">
        <v>182</v>
      </c>
      <c r="O3461">
        <v>3</v>
      </c>
      <c r="P3461">
        <v>0</v>
      </c>
      <c r="Q3461" s="6">
        <v>138.6</v>
      </c>
      <c r="R3461">
        <v>0</v>
      </c>
      <c r="S3461" s="6">
        <v>0</v>
      </c>
      <c r="T3461">
        <v>0</v>
      </c>
      <c r="U3461" s="6">
        <v>1158</v>
      </c>
      <c r="V3461">
        <v>0</v>
      </c>
      <c r="W3461">
        <v>0</v>
      </c>
      <c r="X3461">
        <v>0</v>
      </c>
      <c r="Y3461" s="6">
        <v>42.3</v>
      </c>
      <c r="Z3461">
        <v>3.2000000000000001E-2</v>
      </c>
      <c r="AA3461">
        <v>0.106</v>
      </c>
      <c r="AB3461">
        <v>8.1000000000000003E-2</v>
      </c>
      <c r="AC3461">
        <v>5</v>
      </c>
      <c r="AD3461" s="6">
        <v>51</v>
      </c>
      <c r="AE3461" s="6">
        <v>0</v>
      </c>
      <c r="AF3461" s="6">
        <v>0</v>
      </c>
      <c r="AG3461" s="6">
        <v>68.3</v>
      </c>
      <c r="AH3461" s="6">
        <v>89.27</v>
      </c>
      <c r="AI3461" s="6">
        <f t="shared" si="108"/>
        <v>20.97</v>
      </c>
      <c r="AJ3461" s="5">
        <f t="shared" si="109"/>
        <v>0.23490534334042792</v>
      </c>
    </row>
    <row r="3462" spans="1:36">
      <c r="A3462" t="s">
        <v>179</v>
      </c>
      <c r="B3462" t="s">
        <v>3747</v>
      </c>
      <c r="C3462" t="s">
        <v>138</v>
      </c>
      <c r="D3462" t="s">
        <v>63</v>
      </c>
      <c r="E3462" t="s">
        <v>55</v>
      </c>
      <c r="F3462">
        <v>0</v>
      </c>
      <c r="G3462">
        <v>772</v>
      </c>
      <c r="H3462">
        <v>1</v>
      </c>
      <c r="I3462" t="s">
        <v>220</v>
      </c>
      <c r="J3462">
        <v>2</v>
      </c>
      <c r="K3462" s="6">
        <v>5.56</v>
      </c>
      <c r="L3462" t="s">
        <v>174</v>
      </c>
      <c r="M3462">
        <v>0</v>
      </c>
      <c r="N3462" t="s">
        <v>182</v>
      </c>
      <c r="O3462">
        <v>3</v>
      </c>
      <c r="P3462">
        <v>0</v>
      </c>
      <c r="Q3462" s="6">
        <v>91.1</v>
      </c>
      <c r="R3462">
        <v>0</v>
      </c>
      <c r="S3462" s="6">
        <v>0</v>
      </c>
      <c r="T3462">
        <v>0</v>
      </c>
      <c r="U3462" s="6">
        <v>1585</v>
      </c>
      <c r="V3462">
        <v>0</v>
      </c>
      <c r="W3462">
        <v>0</v>
      </c>
      <c r="X3462">
        <v>0</v>
      </c>
      <c r="Y3462" s="6">
        <v>42.3</v>
      </c>
      <c r="Z3462">
        <v>3.2000000000000001E-2</v>
      </c>
      <c r="AA3462">
        <v>0.106</v>
      </c>
      <c r="AB3462">
        <v>8.1000000000000003E-2</v>
      </c>
      <c r="AC3462">
        <v>5</v>
      </c>
      <c r="AD3462" s="6">
        <v>51</v>
      </c>
      <c r="AE3462" s="6">
        <v>0</v>
      </c>
      <c r="AF3462" s="6">
        <v>0</v>
      </c>
      <c r="AG3462" s="6">
        <v>87.27</v>
      </c>
      <c r="AH3462" s="6">
        <v>114.06</v>
      </c>
      <c r="AI3462" s="6">
        <f t="shared" si="108"/>
        <v>26.790000000000006</v>
      </c>
      <c r="AJ3462" s="5">
        <f t="shared" si="109"/>
        <v>0.23487638085218313</v>
      </c>
    </row>
    <row r="3463" spans="1:36">
      <c r="A3463" t="s">
        <v>481</v>
      </c>
      <c r="B3463" t="s">
        <v>3748</v>
      </c>
      <c r="C3463" t="s">
        <v>138</v>
      </c>
      <c r="D3463" t="s">
        <v>63</v>
      </c>
      <c r="E3463" t="s">
        <v>55</v>
      </c>
      <c r="F3463">
        <v>0</v>
      </c>
      <c r="G3463">
        <v>772</v>
      </c>
      <c r="H3463">
        <v>1</v>
      </c>
      <c r="I3463" t="s">
        <v>173</v>
      </c>
      <c r="J3463">
        <v>1</v>
      </c>
      <c r="K3463" s="6">
        <v>2.5</v>
      </c>
      <c r="L3463" t="s">
        <v>174</v>
      </c>
      <c r="M3463">
        <v>0</v>
      </c>
      <c r="N3463" t="s">
        <v>272</v>
      </c>
      <c r="O3463">
        <v>5</v>
      </c>
      <c r="P3463">
        <v>1</v>
      </c>
      <c r="Q3463" s="6">
        <v>321</v>
      </c>
      <c r="R3463">
        <v>0</v>
      </c>
      <c r="S3463" s="6">
        <v>0</v>
      </c>
      <c r="T3463">
        <v>0</v>
      </c>
      <c r="U3463" s="6">
        <v>1429</v>
      </c>
      <c r="V3463">
        <v>0</v>
      </c>
      <c r="W3463">
        <v>0</v>
      </c>
      <c r="X3463">
        <v>0</v>
      </c>
      <c r="Y3463" s="6">
        <v>42.3</v>
      </c>
      <c r="Z3463">
        <v>3.2000000000000001E-2</v>
      </c>
      <c r="AA3463">
        <v>0.106</v>
      </c>
      <c r="AB3463">
        <v>8.1000000000000003E-2</v>
      </c>
      <c r="AC3463">
        <v>5</v>
      </c>
      <c r="AD3463" s="6">
        <v>51</v>
      </c>
      <c r="AE3463" s="6">
        <v>0</v>
      </c>
      <c r="AF3463" s="6">
        <v>0</v>
      </c>
      <c r="AG3463" s="6">
        <v>153.36000000000001</v>
      </c>
      <c r="AH3463" s="6">
        <v>196.25</v>
      </c>
      <c r="AI3463" s="6">
        <f t="shared" si="108"/>
        <v>42.889999999999986</v>
      </c>
      <c r="AJ3463" s="5">
        <f t="shared" si="109"/>
        <v>0.21854777070063688</v>
      </c>
    </row>
    <row r="3464" spans="1:36">
      <c r="A3464" t="s">
        <v>375</v>
      </c>
      <c r="B3464" t="s">
        <v>3749</v>
      </c>
      <c r="C3464" t="s">
        <v>138</v>
      </c>
      <c r="D3464" t="s">
        <v>63</v>
      </c>
      <c r="E3464" t="s">
        <v>55</v>
      </c>
      <c r="F3464">
        <v>0</v>
      </c>
      <c r="G3464">
        <v>772</v>
      </c>
      <c r="H3464">
        <v>1</v>
      </c>
      <c r="I3464" t="s">
        <v>220</v>
      </c>
      <c r="J3464">
        <v>2</v>
      </c>
      <c r="K3464" s="6">
        <v>3.81</v>
      </c>
      <c r="L3464" t="s">
        <v>174</v>
      </c>
      <c r="M3464">
        <v>0</v>
      </c>
      <c r="N3464" t="s">
        <v>272</v>
      </c>
      <c r="O3464">
        <v>5</v>
      </c>
      <c r="P3464">
        <v>1</v>
      </c>
      <c r="Q3464" s="6">
        <v>187.2</v>
      </c>
      <c r="R3464">
        <v>1</v>
      </c>
      <c r="S3464" s="6">
        <v>1420</v>
      </c>
      <c r="T3464">
        <v>0</v>
      </c>
      <c r="U3464" s="6">
        <v>855</v>
      </c>
      <c r="V3464">
        <v>0</v>
      </c>
      <c r="W3464">
        <v>0</v>
      </c>
      <c r="X3464">
        <v>0</v>
      </c>
      <c r="Y3464" s="6">
        <v>42.3</v>
      </c>
      <c r="Z3464">
        <v>3.2000000000000001E-2</v>
      </c>
      <c r="AA3464">
        <v>0.106</v>
      </c>
      <c r="AB3464">
        <v>8.1000000000000003E-2</v>
      </c>
      <c r="AC3464">
        <v>5</v>
      </c>
      <c r="AD3464" s="6">
        <v>51</v>
      </c>
      <c r="AE3464" s="6">
        <v>25</v>
      </c>
      <c r="AF3464" s="6">
        <v>0</v>
      </c>
      <c r="AG3464" s="6">
        <v>161.55000000000001</v>
      </c>
      <c r="AH3464" s="6">
        <v>202.02</v>
      </c>
      <c r="AI3464" s="6">
        <f t="shared" si="108"/>
        <v>40.47</v>
      </c>
      <c r="AJ3464" s="5">
        <f t="shared" si="109"/>
        <v>0.2003267003267003</v>
      </c>
    </row>
    <row r="3465" spans="1:36">
      <c r="A3465" t="s">
        <v>434</v>
      </c>
      <c r="B3465" t="s">
        <v>3750</v>
      </c>
      <c r="C3465" t="s">
        <v>138</v>
      </c>
      <c r="D3465" t="s">
        <v>63</v>
      </c>
      <c r="E3465" t="s">
        <v>55</v>
      </c>
      <c r="F3465">
        <v>0</v>
      </c>
      <c r="G3465">
        <v>772</v>
      </c>
      <c r="H3465">
        <v>1</v>
      </c>
      <c r="I3465" t="s">
        <v>220</v>
      </c>
      <c r="J3465">
        <v>2</v>
      </c>
      <c r="K3465" s="6">
        <v>5.52</v>
      </c>
      <c r="L3465" t="s">
        <v>174</v>
      </c>
      <c r="M3465">
        <v>0</v>
      </c>
      <c r="N3465" t="s">
        <v>175</v>
      </c>
      <c r="O3465">
        <v>1</v>
      </c>
      <c r="P3465">
        <v>0</v>
      </c>
      <c r="Q3465" s="6">
        <v>31.1</v>
      </c>
      <c r="R3465">
        <v>0</v>
      </c>
      <c r="S3465" s="6">
        <v>0</v>
      </c>
      <c r="T3465">
        <v>0</v>
      </c>
      <c r="U3465" s="6">
        <v>667</v>
      </c>
      <c r="V3465">
        <v>0</v>
      </c>
      <c r="W3465">
        <v>0</v>
      </c>
      <c r="X3465">
        <v>0</v>
      </c>
      <c r="Y3465" s="6">
        <v>42.3</v>
      </c>
      <c r="Z3465">
        <v>3.2000000000000001E-2</v>
      </c>
      <c r="AA3465">
        <v>0.106</v>
      </c>
      <c r="AB3465">
        <v>8.1000000000000003E-2</v>
      </c>
      <c r="AC3465">
        <v>5</v>
      </c>
      <c r="AD3465" s="6">
        <v>51</v>
      </c>
      <c r="AE3465" s="6">
        <v>0</v>
      </c>
      <c r="AF3465" s="6">
        <v>0</v>
      </c>
      <c r="AG3465" s="6">
        <v>69.87</v>
      </c>
      <c r="AH3465" s="6">
        <v>91.04</v>
      </c>
      <c r="AI3465" s="6">
        <f t="shared" si="108"/>
        <v>21.17</v>
      </c>
      <c r="AJ3465" s="5">
        <f t="shared" si="109"/>
        <v>0.23253514938488576</v>
      </c>
    </row>
    <row r="3466" spans="1:36">
      <c r="A3466" t="s">
        <v>375</v>
      </c>
      <c r="B3466" t="s">
        <v>3751</v>
      </c>
      <c r="C3466" t="s">
        <v>138</v>
      </c>
      <c r="D3466" t="s">
        <v>63</v>
      </c>
      <c r="E3466" t="s">
        <v>55</v>
      </c>
      <c r="F3466">
        <v>0</v>
      </c>
      <c r="G3466">
        <v>772</v>
      </c>
      <c r="H3466">
        <v>1</v>
      </c>
      <c r="I3466" t="s">
        <v>173</v>
      </c>
      <c r="J3466">
        <v>1</v>
      </c>
      <c r="K3466" s="6">
        <v>1.4</v>
      </c>
      <c r="L3466" t="s">
        <v>174</v>
      </c>
      <c r="M3466">
        <v>0</v>
      </c>
      <c r="N3466" t="s">
        <v>187</v>
      </c>
      <c r="O3466">
        <v>2</v>
      </c>
      <c r="P3466">
        <v>0</v>
      </c>
      <c r="Q3466" s="6">
        <v>47.5</v>
      </c>
      <c r="R3466">
        <v>0</v>
      </c>
      <c r="S3466" s="6">
        <v>0</v>
      </c>
      <c r="T3466">
        <v>0</v>
      </c>
      <c r="U3466" s="6">
        <v>1288</v>
      </c>
      <c r="V3466">
        <v>0</v>
      </c>
      <c r="W3466">
        <v>0</v>
      </c>
      <c r="X3466">
        <v>0</v>
      </c>
      <c r="Y3466" s="6">
        <v>42.3</v>
      </c>
      <c r="Z3466">
        <v>3.2000000000000001E-2</v>
      </c>
      <c r="AA3466">
        <v>0.106</v>
      </c>
      <c r="AB3466">
        <v>8.1000000000000003E-2</v>
      </c>
      <c r="AC3466">
        <v>5</v>
      </c>
      <c r="AD3466" s="6">
        <v>51</v>
      </c>
      <c r="AE3466" s="6">
        <v>0</v>
      </c>
      <c r="AF3466" s="6">
        <v>0</v>
      </c>
      <c r="AG3466" s="6">
        <v>62.46</v>
      </c>
      <c r="AH3466" s="6">
        <v>79.2</v>
      </c>
      <c r="AI3466" s="6">
        <f t="shared" si="108"/>
        <v>16.740000000000002</v>
      </c>
      <c r="AJ3466" s="5">
        <f t="shared" si="109"/>
        <v>0.21136363636363639</v>
      </c>
    </row>
    <row r="3467" spans="1:36">
      <c r="A3467" t="s">
        <v>230</v>
      </c>
      <c r="B3467" t="s">
        <v>3752</v>
      </c>
      <c r="C3467" t="s">
        <v>138</v>
      </c>
      <c r="D3467" t="s">
        <v>63</v>
      </c>
      <c r="E3467" t="s">
        <v>55</v>
      </c>
      <c r="F3467">
        <v>0</v>
      </c>
      <c r="G3467">
        <v>772</v>
      </c>
      <c r="H3467">
        <v>1</v>
      </c>
      <c r="I3467" t="s">
        <v>220</v>
      </c>
      <c r="J3467">
        <v>2</v>
      </c>
      <c r="K3467" s="6">
        <v>2.56</v>
      </c>
      <c r="L3467" t="s">
        <v>174</v>
      </c>
      <c r="M3467">
        <v>0</v>
      </c>
      <c r="N3467" t="s">
        <v>187</v>
      </c>
      <c r="O3467">
        <v>2</v>
      </c>
      <c r="P3467">
        <v>0</v>
      </c>
      <c r="Q3467" s="6">
        <v>53.3</v>
      </c>
      <c r="R3467">
        <v>0</v>
      </c>
      <c r="S3467" s="6">
        <v>0</v>
      </c>
      <c r="T3467">
        <v>0</v>
      </c>
      <c r="U3467" s="6">
        <v>1737</v>
      </c>
      <c r="V3467">
        <v>1</v>
      </c>
      <c r="W3467">
        <v>0</v>
      </c>
      <c r="X3467">
        <v>0</v>
      </c>
      <c r="Y3467" s="6">
        <v>42.3</v>
      </c>
      <c r="Z3467">
        <v>3.2000000000000001E-2</v>
      </c>
      <c r="AA3467">
        <v>0.106</v>
      </c>
      <c r="AB3467">
        <v>8.1000000000000003E-2</v>
      </c>
      <c r="AC3467">
        <v>5</v>
      </c>
      <c r="AD3467" s="6">
        <v>51</v>
      </c>
      <c r="AE3467" s="6">
        <v>0</v>
      </c>
      <c r="AF3467" s="6">
        <v>0</v>
      </c>
      <c r="AG3467" s="6">
        <v>115.47</v>
      </c>
      <c r="AH3467" s="6">
        <v>144.76</v>
      </c>
      <c r="AI3467" s="6">
        <f t="shared" si="108"/>
        <v>29.289999999999992</v>
      </c>
      <c r="AJ3467" s="5">
        <f t="shared" si="109"/>
        <v>0.20233489914340974</v>
      </c>
    </row>
    <row r="3468" spans="1:36">
      <c r="A3468" t="s">
        <v>406</v>
      </c>
      <c r="B3468" t="s">
        <v>3753</v>
      </c>
      <c r="C3468" t="s">
        <v>138</v>
      </c>
      <c r="D3468" t="s">
        <v>63</v>
      </c>
      <c r="E3468" t="s">
        <v>55</v>
      </c>
      <c r="F3468">
        <v>0</v>
      </c>
      <c r="G3468">
        <v>772</v>
      </c>
      <c r="H3468">
        <v>1</v>
      </c>
      <c r="I3468" t="s">
        <v>173</v>
      </c>
      <c r="J3468">
        <v>1</v>
      </c>
      <c r="K3468" s="6">
        <v>1.87</v>
      </c>
      <c r="L3468" t="s">
        <v>174</v>
      </c>
      <c r="M3468">
        <v>0</v>
      </c>
      <c r="N3468" t="s">
        <v>217</v>
      </c>
      <c r="O3468">
        <v>4</v>
      </c>
      <c r="P3468">
        <v>1</v>
      </c>
      <c r="Q3468" s="6">
        <v>187</v>
      </c>
      <c r="R3468">
        <v>1</v>
      </c>
      <c r="S3468" s="6">
        <v>712</v>
      </c>
      <c r="T3468">
        <v>0</v>
      </c>
      <c r="U3468" s="6">
        <v>533</v>
      </c>
      <c r="V3468">
        <v>0</v>
      </c>
      <c r="W3468">
        <v>0</v>
      </c>
      <c r="X3468">
        <v>0</v>
      </c>
      <c r="Y3468" s="6">
        <v>42.3</v>
      </c>
      <c r="Z3468">
        <v>3.2000000000000001E-2</v>
      </c>
      <c r="AA3468">
        <v>0.106</v>
      </c>
      <c r="AB3468">
        <v>8.1000000000000003E-2</v>
      </c>
      <c r="AC3468">
        <v>5</v>
      </c>
      <c r="AD3468" s="6">
        <v>51</v>
      </c>
      <c r="AE3468" s="6">
        <v>25</v>
      </c>
      <c r="AF3468" s="6">
        <v>0</v>
      </c>
      <c r="AG3468" s="6">
        <v>108.91</v>
      </c>
      <c r="AH3468" s="6">
        <v>139.91</v>
      </c>
      <c r="AI3468" s="6">
        <f t="shared" si="108"/>
        <v>31</v>
      </c>
      <c r="AJ3468" s="5">
        <f t="shared" si="109"/>
        <v>0.22157100993495818</v>
      </c>
    </row>
    <row r="3469" spans="1:36">
      <c r="A3469" t="s">
        <v>528</v>
      </c>
      <c r="B3469" t="s">
        <v>3754</v>
      </c>
      <c r="C3469" t="s">
        <v>138</v>
      </c>
      <c r="D3469" t="s">
        <v>63</v>
      </c>
      <c r="E3469" t="s">
        <v>55</v>
      </c>
      <c r="F3469">
        <v>0</v>
      </c>
      <c r="G3469">
        <v>772</v>
      </c>
      <c r="H3469">
        <v>1</v>
      </c>
      <c r="I3469" t="s">
        <v>220</v>
      </c>
      <c r="J3469">
        <v>2</v>
      </c>
      <c r="K3469" s="6">
        <v>4.2</v>
      </c>
      <c r="L3469" t="s">
        <v>174</v>
      </c>
      <c r="M3469">
        <v>0</v>
      </c>
      <c r="N3469" t="s">
        <v>175</v>
      </c>
      <c r="O3469">
        <v>1</v>
      </c>
      <c r="P3469">
        <v>0</v>
      </c>
      <c r="Q3469" s="6">
        <v>26.1</v>
      </c>
      <c r="R3469">
        <v>0</v>
      </c>
      <c r="S3469" s="6">
        <v>0</v>
      </c>
      <c r="T3469">
        <v>0</v>
      </c>
      <c r="U3469" s="6">
        <v>2837</v>
      </c>
      <c r="V3469">
        <v>0</v>
      </c>
      <c r="W3469">
        <v>0</v>
      </c>
      <c r="X3469">
        <v>0</v>
      </c>
      <c r="Y3469" s="6">
        <v>42.3</v>
      </c>
      <c r="Z3469">
        <v>3.2000000000000001E-2</v>
      </c>
      <c r="AA3469">
        <v>0.106</v>
      </c>
      <c r="AB3469">
        <v>8.1000000000000003E-2</v>
      </c>
      <c r="AC3469">
        <v>5</v>
      </c>
      <c r="AD3469" s="6">
        <v>51</v>
      </c>
      <c r="AE3469" s="6">
        <v>0</v>
      </c>
      <c r="AF3469" s="6">
        <v>0</v>
      </c>
      <c r="AG3469" s="6">
        <v>65.95</v>
      </c>
      <c r="AH3469" s="6">
        <v>82.45</v>
      </c>
      <c r="AI3469" s="6">
        <f t="shared" si="108"/>
        <v>16.5</v>
      </c>
      <c r="AJ3469" s="5">
        <f t="shared" si="109"/>
        <v>0.20012128562765311</v>
      </c>
    </row>
    <row r="3470" spans="1:36">
      <c r="A3470" t="s">
        <v>190</v>
      </c>
      <c r="B3470" t="s">
        <v>3755</v>
      </c>
      <c r="C3470" t="s">
        <v>138</v>
      </c>
      <c r="D3470" t="s">
        <v>63</v>
      </c>
      <c r="E3470" t="s">
        <v>55</v>
      </c>
      <c r="F3470">
        <v>0</v>
      </c>
      <c r="G3470">
        <v>772</v>
      </c>
      <c r="H3470">
        <v>1</v>
      </c>
      <c r="I3470" t="s">
        <v>220</v>
      </c>
      <c r="J3470">
        <v>2</v>
      </c>
      <c r="K3470" s="6">
        <v>2.4500000000000002</v>
      </c>
      <c r="L3470" t="s">
        <v>174</v>
      </c>
      <c r="M3470">
        <v>0</v>
      </c>
      <c r="N3470" t="s">
        <v>182</v>
      </c>
      <c r="O3470">
        <v>3</v>
      </c>
      <c r="P3470">
        <v>0</v>
      </c>
      <c r="Q3470" s="6">
        <v>114.5</v>
      </c>
      <c r="R3470">
        <v>0</v>
      </c>
      <c r="S3470" s="6">
        <v>0</v>
      </c>
      <c r="T3470">
        <v>0</v>
      </c>
      <c r="U3470" s="6">
        <v>1293</v>
      </c>
      <c r="V3470">
        <v>0</v>
      </c>
      <c r="W3470">
        <v>0</v>
      </c>
      <c r="X3470">
        <v>0</v>
      </c>
      <c r="Y3470" s="6">
        <v>42.3</v>
      </c>
      <c r="Z3470">
        <v>3.2000000000000001E-2</v>
      </c>
      <c r="AA3470">
        <v>0.106</v>
      </c>
      <c r="AB3470">
        <v>8.1000000000000003E-2</v>
      </c>
      <c r="AC3470">
        <v>5</v>
      </c>
      <c r="AD3470" s="6">
        <v>51</v>
      </c>
      <c r="AE3470" s="6">
        <v>0</v>
      </c>
      <c r="AF3470" s="6">
        <v>0</v>
      </c>
      <c r="AG3470" s="6">
        <v>71.45</v>
      </c>
      <c r="AH3470" s="6">
        <v>89.73</v>
      </c>
      <c r="AI3470" s="6">
        <f t="shared" si="108"/>
        <v>18.28</v>
      </c>
      <c r="AJ3470" s="5">
        <f t="shared" si="109"/>
        <v>0.20372227794494596</v>
      </c>
    </row>
    <row r="3471" spans="1:36">
      <c r="A3471" t="s">
        <v>372</v>
      </c>
      <c r="B3471" t="s">
        <v>3756</v>
      </c>
      <c r="C3471" t="s">
        <v>138</v>
      </c>
      <c r="D3471" t="s">
        <v>63</v>
      </c>
      <c r="E3471" t="s">
        <v>55</v>
      </c>
      <c r="F3471">
        <v>0</v>
      </c>
      <c r="G3471">
        <v>772</v>
      </c>
      <c r="H3471">
        <v>1</v>
      </c>
      <c r="I3471" t="s">
        <v>173</v>
      </c>
      <c r="J3471">
        <v>1</v>
      </c>
      <c r="K3471" s="6">
        <v>2.83</v>
      </c>
      <c r="L3471" t="s">
        <v>174</v>
      </c>
      <c r="M3471">
        <v>0</v>
      </c>
      <c r="N3471" t="s">
        <v>182</v>
      </c>
      <c r="O3471">
        <v>3</v>
      </c>
      <c r="P3471">
        <v>0</v>
      </c>
      <c r="Q3471" s="6">
        <v>66.8</v>
      </c>
      <c r="R3471">
        <v>0</v>
      </c>
      <c r="S3471" s="6">
        <v>0</v>
      </c>
      <c r="T3471">
        <v>0</v>
      </c>
      <c r="U3471" s="6">
        <v>1727</v>
      </c>
      <c r="V3471">
        <v>0</v>
      </c>
      <c r="W3471">
        <v>0</v>
      </c>
      <c r="X3471">
        <v>0</v>
      </c>
      <c r="Y3471" s="6">
        <v>42.3</v>
      </c>
      <c r="Z3471">
        <v>3.2000000000000001E-2</v>
      </c>
      <c r="AA3471">
        <v>0.106</v>
      </c>
      <c r="AB3471">
        <v>8.1000000000000003E-2</v>
      </c>
      <c r="AC3471">
        <v>5</v>
      </c>
      <c r="AD3471" s="6">
        <v>51</v>
      </c>
      <c r="AE3471" s="6">
        <v>0</v>
      </c>
      <c r="AF3471" s="6">
        <v>0</v>
      </c>
      <c r="AG3471" s="6">
        <v>59.66</v>
      </c>
      <c r="AH3471" s="6">
        <v>79.2</v>
      </c>
      <c r="AI3471" s="6">
        <f t="shared" si="108"/>
        <v>19.540000000000006</v>
      </c>
      <c r="AJ3471" s="5">
        <f t="shared" si="109"/>
        <v>0.24671717171717178</v>
      </c>
    </row>
    <row r="3472" spans="1:36">
      <c r="A3472" t="s">
        <v>300</v>
      </c>
      <c r="B3472" t="s">
        <v>3757</v>
      </c>
      <c r="C3472" t="s">
        <v>138</v>
      </c>
      <c r="D3472" t="s">
        <v>63</v>
      </c>
      <c r="E3472" t="s">
        <v>55</v>
      </c>
      <c r="F3472">
        <v>0</v>
      </c>
      <c r="G3472">
        <v>772</v>
      </c>
      <c r="H3472">
        <v>1</v>
      </c>
      <c r="I3472" t="s">
        <v>220</v>
      </c>
      <c r="J3472">
        <v>2</v>
      </c>
      <c r="K3472" s="6">
        <v>3.43</v>
      </c>
      <c r="L3472" t="s">
        <v>174</v>
      </c>
      <c r="M3472">
        <v>0</v>
      </c>
      <c r="N3472" t="s">
        <v>187</v>
      </c>
      <c r="O3472">
        <v>2</v>
      </c>
      <c r="P3472">
        <v>0</v>
      </c>
      <c r="Q3472" s="6">
        <v>43</v>
      </c>
      <c r="R3472">
        <v>0</v>
      </c>
      <c r="S3472" s="6">
        <v>0</v>
      </c>
      <c r="T3472">
        <v>0</v>
      </c>
      <c r="U3472" s="6">
        <v>1636</v>
      </c>
      <c r="V3472">
        <v>0</v>
      </c>
      <c r="W3472">
        <v>0</v>
      </c>
      <c r="X3472">
        <v>0</v>
      </c>
      <c r="Y3472" s="6">
        <v>42.3</v>
      </c>
      <c r="Z3472">
        <v>3.2000000000000001E-2</v>
      </c>
      <c r="AA3472">
        <v>0.106</v>
      </c>
      <c r="AB3472">
        <v>8.1000000000000003E-2</v>
      </c>
      <c r="AC3472">
        <v>5</v>
      </c>
      <c r="AD3472" s="6">
        <v>51</v>
      </c>
      <c r="AE3472" s="6">
        <v>0</v>
      </c>
      <c r="AF3472" s="6">
        <v>0</v>
      </c>
      <c r="AG3472" s="6">
        <v>72.069999999999993</v>
      </c>
      <c r="AH3472" s="6">
        <v>93.78</v>
      </c>
      <c r="AI3472" s="6">
        <f t="shared" si="108"/>
        <v>21.710000000000008</v>
      </c>
      <c r="AJ3472" s="5">
        <f t="shared" si="109"/>
        <v>0.23149925357219031</v>
      </c>
    </row>
    <row r="3473" spans="1:36">
      <c r="A3473" t="s">
        <v>434</v>
      </c>
      <c r="B3473" t="s">
        <v>3758</v>
      </c>
      <c r="C3473" t="s">
        <v>138</v>
      </c>
      <c r="D3473" t="s">
        <v>63</v>
      </c>
      <c r="E3473" t="s">
        <v>55</v>
      </c>
      <c r="F3473">
        <v>0</v>
      </c>
      <c r="G3473">
        <v>772</v>
      </c>
      <c r="H3473">
        <v>1</v>
      </c>
      <c r="I3473" t="s">
        <v>173</v>
      </c>
      <c r="J3473">
        <v>1</v>
      </c>
      <c r="K3473" s="6">
        <v>1.47</v>
      </c>
      <c r="L3473" t="s">
        <v>174</v>
      </c>
      <c r="M3473">
        <v>0</v>
      </c>
      <c r="N3473" t="s">
        <v>175</v>
      </c>
      <c r="O3473">
        <v>1</v>
      </c>
      <c r="P3473">
        <v>0</v>
      </c>
      <c r="Q3473" s="6">
        <v>33.799999999999997</v>
      </c>
      <c r="R3473">
        <v>0</v>
      </c>
      <c r="S3473" s="6">
        <v>0</v>
      </c>
      <c r="T3473">
        <v>0</v>
      </c>
      <c r="U3473" s="6">
        <v>3166</v>
      </c>
      <c r="V3473">
        <v>0</v>
      </c>
      <c r="W3473">
        <v>1</v>
      </c>
      <c r="X3473">
        <v>0</v>
      </c>
      <c r="Y3473" s="6">
        <v>42.3</v>
      </c>
      <c r="Z3473">
        <v>3.2000000000000001E-2</v>
      </c>
      <c r="AA3473">
        <v>0.106</v>
      </c>
      <c r="AB3473">
        <v>8.1000000000000003E-2</v>
      </c>
      <c r="AC3473">
        <v>5</v>
      </c>
      <c r="AD3473" s="6">
        <v>51</v>
      </c>
      <c r="AE3473" s="6">
        <v>0</v>
      </c>
      <c r="AF3473" s="6">
        <v>0</v>
      </c>
      <c r="AG3473" s="6">
        <v>82.22</v>
      </c>
      <c r="AH3473" s="6">
        <v>105.93</v>
      </c>
      <c r="AI3473" s="6">
        <f t="shared" si="108"/>
        <v>23.710000000000008</v>
      </c>
      <c r="AJ3473" s="5">
        <f t="shared" si="109"/>
        <v>0.22382705560275659</v>
      </c>
    </row>
    <row r="3474" spans="1:36">
      <c r="A3474" t="s">
        <v>188</v>
      </c>
      <c r="B3474" t="s">
        <v>3759</v>
      </c>
      <c r="C3474" t="s">
        <v>138</v>
      </c>
      <c r="D3474" t="s">
        <v>63</v>
      </c>
      <c r="E3474" t="s">
        <v>55</v>
      </c>
      <c r="F3474">
        <v>0</v>
      </c>
      <c r="G3474">
        <v>772</v>
      </c>
      <c r="H3474">
        <v>1</v>
      </c>
      <c r="I3474" t="s">
        <v>173</v>
      </c>
      <c r="J3474">
        <v>1</v>
      </c>
      <c r="K3474" s="6">
        <v>1.59</v>
      </c>
      <c r="L3474" t="s">
        <v>174</v>
      </c>
      <c r="M3474">
        <v>0</v>
      </c>
      <c r="N3474" t="s">
        <v>182</v>
      </c>
      <c r="O3474">
        <v>3</v>
      </c>
      <c r="P3474">
        <v>0</v>
      </c>
      <c r="Q3474" s="6">
        <v>114.7</v>
      </c>
      <c r="R3474">
        <v>0</v>
      </c>
      <c r="S3474" s="6">
        <v>0</v>
      </c>
      <c r="T3474">
        <v>0</v>
      </c>
      <c r="U3474" s="6">
        <v>1175</v>
      </c>
      <c r="V3474">
        <v>0</v>
      </c>
      <c r="W3474">
        <v>0</v>
      </c>
      <c r="X3474">
        <v>0</v>
      </c>
      <c r="Y3474" s="6">
        <v>42.3</v>
      </c>
      <c r="Z3474">
        <v>3.2000000000000001E-2</v>
      </c>
      <c r="AA3474">
        <v>0.106</v>
      </c>
      <c r="AB3474">
        <v>8.1000000000000003E-2</v>
      </c>
      <c r="AC3474">
        <v>5</v>
      </c>
      <c r="AD3474" s="6">
        <v>51</v>
      </c>
      <c r="AE3474" s="6">
        <v>0</v>
      </c>
      <c r="AF3474" s="6">
        <v>0</v>
      </c>
      <c r="AG3474" s="6">
        <v>69.52</v>
      </c>
      <c r="AH3474" s="6">
        <v>91.33</v>
      </c>
      <c r="AI3474" s="6">
        <f t="shared" si="108"/>
        <v>21.810000000000002</v>
      </c>
      <c r="AJ3474" s="5">
        <f t="shared" si="109"/>
        <v>0.23880433592466882</v>
      </c>
    </row>
    <row r="3475" spans="1:36">
      <c r="A3475" t="s">
        <v>403</v>
      </c>
      <c r="B3475" t="s">
        <v>3760</v>
      </c>
      <c r="C3475" t="s">
        <v>138</v>
      </c>
      <c r="D3475" t="s">
        <v>63</v>
      </c>
      <c r="E3475" t="s">
        <v>55</v>
      </c>
      <c r="F3475">
        <v>0</v>
      </c>
      <c r="G3475">
        <v>772</v>
      </c>
      <c r="H3475">
        <v>1</v>
      </c>
      <c r="I3475" t="s">
        <v>173</v>
      </c>
      <c r="J3475">
        <v>1</v>
      </c>
      <c r="K3475" s="6">
        <v>1.98</v>
      </c>
      <c r="L3475" t="s">
        <v>174</v>
      </c>
      <c r="M3475">
        <v>0</v>
      </c>
      <c r="N3475" t="s">
        <v>182</v>
      </c>
      <c r="O3475">
        <v>3</v>
      </c>
      <c r="P3475">
        <v>0</v>
      </c>
      <c r="Q3475" s="6">
        <v>90</v>
      </c>
      <c r="R3475">
        <v>0</v>
      </c>
      <c r="S3475" s="6">
        <v>0</v>
      </c>
      <c r="T3475">
        <v>0</v>
      </c>
      <c r="U3475" s="6">
        <v>2113</v>
      </c>
      <c r="V3475">
        <v>0</v>
      </c>
      <c r="W3475">
        <v>0</v>
      </c>
      <c r="X3475">
        <v>0</v>
      </c>
      <c r="Y3475" s="6">
        <v>42.3</v>
      </c>
      <c r="Z3475">
        <v>3.2000000000000001E-2</v>
      </c>
      <c r="AA3475">
        <v>0.106</v>
      </c>
      <c r="AB3475">
        <v>8.1000000000000003E-2</v>
      </c>
      <c r="AC3475">
        <v>5</v>
      </c>
      <c r="AD3475" s="6">
        <v>51</v>
      </c>
      <c r="AE3475" s="6">
        <v>0</v>
      </c>
      <c r="AF3475" s="6">
        <v>0</v>
      </c>
      <c r="AG3475" s="6">
        <v>68.8</v>
      </c>
      <c r="AH3475" s="6">
        <v>89.09</v>
      </c>
      <c r="AI3475" s="6">
        <f t="shared" si="108"/>
        <v>20.290000000000006</v>
      </c>
      <c r="AJ3475" s="5">
        <f t="shared" si="109"/>
        <v>0.22774722191042771</v>
      </c>
    </row>
    <row r="3476" spans="1:36">
      <c r="A3476" t="s">
        <v>328</v>
      </c>
      <c r="B3476" t="s">
        <v>3761</v>
      </c>
      <c r="C3476" t="s">
        <v>138</v>
      </c>
      <c r="D3476" t="s">
        <v>63</v>
      </c>
      <c r="E3476" t="s">
        <v>55</v>
      </c>
      <c r="F3476">
        <v>0</v>
      </c>
      <c r="G3476">
        <v>772</v>
      </c>
      <c r="H3476">
        <v>1</v>
      </c>
      <c r="I3476" t="s">
        <v>220</v>
      </c>
      <c r="J3476">
        <v>2</v>
      </c>
      <c r="K3476" s="6">
        <v>2.7</v>
      </c>
      <c r="L3476" t="s">
        <v>174</v>
      </c>
      <c r="M3476">
        <v>0</v>
      </c>
      <c r="N3476" t="s">
        <v>187</v>
      </c>
      <c r="O3476">
        <v>2</v>
      </c>
      <c r="P3476">
        <v>0</v>
      </c>
      <c r="Q3476" s="6">
        <v>54</v>
      </c>
      <c r="R3476">
        <v>0</v>
      </c>
      <c r="S3476" s="6">
        <v>0</v>
      </c>
      <c r="T3476">
        <v>0</v>
      </c>
      <c r="U3476" s="6">
        <v>1914</v>
      </c>
      <c r="V3476">
        <v>0</v>
      </c>
      <c r="W3476">
        <v>0</v>
      </c>
      <c r="X3476">
        <v>0</v>
      </c>
      <c r="Y3476" s="6">
        <v>42.3</v>
      </c>
      <c r="Z3476">
        <v>3.2000000000000001E-2</v>
      </c>
      <c r="AA3476">
        <v>0.106</v>
      </c>
      <c r="AB3476">
        <v>8.1000000000000003E-2</v>
      </c>
      <c r="AC3476">
        <v>5</v>
      </c>
      <c r="AD3476" s="6">
        <v>51</v>
      </c>
      <c r="AE3476" s="6">
        <v>0</v>
      </c>
      <c r="AF3476" s="6">
        <v>0</v>
      </c>
      <c r="AG3476" s="6">
        <v>70.61</v>
      </c>
      <c r="AH3476" s="6">
        <v>88.34</v>
      </c>
      <c r="AI3476" s="6">
        <f t="shared" si="108"/>
        <v>17.730000000000004</v>
      </c>
      <c r="AJ3476" s="5">
        <f t="shared" si="109"/>
        <v>0.20070183382386239</v>
      </c>
    </row>
    <row r="3477" spans="1:36">
      <c r="A3477" t="s">
        <v>238</v>
      </c>
      <c r="B3477" t="s">
        <v>3762</v>
      </c>
      <c r="C3477" t="s">
        <v>138</v>
      </c>
      <c r="D3477" t="s">
        <v>63</v>
      </c>
      <c r="E3477" t="s">
        <v>55</v>
      </c>
      <c r="F3477">
        <v>0</v>
      </c>
      <c r="G3477">
        <v>772</v>
      </c>
      <c r="H3477">
        <v>1</v>
      </c>
      <c r="I3477" t="s">
        <v>220</v>
      </c>
      <c r="J3477">
        <v>2</v>
      </c>
      <c r="K3477" s="6">
        <v>4.5999999999999996</v>
      </c>
      <c r="L3477" t="s">
        <v>174</v>
      </c>
      <c r="M3477">
        <v>0</v>
      </c>
      <c r="N3477" t="s">
        <v>175</v>
      </c>
      <c r="O3477">
        <v>1</v>
      </c>
      <c r="P3477">
        <v>0</v>
      </c>
      <c r="Q3477" s="6">
        <v>31.4</v>
      </c>
      <c r="R3477">
        <v>0</v>
      </c>
      <c r="S3477" s="6">
        <v>0</v>
      </c>
      <c r="T3477">
        <v>0</v>
      </c>
      <c r="U3477" s="6">
        <v>953</v>
      </c>
      <c r="V3477">
        <v>1</v>
      </c>
      <c r="W3477">
        <v>0</v>
      </c>
      <c r="X3477">
        <v>0</v>
      </c>
      <c r="Y3477" s="6">
        <v>42.3</v>
      </c>
      <c r="Z3477">
        <v>3.2000000000000001E-2</v>
      </c>
      <c r="AA3477">
        <v>0.106</v>
      </c>
      <c r="AB3477">
        <v>8.1000000000000003E-2</v>
      </c>
      <c r="AC3477">
        <v>5</v>
      </c>
      <c r="AD3477" s="6">
        <v>51</v>
      </c>
      <c r="AE3477" s="6">
        <v>0</v>
      </c>
      <c r="AF3477" s="6">
        <v>0</v>
      </c>
      <c r="AG3477" s="6">
        <v>110.52</v>
      </c>
      <c r="AH3477" s="6">
        <v>138.63999999999999</v>
      </c>
      <c r="AI3477" s="6">
        <f t="shared" si="108"/>
        <v>28.11999999999999</v>
      </c>
      <c r="AJ3477" s="5">
        <f t="shared" si="109"/>
        <v>0.20282746682054237</v>
      </c>
    </row>
    <row r="3478" spans="1:36">
      <c r="A3478" t="s">
        <v>247</v>
      </c>
      <c r="B3478" t="s">
        <v>3763</v>
      </c>
      <c r="C3478" t="s">
        <v>138</v>
      </c>
      <c r="D3478" t="s">
        <v>63</v>
      </c>
      <c r="E3478" t="s">
        <v>55</v>
      </c>
      <c r="F3478">
        <v>0</v>
      </c>
      <c r="G3478">
        <v>772</v>
      </c>
      <c r="H3478">
        <v>1</v>
      </c>
      <c r="I3478" t="s">
        <v>173</v>
      </c>
      <c r="J3478">
        <v>1</v>
      </c>
      <c r="K3478" s="6">
        <v>1.81</v>
      </c>
      <c r="L3478" t="s">
        <v>174</v>
      </c>
      <c r="M3478">
        <v>0</v>
      </c>
      <c r="N3478" t="s">
        <v>182</v>
      </c>
      <c r="O3478">
        <v>3</v>
      </c>
      <c r="P3478">
        <v>0</v>
      </c>
      <c r="Q3478" s="6">
        <v>83.8</v>
      </c>
      <c r="R3478">
        <v>0</v>
      </c>
      <c r="S3478" s="6">
        <v>0</v>
      </c>
      <c r="T3478">
        <v>0</v>
      </c>
      <c r="U3478" s="6">
        <v>1542</v>
      </c>
      <c r="V3478">
        <v>0</v>
      </c>
      <c r="W3478">
        <v>0</v>
      </c>
      <c r="X3478">
        <v>0</v>
      </c>
      <c r="Y3478" s="6">
        <v>42.3</v>
      </c>
      <c r="Z3478">
        <v>3.2000000000000001E-2</v>
      </c>
      <c r="AA3478">
        <v>0.106</v>
      </c>
      <c r="AB3478">
        <v>8.1000000000000003E-2</v>
      </c>
      <c r="AC3478">
        <v>5</v>
      </c>
      <c r="AD3478" s="6">
        <v>51</v>
      </c>
      <c r="AE3478" s="6">
        <v>0</v>
      </c>
      <c r="AF3478" s="6">
        <v>0</v>
      </c>
      <c r="AG3478" s="6">
        <v>64.61</v>
      </c>
      <c r="AH3478" s="6">
        <v>81.900000000000006</v>
      </c>
      <c r="AI3478" s="6">
        <f t="shared" si="108"/>
        <v>17.290000000000006</v>
      </c>
      <c r="AJ3478" s="5">
        <f t="shared" si="109"/>
        <v>0.21111111111111117</v>
      </c>
    </row>
    <row r="3479" spans="1:36">
      <c r="A3479" t="s">
        <v>365</v>
      </c>
      <c r="B3479" t="s">
        <v>3764</v>
      </c>
      <c r="C3479" t="s">
        <v>138</v>
      </c>
      <c r="D3479" t="s">
        <v>63</v>
      </c>
      <c r="E3479" t="s">
        <v>55</v>
      </c>
      <c r="F3479">
        <v>0</v>
      </c>
      <c r="G3479">
        <v>772</v>
      </c>
      <c r="H3479">
        <v>1</v>
      </c>
      <c r="I3479" t="s">
        <v>173</v>
      </c>
      <c r="J3479">
        <v>1</v>
      </c>
      <c r="K3479" s="6">
        <v>2.06</v>
      </c>
      <c r="L3479" t="s">
        <v>174</v>
      </c>
      <c r="M3479">
        <v>0</v>
      </c>
      <c r="N3479" t="s">
        <v>187</v>
      </c>
      <c r="O3479">
        <v>2</v>
      </c>
      <c r="P3479">
        <v>0</v>
      </c>
      <c r="Q3479" s="6">
        <v>87.3</v>
      </c>
      <c r="R3479">
        <v>0</v>
      </c>
      <c r="S3479" s="6">
        <v>0</v>
      </c>
      <c r="T3479">
        <v>0</v>
      </c>
      <c r="U3479" s="6">
        <v>481</v>
      </c>
      <c r="V3479">
        <v>1</v>
      </c>
      <c r="W3479">
        <v>0</v>
      </c>
      <c r="X3479">
        <v>0</v>
      </c>
      <c r="Y3479" s="6">
        <v>42.3</v>
      </c>
      <c r="Z3479">
        <v>3.2000000000000001E-2</v>
      </c>
      <c r="AA3479">
        <v>0.106</v>
      </c>
      <c r="AB3479">
        <v>8.1000000000000003E-2</v>
      </c>
      <c r="AC3479">
        <v>5</v>
      </c>
      <c r="AD3479" s="6">
        <v>51</v>
      </c>
      <c r="AE3479" s="6">
        <v>0</v>
      </c>
      <c r="AF3479" s="6">
        <v>0</v>
      </c>
      <c r="AG3479" s="6">
        <v>106.31</v>
      </c>
      <c r="AH3479" s="6">
        <v>134.16</v>
      </c>
      <c r="AI3479" s="6">
        <f t="shared" si="108"/>
        <v>27.849999999999994</v>
      </c>
      <c r="AJ3479" s="5">
        <f t="shared" si="109"/>
        <v>0.2075879546809779</v>
      </c>
    </row>
    <row r="3480" spans="1:36">
      <c r="A3480" t="s">
        <v>635</v>
      </c>
      <c r="B3480" t="s">
        <v>3765</v>
      </c>
      <c r="C3480" t="s">
        <v>138</v>
      </c>
      <c r="D3480" t="s">
        <v>63</v>
      </c>
      <c r="E3480" t="s">
        <v>55</v>
      </c>
      <c r="F3480">
        <v>0</v>
      </c>
      <c r="G3480">
        <v>772</v>
      </c>
      <c r="H3480">
        <v>1</v>
      </c>
      <c r="I3480" t="s">
        <v>220</v>
      </c>
      <c r="J3480">
        <v>2</v>
      </c>
      <c r="K3480" s="6">
        <v>4.3600000000000003</v>
      </c>
      <c r="L3480" t="s">
        <v>174</v>
      </c>
      <c r="M3480">
        <v>0</v>
      </c>
      <c r="N3480" t="s">
        <v>175</v>
      </c>
      <c r="O3480">
        <v>1</v>
      </c>
      <c r="P3480">
        <v>0</v>
      </c>
      <c r="Q3480" s="6">
        <v>23.8</v>
      </c>
      <c r="R3480">
        <v>0</v>
      </c>
      <c r="S3480" s="6">
        <v>0</v>
      </c>
      <c r="T3480">
        <v>0</v>
      </c>
      <c r="U3480" s="6">
        <v>1255</v>
      </c>
      <c r="V3480">
        <v>0</v>
      </c>
      <c r="W3480">
        <v>0</v>
      </c>
      <c r="X3480">
        <v>0</v>
      </c>
      <c r="Y3480" s="6">
        <v>42.3</v>
      </c>
      <c r="Z3480">
        <v>3.2000000000000001E-2</v>
      </c>
      <c r="AA3480">
        <v>0.106</v>
      </c>
      <c r="AB3480">
        <v>8.1000000000000003E-2</v>
      </c>
      <c r="AC3480">
        <v>5</v>
      </c>
      <c r="AD3480" s="6">
        <v>51</v>
      </c>
      <c r="AE3480" s="6">
        <v>0</v>
      </c>
      <c r="AF3480" s="6">
        <v>0</v>
      </c>
      <c r="AG3480" s="6">
        <v>66.010000000000005</v>
      </c>
      <c r="AH3480" s="6">
        <v>85.5</v>
      </c>
      <c r="AI3480" s="6">
        <f t="shared" si="108"/>
        <v>19.489999999999995</v>
      </c>
      <c r="AJ3480" s="5">
        <f t="shared" si="109"/>
        <v>0.22795321637426894</v>
      </c>
    </row>
    <row r="3481" spans="1:36">
      <c r="A3481" t="s">
        <v>240</v>
      </c>
      <c r="B3481" t="s">
        <v>3766</v>
      </c>
      <c r="C3481" t="s">
        <v>138</v>
      </c>
      <c r="D3481" t="s">
        <v>63</v>
      </c>
      <c r="E3481" t="s">
        <v>55</v>
      </c>
      <c r="F3481">
        <v>0</v>
      </c>
      <c r="G3481">
        <v>772</v>
      </c>
      <c r="H3481">
        <v>1</v>
      </c>
      <c r="I3481" t="s">
        <v>173</v>
      </c>
      <c r="J3481">
        <v>1</v>
      </c>
      <c r="K3481" s="6">
        <v>1.6</v>
      </c>
      <c r="L3481" t="s">
        <v>174</v>
      </c>
      <c r="M3481">
        <v>0</v>
      </c>
      <c r="N3481" t="s">
        <v>272</v>
      </c>
      <c r="O3481">
        <v>5</v>
      </c>
      <c r="P3481">
        <v>1</v>
      </c>
      <c r="Q3481" s="6">
        <v>308.89999999999998</v>
      </c>
      <c r="R3481">
        <v>1</v>
      </c>
      <c r="S3481" s="6">
        <v>2366</v>
      </c>
      <c r="T3481">
        <v>0</v>
      </c>
      <c r="U3481" s="6">
        <v>1317</v>
      </c>
      <c r="V3481">
        <v>0</v>
      </c>
      <c r="W3481">
        <v>0</v>
      </c>
      <c r="X3481">
        <v>1</v>
      </c>
      <c r="Y3481" s="6">
        <v>42.3</v>
      </c>
      <c r="Z3481">
        <v>3.2000000000000001E-2</v>
      </c>
      <c r="AA3481">
        <v>0.106</v>
      </c>
      <c r="AB3481">
        <v>8.1000000000000003E-2</v>
      </c>
      <c r="AC3481">
        <v>5</v>
      </c>
      <c r="AD3481" s="6">
        <v>51</v>
      </c>
      <c r="AE3481" s="6">
        <v>40</v>
      </c>
      <c r="AF3481" s="6">
        <v>0</v>
      </c>
      <c r="AG3481" s="6">
        <v>153.33000000000001</v>
      </c>
      <c r="AH3481" s="6">
        <v>194.44</v>
      </c>
      <c r="AI3481" s="6">
        <f t="shared" si="108"/>
        <v>41.109999999999985</v>
      </c>
      <c r="AJ3481" s="5">
        <f t="shared" si="109"/>
        <v>0.21142768977576623</v>
      </c>
    </row>
    <row r="3482" spans="1:36">
      <c r="A3482" t="s">
        <v>279</v>
      </c>
      <c r="B3482" t="s">
        <v>3767</v>
      </c>
      <c r="C3482" t="s">
        <v>138</v>
      </c>
      <c r="D3482" t="s">
        <v>63</v>
      </c>
      <c r="E3482" t="s">
        <v>55</v>
      </c>
      <c r="F3482">
        <v>0</v>
      </c>
      <c r="G3482">
        <v>772</v>
      </c>
      <c r="H3482">
        <v>1</v>
      </c>
      <c r="I3482" t="s">
        <v>173</v>
      </c>
      <c r="J3482">
        <v>1</v>
      </c>
      <c r="K3482" s="6">
        <v>2.65</v>
      </c>
      <c r="L3482" t="s">
        <v>174</v>
      </c>
      <c r="M3482">
        <v>0</v>
      </c>
      <c r="N3482" t="s">
        <v>187</v>
      </c>
      <c r="O3482">
        <v>2</v>
      </c>
      <c r="P3482">
        <v>0</v>
      </c>
      <c r="Q3482" s="6">
        <v>42.8</v>
      </c>
      <c r="R3482">
        <v>0</v>
      </c>
      <c r="S3482" s="6">
        <v>0</v>
      </c>
      <c r="T3482">
        <v>0</v>
      </c>
      <c r="U3482" s="6">
        <v>1025</v>
      </c>
      <c r="V3482">
        <v>0</v>
      </c>
      <c r="W3482">
        <v>0</v>
      </c>
      <c r="X3482">
        <v>0</v>
      </c>
      <c r="Y3482" s="6">
        <v>42.3</v>
      </c>
      <c r="Z3482">
        <v>3.2000000000000001E-2</v>
      </c>
      <c r="AA3482">
        <v>0.106</v>
      </c>
      <c r="AB3482">
        <v>8.1000000000000003E-2</v>
      </c>
      <c r="AC3482">
        <v>5</v>
      </c>
      <c r="AD3482" s="6">
        <v>51</v>
      </c>
      <c r="AE3482" s="6">
        <v>0</v>
      </c>
      <c r="AF3482" s="6">
        <v>0</v>
      </c>
      <c r="AG3482" s="6">
        <v>65.319999999999993</v>
      </c>
      <c r="AH3482" s="6">
        <v>81.72</v>
      </c>
      <c r="AI3482" s="6">
        <f t="shared" si="108"/>
        <v>16.400000000000006</v>
      </c>
      <c r="AJ3482" s="5">
        <f t="shared" si="109"/>
        <v>0.200685266764562</v>
      </c>
    </row>
    <row r="3483" spans="1:36">
      <c r="A3483" t="s">
        <v>521</v>
      </c>
      <c r="B3483" t="s">
        <v>3768</v>
      </c>
      <c r="C3483" t="s">
        <v>138</v>
      </c>
      <c r="D3483" t="s">
        <v>63</v>
      </c>
      <c r="E3483" t="s">
        <v>55</v>
      </c>
      <c r="F3483">
        <v>0</v>
      </c>
      <c r="G3483">
        <v>772</v>
      </c>
      <c r="H3483">
        <v>1</v>
      </c>
      <c r="I3483" t="s">
        <v>220</v>
      </c>
      <c r="J3483">
        <v>2</v>
      </c>
      <c r="K3483" s="6">
        <v>4.1900000000000004</v>
      </c>
      <c r="L3483" t="s">
        <v>174</v>
      </c>
      <c r="M3483">
        <v>0</v>
      </c>
      <c r="N3483" t="s">
        <v>182</v>
      </c>
      <c r="O3483">
        <v>3</v>
      </c>
      <c r="P3483">
        <v>0</v>
      </c>
      <c r="Q3483" s="6">
        <v>91.2</v>
      </c>
      <c r="R3483">
        <v>0</v>
      </c>
      <c r="S3483" s="6">
        <v>0</v>
      </c>
      <c r="T3483">
        <v>0</v>
      </c>
      <c r="U3483" s="6">
        <v>1244</v>
      </c>
      <c r="V3483">
        <v>0</v>
      </c>
      <c r="W3483">
        <v>0</v>
      </c>
      <c r="X3483">
        <v>0</v>
      </c>
      <c r="Y3483" s="6">
        <v>42.3</v>
      </c>
      <c r="Z3483">
        <v>3.2000000000000001E-2</v>
      </c>
      <c r="AA3483">
        <v>0.106</v>
      </c>
      <c r="AB3483">
        <v>8.1000000000000003E-2</v>
      </c>
      <c r="AC3483">
        <v>5</v>
      </c>
      <c r="AD3483" s="6">
        <v>51</v>
      </c>
      <c r="AE3483" s="6">
        <v>0</v>
      </c>
      <c r="AF3483" s="6">
        <v>0</v>
      </c>
      <c r="AG3483" s="6">
        <v>70.739999999999995</v>
      </c>
      <c r="AH3483" s="6">
        <v>88.74</v>
      </c>
      <c r="AI3483" s="6">
        <f t="shared" si="108"/>
        <v>18</v>
      </c>
      <c r="AJ3483" s="5">
        <f t="shared" si="109"/>
        <v>0.20283975659229211</v>
      </c>
    </row>
    <row r="3484" spans="1:36">
      <c r="A3484" t="s">
        <v>360</v>
      </c>
      <c r="B3484" t="s">
        <v>3769</v>
      </c>
      <c r="C3484" t="s">
        <v>138</v>
      </c>
      <c r="D3484" t="s">
        <v>63</v>
      </c>
      <c r="E3484" t="s">
        <v>55</v>
      </c>
      <c r="F3484">
        <v>0</v>
      </c>
      <c r="G3484">
        <v>772</v>
      </c>
      <c r="H3484">
        <v>1</v>
      </c>
      <c r="I3484" t="s">
        <v>220</v>
      </c>
      <c r="J3484">
        <v>2</v>
      </c>
      <c r="K3484" s="6">
        <v>4.0999999999999996</v>
      </c>
      <c r="L3484" t="s">
        <v>174</v>
      </c>
      <c r="M3484">
        <v>0</v>
      </c>
      <c r="N3484" t="s">
        <v>182</v>
      </c>
      <c r="O3484">
        <v>3</v>
      </c>
      <c r="P3484">
        <v>0</v>
      </c>
      <c r="Q3484" s="6">
        <v>85.5</v>
      </c>
      <c r="R3484">
        <v>0</v>
      </c>
      <c r="S3484" s="6">
        <v>0</v>
      </c>
      <c r="T3484">
        <v>0</v>
      </c>
      <c r="U3484" s="6">
        <v>513</v>
      </c>
      <c r="V3484">
        <v>0</v>
      </c>
      <c r="W3484">
        <v>0</v>
      </c>
      <c r="X3484">
        <v>0</v>
      </c>
      <c r="Y3484" s="6">
        <v>42.3</v>
      </c>
      <c r="Z3484">
        <v>3.2000000000000001E-2</v>
      </c>
      <c r="AA3484">
        <v>0.106</v>
      </c>
      <c r="AB3484">
        <v>8.1000000000000003E-2</v>
      </c>
      <c r="AC3484">
        <v>5</v>
      </c>
      <c r="AD3484" s="6">
        <v>51</v>
      </c>
      <c r="AE3484" s="6">
        <v>0</v>
      </c>
      <c r="AF3484" s="6">
        <v>0</v>
      </c>
      <c r="AG3484" s="6">
        <v>82.15</v>
      </c>
      <c r="AH3484" s="6">
        <v>104.29</v>
      </c>
      <c r="AI3484" s="6">
        <f t="shared" si="108"/>
        <v>22.14</v>
      </c>
      <c r="AJ3484" s="5">
        <f t="shared" si="109"/>
        <v>0.21229264550771884</v>
      </c>
    </row>
    <row r="3485" spans="1:36">
      <c r="A3485" t="s">
        <v>528</v>
      </c>
      <c r="B3485" t="s">
        <v>3770</v>
      </c>
      <c r="C3485" t="s">
        <v>138</v>
      </c>
      <c r="D3485" t="s">
        <v>63</v>
      </c>
      <c r="E3485" t="s">
        <v>55</v>
      </c>
      <c r="F3485">
        <v>0</v>
      </c>
      <c r="G3485">
        <v>772</v>
      </c>
      <c r="H3485">
        <v>1</v>
      </c>
      <c r="I3485" t="s">
        <v>220</v>
      </c>
      <c r="J3485">
        <v>2</v>
      </c>
      <c r="K3485" s="6">
        <v>3.89</v>
      </c>
      <c r="L3485" t="s">
        <v>174</v>
      </c>
      <c r="M3485">
        <v>0</v>
      </c>
      <c r="N3485" t="s">
        <v>217</v>
      </c>
      <c r="O3485">
        <v>4</v>
      </c>
      <c r="P3485">
        <v>1</v>
      </c>
      <c r="Q3485" s="6">
        <v>167.5</v>
      </c>
      <c r="R3485">
        <v>0</v>
      </c>
      <c r="S3485" s="6">
        <v>0</v>
      </c>
      <c r="T3485">
        <v>0</v>
      </c>
      <c r="U3485" s="6">
        <v>912</v>
      </c>
      <c r="V3485">
        <v>0</v>
      </c>
      <c r="W3485">
        <v>0</v>
      </c>
      <c r="X3485">
        <v>1</v>
      </c>
      <c r="Y3485" s="6">
        <v>42.3</v>
      </c>
      <c r="Z3485">
        <v>3.2000000000000001E-2</v>
      </c>
      <c r="AA3485">
        <v>0.106</v>
      </c>
      <c r="AB3485">
        <v>8.1000000000000003E-2</v>
      </c>
      <c r="AC3485">
        <v>5</v>
      </c>
      <c r="AD3485" s="6">
        <v>51</v>
      </c>
      <c r="AE3485" s="6">
        <v>0</v>
      </c>
      <c r="AF3485" s="6">
        <v>0</v>
      </c>
      <c r="AG3485" s="6">
        <v>114.26</v>
      </c>
      <c r="AH3485" s="6">
        <v>143.33000000000001</v>
      </c>
      <c r="AI3485" s="6">
        <f t="shared" si="108"/>
        <v>29.070000000000007</v>
      </c>
      <c r="AJ3485" s="5">
        <f t="shared" si="109"/>
        <v>0.20281867020163263</v>
      </c>
    </row>
    <row r="3486" spans="1:36">
      <c r="A3486" t="s">
        <v>434</v>
      </c>
      <c r="B3486" t="s">
        <v>3771</v>
      </c>
      <c r="C3486" t="s">
        <v>138</v>
      </c>
      <c r="D3486" t="s">
        <v>63</v>
      </c>
      <c r="E3486" t="s">
        <v>55</v>
      </c>
      <c r="F3486">
        <v>0</v>
      </c>
      <c r="G3486">
        <v>772</v>
      </c>
      <c r="H3486">
        <v>1</v>
      </c>
      <c r="I3486" t="s">
        <v>220</v>
      </c>
      <c r="J3486">
        <v>2</v>
      </c>
      <c r="K3486" s="6">
        <v>4.25</v>
      </c>
      <c r="L3486" t="s">
        <v>174</v>
      </c>
      <c r="M3486">
        <v>0</v>
      </c>
      <c r="N3486" t="s">
        <v>187</v>
      </c>
      <c r="O3486">
        <v>2</v>
      </c>
      <c r="P3486">
        <v>0</v>
      </c>
      <c r="Q3486" s="6">
        <v>52.2</v>
      </c>
      <c r="R3486">
        <v>0</v>
      </c>
      <c r="S3486" s="6">
        <v>0</v>
      </c>
      <c r="T3486">
        <v>0</v>
      </c>
      <c r="U3486" s="6">
        <v>1330</v>
      </c>
      <c r="V3486">
        <v>0</v>
      </c>
      <c r="W3486">
        <v>0</v>
      </c>
      <c r="X3486">
        <v>0</v>
      </c>
      <c r="Y3486" s="6">
        <v>42.3</v>
      </c>
      <c r="Z3486">
        <v>3.2000000000000001E-2</v>
      </c>
      <c r="AA3486">
        <v>0.106</v>
      </c>
      <c r="AB3486">
        <v>8.1000000000000003E-2</v>
      </c>
      <c r="AC3486">
        <v>5</v>
      </c>
      <c r="AD3486" s="6">
        <v>51</v>
      </c>
      <c r="AE3486" s="6">
        <v>0</v>
      </c>
      <c r="AF3486" s="6">
        <v>0</v>
      </c>
      <c r="AG3486" s="6">
        <v>69.97</v>
      </c>
      <c r="AH3486" s="6">
        <v>91.21</v>
      </c>
      <c r="AI3486" s="6">
        <f t="shared" si="108"/>
        <v>21.239999999999995</v>
      </c>
      <c r="AJ3486" s="5">
        <f t="shared" si="109"/>
        <v>0.23286920293827426</v>
      </c>
    </row>
    <row r="3487" spans="1:36">
      <c r="A3487" t="s">
        <v>284</v>
      </c>
      <c r="B3487" t="s">
        <v>3772</v>
      </c>
      <c r="C3487" t="s">
        <v>138</v>
      </c>
      <c r="D3487" t="s">
        <v>63</v>
      </c>
      <c r="E3487" t="s">
        <v>55</v>
      </c>
      <c r="F3487">
        <v>0</v>
      </c>
      <c r="G3487">
        <v>772</v>
      </c>
      <c r="H3487">
        <v>1</v>
      </c>
      <c r="I3487" t="s">
        <v>173</v>
      </c>
      <c r="J3487">
        <v>1</v>
      </c>
      <c r="K3487" s="6">
        <v>1.28</v>
      </c>
      <c r="L3487" t="s">
        <v>174</v>
      </c>
      <c r="M3487">
        <v>0</v>
      </c>
      <c r="N3487" t="s">
        <v>175</v>
      </c>
      <c r="O3487">
        <v>1</v>
      </c>
      <c r="P3487">
        <v>0</v>
      </c>
      <c r="Q3487" s="6">
        <v>25</v>
      </c>
      <c r="R3487">
        <v>0</v>
      </c>
      <c r="S3487" s="6">
        <v>0</v>
      </c>
      <c r="T3487">
        <v>0</v>
      </c>
      <c r="U3487" s="6">
        <v>1401</v>
      </c>
      <c r="V3487">
        <v>0</v>
      </c>
      <c r="W3487">
        <v>0</v>
      </c>
      <c r="X3487">
        <v>0</v>
      </c>
      <c r="Y3487" s="6">
        <v>42.3</v>
      </c>
      <c r="Z3487">
        <v>3.2000000000000001E-2</v>
      </c>
      <c r="AA3487">
        <v>0.106</v>
      </c>
      <c r="AB3487">
        <v>8.1000000000000003E-2</v>
      </c>
      <c r="AC3487">
        <v>5</v>
      </c>
      <c r="AD3487" s="6">
        <v>51</v>
      </c>
      <c r="AE3487" s="6">
        <v>0</v>
      </c>
      <c r="AF3487" s="6">
        <v>0</v>
      </c>
      <c r="AG3487" s="6">
        <v>54.72</v>
      </c>
      <c r="AH3487" s="6">
        <v>69.3</v>
      </c>
      <c r="AI3487" s="6">
        <f t="shared" si="108"/>
        <v>14.579999999999998</v>
      </c>
      <c r="AJ3487" s="5">
        <f t="shared" si="109"/>
        <v>0.21038961038961038</v>
      </c>
    </row>
    <row r="3488" spans="1:36">
      <c r="A3488" t="s">
        <v>579</v>
      </c>
      <c r="B3488" t="s">
        <v>3773</v>
      </c>
      <c r="C3488" t="s">
        <v>138</v>
      </c>
      <c r="D3488" t="s">
        <v>63</v>
      </c>
      <c r="E3488" t="s">
        <v>55</v>
      </c>
      <c r="F3488">
        <v>0</v>
      </c>
      <c r="G3488">
        <v>772</v>
      </c>
      <c r="H3488">
        <v>1</v>
      </c>
      <c r="I3488" t="s">
        <v>220</v>
      </c>
      <c r="J3488">
        <v>2</v>
      </c>
      <c r="K3488" s="6">
        <v>6.79</v>
      </c>
      <c r="L3488" t="s">
        <v>174</v>
      </c>
      <c r="M3488">
        <v>0</v>
      </c>
      <c r="N3488" t="s">
        <v>175</v>
      </c>
      <c r="O3488">
        <v>1</v>
      </c>
      <c r="P3488">
        <v>0</v>
      </c>
      <c r="Q3488" s="6">
        <v>24.7</v>
      </c>
      <c r="R3488">
        <v>0</v>
      </c>
      <c r="S3488" s="6">
        <v>0</v>
      </c>
      <c r="T3488">
        <v>0</v>
      </c>
      <c r="U3488" s="6">
        <v>755</v>
      </c>
      <c r="V3488">
        <v>0</v>
      </c>
      <c r="W3488">
        <v>0</v>
      </c>
      <c r="X3488">
        <v>0</v>
      </c>
      <c r="Y3488" s="6">
        <v>42.3</v>
      </c>
      <c r="Z3488">
        <v>3.2000000000000001E-2</v>
      </c>
      <c r="AA3488">
        <v>0.106</v>
      </c>
      <c r="AB3488">
        <v>8.1000000000000003E-2</v>
      </c>
      <c r="AC3488">
        <v>5</v>
      </c>
      <c r="AD3488" s="6">
        <v>51</v>
      </c>
      <c r="AE3488" s="6">
        <v>0</v>
      </c>
      <c r="AF3488" s="6">
        <v>0</v>
      </c>
      <c r="AG3488" s="6">
        <v>65.650000000000006</v>
      </c>
      <c r="AH3488" s="6">
        <v>86.19</v>
      </c>
      <c r="AI3488" s="6">
        <f t="shared" si="108"/>
        <v>20.539999999999992</v>
      </c>
      <c r="AJ3488" s="5">
        <f t="shared" si="109"/>
        <v>0.2383107088989441</v>
      </c>
    </row>
    <row r="3489" spans="1:36">
      <c r="A3489" t="s">
        <v>183</v>
      </c>
      <c r="B3489" t="s">
        <v>3774</v>
      </c>
      <c r="C3489" t="s">
        <v>138</v>
      </c>
      <c r="D3489" t="s">
        <v>63</v>
      </c>
      <c r="E3489" t="s">
        <v>55</v>
      </c>
      <c r="F3489">
        <v>0</v>
      </c>
      <c r="G3489">
        <v>772</v>
      </c>
      <c r="H3489">
        <v>1</v>
      </c>
      <c r="I3489" t="s">
        <v>173</v>
      </c>
      <c r="J3489">
        <v>1</v>
      </c>
      <c r="K3489" s="6">
        <v>1.84</v>
      </c>
      <c r="L3489" t="s">
        <v>174</v>
      </c>
      <c r="M3489">
        <v>0</v>
      </c>
      <c r="N3489" t="s">
        <v>182</v>
      </c>
      <c r="O3489">
        <v>3</v>
      </c>
      <c r="P3489">
        <v>0</v>
      </c>
      <c r="Q3489" s="6">
        <v>108.8</v>
      </c>
      <c r="R3489">
        <v>0</v>
      </c>
      <c r="S3489" s="6">
        <v>0</v>
      </c>
      <c r="T3489">
        <v>0</v>
      </c>
      <c r="U3489" s="6">
        <v>707</v>
      </c>
      <c r="V3489">
        <v>0</v>
      </c>
      <c r="W3489">
        <v>0</v>
      </c>
      <c r="X3489">
        <v>0</v>
      </c>
      <c r="Y3489" s="6">
        <v>42.3</v>
      </c>
      <c r="Z3489">
        <v>3.2000000000000001E-2</v>
      </c>
      <c r="AA3489">
        <v>0.106</v>
      </c>
      <c r="AB3489">
        <v>8.1000000000000003E-2</v>
      </c>
      <c r="AC3489">
        <v>5</v>
      </c>
      <c r="AD3489" s="6">
        <v>51</v>
      </c>
      <c r="AE3489" s="6">
        <v>0</v>
      </c>
      <c r="AF3489" s="6">
        <v>0</v>
      </c>
      <c r="AG3489" s="6">
        <v>63.6</v>
      </c>
      <c r="AH3489" s="6">
        <v>82.62</v>
      </c>
      <c r="AI3489" s="6">
        <f t="shared" si="108"/>
        <v>19.020000000000003</v>
      </c>
      <c r="AJ3489" s="5">
        <f t="shared" si="109"/>
        <v>0.23021060275962238</v>
      </c>
    </row>
    <row r="3490" spans="1:36">
      <c r="A3490" t="s">
        <v>192</v>
      </c>
      <c r="B3490" t="s">
        <v>3775</v>
      </c>
      <c r="C3490" t="s">
        <v>138</v>
      </c>
      <c r="D3490" t="s">
        <v>63</v>
      </c>
      <c r="E3490" t="s">
        <v>55</v>
      </c>
      <c r="F3490">
        <v>0</v>
      </c>
      <c r="G3490">
        <v>772</v>
      </c>
      <c r="H3490">
        <v>1</v>
      </c>
      <c r="I3490" t="s">
        <v>220</v>
      </c>
      <c r="J3490">
        <v>2</v>
      </c>
      <c r="K3490" s="6">
        <v>2.2999999999999998</v>
      </c>
      <c r="L3490" t="s">
        <v>174</v>
      </c>
      <c r="M3490">
        <v>0</v>
      </c>
      <c r="N3490" t="s">
        <v>182</v>
      </c>
      <c r="O3490">
        <v>3</v>
      </c>
      <c r="P3490">
        <v>0</v>
      </c>
      <c r="Q3490" s="6">
        <v>85.2</v>
      </c>
      <c r="R3490">
        <v>0</v>
      </c>
      <c r="S3490" s="6">
        <v>0</v>
      </c>
      <c r="T3490">
        <v>0</v>
      </c>
      <c r="U3490" s="6">
        <v>1805</v>
      </c>
      <c r="V3490">
        <v>0</v>
      </c>
      <c r="W3490">
        <v>0</v>
      </c>
      <c r="X3490">
        <v>0</v>
      </c>
      <c r="Y3490" s="6">
        <v>42.3</v>
      </c>
      <c r="Z3490">
        <v>3.2000000000000001E-2</v>
      </c>
      <c r="AA3490">
        <v>0.106</v>
      </c>
      <c r="AB3490">
        <v>8.1000000000000003E-2</v>
      </c>
      <c r="AC3490">
        <v>5</v>
      </c>
      <c r="AD3490" s="6">
        <v>51</v>
      </c>
      <c r="AE3490" s="6">
        <v>0</v>
      </c>
      <c r="AF3490" s="6">
        <v>0</v>
      </c>
      <c r="AG3490" s="6">
        <v>79.14</v>
      </c>
      <c r="AH3490" s="6">
        <v>102.86</v>
      </c>
      <c r="AI3490" s="6">
        <f t="shared" si="108"/>
        <v>23.72</v>
      </c>
      <c r="AJ3490" s="5">
        <f t="shared" si="109"/>
        <v>0.23060470542484929</v>
      </c>
    </row>
    <row r="3491" spans="1:36">
      <c r="A3491" t="s">
        <v>423</v>
      </c>
      <c r="B3491" t="s">
        <v>3776</v>
      </c>
      <c r="C3491" t="s">
        <v>138</v>
      </c>
      <c r="D3491" t="s">
        <v>63</v>
      </c>
      <c r="E3491" t="s">
        <v>55</v>
      </c>
      <c r="F3491">
        <v>0</v>
      </c>
      <c r="G3491">
        <v>772</v>
      </c>
      <c r="H3491">
        <v>1</v>
      </c>
      <c r="I3491" t="s">
        <v>173</v>
      </c>
      <c r="J3491">
        <v>1</v>
      </c>
      <c r="K3491" s="6">
        <v>1.71</v>
      </c>
      <c r="L3491" t="s">
        <v>174</v>
      </c>
      <c r="M3491">
        <v>0</v>
      </c>
      <c r="N3491" t="s">
        <v>187</v>
      </c>
      <c r="O3491">
        <v>2</v>
      </c>
      <c r="P3491">
        <v>0</v>
      </c>
      <c r="Q3491" s="6">
        <v>66.099999999999994</v>
      </c>
      <c r="R3491">
        <v>0</v>
      </c>
      <c r="S3491" s="6">
        <v>0</v>
      </c>
      <c r="T3491">
        <v>0</v>
      </c>
      <c r="U3491" s="6">
        <v>2884</v>
      </c>
      <c r="V3491">
        <v>0</v>
      </c>
      <c r="W3491">
        <v>0</v>
      </c>
      <c r="X3491">
        <v>0</v>
      </c>
      <c r="Y3491" s="6">
        <v>42.3</v>
      </c>
      <c r="Z3491">
        <v>3.2000000000000001E-2</v>
      </c>
      <c r="AA3491">
        <v>0.106</v>
      </c>
      <c r="AB3491">
        <v>8.1000000000000003E-2</v>
      </c>
      <c r="AC3491">
        <v>5</v>
      </c>
      <c r="AD3491" s="6">
        <v>51</v>
      </c>
      <c r="AE3491" s="6">
        <v>0</v>
      </c>
      <c r="AF3491" s="6">
        <v>0</v>
      </c>
      <c r="AG3491" s="6">
        <v>62.8</v>
      </c>
      <c r="AH3491" s="6">
        <v>82.53</v>
      </c>
      <c r="AI3491" s="6">
        <f t="shared" si="108"/>
        <v>19.730000000000004</v>
      </c>
      <c r="AJ3491" s="5">
        <f t="shared" si="109"/>
        <v>0.239064582576033</v>
      </c>
    </row>
    <row r="3492" spans="1:36">
      <c r="A3492" t="s">
        <v>365</v>
      </c>
      <c r="B3492" t="s">
        <v>3777</v>
      </c>
      <c r="C3492" t="s">
        <v>138</v>
      </c>
      <c r="D3492" t="s">
        <v>63</v>
      </c>
      <c r="E3492" t="s">
        <v>55</v>
      </c>
      <c r="F3492">
        <v>0</v>
      </c>
      <c r="G3492">
        <v>772</v>
      </c>
      <c r="H3492">
        <v>1</v>
      </c>
      <c r="I3492" t="s">
        <v>173</v>
      </c>
      <c r="J3492">
        <v>1</v>
      </c>
      <c r="K3492" s="6">
        <v>1.06</v>
      </c>
      <c r="L3492" t="s">
        <v>174</v>
      </c>
      <c r="M3492">
        <v>0</v>
      </c>
      <c r="N3492" t="s">
        <v>175</v>
      </c>
      <c r="O3492">
        <v>1</v>
      </c>
      <c r="P3492">
        <v>0</v>
      </c>
      <c r="Q3492" s="6">
        <v>47.8</v>
      </c>
      <c r="R3492">
        <v>0</v>
      </c>
      <c r="S3492" s="6">
        <v>0</v>
      </c>
      <c r="T3492">
        <v>0</v>
      </c>
      <c r="U3492" s="6">
        <v>1049</v>
      </c>
      <c r="V3492">
        <v>0</v>
      </c>
      <c r="W3492">
        <v>0</v>
      </c>
      <c r="X3492">
        <v>0</v>
      </c>
      <c r="Y3492" s="6">
        <v>42.3</v>
      </c>
      <c r="Z3492">
        <v>3.2000000000000001E-2</v>
      </c>
      <c r="AA3492">
        <v>0.106</v>
      </c>
      <c r="AB3492">
        <v>8.1000000000000003E-2</v>
      </c>
      <c r="AC3492">
        <v>5</v>
      </c>
      <c r="AD3492" s="6">
        <v>51</v>
      </c>
      <c r="AE3492" s="6">
        <v>0</v>
      </c>
      <c r="AF3492" s="6">
        <v>0</v>
      </c>
      <c r="AG3492" s="6">
        <v>53.29</v>
      </c>
      <c r="AH3492" s="6">
        <v>68.66</v>
      </c>
      <c r="AI3492" s="6">
        <f t="shared" si="108"/>
        <v>15.369999999999997</v>
      </c>
      <c r="AJ3492" s="5">
        <f t="shared" si="109"/>
        <v>0.22385668511505968</v>
      </c>
    </row>
    <row r="3493" spans="1:36">
      <c r="A3493" t="s">
        <v>225</v>
      </c>
      <c r="B3493" t="s">
        <v>3778</v>
      </c>
      <c r="C3493" t="s">
        <v>138</v>
      </c>
      <c r="D3493" t="s">
        <v>63</v>
      </c>
      <c r="E3493" t="s">
        <v>55</v>
      </c>
      <c r="F3493">
        <v>0</v>
      </c>
      <c r="G3493">
        <v>772</v>
      </c>
      <c r="H3493">
        <v>1</v>
      </c>
      <c r="I3493" t="s">
        <v>173</v>
      </c>
      <c r="J3493">
        <v>1</v>
      </c>
      <c r="K3493" s="6">
        <v>2.31</v>
      </c>
      <c r="L3493" t="s">
        <v>174</v>
      </c>
      <c r="M3493">
        <v>0</v>
      </c>
      <c r="N3493" t="s">
        <v>175</v>
      </c>
      <c r="O3493">
        <v>1</v>
      </c>
      <c r="P3493">
        <v>0</v>
      </c>
      <c r="Q3493" s="6">
        <v>28.8</v>
      </c>
      <c r="R3493">
        <v>1</v>
      </c>
      <c r="S3493" s="6">
        <v>2145</v>
      </c>
      <c r="T3493">
        <v>0</v>
      </c>
      <c r="U3493" s="6">
        <v>1966</v>
      </c>
      <c r="V3493">
        <v>0</v>
      </c>
      <c r="W3493">
        <v>0</v>
      </c>
      <c r="X3493">
        <v>0</v>
      </c>
      <c r="Y3493" s="6">
        <v>42.3</v>
      </c>
      <c r="Z3493">
        <v>3.2000000000000001E-2</v>
      </c>
      <c r="AA3493">
        <v>0.106</v>
      </c>
      <c r="AB3493">
        <v>8.1000000000000003E-2</v>
      </c>
      <c r="AC3493">
        <v>5</v>
      </c>
      <c r="AD3493" s="6">
        <v>51</v>
      </c>
      <c r="AE3493" s="6">
        <v>40</v>
      </c>
      <c r="AF3493" s="6">
        <v>0</v>
      </c>
      <c r="AG3493" s="6">
        <v>66.8</v>
      </c>
      <c r="AH3493" s="6">
        <v>83.7</v>
      </c>
      <c r="AI3493" s="6">
        <f t="shared" si="108"/>
        <v>16.900000000000006</v>
      </c>
      <c r="AJ3493" s="5">
        <f t="shared" si="109"/>
        <v>0.20191158900836326</v>
      </c>
    </row>
    <row r="3494" spans="1:36">
      <c r="A3494" t="s">
        <v>251</v>
      </c>
      <c r="B3494" t="s">
        <v>3779</v>
      </c>
      <c r="C3494" t="s">
        <v>138</v>
      </c>
      <c r="D3494" t="s">
        <v>63</v>
      </c>
      <c r="E3494" t="s">
        <v>55</v>
      </c>
      <c r="F3494">
        <v>0</v>
      </c>
      <c r="G3494">
        <v>772</v>
      </c>
      <c r="H3494">
        <v>1</v>
      </c>
      <c r="I3494" t="s">
        <v>173</v>
      </c>
      <c r="J3494">
        <v>1</v>
      </c>
      <c r="K3494" s="6">
        <v>1.5</v>
      </c>
      <c r="L3494" t="s">
        <v>174</v>
      </c>
      <c r="M3494">
        <v>0</v>
      </c>
      <c r="N3494" t="s">
        <v>187</v>
      </c>
      <c r="O3494">
        <v>2</v>
      </c>
      <c r="P3494">
        <v>0</v>
      </c>
      <c r="Q3494" s="6">
        <v>71.8</v>
      </c>
      <c r="R3494">
        <v>0</v>
      </c>
      <c r="S3494" s="6">
        <v>0</v>
      </c>
      <c r="T3494">
        <v>0</v>
      </c>
      <c r="U3494" s="6">
        <v>578</v>
      </c>
      <c r="V3494">
        <v>0</v>
      </c>
      <c r="W3494">
        <v>0</v>
      </c>
      <c r="X3494">
        <v>0</v>
      </c>
      <c r="Y3494" s="6">
        <v>42.3</v>
      </c>
      <c r="Z3494">
        <v>3.2000000000000001E-2</v>
      </c>
      <c r="AA3494">
        <v>0.106</v>
      </c>
      <c r="AB3494">
        <v>8.1000000000000003E-2</v>
      </c>
      <c r="AC3494">
        <v>5</v>
      </c>
      <c r="AD3494" s="6">
        <v>51</v>
      </c>
      <c r="AE3494" s="6">
        <v>0</v>
      </c>
      <c r="AF3494" s="6">
        <v>0</v>
      </c>
      <c r="AG3494" s="6">
        <v>62.92</v>
      </c>
      <c r="AH3494" s="6">
        <v>81.02</v>
      </c>
      <c r="AI3494" s="6">
        <f t="shared" si="108"/>
        <v>18.099999999999994</v>
      </c>
      <c r="AJ3494" s="5">
        <f t="shared" si="109"/>
        <v>0.22340162922735121</v>
      </c>
    </row>
    <row r="3495" spans="1:36">
      <c r="A3495" t="s">
        <v>401</v>
      </c>
      <c r="B3495" t="s">
        <v>3780</v>
      </c>
      <c r="C3495" t="s">
        <v>138</v>
      </c>
      <c r="D3495" t="s">
        <v>63</v>
      </c>
      <c r="E3495" t="s">
        <v>55</v>
      </c>
      <c r="F3495">
        <v>0</v>
      </c>
      <c r="G3495">
        <v>772</v>
      </c>
      <c r="H3495">
        <v>1</v>
      </c>
      <c r="I3495" t="s">
        <v>173</v>
      </c>
      <c r="J3495">
        <v>1</v>
      </c>
      <c r="K3495" s="6">
        <v>0.76</v>
      </c>
      <c r="L3495" t="s">
        <v>174</v>
      </c>
      <c r="M3495">
        <v>0</v>
      </c>
      <c r="N3495" t="s">
        <v>187</v>
      </c>
      <c r="O3495">
        <v>2</v>
      </c>
      <c r="P3495">
        <v>0</v>
      </c>
      <c r="Q3495" s="6">
        <v>66.3</v>
      </c>
      <c r="R3495">
        <v>0</v>
      </c>
      <c r="S3495" s="6">
        <v>0</v>
      </c>
      <c r="T3495">
        <v>0</v>
      </c>
      <c r="U3495" s="6">
        <v>1833</v>
      </c>
      <c r="V3495">
        <v>0</v>
      </c>
      <c r="W3495">
        <v>0</v>
      </c>
      <c r="X3495">
        <v>0</v>
      </c>
      <c r="Y3495" s="6">
        <v>42.3</v>
      </c>
      <c r="Z3495">
        <v>3.2000000000000001E-2</v>
      </c>
      <c r="AA3495">
        <v>0.106</v>
      </c>
      <c r="AB3495">
        <v>8.1000000000000003E-2</v>
      </c>
      <c r="AC3495">
        <v>5</v>
      </c>
      <c r="AD3495" s="6">
        <v>51</v>
      </c>
      <c r="AE3495" s="6">
        <v>0</v>
      </c>
      <c r="AF3495" s="6">
        <v>0</v>
      </c>
      <c r="AG3495" s="6">
        <v>62.54</v>
      </c>
      <c r="AH3495" s="6">
        <v>81.55</v>
      </c>
      <c r="AI3495" s="6">
        <f t="shared" si="108"/>
        <v>19.009999999999998</v>
      </c>
      <c r="AJ3495" s="5">
        <f t="shared" si="109"/>
        <v>0.23310852237890864</v>
      </c>
    </row>
    <row r="3496" spans="1:36">
      <c r="A3496" t="s">
        <v>457</v>
      </c>
      <c r="B3496" t="s">
        <v>3781</v>
      </c>
      <c r="C3496" t="s">
        <v>138</v>
      </c>
      <c r="D3496" t="s">
        <v>63</v>
      </c>
      <c r="E3496" t="s">
        <v>55</v>
      </c>
      <c r="F3496">
        <v>0</v>
      </c>
      <c r="G3496">
        <v>772</v>
      </c>
      <c r="H3496">
        <v>1</v>
      </c>
      <c r="I3496" t="s">
        <v>173</v>
      </c>
      <c r="J3496">
        <v>1</v>
      </c>
      <c r="K3496" s="6">
        <v>1.39</v>
      </c>
      <c r="L3496" t="s">
        <v>174</v>
      </c>
      <c r="M3496">
        <v>0</v>
      </c>
      <c r="N3496" t="s">
        <v>182</v>
      </c>
      <c r="O3496">
        <v>3</v>
      </c>
      <c r="P3496">
        <v>0</v>
      </c>
      <c r="Q3496" s="6">
        <v>105.2</v>
      </c>
      <c r="R3496">
        <v>0</v>
      </c>
      <c r="S3496" s="6">
        <v>0</v>
      </c>
      <c r="T3496">
        <v>0</v>
      </c>
      <c r="U3496" s="6">
        <v>668</v>
      </c>
      <c r="V3496">
        <v>0</v>
      </c>
      <c r="W3496">
        <v>0</v>
      </c>
      <c r="X3496">
        <v>0</v>
      </c>
      <c r="Y3496" s="6">
        <v>42.3</v>
      </c>
      <c r="Z3496">
        <v>3.2000000000000001E-2</v>
      </c>
      <c r="AA3496">
        <v>0.106</v>
      </c>
      <c r="AB3496">
        <v>8.1000000000000003E-2</v>
      </c>
      <c r="AC3496">
        <v>5</v>
      </c>
      <c r="AD3496" s="6">
        <v>51</v>
      </c>
      <c r="AE3496" s="6">
        <v>0</v>
      </c>
      <c r="AF3496" s="6">
        <v>0</v>
      </c>
      <c r="AG3496" s="6">
        <v>73.290000000000006</v>
      </c>
      <c r="AH3496" s="6">
        <v>95.34</v>
      </c>
      <c r="AI3496" s="6">
        <f t="shared" si="108"/>
        <v>22.049999999999997</v>
      </c>
      <c r="AJ3496" s="5">
        <f t="shared" si="109"/>
        <v>0.23127753303964754</v>
      </c>
    </row>
    <row r="3497" spans="1:36">
      <c r="A3497" t="s">
        <v>391</v>
      </c>
      <c r="B3497" t="s">
        <v>3782</v>
      </c>
      <c r="C3497" t="s">
        <v>138</v>
      </c>
      <c r="D3497" t="s">
        <v>63</v>
      </c>
      <c r="E3497" t="s">
        <v>55</v>
      </c>
      <c r="F3497">
        <v>0</v>
      </c>
      <c r="G3497">
        <v>772</v>
      </c>
      <c r="H3497">
        <v>1</v>
      </c>
      <c r="I3497" t="s">
        <v>220</v>
      </c>
      <c r="J3497">
        <v>2</v>
      </c>
      <c r="K3497" s="6">
        <v>2.87</v>
      </c>
      <c r="L3497" t="s">
        <v>174</v>
      </c>
      <c r="M3497">
        <v>0</v>
      </c>
      <c r="N3497" t="s">
        <v>182</v>
      </c>
      <c r="O3497">
        <v>3</v>
      </c>
      <c r="P3497">
        <v>0</v>
      </c>
      <c r="Q3497" s="6">
        <v>71.5</v>
      </c>
      <c r="R3497">
        <v>0</v>
      </c>
      <c r="S3497" s="6">
        <v>0</v>
      </c>
      <c r="T3497">
        <v>0</v>
      </c>
      <c r="U3497" s="6">
        <v>316</v>
      </c>
      <c r="V3497">
        <v>0</v>
      </c>
      <c r="W3497">
        <v>0</v>
      </c>
      <c r="X3497">
        <v>0</v>
      </c>
      <c r="Y3497" s="6">
        <v>42.3</v>
      </c>
      <c r="Z3497">
        <v>3.2000000000000001E-2</v>
      </c>
      <c r="AA3497">
        <v>0.106</v>
      </c>
      <c r="AB3497">
        <v>8.1000000000000003E-2</v>
      </c>
      <c r="AC3497">
        <v>5</v>
      </c>
      <c r="AD3497" s="6">
        <v>51</v>
      </c>
      <c r="AE3497" s="6">
        <v>0</v>
      </c>
      <c r="AF3497" s="6">
        <v>0</v>
      </c>
      <c r="AG3497" s="6">
        <v>81.91</v>
      </c>
      <c r="AH3497" s="6">
        <v>104.1</v>
      </c>
      <c r="AI3497" s="6">
        <f t="shared" si="108"/>
        <v>22.189999999999998</v>
      </c>
      <c r="AJ3497" s="5">
        <f t="shared" si="109"/>
        <v>0.21316042267050911</v>
      </c>
    </row>
    <row r="3498" spans="1:36">
      <c r="A3498" t="s">
        <v>183</v>
      </c>
      <c r="B3498" t="s">
        <v>3783</v>
      </c>
      <c r="C3498" t="s">
        <v>138</v>
      </c>
      <c r="D3498" t="s">
        <v>63</v>
      </c>
      <c r="E3498" t="s">
        <v>55</v>
      </c>
      <c r="F3498">
        <v>0</v>
      </c>
      <c r="G3498">
        <v>772</v>
      </c>
      <c r="H3498">
        <v>1</v>
      </c>
      <c r="I3498" t="s">
        <v>220</v>
      </c>
      <c r="J3498">
        <v>2</v>
      </c>
      <c r="K3498" s="6">
        <v>4.26</v>
      </c>
      <c r="L3498" t="s">
        <v>174</v>
      </c>
      <c r="M3498">
        <v>0</v>
      </c>
      <c r="N3498" t="s">
        <v>187</v>
      </c>
      <c r="O3498">
        <v>2</v>
      </c>
      <c r="P3498">
        <v>0</v>
      </c>
      <c r="Q3498" s="6">
        <v>54.7</v>
      </c>
      <c r="R3498">
        <v>0</v>
      </c>
      <c r="S3498" s="6">
        <v>0</v>
      </c>
      <c r="T3498">
        <v>0</v>
      </c>
      <c r="U3498" s="6">
        <v>1707</v>
      </c>
      <c r="V3498">
        <v>0</v>
      </c>
      <c r="W3498">
        <v>0</v>
      </c>
      <c r="X3498">
        <v>0</v>
      </c>
      <c r="Y3498" s="6">
        <v>42.3</v>
      </c>
      <c r="Z3498">
        <v>3.2000000000000001E-2</v>
      </c>
      <c r="AA3498">
        <v>0.106</v>
      </c>
      <c r="AB3498">
        <v>8.1000000000000003E-2</v>
      </c>
      <c r="AC3498">
        <v>5</v>
      </c>
      <c r="AD3498" s="6">
        <v>51</v>
      </c>
      <c r="AE3498" s="6">
        <v>0</v>
      </c>
      <c r="AF3498" s="6">
        <v>0</v>
      </c>
      <c r="AG3498" s="6">
        <v>72.63</v>
      </c>
      <c r="AH3498" s="6">
        <v>94.3</v>
      </c>
      <c r="AI3498" s="6">
        <f t="shared" si="108"/>
        <v>21.67</v>
      </c>
      <c r="AJ3498" s="5">
        <f t="shared" si="109"/>
        <v>0.22979851537645815</v>
      </c>
    </row>
    <row r="3499" spans="1:36">
      <c r="A3499" t="s">
        <v>328</v>
      </c>
      <c r="B3499" t="s">
        <v>3784</v>
      </c>
      <c r="C3499" t="s">
        <v>138</v>
      </c>
      <c r="D3499" t="s">
        <v>63</v>
      </c>
      <c r="E3499" t="s">
        <v>55</v>
      </c>
      <c r="F3499">
        <v>0</v>
      </c>
      <c r="G3499">
        <v>772</v>
      </c>
      <c r="H3499">
        <v>1</v>
      </c>
      <c r="I3499" t="s">
        <v>173</v>
      </c>
      <c r="J3499">
        <v>1</v>
      </c>
      <c r="K3499" s="6">
        <v>1.93</v>
      </c>
      <c r="L3499" t="s">
        <v>174</v>
      </c>
      <c r="M3499">
        <v>0</v>
      </c>
      <c r="N3499" t="s">
        <v>217</v>
      </c>
      <c r="O3499">
        <v>4</v>
      </c>
      <c r="P3499">
        <v>1</v>
      </c>
      <c r="Q3499" s="6">
        <v>92.5</v>
      </c>
      <c r="R3499">
        <v>0</v>
      </c>
      <c r="S3499" s="6">
        <v>0</v>
      </c>
      <c r="T3499">
        <v>0</v>
      </c>
      <c r="U3499" s="6">
        <v>560</v>
      </c>
      <c r="V3499">
        <v>1</v>
      </c>
      <c r="W3499">
        <v>0</v>
      </c>
      <c r="X3499">
        <v>0</v>
      </c>
      <c r="Y3499" s="6">
        <v>42.3</v>
      </c>
      <c r="Z3499">
        <v>3.2000000000000001E-2</v>
      </c>
      <c r="AA3499">
        <v>0.106</v>
      </c>
      <c r="AB3499">
        <v>8.1000000000000003E-2</v>
      </c>
      <c r="AC3499">
        <v>5</v>
      </c>
      <c r="AD3499" s="6">
        <v>51</v>
      </c>
      <c r="AE3499" s="6">
        <v>0</v>
      </c>
      <c r="AF3499" s="6">
        <v>0</v>
      </c>
      <c r="AG3499" s="6">
        <v>165.25</v>
      </c>
      <c r="AH3499" s="6">
        <v>211.06</v>
      </c>
      <c r="AI3499" s="6">
        <f t="shared" si="108"/>
        <v>45.81</v>
      </c>
      <c r="AJ3499" s="5">
        <f t="shared" si="109"/>
        <v>0.2170472851321899</v>
      </c>
    </row>
    <row r="3500" spans="1:36">
      <c r="A3500" t="s">
        <v>457</v>
      </c>
      <c r="B3500" t="s">
        <v>3785</v>
      </c>
      <c r="C3500" t="s">
        <v>138</v>
      </c>
      <c r="D3500" t="s">
        <v>63</v>
      </c>
      <c r="E3500" t="s">
        <v>55</v>
      </c>
      <c r="F3500">
        <v>0</v>
      </c>
      <c r="G3500">
        <v>772</v>
      </c>
      <c r="H3500">
        <v>1</v>
      </c>
      <c r="I3500" t="s">
        <v>173</v>
      </c>
      <c r="J3500">
        <v>1</v>
      </c>
      <c r="K3500" s="6">
        <v>1.98</v>
      </c>
      <c r="L3500" t="s">
        <v>174</v>
      </c>
      <c r="M3500">
        <v>0</v>
      </c>
      <c r="N3500" t="s">
        <v>175</v>
      </c>
      <c r="O3500">
        <v>1</v>
      </c>
      <c r="P3500">
        <v>0</v>
      </c>
      <c r="Q3500" s="6">
        <v>42.5</v>
      </c>
      <c r="R3500">
        <v>0</v>
      </c>
      <c r="S3500" s="6">
        <v>0</v>
      </c>
      <c r="T3500">
        <v>0</v>
      </c>
      <c r="U3500" s="6">
        <v>1786</v>
      </c>
      <c r="V3500">
        <v>1</v>
      </c>
      <c r="W3500">
        <v>1</v>
      </c>
      <c r="X3500">
        <v>0</v>
      </c>
      <c r="Y3500" s="6">
        <v>42.3</v>
      </c>
      <c r="Z3500">
        <v>3.2000000000000001E-2</v>
      </c>
      <c r="AA3500">
        <v>0.106</v>
      </c>
      <c r="AB3500">
        <v>8.1000000000000003E-2</v>
      </c>
      <c r="AC3500">
        <v>5</v>
      </c>
      <c r="AD3500" s="6">
        <v>51</v>
      </c>
      <c r="AE3500" s="6">
        <v>0</v>
      </c>
      <c r="AF3500" s="6">
        <v>0</v>
      </c>
      <c r="AG3500" s="6">
        <v>121.62</v>
      </c>
      <c r="AH3500" s="6">
        <v>155</v>
      </c>
      <c r="AI3500" s="6">
        <f t="shared" si="108"/>
        <v>33.379999999999995</v>
      </c>
      <c r="AJ3500" s="5">
        <f t="shared" si="109"/>
        <v>0.21535483870967739</v>
      </c>
    </row>
    <row r="3501" spans="1:36">
      <c r="A3501" t="s">
        <v>501</v>
      </c>
      <c r="B3501" t="s">
        <v>3786</v>
      </c>
      <c r="C3501" t="s">
        <v>138</v>
      </c>
      <c r="D3501" t="s">
        <v>63</v>
      </c>
      <c r="E3501" t="s">
        <v>55</v>
      </c>
      <c r="F3501">
        <v>0</v>
      </c>
      <c r="G3501">
        <v>772</v>
      </c>
      <c r="H3501">
        <v>1</v>
      </c>
      <c r="I3501" t="s">
        <v>220</v>
      </c>
      <c r="J3501">
        <v>2</v>
      </c>
      <c r="K3501" s="6">
        <v>2.52</v>
      </c>
      <c r="L3501" t="s">
        <v>174</v>
      </c>
      <c r="M3501">
        <v>0</v>
      </c>
      <c r="N3501" t="s">
        <v>187</v>
      </c>
      <c r="O3501">
        <v>2</v>
      </c>
      <c r="P3501">
        <v>0</v>
      </c>
      <c r="Q3501" s="6">
        <v>75.2</v>
      </c>
      <c r="R3501">
        <v>0</v>
      </c>
      <c r="S3501" s="6">
        <v>0</v>
      </c>
      <c r="T3501">
        <v>0</v>
      </c>
      <c r="U3501" s="6">
        <v>1337</v>
      </c>
      <c r="V3501">
        <v>0</v>
      </c>
      <c r="W3501">
        <v>0</v>
      </c>
      <c r="X3501">
        <v>0</v>
      </c>
      <c r="Y3501" s="6">
        <v>42.3</v>
      </c>
      <c r="Z3501">
        <v>3.2000000000000001E-2</v>
      </c>
      <c r="AA3501">
        <v>0.106</v>
      </c>
      <c r="AB3501">
        <v>8.1000000000000003E-2</v>
      </c>
      <c r="AC3501">
        <v>5</v>
      </c>
      <c r="AD3501" s="6">
        <v>51</v>
      </c>
      <c r="AE3501" s="6">
        <v>0</v>
      </c>
      <c r="AF3501" s="6">
        <v>0</v>
      </c>
      <c r="AG3501" s="6">
        <v>67.28</v>
      </c>
      <c r="AH3501" s="6">
        <v>86.87</v>
      </c>
      <c r="AI3501" s="6">
        <f t="shared" si="108"/>
        <v>19.590000000000003</v>
      </c>
      <c r="AJ3501" s="5">
        <f t="shared" si="109"/>
        <v>0.22550938183492578</v>
      </c>
    </row>
    <row r="3502" spans="1:36">
      <c r="A3502" t="s">
        <v>311</v>
      </c>
      <c r="B3502" t="s">
        <v>3787</v>
      </c>
      <c r="C3502" t="s">
        <v>138</v>
      </c>
      <c r="D3502" t="s">
        <v>63</v>
      </c>
      <c r="E3502" t="s">
        <v>55</v>
      </c>
      <c r="F3502">
        <v>0</v>
      </c>
      <c r="G3502">
        <v>772</v>
      </c>
      <c r="H3502">
        <v>1</v>
      </c>
      <c r="I3502" t="s">
        <v>220</v>
      </c>
      <c r="J3502">
        <v>2</v>
      </c>
      <c r="K3502" s="6">
        <v>4.87</v>
      </c>
      <c r="L3502" t="s">
        <v>174</v>
      </c>
      <c r="M3502">
        <v>0</v>
      </c>
      <c r="N3502" t="s">
        <v>272</v>
      </c>
      <c r="O3502">
        <v>5</v>
      </c>
      <c r="P3502">
        <v>1</v>
      </c>
      <c r="Q3502" s="6">
        <v>205.3</v>
      </c>
      <c r="R3502">
        <v>0</v>
      </c>
      <c r="S3502" s="6">
        <v>0</v>
      </c>
      <c r="T3502">
        <v>0</v>
      </c>
      <c r="U3502" s="6">
        <v>847</v>
      </c>
      <c r="V3502">
        <v>0</v>
      </c>
      <c r="W3502">
        <v>0</v>
      </c>
      <c r="X3502">
        <v>0</v>
      </c>
      <c r="Y3502" s="6">
        <v>42.3</v>
      </c>
      <c r="Z3502">
        <v>3.2000000000000001E-2</v>
      </c>
      <c r="AA3502">
        <v>0.106</v>
      </c>
      <c r="AB3502">
        <v>8.1000000000000003E-2</v>
      </c>
      <c r="AC3502">
        <v>5</v>
      </c>
      <c r="AD3502" s="6">
        <v>51</v>
      </c>
      <c r="AE3502" s="6">
        <v>0</v>
      </c>
      <c r="AF3502" s="6">
        <v>0</v>
      </c>
      <c r="AG3502" s="6">
        <v>162.62</v>
      </c>
      <c r="AH3502" s="6">
        <v>204.74</v>
      </c>
      <c r="AI3502" s="6">
        <f t="shared" si="108"/>
        <v>42.120000000000005</v>
      </c>
      <c r="AJ3502" s="5">
        <f t="shared" si="109"/>
        <v>0.20572433330077172</v>
      </c>
    </row>
    <row r="3503" spans="1:36">
      <c r="A3503" t="s">
        <v>171</v>
      </c>
      <c r="B3503" t="s">
        <v>3788</v>
      </c>
      <c r="C3503" t="s">
        <v>138</v>
      </c>
      <c r="D3503" t="s">
        <v>63</v>
      </c>
      <c r="E3503" t="s">
        <v>55</v>
      </c>
      <c r="F3503">
        <v>0</v>
      </c>
      <c r="G3503">
        <v>772</v>
      </c>
      <c r="H3503">
        <v>1</v>
      </c>
      <c r="I3503" t="s">
        <v>173</v>
      </c>
      <c r="J3503">
        <v>1</v>
      </c>
      <c r="K3503" s="6">
        <v>1.42</v>
      </c>
      <c r="L3503" t="s">
        <v>174</v>
      </c>
      <c r="M3503">
        <v>0</v>
      </c>
      <c r="N3503" t="s">
        <v>182</v>
      </c>
      <c r="O3503">
        <v>3</v>
      </c>
      <c r="P3503">
        <v>0</v>
      </c>
      <c r="Q3503" s="6">
        <v>55.5</v>
      </c>
      <c r="R3503">
        <v>0</v>
      </c>
      <c r="S3503" s="6">
        <v>0</v>
      </c>
      <c r="T3503">
        <v>0</v>
      </c>
      <c r="U3503" s="6">
        <v>934</v>
      </c>
      <c r="V3503">
        <v>0</v>
      </c>
      <c r="W3503">
        <v>0</v>
      </c>
      <c r="X3503">
        <v>0</v>
      </c>
      <c r="Y3503" s="6">
        <v>42.3</v>
      </c>
      <c r="Z3503">
        <v>3.2000000000000001E-2</v>
      </c>
      <c r="AA3503">
        <v>0.106</v>
      </c>
      <c r="AB3503">
        <v>8.1000000000000003E-2</v>
      </c>
      <c r="AC3503">
        <v>5</v>
      </c>
      <c r="AD3503" s="6">
        <v>51</v>
      </c>
      <c r="AE3503" s="6">
        <v>0</v>
      </c>
      <c r="AF3503" s="6">
        <v>0</v>
      </c>
      <c r="AG3503" s="6">
        <v>63.82</v>
      </c>
      <c r="AH3503" s="6">
        <v>79.790000000000006</v>
      </c>
      <c r="AI3503" s="6">
        <f t="shared" si="108"/>
        <v>15.970000000000006</v>
      </c>
      <c r="AJ3503" s="5">
        <f t="shared" si="109"/>
        <v>0.20015039478631413</v>
      </c>
    </row>
    <row r="3504" spans="1:36">
      <c r="A3504" t="s">
        <v>230</v>
      </c>
      <c r="B3504" t="s">
        <v>3789</v>
      </c>
      <c r="C3504" t="s">
        <v>138</v>
      </c>
      <c r="D3504" t="s">
        <v>63</v>
      </c>
      <c r="E3504" t="s">
        <v>55</v>
      </c>
      <c r="F3504">
        <v>0</v>
      </c>
      <c r="G3504">
        <v>772</v>
      </c>
      <c r="H3504">
        <v>1</v>
      </c>
      <c r="I3504" t="s">
        <v>173</v>
      </c>
      <c r="J3504">
        <v>1</v>
      </c>
      <c r="K3504" s="6">
        <v>1.68</v>
      </c>
      <c r="L3504" t="s">
        <v>174</v>
      </c>
      <c r="M3504">
        <v>0</v>
      </c>
      <c r="N3504" t="s">
        <v>182</v>
      </c>
      <c r="O3504">
        <v>3</v>
      </c>
      <c r="P3504">
        <v>0</v>
      </c>
      <c r="Q3504" s="6">
        <v>98.5</v>
      </c>
      <c r="R3504">
        <v>0</v>
      </c>
      <c r="S3504" s="6">
        <v>0</v>
      </c>
      <c r="T3504">
        <v>0</v>
      </c>
      <c r="U3504" s="6">
        <v>699</v>
      </c>
      <c r="V3504">
        <v>0</v>
      </c>
      <c r="W3504">
        <v>0</v>
      </c>
      <c r="X3504">
        <v>0</v>
      </c>
      <c r="Y3504" s="6">
        <v>42.3</v>
      </c>
      <c r="Z3504">
        <v>3.2000000000000001E-2</v>
      </c>
      <c r="AA3504">
        <v>0.106</v>
      </c>
      <c r="AB3504">
        <v>8.1000000000000003E-2</v>
      </c>
      <c r="AC3504">
        <v>5</v>
      </c>
      <c r="AD3504" s="6">
        <v>51</v>
      </c>
      <c r="AE3504" s="6">
        <v>0</v>
      </c>
      <c r="AF3504" s="6">
        <v>0</v>
      </c>
      <c r="AG3504" s="6">
        <v>63.18</v>
      </c>
      <c r="AH3504" s="6">
        <v>82.59</v>
      </c>
      <c r="AI3504" s="6">
        <f t="shared" si="108"/>
        <v>19.410000000000004</v>
      </c>
      <c r="AJ3504" s="5">
        <f t="shared" si="109"/>
        <v>0.23501634580457686</v>
      </c>
    </row>
    <row r="3505" spans="1:36">
      <c r="A3505" t="s">
        <v>528</v>
      </c>
      <c r="B3505" t="s">
        <v>3790</v>
      </c>
      <c r="C3505" t="s">
        <v>138</v>
      </c>
      <c r="D3505" t="s">
        <v>63</v>
      </c>
      <c r="E3505" t="s">
        <v>55</v>
      </c>
      <c r="F3505">
        <v>0</v>
      </c>
      <c r="G3505">
        <v>772</v>
      </c>
      <c r="H3505">
        <v>1</v>
      </c>
      <c r="I3505" t="s">
        <v>220</v>
      </c>
      <c r="J3505">
        <v>2</v>
      </c>
      <c r="K3505" s="6">
        <v>3.16</v>
      </c>
      <c r="L3505" t="s">
        <v>174</v>
      </c>
      <c r="M3505">
        <v>0</v>
      </c>
      <c r="N3505" t="s">
        <v>182</v>
      </c>
      <c r="O3505">
        <v>3</v>
      </c>
      <c r="P3505">
        <v>1</v>
      </c>
      <c r="Q3505" s="6">
        <v>67.7</v>
      </c>
      <c r="R3505">
        <v>0</v>
      </c>
      <c r="S3505" s="6">
        <v>0</v>
      </c>
      <c r="T3505">
        <v>0</v>
      </c>
      <c r="U3505" s="6">
        <v>1728</v>
      </c>
      <c r="V3505">
        <v>0</v>
      </c>
      <c r="W3505">
        <v>0</v>
      </c>
      <c r="X3505">
        <v>0</v>
      </c>
      <c r="Y3505" s="6">
        <v>42.3</v>
      </c>
      <c r="Z3505">
        <v>3.2000000000000001E-2</v>
      </c>
      <c r="AA3505">
        <v>0.106</v>
      </c>
      <c r="AB3505">
        <v>8.1000000000000003E-2</v>
      </c>
      <c r="AC3505">
        <v>5</v>
      </c>
      <c r="AD3505" s="6">
        <v>51</v>
      </c>
      <c r="AE3505" s="6">
        <v>0</v>
      </c>
      <c r="AF3505" s="6">
        <v>0</v>
      </c>
      <c r="AG3505" s="6">
        <v>98.8</v>
      </c>
      <c r="AH3505" s="6">
        <v>123.57</v>
      </c>
      <c r="AI3505" s="6">
        <f t="shared" si="108"/>
        <v>24.769999999999996</v>
      </c>
      <c r="AJ3505" s="5">
        <f t="shared" si="109"/>
        <v>0.20045318442987778</v>
      </c>
    </row>
    <row r="3506" spans="1:36">
      <c r="A3506" t="s">
        <v>233</v>
      </c>
      <c r="B3506" t="s">
        <v>3791</v>
      </c>
      <c r="C3506" t="s">
        <v>138</v>
      </c>
      <c r="D3506" t="s">
        <v>63</v>
      </c>
      <c r="E3506" t="s">
        <v>55</v>
      </c>
      <c r="F3506">
        <v>0</v>
      </c>
      <c r="G3506">
        <v>772</v>
      </c>
      <c r="H3506">
        <v>1</v>
      </c>
      <c r="I3506" t="s">
        <v>173</v>
      </c>
      <c r="J3506">
        <v>1</v>
      </c>
      <c r="K3506" s="6">
        <v>2.5099999999999998</v>
      </c>
      <c r="L3506" t="s">
        <v>174</v>
      </c>
      <c r="M3506">
        <v>0</v>
      </c>
      <c r="N3506" t="s">
        <v>182</v>
      </c>
      <c r="O3506">
        <v>3</v>
      </c>
      <c r="P3506">
        <v>0</v>
      </c>
      <c r="Q3506" s="6">
        <v>71.3</v>
      </c>
      <c r="R3506">
        <v>0</v>
      </c>
      <c r="S3506" s="6">
        <v>0</v>
      </c>
      <c r="T3506">
        <v>0</v>
      </c>
      <c r="U3506" s="6">
        <v>571</v>
      </c>
      <c r="V3506">
        <v>0</v>
      </c>
      <c r="W3506">
        <v>0</v>
      </c>
      <c r="X3506">
        <v>0</v>
      </c>
      <c r="Y3506" s="6">
        <v>42.3</v>
      </c>
      <c r="Z3506">
        <v>3.2000000000000001E-2</v>
      </c>
      <c r="AA3506">
        <v>0.106</v>
      </c>
      <c r="AB3506">
        <v>8.1000000000000003E-2</v>
      </c>
      <c r="AC3506">
        <v>5</v>
      </c>
      <c r="AD3506" s="6">
        <v>51</v>
      </c>
      <c r="AE3506" s="6">
        <v>0</v>
      </c>
      <c r="AF3506" s="6">
        <v>0</v>
      </c>
      <c r="AG3506" s="6">
        <v>70.11</v>
      </c>
      <c r="AH3506" s="6">
        <v>87.77</v>
      </c>
      <c r="AI3506" s="6">
        <f t="shared" si="108"/>
        <v>17.659999999999997</v>
      </c>
      <c r="AJ3506" s="5">
        <f t="shared" si="109"/>
        <v>0.20120770194827386</v>
      </c>
    </row>
    <row r="3507" spans="1:36">
      <c r="A3507" t="s">
        <v>436</v>
      </c>
      <c r="B3507" t="s">
        <v>3792</v>
      </c>
      <c r="C3507" t="s">
        <v>138</v>
      </c>
      <c r="D3507" t="s">
        <v>63</v>
      </c>
      <c r="E3507" t="s">
        <v>55</v>
      </c>
      <c r="F3507">
        <v>0</v>
      </c>
      <c r="G3507">
        <v>772</v>
      </c>
      <c r="H3507">
        <v>1</v>
      </c>
      <c r="I3507" t="s">
        <v>173</v>
      </c>
      <c r="J3507">
        <v>1</v>
      </c>
      <c r="K3507" s="6">
        <v>1.38</v>
      </c>
      <c r="L3507" t="s">
        <v>174</v>
      </c>
      <c r="M3507">
        <v>0</v>
      </c>
      <c r="N3507" t="s">
        <v>175</v>
      </c>
      <c r="O3507">
        <v>1</v>
      </c>
      <c r="P3507">
        <v>0</v>
      </c>
      <c r="Q3507" s="6">
        <v>35.299999999999997</v>
      </c>
      <c r="R3507">
        <v>0</v>
      </c>
      <c r="S3507" s="6">
        <v>0</v>
      </c>
      <c r="T3507">
        <v>0</v>
      </c>
      <c r="U3507" s="6">
        <v>2522</v>
      </c>
      <c r="V3507">
        <v>0</v>
      </c>
      <c r="W3507">
        <v>0</v>
      </c>
      <c r="X3507">
        <v>0</v>
      </c>
      <c r="Y3507" s="6">
        <v>42.3</v>
      </c>
      <c r="Z3507">
        <v>3.2000000000000001E-2</v>
      </c>
      <c r="AA3507">
        <v>0.106</v>
      </c>
      <c r="AB3507">
        <v>8.1000000000000003E-2</v>
      </c>
      <c r="AC3507">
        <v>5</v>
      </c>
      <c r="AD3507" s="6">
        <v>51</v>
      </c>
      <c r="AE3507" s="6">
        <v>0</v>
      </c>
      <c r="AF3507" s="6">
        <v>0</v>
      </c>
      <c r="AG3507" s="6">
        <v>57.64</v>
      </c>
      <c r="AH3507" s="6">
        <v>75.11</v>
      </c>
      <c r="AI3507" s="6">
        <f t="shared" si="108"/>
        <v>17.47</v>
      </c>
      <c r="AJ3507" s="5">
        <f t="shared" si="109"/>
        <v>0.23259219810943949</v>
      </c>
    </row>
    <row r="3508" spans="1:36">
      <c r="A3508" t="s">
        <v>481</v>
      </c>
      <c r="B3508" t="s">
        <v>3793</v>
      </c>
      <c r="C3508" t="s">
        <v>138</v>
      </c>
      <c r="D3508" t="s">
        <v>63</v>
      </c>
      <c r="E3508" t="s">
        <v>55</v>
      </c>
      <c r="F3508">
        <v>0</v>
      </c>
      <c r="G3508">
        <v>772</v>
      </c>
      <c r="H3508">
        <v>1</v>
      </c>
      <c r="I3508" t="s">
        <v>173</v>
      </c>
      <c r="J3508">
        <v>1</v>
      </c>
      <c r="K3508" s="6">
        <v>2.36</v>
      </c>
      <c r="L3508" t="s">
        <v>174</v>
      </c>
      <c r="M3508">
        <v>0</v>
      </c>
      <c r="N3508" t="s">
        <v>187</v>
      </c>
      <c r="O3508">
        <v>2</v>
      </c>
      <c r="P3508">
        <v>0</v>
      </c>
      <c r="Q3508" s="6">
        <v>58.3</v>
      </c>
      <c r="R3508">
        <v>0</v>
      </c>
      <c r="S3508" s="6">
        <v>0</v>
      </c>
      <c r="T3508">
        <v>0</v>
      </c>
      <c r="U3508" s="6">
        <v>968</v>
      </c>
      <c r="V3508">
        <v>0</v>
      </c>
      <c r="W3508">
        <v>0</v>
      </c>
      <c r="X3508">
        <v>0</v>
      </c>
      <c r="Y3508" s="6">
        <v>42.3</v>
      </c>
      <c r="Z3508">
        <v>3.2000000000000001E-2</v>
      </c>
      <c r="AA3508">
        <v>0.106</v>
      </c>
      <c r="AB3508">
        <v>8.1000000000000003E-2</v>
      </c>
      <c r="AC3508">
        <v>5</v>
      </c>
      <c r="AD3508" s="6">
        <v>51</v>
      </c>
      <c r="AE3508" s="6">
        <v>0</v>
      </c>
      <c r="AF3508" s="6">
        <v>0</v>
      </c>
      <c r="AG3508" s="6">
        <v>57.77</v>
      </c>
      <c r="AH3508" s="6">
        <v>76.989999999999995</v>
      </c>
      <c r="AI3508" s="6">
        <f t="shared" si="108"/>
        <v>19.219999999999992</v>
      </c>
      <c r="AJ3508" s="5">
        <f t="shared" si="109"/>
        <v>0.24964281075464337</v>
      </c>
    </row>
    <row r="3509" spans="1:36">
      <c r="A3509" t="s">
        <v>397</v>
      </c>
      <c r="B3509" t="s">
        <v>3794</v>
      </c>
      <c r="C3509" t="s">
        <v>140</v>
      </c>
      <c r="D3509" t="s">
        <v>60</v>
      </c>
      <c r="E3509" t="s">
        <v>69</v>
      </c>
      <c r="F3509">
        <v>0</v>
      </c>
      <c r="G3509">
        <v>1856</v>
      </c>
      <c r="H3509">
        <v>1.22</v>
      </c>
      <c r="I3509" t="s">
        <v>181</v>
      </c>
      <c r="J3509">
        <v>3</v>
      </c>
      <c r="K3509" s="6">
        <v>7.22</v>
      </c>
      <c r="L3509" t="s">
        <v>174</v>
      </c>
      <c r="M3509">
        <v>0</v>
      </c>
      <c r="N3509" t="s">
        <v>182</v>
      </c>
      <c r="O3509">
        <v>3</v>
      </c>
      <c r="P3509">
        <v>0</v>
      </c>
      <c r="Q3509" s="6">
        <v>71.099999999999994</v>
      </c>
      <c r="R3509">
        <v>0</v>
      </c>
      <c r="S3509" s="6">
        <v>0</v>
      </c>
      <c r="T3509">
        <v>0</v>
      </c>
      <c r="U3509" s="6">
        <v>1272</v>
      </c>
      <c r="V3509">
        <v>0</v>
      </c>
      <c r="W3509">
        <v>0</v>
      </c>
      <c r="X3509">
        <v>0</v>
      </c>
      <c r="Y3509" s="6">
        <v>46.5</v>
      </c>
      <c r="Z3509">
        <v>0.40699999999999997</v>
      </c>
      <c r="AA3509">
        <v>0.14499999999999999</v>
      </c>
      <c r="AB3509">
        <v>3.2000000000000001E-2</v>
      </c>
      <c r="AC3509">
        <v>6</v>
      </c>
      <c r="AD3509" s="6">
        <v>60</v>
      </c>
      <c r="AE3509" s="6">
        <v>0</v>
      </c>
      <c r="AF3509" s="6">
        <v>0</v>
      </c>
      <c r="AG3509" s="6">
        <v>95.41</v>
      </c>
      <c r="AH3509" s="6">
        <v>121.03</v>
      </c>
      <c r="AI3509" s="6">
        <f t="shared" si="108"/>
        <v>25.620000000000005</v>
      </c>
      <c r="AJ3509" s="5">
        <f t="shared" si="109"/>
        <v>0.21168305378831698</v>
      </c>
    </row>
    <row r="3510" spans="1:36">
      <c r="A3510" t="s">
        <v>494</v>
      </c>
      <c r="B3510" t="s">
        <v>3795</v>
      </c>
      <c r="C3510" t="s">
        <v>140</v>
      </c>
      <c r="D3510" t="s">
        <v>60</v>
      </c>
      <c r="E3510" t="s">
        <v>69</v>
      </c>
      <c r="F3510">
        <v>0</v>
      </c>
      <c r="G3510">
        <v>1856</v>
      </c>
      <c r="H3510">
        <v>1</v>
      </c>
      <c r="I3510" t="s">
        <v>173</v>
      </c>
      <c r="J3510">
        <v>1</v>
      </c>
      <c r="K3510" s="6">
        <v>2.44</v>
      </c>
      <c r="L3510" t="s">
        <v>200</v>
      </c>
      <c r="M3510">
        <v>1</v>
      </c>
      <c r="N3510" t="s">
        <v>182</v>
      </c>
      <c r="O3510">
        <v>3</v>
      </c>
      <c r="P3510">
        <v>0</v>
      </c>
      <c r="Q3510" s="6">
        <v>92</v>
      </c>
      <c r="R3510">
        <v>0</v>
      </c>
      <c r="S3510" s="6">
        <v>0</v>
      </c>
      <c r="T3510">
        <v>0</v>
      </c>
      <c r="U3510" s="6">
        <v>2073</v>
      </c>
      <c r="V3510">
        <v>0</v>
      </c>
      <c r="W3510">
        <v>0</v>
      </c>
      <c r="X3510">
        <v>0</v>
      </c>
      <c r="Y3510" s="6">
        <v>46.5</v>
      </c>
      <c r="Z3510">
        <v>0.40699999999999997</v>
      </c>
      <c r="AA3510">
        <v>0.14499999999999999</v>
      </c>
      <c r="AB3510">
        <v>3.2000000000000001E-2</v>
      </c>
      <c r="AC3510">
        <v>6</v>
      </c>
      <c r="AD3510" s="6">
        <v>99</v>
      </c>
      <c r="AE3510" s="6">
        <v>0</v>
      </c>
      <c r="AF3510" s="6">
        <v>0</v>
      </c>
      <c r="AG3510" s="6">
        <v>92.88</v>
      </c>
      <c r="AH3510" s="6">
        <v>116.9</v>
      </c>
      <c r="AI3510" s="6">
        <f t="shared" si="108"/>
        <v>24.02000000000001</v>
      </c>
      <c r="AJ3510" s="5">
        <f t="shared" si="109"/>
        <v>0.20547476475620197</v>
      </c>
    </row>
    <row r="3511" spans="1:36">
      <c r="A3511" t="s">
        <v>481</v>
      </c>
      <c r="B3511" t="s">
        <v>3796</v>
      </c>
      <c r="C3511" t="s">
        <v>140</v>
      </c>
      <c r="D3511" t="s">
        <v>60</v>
      </c>
      <c r="E3511" t="s">
        <v>69</v>
      </c>
      <c r="F3511">
        <v>0</v>
      </c>
      <c r="G3511">
        <v>1856</v>
      </c>
      <c r="H3511">
        <v>1.22</v>
      </c>
      <c r="I3511" t="s">
        <v>173</v>
      </c>
      <c r="J3511">
        <v>1</v>
      </c>
      <c r="K3511" s="6">
        <v>1.1000000000000001</v>
      </c>
      <c r="L3511" t="s">
        <v>174</v>
      </c>
      <c r="M3511">
        <v>0</v>
      </c>
      <c r="N3511" t="s">
        <v>182</v>
      </c>
      <c r="O3511">
        <v>3</v>
      </c>
      <c r="P3511">
        <v>0</v>
      </c>
      <c r="Q3511" s="6">
        <v>85.7</v>
      </c>
      <c r="R3511">
        <v>0</v>
      </c>
      <c r="S3511" s="6">
        <v>0</v>
      </c>
      <c r="T3511">
        <v>0</v>
      </c>
      <c r="U3511" s="6">
        <v>3151</v>
      </c>
      <c r="V3511">
        <v>0</v>
      </c>
      <c r="W3511">
        <v>0</v>
      </c>
      <c r="X3511">
        <v>0</v>
      </c>
      <c r="Y3511" s="6">
        <v>46.5</v>
      </c>
      <c r="Z3511">
        <v>0.40699999999999997</v>
      </c>
      <c r="AA3511">
        <v>0.14499999999999999</v>
      </c>
      <c r="AB3511">
        <v>3.2000000000000001E-2</v>
      </c>
      <c r="AC3511">
        <v>6</v>
      </c>
      <c r="AD3511" s="6">
        <v>50</v>
      </c>
      <c r="AE3511" s="6">
        <v>0</v>
      </c>
      <c r="AF3511" s="6">
        <v>0</v>
      </c>
      <c r="AG3511" s="6">
        <v>68.08</v>
      </c>
      <c r="AH3511" s="6">
        <v>89.28</v>
      </c>
      <c r="AI3511" s="6">
        <f t="shared" si="108"/>
        <v>21.200000000000003</v>
      </c>
      <c r="AJ3511" s="5">
        <f t="shared" si="109"/>
        <v>0.23745519713261651</v>
      </c>
    </row>
    <row r="3512" spans="1:36">
      <c r="A3512" t="s">
        <v>190</v>
      </c>
      <c r="B3512" t="s">
        <v>3797</v>
      </c>
      <c r="C3512" t="s">
        <v>140</v>
      </c>
      <c r="D3512" t="s">
        <v>60</v>
      </c>
      <c r="E3512" t="s">
        <v>69</v>
      </c>
      <c r="F3512">
        <v>0</v>
      </c>
      <c r="G3512">
        <v>1856</v>
      </c>
      <c r="H3512">
        <v>1.22</v>
      </c>
      <c r="I3512" t="s">
        <v>181</v>
      </c>
      <c r="J3512">
        <v>3</v>
      </c>
      <c r="K3512" s="6">
        <v>11.41</v>
      </c>
      <c r="L3512" t="s">
        <v>200</v>
      </c>
      <c r="M3512">
        <v>1</v>
      </c>
      <c r="N3512" t="s">
        <v>175</v>
      </c>
      <c r="O3512">
        <v>1</v>
      </c>
      <c r="P3512">
        <v>0</v>
      </c>
      <c r="Q3512" s="6">
        <v>29.3</v>
      </c>
      <c r="R3512">
        <v>1</v>
      </c>
      <c r="S3512" s="6">
        <v>6897</v>
      </c>
      <c r="T3512">
        <v>0</v>
      </c>
      <c r="U3512" s="6">
        <v>1921</v>
      </c>
      <c r="V3512">
        <v>0</v>
      </c>
      <c r="W3512">
        <v>0</v>
      </c>
      <c r="X3512">
        <v>0</v>
      </c>
      <c r="Y3512" s="6">
        <v>46.5</v>
      </c>
      <c r="Z3512">
        <v>0.40699999999999997</v>
      </c>
      <c r="AA3512">
        <v>0.14499999999999999</v>
      </c>
      <c r="AB3512">
        <v>3.2000000000000001E-2</v>
      </c>
      <c r="AC3512">
        <v>6</v>
      </c>
      <c r="AD3512" s="6">
        <v>139</v>
      </c>
      <c r="AE3512" s="6">
        <v>50</v>
      </c>
      <c r="AF3512" s="6">
        <v>0</v>
      </c>
      <c r="AG3512" s="6">
        <v>137.9</v>
      </c>
      <c r="AH3512" s="6">
        <v>173.97</v>
      </c>
      <c r="AI3512" s="6">
        <f t="shared" si="108"/>
        <v>36.069999999999993</v>
      </c>
      <c r="AJ3512" s="5">
        <f t="shared" si="109"/>
        <v>0.20733459791918143</v>
      </c>
    </row>
    <row r="3513" spans="1:36">
      <c r="A3513" t="s">
        <v>360</v>
      </c>
      <c r="B3513" t="s">
        <v>3798</v>
      </c>
      <c r="C3513" t="s">
        <v>140</v>
      </c>
      <c r="D3513" t="s">
        <v>60</v>
      </c>
      <c r="E3513" t="s">
        <v>69</v>
      </c>
      <c r="F3513">
        <v>0</v>
      </c>
      <c r="G3513">
        <v>1856</v>
      </c>
      <c r="H3513">
        <v>1.22</v>
      </c>
      <c r="I3513" t="s">
        <v>173</v>
      </c>
      <c r="J3513">
        <v>1</v>
      </c>
      <c r="K3513" s="6">
        <v>2.23</v>
      </c>
      <c r="L3513" t="s">
        <v>200</v>
      </c>
      <c r="M3513">
        <v>1</v>
      </c>
      <c r="N3513" t="s">
        <v>272</v>
      </c>
      <c r="O3513">
        <v>5</v>
      </c>
      <c r="P3513">
        <v>1</v>
      </c>
      <c r="Q3513" s="6">
        <v>169.1</v>
      </c>
      <c r="R3513">
        <v>1</v>
      </c>
      <c r="S3513" s="6">
        <v>2578</v>
      </c>
      <c r="T3513">
        <v>0</v>
      </c>
      <c r="U3513" s="6">
        <v>2207</v>
      </c>
      <c r="V3513">
        <v>0</v>
      </c>
      <c r="W3513">
        <v>0</v>
      </c>
      <c r="X3513">
        <v>0</v>
      </c>
      <c r="Y3513" s="6">
        <v>46.5</v>
      </c>
      <c r="Z3513">
        <v>0.40699999999999997</v>
      </c>
      <c r="AA3513">
        <v>0.14499999999999999</v>
      </c>
      <c r="AB3513">
        <v>3.2000000000000001E-2</v>
      </c>
      <c r="AC3513">
        <v>6</v>
      </c>
      <c r="AD3513" s="6">
        <v>99</v>
      </c>
      <c r="AE3513" s="6">
        <v>40</v>
      </c>
      <c r="AF3513" s="6">
        <v>0</v>
      </c>
      <c r="AG3513" s="6">
        <v>198.42</v>
      </c>
      <c r="AH3513" s="6">
        <v>250.98</v>
      </c>
      <c r="AI3513" s="6">
        <f t="shared" si="108"/>
        <v>52.56</v>
      </c>
      <c r="AJ3513" s="5">
        <f t="shared" si="109"/>
        <v>0.20941907721730818</v>
      </c>
    </row>
    <row r="3514" spans="1:36">
      <c r="A3514" t="s">
        <v>208</v>
      </c>
      <c r="B3514" t="s">
        <v>3799</v>
      </c>
      <c r="C3514" t="s">
        <v>140</v>
      </c>
      <c r="D3514" t="s">
        <v>60</v>
      </c>
      <c r="E3514" t="s">
        <v>69</v>
      </c>
      <c r="F3514">
        <v>0</v>
      </c>
      <c r="G3514">
        <v>1856</v>
      </c>
      <c r="H3514">
        <v>1.22</v>
      </c>
      <c r="I3514" t="s">
        <v>220</v>
      </c>
      <c r="J3514">
        <v>2</v>
      </c>
      <c r="K3514" s="6">
        <v>2.5099999999999998</v>
      </c>
      <c r="L3514" t="s">
        <v>200</v>
      </c>
      <c r="M3514">
        <v>1</v>
      </c>
      <c r="N3514" t="s">
        <v>187</v>
      </c>
      <c r="O3514">
        <v>2</v>
      </c>
      <c r="P3514">
        <v>0</v>
      </c>
      <c r="Q3514" s="6">
        <v>46.7</v>
      </c>
      <c r="R3514">
        <v>0</v>
      </c>
      <c r="S3514" s="6">
        <v>0</v>
      </c>
      <c r="T3514">
        <v>0</v>
      </c>
      <c r="U3514" s="6">
        <v>3417</v>
      </c>
      <c r="V3514">
        <v>0</v>
      </c>
      <c r="W3514">
        <v>0</v>
      </c>
      <c r="X3514">
        <v>0</v>
      </c>
      <c r="Y3514" s="6">
        <v>46.5</v>
      </c>
      <c r="Z3514">
        <v>0.40699999999999997</v>
      </c>
      <c r="AA3514">
        <v>0.14499999999999999</v>
      </c>
      <c r="AB3514">
        <v>3.2000000000000001E-2</v>
      </c>
      <c r="AC3514">
        <v>6</v>
      </c>
      <c r="AD3514" s="6">
        <v>119</v>
      </c>
      <c r="AE3514" s="6">
        <v>0</v>
      </c>
      <c r="AF3514" s="6">
        <v>0</v>
      </c>
      <c r="AG3514" s="6">
        <v>97.03</v>
      </c>
      <c r="AH3514" s="6">
        <v>125.77</v>
      </c>
      <c r="AI3514" s="6">
        <f t="shared" si="108"/>
        <v>28.739999999999995</v>
      </c>
      <c r="AJ3514" s="5">
        <f t="shared" si="109"/>
        <v>0.22851236383875326</v>
      </c>
    </row>
    <row r="3515" spans="1:36">
      <c r="A3515" t="s">
        <v>171</v>
      </c>
      <c r="B3515" t="s">
        <v>3800</v>
      </c>
      <c r="C3515" t="s">
        <v>140</v>
      </c>
      <c r="D3515" t="s">
        <v>60</v>
      </c>
      <c r="E3515" t="s">
        <v>69</v>
      </c>
      <c r="F3515">
        <v>0</v>
      </c>
      <c r="G3515">
        <v>1856</v>
      </c>
      <c r="H3515">
        <v>1</v>
      </c>
      <c r="I3515" t="s">
        <v>173</v>
      </c>
      <c r="J3515">
        <v>1</v>
      </c>
      <c r="K3515" s="6">
        <v>2.0299999999999998</v>
      </c>
      <c r="L3515" t="s">
        <v>174</v>
      </c>
      <c r="M3515">
        <v>0</v>
      </c>
      <c r="N3515" t="s">
        <v>175</v>
      </c>
      <c r="O3515">
        <v>1</v>
      </c>
      <c r="P3515">
        <v>0</v>
      </c>
      <c r="Q3515" s="6">
        <v>42.8</v>
      </c>
      <c r="R3515">
        <v>1</v>
      </c>
      <c r="S3515" s="6">
        <v>1040</v>
      </c>
      <c r="T3515">
        <v>0</v>
      </c>
      <c r="U3515" s="6">
        <v>2768</v>
      </c>
      <c r="V3515">
        <v>0</v>
      </c>
      <c r="W3515">
        <v>0</v>
      </c>
      <c r="X3515">
        <v>0</v>
      </c>
      <c r="Y3515" s="6">
        <v>46.5</v>
      </c>
      <c r="Z3515">
        <v>0.40699999999999997</v>
      </c>
      <c r="AA3515">
        <v>0.14499999999999999</v>
      </c>
      <c r="AB3515">
        <v>3.2000000000000001E-2</v>
      </c>
      <c r="AC3515">
        <v>6</v>
      </c>
      <c r="AD3515" s="6">
        <v>50</v>
      </c>
      <c r="AE3515" s="6">
        <v>25</v>
      </c>
      <c r="AF3515" s="6">
        <v>0</v>
      </c>
      <c r="AG3515" s="6">
        <v>48.98</v>
      </c>
      <c r="AH3515" s="6">
        <v>65.42</v>
      </c>
      <c r="AI3515" s="6">
        <f t="shared" si="108"/>
        <v>16.440000000000005</v>
      </c>
      <c r="AJ3515" s="5">
        <f t="shared" si="109"/>
        <v>0.25129929685111596</v>
      </c>
    </row>
    <row r="3516" spans="1:36">
      <c r="A3516" t="s">
        <v>225</v>
      </c>
      <c r="B3516" t="s">
        <v>3801</v>
      </c>
      <c r="C3516" t="s">
        <v>140</v>
      </c>
      <c r="D3516" t="s">
        <v>60</v>
      </c>
      <c r="E3516" t="s">
        <v>69</v>
      </c>
      <c r="F3516">
        <v>0</v>
      </c>
      <c r="G3516">
        <v>1856</v>
      </c>
      <c r="H3516">
        <v>1.22</v>
      </c>
      <c r="I3516" t="s">
        <v>220</v>
      </c>
      <c r="J3516">
        <v>2</v>
      </c>
      <c r="K3516" s="6">
        <v>5.85</v>
      </c>
      <c r="L3516" t="s">
        <v>174</v>
      </c>
      <c r="M3516">
        <v>0</v>
      </c>
      <c r="N3516" t="s">
        <v>182</v>
      </c>
      <c r="O3516">
        <v>3</v>
      </c>
      <c r="P3516">
        <v>1</v>
      </c>
      <c r="Q3516" s="6">
        <v>104.7</v>
      </c>
      <c r="R3516">
        <v>1</v>
      </c>
      <c r="S3516" s="6">
        <v>3268</v>
      </c>
      <c r="T3516">
        <v>0</v>
      </c>
      <c r="U3516" s="6">
        <v>2240</v>
      </c>
      <c r="V3516">
        <v>0</v>
      </c>
      <c r="W3516">
        <v>0</v>
      </c>
      <c r="X3516">
        <v>0</v>
      </c>
      <c r="Y3516" s="6">
        <v>46.5</v>
      </c>
      <c r="Z3516">
        <v>0.40699999999999997</v>
      </c>
      <c r="AA3516">
        <v>0.14499999999999999</v>
      </c>
      <c r="AB3516">
        <v>3.2000000000000001E-2</v>
      </c>
      <c r="AC3516">
        <v>6</v>
      </c>
      <c r="AD3516" s="6">
        <v>50</v>
      </c>
      <c r="AE3516" s="6">
        <v>40</v>
      </c>
      <c r="AF3516" s="6">
        <v>0</v>
      </c>
      <c r="AG3516" s="6">
        <v>105.29</v>
      </c>
      <c r="AH3516" s="6">
        <v>132.18</v>
      </c>
      <c r="AI3516" s="6">
        <f t="shared" si="108"/>
        <v>26.89</v>
      </c>
      <c r="AJ3516" s="5">
        <f t="shared" si="109"/>
        <v>0.20343471024360721</v>
      </c>
    </row>
    <row r="3517" spans="1:36">
      <c r="A3517" t="s">
        <v>316</v>
      </c>
      <c r="B3517" t="s">
        <v>3802</v>
      </c>
      <c r="C3517" t="s">
        <v>140</v>
      </c>
      <c r="D3517" t="s">
        <v>60</v>
      </c>
      <c r="E3517" t="s">
        <v>69</v>
      </c>
      <c r="F3517">
        <v>0</v>
      </c>
      <c r="G3517">
        <v>1856</v>
      </c>
      <c r="H3517">
        <v>1.22</v>
      </c>
      <c r="I3517" t="s">
        <v>173</v>
      </c>
      <c r="J3517">
        <v>1</v>
      </c>
      <c r="K3517" s="6">
        <v>0.94</v>
      </c>
      <c r="L3517" t="s">
        <v>174</v>
      </c>
      <c r="M3517">
        <v>0</v>
      </c>
      <c r="N3517" t="s">
        <v>175</v>
      </c>
      <c r="O3517">
        <v>1</v>
      </c>
      <c r="P3517">
        <v>0</v>
      </c>
      <c r="Q3517" s="6">
        <v>20</v>
      </c>
      <c r="R3517">
        <v>0</v>
      </c>
      <c r="S3517" s="6">
        <v>0</v>
      </c>
      <c r="T3517">
        <v>0</v>
      </c>
      <c r="U3517" s="6">
        <v>1050</v>
      </c>
      <c r="V3517">
        <v>0</v>
      </c>
      <c r="W3517">
        <v>0</v>
      </c>
      <c r="X3517">
        <v>0</v>
      </c>
      <c r="Y3517" s="6">
        <v>46.5</v>
      </c>
      <c r="Z3517">
        <v>0.40699999999999997</v>
      </c>
      <c r="AA3517">
        <v>0.14499999999999999</v>
      </c>
      <c r="AB3517">
        <v>3.2000000000000001E-2</v>
      </c>
      <c r="AC3517">
        <v>6</v>
      </c>
      <c r="AD3517" s="6">
        <v>50</v>
      </c>
      <c r="AE3517" s="6">
        <v>0</v>
      </c>
      <c r="AF3517" s="6">
        <v>0</v>
      </c>
      <c r="AG3517" s="6">
        <v>57.31</v>
      </c>
      <c r="AH3517" s="6">
        <v>72.180000000000007</v>
      </c>
      <c r="AI3517" s="6">
        <f t="shared" si="108"/>
        <v>14.870000000000005</v>
      </c>
      <c r="AJ3517" s="5">
        <f t="shared" si="109"/>
        <v>0.20601274591299534</v>
      </c>
    </row>
    <row r="3518" spans="1:36">
      <c r="A3518" t="s">
        <v>185</v>
      </c>
      <c r="B3518" t="s">
        <v>3803</v>
      </c>
      <c r="C3518" t="s">
        <v>140</v>
      </c>
      <c r="D3518" t="s">
        <v>60</v>
      </c>
      <c r="E3518" t="s">
        <v>69</v>
      </c>
      <c r="F3518">
        <v>0</v>
      </c>
      <c r="G3518">
        <v>1856</v>
      </c>
      <c r="H3518">
        <v>1.22</v>
      </c>
      <c r="I3518" t="s">
        <v>173</v>
      </c>
      <c r="J3518">
        <v>1</v>
      </c>
      <c r="K3518" s="6">
        <v>0.76</v>
      </c>
      <c r="L3518" t="s">
        <v>174</v>
      </c>
      <c r="M3518">
        <v>0</v>
      </c>
      <c r="N3518" t="s">
        <v>182</v>
      </c>
      <c r="O3518">
        <v>3</v>
      </c>
      <c r="P3518">
        <v>0</v>
      </c>
      <c r="Q3518" s="6">
        <v>106.2</v>
      </c>
      <c r="R3518">
        <v>1</v>
      </c>
      <c r="S3518" s="6">
        <v>3268</v>
      </c>
      <c r="T3518">
        <v>0</v>
      </c>
      <c r="U3518" s="6">
        <v>1192</v>
      </c>
      <c r="V3518">
        <v>0</v>
      </c>
      <c r="W3518">
        <v>0</v>
      </c>
      <c r="X3518">
        <v>0</v>
      </c>
      <c r="Y3518" s="6">
        <v>46.5</v>
      </c>
      <c r="Z3518">
        <v>0.40699999999999997</v>
      </c>
      <c r="AA3518">
        <v>0.14499999999999999</v>
      </c>
      <c r="AB3518">
        <v>3.2000000000000001E-2</v>
      </c>
      <c r="AC3518">
        <v>6</v>
      </c>
      <c r="AD3518" s="6">
        <v>50</v>
      </c>
      <c r="AE3518" s="6">
        <v>40</v>
      </c>
      <c r="AF3518" s="6">
        <v>0</v>
      </c>
      <c r="AG3518" s="6">
        <v>68.97</v>
      </c>
      <c r="AH3518" s="6">
        <v>87.9</v>
      </c>
      <c r="AI3518" s="6">
        <f t="shared" si="108"/>
        <v>18.930000000000007</v>
      </c>
      <c r="AJ3518" s="5">
        <f t="shared" si="109"/>
        <v>0.2153583617747441</v>
      </c>
    </row>
    <row r="3519" spans="1:36">
      <c r="A3519" t="s">
        <v>481</v>
      </c>
      <c r="B3519" t="s">
        <v>3804</v>
      </c>
      <c r="C3519" t="s">
        <v>140</v>
      </c>
      <c r="D3519" t="s">
        <v>60</v>
      </c>
      <c r="E3519" t="s">
        <v>69</v>
      </c>
      <c r="F3519">
        <v>0</v>
      </c>
      <c r="G3519">
        <v>1856</v>
      </c>
      <c r="H3519">
        <v>1.22</v>
      </c>
      <c r="I3519" t="s">
        <v>173</v>
      </c>
      <c r="J3519">
        <v>1</v>
      </c>
      <c r="K3519" s="6">
        <v>1.8</v>
      </c>
      <c r="L3519" t="s">
        <v>200</v>
      </c>
      <c r="M3519">
        <v>1</v>
      </c>
      <c r="N3519" t="s">
        <v>187</v>
      </c>
      <c r="O3519">
        <v>2</v>
      </c>
      <c r="P3519">
        <v>0</v>
      </c>
      <c r="Q3519" s="6">
        <v>58.1</v>
      </c>
      <c r="R3519">
        <v>0</v>
      </c>
      <c r="S3519" s="6">
        <v>0</v>
      </c>
      <c r="T3519">
        <v>0</v>
      </c>
      <c r="U3519" s="6">
        <v>1947</v>
      </c>
      <c r="V3519">
        <v>0</v>
      </c>
      <c r="W3519">
        <v>0</v>
      </c>
      <c r="X3519">
        <v>0</v>
      </c>
      <c r="Y3519" s="6">
        <v>46.5</v>
      </c>
      <c r="Z3519">
        <v>0.40699999999999997</v>
      </c>
      <c r="AA3519">
        <v>0.14499999999999999</v>
      </c>
      <c r="AB3519">
        <v>3.2000000000000001E-2</v>
      </c>
      <c r="AC3519">
        <v>6</v>
      </c>
      <c r="AD3519" s="6">
        <v>99</v>
      </c>
      <c r="AE3519" s="6">
        <v>0</v>
      </c>
      <c r="AF3519" s="6">
        <v>0</v>
      </c>
      <c r="AG3519" s="6">
        <v>92.97</v>
      </c>
      <c r="AH3519" s="6">
        <v>119.63</v>
      </c>
      <c r="AI3519" s="6">
        <f t="shared" si="108"/>
        <v>26.659999999999997</v>
      </c>
      <c r="AJ3519" s="5">
        <f t="shared" si="109"/>
        <v>0.22285379921424389</v>
      </c>
    </row>
    <row r="3520" spans="1:36">
      <c r="A3520" t="s">
        <v>457</v>
      </c>
      <c r="B3520" t="s">
        <v>3805</v>
      </c>
      <c r="C3520" t="s">
        <v>140</v>
      </c>
      <c r="D3520" t="s">
        <v>60</v>
      </c>
      <c r="E3520" t="s">
        <v>69</v>
      </c>
      <c r="F3520">
        <v>0</v>
      </c>
      <c r="G3520">
        <v>1856</v>
      </c>
      <c r="H3520">
        <v>1</v>
      </c>
      <c r="I3520" t="s">
        <v>178</v>
      </c>
      <c r="J3520">
        <v>4</v>
      </c>
      <c r="K3520" s="6">
        <v>11.09</v>
      </c>
      <c r="L3520" t="s">
        <v>174</v>
      </c>
      <c r="M3520">
        <v>0</v>
      </c>
      <c r="N3520" t="s">
        <v>175</v>
      </c>
      <c r="O3520">
        <v>1</v>
      </c>
      <c r="P3520">
        <v>0</v>
      </c>
      <c r="Q3520" s="6">
        <v>30.9</v>
      </c>
      <c r="R3520">
        <v>1</v>
      </c>
      <c r="S3520" s="6">
        <v>3936</v>
      </c>
      <c r="T3520">
        <v>0</v>
      </c>
      <c r="U3520" s="6">
        <v>930</v>
      </c>
      <c r="V3520">
        <v>0</v>
      </c>
      <c r="W3520">
        <v>0</v>
      </c>
      <c r="X3520">
        <v>0</v>
      </c>
      <c r="Y3520" s="6">
        <v>46.5</v>
      </c>
      <c r="Z3520">
        <v>0.40699999999999997</v>
      </c>
      <c r="AA3520">
        <v>0.14499999999999999</v>
      </c>
      <c r="AB3520">
        <v>3.2000000000000001E-2</v>
      </c>
      <c r="AC3520">
        <v>6</v>
      </c>
      <c r="AD3520" s="6">
        <v>65</v>
      </c>
      <c r="AE3520" s="6">
        <v>40</v>
      </c>
      <c r="AF3520" s="6">
        <v>0</v>
      </c>
      <c r="AG3520" s="6">
        <v>123.44</v>
      </c>
      <c r="AH3520" s="6">
        <v>154.35</v>
      </c>
      <c r="AI3520" s="6">
        <f t="shared" si="108"/>
        <v>30.909999999999997</v>
      </c>
      <c r="AJ3520" s="5">
        <f t="shared" si="109"/>
        <v>0.20025915127955943</v>
      </c>
    </row>
    <row r="3521" spans="1:36">
      <c r="A3521" t="s">
        <v>255</v>
      </c>
      <c r="B3521" t="s">
        <v>3806</v>
      </c>
      <c r="C3521" t="s">
        <v>140</v>
      </c>
      <c r="D3521" t="s">
        <v>60</v>
      </c>
      <c r="E3521" t="s">
        <v>69</v>
      </c>
      <c r="F3521">
        <v>0</v>
      </c>
      <c r="G3521">
        <v>1856</v>
      </c>
      <c r="H3521">
        <v>1.22</v>
      </c>
      <c r="I3521" t="s">
        <v>173</v>
      </c>
      <c r="J3521">
        <v>1</v>
      </c>
      <c r="K3521" s="6">
        <v>2.2200000000000002</v>
      </c>
      <c r="L3521" t="s">
        <v>174</v>
      </c>
      <c r="M3521">
        <v>0</v>
      </c>
      <c r="N3521" t="s">
        <v>187</v>
      </c>
      <c r="O3521">
        <v>2</v>
      </c>
      <c r="P3521">
        <v>0</v>
      </c>
      <c r="Q3521" s="6">
        <v>75.8</v>
      </c>
      <c r="R3521">
        <v>1</v>
      </c>
      <c r="S3521" s="6">
        <v>2086</v>
      </c>
      <c r="T3521">
        <v>0</v>
      </c>
      <c r="U3521" s="6">
        <v>3639</v>
      </c>
      <c r="V3521">
        <v>0</v>
      </c>
      <c r="W3521">
        <v>0</v>
      </c>
      <c r="X3521">
        <v>0</v>
      </c>
      <c r="Y3521" s="6">
        <v>46.5</v>
      </c>
      <c r="Z3521">
        <v>0.40699999999999997</v>
      </c>
      <c r="AA3521">
        <v>0.14499999999999999</v>
      </c>
      <c r="AB3521">
        <v>3.2000000000000001E-2</v>
      </c>
      <c r="AC3521">
        <v>6</v>
      </c>
      <c r="AD3521" s="6">
        <v>50</v>
      </c>
      <c r="AE3521" s="6">
        <v>40</v>
      </c>
      <c r="AF3521" s="6">
        <v>0</v>
      </c>
      <c r="AG3521" s="6">
        <v>64.28</v>
      </c>
      <c r="AH3521" s="6">
        <v>82.47</v>
      </c>
      <c r="AI3521" s="6">
        <f t="shared" si="108"/>
        <v>18.189999999999998</v>
      </c>
      <c r="AJ3521" s="5">
        <f t="shared" si="109"/>
        <v>0.22056505395901538</v>
      </c>
    </row>
    <row r="3522" spans="1:36">
      <c r="A3522" t="s">
        <v>223</v>
      </c>
      <c r="B3522" t="s">
        <v>3807</v>
      </c>
      <c r="C3522" t="s">
        <v>140</v>
      </c>
      <c r="D3522" t="s">
        <v>60</v>
      </c>
      <c r="E3522" t="s">
        <v>69</v>
      </c>
      <c r="F3522">
        <v>0</v>
      </c>
      <c r="G3522">
        <v>1856</v>
      </c>
      <c r="H3522">
        <v>1</v>
      </c>
      <c r="I3522" t="s">
        <v>173</v>
      </c>
      <c r="J3522">
        <v>1</v>
      </c>
      <c r="K3522" s="6">
        <v>1.94</v>
      </c>
      <c r="L3522" t="s">
        <v>174</v>
      </c>
      <c r="M3522">
        <v>0</v>
      </c>
      <c r="N3522" t="s">
        <v>175</v>
      </c>
      <c r="O3522">
        <v>1</v>
      </c>
      <c r="P3522">
        <v>0</v>
      </c>
      <c r="Q3522" s="6">
        <v>40.6</v>
      </c>
      <c r="R3522">
        <v>0</v>
      </c>
      <c r="S3522" s="6">
        <v>0</v>
      </c>
      <c r="T3522">
        <v>0</v>
      </c>
      <c r="U3522" s="6">
        <v>979</v>
      </c>
      <c r="V3522">
        <v>0</v>
      </c>
      <c r="W3522">
        <v>0</v>
      </c>
      <c r="X3522">
        <v>0</v>
      </c>
      <c r="Y3522" s="6">
        <v>46.5</v>
      </c>
      <c r="Z3522">
        <v>0.40699999999999997</v>
      </c>
      <c r="AA3522">
        <v>0.14499999999999999</v>
      </c>
      <c r="AB3522">
        <v>3.2000000000000001E-2</v>
      </c>
      <c r="AC3522">
        <v>6</v>
      </c>
      <c r="AD3522" s="6">
        <v>50</v>
      </c>
      <c r="AE3522" s="6">
        <v>0</v>
      </c>
      <c r="AF3522" s="6">
        <v>0</v>
      </c>
      <c r="AG3522" s="6">
        <v>46.44</v>
      </c>
      <c r="AH3522" s="6">
        <v>59</v>
      </c>
      <c r="AI3522" s="6">
        <f t="shared" ref="AI3522:AI3585" si="110">AH3522-AG3522</f>
        <v>12.560000000000002</v>
      </c>
      <c r="AJ3522" s="5">
        <f t="shared" ref="AJ3522:AJ3585" si="111">IFERROR(AI3522/AH3522,0)</f>
        <v>0.21288135593220342</v>
      </c>
    </row>
    <row r="3523" spans="1:36">
      <c r="A3523" t="s">
        <v>765</v>
      </c>
      <c r="B3523" t="s">
        <v>3808</v>
      </c>
      <c r="C3523" t="s">
        <v>140</v>
      </c>
      <c r="D3523" t="s">
        <v>60</v>
      </c>
      <c r="E3523" t="s">
        <v>69</v>
      </c>
      <c r="F3523">
        <v>0</v>
      </c>
      <c r="G3523">
        <v>1856</v>
      </c>
      <c r="H3523">
        <v>1.22</v>
      </c>
      <c r="I3523" t="s">
        <v>173</v>
      </c>
      <c r="J3523">
        <v>1</v>
      </c>
      <c r="K3523" s="6">
        <v>0.99</v>
      </c>
      <c r="L3523" t="s">
        <v>200</v>
      </c>
      <c r="M3523">
        <v>1</v>
      </c>
      <c r="N3523" t="s">
        <v>175</v>
      </c>
      <c r="O3523">
        <v>1</v>
      </c>
      <c r="P3523">
        <v>0</v>
      </c>
      <c r="Q3523" s="6">
        <v>29.7</v>
      </c>
      <c r="R3523">
        <v>0</v>
      </c>
      <c r="S3523" s="6">
        <v>0</v>
      </c>
      <c r="T3523">
        <v>0</v>
      </c>
      <c r="U3523" s="6">
        <v>3106</v>
      </c>
      <c r="V3523">
        <v>0</v>
      </c>
      <c r="W3523">
        <v>0</v>
      </c>
      <c r="X3523">
        <v>0</v>
      </c>
      <c r="Y3523" s="6">
        <v>46.5</v>
      </c>
      <c r="Z3523">
        <v>0.40699999999999997</v>
      </c>
      <c r="AA3523">
        <v>0.14499999999999999</v>
      </c>
      <c r="AB3523">
        <v>3.2000000000000001E-2</v>
      </c>
      <c r="AC3523">
        <v>6</v>
      </c>
      <c r="AD3523" s="6">
        <v>99</v>
      </c>
      <c r="AE3523" s="6">
        <v>0</v>
      </c>
      <c r="AF3523" s="6">
        <v>0</v>
      </c>
      <c r="AG3523" s="6">
        <v>82.37</v>
      </c>
      <c r="AH3523" s="6">
        <v>104.24</v>
      </c>
      <c r="AI3523" s="6">
        <f t="shared" si="110"/>
        <v>21.86999999999999</v>
      </c>
      <c r="AJ3523" s="5">
        <f t="shared" si="111"/>
        <v>0.20980429777436677</v>
      </c>
    </row>
    <row r="3524" spans="1:36">
      <c r="A3524" t="s">
        <v>319</v>
      </c>
      <c r="B3524" t="s">
        <v>3809</v>
      </c>
      <c r="C3524" t="s">
        <v>140</v>
      </c>
      <c r="D3524" t="s">
        <v>60</v>
      </c>
      <c r="E3524" t="s">
        <v>69</v>
      </c>
      <c r="F3524">
        <v>0</v>
      </c>
      <c r="G3524">
        <v>1856</v>
      </c>
      <c r="H3524">
        <v>1.22</v>
      </c>
      <c r="I3524" t="s">
        <v>173</v>
      </c>
      <c r="J3524">
        <v>1</v>
      </c>
      <c r="K3524" s="6">
        <v>2.2000000000000002</v>
      </c>
      <c r="L3524" t="s">
        <v>174</v>
      </c>
      <c r="M3524">
        <v>0</v>
      </c>
      <c r="N3524" t="s">
        <v>182</v>
      </c>
      <c r="O3524">
        <v>3</v>
      </c>
      <c r="P3524">
        <v>1</v>
      </c>
      <c r="Q3524" s="6">
        <v>112.3</v>
      </c>
      <c r="R3524">
        <v>0</v>
      </c>
      <c r="S3524" s="6">
        <v>0</v>
      </c>
      <c r="T3524">
        <v>0</v>
      </c>
      <c r="U3524" s="6">
        <v>5404</v>
      </c>
      <c r="V3524">
        <v>0</v>
      </c>
      <c r="W3524">
        <v>0</v>
      </c>
      <c r="X3524">
        <v>0</v>
      </c>
      <c r="Y3524" s="6">
        <v>46.5</v>
      </c>
      <c r="Z3524">
        <v>0.40699999999999997</v>
      </c>
      <c r="AA3524">
        <v>0.14499999999999999</v>
      </c>
      <c r="AB3524">
        <v>3.2000000000000001E-2</v>
      </c>
      <c r="AC3524">
        <v>6</v>
      </c>
      <c r="AD3524" s="6">
        <v>50</v>
      </c>
      <c r="AE3524" s="6">
        <v>0</v>
      </c>
      <c r="AF3524" s="6">
        <v>0</v>
      </c>
      <c r="AG3524" s="6">
        <v>89.29</v>
      </c>
      <c r="AH3524" s="6">
        <v>112.89</v>
      </c>
      <c r="AI3524" s="6">
        <f t="shared" si="110"/>
        <v>23.599999999999994</v>
      </c>
      <c r="AJ3524" s="5">
        <f t="shared" si="111"/>
        <v>0.20905306050137296</v>
      </c>
    </row>
    <row r="3525" spans="1:36">
      <c r="A3525" t="s">
        <v>206</v>
      </c>
      <c r="B3525" t="s">
        <v>3810</v>
      </c>
      <c r="C3525" t="s">
        <v>140</v>
      </c>
      <c r="D3525" t="s">
        <v>60</v>
      </c>
      <c r="E3525" t="s">
        <v>69</v>
      </c>
      <c r="F3525">
        <v>0</v>
      </c>
      <c r="G3525">
        <v>1856</v>
      </c>
      <c r="H3525">
        <v>1.22</v>
      </c>
      <c r="I3525" t="s">
        <v>181</v>
      </c>
      <c r="J3525">
        <v>3</v>
      </c>
      <c r="K3525" s="6">
        <v>11.04</v>
      </c>
      <c r="L3525" t="s">
        <v>200</v>
      </c>
      <c r="M3525">
        <v>1</v>
      </c>
      <c r="N3525" t="s">
        <v>175</v>
      </c>
      <c r="O3525">
        <v>1</v>
      </c>
      <c r="P3525">
        <v>0</v>
      </c>
      <c r="Q3525" s="6">
        <v>24.5</v>
      </c>
      <c r="R3525">
        <v>0</v>
      </c>
      <c r="S3525" s="6">
        <v>0</v>
      </c>
      <c r="T3525">
        <v>0</v>
      </c>
      <c r="U3525" s="6">
        <v>2065</v>
      </c>
      <c r="V3525">
        <v>0</v>
      </c>
      <c r="W3525">
        <v>0</v>
      </c>
      <c r="X3525">
        <v>0</v>
      </c>
      <c r="Y3525" s="6">
        <v>46.5</v>
      </c>
      <c r="Z3525">
        <v>0.40699999999999997</v>
      </c>
      <c r="AA3525">
        <v>0.14499999999999999</v>
      </c>
      <c r="AB3525">
        <v>3.2000000000000001E-2</v>
      </c>
      <c r="AC3525">
        <v>6</v>
      </c>
      <c r="AD3525" s="6">
        <v>139</v>
      </c>
      <c r="AE3525" s="6">
        <v>0</v>
      </c>
      <c r="AF3525" s="6">
        <v>0</v>
      </c>
      <c r="AG3525" s="6">
        <v>136.52000000000001</v>
      </c>
      <c r="AH3525" s="6">
        <v>171.43</v>
      </c>
      <c r="AI3525" s="6">
        <f t="shared" si="110"/>
        <v>34.909999999999997</v>
      </c>
      <c r="AJ3525" s="5">
        <f t="shared" si="111"/>
        <v>0.20363996966691941</v>
      </c>
    </row>
    <row r="3526" spans="1:36">
      <c r="A3526" t="s">
        <v>198</v>
      </c>
      <c r="B3526" t="s">
        <v>3811</v>
      </c>
      <c r="C3526" t="s">
        <v>140</v>
      </c>
      <c r="D3526" t="s">
        <v>60</v>
      </c>
      <c r="E3526" t="s">
        <v>69</v>
      </c>
      <c r="F3526">
        <v>0</v>
      </c>
      <c r="G3526">
        <v>1856</v>
      </c>
      <c r="H3526">
        <v>1</v>
      </c>
      <c r="I3526" t="s">
        <v>173</v>
      </c>
      <c r="J3526">
        <v>1</v>
      </c>
      <c r="K3526" s="6">
        <v>1.62</v>
      </c>
      <c r="L3526" t="s">
        <v>200</v>
      </c>
      <c r="M3526">
        <v>1</v>
      </c>
      <c r="N3526" t="s">
        <v>175</v>
      </c>
      <c r="O3526">
        <v>1</v>
      </c>
      <c r="P3526">
        <v>0</v>
      </c>
      <c r="Q3526" s="6">
        <v>40.1</v>
      </c>
      <c r="R3526">
        <v>1</v>
      </c>
      <c r="S3526" s="6">
        <v>2574</v>
      </c>
      <c r="T3526">
        <v>0</v>
      </c>
      <c r="U3526" s="6">
        <v>5298</v>
      </c>
      <c r="V3526">
        <v>0</v>
      </c>
      <c r="W3526">
        <v>0</v>
      </c>
      <c r="X3526">
        <v>0</v>
      </c>
      <c r="Y3526" s="6">
        <v>46.5</v>
      </c>
      <c r="Z3526">
        <v>0.40699999999999997</v>
      </c>
      <c r="AA3526">
        <v>0.14499999999999999</v>
      </c>
      <c r="AB3526">
        <v>3.2000000000000001E-2</v>
      </c>
      <c r="AC3526">
        <v>6</v>
      </c>
      <c r="AD3526" s="6">
        <v>99</v>
      </c>
      <c r="AE3526" s="6">
        <v>40</v>
      </c>
      <c r="AF3526" s="6">
        <v>0</v>
      </c>
      <c r="AG3526" s="6">
        <v>82.89</v>
      </c>
      <c r="AH3526" s="6">
        <v>107.21</v>
      </c>
      <c r="AI3526" s="6">
        <f t="shared" si="110"/>
        <v>24.319999999999993</v>
      </c>
      <c r="AJ3526" s="5">
        <f t="shared" si="111"/>
        <v>0.22684451077324871</v>
      </c>
    </row>
    <row r="3527" spans="1:36">
      <c r="A3527" t="s">
        <v>345</v>
      </c>
      <c r="B3527" t="s">
        <v>3812</v>
      </c>
      <c r="C3527" t="s">
        <v>140</v>
      </c>
      <c r="D3527" t="s">
        <v>60</v>
      </c>
      <c r="E3527" t="s">
        <v>69</v>
      </c>
      <c r="F3527">
        <v>0</v>
      </c>
      <c r="G3527">
        <v>1856</v>
      </c>
      <c r="H3527">
        <v>1</v>
      </c>
      <c r="I3527" t="s">
        <v>173</v>
      </c>
      <c r="J3527">
        <v>1</v>
      </c>
      <c r="K3527" s="6">
        <v>1.78</v>
      </c>
      <c r="L3527" t="s">
        <v>200</v>
      </c>
      <c r="M3527">
        <v>1</v>
      </c>
      <c r="N3527" t="s">
        <v>182</v>
      </c>
      <c r="O3527">
        <v>3</v>
      </c>
      <c r="P3527">
        <v>0</v>
      </c>
      <c r="Q3527" s="6">
        <v>72.599999999999994</v>
      </c>
      <c r="R3527">
        <v>1</v>
      </c>
      <c r="S3527" s="6">
        <v>810</v>
      </c>
      <c r="T3527">
        <v>0</v>
      </c>
      <c r="U3527" s="6">
        <v>1192</v>
      </c>
      <c r="V3527">
        <v>0</v>
      </c>
      <c r="W3527">
        <v>0</v>
      </c>
      <c r="X3527">
        <v>0</v>
      </c>
      <c r="Y3527" s="6">
        <v>46.5</v>
      </c>
      <c r="Z3527">
        <v>0.40699999999999997</v>
      </c>
      <c r="AA3527">
        <v>0.14499999999999999</v>
      </c>
      <c r="AB3527">
        <v>3.2000000000000001E-2</v>
      </c>
      <c r="AC3527">
        <v>6</v>
      </c>
      <c r="AD3527" s="6">
        <v>99</v>
      </c>
      <c r="AE3527" s="6">
        <v>25</v>
      </c>
      <c r="AF3527" s="6">
        <v>0</v>
      </c>
      <c r="AG3527" s="6">
        <v>95.3</v>
      </c>
      <c r="AH3527" s="6">
        <v>121.86</v>
      </c>
      <c r="AI3527" s="6">
        <f t="shared" si="110"/>
        <v>26.560000000000002</v>
      </c>
      <c r="AJ3527" s="5">
        <f t="shared" si="111"/>
        <v>0.21795503036271133</v>
      </c>
    </row>
    <row r="3528" spans="1:36">
      <c r="A3528" t="s">
        <v>300</v>
      </c>
      <c r="B3528" t="s">
        <v>3813</v>
      </c>
      <c r="C3528" t="s">
        <v>140</v>
      </c>
      <c r="D3528" t="s">
        <v>60</v>
      </c>
      <c r="E3528" t="s">
        <v>69</v>
      </c>
      <c r="F3528">
        <v>0</v>
      </c>
      <c r="G3528">
        <v>1856</v>
      </c>
      <c r="H3528">
        <v>1.22</v>
      </c>
      <c r="I3528" t="s">
        <v>173</v>
      </c>
      <c r="J3528">
        <v>1</v>
      </c>
      <c r="K3528" s="6">
        <v>1.58</v>
      </c>
      <c r="L3528" t="s">
        <v>200</v>
      </c>
      <c r="M3528">
        <v>1</v>
      </c>
      <c r="N3528" t="s">
        <v>175</v>
      </c>
      <c r="O3528">
        <v>1</v>
      </c>
      <c r="P3528">
        <v>0</v>
      </c>
      <c r="Q3528" s="6">
        <v>38.5</v>
      </c>
      <c r="R3528">
        <v>1</v>
      </c>
      <c r="S3528" s="6">
        <v>1514</v>
      </c>
      <c r="T3528">
        <v>0</v>
      </c>
      <c r="U3528" s="6">
        <v>1612</v>
      </c>
      <c r="V3528">
        <v>0</v>
      </c>
      <c r="W3528">
        <v>0</v>
      </c>
      <c r="X3528">
        <v>0</v>
      </c>
      <c r="Y3528" s="6">
        <v>46.5</v>
      </c>
      <c r="Z3528">
        <v>0.40699999999999997</v>
      </c>
      <c r="AA3528">
        <v>0.14499999999999999</v>
      </c>
      <c r="AB3528">
        <v>3.2000000000000001E-2</v>
      </c>
      <c r="AC3528">
        <v>6</v>
      </c>
      <c r="AD3528" s="6">
        <v>99</v>
      </c>
      <c r="AE3528" s="6">
        <v>25</v>
      </c>
      <c r="AF3528" s="6">
        <v>0</v>
      </c>
      <c r="AG3528" s="6">
        <v>87.56</v>
      </c>
      <c r="AH3528" s="6">
        <v>109.84</v>
      </c>
      <c r="AI3528" s="6">
        <f t="shared" si="110"/>
        <v>22.28</v>
      </c>
      <c r="AJ3528" s="5">
        <f t="shared" si="111"/>
        <v>0.20284049526584122</v>
      </c>
    </row>
    <row r="3529" spans="1:36">
      <c r="A3529" t="s">
        <v>236</v>
      </c>
      <c r="B3529" t="s">
        <v>3814</v>
      </c>
      <c r="C3529" t="s">
        <v>140</v>
      </c>
      <c r="D3529" t="s">
        <v>60</v>
      </c>
      <c r="E3529" t="s">
        <v>69</v>
      </c>
      <c r="F3529">
        <v>0</v>
      </c>
      <c r="G3529">
        <v>1856</v>
      </c>
      <c r="H3529">
        <v>1</v>
      </c>
      <c r="I3529" t="s">
        <v>181</v>
      </c>
      <c r="J3529">
        <v>3</v>
      </c>
      <c r="K3529" s="6">
        <v>11.38</v>
      </c>
      <c r="L3529" t="s">
        <v>174</v>
      </c>
      <c r="M3529">
        <v>0</v>
      </c>
      <c r="N3529" t="s">
        <v>175</v>
      </c>
      <c r="O3529">
        <v>1</v>
      </c>
      <c r="P3529">
        <v>0</v>
      </c>
      <c r="Q3529" s="6">
        <v>40.6</v>
      </c>
      <c r="R3529">
        <v>1</v>
      </c>
      <c r="S3529" s="6">
        <v>996</v>
      </c>
      <c r="T3529">
        <v>0</v>
      </c>
      <c r="U3529" s="6">
        <v>2238</v>
      </c>
      <c r="V3529">
        <v>0</v>
      </c>
      <c r="W3529">
        <v>0</v>
      </c>
      <c r="X3529">
        <v>0</v>
      </c>
      <c r="Y3529" s="6">
        <v>46.5</v>
      </c>
      <c r="Z3529">
        <v>0.40699999999999997</v>
      </c>
      <c r="AA3529">
        <v>0.14499999999999999</v>
      </c>
      <c r="AB3529">
        <v>3.2000000000000001E-2</v>
      </c>
      <c r="AC3529">
        <v>6</v>
      </c>
      <c r="AD3529" s="6">
        <v>60</v>
      </c>
      <c r="AE3529" s="6">
        <v>25</v>
      </c>
      <c r="AF3529" s="6">
        <v>0</v>
      </c>
      <c r="AG3529" s="6">
        <v>109.4</v>
      </c>
      <c r="AH3529" s="6">
        <v>138.86000000000001</v>
      </c>
      <c r="AI3529" s="6">
        <f t="shared" si="110"/>
        <v>29.460000000000008</v>
      </c>
      <c r="AJ3529" s="5">
        <f t="shared" si="111"/>
        <v>0.21215612847472279</v>
      </c>
    </row>
    <row r="3530" spans="1:36">
      <c r="A3530" t="s">
        <v>362</v>
      </c>
      <c r="B3530" t="s">
        <v>3815</v>
      </c>
      <c r="C3530" t="s">
        <v>140</v>
      </c>
      <c r="D3530" t="s">
        <v>60</v>
      </c>
      <c r="E3530" t="s">
        <v>69</v>
      </c>
      <c r="F3530">
        <v>0</v>
      </c>
      <c r="G3530">
        <v>1856</v>
      </c>
      <c r="H3530">
        <v>1</v>
      </c>
      <c r="I3530" t="s">
        <v>173</v>
      </c>
      <c r="J3530">
        <v>1</v>
      </c>
      <c r="K3530" s="6">
        <v>2.11</v>
      </c>
      <c r="L3530" t="s">
        <v>200</v>
      </c>
      <c r="M3530">
        <v>1</v>
      </c>
      <c r="N3530" t="s">
        <v>182</v>
      </c>
      <c r="O3530">
        <v>3</v>
      </c>
      <c r="P3530">
        <v>0</v>
      </c>
      <c r="Q3530" s="6">
        <v>97</v>
      </c>
      <c r="R3530">
        <v>0</v>
      </c>
      <c r="S3530" s="6">
        <v>0</v>
      </c>
      <c r="T3530">
        <v>0</v>
      </c>
      <c r="U3530" s="6">
        <v>1262</v>
      </c>
      <c r="V3530">
        <v>0</v>
      </c>
      <c r="W3530">
        <v>0</v>
      </c>
      <c r="X3530">
        <v>0</v>
      </c>
      <c r="Y3530" s="6">
        <v>46.5</v>
      </c>
      <c r="Z3530">
        <v>0.40699999999999997</v>
      </c>
      <c r="AA3530">
        <v>0.14499999999999999</v>
      </c>
      <c r="AB3530">
        <v>3.2000000000000001E-2</v>
      </c>
      <c r="AC3530">
        <v>6</v>
      </c>
      <c r="AD3530" s="6">
        <v>99</v>
      </c>
      <c r="AE3530" s="6">
        <v>0</v>
      </c>
      <c r="AF3530" s="6">
        <v>0</v>
      </c>
      <c r="AG3530" s="6">
        <v>89.45</v>
      </c>
      <c r="AH3530" s="6">
        <v>112.5</v>
      </c>
      <c r="AI3530" s="6">
        <f t="shared" si="110"/>
        <v>23.049999999999997</v>
      </c>
      <c r="AJ3530" s="5">
        <f t="shared" si="111"/>
        <v>0.20488888888888887</v>
      </c>
    </row>
    <row r="3531" spans="1:36">
      <c r="A3531" t="s">
        <v>261</v>
      </c>
      <c r="B3531" t="s">
        <v>3816</v>
      </c>
      <c r="C3531" t="s">
        <v>140</v>
      </c>
      <c r="D3531" t="s">
        <v>60</v>
      </c>
      <c r="E3531" t="s">
        <v>69</v>
      </c>
      <c r="F3531">
        <v>0</v>
      </c>
      <c r="G3531">
        <v>1856</v>
      </c>
      <c r="H3531">
        <v>1</v>
      </c>
      <c r="I3531" t="s">
        <v>178</v>
      </c>
      <c r="J3531">
        <v>4</v>
      </c>
      <c r="K3531" s="6">
        <v>14.97</v>
      </c>
      <c r="L3531" t="s">
        <v>174</v>
      </c>
      <c r="M3531">
        <v>0</v>
      </c>
      <c r="N3531" t="s">
        <v>217</v>
      </c>
      <c r="O3531">
        <v>4</v>
      </c>
      <c r="P3531">
        <v>1</v>
      </c>
      <c r="Q3531" s="6">
        <v>207.2</v>
      </c>
      <c r="R3531">
        <v>0</v>
      </c>
      <c r="S3531" s="6">
        <v>0</v>
      </c>
      <c r="T3531">
        <v>0</v>
      </c>
      <c r="U3531" s="6">
        <v>961</v>
      </c>
      <c r="V3531">
        <v>0</v>
      </c>
      <c r="W3531">
        <v>0</v>
      </c>
      <c r="X3531">
        <v>0</v>
      </c>
      <c r="Y3531" s="6">
        <v>46.5</v>
      </c>
      <c r="Z3531">
        <v>0.40699999999999997</v>
      </c>
      <c r="AA3531">
        <v>0.14499999999999999</v>
      </c>
      <c r="AB3531">
        <v>3.2000000000000001E-2</v>
      </c>
      <c r="AC3531">
        <v>6</v>
      </c>
      <c r="AD3531" s="6">
        <v>65</v>
      </c>
      <c r="AE3531" s="6">
        <v>0</v>
      </c>
      <c r="AF3531" s="6">
        <v>0</v>
      </c>
      <c r="AG3531" s="6">
        <v>179.93</v>
      </c>
      <c r="AH3531" s="6">
        <v>227.9</v>
      </c>
      <c r="AI3531" s="6">
        <f t="shared" si="110"/>
        <v>47.97</v>
      </c>
      <c r="AJ3531" s="5">
        <f t="shared" si="111"/>
        <v>0.21048705572619569</v>
      </c>
    </row>
    <row r="3532" spans="1:36">
      <c r="A3532" t="s">
        <v>253</v>
      </c>
      <c r="B3532" t="s">
        <v>3817</v>
      </c>
      <c r="C3532" t="s">
        <v>140</v>
      </c>
      <c r="D3532" t="s">
        <v>60</v>
      </c>
      <c r="E3532" t="s">
        <v>69</v>
      </c>
      <c r="F3532">
        <v>0</v>
      </c>
      <c r="G3532">
        <v>1856</v>
      </c>
      <c r="H3532">
        <v>1</v>
      </c>
      <c r="I3532" t="s">
        <v>173</v>
      </c>
      <c r="J3532">
        <v>1</v>
      </c>
      <c r="K3532" s="6">
        <v>2.65</v>
      </c>
      <c r="L3532" t="s">
        <v>200</v>
      </c>
      <c r="M3532">
        <v>1</v>
      </c>
      <c r="N3532" t="s">
        <v>175</v>
      </c>
      <c r="O3532">
        <v>1</v>
      </c>
      <c r="P3532">
        <v>0</v>
      </c>
      <c r="Q3532" s="6">
        <v>40.200000000000003</v>
      </c>
      <c r="R3532">
        <v>0</v>
      </c>
      <c r="S3532" s="6">
        <v>0</v>
      </c>
      <c r="T3532">
        <v>0</v>
      </c>
      <c r="U3532" s="6">
        <v>2604</v>
      </c>
      <c r="V3532">
        <v>0</v>
      </c>
      <c r="W3532">
        <v>0</v>
      </c>
      <c r="X3532">
        <v>0</v>
      </c>
      <c r="Y3532" s="6">
        <v>46.5</v>
      </c>
      <c r="Z3532">
        <v>0.40699999999999997</v>
      </c>
      <c r="AA3532">
        <v>0.14499999999999999</v>
      </c>
      <c r="AB3532">
        <v>3.2000000000000001E-2</v>
      </c>
      <c r="AC3532">
        <v>6</v>
      </c>
      <c r="AD3532" s="6">
        <v>99</v>
      </c>
      <c r="AE3532" s="6">
        <v>0</v>
      </c>
      <c r="AF3532" s="6">
        <v>0</v>
      </c>
      <c r="AG3532" s="6">
        <v>81.400000000000006</v>
      </c>
      <c r="AH3532" s="6">
        <v>104.35</v>
      </c>
      <c r="AI3532" s="6">
        <f t="shared" si="110"/>
        <v>22.949999999999989</v>
      </c>
      <c r="AJ3532" s="5">
        <f t="shared" si="111"/>
        <v>0.21993291806420689</v>
      </c>
    </row>
    <row r="3533" spans="1:36">
      <c r="A3533" t="s">
        <v>279</v>
      </c>
      <c r="B3533" t="s">
        <v>3818</v>
      </c>
      <c r="C3533" t="s">
        <v>140</v>
      </c>
      <c r="D3533" t="s">
        <v>60</v>
      </c>
      <c r="E3533" t="s">
        <v>69</v>
      </c>
      <c r="F3533">
        <v>0</v>
      </c>
      <c r="G3533">
        <v>1856</v>
      </c>
      <c r="H3533">
        <v>1.22</v>
      </c>
      <c r="I3533" t="s">
        <v>220</v>
      </c>
      <c r="J3533">
        <v>2</v>
      </c>
      <c r="K3533" s="6">
        <v>5.54</v>
      </c>
      <c r="L3533" t="s">
        <v>174</v>
      </c>
      <c r="M3533">
        <v>0</v>
      </c>
      <c r="N3533" t="s">
        <v>187</v>
      </c>
      <c r="O3533">
        <v>2</v>
      </c>
      <c r="P3533">
        <v>0</v>
      </c>
      <c r="Q3533" s="6">
        <v>47</v>
      </c>
      <c r="R3533">
        <v>1</v>
      </c>
      <c r="S3533" s="6">
        <v>4640</v>
      </c>
      <c r="T3533">
        <v>0</v>
      </c>
      <c r="U3533" s="6">
        <v>2304</v>
      </c>
      <c r="V3533">
        <v>0</v>
      </c>
      <c r="W3533">
        <v>0</v>
      </c>
      <c r="X3533">
        <v>0</v>
      </c>
      <c r="Y3533" s="6">
        <v>46.5</v>
      </c>
      <c r="Z3533">
        <v>0.40699999999999997</v>
      </c>
      <c r="AA3533">
        <v>0.14499999999999999</v>
      </c>
      <c r="AB3533">
        <v>3.2000000000000001E-2</v>
      </c>
      <c r="AC3533">
        <v>6</v>
      </c>
      <c r="AD3533" s="6">
        <v>50</v>
      </c>
      <c r="AE3533" s="6">
        <v>40</v>
      </c>
      <c r="AF3533" s="6">
        <v>0</v>
      </c>
      <c r="AG3533" s="6">
        <v>75.900000000000006</v>
      </c>
      <c r="AH3533" s="6">
        <v>98.31</v>
      </c>
      <c r="AI3533" s="6">
        <f t="shared" si="110"/>
        <v>22.409999999999997</v>
      </c>
      <c r="AJ3533" s="5">
        <f t="shared" si="111"/>
        <v>0.22795239548367405</v>
      </c>
    </row>
    <row r="3534" spans="1:36">
      <c r="A3534" t="s">
        <v>286</v>
      </c>
      <c r="B3534" t="s">
        <v>3819</v>
      </c>
      <c r="C3534" t="s">
        <v>140</v>
      </c>
      <c r="D3534" t="s">
        <v>60</v>
      </c>
      <c r="E3534" t="s">
        <v>69</v>
      </c>
      <c r="F3534">
        <v>0</v>
      </c>
      <c r="G3534">
        <v>1856</v>
      </c>
      <c r="H3534">
        <v>1.22</v>
      </c>
      <c r="I3534" t="s">
        <v>173</v>
      </c>
      <c r="J3534">
        <v>1</v>
      </c>
      <c r="K3534" s="6">
        <v>2.25</v>
      </c>
      <c r="L3534" t="s">
        <v>174</v>
      </c>
      <c r="M3534">
        <v>0</v>
      </c>
      <c r="N3534" t="s">
        <v>187</v>
      </c>
      <c r="O3534">
        <v>2</v>
      </c>
      <c r="P3534">
        <v>0</v>
      </c>
      <c r="Q3534" s="6">
        <v>70.599999999999994</v>
      </c>
      <c r="R3534">
        <v>0</v>
      </c>
      <c r="S3534" s="6">
        <v>0</v>
      </c>
      <c r="T3534">
        <v>0</v>
      </c>
      <c r="U3534" s="6">
        <v>3860</v>
      </c>
      <c r="V3534">
        <v>1</v>
      </c>
      <c r="W3534">
        <v>0</v>
      </c>
      <c r="X3534">
        <v>0</v>
      </c>
      <c r="Y3534" s="6">
        <v>46.5</v>
      </c>
      <c r="Z3534">
        <v>0.40699999999999997</v>
      </c>
      <c r="AA3534">
        <v>0.14499999999999999</v>
      </c>
      <c r="AB3534">
        <v>3.2000000000000001E-2</v>
      </c>
      <c r="AC3534">
        <v>6</v>
      </c>
      <c r="AD3534" s="6">
        <v>50</v>
      </c>
      <c r="AE3534" s="6">
        <v>0</v>
      </c>
      <c r="AF3534" s="6">
        <v>0</v>
      </c>
      <c r="AG3534" s="6">
        <v>103.42</v>
      </c>
      <c r="AH3534" s="6">
        <v>132.65</v>
      </c>
      <c r="AI3534" s="6">
        <f t="shared" si="110"/>
        <v>29.230000000000004</v>
      </c>
      <c r="AJ3534" s="5">
        <f t="shared" si="111"/>
        <v>0.22035431586882775</v>
      </c>
    </row>
    <row r="3535" spans="1:36">
      <c r="A3535" t="s">
        <v>269</v>
      </c>
      <c r="B3535" t="s">
        <v>3820</v>
      </c>
      <c r="C3535" t="s">
        <v>140</v>
      </c>
      <c r="D3535" t="s">
        <v>60</v>
      </c>
      <c r="E3535" t="s">
        <v>69</v>
      </c>
      <c r="F3535">
        <v>0</v>
      </c>
      <c r="G3535">
        <v>1856</v>
      </c>
      <c r="H3535">
        <v>1.22</v>
      </c>
      <c r="I3535" t="s">
        <v>173</v>
      </c>
      <c r="J3535">
        <v>1</v>
      </c>
      <c r="K3535" s="6">
        <v>2.09</v>
      </c>
      <c r="L3535" t="s">
        <v>174</v>
      </c>
      <c r="M3535">
        <v>0</v>
      </c>
      <c r="N3535" t="s">
        <v>175</v>
      </c>
      <c r="O3535">
        <v>1</v>
      </c>
      <c r="P3535">
        <v>0</v>
      </c>
      <c r="Q3535" s="6">
        <v>35.4</v>
      </c>
      <c r="R3535">
        <v>0</v>
      </c>
      <c r="S3535" s="6">
        <v>0</v>
      </c>
      <c r="T3535">
        <v>0</v>
      </c>
      <c r="U3535" s="6">
        <v>2744</v>
      </c>
      <c r="V3535">
        <v>0</v>
      </c>
      <c r="W3535">
        <v>0</v>
      </c>
      <c r="X3535">
        <v>0</v>
      </c>
      <c r="Y3535" s="6">
        <v>46.5</v>
      </c>
      <c r="Z3535">
        <v>0.40699999999999997</v>
      </c>
      <c r="AA3535">
        <v>0.14499999999999999</v>
      </c>
      <c r="AB3535">
        <v>3.2000000000000001E-2</v>
      </c>
      <c r="AC3535">
        <v>6</v>
      </c>
      <c r="AD3535" s="6">
        <v>50</v>
      </c>
      <c r="AE3535" s="6">
        <v>0</v>
      </c>
      <c r="AF3535" s="6">
        <v>0</v>
      </c>
      <c r="AG3535" s="6">
        <v>58.79</v>
      </c>
      <c r="AH3535" s="6">
        <v>78.09</v>
      </c>
      <c r="AI3535" s="6">
        <f t="shared" si="110"/>
        <v>19.300000000000004</v>
      </c>
      <c r="AJ3535" s="5">
        <f t="shared" si="111"/>
        <v>0.24715072352413886</v>
      </c>
    </row>
    <row r="3536" spans="1:36">
      <c r="A3536" t="s">
        <v>348</v>
      </c>
      <c r="B3536" t="s">
        <v>3821</v>
      </c>
      <c r="C3536" t="s">
        <v>140</v>
      </c>
      <c r="D3536" t="s">
        <v>60</v>
      </c>
      <c r="E3536" t="s">
        <v>69</v>
      </c>
      <c r="F3536">
        <v>0</v>
      </c>
      <c r="G3536">
        <v>1856</v>
      </c>
      <c r="H3536">
        <v>1.22</v>
      </c>
      <c r="I3536" t="s">
        <v>181</v>
      </c>
      <c r="J3536">
        <v>3</v>
      </c>
      <c r="K3536" s="6">
        <v>10.44</v>
      </c>
      <c r="L3536" t="s">
        <v>200</v>
      </c>
      <c r="M3536">
        <v>1</v>
      </c>
      <c r="N3536" t="s">
        <v>217</v>
      </c>
      <c r="O3536">
        <v>4</v>
      </c>
      <c r="P3536">
        <v>1</v>
      </c>
      <c r="Q3536" s="6">
        <v>168.4</v>
      </c>
      <c r="R3536">
        <v>0</v>
      </c>
      <c r="S3536" s="6">
        <v>0</v>
      </c>
      <c r="T3536">
        <v>0</v>
      </c>
      <c r="U3536" s="6">
        <v>1414</v>
      </c>
      <c r="V3536">
        <v>0</v>
      </c>
      <c r="W3536">
        <v>0</v>
      </c>
      <c r="X3536">
        <v>0</v>
      </c>
      <c r="Y3536" s="6">
        <v>46.5</v>
      </c>
      <c r="Z3536">
        <v>0.40699999999999997</v>
      </c>
      <c r="AA3536">
        <v>0.14499999999999999</v>
      </c>
      <c r="AB3536">
        <v>3.2000000000000001E-2</v>
      </c>
      <c r="AC3536">
        <v>6</v>
      </c>
      <c r="AD3536" s="6">
        <v>139</v>
      </c>
      <c r="AE3536" s="6">
        <v>0</v>
      </c>
      <c r="AF3536" s="6">
        <v>0</v>
      </c>
      <c r="AG3536" s="6">
        <v>204.9</v>
      </c>
      <c r="AH3536" s="6">
        <v>257.26</v>
      </c>
      <c r="AI3536" s="6">
        <f t="shared" si="110"/>
        <v>52.359999999999985</v>
      </c>
      <c r="AJ3536" s="5">
        <f t="shared" si="111"/>
        <v>0.20352950322630797</v>
      </c>
    </row>
    <row r="3537" spans="1:36">
      <c r="A3537" t="s">
        <v>198</v>
      </c>
      <c r="B3537" t="s">
        <v>3822</v>
      </c>
      <c r="C3537" t="s">
        <v>140</v>
      </c>
      <c r="D3537" t="s">
        <v>60</v>
      </c>
      <c r="E3537" t="s">
        <v>69</v>
      </c>
      <c r="F3537">
        <v>0</v>
      </c>
      <c r="G3537">
        <v>1856</v>
      </c>
      <c r="H3537">
        <v>1</v>
      </c>
      <c r="I3537" t="s">
        <v>173</v>
      </c>
      <c r="J3537">
        <v>1</v>
      </c>
      <c r="K3537" s="6">
        <v>1.56</v>
      </c>
      <c r="L3537" t="s">
        <v>200</v>
      </c>
      <c r="M3537">
        <v>1</v>
      </c>
      <c r="N3537" t="s">
        <v>187</v>
      </c>
      <c r="O3537">
        <v>2</v>
      </c>
      <c r="P3537">
        <v>0</v>
      </c>
      <c r="Q3537" s="6">
        <v>73</v>
      </c>
      <c r="R3537">
        <v>0</v>
      </c>
      <c r="S3537" s="6">
        <v>0</v>
      </c>
      <c r="T3537">
        <v>0</v>
      </c>
      <c r="U3537" s="6">
        <v>1088</v>
      </c>
      <c r="V3537">
        <v>0</v>
      </c>
      <c r="W3537">
        <v>0</v>
      </c>
      <c r="X3537">
        <v>0</v>
      </c>
      <c r="Y3537" s="6">
        <v>46.5</v>
      </c>
      <c r="Z3537">
        <v>0.40699999999999997</v>
      </c>
      <c r="AA3537">
        <v>0.14499999999999999</v>
      </c>
      <c r="AB3537">
        <v>3.2000000000000001E-2</v>
      </c>
      <c r="AC3537">
        <v>6</v>
      </c>
      <c r="AD3537" s="6">
        <v>99</v>
      </c>
      <c r="AE3537" s="6">
        <v>0</v>
      </c>
      <c r="AF3537" s="6">
        <v>0</v>
      </c>
      <c r="AG3537" s="6">
        <v>93.96</v>
      </c>
      <c r="AH3537" s="6">
        <v>119.55</v>
      </c>
      <c r="AI3537" s="6">
        <f t="shared" si="110"/>
        <v>25.590000000000003</v>
      </c>
      <c r="AJ3537" s="5">
        <f t="shared" si="111"/>
        <v>0.21405269761606027</v>
      </c>
    </row>
    <row r="3538" spans="1:36">
      <c r="A3538" t="s">
        <v>459</v>
      </c>
      <c r="B3538" t="s">
        <v>3823</v>
      </c>
      <c r="C3538" t="s">
        <v>140</v>
      </c>
      <c r="D3538" t="s">
        <v>60</v>
      </c>
      <c r="E3538" t="s">
        <v>69</v>
      </c>
      <c r="F3538">
        <v>0</v>
      </c>
      <c r="G3538">
        <v>1856</v>
      </c>
      <c r="H3538">
        <v>1</v>
      </c>
      <c r="I3538" t="s">
        <v>173</v>
      </c>
      <c r="J3538">
        <v>1</v>
      </c>
      <c r="K3538" s="6">
        <v>1.65</v>
      </c>
      <c r="L3538" t="s">
        <v>174</v>
      </c>
      <c r="M3538">
        <v>0</v>
      </c>
      <c r="N3538" t="s">
        <v>187</v>
      </c>
      <c r="O3538">
        <v>2</v>
      </c>
      <c r="P3538">
        <v>0</v>
      </c>
      <c r="Q3538" s="6">
        <v>30.5</v>
      </c>
      <c r="R3538">
        <v>0</v>
      </c>
      <c r="S3538" s="6">
        <v>0</v>
      </c>
      <c r="T3538">
        <v>0</v>
      </c>
      <c r="U3538" s="6">
        <v>4871</v>
      </c>
      <c r="V3538">
        <v>0</v>
      </c>
      <c r="W3538">
        <v>0</v>
      </c>
      <c r="X3538">
        <v>0</v>
      </c>
      <c r="Y3538" s="6">
        <v>46.5</v>
      </c>
      <c r="Z3538">
        <v>0.40699999999999997</v>
      </c>
      <c r="AA3538">
        <v>0.14499999999999999</v>
      </c>
      <c r="AB3538">
        <v>3.2000000000000001E-2</v>
      </c>
      <c r="AC3538">
        <v>6</v>
      </c>
      <c r="AD3538" s="6">
        <v>50</v>
      </c>
      <c r="AE3538" s="6">
        <v>0</v>
      </c>
      <c r="AF3538" s="6">
        <v>0</v>
      </c>
      <c r="AG3538" s="6">
        <v>48.76</v>
      </c>
      <c r="AH3538" s="6">
        <v>65.11</v>
      </c>
      <c r="AI3538" s="6">
        <f t="shared" si="110"/>
        <v>16.350000000000001</v>
      </c>
      <c r="AJ3538" s="5">
        <f t="shared" si="111"/>
        <v>0.25111350023037937</v>
      </c>
    </row>
    <row r="3539" spans="1:36">
      <c r="A3539" t="s">
        <v>401</v>
      </c>
      <c r="B3539" t="s">
        <v>3824</v>
      </c>
      <c r="C3539" t="s">
        <v>140</v>
      </c>
      <c r="D3539" t="s">
        <v>60</v>
      </c>
      <c r="E3539" t="s">
        <v>69</v>
      </c>
      <c r="F3539">
        <v>0</v>
      </c>
      <c r="G3539">
        <v>1856</v>
      </c>
      <c r="H3539">
        <v>1</v>
      </c>
      <c r="I3539" t="s">
        <v>173</v>
      </c>
      <c r="J3539">
        <v>1</v>
      </c>
      <c r="K3539" s="6">
        <v>1.06</v>
      </c>
      <c r="L3539" t="s">
        <v>200</v>
      </c>
      <c r="M3539">
        <v>1</v>
      </c>
      <c r="N3539" t="s">
        <v>217</v>
      </c>
      <c r="O3539">
        <v>4</v>
      </c>
      <c r="P3539">
        <v>1</v>
      </c>
      <c r="Q3539" s="6">
        <v>158.5</v>
      </c>
      <c r="R3539">
        <v>0</v>
      </c>
      <c r="S3539" s="6">
        <v>0</v>
      </c>
      <c r="T3539">
        <v>0</v>
      </c>
      <c r="U3539" s="6">
        <v>1028</v>
      </c>
      <c r="V3539">
        <v>0</v>
      </c>
      <c r="W3539">
        <v>0</v>
      </c>
      <c r="X3539">
        <v>0</v>
      </c>
      <c r="Y3539" s="6">
        <v>46.5</v>
      </c>
      <c r="Z3539">
        <v>0.40699999999999997</v>
      </c>
      <c r="AA3539">
        <v>0.14499999999999999</v>
      </c>
      <c r="AB3539">
        <v>3.2000000000000001E-2</v>
      </c>
      <c r="AC3539">
        <v>6</v>
      </c>
      <c r="AD3539" s="6">
        <v>99</v>
      </c>
      <c r="AE3539" s="6">
        <v>0</v>
      </c>
      <c r="AF3539" s="6">
        <v>0</v>
      </c>
      <c r="AG3539" s="6">
        <v>152.41999999999999</v>
      </c>
      <c r="AH3539" s="6">
        <v>193.65</v>
      </c>
      <c r="AI3539" s="6">
        <f t="shared" si="110"/>
        <v>41.230000000000018</v>
      </c>
      <c r="AJ3539" s="5">
        <f t="shared" si="111"/>
        <v>0.21290988897495491</v>
      </c>
    </row>
    <row r="3540" spans="1:36">
      <c r="A3540" t="s">
        <v>602</v>
      </c>
      <c r="B3540" t="s">
        <v>3825</v>
      </c>
      <c r="C3540" t="s">
        <v>140</v>
      </c>
      <c r="D3540" t="s">
        <v>60</v>
      </c>
      <c r="E3540" t="s">
        <v>69</v>
      </c>
      <c r="F3540">
        <v>0</v>
      </c>
      <c r="G3540">
        <v>1856</v>
      </c>
      <c r="H3540">
        <v>1</v>
      </c>
      <c r="I3540" t="s">
        <v>173</v>
      </c>
      <c r="J3540">
        <v>1</v>
      </c>
      <c r="K3540" s="6">
        <v>2.17</v>
      </c>
      <c r="L3540" t="s">
        <v>200</v>
      </c>
      <c r="M3540">
        <v>1</v>
      </c>
      <c r="N3540" t="s">
        <v>187</v>
      </c>
      <c r="O3540">
        <v>2</v>
      </c>
      <c r="P3540">
        <v>0</v>
      </c>
      <c r="Q3540" s="6">
        <v>50.1</v>
      </c>
      <c r="R3540">
        <v>0</v>
      </c>
      <c r="S3540" s="6">
        <v>0</v>
      </c>
      <c r="T3540">
        <v>0</v>
      </c>
      <c r="U3540" s="6">
        <v>1335</v>
      </c>
      <c r="V3540">
        <v>0</v>
      </c>
      <c r="W3540">
        <v>0</v>
      </c>
      <c r="X3540">
        <v>0</v>
      </c>
      <c r="Y3540" s="6">
        <v>46.5</v>
      </c>
      <c r="Z3540">
        <v>0.40699999999999997</v>
      </c>
      <c r="AA3540">
        <v>0.14499999999999999</v>
      </c>
      <c r="AB3540">
        <v>3.2000000000000001E-2</v>
      </c>
      <c r="AC3540">
        <v>6</v>
      </c>
      <c r="AD3540" s="6">
        <v>99</v>
      </c>
      <c r="AE3540" s="6">
        <v>0</v>
      </c>
      <c r="AF3540" s="6">
        <v>0</v>
      </c>
      <c r="AG3540" s="6">
        <v>86.74</v>
      </c>
      <c r="AH3540" s="6">
        <v>110.22</v>
      </c>
      <c r="AI3540" s="6">
        <f t="shared" si="110"/>
        <v>23.480000000000004</v>
      </c>
      <c r="AJ3540" s="5">
        <f t="shared" si="111"/>
        <v>0.21302848847759032</v>
      </c>
    </row>
    <row r="3541" spans="1:36">
      <c r="A3541" t="s">
        <v>249</v>
      </c>
      <c r="B3541" t="s">
        <v>3826</v>
      </c>
      <c r="C3541" t="s">
        <v>140</v>
      </c>
      <c r="D3541" t="s">
        <v>60</v>
      </c>
      <c r="E3541" t="s">
        <v>69</v>
      </c>
      <c r="F3541">
        <v>0</v>
      </c>
      <c r="G3541">
        <v>1856</v>
      </c>
      <c r="H3541">
        <v>1</v>
      </c>
      <c r="I3541" t="s">
        <v>173</v>
      </c>
      <c r="J3541">
        <v>1</v>
      </c>
      <c r="K3541" s="6">
        <v>1.74</v>
      </c>
      <c r="L3541" t="s">
        <v>200</v>
      </c>
      <c r="M3541">
        <v>1</v>
      </c>
      <c r="N3541" t="s">
        <v>217</v>
      </c>
      <c r="O3541">
        <v>4</v>
      </c>
      <c r="P3541">
        <v>1</v>
      </c>
      <c r="Q3541" s="6">
        <v>105.4</v>
      </c>
      <c r="R3541">
        <v>0</v>
      </c>
      <c r="S3541" s="6">
        <v>0</v>
      </c>
      <c r="T3541">
        <v>0</v>
      </c>
      <c r="U3541" s="6">
        <v>1248</v>
      </c>
      <c r="V3541">
        <v>0</v>
      </c>
      <c r="W3541">
        <v>0</v>
      </c>
      <c r="X3541">
        <v>0</v>
      </c>
      <c r="Y3541" s="6">
        <v>46.5</v>
      </c>
      <c r="Z3541">
        <v>0.40699999999999997</v>
      </c>
      <c r="AA3541">
        <v>0.14499999999999999</v>
      </c>
      <c r="AB3541">
        <v>3.2000000000000001E-2</v>
      </c>
      <c r="AC3541">
        <v>6</v>
      </c>
      <c r="AD3541" s="6">
        <v>99</v>
      </c>
      <c r="AE3541" s="6">
        <v>0</v>
      </c>
      <c r="AF3541" s="6">
        <v>0</v>
      </c>
      <c r="AG3541" s="6">
        <v>147.58000000000001</v>
      </c>
      <c r="AH3541" s="6">
        <v>185.64</v>
      </c>
      <c r="AI3541" s="6">
        <f t="shared" si="110"/>
        <v>38.059999999999974</v>
      </c>
      <c r="AJ3541" s="5">
        <f t="shared" si="111"/>
        <v>0.20502046972635196</v>
      </c>
    </row>
    <row r="3542" spans="1:36">
      <c r="A3542" t="s">
        <v>537</v>
      </c>
      <c r="B3542" t="s">
        <v>3827</v>
      </c>
      <c r="C3542" t="s">
        <v>140</v>
      </c>
      <c r="D3542" t="s">
        <v>60</v>
      </c>
      <c r="E3542" t="s">
        <v>69</v>
      </c>
      <c r="F3542">
        <v>0</v>
      </c>
      <c r="G3542">
        <v>1856</v>
      </c>
      <c r="H3542">
        <v>1.22</v>
      </c>
      <c r="I3542" t="s">
        <v>173</v>
      </c>
      <c r="J3542">
        <v>1</v>
      </c>
      <c r="K3542" s="6">
        <v>2.21</v>
      </c>
      <c r="L3542" t="s">
        <v>200</v>
      </c>
      <c r="M3542">
        <v>1</v>
      </c>
      <c r="N3542" t="s">
        <v>182</v>
      </c>
      <c r="O3542">
        <v>3</v>
      </c>
      <c r="P3542">
        <v>0</v>
      </c>
      <c r="Q3542" s="6">
        <v>116.5</v>
      </c>
      <c r="R3542">
        <v>0</v>
      </c>
      <c r="S3542" s="6">
        <v>0</v>
      </c>
      <c r="T3542">
        <v>0</v>
      </c>
      <c r="U3542" s="6">
        <v>2264</v>
      </c>
      <c r="V3542">
        <v>0</v>
      </c>
      <c r="W3542">
        <v>0</v>
      </c>
      <c r="X3542">
        <v>0</v>
      </c>
      <c r="Y3542" s="6">
        <v>46.5</v>
      </c>
      <c r="Z3542">
        <v>0.40699999999999997</v>
      </c>
      <c r="AA3542">
        <v>0.14499999999999999</v>
      </c>
      <c r="AB3542">
        <v>3.2000000000000001E-2</v>
      </c>
      <c r="AC3542">
        <v>6</v>
      </c>
      <c r="AD3542" s="6">
        <v>99</v>
      </c>
      <c r="AE3542" s="6">
        <v>0</v>
      </c>
      <c r="AF3542" s="6">
        <v>0</v>
      </c>
      <c r="AG3542" s="6">
        <v>92.03</v>
      </c>
      <c r="AH3542" s="6">
        <v>118.24</v>
      </c>
      <c r="AI3542" s="6">
        <f t="shared" si="110"/>
        <v>26.209999999999994</v>
      </c>
      <c r="AJ3542" s="5">
        <f t="shared" si="111"/>
        <v>0.22166779431664407</v>
      </c>
    </row>
    <row r="3543" spans="1:36">
      <c r="A3543" t="s">
        <v>397</v>
      </c>
      <c r="B3543" t="s">
        <v>3828</v>
      </c>
      <c r="C3543" t="s">
        <v>140</v>
      </c>
      <c r="D3543" t="s">
        <v>60</v>
      </c>
      <c r="E3543" t="s">
        <v>69</v>
      </c>
      <c r="F3543">
        <v>0</v>
      </c>
      <c r="G3543">
        <v>1856</v>
      </c>
      <c r="H3543">
        <v>1.22</v>
      </c>
      <c r="I3543" t="s">
        <v>173</v>
      </c>
      <c r="J3543">
        <v>1</v>
      </c>
      <c r="K3543" s="6">
        <v>1.75</v>
      </c>
      <c r="L3543" t="s">
        <v>174</v>
      </c>
      <c r="M3543">
        <v>0</v>
      </c>
      <c r="N3543" t="s">
        <v>187</v>
      </c>
      <c r="O3543">
        <v>2</v>
      </c>
      <c r="P3543">
        <v>1</v>
      </c>
      <c r="Q3543" s="6">
        <v>63.6</v>
      </c>
      <c r="R3543">
        <v>0</v>
      </c>
      <c r="S3543" s="6">
        <v>0</v>
      </c>
      <c r="T3543">
        <v>0</v>
      </c>
      <c r="U3543" s="6">
        <v>2849</v>
      </c>
      <c r="V3543">
        <v>0</v>
      </c>
      <c r="W3543">
        <v>0</v>
      </c>
      <c r="X3543">
        <v>0</v>
      </c>
      <c r="Y3543" s="6">
        <v>46.5</v>
      </c>
      <c r="Z3543">
        <v>0.40699999999999997</v>
      </c>
      <c r="AA3543">
        <v>0.14499999999999999</v>
      </c>
      <c r="AB3543">
        <v>3.2000000000000001E-2</v>
      </c>
      <c r="AC3543">
        <v>6</v>
      </c>
      <c r="AD3543" s="6">
        <v>50</v>
      </c>
      <c r="AE3543" s="6">
        <v>0</v>
      </c>
      <c r="AF3543" s="6">
        <v>0</v>
      </c>
      <c r="AG3543" s="6">
        <v>74.83</v>
      </c>
      <c r="AH3543" s="6">
        <v>93.68</v>
      </c>
      <c r="AI3543" s="6">
        <f t="shared" si="110"/>
        <v>18.850000000000009</v>
      </c>
      <c r="AJ3543" s="5">
        <f t="shared" si="111"/>
        <v>0.20121690862510683</v>
      </c>
    </row>
    <row r="3544" spans="1:36">
      <c r="A3544" t="s">
        <v>765</v>
      </c>
      <c r="B3544" t="s">
        <v>3829</v>
      </c>
      <c r="C3544" t="s">
        <v>140</v>
      </c>
      <c r="D3544" t="s">
        <v>60</v>
      </c>
      <c r="E3544" t="s">
        <v>69</v>
      </c>
      <c r="F3544">
        <v>0</v>
      </c>
      <c r="G3544">
        <v>1856</v>
      </c>
      <c r="H3544">
        <v>1.22</v>
      </c>
      <c r="I3544" t="s">
        <v>173</v>
      </c>
      <c r="J3544">
        <v>1</v>
      </c>
      <c r="K3544" s="6">
        <v>1.18</v>
      </c>
      <c r="L3544" t="s">
        <v>174</v>
      </c>
      <c r="M3544">
        <v>0</v>
      </c>
      <c r="N3544" t="s">
        <v>182</v>
      </c>
      <c r="O3544">
        <v>3</v>
      </c>
      <c r="P3544">
        <v>1</v>
      </c>
      <c r="Q3544" s="6">
        <v>141.9</v>
      </c>
      <c r="R3544">
        <v>1</v>
      </c>
      <c r="S3544" s="6">
        <v>882</v>
      </c>
      <c r="T3544">
        <v>0</v>
      </c>
      <c r="U3544" s="6">
        <v>6342</v>
      </c>
      <c r="V3544">
        <v>0</v>
      </c>
      <c r="W3544">
        <v>0</v>
      </c>
      <c r="X3544">
        <v>0</v>
      </c>
      <c r="Y3544" s="6">
        <v>46.5</v>
      </c>
      <c r="Z3544">
        <v>0.40699999999999997</v>
      </c>
      <c r="AA3544">
        <v>0.14499999999999999</v>
      </c>
      <c r="AB3544">
        <v>3.2000000000000001E-2</v>
      </c>
      <c r="AC3544">
        <v>6</v>
      </c>
      <c r="AD3544" s="6">
        <v>50</v>
      </c>
      <c r="AE3544" s="6">
        <v>25</v>
      </c>
      <c r="AF3544" s="6">
        <v>0</v>
      </c>
      <c r="AG3544" s="6">
        <v>93</v>
      </c>
      <c r="AH3544" s="6">
        <v>120</v>
      </c>
      <c r="AI3544" s="6">
        <f t="shared" si="110"/>
        <v>27</v>
      </c>
      <c r="AJ3544" s="5">
        <f t="shared" si="111"/>
        <v>0.22500000000000001</v>
      </c>
    </row>
    <row r="3545" spans="1:36">
      <c r="A3545" t="s">
        <v>488</v>
      </c>
      <c r="B3545" t="s">
        <v>3830</v>
      </c>
      <c r="C3545" t="s">
        <v>140</v>
      </c>
      <c r="D3545" t="s">
        <v>60</v>
      </c>
      <c r="E3545" t="s">
        <v>69</v>
      </c>
      <c r="F3545">
        <v>0</v>
      </c>
      <c r="G3545">
        <v>1856</v>
      </c>
      <c r="H3545">
        <v>1.22</v>
      </c>
      <c r="I3545" t="s">
        <v>173</v>
      </c>
      <c r="J3545">
        <v>1</v>
      </c>
      <c r="K3545" s="6">
        <v>2.0099999999999998</v>
      </c>
      <c r="L3545" t="s">
        <v>174</v>
      </c>
      <c r="M3545">
        <v>0</v>
      </c>
      <c r="N3545" t="s">
        <v>187</v>
      </c>
      <c r="O3545">
        <v>2</v>
      </c>
      <c r="P3545">
        <v>0</v>
      </c>
      <c r="Q3545" s="6">
        <v>85.3</v>
      </c>
      <c r="R3545">
        <v>1</v>
      </c>
      <c r="S3545" s="6">
        <v>1257</v>
      </c>
      <c r="T3545">
        <v>0</v>
      </c>
      <c r="U3545" s="6">
        <v>634</v>
      </c>
      <c r="V3545">
        <v>0</v>
      </c>
      <c r="W3545">
        <v>0</v>
      </c>
      <c r="X3545">
        <v>0</v>
      </c>
      <c r="Y3545" s="6">
        <v>46.5</v>
      </c>
      <c r="Z3545">
        <v>0.40699999999999997</v>
      </c>
      <c r="AA3545">
        <v>0.14499999999999999</v>
      </c>
      <c r="AB3545">
        <v>3.2000000000000001E-2</v>
      </c>
      <c r="AC3545">
        <v>6</v>
      </c>
      <c r="AD3545" s="6">
        <v>50</v>
      </c>
      <c r="AE3545" s="6">
        <v>25</v>
      </c>
      <c r="AF3545" s="6">
        <v>0</v>
      </c>
      <c r="AG3545" s="6">
        <v>66.69</v>
      </c>
      <c r="AH3545" s="6">
        <v>84.23</v>
      </c>
      <c r="AI3545" s="6">
        <f t="shared" si="110"/>
        <v>17.540000000000006</v>
      </c>
      <c r="AJ3545" s="5">
        <f t="shared" si="111"/>
        <v>0.20823934465154939</v>
      </c>
    </row>
    <row r="3546" spans="1:36">
      <c r="A3546" t="s">
        <v>171</v>
      </c>
      <c r="B3546" t="s">
        <v>3831</v>
      </c>
      <c r="C3546" t="s">
        <v>140</v>
      </c>
      <c r="D3546" t="s">
        <v>60</v>
      </c>
      <c r="E3546" t="s">
        <v>69</v>
      </c>
      <c r="F3546">
        <v>0</v>
      </c>
      <c r="G3546">
        <v>1856</v>
      </c>
      <c r="H3546">
        <v>1</v>
      </c>
      <c r="I3546" t="s">
        <v>178</v>
      </c>
      <c r="J3546">
        <v>4</v>
      </c>
      <c r="K3546" s="6">
        <v>12.98</v>
      </c>
      <c r="L3546" t="s">
        <v>174</v>
      </c>
      <c r="M3546">
        <v>0</v>
      </c>
      <c r="N3546" t="s">
        <v>175</v>
      </c>
      <c r="O3546">
        <v>1</v>
      </c>
      <c r="P3546">
        <v>0</v>
      </c>
      <c r="Q3546" s="6">
        <v>27.2</v>
      </c>
      <c r="R3546">
        <v>1</v>
      </c>
      <c r="S3546" s="6">
        <v>818</v>
      </c>
      <c r="T3546">
        <v>0</v>
      </c>
      <c r="U3546" s="6">
        <v>2856</v>
      </c>
      <c r="V3546">
        <v>0</v>
      </c>
      <c r="W3546">
        <v>0</v>
      </c>
      <c r="X3546">
        <v>0</v>
      </c>
      <c r="Y3546" s="6">
        <v>46.5</v>
      </c>
      <c r="Z3546">
        <v>0.40699999999999997</v>
      </c>
      <c r="AA3546">
        <v>0.14499999999999999</v>
      </c>
      <c r="AB3546">
        <v>3.2000000000000001E-2</v>
      </c>
      <c r="AC3546">
        <v>6</v>
      </c>
      <c r="AD3546" s="6">
        <v>65</v>
      </c>
      <c r="AE3546" s="6">
        <v>25</v>
      </c>
      <c r="AF3546" s="6">
        <v>0</v>
      </c>
      <c r="AG3546" s="6">
        <v>125.51</v>
      </c>
      <c r="AH3546" s="6">
        <v>160.41999999999999</v>
      </c>
      <c r="AI3546" s="6">
        <f t="shared" si="110"/>
        <v>34.909999999999982</v>
      </c>
      <c r="AJ3546" s="5">
        <f t="shared" si="111"/>
        <v>0.21761625732452303</v>
      </c>
    </row>
    <row r="3547" spans="1:36">
      <c r="A3547" t="s">
        <v>293</v>
      </c>
      <c r="B3547" t="s">
        <v>3832</v>
      </c>
      <c r="C3547" t="s">
        <v>140</v>
      </c>
      <c r="D3547" t="s">
        <v>60</v>
      </c>
      <c r="E3547" t="s">
        <v>69</v>
      </c>
      <c r="F3547">
        <v>0</v>
      </c>
      <c r="G3547">
        <v>1856</v>
      </c>
      <c r="H3547">
        <v>1.22</v>
      </c>
      <c r="I3547" t="s">
        <v>173</v>
      </c>
      <c r="J3547">
        <v>1</v>
      </c>
      <c r="K3547" s="6">
        <v>0.93</v>
      </c>
      <c r="L3547" t="s">
        <v>200</v>
      </c>
      <c r="M3547">
        <v>1</v>
      </c>
      <c r="N3547" t="s">
        <v>182</v>
      </c>
      <c r="O3547">
        <v>3</v>
      </c>
      <c r="P3547">
        <v>0</v>
      </c>
      <c r="Q3547" s="6">
        <v>101.3</v>
      </c>
      <c r="R3547">
        <v>1</v>
      </c>
      <c r="S3547" s="6">
        <v>607</v>
      </c>
      <c r="T3547">
        <v>0</v>
      </c>
      <c r="U3547" s="6">
        <v>4820</v>
      </c>
      <c r="V3547">
        <v>1</v>
      </c>
      <c r="W3547">
        <v>0</v>
      </c>
      <c r="X3547">
        <v>0</v>
      </c>
      <c r="Y3547" s="6">
        <v>46.5</v>
      </c>
      <c r="Z3547">
        <v>0.40699999999999997</v>
      </c>
      <c r="AA3547">
        <v>0.14499999999999999</v>
      </c>
      <c r="AB3547">
        <v>3.2000000000000001E-2</v>
      </c>
      <c r="AC3547">
        <v>6</v>
      </c>
      <c r="AD3547" s="6">
        <v>99</v>
      </c>
      <c r="AE3547" s="6">
        <v>25</v>
      </c>
      <c r="AF3547" s="6">
        <v>0</v>
      </c>
      <c r="AG3547" s="6">
        <v>136.83000000000001</v>
      </c>
      <c r="AH3547" s="6">
        <v>175.41</v>
      </c>
      <c r="AI3547" s="6">
        <f t="shared" si="110"/>
        <v>38.579999999999984</v>
      </c>
      <c r="AJ3547" s="5">
        <f t="shared" si="111"/>
        <v>0.21994185052163495</v>
      </c>
    </row>
    <row r="3548" spans="1:36">
      <c r="A3548" t="s">
        <v>240</v>
      </c>
      <c r="B3548" t="s">
        <v>3833</v>
      </c>
      <c r="C3548" t="s">
        <v>140</v>
      </c>
      <c r="D3548" t="s">
        <v>60</v>
      </c>
      <c r="E3548" t="s">
        <v>69</v>
      </c>
      <c r="F3548">
        <v>0</v>
      </c>
      <c r="G3548">
        <v>1856</v>
      </c>
      <c r="H3548">
        <v>1</v>
      </c>
      <c r="I3548" t="s">
        <v>173</v>
      </c>
      <c r="J3548">
        <v>1</v>
      </c>
      <c r="K3548" s="6">
        <v>2.04</v>
      </c>
      <c r="L3548" t="s">
        <v>200</v>
      </c>
      <c r="M3548">
        <v>1</v>
      </c>
      <c r="N3548" t="s">
        <v>182</v>
      </c>
      <c r="O3548">
        <v>3</v>
      </c>
      <c r="P3548">
        <v>1</v>
      </c>
      <c r="Q3548" s="6">
        <v>113</v>
      </c>
      <c r="R3548">
        <v>0</v>
      </c>
      <c r="S3548" s="6">
        <v>0</v>
      </c>
      <c r="T3548">
        <v>0</v>
      </c>
      <c r="U3548" s="6">
        <v>1938</v>
      </c>
      <c r="V3548">
        <v>0</v>
      </c>
      <c r="W3548">
        <v>0</v>
      </c>
      <c r="X3548">
        <v>0</v>
      </c>
      <c r="Y3548" s="6">
        <v>46.5</v>
      </c>
      <c r="Z3548">
        <v>0.40699999999999997</v>
      </c>
      <c r="AA3548">
        <v>0.14499999999999999</v>
      </c>
      <c r="AB3548">
        <v>3.2000000000000001E-2</v>
      </c>
      <c r="AC3548">
        <v>6</v>
      </c>
      <c r="AD3548" s="6">
        <v>99</v>
      </c>
      <c r="AE3548" s="6">
        <v>0</v>
      </c>
      <c r="AF3548" s="6">
        <v>0</v>
      </c>
      <c r="AG3548" s="6">
        <v>131.85</v>
      </c>
      <c r="AH3548" s="6">
        <v>166.53</v>
      </c>
      <c r="AI3548" s="6">
        <f t="shared" si="110"/>
        <v>34.680000000000007</v>
      </c>
      <c r="AJ3548" s="5">
        <f t="shared" si="111"/>
        <v>0.20825076562781486</v>
      </c>
    </row>
    <row r="3549" spans="1:36">
      <c r="A3549" t="s">
        <v>206</v>
      </c>
      <c r="B3549" t="s">
        <v>3834</v>
      </c>
      <c r="C3549" t="s">
        <v>140</v>
      </c>
      <c r="D3549" t="s">
        <v>60</v>
      </c>
      <c r="E3549" t="s">
        <v>69</v>
      </c>
      <c r="F3549">
        <v>0</v>
      </c>
      <c r="G3549">
        <v>1856</v>
      </c>
      <c r="H3549">
        <v>1.22</v>
      </c>
      <c r="I3549" t="s">
        <v>178</v>
      </c>
      <c r="J3549">
        <v>4</v>
      </c>
      <c r="K3549" s="6">
        <v>10.08</v>
      </c>
      <c r="L3549" t="s">
        <v>174</v>
      </c>
      <c r="M3549">
        <v>0</v>
      </c>
      <c r="N3549" t="s">
        <v>175</v>
      </c>
      <c r="O3549">
        <v>1</v>
      </c>
      <c r="P3549">
        <v>1</v>
      </c>
      <c r="Q3549" s="6">
        <v>25.7</v>
      </c>
      <c r="R3549">
        <v>0</v>
      </c>
      <c r="S3549" s="6">
        <v>0</v>
      </c>
      <c r="T3549">
        <v>0</v>
      </c>
      <c r="U3549" s="6">
        <v>2373</v>
      </c>
      <c r="V3549">
        <v>0</v>
      </c>
      <c r="W3549">
        <v>0</v>
      </c>
      <c r="X3549">
        <v>0</v>
      </c>
      <c r="Y3549" s="6">
        <v>46.5</v>
      </c>
      <c r="Z3549">
        <v>0.40699999999999997</v>
      </c>
      <c r="AA3549">
        <v>0.14499999999999999</v>
      </c>
      <c r="AB3549">
        <v>3.2000000000000001E-2</v>
      </c>
      <c r="AC3549">
        <v>6</v>
      </c>
      <c r="AD3549" s="6">
        <v>65</v>
      </c>
      <c r="AE3549" s="6">
        <v>0</v>
      </c>
      <c r="AF3549" s="6">
        <v>0</v>
      </c>
      <c r="AG3549" s="6">
        <v>142.85</v>
      </c>
      <c r="AH3549" s="6">
        <v>181.38</v>
      </c>
      <c r="AI3549" s="6">
        <f t="shared" si="110"/>
        <v>38.53</v>
      </c>
      <c r="AJ3549" s="5">
        <f t="shared" si="111"/>
        <v>0.21242694894696218</v>
      </c>
    </row>
    <row r="3550" spans="1:36">
      <c r="A3550" t="s">
        <v>459</v>
      </c>
      <c r="B3550" t="s">
        <v>3835</v>
      </c>
      <c r="C3550" t="s">
        <v>140</v>
      </c>
      <c r="D3550" t="s">
        <v>60</v>
      </c>
      <c r="E3550" t="s">
        <v>69</v>
      </c>
      <c r="F3550">
        <v>0</v>
      </c>
      <c r="G3550">
        <v>1856</v>
      </c>
      <c r="H3550">
        <v>1</v>
      </c>
      <c r="I3550" t="s">
        <v>181</v>
      </c>
      <c r="J3550">
        <v>3</v>
      </c>
      <c r="K3550" s="6">
        <v>7.05</v>
      </c>
      <c r="L3550" t="s">
        <v>174</v>
      </c>
      <c r="M3550">
        <v>0</v>
      </c>
      <c r="N3550" t="s">
        <v>175</v>
      </c>
      <c r="O3550">
        <v>1</v>
      </c>
      <c r="P3550">
        <v>0</v>
      </c>
      <c r="Q3550" s="6">
        <v>48.4</v>
      </c>
      <c r="R3550">
        <v>0</v>
      </c>
      <c r="S3550" s="6">
        <v>0</v>
      </c>
      <c r="T3550">
        <v>0</v>
      </c>
      <c r="U3550" s="6">
        <v>1426</v>
      </c>
      <c r="V3550">
        <v>0</v>
      </c>
      <c r="W3550">
        <v>0</v>
      </c>
      <c r="X3550">
        <v>0</v>
      </c>
      <c r="Y3550" s="6">
        <v>46.5</v>
      </c>
      <c r="Z3550">
        <v>0.40699999999999997</v>
      </c>
      <c r="AA3550">
        <v>0.14499999999999999</v>
      </c>
      <c r="AB3550">
        <v>3.2000000000000001E-2</v>
      </c>
      <c r="AC3550">
        <v>6</v>
      </c>
      <c r="AD3550" s="6">
        <v>60</v>
      </c>
      <c r="AE3550" s="6">
        <v>0</v>
      </c>
      <c r="AF3550" s="6">
        <v>0</v>
      </c>
      <c r="AG3550" s="6">
        <v>74.92</v>
      </c>
      <c r="AH3550" s="6">
        <v>96.68</v>
      </c>
      <c r="AI3550" s="6">
        <f t="shared" si="110"/>
        <v>21.760000000000005</v>
      </c>
      <c r="AJ3550" s="5">
        <f t="shared" si="111"/>
        <v>0.22507240380637158</v>
      </c>
    </row>
    <row r="3551" spans="1:36">
      <c r="A3551" t="s">
        <v>221</v>
      </c>
      <c r="B3551" t="s">
        <v>3836</v>
      </c>
      <c r="C3551" t="s">
        <v>140</v>
      </c>
      <c r="D3551" t="s">
        <v>60</v>
      </c>
      <c r="E3551" t="s">
        <v>69</v>
      </c>
      <c r="F3551">
        <v>0</v>
      </c>
      <c r="G3551">
        <v>1856</v>
      </c>
      <c r="H3551">
        <v>1</v>
      </c>
      <c r="I3551" t="s">
        <v>220</v>
      </c>
      <c r="J3551">
        <v>2</v>
      </c>
      <c r="K3551" s="6">
        <v>3.23</v>
      </c>
      <c r="L3551" t="s">
        <v>174</v>
      </c>
      <c r="M3551">
        <v>0</v>
      </c>
      <c r="N3551" t="s">
        <v>182</v>
      </c>
      <c r="O3551">
        <v>3</v>
      </c>
      <c r="P3551">
        <v>0</v>
      </c>
      <c r="Q3551" s="6">
        <v>116.6</v>
      </c>
      <c r="R3551">
        <v>1</v>
      </c>
      <c r="S3551" s="6">
        <v>1346</v>
      </c>
      <c r="T3551">
        <v>0</v>
      </c>
      <c r="U3551" s="6">
        <v>867</v>
      </c>
      <c r="V3551">
        <v>0</v>
      </c>
      <c r="W3551">
        <v>0</v>
      </c>
      <c r="X3551">
        <v>0</v>
      </c>
      <c r="Y3551" s="6">
        <v>46.5</v>
      </c>
      <c r="Z3551">
        <v>0.40699999999999997</v>
      </c>
      <c r="AA3551">
        <v>0.14499999999999999</v>
      </c>
      <c r="AB3551">
        <v>3.2000000000000001E-2</v>
      </c>
      <c r="AC3551">
        <v>6</v>
      </c>
      <c r="AD3551" s="6">
        <v>50</v>
      </c>
      <c r="AE3551" s="6">
        <v>25</v>
      </c>
      <c r="AF3551" s="6">
        <v>0</v>
      </c>
      <c r="AG3551" s="6">
        <v>77.61</v>
      </c>
      <c r="AH3551" s="6">
        <v>101.43</v>
      </c>
      <c r="AI3551" s="6">
        <f t="shared" si="110"/>
        <v>23.820000000000007</v>
      </c>
      <c r="AJ3551" s="5">
        <f t="shared" si="111"/>
        <v>0.23484176279207342</v>
      </c>
    </row>
    <row r="3552" spans="1:36">
      <c r="A3552" t="s">
        <v>381</v>
      </c>
      <c r="B3552" t="s">
        <v>3837</v>
      </c>
      <c r="C3552" t="s">
        <v>140</v>
      </c>
      <c r="D3552" t="s">
        <v>60</v>
      </c>
      <c r="E3552" t="s">
        <v>69</v>
      </c>
      <c r="F3552">
        <v>0</v>
      </c>
      <c r="G3552">
        <v>1856</v>
      </c>
      <c r="H3552">
        <v>1</v>
      </c>
      <c r="I3552" t="s">
        <v>181</v>
      </c>
      <c r="J3552">
        <v>3</v>
      </c>
      <c r="K3552" s="6">
        <v>8.39</v>
      </c>
      <c r="L3552" t="s">
        <v>174</v>
      </c>
      <c r="M3552">
        <v>0</v>
      </c>
      <c r="N3552" t="s">
        <v>187</v>
      </c>
      <c r="O3552">
        <v>2</v>
      </c>
      <c r="P3552">
        <v>0</v>
      </c>
      <c r="Q3552" s="6">
        <v>64.900000000000006</v>
      </c>
      <c r="R3552">
        <v>0</v>
      </c>
      <c r="S3552" s="6">
        <v>0</v>
      </c>
      <c r="T3552">
        <v>0</v>
      </c>
      <c r="U3552" s="6">
        <v>4145</v>
      </c>
      <c r="V3552">
        <v>0</v>
      </c>
      <c r="W3552">
        <v>0</v>
      </c>
      <c r="X3552">
        <v>0</v>
      </c>
      <c r="Y3552" s="6">
        <v>46.5</v>
      </c>
      <c r="Z3552">
        <v>0.40699999999999997</v>
      </c>
      <c r="AA3552">
        <v>0.14499999999999999</v>
      </c>
      <c r="AB3552">
        <v>3.2000000000000001E-2</v>
      </c>
      <c r="AC3552">
        <v>6</v>
      </c>
      <c r="AD3552" s="6">
        <v>60</v>
      </c>
      <c r="AE3552" s="6">
        <v>0</v>
      </c>
      <c r="AF3552" s="6">
        <v>0</v>
      </c>
      <c r="AG3552" s="6">
        <v>97.96</v>
      </c>
      <c r="AH3552" s="6">
        <v>124.05</v>
      </c>
      <c r="AI3552" s="6">
        <f t="shared" si="110"/>
        <v>26.090000000000003</v>
      </c>
      <c r="AJ3552" s="5">
        <f t="shared" si="111"/>
        <v>0.21031841999193876</v>
      </c>
    </row>
    <row r="3553" spans="1:36">
      <c r="A3553" t="s">
        <v>391</v>
      </c>
      <c r="B3553" t="s">
        <v>3838</v>
      </c>
      <c r="C3553" t="s">
        <v>140</v>
      </c>
      <c r="D3553" t="s">
        <v>60</v>
      </c>
      <c r="E3553" t="s">
        <v>69</v>
      </c>
      <c r="F3553">
        <v>0</v>
      </c>
      <c r="G3553">
        <v>1856</v>
      </c>
      <c r="H3553">
        <v>1</v>
      </c>
      <c r="I3553" t="s">
        <v>173</v>
      </c>
      <c r="J3553">
        <v>1</v>
      </c>
      <c r="K3553" s="6">
        <v>1.4</v>
      </c>
      <c r="L3553" t="s">
        <v>200</v>
      </c>
      <c r="M3553">
        <v>1</v>
      </c>
      <c r="N3553" t="s">
        <v>187</v>
      </c>
      <c r="O3553">
        <v>2</v>
      </c>
      <c r="P3553">
        <v>0</v>
      </c>
      <c r="Q3553" s="6">
        <v>71</v>
      </c>
      <c r="R3553">
        <v>0</v>
      </c>
      <c r="S3553" s="6">
        <v>0</v>
      </c>
      <c r="T3553">
        <v>0</v>
      </c>
      <c r="U3553" s="6">
        <v>1270</v>
      </c>
      <c r="V3553">
        <v>0</v>
      </c>
      <c r="W3553">
        <v>0</v>
      </c>
      <c r="X3553">
        <v>0</v>
      </c>
      <c r="Y3553" s="6">
        <v>46.5</v>
      </c>
      <c r="Z3553">
        <v>0.40699999999999997</v>
      </c>
      <c r="AA3553">
        <v>0.14499999999999999</v>
      </c>
      <c r="AB3553">
        <v>3.2000000000000001E-2</v>
      </c>
      <c r="AC3553">
        <v>6</v>
      </c>
      <c r="AD3553" s="6">
        <v>99</v>
      </c>
      <c r="AE3553" s="6">
        <v>0</v>
      </c>
      <c r="AF3553" s="6">
        <v>0</v>
      </c>
      <c r="AG3553" s="6">
        <v>80.33</v>
      </c>
      <c r="AH3553" s="6">
        <v>102.78</v>
      </c>
      <c r="AI3553" s="6">
        <f t="shared" si="110"/>
        <v>22.450000000000003</v>
      </c>
      <c r="AJ3553" s="5">
        <f t="shared" si="111"/>
        <v>0.21842770967114228</v>
      </c>
    </row>
    <row r="3554" spans="1:36">
      <c r="A3554" t="s">
        <v>277</v>
      </c>
      <c r="B3554" t="s">
        <v>3839</v>
      </c>
      <c r="C3554" t="s">
        <v>140</v>
      </c>
      <c r="D3554" t="s">
        <v>60</v>
      </c>
      <c r="E3554" t="s">
        <v>69</v>
      </c>
      <c r="F3554">
        <v>0</v>
      </c>
      <c r="G3554">
        <v>1856</v>
      </c>
      <c r="H3554">
        <v>1.22</v>
      </c>
      <c r="I3554" t="s">
        <v>181</v>
      </c>
      <c r="J3554">
        <v>3</v>
      </c>
      <c r="K3554" s="6">
        <v>7</v>
      </c>
      <c r="L3554" t="s">
        <v>174</v>
      </c>
      <c r="M3554">
        <v>0</v>
      </c>
      <c r="N3554" t="s">
        <v>182</v>
      </c>
      <c r="O3554">
        <v>3</v>
      </c>
      <c r="P3554">
        <v>1</v>
      </c>
      <c r="Q3554" s="6">
        <v>110.2</v>
      </c>
      <c r="R3554">
        <v>0</v>
      </c>
      <c r="S3554" s="6">
        <v>0</v>
      </c>
      <c r="T3554">
        <v>0</v>
      </c>
      <c r="U3554" s="6">
        <v>6214</v>
      </c>
      <c r="V3554">
        <v>0</v>
      </c>
      <c r="W3554">
        <v>0</v>
      </c>
      <c r="X3554">
        <v>0</v>
      </c>
      <c r="Y3554" s="6">
        <v>46.5</v>
      </c>
      <c r="Z3554">
        <v>0.40699999999999997</v>
      </c>
      <c r="AA3554">
        <v>0.14499999999999999</v>
      </c>
      <c r="AB3554">
        <v>3.2000000000000001E-2</v>
      </c>
      <c r="AC3554">
        <v>6</v>
      </c>
      <c r="AD3554" s="6">
        <v>60</v>
      </c>
      <c r="AE3554" s="6">
        <v>0</v>
      </c>
      <c r="AF3554" s="6">
        <v>0</v>
      </c>
      <c r="AG3554" s="6">
        <v>114.8</v>
      </c>
      <c r="AH3554" s="6">
        <v>146.29</v>
      </c>
      <c r="AI3554" s="6">
        <f t="shared" si="110"/>
        <v>31.489999999999995</v>
      </c>
      <c r="AJ3554" s="5">
        <f t="shared" si="111"/>
        <v>0.21525736550686989</v>
      </c>
    </row>
    <row r="3555" spans="1:36">
      <c r="A3555" t="s">
        <v>693</v>
      </c>
      <c r="B3555" t="s">
        <v>3840</v>
      </c>
      <c r="C3555" t="s">
        <v>140</v>
      </c>
      <c r="D3555" t="s">
        <v>60</v>
      </c>
      <c r="E3555" t="s">
        <v>69</v>
      </c>
      <c r="F3555">
        <v>0</v>
      </c>
      <c r="G3555">
        <v>1856</v>
      </c>
      <c r="H3555">
        <v>1.22</v>
      </c>
      <c r="I3555" t="s">
        <v>173</v>
      </c>
      <c r="J3555">
        <v>1</v>
      </c>
      <c r="K3555" s="6">
        <v>1.84</v>
      </c>
      <c r="L3555" t="s">
        <v>174</v>
      </c>
      <c r="M3555">
        <v>0</v>
      </c>
      <c r="N3555" t="s">
        <v>182</v>
      </c>
      <c r="O3555">
        <v>3</v>
      </c>
      <c r="P3555">
        <v>0</v>
      </c>
      <c r="Q3555" s="6">
        <v>97.3</v>
      </c>
      <c r="R3555">
        <v>0</v>
      </c>
      <c r="S3555" s="6">
        <v>0</v>
      </c>
      <c r="T3555">
        <v>0</v>
      </c>
      <c r="U3555" s="6">
        <v>7174</v>
      </c>
      <c r="V3555">
        <v>0</v>
      </c>
      <c r="W3555">
        <v>0</v>
      </c>
      <c r="X3555">
        <v>0</v>
      </c>
      <c r="Y3555" s="6">
        <v>46.5</v>
      </c>
      <c r="Z3555">
        <v>0.40699999999999997</v>
      </c>
      <c r="AA3555">
        <v>0.14499999999999999</v>
      </c>
      <c r="AB3555">
        <v>3.2000000000000001E-2</v>
      </c>
      <c r="AC3555">
        <v>6</v>
      </c>
      <c r="AD3555" s="6">
        <v>50</v>
      </c>
      <c r="AE3555" s="6">
        <v>0</v>
      </c>
      <c r="AF3555" s="6">
        <v>0</v>
      </c>
      <c r="AG3555" s="6">
        <v>67.31</v>
      </c>
      <c r="AH3555" s="6">
        <v>84.97</v>
      </c>
      <c r="AI3555" s="6">
        <f t="shared" si="110"/>
        <v>17.659999999999997</v>
      </c>
      <c r="AJ3555" s="5">
        <f t="shared" si="111"/>
        <v>0.20783806049193829</v>
      </c>
    </row>
    <row r="3556" spans="1:36">
      <c r="A3556" t="s">
        <v>457</v>
      </c>
      <c r="B3556" t="s">
        <v>3841</v>
      </c>
      <c r="C3556" t="s">
        <v>140</v>
      </c>
      <c r="D3556" t="s">
        <v>60</v>
      </c>
      <c r="E3556" t="s">
        <v>69</v>
      </c>
      <c r="F3556">
        <v>0</v>
      </c>
      <c r="G3556">
        <v>1856</v>
      </c>
      <c r="H3556">
        <v>1</v>
      </c>
      <c r="I3556" t="s">
        <v>173</v>
      </c>
      <c r="J3556">
        <v>1</v>
      </c>
      <c r="K3556" s="6">
        <v>2.65</v>
      </c>
      <c r="L3556" t="s">
        <v>200</v>
      </c>
      <c r="M3556">
        <v>1</v>
      </c>
      <c r="N3556" t="s">
        <v>175</v>
      </c>
      <c r="O3556">
        <v>1</v>
      </c>
      <c r="P3556">
        <v>0</v>
      </c>
      <c r="Q3556" s="6">
        <v>40.5</v>
      </c>
      <c r="R3556">
        <v>0</v>
      </c>
      <c r="S3556" s="6">
        <v>0</v>
      </c>
      <c r="T3556">
        <v>0</v>
      </c>
      <c r="U3556" s="6">
        <v>1089</v>
      </c>
      <c r="V3556">
        <v>0</v>
      </c>
      <c r="W3556">
        <v>0</v>
      </c>
      <c r="X3556">
        <v>0</v>
      </c>
      <c r="Y3556" s="6">
        <v>46.5</v>
      </c>
      <c r="Z3556">
        <v>0.40699999999999997</v>
      </c>
      <c r="AA3556">
        <v>0.14499999999999999</v>
      </c>
      <c r="AB3556">
        <v>3.2000000000000001E-2</v>
      </c>
      <c r="AC3556">
        <v>6</v>
      </c>
      <c r="AD3556" s="6">
        <v>99</v>
      </c>
      <c r="AE3556" s="6">
        <v>0</v>
      </c>
      <c r="AF3556" s="6">
        <v>0</v>
      </c>
      <c r="AG3556" s="6">
        <v>78.069999999999993</v>
      </c>
      <c r="AH3556" s="6">
        <v>103.05</v>
      </c>
      <c r="AI3556" s="6">
        <f t="shared" si="110"/>
        <v>24.980000000000004</v>
      </c>
      <c r="AJ3556" s="5">
        <f t="shared" si="111"/>
        <v>0.2424065987384765</v>
      </c>
    </row>
    <row r="3557" spans="1:36">
      <c r="A3557" t="s">
        <v>228</v>
      </c>
      <c r="B3557" t="s">
        <v>3842</v>
      </c>
      <c r="C3557" t="s">
        <v>140</v>
      </c>
      <c r="D3557" t="s">
        <v>60</v>
      </c>
      <c r="E3557" t="s">
        <v>69</v>
      </c>
      <c r="F3557">
        <v>0</v>
      </c>
      <c r="G3557">
        <v>1856</v>
      </c>
      <c r="H3557">
        <v>1</v>
      </c>
      <c r="I3557" t="s">
        <v>181</v>
      </c>
      <c r="J3557">
        <v>3</v>
      </c>
      <c r="K3557" s="6">
        <v>6.97</v>
      </c>
      <c r="L3557" t="s">
        <v>174</v>
      </c>
      <c r="M3557">
        <v>0</v>
      </c>
      <c r="N3557" t="s">
        <v>175</v>
      </c>
      <c r="O3557">
        <v>1</v>
      </c>
      <c r="P3557">
        <v>0</v>
      </c>
      <c r="Q3557" s="6">
        <v>53.9</v>
      </c>
      <c r="R3557">
        <v>0</v>
      </c>
      <c r="S3557" s="6">
        <v>0</v>
      </c>
      <c r="T3557">
        <v>0</v>
      </c>
      <c r="U3557" s="6">
        <v>3318</v>
      </c>
      <c r="V3557">
        <v>0</v>
      </c>
      <c r="W3557">
        <v>0</v>
      </c>
      <c r="X3557">
        <v>0</v>
      </c>
      <c r="Y3557" s="6">
        <v>46.5</v>
      </c>
      <c r="Z3557">
        <v>0.40699999999999997</v>
      </c>
      <c r="AA3557">
        <v>0.14499999999999999</v>
      </c>
      <c r="AB3557">
        <v>3.2000000000000001E-2</v>
      </c>
      <c r="AC3557">
        <v>6</v>
      </c>
      <c r="AD3557" s="6">
        <v>60</v>
      </c>
      <c r="AE3557" s="6">
        <v>0</v>
      </c>
      <c r="AF3557" s="6">
        <v>0</v>
      </c>
      <c r="AG3557" s="6">
        <v>65.75</v>
      </c>
      <c r="AH3557" s="6">
        <v>86.16</v>
      </c>
      <c r="AI3557" s="6">
        <f t="shared" si="110"/>
        <v>20.409999999999997</v>
      </c>
      <c r="AJ3557" s="5">
        <f t="shared" si="111"/>
        <v>0.23688486536675948</v>
      </c>
    </row>
    <row r="3558" spans="1:36">
      <c r="A3558" t="s">
        <v>223</v>
      </c>
      <c r="B3558" t="s">
        <v>3843</v>
      </c>
      <c r="C3558" t="s">
        <v>140</v>
      </c>
      <c r="D3558" t="s">
        <v>60</v>
      </c>
      <c r="E3558" t="s">
        <v>69</v>
      </c>
      <c r="F3558">
        <v>0</v>
      </c>
      <c r="G3558">
        <v>1856</v>
      </c>
      <c r="H3558">
        <v>1</v>
      </c>
      <c r="I3558" t="s">
        <v>220</v>
      </c>
      <c r="J3558">
        <v>2</v>
      </c>
      <c r="K3558" s="6">
        <v>5.57</v>
      </c>
      <c r="L3558" t="s">
        <v>174</v>
      </c>
      <c r="M3558">
        <v>0</v>
      </c>
      <c r="N3558" t="s">
        <v>182</v>
      </c>
      <c r="O3558">
        <v>3</v>
      </c>
      <c r="P3558">
        <v>1</v>
      </c>
      <c r="Q3558" s="6">
        <v>104.1</v>
      </c>
      <c r="R3558">
        <v>1</v>
      </c>
      <c r="S3558" s="6">
        <v>200</v>
      </c>
      <c r="T3558">
        <v>0</v>
      </c>
      <c r="U3558" s="6">
        <v>3119</v>
      </c>
      <c r="V3558">
        <v>0</v>
      </c>
      <c r="W3558">
        <v>0</v>
      </c>
      <c r="X3558">
        <v>0</v>
      </c>
      <c r="Y3558" s="6">
        <v>46.5</v>
      </c>
      <c r="Z3558">
        <v>0.40699999999999997</v>
      </c>
      <c r="AA3558">
        <v>0.14499999999999999</v>
      </c>
      <c r="AB3558">
        <v>3.2000000000000001E-2</v>
      </c>
      <c r="AC3558">
        <v>6</v>
      </c>
      <c r="AD3558" s="6">
        <v>50</v>
      </c>
      <c r="AE3558" s="6">
        <v>25</v>
      </c>
      <c r="AF3558" s="6">
        <v>0</v>
      </c>
      <c r="AG3558" s="6">
        <v>94.9</v>
      </c>
      <c r="AH3558" s="6">
        <v>121.56</v>
      </c>
      <c r="AI3558" s="6">
        <f t="shared" si="110"/>
        <v>26.659999999999997</v>
      </c>
      <c r="AJ3558" s="5">
        <f t="shared" si="111"/>
        <v>0.2193155643303718</v>
      </c>
    </row>
    <row r="3559" spans="1:36">
      <c r="A3559" t="s">
        <v>240</v>
      </c>
      <c r="B3559" t="s">
        <v>3844</v>
      </c>
      <c r="C3559" t="s">
        <v>140</v>
      </c>
      <c r="D3559" t="s">
        <v>60</v>
      </c>
      <c r="E3559" t="s">
        <v>69</v>
      </c>
      <c r="F3559">
        <v>0</v>
      </c>
      <c r="G3559">
        <v>1856</v>
      </c>
      <c r="H3559">
        <v>1</v>
      </c>
      <c r="I3559" t="s">
        <v>178</v>
      </c>
      <c r="J3559">
        <v>4</v>
      </c>
      <c r="K3559" s="6">
        <v>13.66</v>
      </c>
      <c r="L3559" t="s">
        <v>174</v>
      </c>
      <c r="M3559">
        <v>0</v>
      </c>
      <c r="N3559" t="s">
        <v>182</v>
      </c>
      <c r="O3559">
        <v>3</v>
      </c>
      <c r="P3559">
        <v>0</v>
      </c>
      <c r="Q3559" s="6">
        <v>122.4</v>
      </c>
      <c r="R3559">
        <v>0</v>
      </c>
      <c r="S3559" s="6">
        <v>0</v>
      </c>
      <c r="T3559">
        <v>0</v>
      </c>
      <c r="U3559" s="6">
        <v>5370</v>
      </c>
      <c r="V3559">
        <v>0</v>
      </c>
      <c r="W3559">
        <v>0</v>
      </c>
      <c r="X3559">
        <v>0</v>
      </c>
      <c r="Y3559" s="6">
        <v>46.5</v>
      </c>
      <c r="Z3559">
        <v>0.40699999999999997</v>
      </c>
      <c r="AA3559">
        <v>0.14499999999999999</v>
      </c>
      <c r="AB3559">
        <v>3.2000000000000001E-2</v>
      </c>
      <c r="AC3559">
        <v>6</v>
      </c>
      <c r="AD3559" s="6">
        <v>65</v>
      </c>
      <c r="AE3559" s="6">
        <v>0</v>
      </c>
      <c r="AF3559" s="6">
        <v>0</v>
      </c>
      <c r="AG3559" s="6">
        <v>132.6</v>
      </c>
      <c r="AH3559" s="6">
        <v>168.16</v>
      </c>
      <c r="AI3559" s="6">
        <f t="shared" si="110"/>
        <v>35.56</v>
      </c>
      <c r="AJ3559" s="5">
        <f t="shared" si="111"/>
        <v>0.211465271170314</v>
      </c>
    </row>
    <row r="3560" spans="1:36">
      <c r="A3560" t="s">
        <v>253</v>
      </c>
      <c r="B3560" t="s">
        <v>3845</v>
      </c>
      <c r="C3560" t="s">
        <v>140</v>
      </c>
      <c r="D3560" t="s">
        <v>60</v>
      </c>
      <c r="E3560" t="s">
        <v>69</v>
      </c>
      <c r="F3560">
        <v>0</v>
      </c>
      <c r="G3560">
        <v>1856</v>
      </c>
      <c r="H3560">
        <v>1</v>
      </c>
      <c r="I3560" t="s">
        <v>173</v>
      </c>
      <c r="J3560">
        <v>1</v>
      </c>
      <c r="K3560" s="6">
        <v>1.69</v>
      </c>
      <c r="L3560" t="s">
        <v>174</v>
      </c>
      <c r="M3560">
        <v>0</v>
      </c>
      <c r="N3560" t="s">
        <v>187</v>
      </c>
      <c r="O3560">
        <v>2</v>
      </c>
      <c r="P3560">
        <v>0</v>
      </c>
      <c r="Q3560" s="6">
        <v>58.4</v>
      </c>
      <c r="R3560">
        <v>1</v>
      </c>
      <c r="S3560" s="6">
        <v>2075</v>
      </c>
      <c r="T3560">
        <v>0</v>
      </c>
      <c r="U3560" s="6">
        <v>2923</v>
      </c>
      <c r="V3560">
        <v>0</v>
      </c>
      <c r="W3560">
        <v>0</v>
      </c>
      <c r="X3560">
        <v>0</v>
      </c>
      <c r="Y3560" s="6">
        <v>46.5</v>
      </c>
      <c r="Z3560">
        <v>0.40699999999999997</v>
      </c>
      <c r="AA3560">
        <v>0.14499999999999999</v>
      </c>
      <c r="AB3560">
        <v>3.2000000000000001E-2</v>
      </c>
      <c r="AC3560">
        <v>6</v>
      </c>
      <c r="AD3560" s="6">
        <v>50</v>
      </c>
      <c r="AE3560" s="6">
        <v>40</v>
      </c>
      <c r="AF3560" s="6">
        <v>0</v>
      </c>
      <c r="AG3560" s="6">
        <v>60.44</v>
      </c>
      <c r="AH3560" s="6">
        <v>77.099999999999994</v>
      </c>
      <c r="AI3560" s="6">
        <f t="shared" si="110"/>
        <v>16.659999999999997</v>
      </c>
      <c r="AJ3560" s="5">
        <f t="shared" si="111"/>
        <v>0.21608300907911801</v>
      </c>
    </row>
    <row r="3561" spans="1:36">
      <c r="A3561" t="s">
        <v>263</v>
      </c>
      <c r="B3561" t="s">
        <v>3846</v>
      </c>
      <c r="C3561" t="s">
        <v>140</v>
      </c>
      <c r="D3561" t="s">
        <v>60</v>
      </c>
      <c r="E3561" t="s">
        <v>69</v>
      </c>
      <c r="F3561">
        <v>0</v>
      </c>
      <c r="G3561">
        <v>1856</v>
      </c>
      <c r="H3561">
        <v>1.22</v>
      </c>
      <c r="I3561" t="s">
        <v>173</v>
      </c>
      <c r="J3561">
        <v>1</v>
      </c>
      <c r="K3561" s="6">
        <v>2.0299999999999998</v>
      </c>
      <c r="L3561" t="s">
        <v>174</v>
      </c>
      <c r="M3561">
        <v>0</v>
      </c>
      <c r="N3561" t="s">
        <v>182</v>
      </c>
      <c r="O3561">
        <v>3</v>
      </c>
      <c r="P3561">
        <v>0</v>
      </c>
      <c r="Q3561" s="6">
        <v>110.3</v>
      </c>
      <c r="R3561">
        <v>1</v>
      </c>
      <c r="S3561" s="6">
        <v>604</v>
      </c>
      <c r="T3561">
        <v>0</v>
      </c>
      <c r="U3561" s="6">
        <v>2698</v>
      </c>
      <c r="V3561">
        <v>0</v>
      </c>
      <c r="W3561">
        <v>0</v>
      </c>
      <c r="X3561">
        <v>0</v>
      </c>
      <c r="Y3561" s="6">
        <v>46.5</v>
      </c>
      <c r="Z3561">
        <v>0.40699999999999997</v>
      </c>
      <c r="AA3561">
        <v>0.14499999999999999</v>
      </c>
      <c r="AB3561">
        <v>3.2000000000000001E-2</v>
      </c>
      <c r="AC3561">
        <v>6</v>
      </c>
      <c r="AD3561" s="6">
        <v>50</v>
      </c>
      <c r="AE3561" s="6">
        <v>25</v>
      </c>
      <c r="AF3561" s="6">
        <v>0</v>
      </c>
      <c r="AG3561" s="6">
        <v>74.91</v>
      </c>
      <c r="AH3561" s="6">
        <v>98.3</v>
      </c>
      <c r="AI3561" s="6">
        <f t="shared" si="110"/>
        <v>23.39</v>
      </c>
      <c r="AJ3561" s="5">
        <f t="shared" si="111"/>
        <v>0.23794506612410987</v>
      </c>
    </row>
    <row r="3562" spans="1:36">
      <c r="A3562" t="s">
        <v>228</v>
      </c>
      <c r="B3562" t="s">
        <v>3847</v>
      </c>
      <c r="C3562" t="s">
        <v>140</v>
      </c>
      <c r="D3562" t="s">
        <v>60</v>
      </c>
      <c r="E3562" t="s">
        <v>69</v>
      </c>
      <c r="F3562">
        <v>0</v>
      </c>
      <c r="G3562">
        <v>1856</v>
      </c>
      <c r="H3562">
        <v>1</v>
      </c>
      <c r="I3562" t="s">
        <v>181</v>
      </c>
      <c r="J3562">
        <v>3</v>
      </c>
      <c r="K3562" s="6">
        <v>6.59</v>
      </c>
      <c r="L3562" t="s">
        <v>174</v>
      </c>
      <c r="M3562">
        <v>0</v>
      </c>
      <c r="N3562" t="s">
        <v>175</v>
      </c>
      <c r="O3562">
        <v>1</v>
      </c>
      <c r="P3562">
        <v>0</v>
      </c>
      <c r="Q3562" s="6">
        <v>48.9</v>
      </c>
      <c r="R3562">
        <v>0</v>
      </c>
      <c r="S3562" s="6">
        <v>0</v>
      </c>
      <c r="T3562">
        <v>0</v>
      </c>
      <c r="U3562" s="6">
        <v>2393</v>
      </c>
      <c r="V3562">
        <v>0</v>
      </c>
      <c r="W3562">
        <v>0</v>
      </c>
      <c r="X3562">
        <v>0</v>
      </c>
      <c r="Y3562" s="6">
        <v>46.5</v>
      </c>
      <c r="Z3562">
        <v>0.40699999999999997</v>
      </c>
      <c r="AA3562">
        <v>0.14499999999999999</v>
      </c>
      <c r="AB3562">
        <v>3.2000000000000001E-2</v>
      </c>
      <c r="AC3562">
        <v>6</v>
      </c>
      <c r="AD3562" s="6">
        <v>60</v>
      </c>
      <c r="AE3562" s="6">
        <v>0</v>
      </c>
      <c r="AF3562" s="6">
        <v>0</v>
      </c>
      <c r="AG3562" s="6">
        <v>77.930000000000007</v>
      </c>
      <c r="AH3562" s="6">
        <v>99.38</v>
      </c>
      <c r="AI3562" s="6">
        <f t="shared" si="110"/>
        <v>21.449999999999989</v>
      </c>
      <c r="AJ3562" s="5">
        <f t="shared" si="111"/>
        <v>0.21583819682028565</v>
      </c>
    </row>
    <row r="3563" spans="1:36">
      <c r="A3563" t="s">
        <v>183</v>
      </c>
      <c r="B3563" t="s">
        <v>3848</v>
      </c>
      <c r="C3563" t="s">
        <v>140</v>
      </c>
      <c r="D3563" t="s">
        <v>60</v>
      </c>
      <c r="E3563" t="s">
        <v>69</v>
      </c>
      <c r="F3563">
        <v>0</v>
      </c>
      <c r="G3563">
        <v>1856</v>
      </c>
      <c r="H3563">
        <v>1</v>
      </c>
      <c r="I3563" t="s">
        <v>173</v>
      </c>
      <c r="J3563">
        <v>1</v>
      </c>
      <c r="K3563" s="6">
        <v>2.98</v>
      </c>
      <c r="L3563" t="s">
        <v>200</v>
      </c>
      <c r="M3563">
        <v>1</v>
      </c>
      <c r="N3563" t="s">
        <v>272</v>
      </c>
      <c r="O3563">
        <v>5</v>
      </c>
      <c r="P3563">
        <v>1</v>
      </c>
      <c r="Q3563" s="6">
        <v>304</v>
      </c>
      <c r="R3563">
        <v>1</v>
      </c>
      <c r="S3563" s="6">
        <v>6827</v>
      </c>
      <c r="T3563">
        <v>0</v>
      </c>
      <c r="U3563" s="6">
        <v>2681</v>
      </c>
      <c r="V3563">
        <v>0</v>
      </c>
      <c r="W3563">
        <v>0</v>
      </c>
      <c r="X3563">
        <v>0</v>
      </c>
      <c r="Y3563" s="6">
        <v>46.5</v>
      </c>
      <c r="Z3563">
        <v>0.40699999999999997</v>
      </c>
      <c r="AA3563">
        <v>0.14499999999999999</v>
      </c>
      <c r="AB3563">
        <v>3.2000000000000001E-2</v>
      </c>
      <c r="AC3563">
        <v>6</v>
      </c>
      <c r="AD3563" s="6">
        <v>99</v>
      </c>
      <c r="AE3563" s="6">
        <v>50</v>
      </c>
      <c r="AF3563" s="6">
        <v>0</v>
      </c>
      <c r="AG3563" s="6">
        <v>200.12</v>
      </c>
      <c r="AH3563" s="6">
        <v>251.9</v>
      </c>
      <c r="AI3563" s="6">
        <f t="shared" si="110"/>
        <v>51.78</v>
      </c>
      <c r="AJ3563" s="5">
        <f t="shared" si="111"/>
        <v>0.20555776101627629</v>
      </c>
    </row>
    <row r="3564" spans="1:36">
      <c r="A3564" t="s">
        <v>528</v>
      </c>
      <c r="B3564" t="s">
        <v>3849</v>
      </c>
      <c r="C3564" t="s">
        <v>140</v>
      </c>
      <c r="D3564" t="s">
        <v>60</v>
      </c>
      <c r="E3564" t="s">
        <v>69</v>
      </c>
      <c r="F3564">
        <v>0</v>
      </c>
      <c r="G3564">
        <v>1856</v>
      </c>
      <c r="H3564">
        <v>1.22</v>
      </c>
      <c r="I3564" t="s">
        <v>173</v>
      </c>
      <c r="J3564">
        <v>1</v>
      </c>
      <c r="K3564" s="6">
        <v>3.08</v>
      </c>
      <c r="L3564" t="s">
        <v>200</v>
      </c>
      <c r="M3564">
        <v>1</v>
      </c>
      <c r="N3564" t="s">
        <v>187</v>
      </c>
      <c r="O3564">
        <v>2</v>
      </c>
      <c r="P3564">
        <v>1</v>
      </c>
      <c r="Q3564" s="6">
        <v>63.1</v>
      </c>
      <c r="R3564">
        <v>0</v>
      </c>
      <c r="S3564" s="6">
        <v>0</v>
      </c>
      <c r="T3564">
        <v>0</v>
      </c>
      <c r="U3564" s="6">
        <v>831</v>
      </c>
      <c r="V3564">
        <v>0</v>
      </c>
      <c r="W3564">
        <v>0</v>
      </c>
      <c r="X3564">
        <v>0</v>
      </c>
      <c r="Y3564" s="6">
        <v>46.5</v>
      </c>
      <c r="Z3564">
        <v>0.40699999999999997</v>
      </c>
      <c r="AA3564">
        <v>0.14499999999999999</v>
      </c>
      <c r="AB3564">
        <v>3.2000000000000001E-2</v>
      </c>
      <c r="AC3564">
        <v>6</v>
      </c>
      <c r="AD3564" s="6">
        <v>99</v>
      </c>
      <c r="AE3564" s="6">
        <v>0</v>
      </c>
      <c r="AF3564" s="6">
        <v>0</v>
      </c>
      <c r="AG3564" s="6">
        <v>127.28</v>
      </c>
      <c r="AH3564" s="6">
        <v>161.72</v>
      </c>
      <c r="AI3564" s="6">
        <f t="shared" si="110"/>
        <v>34.44</v>
      </c>
      <c r="AJ3564" s="5">
        <f t="shared" si="111"/>
        <v>0.21296067276774672</v>
      </c>
    </row>
    <row r="3565" spans="1:36">
      <c r="A3565" t="s">
        <v>330</v>
      </c>
      <c r="B3565" t="s">
        <v>3850</v>
      </c>
      <c r="C3565" t="s">
        <v>140</v>
      </c>
      <c r="D3565" t="s">
        <v>60</v>
      </c>
      <c r="E3565" t="s">
        <v>69</v>
      </c>
      <c r="F3565">
        <v>0</v>
      </c>
      <c r="G3565">
        <v>1856</v>
      </c>
      <c r="H3565">
        <v>1.22</v>
      </c>
      <c r="I3565" t="s">
        <v>173</v>
      </c>
      <c r="J3565">
        <v>1</v>
      </c>
      <c r="K3565" s="6">
        <v>2.4700000000000002</v>
      </c>
      <c r="L3565" t="s">
        <v>174</v>
      </c>
      <c r="M3565">
        <v>0</v>
      </c>
      <c r="N3565" t="s">
        <v>175</v>
      </c>
      <c r="O3565">
        <v>1</v>
      </c>
      <c r="P3565">
        <v>0</v>
      </c>
      <c r="Q3565" s="6">
        <v>23.9</v>
      </c>
      <c r="R3565">
        <v>1</v>
      </c>
      <c r="S3565" s="6">
        <v>1096</v>
      </c>
      <c r="T3565">
        <v>0</v>
      </c>
      <c r="U3565" s="6">
        <v>1216</v>
      </c>
      <c r="V3565">
        <v>0</v>
      </c>
      <c r="W3565">
        <v>0</v>
      </c>
      <c r="X3565">
        <v>0</v>
      </c>
      <c r="Y3565" s="6">
        <v>46.5</v>
      </c>
      <c r="Z3565">
        <v>0.40699999999999997</v>
      </c>
      <c r="AA3565">
        <v>0.14499999999999999</v>
      </c>
      <c r="AB3565">
        <v>3.2000000000000001E-2</v>
      </c>
      <c r="AC3565">
        <v>6</v>
      </c>
      <c r="AD3565" s="6">
        <v>50</v>
      </c>
      <c r="AE3565" s="6">
        <v>25</v>
      </c>
      <c r="AF3565" s="6">
        <v>0</v>
      </c>
      <c r="AG3565" s="6">
        <v>53.18</v>
      </c>
      <c r="AH3565" s="6">
        <v>67.08</v>
      </c>
      <c r="AI3565" s="6">
        <f t="shared" si="110"/>
        <v>13.899999999999999</v>
      </c>
      <c r="AJ3565" s="5">
        <f t="shared" si="111"/>
        <v>0.20721526535480023</v>
      </c>
    </row>
    <row r="3566" spans="1:36">
      <c r="A3566" t="s">
        <v>393</v>
      </c>
      <c r="B3566" t="s">
        <v>3851</v>
      </c>
      <c r="C3566" t="s">
        <v>140</v>
      </c>
      <c r="D3566" t="s">
        <v>60</v>
      </c>
      <c r="E3566" t="s">
        <v>69</v>
      </c>
      <c r="F3566">
        <v>0</v>
      </c>
      <c r="G3566">
        <v>1856</v>
      </c>
      <c r="H3566">
        <v>1.22</v>
      </c>
      <c r="I3566" t="s">
        <v>173</v>
      </c>
      <c r="J3566">
        <v>1</v>
      </c>
      <c r="K3566" s="6">
        <v>1.84</v>
      </c>
      <c r="L3566" t="s">
        <v>200</v>
      </c>
      <c r="M3566">
        <v>1</v>
      </c>
      <c r="N3566" t="s">
        <v>182</v>
      </c>
      <c r="O3566">
        <v>3</v>
      </c>
      <c r="P3566">
        <v>0</v>
      </c>
      <c r="Q3566" s="6">
        <v>103.2</v>
      </c>
      <c r="R3566">
        <v>1</v>
      </c>
      <c r="S3566" s="6">
        <v>1547</v>
      </c>
      <c r="T3566">
        <v>0</v>
      </c>
      <c r="U3566" s="6">
        <v>2177</v>
      </c>
      <c r="V3566">
        <v>0</v>
      </c>
      <c r="W3566">
        <v>0</v>
      </c>
      <c r="X3566">
        <v>0</v>
      </c>
      <c r="Y3566" s="6">
        <v>46.5</v>
      </c>
      <c r="Z3566">
        <v>0.40699999999999997</v>
      </c>
      <c r="AA3566">
        <v>0.14499999999999999</v>
      </c>
      <c r="AB3566">
        <v>3.2000000000000001E-2</v>
      </c>
      <c r="AC3566">
        <v>6</v>
      </c>
      <c r="AD3566" s="6">
        <v>99</v>
      </c>
      <c r="AE3566" s="6">
        <v>25</v>
      </c>
      <c r="AF3566" s="6">
        <v>0</v>
      </c>
      <c r="AG3566" s="6">
        <v>98.49</v>
      </c>
      <c r="AH3566" s="6">
        <v>127.58</v>
      </c>
      <c r="AI3566" s="6">
        <f t="shared" si="110"/>
        <v>29.090000000000003</v>
      </c>
      <c r="AJ3566" s="5">
        <f t="shared" si="111"/>
        <v>0.22801379526571566</v>
      </c>
    </row>
    <row r="3567" spans="1:36">
      <c r="A3567" t="s">
        <v>434</v>
      </c>
      <c r="B3567" t="s">
        <v>3852</v>
      </c>
      <c r="C3567" t="s">
        <v>140</v>
      </c>
      <c r="D3567" t="s">
        <v>60</v>
      </c>
      <c r="E3567" t="s">
        <v>69</v>
      </c>
      <c r="F3567">
        <v>0</v>
      </c>
      <c r="G3567">
        <v>1856</v>
      </c>
      <c r="H3567">
        <v>1</v>
      </c>
      <c r="I3567" t="s">
        <v>173</v>
      </c>
      <c r="J3567">
        <v>1</v>
      </c>
      <c r="K3567" s="6">
        <v>1.7</v>
      </c>
      <c r="L3567" t="s">
        <v>200</v>
      </c>
      <c r="M3567">
        <v>1</v>
      </c>
      <c r="N3567" t="s">
        <v>217</v>
      </c>
      <c r="O3567">
        <v>4</v>
      </c>
      <c r="P3567">
        <v>1</v>
      </c>
      <c r="Q3567" s="6">
        <v>137.6</v>
      </c>
      <c r="R3567">
        <v>0</v>
      </c>
      <c r="S3567" s="6">
        <v>0</v>
      </c>
      <c r="T3567">
        <v>0</v>
      </c>
      <c r="U3567" s="6">
        <v>5550</v>
      </c>
      <c r="V3567">
        <v>0</v>
      </c>
      <c r="W3567">
        <v>0</v>
      </c>
      <c r="X3567">
        <v>0</v>
      </c>
      <c r="Y3567" s="6">
        <v>46.5</v>
      </c>
      <c r="Z3567">
        <v>0.40699999999999997</v>
      </c>
      <c r="AA3567">
        <v>0.14499999999999999</v>
      </c>
      <c r="AB3567">
        <v>3.2000000000000001E-2</v>
      </c>
      <c r="AC3567">
        <v>6</v>
      </c>
      <c r="AD3567" s="6">
        <v>99</v>
      </c>
      <c r="AE3567" s="6">
        <v>0</v>
      </c>
      <c r="AF3567" s="6">
        <v>0</v>
      </c>
      <c r="AG3567" s="6">
        <v>143.16999999999999</v>
      </c>
      <c r="AH3567" s="6">
        <v>182.42</v>
      </c>
      <c r="AI3567" s="6">
        <f t="shared" si="110"/>
        <v>39.25</v>
      </c>
      <c r="AJ3567" s="5">
        <f t="shared" si="111"/>
        <v>0.21516281109527466</v>
      </c>
    </row>
    <row r="3568" spans="1:36">
      <c r="A3568" t="s">
        <v>188</v>
      </c>
      <c r="B3568" t="s">
        <v>3853</v>
      </c>
      <c r="C3568" t="s">
        <v>140</v>
      </c>
      <c r="D3568" t="s">
        <v>60</v>
      </c>
      <c r="E3568" t="s">
        <v>69</v>
      </c>
      <c r="F3568">
        <v>0</v>
      </c>
      <c r="G3568">
        <v>1856</v>
      </c>
      <c r="H3568">
        <v>1.22</v>
      </c>
      <c r="I3568" t="s">
        <v>220</v>
      </c>
      <c r="J3568">
        <v>2</v>
      </c>
      <c r="K3568" s="6">
        <v>4.22</v>
      </c>
      <c r="L3568" t="s">
        <v>200</v>
      </c>
      <c r="M3568">
        <v>1</v>
      </c>
      <c r="N3568" t="s">
        <v>175</v>
      </c>
      <c r="O3568">
        <v>1</v>
      </c>
      <c r="P3568">
        <v>0</v>
      </c>
      <c r="Q3568" s="6">
        <v>42.9</v>
      </c>
      <c r="R3568">
        <v>1</v>
      </c>
      <c r="S3568" s="6">
        <v>848</v>
      </c>
      <c r="T3568">
        <v>0</v>
      </c>
      <c r="U3568" s="6">
        <v>1844</v>
      </c>
      <c r="V3568">
        <v>0</v>
      </c>
      <c r="W3568">
        <v>0</v>
      </c>
      <c r="X3568">
        <v>0</v>
      </c>
      <c r="Y3568" s="6">
        <v>46.5</v>
      </c>
      <c r="Z3568">
        <v>0.40699999999999997</v>
      </c>
      <c r="AA3568">
        <v>0.14499999999999999</v>
      </c>
      <c r="AB3568">
        <v>3.2000000000000001E-2</v>
      </c>
      <c r="AC3568">
        <v>6</v>
      </c>
      <c r="AD3568" s="6">
        <v>119</v>
      </c>
      <c r="AE3568" s="6">
        <v>25</v>
      </c>
      <c r="AF3568" s="6">
        <v>0</v>
      </c>
      <c r="AG3568" s="6">
        <v>100.11</v>
      </c>
      <c r="AH3568" s="6">
        <v>126.93</v>
      </c>
      <c r="AI3568" s="6">
        <f t="shared" si="110"/>
        <v>26.820000000000007</v>
      </c>
      <c r="AJ3568" s="5">
        <f t="shared" si="111"/>
        <v>0.21129756558733165</v>
      </c>
    </row>
    <row r="3569" spans="1:36">
      <c r="A3569" t="s">
        <v>249</v>
      </c>
      <c r="B3569" t="s">
        <v>3854</v>
      </c>
      <c r="C3569" t="s">
        <v>140</v>
      </c>
      <c r="D3569" t="s">
        <v>60</v>
      </c>
      <c r="E3569" t="s">
        <v>69</v>
      </c>
      <c r="F3569">
        <v>0</v>
      </c>
      <c r="G3569">
        <v>1856</v>
      </c>
      <c r="H3569">
        <v>1</v>
      </c>
      <c r="I3569" t="s">
        <v>220</v>
      </c>
      <c r="J3569">
        <v>2</v>
      </c>
      <c r="K3569" s="6">
        <v>3.36</v>
      </c>
      <c r="L3569" t="s">
        <v>174</v>
      </c>
      <c r="M3569">
        <v>0</v>
      </c>
      <c r="N3569" t="s">
        <v>187</v>
      </c>
      <c r="O3569">
        <v>2</v>
      </c>
      <c r="P3569">
        <v>0</v>
      </c>
      <c r="Q3569" s="6">
        <v>33.9</v>
      </c>
      <c r="R3569">
        <v>1</v>
      </c>
      <c r="S3569" s="6">
        <v>1514</v>
      </c>
      <c r="T3569">
        <v>0</v>
      </c>
      <c r="U3569" s="6">
        <v>2795</v>
      </c>
      <c r="V3569">
        <v>0</v>
      </c>
      <c r="W3569">
        <v>0</v>
      </c>
      <c r="X3569">
        <v>0</v>
      </c>
      <c r="Y3569" s="6">
        <v>46.5</v>
      </c>
      <c r="Z3569">
        <v>0.40699999999999997</v>
      </c>
      <c r="AA3569">
        <v>0.14499999999999999</v>
      </c>
      <c r="AB3569">
        <v>3.2000000000000001E-2</v>
      </c>
      <c r="AC3569">
        <v>6</v>
      </c>
      <c r="AD3569" s="6">
        <v>50</v>
      </c>
      <c r="AE3569" s="6">
        <v>25</v>
      </c>
      <c r="AF3569" s="6">
        <v>0</v>
      </c>
      <c r="AG3569" s="6">
        <v>62.13</v>
      </c>
      <c r="AH3569" s="6">
        <v>79.099999999999994</v>
      </c>
      <c r="AI3569" s="6">
        <f t="shared" si="110"/>
        <v>16.969999999999992</v>
      </c>
      <c r="AJ3569" s="5">
        <f t="shared" si="111"/>
        <v>0.21453855878634631</v>
      </c>
    </row>
    <row r="3570" spans="1:36">
      <c r="A3570" t="s">
        <v>233</v>
      </c>
      <c r="B3570" t="s">
        <v>3855</v>
      </c>
      <c r="C3570" t="s">
        <v>140</v>
      </c>
      <c r="D3570" t="s">
        <v>60</v>
      </c>
      <c r="E3570" t="s">
        <v>69</v>
      </c>
      <c r="F3570">
        <v>0</v>
      </c>
      <c r="G3570">
        <v>1856</v>
      </c>
      <c r="H3570">
        <v>1.22</v>
      </c>
      <c r="I3570" t="s">
        <v>173</v>
      </c>
      <c r="J3570">
        <v>1</v>
      </c>
      <c r="K3570" s="6">
        <v>2.04</v>
      </c>
      <c r="L3570" t="s">
        <v>200</v>
      </c>
      <c r="M3570">
        <v>1</v>
      </c>
      <c r="N3570" t="s">
        <v>175</v>
      </c>
      <c r="O3570">
        <v>1</v>
      </c>
      <c r="P3570">
        <v>0</v>
      </c>
      <c r="Q3570" s="6">
        <v>43.7</v>
      </c>
      <c r="R3570">
        <v>0</v>
      </c>
      <c r="S3570" s="6">
        <v>0</v>
      </c>
      <c r="T3570">
        <v>0</v>
      </c>
      <c r="U3570" s="6">
        <v>5782</v>
      </c>
      <c r="V3570">
        <v>0</v>
      </c>
      <c r="W3570">
        <v>0</v>
      </c>
      <c r="X3570">
        <v>0</v>
      </c>
      <c r="Y3570" s="6">
        <v>46.5</v>
      </c>
      <c r="Z3570">
        <v>0.40699999999999997</v>
      </c>
      <c r="AA3570">
        <v>0.14499999999999999</v>
      </c>
      <c r="AB3570">
        <v>3.2000000000000001E-2</v>
      </c>
      <c r="AC3570">
        <v>6</v>
      </c>
      <c r="AD3570" s="6">
        <v>99</v>
      </c>
      <c r="AE3570" s="6">
        <v>0</v>
      </c>
      <c r="AF3570" s="6">
        <v>0</v>
      </c>
      <c r="AG3570" s="6">
        <v>83.46</v>
      </c>
      <c r="AH3570" s="6">
        <v>105.25</v>
      </c>
      <c r="AI3570" s="6">
        <f t="shared" si="110"/>
        <v>21.790000000000006</v>
      </c>
      <c r="AJ3570" s="5">
        <f t="shared" si="111"/>
        <v>0.20703087885985755</v>
      </c>
    </row>
    <row r="3571" spans="1:36">
      <c r="A3571" t="s">
        <v>277</v>
      </c>
      <c r="B3571" t="s">
        <v>3856</v>
      </c>
      <c r="C3571" t="s">
        <v>140</v>
      </c>
      <c r="D3571" t="s">
        <v>60</v>
      </c>
      <c r="E3571" t="s">
        <v>69</v>
      </c>
      <c r="F3571">
        <v>0</v>
      </c>
      <c r="G3571">
        <v>1856</v>
      </c>
      <c r="H3571">
        <v>1.22</v>
      </c>
      <c r="I3571" t="s">
        <v>173</v>
      </c>
      <c r="J3571">
        <v>1</v>
      </c>
      <c r="K3571" s="6">
        <v>1.29</v>
      </c>
      <c r="L3571" t="s">
        <v>200</v>
      </c>
      <c r="M3571">
        <v>1</v>
      </c>
      <c r="N3571" t="s">
        <v>182</v>
      </c>
      <c r="O3571">
        <v>3</v>
      </c>
      <c r="P3571">
        <v>0</v>
      </c>
      <c r="Q3571" s="6">
        <v>98</v>
      </c>
      <c r="R3571">
        <v>0</v>
      </c>
      <c r="S3571" s="6">
        <v>0</v>
      </c>
      <c r="T3571">
        <v>0</v>
      </c>
      <c r="U3571" s="6">
        <v>7139</v>
      </c>
      <c r="V3571">
        <v>0</v>
      </c>
      <c r="W3571">
        <v>0</v>
      </c>
      <c r="X3571">
        <v>0</v>
      </c>
      <c r="Y3571" s="6">
        <v>46.5</v>
      </c>
      <c r="Z3571">
        <v>0.40699999999999997</v>
      </c>
      <c r="AA3571">
        <v>0.14499999999999999</v>
      </c>
      <c r="AB3571">
        <v>3.2000000000000001E-2</v>
      </c>
      <c r="AC3571">
        <v>6</v>
      </c>
      <c r="AD3571" s="6">
        <v>99</v>
      </c>
      <c r="AE3571" s="6">
        <v>0</v>
      </c>
      <c r="AF3571" s="6">
        <v>0</v>
      </c>
      <c r="AG3571" s="6">
        <v>92.68</v>
      </c>
      <c r="AH3571" s="6">
        <v>117</v>
      </c>
      <c r="AI3571" s="6">
        <f t="shared" si="110"/>
        <v>24.319999999999993</v>
      </c>
      <c r="AJ3571" s="5">
        <f t="shared" si="111"/>
        <v>0.20786324786324781</v>
      </c>
    </row>
    <row r="3572" spans="1:36">
      <c r="A3572" t="s">
        <v>512</v>
      </c>
      <c r="B3572" t="s">
        <v>3857</v>
      </c>
      <c r="C3572" t="s">
        <v>140</v>
      </c>
      <c r="D3572" t="s">
        <v>60</v>
      </c>
      <c r="E3572" t="s">
        <v>69</v>
      </c>
      <c r="F3572">
        <v>0</v>
      </c>
      <c r="G3572">
        <v>1856</v>
      </c>
      <c r="H3572">
        <v>1.22</v>
      </c>
      <c r="I3572" t="s">
        <v>173</v>
      </c>
      <c r="J3572">
        <v>1</v>
      </c>
      <c r="K3572" s="6">
        <v>0.63</v>
      </c>
      <c r="L3572" t="s">
        <v>174</v>
      </c>
      <c r="M3572">
        <v>0</v>
      </c>
      <c r="N3572" t="s">
        <v>187</v>
      </c>
      <c r="O3572">
        <v>2</v>
      </c>
      <c r="P3572">
        <v>0</v>
      </c>
      <c r="Q3572" s="6">
        <v>77.3</v>
      </c>
      <c r="R3572">
        <v>0</v>
      </c>
      <c r="S3572" s="6">
        <v>0</v>
      </c>
      <c r="T3572">
        <v>0</v>
      </c>
      <c r="U3572" s="6">
        <v>704</v>
      </c>
      <c r="V3572">
        <v>0</v>
      </c>
      <c r="W3572">
        <v>0</v>
      </c>
      <c r="X3572">
        <v>0</v>
      </c>
      <c r="Y3572" s="6">
        <v>46.5</v>
      </c>
      <c r="Z3572">
        <v>0.40699999999999997</v>
      </c>
      <c r="AA3572">
        <v>0.14499999999999999</v>
      </c>
      <c r="AB3572">
        <v>3.2000000000000001E-2</v>
      </c>
      <c r="AC3572">
        <v>6</v>
      </c>
      <c r="AD3572" s="6">
        <v>50</v>
      </c>
      <c r="AE3572" s="6">
        <v>0</v>
      </c>
      <c r="AF3572" s="6">
        <v>0</v>
      </c>
      <c r="AG3572" s="6">
        <v>62.84</v>
      </c>
      <c r="AH3572" s="6">
        <v>79.77</v>
      </c>
      <c r="AI3572" s="6">
        <f t="shared" si="110"/>
        <v>16.929999999999993</v>
      </c>
      <c r="AJ3572" s="5">
        <f t="shared" si="111"/>
        <v>0.21223517613137763</v>
      </c>
    </row>
    <row r="3573" spans="1:36">
      <c r="A3573" t="s">
        <v>230</v>
      </c>
      <c r="B3573" t="s">
        <v>3858</v>
      </c>
      <c r="C3573" t="s">
        <v>140</v>
      </c>
      <c r="D3573" t="s">
        <v>60</v>
      </c>
      <c r="E3573" t="s">
        <v>69</v>
      </c>
      <c r="F3573">
        <v>0</v>
      </c>
      <c r="G3573">
        <v>1856</v>
      </c>
      <c r="H3573">
        <v>1</v>
      </c>
      <c r="I3573" t="s">
        <v>173</v>
      </c>
      <c r="J3573">
        <v>1</v>
      </c>
      <c r="K3573" s="6">
        <v>1.54</v>
      </c>
      <c r="L3573" t="s">
        <v>174</v>
      </c>
      <c r="M3573">
        <v>0</v>
      </c>
      <c r="N3573" t="s">
        <v>175</v>
      </c>
      <c r="O3573">
        <v>1</v>
      </c>
      <c r="P3573">
        <v>1</v>
      </c>
      <c r="Q3573" s="6">
        <v>38.700000000000003</v>
      </c>
      <c r="R3573">
        <v>0</v>
      </c>
      <c r="S3573" s="6">
        <v>0</v>
      </c>
      <c r="T3573">
        <v>0</v>
      </c>
      <c r="U3573" s="6">
        <v>803</v>
      </c>
      <c r="V3573">
        <v>0</v>
      </c>
      <c r="W3573">
        <v>0</v>
      </c>
      <c r="X3573">
        <v>0</v>
      </c>
      <c r="Y3573" s="6">
        <v>46.5</v>
      </c>
      <c r="Z3573">
        <v>0.40699999999999997</v>
      </c>
      <c r="AA3573">
        <v>0.14499999999999999</v>
      </c>
      <c r="AB3573">
        <v>3.2000000000000001E-2</v>
      </c>
      <c r="AC3573">
        <v>6</v>
      </c>
      <c r="AD3573" s="6">
        <v>50</v>
      </c>
      <c r="AE3573" s="6">
        <v>0</v>
      </c>
      <c r="AF3573" s="6">
        <v>0</v>
      </c>
      <c r="AG3573" s="6">
        <v>69.75</v>
      </c>
      <c r="AH3573" s="6">
        <v>92.01</v>
      </c>
      <c r="AI3573" s="6">
        <f t="shared" si="110"/>
        <v>22.260000000000005</v>
      </c>
      <c r="AJ3573" s="5">
        <f t="shared" si="111"/>
        <v>0.24193022497554617</v>
      </c>
    </row>
    <row r="3574" spans="1:36">
      <c r="A3574" t="s">
        <v>221</v>
      </c>
      <c r="B3574" t="s">
        <v>3859</v>
      </c>
      <c r="C3574" t="s">
        <v>140</v>
      </c>
      <c r="D3574" t="s">
        <v>60</v>
      </c>
      <c r="E3574" t="s">
        <v>69</v>
      </c>
      <c r="F3574">
        <v>0</v>
      </c>
      <c r="G3574">
        <v>1856</v>
      </c>
      <c r="H3574">
        <v>1</v>
      </c>
      <c r="I3574" t="s">
        <v>181</v>
      </c>
      <c r="J3574">
        <v>3</v>
      </c>
      <c r="K3574" s="6">
        <v>9.08</v>
      </c>
      <c r="L3574" t="s">
        <v>174</v>
      </c>
      <c r="M3574">
        <v>0</v>
      </c>
      <c r="N3574" t="s">
        <v>182</v>
      </c>
      <c r="O3574">
        <v>3</v>
      </c>
      <c r="P3574">
        <v>0</v>
      </c>
      <c r="Q3574" s="6">
        <v>95.2</v>
      </c>
      <c r="R3574">
        <v>1</v>
      </c>
      <c r="S3574" s="6">
        <v>1052</v>
      </c>
      <c r="T3574">
        <v>0</v>
      </c>
      <c r="U3574" s="6">
        <v>2386</v>
      </c>
      <c r="V3574">
        <v>0</v>
      </c>
      <c r="W3574">
        <v>0</v>
      </c>
      <c r="X3574">
        <v>0</v>
      </c>
      <c r="Y3574" s="6">
        <v>46.5</v>
      </c>
      <c r="Z3574">
        <v>0.40699999999999997</v>
      </c>
      <c r="AA3574">
        <v>0.14499999999999999</v>
      </c>
      <c r="AB3574">
        <v>3.2000000000000001E-2</v>
      </c>
      <c r="AC3574">
        <v>6</v>
      </c>
      <c r="AD3574" s="6">
        <v>60</v>
      </c>
      <c r="AE3574" s="6">
        <v>25</v>
      </c>
      <c r="AF3574" s="6">
        <v>0</v>
      </c>
      <c r="AG3574" s="6">
        <v>108.84</v>
      </c>
      <c r="AH3574" s="6">
        <v>140.28</v>
      </c>
      <c r="AI3574" s="6">
        <f t="shared" si="110"/>
        <v>31.439999999999998</v>
      </c>
      <c r="AJ3574" s="5">
        <f t="shared" si="111"/>
        <v>0.22412318220701452</v>
      </c>
    </row>
    <row r="3575" spans="1:36">
      <c r="A3575" t="s">
        <v>210</v>
      </c>
      <c r="B3575" t="s">
        <v>3860</v>
      </c>
      <c r="C3575" t="s">
        <v>140</v>
      </c>
      <c r="D3575" t="s">
        <v>60</v>
      </c>
      <c r="E3575" t="s">
        <v>69</v>
      </c>
      <c r="F3575">
        <v>0</v>
      </c>
      <c r="G3575">
        <v>1856</v>
      </c>
      <c r="H3575">
        <v>1</v>
      </c>
      <c r="I3575" t="s">
        <v>173</v>
      </c>
      <c r="J3575">
        <v>1</v>
      </c>
      <c r="K3575" s="6">
        <v>1.22</v>
      </c>
      <c r="L3575" t="s">
        <v>174</v>
      </c>
      <c r="M3575">
        <v>0</v>
      </c>
      <c r="N3575" t="s">
        <v>187</v>
      </c>
      <c r="O3575">
        <v>2</v>
      </c>
      <c r="P3575">
        <v>0</v>
      </c>
      <c r="Q3575" s="6">
        <v>36.4</v>
      </c>
      <c r="R3575">
        <v>1</v>
      </c>
      <c r="S3575" s="6">
        <v>2025</v>
      </c>
      <c r="T3575">
        <v>0</v>
      </c>
      <c r="U3575" s="6">
        <v>2139</v>
      </c>
      <c r="V3575">
        <v>0</v>
      </c>
      <c r="W3575">
        <v>0</v>
      </c>
      <c r="X3575">
        <v>0</v>
      </c>
      <c r="Y3575" s="6">
        <v>46.5</v>
      </c>
      <c r="Z3575">
        <v>0.40699999999999997</v>
      </c>
      <c r="AA3575">
        <v>0.14499999999999999</v>
      </c>
      <c r="AB3575">
        <v>3.2000000000000001E-2</v>
      </c>
      <c r="AC3575">
        <v>6</v>
      </c>
      <c r="AD3575" s="6">
        <v>50</v>
      </c>
      <c r="AE3575" s="6">
        <v>40</v>
      </c>
      <c r="AF3575" s="6">
        <v>0</v>
      </c>
      <c r="AG3575" s="6">
        <v>52.08</v>
      </c>
      <c r="AH3575" s="6">
        <v>68.69</v>
      </c>
      <c r="AI3575" s="6">
        <f t="shared" si="110"/>
        <v>16.61</v>
      </c>
      <c r="AJ3575" s="5">
        <f t="shared" si="111"/>
        <v>0.24181103508516524</v>
      </c>
    </row>
    <row r="3576" spans="1:36">
      <c r="A3576" t="s">
        <v>255</v>
      </c>
      <c r="B3576" t="s">
        <v>3861</v>
      </c>
      <c r="C3576" t="s">
        <v>140</v>
      </c>
      <c r="D3576" t="s">
        <v>60</v>
      </c>
      <c r="E3576" t="s">
        <v>69</v>
      </c>
      <c r="F3576">
        <v>0</v>
      </c>
      <c r="G3576">
        <v>1856</v>
      </c>
      <c r="H3576">
        <v>1.22</v>
      </c>
      <c r="I3576" t="s">
        <v>181</v>
      </c>
      <c r="J3576">
        <v>3</v>
      </c>
      <c r="K3576" s="6">
        <v>1.71</v>
      </c>
      <c r="L3576" t="s">
        <v>174</v>
      </c>
      <c r="M3576">
        <v>0</v>
      </c>
      <c r="N3576" t="s">
        <v>182</v>
      </c>
      <c r="O3576">
        <v>3</v>
      </c>
      <c r="P3576">
        <v>0</v>
      </c>
      <c r="Q3576" s="6">
        <v>121.7</v>
      </c>
      <c r="R3576">
        <v>0</v>
      </c>
      <c r="S3576" s="6">
        <v>0</v>
      </c>
      <c r="T3576">
        <v>0</v>
      </c>
      <c r="U3576" s="6">
        <v>2884</v>
      </c>
      <c r="V3576">
        <v>0</v>
      </c>
      <c r="W3576">
        <v>0</v>
      </c>
      <c r="X3576">
        <v>0</v>
      </c>
      <c r="Y3576" s="6">
        <v>46.5</v>
      </c>
      <c r="Z3576">
        <v>0.40699999999999997</v>
      </c>
      <c r="AA3576">
        <v>0.14499999999999999</v>
      </c>
      <c r="AB3576">
        <v>3.2000000000000001E-2</v>
      </c>
      <c r="AC3576">
        <v>6</v>
      </c>
      <c r="AD3576" s="6">
        <v>60</v>
      </c>
      <c r="AE3576" s="6">
        <v>0</v>
      </c>
      <c r="AF3576" s="6">
        <v>0</v>
      </c>
      <c r="AG3576" s="6">
        <v>81.069999999999993</v>
      </c>
      <c r="AH3576" s="6">
        <v>102.66</v>
      </c>
      <c r="AI3576" s="6">
        <f t="shared" si="110"/>
        <v>21.590000000000003</v>
      </c>
      <c r="AJ3576" s="5">
        <f t="shared" si="111"/>
        <v>0.21030586401714402</v>
      </c>
    </row>
    <row r="3577" spans="1:36">
      <c r="A3577" t="s">
        <v>330</v>
      </c>
      <c r="B3577" t="s">
        <v>3862</v>
      </c>
      <c r="C3577" t="s">
        <v>140</v>
      </c>
      <c r="D3577" t="s">
        <v>60</v>
      </c>
      <c r="E3577" t="s">
        <v>69</v>
      </c>
      <c r="F3577">
        <v>0</v>
      </c>
      <c r="G3577">
        <v>1856</v>
      </c>
      <c r="H3577">
        <v>1.22</v>
      </c>
      <c r="I3577" t="s">
        <v>173</v>
      </c>
      <c r="J3577">
        <v>1</v>
      </c>
      <c r="K3577" s="6">
        <v>1.69</v>
      </c>
      <c r="L3577" t="s">
        <v>200</v>
      </c>
      <c r="M3577">
        <v>1</v>
      </c>
      <c r="N3577" t="s">
        <v>187</v>
      </c>
      <c r="O3577">
        <v>2</v>
      </c>
      <c r="P3577">
        <v>1</v>
      </c>
      <c r="Q3577" s="6">
        <v>68.2</v>
      </c>
      <c r="R3577">
        <v>1</v>
      </c>
      <c r="S3577" s="6">
        <v>1029</v>
      </c>
      <c r="T3577">
        <v>0</v>
      </c>
      <c r="U3577" s="6">
        <v>1868</v>
      </c>
      <c r="V3577">
        <v>0</v>
      </c>
      <c r="W3577">
        <v>0</v>
      </c>
      <c r="X3577">
        <v>0</v>
      </c>
      <c r="Y3577" s="6">
        <v>46.5</v>
      </c>
      <c r="Z3577">
        <v>0.40699999999999997</v>
      </c>
      <c r="AA3577">
        <v>0.14499999999999999</v>
      </c>
      <c r="AB3577">
        <v>3.2000000000000001E-2</v>
      </c>
      <c r="AC3577">
        <v>6</v>
      </c>
      <c r="AD3577" s="6">
        <v>99</v>
      </c>
      <c r="AE3577" s="6">
        <v>25</v>
      </c>
      <c r="AF3577" s="6">
        <v>0</v>
      </c>
      <c r="AG3577" s="6">
        <v>137.16</v>
      </c>
      <c r="AH3577" s="6">
        <v>172.9</v>
      </c>
      <c r="AI3577" s="6">
        <f t="shared" si="110"/>
        <v>35.740000000000009</v>
      </c>
      <c r="AJ3577" s="5">
        <f t="shared" si="111"/>
        <v>0.20670908039329097</v>
      </c>
    </row>
    <row r="3578" spans="1:36">
      <c r="A3578" t="s">
        <v>218</v>
      </c>
      <c r="B3578" t="s">
        <v>3863</v>
      </c>
      <c r="C3578" t="s">
        <v>140</v>
      </c>
      <c r="D3578" t="s">
        <v>60</v>
      </c>
      <c r="E3578" t="s">
        <v>69</v>
      </c>
      <c r="F3578">
        <v>0</v>
      </c>
      <c r="G3578">
        <v>1856</v>
      </c>
      <c r="H3578">
        <v>1.22</v>
      </c>
      <c r="I3578" t="s">
        <v>181</v>
      </c>
      <c r="J3578">
        <v>3</v>
      </c>
      <c r="K3578" s="6">
        <v>7.65</v>
      </c>
      <c r="L3578" t="s">
        <v>200</v>
      </c>
      <c r="M3578">
        <v>1</v>
      </c>
      <c r="N3578" t="s">
        <v>175</v>
      </c>
      <c r="O3578">
        <v>1</v>
      </c>
      <c r="P3578">
        <v>0</v>
      </c>
      <c r="Q3578" s="6">
        <v>28.6</v>
      </c>
      <c r="R3578">
        <v>0</v>
      </c>
      <c r="S3578" s="6">
        <v>0</v>
      </c>
      <c r="T3578">
        <v>0</v>
      </c>
      <c r="U3578" s="6">
        <v>3259</v>
      </c>
      <c r="V3578">
        <v>0</v>
      </c>
      <c r="W3578">
        <v>0</v>
      </c>
      <c r="X3578">
        <v>0</v>
      </c>
      <c r="Y3578" s="6">
        <v>46.5</v>
      </c>
      <c r="Z3578">
        <v>0.40699999999999997</v>
      </c>
      <c r="AA3578">
        <v>0.14499999999999999</v>
      </c>
      <c r="AB3578">
        <v>3.2000000000000001E-2</v>
      </c>
      <c r="AC3578">
        <v>6</v>
      </c>
      <c r="AD3578" s="6">
        <v>139</v>
      </c>
      <c r="AE3578" s="6">
        <v>0</v>
      </c>
      <c r="AF3578" s="6">
        <v>0</v>
      </c>
      <c r="AG3578" s="6">
        <v>113.47</v>
      </c>
      <c r="AH3578" s="6">
        <v>146.51</v>
      </c>
      <c r="AI3578" s="6">
        <f t="shared" si="110"/>
        <v>33.039999999999992</v>
      </c>
      <c r="AJ3578" s="5">
        <f t="shared" si="111"/>
        <v>0.22551361681796461</v>
      </c>
    </row>
    <row r="3579" spans="1:36">
      <c r="A3579" t="s">
        <v>298</v>
      </c>
      <c r="B3579" t="s">
        <v>3864</v>
      </c>
      <c r="C3579" t="s">
        <v>140</v>
      </c>
      <c r="D3579" t="s">
        <v>60</v>
      </c>
      <c r="E3579" t="s">
        <v>69</v>
      </c>
      <c r="F3579">
        <v>0</v>
      </c>
      <c r="G3579">
        <v>1856</v>
      </c>
      <c r="H3579">
        <v>1.22</v>
      </c>
      <c r="I3579" t="s">
        <v>173</v>
      </c>
      <c r="J3579">
        <v>1</v>
      </c>
      <c r="K3579" s="6">
        <v>1.1499999999999999</v>
      </c>
      <c r="L3579" t="s">
        <v>200</v>
      </c>
      <c r="M3579">
        <v>1</v>
      </c>
      <c r="N3579" t="s">
        <v>217</v>
      </c>
      <c r="O3579">
        <v>4</v>
      </c>
      <c r="P3579">
        <v>1</v>
      </c>
      <c r="Q3579" s="6">
        <v>115.8</v>
      </c>
      <c r="R3579">
        <v>0</v>
      </c>
      <c r="S3579" s="6">
        <v>0</v>
      </c>
      <c r="T3579">
        <v>0</v>
      </c>
      <c r="U3579" s="6">
        <v>2567</v>
      </c>
      <c r="V3579">
        <v>0</v>
      </c>
      <c r="W3579">
        <v>0</v>
      </c>
      <c r="X3579">
        <v>0</v>
      </c>
      <c r="Y3579" s="6">
        <v>46.5</v>
      </c>
      <c r="Z3579">
        <v>0.40699999999999997</v>
      </c>
      <c r="AA3579">
        <v>0.14499999999999999</v>
      </c>
      <c r="AB3579">
        <v>3.2000000000000001E-2</v>
      </c>
      <c r="AC3579">
        <v>6</v>
      </c>
      <c r="AD3579" s="6">
        <v>99</v>
      </c>
      <c r="AE3579" s="6">
        <v>0</v>
      </c>
      <c r="AF3579" s="6">
        <v>0</v>
      </c>
      <c r="AG3579" s="6">
        <v>154.36000000000001</v>
      </c>
      <c r="AH3579" s="6">
        <v>193.47</v>
      </c>
      <c r="AI3579" s="6">
        <f t="shared" si="110"/>
        <v>39.109999999999985</v>
      </c>
      <c r="AJ3579" s="5">
        <f t="shared" si="111"/>
        <v>0.2021502041660205</v>
      </c>
    </row>
    <row r="3580" spans="1:36">
      <c r="A3580" t="s">
        <v>635</v>
      </c>
      <c r="B3580" t="s">
        <v>3865</v>
      </c>
      <c r="C3580" t="s">
        <v>140</v>
      </c>
      <c r="D3580" t="s">
        <v>60</v>
      </c>
      <c r="E3580" t="s">
        <v>69</v>
      </c>
      <c r="F3580">
        <v>0</v>
      </c>
      <c r="G3580">
        <v>1856</v>
      </c>
      <c r="H3580">
        <v>1.22</v>
      </c>
      <c r="I3580" t="s">
        <v>173</v>
      </c>
      <c r="J3580">
        <v>1</v>
      </c>
      <c r="K3580" s="6">
        <v>1.78</v>
      </c>
      <c r="L3580" t="s">
        <v>174</v>
      </c>
      <c r="M3580">
        <v>0</v>
      </c>
      <c r="N3580" t="s">
        <v>175</v>
      </c>
      <c r="O3580">
        <v>1</v>
      </c>
      <c r="P3580">
        <v>0</v>
      </c>
      <c r="Q3580" s="6">
        <v>41.2</v>
      </c>
      <c r="R3580">
        <v>0</v>
      </c>
      <c r="S3580" s="6">
        <v>0</v>
      </c>
      <c r="T3580">
        <v>0</v>
      </c>
      <c r="U3580" s="6">
        <v>1737</v>
      </c>
      <c r="V3580">
        <v>0</v>
      </c>
      <c r="W3580">
        <v>0</v>
      </c>
      <c r="X3580">
        <v>0</v>
      </c>
      <c r="Y3580" s="6">
        <v>46.5</v>
      </c>
      <c r="Z3580">
        <v>0.40699999999999997</v>
      </c>
      <c r="AA3580">
        <v>0.14499999999999999</v>
      </c>
      <c r="AB3580">
        <v>3.2000000000000001E-2</v>
      </c>
      <c r="AC3580">
        <v>6</v>
      </c>
      <c r="AD3580" s="6">
        <v>50</v>
      </c>
      <c r="AE3580" s="6">
        <v>0</v>
      </c>
      <c r="AF3580" s="6">
        <v>0</v>
      </c>
      <c r="AG3580" s="6">
        <v>61.71</v>
      </c>
      <c r="AH3580" s="6">
        <v>79.040000000000006</v>
      </c>
      <c r="AI3580" s="6">
        <f t="shared" si="110"/>
        <v>17.330000000000005</v>
      </c>
      <c r="AJ3580" s="5">
        <f t="shared" si="111"/>
        <v>0.21925607287449397</v>
      </c>
    </row>
    <row r="3581" spans="1:36">
      <c r="A3581" t="s">
        <v>481</v>
      </c>
      <c r="B3581" t="s">
        <v>3866</v>
      </c>
      <c r="C3581" t="s">
        <v>140</v>
      </c>
      <c r="D3581" t="s">
        <v>60</v>
      </c>
      <c r="E3581" t="s">
        <v>69</v>
      </c>
      <c r="F3581">
        <v>0</v>
      </c>
      <c r="G3581">
        <v>1856</v>
      </c>
      <c r="H3581">
        <v>1.22</v>
      </c>
      <c r="I3581" t="s">
        <v>173</v>
      </c>
      <c r="J3581">
        <v>1</v>
      </c>
      <c r="K3581" s="6">
        <v>2.4700000000000002</v>
      </c>
      <c r="L3581" t="s">
        <v>200</v>
      </c>
      <c r="M3581">
        <v>1</v>
      </c>
      <c r="N3581" t="s">
        <v>175</v>
      </c>
      <c r="O3581">
        <v>1</v>
      </c>
      <c r="P3581">
        <v>0</v>
      </c>
      <c r="Q3581" s="6">
        <v>16.2</v>
      </c>
      <c r="R3581">
        <v>0</v>
      </c>
      <c r="S3581" s="6">
        <v>0</v>
      </c>
      <c r="T3581">
        <v>0</v>
      </c>
      <c r="U3581" s="6">
        <v>1609</v>
      </c>
      <c r="V3581">
        <v>0</v>
      </c>
      <c r="W3581">
        <v>0</v>
      </c>
      <c r="X3581">
        <v>0</v>
      </c>
      <c r="Y3581" s="6">
        <v>46.5</v>
      </c>
      <c r="Z3581">
        <v>0.40699999999999997</v>
      </c>
      <c r="AA3581">
        <v>0.14499999999999999</v>
      </c>
      <c r="AB3581">
        <v>3.2000000000000001E-2</v>
      </c>
      <c r="AC3581">
        <v>6</v>
      </c>
      <c r="AD3581" s="6">
        <v>99</v>
      </c>
      <c r="AE3581" s="6">
        <v>0</v>
      </c>
      <c r="AF3581" s="6">
        <v>0</v>
      </c>
      <c r="AG3581" s="6">
        <v>84.54</v>
      </c>
      <c r="AH3581" s="6">
        <v>107.18</v>
      </c>
      <c r="AI3581" s="6">
        <f t="shared" si="110"/>
        <v>22.64</v>
      </c>
      <c r="AJ3581" s="5">
        <f t="shared" si="111"/>
        <v>0.21123343907445419</v>
      </c>
    </row>
    <row r="3582" spans="1:36">
      <c r="A3582" t="s">
        <v>230</v>
      </c>
      <c r="B3582" t="s">
        <v>3867</v>
      </c>
      <c r="C3582" t="s">
        <v>140</v>
      </c>
      <c r="D3582" t="s">
        <v>60</v>
      </c>
      <c r="E3582" t="s">
        <v>69</v>
      </c>
      <c r="F3582">
        <v>0</v>
      </c>
      <c r="G3582">
        <v>1856</v>
      </c>
      <c r="H3582">
        <v>1</v>
      </c>
      <c r="I3582" t="s">
        <v>181</v>
      </c>
      <c r="J3582">
        <v>3</v>
      </c>
      <c r="K3582" s="6">
        <v>6.02</v>
      </c>
      <c r="L3582" t="s">
        <v>200</v>
      </c>
      <c r="M3582">
        <v>1</v>
      </c>
      <c r="N3582" t="s">
        <v>187</v>
      </c>
      <c r="O3582">
        <v>2</v>
      </c>
      <c r="P3582">
        <v>0</v>
      </c>
      <c r="Q3582" s="6">
        <v>87</v>
      </c>
      <c r="R3582">
        <v>1</v>
      </c>
      <c r="S3582" s="6">
        <v>569</v>
      </c>
      <c r="T3582">
        <v>0</v>
      </c>
      <c r="U3582" s="6">
        <v>3132</v>
      </c>
      <c r="V3582">
        <v>0</v>
      </c>
      <c r="W3582">
        <v>0</v>
      </c>
      <c r="X3582">
        <v>0</v>
      </c>
      <c r="Y3582" s="6">
        <v>46.5</v>
      </c>
      <c r="Z3582">
        <v>0.40699999999999997</v>
      </c>
      <c r="AA3582">
        <v>0.14499999999999999</v>
      </c>
      <c r="AB3582">
        <v>3.2000000000000001E-2</v>
      </c>
      <c r="AC3582">
        <v>6</v>
      </c>
      <c r="AD3582" s="6">
        <v>139</v>
      </c>
      <c r="AE3582" s="6">
        <v>25</v>
      </c>
      <c r="AF3582" s="6">
        <v>0</v>
      </c>
      <c r="AG3582" s="6">
        <v>111.55</v>
      </c>
      <c r="AH3582" s="6">
        <v>142.22</v>
      </c>
      <c r="AI3582" s="6">
        <f t="shared" si="110"/>
        <v>30.67</v>
      </c>
      <c r="AJ3582" s="5">
        <f t="shared" si="111"/>
        <v>0.21565180705948531</v>
      </c>
    </row>
    <row r="3583" spans="1:36">
      <c r="A3583" t="s">
        <v>190</v>
      </c>
      <c r="B3583" t="s">
        <v>3868</v>
      </c>
      <c r="C3583" t="s">
        <v>140</v>
      </c>
      <c r="D3583" t="s">
        <v>60</v>
      </c>
      <c r="E3583" t="s">
        <v>69</v>
      </c>
      <c r="F3583">
        <v>0</v>
      </c>
      <c r="G3583">
        <v>1856</v>
      </c>
      <c r="H3583">
        <v>1.22</v>
      </c>
      <c r="I3583" t="s">
        <v>220</v>
      </c>
      <c r="J3583">
        <v>2</v>
      </c>
      <c r="K3583" s="6">
        <v>5.0999999999999996</v>
      </c>
      <c r="L3583" t="s">
        <v>200</v>
      </c>
      <c r="M3583">
        <v>1</v>
      </c>
      <c r="N3583" t="s">
        <v>175</v>
      </c>
      <c r="O3583">
        <v>1</v>
      </c>
      <c r="P3583">
        <v>1</v>
      </c>
      <c r="Q3583" s="6">
        <v>64</v>
      </c>
      <c r="R3583">
        <v>0</v>
      </c>
      <c r="S3583" s="6">
        <v>0</v>
      </c>
      <c r="T3583">
        <v>0</v>
      </c>
      <c r="U3583" s="6">
        <v>2346</v>
      </c>
      <c r="V3583">
        <v>0</v>
      </c>
      <c r="W3583">
        <v>0</v>
      </c>
      <c r="X3583">
        <v>0</v>
      </c>
      <c r="Y3583" s="6">
        <v>46.5</v>
      </c>
      <c r="Z3583">
        <v>0.40699999999999997</v>
      </c>
      <c r="AA3583">
        <v>0.14499999999999999</v>
      </c>
      <c r="AB3583">
        <v>3.2000000000000001E-2</v>
      </c>
      <c r="AC3583">
        <v>6</v>
      </c>
      <c r="AD3583" s="6">
        <v>119</v>
      </c>
      <c r="AE3583" s="6">
        <v>0</v>
      </c>
      <c r="AF3583" s="6">
        <v>0</v>
      </c>
      <c r="AG3583" s="6">
        <v>139.56</v>
      </c>
      <c r="AH3583" s="6">
        <v>177.57</v>
      </c>
      <c r="AI3583" s="6">
        <f t="shared" si="110"/>
        <v>38.009999999999991</v>
      </c>
      <c r="AJ3583" s="5">
        <f t="shared" si="111"/>
        <v>0.21405642845075176</v>
      </c>
    </row>
    <row r="3584" spans="1:36">
      <c r="A3584" t="s">
        <v>236</v>
      </c>
      <c r="B3584" t="s">
        <v>3869</v>
      </c>
      <c r="C3584" t="s">
        <v>140</v>
      </c>
      <c r="D3584" t="s">
        <v>60</v>
      </c>
      <c r="E3584" t="s">
        <v>69</v>
      </c>
      <c r="F3584">
        <v>0</v>
      </c>
      <c r="G3584">
        <v>1856</v>
      </c>
      <c r="H3584">
        <v>1</v>
      </c>
      <c r="I3584" t="s">
        <v>173</v>
      </c>
      <c r="J3584">
        <v>1</v>
      </c>
      <c r="K3584" s="6">
        <v>1.75</v>
      </c>
      <c r="L3584" t="s">
        <v>174</v>
      </c>
      <c r="M3584">
        <v>0</v>
      </c>
      <c r="N3584" t="s">
        <v>175</v>
      </c>
      <c r="O3584">
        <v>1</v>
      </c>
      <c r="P3584">
        <v>1</v>
      </c>
      <c r="Q3584" s="6">
        <v>47.4</v>
      </c>
      <c r="R3584">
        <v>0</v>
      </c>
      <c r="S3584" s="6">
        <v>0</v>
      </c>
      <c r="T3584">
        <v>0</v>
      </c>
      <c r="U3584" s="6">
        <v>2487</v>
      </c>
      <c r="V3584">
        <v>0</v>
      </c>
      <c r="W3584">
        <v>0</v>
      </c>
      <c r="X3584">
        <v>0</v>
      </c>
      <c r="Y3584" s="6">
        <v>46.5</v>
      </c>
      <c r="Z3584">
        <v>0.40699999999999997</v>
      </c>
      <c r="AA3584">
        <v>0.14499999999999999</v>
      </c>
      <c r="AB3584">
        <v>3.2000000000000001E-2</v>
      </c>
      <c r="AC3584">
        <v>6</v>
      </c>
      <c r="AD3584" s="6">
        <v>50</v>
      </c>
      <c r="AE3584" s="6">
        <v>0</v>
      </c>
      <c r="AF3584" s="6">
        <v>0</v>
      </c>
      <c r="AG3584" s="6">
        <v>77.099999999999994</v>
      </c>
      <c r="AH3584" s="6">
        <v>98.91</v>
      </c>
      <c r="AI3584" s="6">
        <f t="shared" si="110"/>
        <v>21.810000000000002</v>
      </c>
      <c r="AJ3584" s="5">
        <f t="shared" si="111"/>
        <v>0.22050348801941161</v>
      </c>
    </row>
    <row r="3585" spans="1:36">
      <c r="A3585" t="s">
        <v>192</v>
      </c>
      <c r="B3585" t="s">
        <v>3870</v>
      </c>
      <c r="C3585" t="s">
        <v>140</v>
      </c>
      <c r="D3585" t="s">
        <v>60</v>
      </c>
      <c r="E3585" t="s">
        <v>69</v>
      </c>
      <c r="F3585">
        <v>0</v>
      </c>
      <c r="G3585">
        <v>1856</v>
      </c>
      <c r="H3585">
        <v>1</v>
      </c>
      <c r="I3585" t="s">
        <v>181</v>
      </c>
      <c r="J3585">
        <v>3</v>
      </c>
      <c r="K3585" s="6">
        <v>9.92</v>
      </c>
      <c r="L3585" t="s">
        <v>200</v>
      </c>
      <c r="M3585">
        <v>1</v>
      </c>
      <c r="N3585" t="s">
        <v>182</v>
      </c>
      <c r="O3585">
        <v>3</v>
      </c>
      <c r="P3585">
        <v>0</v>
      </c>
      <c r="Q3585" s="6">
        <v>117.4</v>
      </c>
      <c r="R3585">
        <v>0</v>
      </c>
      <c r="S3585" s="6">
        <v>0</v>
      </c>
      <c r="T3585">
        <v>0</v>
      </c>
      <c r="U3585" s="6">
        <v>1773</v>
      </c>
      <c r="V3585">
        <v>0</v>
      </c>
      <c r="W3585">
        <v>0</v>
      </c>
      <c r="X3585">
        <v>0</v>
      </c>
      <c r="Y3585" s="6">
        <v>46.5</v>
      </c>
      <c r="Z3585">
        <v>0.40699999999999997</v>
      </c>
      <c r="AA3585">
        <v>0.14499999999999999</v>
      </c>
      <c r="AB3585">
        <v>3.2000000000000001E-2</v>
      </c>
      <c r="AC3585">
        <v>6</v>
      </c>
      <c r="AD3585" s="6">
        <v>139</v>
      </c>
      <c r="AE3585" s="6">
        <v>0</v>
      </c>
      <c r="AF3585" s="6">
        <v>0</v>
      </c>
      <c r="AG3585" s="6">
        <v>134.80000000000001</v>
      </c>
      <c r="AH3585" s="6">
        <v>172.52</v>
      </c>
      <c r="AI3585" s="6">
        <f t="shared" si="110"/>
        <v>37.72</v>
      </c>
      <c r="AJ3585" s="5">
        <f t="shared" si="111"/>
        <v>0.21864131694875955</v>
      </c>
    </row>
    <row r="3586" spans="1:36">
      <c r="A3586" t="s">
        <v>192</v>
      </c>
      <c r="B3586" t="s">
        <v>3871</v>
      </c>
      <c r="C3586" t="s">
        <v>140</v>
      </c>
      <c r="D3586" t="s">
        <v>60</v>
      </c>
      <c r="E3586" t="s">
        <v>69</v>
      </c>
      <c r="F3586">
        <v>0</v>
      </c>
      <c r="G3586">
        <v>1856</v>
      </c>
      <c r="H3586">
        <v>1</v>
      </c>
      <c r="I3586" t="s">
        <v>173</v>
      </c>
      <c r="J3586">
        <v>1</v>
      </c>
      <c r="K3586" s="6">
        <v>3.21</v>
      </c>
      <c r="L3586" t="s">
        <v>174</v>
      </c>
      <c r="M3586">
        <v>0</v>
      </c>
      <c r="N3586" t="s">
        <v>217</v>
      </c>
      <c r="O3586">
        <v>4</v>
      </c>
      <c r="P3586">
        <v>1</v>
      </c>
      <c r="Q3586" s="6">
        <v>189.5</v>
      </c>
      <c r="R3586">
        <v>0</v>
      </c>
      <c r="S3586" s="6">
        <v>0</v>
      </c>
      <c r="T3586">
        <v>0</v>
      </c>
      <c r="U3586" s="6">
        <v>5093</v>
      </c>
      <c r="V3586">
        <v>1</v>
      </c>
      <c r="W3586">
        <v>0</v>
      </c>
      <c r="X3586">
        <v>0</v>
      </c>
      <c r="Y3586" s="6">
        <v>46.5</v>
      </c>
      <c r="Z3586">
        <v>0.40699999999999997</v>
      </c>
      <c r="AA3586">
        <v>0.14499999999999999</v>
      </c>
      <c r="AB3586">
        <v>3.2000000000000001E-2</v>
      </c>
      <c r="AC3586">
        <v>6</v>
      </c>
      <c r="AD3586" s="6">
        <v>50</v>
      </c>
      <c r="AE3586" s="6">
        <v>0</v>
      </c>
      <c r="AF3586" s="6">
        <v>0</v>
      </c>
      <c r="AG3586" s="6">
        <v>150.18</v>
      </c>
      <c r="AH3586" s="6">
        <v>192.11</v>
      </c>
      <c r="AI3586" s="6">
        <f t="shared" ref="AI3586:AI3649" si="112">AH3586-AG3586</f>
        <v>41.930000000000007</v>
      </c>
      <c r="AJ3586" s="5">
        <f t="shared" ref="AJ3586:AJ3649" si="113">IFERROR(AI3586/AH3586,0)</f>
        <v>0.21826037166206863</v>
      </c>
    </row>
    <row r="3587" spans="1:36">
      <c r="A3587" t="s">
        <v>478</v>
      </c>
      <c r="B3587" t="s">
        <v>3872</v>
      </c>
      <c r="C3587" t="s">
        <v>140</v>
      </c>
      <c r="D3587" t="s">
        <v>60</v>
      </c>
      <c r="E3587" t="s">
        <v>69</v>
      </c>
      <c r="F3587">
        <v>0</v>
      </c>
      <c r="G3587">
        <v>1856</v>
      </c>
      <c r="H3587">
        <v>1.22</v>
      </c>
      <c r="I3587" t="s">
        <v>173</v>
      </c>
      <c r="J3587">
        <v>1</v>
      </c>
      <c r="K3587" s="6">
        <v>1.82</v>
      </c>
      <c r="L3587" t="s">
        <v>174</v>
      </c>
      <c r="M3587">
        <v>0</v>
      </c>
      <c r="N3587" t="s">
        <v>175</v>
      </c>
      <c r="O3587">
        <v>1</v>
      </c>
      <c r="P3587">
        <v>0</v>
      </c>
      <c r="Q3587" s="6">
        <v>33.5</v>
      </c>
      <c r="R3587">
        <v>1</v>
      </c>
      <c r="S3587" s="6">
        <v>4846</v>
      </c>
      <c r="T3587">
        <v>0</v>
      </c>
      <c r="U3587" s="6">
        <v>2505</v>
      </c>
      <c r="V3587">
        <v>0</v>
      </c>
      <c r="W3587">
        <v>0</v>
      </c>
      <c r="X3587">
        <v>0</v>
      </c>
      <c r="Y3587" s="6">
        <v>46.5</v>
      </c>
      <c r="Z3587">
        <v>0.40699999999999997</v>
      </c>
      <c r="AA3587">
        <v>0.14499999999999999</v>
      </c>
      <c r="AB3587">
        <v>3.2000000000000001E-2</v>
      </c>
      <c r="AC3587">
        <v>6</v>
      </c>
      <c r="AD3587" s="6">
        <v>50</v>
      </c>
      <c r="AE3587" s="6">
        <v>40</v>
      </c>
      <c r="AF3587" s="6">
        <v>0</v>
      </c>
      <c r="AG3587" s="6">
        <v>55.33</v>
      </c>
      <c r="AH3587" s="6">
        <v>70.86</v>
      </c>
      <c r="AI3587" s="6">
        <f t="shared" si="112"/>
        <v>15.530000000000001</v>
      </c>
      <c r="AJ3587" s="5">
        <f t="shared" si="113"/>
        <v>0.21916454981653968</v>
      </c>
    </row>
    <row r="3588" spans="1:36">
      <c r="A3588" t="s">
        <v>323</v>
      </c>
      <c r="B3588" t="s">
        <v>3873</v>
      </c>
      <c r="C3588" t="s">
        <v>140</v>
      </c>
      <c r="D3588" t="s">
        <v>60</v>
      </c>
      <c r="E3588" t="s">
        <v>69</v>
      </c>
      <c r="F3588">
        <v>0</v>
      </c>
      <c r="G3588">
        <v>1856</v>
      </c>
      <c r="H3588">
        <v>1.22</v>
      </c>
      <c r="I3588" t="s">
        <v>173</v>
      </c>
      <c r="J3588">
        <v>1</v>
      </c>
      <c r="K3588" s="6">
        <v>2.2000000000000002</v>
      </c>
      <c r="L3588" t="s">
        <v>174</v>
      </c>
      <c r="M3588">
        <v>0</v>
      </c>
      <c r="N3588" t="s">
        <v>175</v>
      </c>
      <c r="O3588">
        <v>1</v>
      </c>
      <c r="P3588">
        <v>0</v>
      </c>
      <c r="Q3588" s="6">
        <v>43.6</v>
      </c>
      <c r="R3588">
        <v>0</v>
      </c>
      <c r="S3588" s="6">
        <v>0</v>
      </c>
      <c r="T3588">
        <v>0</v>
      </c>
      <c r="U3588" s="6">
        <v>1047</v>
      </c>
      <c r="V3588">
        <v>0</v>
      </c>
      <c r="W3588">
        <v>0</v>
      </c>
      <c r="X3588">
        <v>0</v>
      </c>
      <c r="Y3588" s="6">
        <v>46.5</v>
      </c>
      <c r="Z3588">
        <v>0.40699999999999997</v>
      </c>
      <c r="AA3588">
        <v>0.14499999999999999</v>
      </c>
      <c r="AB3588">
        <v>3.2000000000000001E-2</v>
      </c>
      <c r="AC3588">
        <v>6</v>
      </c>
      <c r="AD3588" s="6">
        <v>50</v>
      </c>
      <c r="AE3588" s="6">
        <v>0</v>
      </c>
      <c r="AF3588" s="6">
        <v>0</v>
      </c>
      <c r="AG3588" s="6">
        <v>53.07</v>
      </c>
      <c r="AH3588" s="6">
        <v>69.53</v>
      </c>
      <c r="AI3588" s="6">
        <f t="shared" si="112"/>
        <v>16.46</v>
      </c>
      <c r="AJ3588" s="5">
        <f t="shared" si="113"/>
        <v>0.23673234575003596</v>
      </c>
    </row>
    <row r="3589" spans="1:36">
      <c r="A3589" t="s">
        <v>176</v>
      </c>
      <c r="B3589" t="s">
        <v>3874</v>
      </c>
      <c r="C3589" t="s">
        <v>140</v>
      </c>
      <c r="D3589" t="s">
        <v>60</v>
      </c>
      <c r="E3589" t="s">
        <v>69</v>
      </c>
      <c r="F3589">
        <v>0</v>
      </c>
      <c r="G3589">
        <v>1856</v>
      </c>
      <c r="H3589">
        <v>1.22</v>
      </c>
      <c r="I3589" t="s">
        <v>181</v>
      </c>
      <c r="J3589">
        <v>3</v>
      </c>
      <c r="K3589" s="6">
        <v>6.77</v>
      </c>
      <c r="L3589" t="s">
        <v>200</v>
      </c>
      <c r="M3589">
        <v>1</v>
      </c>
      <c r="N3589" t="s">
        <v>182</v>
      </c>
      <c r="O3589">
        <v>3</v>
      </c>
      <c r="P3589">
        <v>0</v>
      </c>
      <c r="Q3589" s="6">
        <v>74.7</v>
      </c>
      <c r="R3589">
        <v>0</v>
      </c>
      <c r="S3589" s="6">
        <v>0</v>
      </c>
      <c r="T3589">
        <v>0</v>
      </c>
      <c r="U3589" s="6">
        <v>3377</v>
      </c>
      <c r="V3589">
        <v>0</v>
      </c>
      <c r="W3589">
        <v>0</v>
      </c>
      <c r="X3589">
        <v>0</v>
      </c>
      <c r="Y3589" s="6">
        <v>46.5</v>
      </c>
      <c r="Z3589">
        <v>0.40699999999999997</v>
      </c>
      <c r="AA3589">
        <v>0.14499999999999999</v>
      </c>
      <c r="AB3589">
        <v>3.2000000000000001E-2</v>
      </c>
      <c r="AC3589">
        <v>6</v>
      </c>
      <c r="AD3589" s="6">
        <v>139</v>
      </c>
      <c r="AE3589" s="6">
        <v>0</v>
      </c>
      <c r="AF3589" s="6">
        <v>0</v>
      </c>
      <c r="AG3589" s="6">
        <v>118.15</v>
      </c>
      <c r="AH3589" s="6">
        <v>149.84</v>
      </c>
      <c r="AI3589" s="6">
        <f t="shared" si="112"/>
        <v>31.689999999999998</v>
      </c>
      <c r="AJ3589" s="5">
        <f t="shared" si="113"/>
        <v>0.21149225840896954</v>
      </c>
    </row>
    <row r="3590" spans="1:36">
      <c r="A3590" t="s">
        <v>436</v>
      </c>
      <c r="B3590" t="s">
        <v>3875</v>
      </c>
      <c r="C3590" t="s">
        <v>140</v>
      </c>
      <c r="D3590" t="s">
        <v>60</v>
      </c>
      <c r="E3590" t="s">
        <v>69</v>
      </c>
      <c r="F3590">
        <v>0</v>
      </c>
      <c r="G3590">
        <v>1856</v>
      </c>
      <c r="H3590">
        <v>1.22</v>
      </c>
      <c r="I3590" t="s">
        <v>173</v>
      </c>
      <c r="J3590">
        <v>1</v>
      </c>
      <c r="K3590" s="6">
        <v>0.8</v>
      </c>
      <c r="L3590" t="s">
        <v>200</v>
      </c>
      <c r="M3590">
        <v>1</v>
      </c>
      <c r="N3590" t="s">
        <v>187</v>
      </c>
      <c r="O3590">
        <v>2</v>
      </c>
      <c r="P3590">
        <v>0</v>
      </c>
      <c r="Q3590" s="6">
        <v>54.5</v>
      </c>
      <c r="R3590">
        <v>0</v>
      </c>
      <c r="S3590" s="6">
        <v>0</v>
      </c>
      <c r="T3590">
        <v>0</v>
      </c>
      <c r="U3590" s="6">
        <v>3611</v>
      </c>
      <c r="V3590">
        <v>0</v>
      </c>
      <c r="W3590">
        <v>0</v>
      </c>
      <c r="X3590">
        <v>0</v>
      </c>
      <c r="Y3590" s="6">
        <v>46.5</v>
      </c>
      <c r="Z3590">
        <v>0.40699999999999997</v>
      </c>
      <c r="AA3590">
        <v>0.14499999999999999</v>
      </c>
      <c r="AB3590">
        <v>3.2000000000000001E-2</v>
      </c>
      <c r="AC3590">
        <v>6</v>
      </c>
      <c r="AD3590" s="6">
        <v>99</v>
      </c>
      <c r="AE3590" s="6">
        <v>0</v>
      </c>
      <c r="AF3590" s="6">
        <v>0</v>
      </c>
      <c r="AG3590" s="6">
        <v>96.26</v>
      </c>
      <c r="AH3590" s="6">
        <v>123.96</v>
      </c>
      <c r="AI3590" s="6">
        <f t="shared" si="112"/>
        <v>27.699999999999989</v>
      </c>
      <c r="AJ3590" s="5">
        <f t="shared" si="113"/>
        <v>0.2234591803807679</v>
      </c>
    </row>
    <row r="3591" spans="1:36">
      <c r="A3591" t="s">
        <v>210</v>
      </c>
      <c r="B3591" t="s">
        <v>3876</v>
      </c>
      <c r="C3591" t="s">
        <v>140</v>
      </c>
      <c r="D3591" t="s">
        <v>60</v>
      </c>
      <c r="E3591" t="s">
        <v>69</v>
      </c>
      <c r="F3591">
        <v>0</v>
      </c>
      <c r="G3591">
        <v>1856</v>
      </c>
      <c r="H3591">
        <v>1</v>
      </c>
      <c r="I3591" t="s">
        <v>181</v>
      </c>
      <c r="J3591">
        <v>3</v>
      </c>
      <c r="K3591" s="6">
        <v>6.41</v>
      </c>
      <c r="L3591" t="s">
        <v>200</v>
      </c>
      <c r="M3591">
        <v>1</v>
      </c>
      <c r="N3591" t="s">
        <v>175</v>
      </c>
      <c r="O3591">
        <v>1</v>
      </c>
      <c r="P3591">
        <v>0</v>
      </c>
      <c r="Q3591" s="6">
        <v>48.2</v>
      </c>
      <c r="R3591">
        <v>1</v>
      </c>
      <c r="S3591" s="6">
        <v>1868</v>
      </c>
      <c r="T3591">
        <v>0</v>
      </c>
      <c r="U3591" s="6">
        <v>620</v>
      </c>
      <c r="V3591">
        <v>0</v>
      </c>
      <c r="W3591">
        <v>0</v>
      </c>
      <c r="X3591">
        <v>0</v>
      </c>
      <c r="Y3591" s="6">
        <v>46.5</v>
      </c>
      <c r="Z3591">
        <v>0.40699999999999997</v>
      </c>
      <c r="AA3591">
        <v>0.14499999999999999</v>
      </c>
      <c r="AB3591">
        <v>3.2000000000000001E-2</v>
      </c>
      <c r="AC3591">
        <v>6</v>
      </c>
      <c r="AD3591" s="6">
        <v>139</v>
      </c>
      <c r="AE3591" s="6">
        <v>25</v>
      </c>
      <c r="AF3591" s="6">
        <v>0</v>
      </c>
      <c r="AG3591" s="6">
        <v>107.65</v>
      </c>
      <c r="AH3591" s="6">
        <v>143.63999999999999</v>
      </c>
      <c r="AI3591" s="6">
        <f t="shared" si="112"/>
        <v>35.989999999999981</v>
      </c>
      <c r="AJ3591" s="5">
        <f t="shared" si="113"/>
        <v>0.25055694792536887</v>
      </c>
    </row>
    <row r="3592" spans="1:36">
      <c r="A3592" t="s">
        <v>212</v>
      </c>
      <c r="B3592" t="s">
        <v>3877</v>
      </c>
      <c r="C3592" t="s">
        <v>140</v>
      </c>
      <c r="D3592" t="s">
        <v>60</v>
      </c>
      <c r="E3592" t="s">
        <v>69</v>
      </c>
      <c r="F3592">
        <v>0</v>
      </c>
      <c r="G3592">
        <v>1856</v>
      </c>
      <c r="H3592">
        <v>1.22</v>
      </c>
      <c r="I3592" t="s">
        <v>181</v>
      </c>
      <c r="J3592">
        <v>3</v>
      </c>
      <c r="K3592" s="6">
        <v>7.22</v>
      </c>
      <c r="L3592" t="s">
        <v>200</v>
      </c>
      <c r="M3592">
        <v>1</v>
      </c>
      <c r="N3592" t="s">
        <v>175</v>
      </c>
      <c r="O3592">
        <v>1</v>
      </c>
      <c r="P3592">
        <v>0</v>
      </c>
      <c r="Q3592" s="6">
        <v>25.1</v>
      </c>
      <c r="R3592">
        <v>1</v>
      </c>
      <c r="S3592" s="6">
        <v>1086</v>
      </c>
      <c r="T3592">
        <v>0</v>
      </c>
      <c r="U3592" s="6">
        <v>4177</v>
      </c>
      <c r="V3592">
        <v>0</v>
      </c>
      <c r="W3592">
        <v>0</v>
      </c>
      <c r="X3592">
        <v>0</v>
      </c>
      <c r="Y3592" s="6">
        <v>46.5</v>
      </c>
      <c r="Z3592">
        <v>0.40699999999999997</v>
      </c>
      <c r="AA3592">
        <v>0.14499999999999999</v>
      </c>
      <c r="AB3592">
        <v>3.2000000000000001E-2</v>
      </c>
      <c r="AC3592">
        <v>6</v>
      </c>
      <c r="AD3592" s="6">
        <v>139</v>
      </c>
      <c r="AE3592" s="6">
        <v>25</v>
      </c>
      <c r="AF3592" s="6">
        <v>0</v>
      </c>
      <c r="AG3592" s="6">
        <v>112.47</v>
      </c>
      <c r="AH3592" s="6">
        <v>141.18</v>
      </c>
      <c r="AI3592" s="6">
        <f t="shared" si="112"/>
        <v>28.710000000000008</v>
      </c>
      <c r="AJ3592" s="5">
        <f t="shared" si="113"/>
        <v>0.20335741606459842</v>
      </c>
    </row>
    <row r="3593" spans="1:36">
      <c r="A3593" t="s">
        <v>316</v>
      </c>
      <c r="B3593" t="s">
        <v>3878</v>
      </c>
      <c r="C3593" t="s">
        <v>140</v>
      </c>
      <c r="D3593" t="s">
        <v>60</v>
      </c>
      <c r="E3593" t="s">
        <v>69</v>
      </c>
      <c r="F3593">
        <v>0</v>
      </c>
      <c r="G3593">
        <v>1856</v>
      </c>
      <c r="H3593">
        <v>1.22</v>
      </c>
      <c r="I3593" t="s">
        <v>173</v>
      </c>
      <c r="J3593">
        <v>1</v>
      </c>
      <c r="K3593" s="6">
        <v>2.17</v>
      </c>
      <c r="L3593" t="s">
        <v>174</v>
      </c>
      <c r="M3593">
        <v>0</v>
      </c>
      <c r="N3593" t="s">
        <v>182</v>
      </c>
      <c r="O3593">
        <v>3</v>
      </c>
      <c r="P3593">
        <v>0</v>
      </c>
      <c r="Q3593" s="6">
        <v>91.2</v>
      </c>
      <c r="R3593">
        <v>1</v>
      </c>
      <c r="S3593" s="6">
        <v>1992</v>
      </c>
      <c r="T3593">
        <v>0</v>
      </c>
      <c r="U3593" s="6">
        <v>2048</v>
      </c>
      <c r="V3593">
        <v>0</v>
      </c>
      <c r="W3593">
        <v>0</v>
      </c>
      <c r="X3593">
        <v>0</v>
      </c>
      <c r="Y3593" s="6">
        <v>46.5</v>
      </c>
      <c r="Z3593">
        <v>0.40699999999999997</v>
      </c>
      <c r="AA3593">
        <v>0.14499999999999999</v>
      </c>
      <c r="AB3593">
        <v>3.2000000000000001E-2</v>
      </c>
      <c r="AC3593">
        <v>6</v>
      </c>
      <c r="AD3593" s="6">
        <v>50</v>
      </c>
      <c r="AE3593" s="6">
        <v>25</v>
      </c>
      <c r="AF3593" s="6">
        <v>0</v>
      </c>
      <c r="AG3593" s="6">
        <v>70.930000000000007</v>
      </c>
      <c r="AH3593" s="6">
        <v>90.1</v>
      </c>
      <c r="AI3593" s="6">
        <f t="shared" si="112"/>
        <v>19.169999999999987</v>
      </c>
      <c r="AJ3593" s="5">
        <f t="shared" si="113"/>
        <v>0.21276359600443939</v>
      </c>
    </row>
    <row r="3594" spans="1:36">
      <c r="A3594" t="s">
        <v>279</v>
      </c>
      <c r="B3594" t="s">
        <v>3879</v>
      </c>
      <c r="C3594" t="s">
        <v>140</v>
      </c>
      <c r="D3594" t="s">
        <v>60</v>
      </c>
      <c r="E3594" t="s">
        <v>69</v>
      </c>
      <c r="F3594">
        <v>0</v>
      </c>
      <c r="G3594">
        <v>1856</v>
      </c>
      <c r="H3594">
        <v>1.22</v>
      </c>
      <c r="I3594" t="s">
        <v>173</v>
      </c>
      <c r="J3594">
        <v>1</v>
      </c>
      <c r="K3594" s="6">
        <v>1.87</v>
      </c>
      <c r="L3594" t="s">
        <v>174</v>
      </c>
      <c r="M3594">
        <v>0</v>
      </c>
      <c r="N3594" t="s">
        <v>175</v>
      </c>
      <c r="O3594">
        <v>1</v>
      </c>
      <c r="P3594">
        <v>0</v>
      </c>
      <c r="Q3594" s="6">
        <v>44.3</v>
      </c>
      <c r="R3594">
        <v>0</v>
      </c>
      <c r="S3594" s="6">
        <v>0</v>
      </c>
      <c r="T3594">
        <v>0</v>
      </c>
      <c r="U3594" s="6">
        <v>840</v>
      </c>
      <c r="V3594">
        <v>0</v>
      </c>
      <c r="W3594">
        <v>0</v>
      </c>
      <c r="X3594">
        <v>0</v>
      </c>
      <c r="Y3594" s="6">
        <v>46.5</v>
      </c>
      <c r="Z3594">
        <v>0.40699999999999997</v>
      </c>
      <c r="AA3594">
        <v>0.14499999999999999</v>
      </c>
      <c r="AB3594">
        <v>3.2000000000000001E-2</v>
      </c>
      <c r="AC3594">
        <v>6</v>
      </c>
      <c r="AD3594" s="6">
        <v>50</v>
      </c>
      <c r="AE3594" s="6">
        <v>0</v>
      </c>
      <c r="AF3594" s="6">
        <v>0</v>
      </c>
      <c r="AG3594" s="6">
        <v>53.8</v>
      </c>
      <c r="AH3594" s="6">
        <v>71.39</v>
      </c>
      <c r="AI3594" s="6">
        <f t="shared" si="112"/>
        <v>17.590000000000003</v>
      </c>
      <c r="AJ3594" s="5">
        <f t="shared" si="113"/>
        <v>0.24639305224821409</v>
      </c>
    </row>
    <row r="3595" spans="1:36">
      <c r="A3595" t="s">
        <v>196</v>
      </c>
      <c r="B3595" t="s">
        <v>3880</v>
      </c>
      <c r="C3595" t="s">
        <v>140</v>
      </c>
      <c r="D3595" t="s">
        <v>60</v>
      </c>
      <c r="E3595" t="s">
        <v>69</v>
      </c>
      <c r="F3595">
        <v>0</v>
      </c>
      <c r="G3595">
        <v>1856</v>
      </c>
      <c r="H3595">
        <v>1</v>
      </c>
      <c r="I3595" t="s">
        <v>181</v>
      </c>
      <c r="J3595">
        <v>3</v>
      </c>
      <c r="K3595" s="6">
        <v>8.5399999999999991</v>
      </c>
      <c r="L3595" t="s">
        <v>200</v>
      </c>
      <c r="M3595">
        <v>1</v>
      </c>
      <c r="N3595" t="s">
        <v>182</v>
      </c>
      <c r="O3595">
        <v>3</v>
      </c>
      <c r="P3595">
        <v>0</v>
      </c>
      <c r="Q3595" s="6">
        <v>104.8</v>
      </c>
      <c r="R3595">
        <v>1</v>
      </c>
      <c r="S3595" s="6">
        <v>484</v>
      </c>
      <c r="T3595">
        <v>0</v>
      </c>
      <c r="U3595" s="6">
        <v>2357</v>
      </c>
      <c r="V3595">
        <v>0</v>
      </c>
      <c r="W3595">
        <v>0</v>
      </c>
      <c r="X3595">
        <v>0</v>
      </c>
      <c r="Y3595" s="6">
        <v>46.5</v>
      </c>
      <c r="Z3595">
        <v>0.40699999999999997</v>
      </c>
      <c r="AA3595">
        <v>0.14499999999999999</v>
      </c>
      <c r="AB3595">
        <v>3.2000000000000001E-2</v>
      </c>
      <c r="AC3595">
        <v>6</v>
      </c>
      <c r="AD3595" s="6">
        <v>139</v>
      </c>
      <c r="AE3595" s="6">
        <v>25</v>
      </c>
      <c r="AF3595" s="6">
        <v>0</v>
      </c>
      <c r="AG3595" s="6">
        <v>136.44999999999999</v>
      </c>
      <c r="AH3595" s="6">
        <v>174.19</v>
      </c>
      <c r="AI3595" s="6">
        <f t="shared" si="112"/>
        <v>37.740000000000009</v>
      </c>
      <c r="AJ3595" s="5">
        <f t="shared" si="113"/>
        <v>0.21665996899936857</v>
      </c>
    </row>
    <row r="3596" spans="1:36">
      <c r="A3596" t="s">
        <v>375</v>
      </c>
      <c r="B3596" t="s">
        <v>3881</v>
      </c>
      <c r="C3596" t="s">
        <v>140</v>
      </c>
      <c r="D3596" t="s">
        <v>60</v>
      </c>
      <c r="E3596" t="s">
        <v>69</v>
      </c>
      <c r="F3596">
        <v>0</v>
      </c>
      <c r="G3596">
        <v>1856</v>
      </c>
      <c r="H3596">
        <v>1</v>
      </c>
      <c r="I3596" t="s">
        <v>220</v>
      </c>
      <c r="J3596">
        <v>2</v>
      </c>
      <c r="K3596" s="6">
        <v>4.5999999999999996</v>
      </c>
      <c r="L3596" t="s">
        <v>200</v>
      </c>
      <c r="M3596">
        <v>1</v>
      </c>
      <c r="N3596" t="s">
        <v>175</v>
      </c>
      <c r="O3596">
        <v>1</v>
      </c>
      <c r="P3596">
        <v>0</v>
      </c>
      <c r="Q3596" s="6">
        <v>20.399999999999999</v>
      </c>
      <c r="R3596">
        <v>0</v>
      </c>
      <c r="S3596" s="6">
        <v>0</v>
      </c>
      <c r="T3596">
        <v>0</v>
      </c>
      <c r="U3596" s="6">
        <v>941</v>
      </c>
      <c r="V3596">
        <v>1</v>
      </c>
      <c r="W3596">
        <v>0</v>
      </c>
      <c r="X3596">
        <v>0</v>
      </c>
      <c r="Y3596" s="6">
        <v>46.5</v>
      </c>
      <c r="Z3596">
        <v>0.40699999999999997</v>
      </c>
      <c r="AA3596">
        <v>0.14499999999999999</v>
      </c>
      <c r="AB3596">
        <v>3.2000000000000001E-2</v>
      </c>
      <c r="AC3596">
        <v>6</v>
      </c>
      <c r="AD3596" s="6">
        <v>119</v>
      </c>
      <c r="AE3596" s="6">
        <v>0</v>
      </c>
      <c r="AF3596" s="6">
        <v>0</v>
      </c>
      <c r="AG3596" s="6">
        <v>126.09</v>
      </c>
      <c r="AH3596" s="6">
        <v>161.94</v>
      </c>
      <c r="AI3596" s="6">
        <f t="shared" si="112"/>
        <v>35.849999999999994</v>
      </c>
      <c r="AJ3596" s="5">
        <f t="shared" si="113"/>
        <v>0.22137828825490918</v>
      </c>
    </row>
    <row r="3597" spans="1:36">
      <c r="A3597" t="s">
        <v>343</v>
      </c>
      <c r="B3597" t="s">
        <v>3882</v>
      </c>
      <c r="C3597" t="s">
        <v>140</v>
      </c>
      <c r="D3597" t="s">
        <v>60</v>
      </c>
      <c r="E3597" t="s">
        <v>69</v>
      </c>
      <c r="F3597">
        <v>0</v>
      </c>
      <c r="G3597">
        <v>1856</v>
      </c>
      <c r="H3597">
        <v>1</v>
      </c>
      <c r="I3597" t="s">
        <v>181</v>
      </c>
      <c r="J3597">
        <v>3</v>
      </c>
      <c r="K3597" s="6">
        <v>7.31</v>
      </c>
      <c r="L3597" t="s">
        <v>174</v>
      </c>
      <c r="M3597">
        <v>0</v>
      </c>
      <c r="N3597" t="s">
        <v>187</v>
      </c>
      <c r="O3597">
        <v>2</v>
      </c>
      <c r="P3597">
        <v>1</v>
      </c>
      <c r="Q3597" s="6">
        <v>82.4</v>
      </c>
      <c r="R3597">
        <v>0</v>
      </c>
      <c r="S3597" s="6">
        <v>0</v>
      </c>
      <c r="T3597">
        <v>0</v>
      </c>
      <c r="U3597" s="6">
        <v>2866</v>
      </c>
      <c r="V3597">
        <v>0</v>
      </c>
      <c r="W3597">
        <v>0</v>
      </c>
      <c r="X3597">
        <v>0</v>
      </c>
      <c r="Y3597" s="6">
        <v>46.5</v>
      </c>
      <c r="Z3597">
        <v>0.40699999999999997</v>
      </c>
      <c r="AA3597">
        <v>0.14499999999999999</v>
      </c>
      <c r="AB3597">
        <v>3.2000000000000001E-2</v>
      </c>
      <c r="AC3597">
        <v>6</v>
      </c>
      <c r="AD3597" s="6">
        <v>60</v>
      </c>
      <c r="AE3597" s="6">
        <v>0</v>
      </c>
      <c r="AF3597" s="6">
        <v>0</v>
      </c>
      <c r="AG3597" s="6">
        <v>106.05</v>
      </c>
      <c r="AH3597" s="6">
        <v>134.88999999999999</v>
      </c>
      <c r="AI3597" s="6">
        <f t="shared" si="112"/>
        <v>28.839999999999989</v>
      </c>
      <c r="AJ3597" s="5">
        <f t="shared" si="113"/>
        <v>0.21380384016606119</v>
      </c>
    </row>
    <row r="3598" spans="1:36">
      <c r="A3598" t="s">
        <v>236</v>
      </c>
      <c r="B3598" t="s">
        <v>3883</v>
      </c>
      <c r="C3598" t="s">
        <v>140</v>
      </c>
      <c r="D3598" t="s">
        <v>60</v>
      </c>
      <c r="E3598" t="s">
        <v>69</v>
      </c>
      <c r="F3598">
        <v>0</v>
      </c>
      <c r="G3598">
        <v>1856</v>
      </c>
      <c r="H3598">
        <v>1</v>
      </c>
      <c r="I3598" t="s">
        <v>181</v>
      </c>
      <c r="J3598">
        <v>3</v>
      </c>
      <c r="K3598" s="6">
        <v>6.25</v>
      </c>
      <c r="L3598" t="s">
        <v>200</v>
      </c>
      <c r="M3598">
        <v>1</v>
      </c>
      <c r="N3598" t="s">
        <v>182</v>
      </c>
      <c r="O3598">
        <v>3</v>
      </c>
      <c r="P3598">
        <v>0</v>
      </c>
      <c r="Q3598" s="6">
        <v>72</v>
      </c>
      <c r="R3598">
        <v>1</v>
      </c>
      <c r="S3598" s="6">
        <v>1205</v>
      </c>
      <c r="T3598">
        <v>0</v>
      </c>
      <c r="U3598" s="6">
        <v>789</v>
      </c>
      <c r="V3598">
        <v>0</v>
      </c>
      <c r="W3598">
        <v>0</v>
      </c>
      <c r="X3598">
        <v>0</v>
      </c>
      <c r="Y3598" s="6">
        <v>46.5</v>
      </c>
      <c r="Z3598">
        <v>0.40699999999999997</v>
      </c>
      <c r="AA3598">
        <v>0.14499999999999999</v>
      </c>
      <c r="AB3598">
        <v>3.2000000000000001E-2</v>
      </c>
      <c r="AC3598">
        <v>6</v>
      </c>
      <c r="AD3598" s="6">
        <v>139</v>
      </c>
      <c r="AE3598" s="6">
        <v>25</v>
      </c>
      <c r="AF3598" s="6">
        <v>0</v>
      </c>
      <c r="AG3598" s="6">
        <v>116.39</v>
      </c>
      <c r="AH3598" s="6">
        <v>149.78</v>
      </c>
      <c r="AI3598" s="6">
        <f t="shared" si="112"/>
        <v>33.39</v>
      </c>
      <c r="AJ3598" s="5">
        <f t="shared" si="113"/>
        <v>0.22292695954065964</v>
      </c>
    </row>
    <row r="3599" spans="1:36">
      <c r="A3599" t="s">
        <v>258</v>
      </c>
      <c r="B3599" t="s">
        <v>3884</v>
      </c>
      <c r="C3599" t="s">
        <v>140</v>
      </c>
      <c r="D3599" t="s">
        <v>60</v>
      </c>
      <c r="E3599" t="s">
        <v>69</v>
      </c>
      <c r="F3599">
        <v>0</v>
      </c>
      <c r="G3599">
        <v>1856</v>
      </c>
      <c r="H3599">
        <v>1</v>
      </c>
      <c r="I3599" t="s">
        <v>173</v>
      </c>
      <c r="J3599">
        <v>1</v>
      </c>
      <c r="K3599" s="6">
        <v>1.77</v>
      </c>
      <c r="L3599" t="s">
        <v>200</v>
      </c>
      <c r="M3599">
        <v>1</v>
      </c>
      <c r="N3599" t="s">
        <v>182</v>
      </c>
      <c r="O3599">
        <v>3</v>
      </c>
      <c r="P3599">
        <v>0</v>
      </c>
      <c r="Q3599" s="6">
        <v>82.5</v>
      </c>
      <c r="R3599">
        <v>1</v>
      </c>
      <c r="S3599" s="6">
        <v>2023</v>
      </c>
      <c r="T3599">
        <v>0</v>
      </c>
      <c r="U3599" s="6">
        <v>1922</v>
      </c>
      <c r="V3599">
        <v>0</v>
      </c>
      <c r="W3599">
        <v>0</v>
      </c>
      <c r="X3599">
        <v>0</v>
      </c>
      <c r="Y3599" s="6">
        <v>46.5</v>
      </c>
      <c r="Z3599">
        <v>0.40699999999999997</v>
      </c>
      <c r="AA3599">
        <v>0.14499999999999999</v>
      </c>
      <c r="AB3599">
        <v>3.2000000000000001E-2</v>
      </c>
      <c r="AC3599">
        <v>6</v>
      </c>
      <c r="AD3599" s="6">
        <v>99</v>
      </c>
      <c r="AE3599" s="6">
        <v>40</v>
      </c>
      <c r="AF3599" s="6">
        <v>0</v>
      </c>
      <c r="AG3599" s="6">
        <v>83.58</v>
      </c>
      <c r="AH3599" s="6">
        <v>109.05</v>
      </c>
      <c r="AI3599" s="6">
        <f t="shared" si="112"/>
        <v>25.47</v>
      </c>
      <c r="AJ3599" s="5">
        <f t="shared" si="113"/>
        <v>0.23356258596973864</v>
      </c>
    </row>
    <row r="3600" spans="1:36">
      <c r="A3600" t="s">
        <v>190</v>
      </c>
      <c r="B3600" t="s">
        <v>3885</v>
      </c>
      <c r="C3600" t="s">
        <v>140</v>
      </c>
      <c r="D3600" t="s">
        <v>60</v>
      </c>
      <c r="E3600" t="s">
        <v>69</v>
      </c>
      <c r="F3600">
        <v>0</v>
      </c>
      <c r="G3600">
        <v>1856</v>
      </c>
      <c r="H3600">
        <v>1.22</v>
      </c>
      <c r="I3600" t="s">
        <v>173</v>
      </c>
      <c r="J3600">
        <v>1</v>
      </c>
      <c r="K3600" s="6">
        <v>1.92</v>
      </c>
      <c r="L3600" t="s">
        <v>200</v>
      </c>
      <c r="M3600">
        <v>1</v>
      </c>
      <c r="N3600" t="s">
        <v>175</v>
      </c>
      <c r="O3600">
        <v>1</v>
      </c>
      <c r="P3600">
        <v>0</v>
      </c>
      <c r="Q3600" s="6">
        <v>33.9</v>
      </c>
      <c r="R3600">
        <v>0</v>
      </c>
      <c r="S3600" s="6">
        <v>0</v>
      </c>
      <c r="T3600">
        <v>0</v>
      </c>
      <c r="U3600" s="6">
        <v>4921</v>
      </c>
      <c r="V3600">
        <v>0</v>
      </c>
      <c r="W3600">
        <v>0</v>
      </c>
      <c r="X3600">
        <v>0</v>
      </c>
      <c r="Y3600" s="6">
        <v>46.5</v>
      </c>
      <c r="Z3600">
        <v>0.40699999999999997</v>
      </c>
      <c r="AA3600">
        <v>0.14499999999999999</v>
      </c>
      <c r="AB3600">
        <v>3.2000000000000001E-2</v>
      </c>
      <c r="AC3600">
        <v>6</v>
      </c>
      <c r="AD3600" s="6">
        <v>99</v>
      </c>
      <c r="AE3600" s="6">
        <v>0</v>
      </c>
      <c r="AF3600" s="6">
        <v>0</v>
      </c>
      <c r="AG3600" s="6">
        <v>87.41</v>
      </c>
      <c r="AH3600" s="6">
        <v>112.33</v>
      </c>
      <c r="AI3600" s="6">
        <f t="shared" si="112"/>
        <v>24.92</v>
      </c>
      <c r="AJ3600" s="5">
        <f t="shared" si="113"/>
        <v>0.22184634558888991</v>
      </c>
    </row>
    <row r="3601" spans="1:36">
      <c r="A3601" t="s">
        <v>403</v>
      </c>
      <c r="B3601" t="s">
        <v>3886</v>
      </c>
      <c r="C3601" t="s">
        <v>140</v>
      </c>
      <c r="D3601" t="s">
        <v>60</v>
      </c>
      <c r="E3601" t="s">
        <v>69</v>
      </c>
      <c r="F3601">
        <v>0</v>
      </c>
      <c r="G3601">
        <v>1856</v>
      </c>
      <c r="H3601">
        <v>1.22</v>
      </c>
      <c r="I3601" t="s">
        <v>181</v>
      </c>
      <c r="J3601">
        <v>3</v>
      </c>
      <c r="K3601" s="6">
        <v>9.81</v>
      </c>
      <c r="L3601" t="s">
        <v>174</v>
      </c>
      <c r="M3601">
        <v>0</v>
      </c>
      <c r="N3601" t="s">
        <v>175</v>
      </c>
      <c r="O3601">
        <v>1</v>
      </c>
      <c r="P3601">
        <v>0</v>
      </c>
      <c r="Q3601" s="6">
        <v>44.2</v>
      </c>
      <c r="R3601">
        <v>0</v>
      </c>
      <c r="S3601" s="6">
        <v>0</v>
      </c>
      <c r="T3601">
        <v>0</v>
      </c>
      <c r="U3601" s="6">
        <v>1042</v>
      </c>
      <c r="V3601">
        <v>0</v>
      </c>
      <c r="W3601">
        <v>0</v>
      </c>
      <c r="X3601">
        <v>0</v>
      </c>
      <c r="Y3601" s="6">
        <v>46.5</v>
      </c>
      <c r="Z3601">
        <v>0.40699999999999997</v>
      </c>
      <c r="AA3601">
        <v>0.14499999999999999</v>
      </c>
      <c r="AB3601">
        <v>3.2000000000000001E-2</v>
      </c>
      <c r="AC3601">
        <v>6</v>
      </c>
      <c r="AD3601" s="6">
        <v>60</v>
      </c>
      <c r="AE3601" s="6">
        <v>0</v>
      </c>
      <c r="AF3601" s="6">
        <v>0</v>
      </c>
      <c r="AG3601" s="6">
        <v>99.25</v>
      </c>
      <c r="AH3601" s="6">
        <v>124.85</v>
      </c>
      <c r="AI3601" s="6">
        <f t="shared" si="112"/>
        <v>25.599999999999994</v>
      </c>
      <c r="AJ3601" s="5">
        <f t="shared" si="113"/>
        <v>0.20504605526631955</v>
      </c>
    </row>
    <row r="3602" spans="1:36">
      <c r="A3602" t="s">
        <v>372</v>
      </c>
      <c r="B3602" t="s">
        <v>3887</v>
      </c>
      <c r="C3602" t="s">
        <v>140</v>
      </c>
      <c r="D3602" t="s">
        <v>60</v>
      </c>
      <c r="E3602" t="s">
        <v>69</v>
      </c>
      <c r="F3602">
        <v>0</v>
      </c>
      <c r="G3602">
        <v>1856</v>
      </c>
      <c r="H3602">
        <v>1.22</v>
      </c>
      <c r="I3602" t="s">
        <v>173</v>
      </c>
      <c r="J3602">
        <v>1</v>
      </c>
      <c r="K3602" s="6">
        <v>1.92</v>
      </c>
      <c r="L3602" t="s">
        <v>174</v>
      </c>
      <c r="M3602">
        <v>0</v>
      </c>
      <c r="N3602" t="s">
        <v>182</v>
      </c>
      <c r="O3602">
        <v>3</v>
      </c>
      <c r="P3602">
        <v>0</v>
      </c>
      <c r="Q3602" s="6">
        <v>88</v>
      </c>
      <c r="R3602">
        <v>0</v>
      </c>
      <c r="S3602" s="6">
        <v>0</v>
      </c>
      <c r="T3602">
        <v>0</v>
      </c>
      <c r="U3602" s="6">
        <v>3833</v>
      </c>
      <c r="V3602">
        <v>0</v>
      </c>
      <c r="W3602">
        <v>0</v>
      </c>
      <c r="X3602">
        <v>0</v>
      </c>
      <c r="Y3602" s="6">
        <v>46.5</v>
      </c>
      <c r="Z3602">
        <v>0.40699999999999997</v>
      </c>
      <c r="AA3602">
        <v>0.14499999999999999</v>
      </c>
      <c r="AB3602">
        <v>3.2000000000000001E-2</v>
      </c>
      <c r="AC3602">
        <v>6</v>
      </c>
      <c r="AD3602" s="6">
        <v>50</v>
      </c>
      <c r="AE3602" s="6">
        <v>0</v>
      </c>
      <c r="AF3602" s="6">
        <v>0</v>
      </c>
      <c r="AG3602" s="6">
        <v>65.47</v>
      </c>
      <c r="AH3602" s="6">
        <v>81.86</v>
      </c>
      <c r="AI3602" s="6">
        <f t="shared" si="112"/>
        <v>16.39</v>
      </c>
      <c r="AJ3602" s="5">
        <f t="shared" si="113"/>
        <v>0.2002198876129978</v>
      </c>
    </row>
    <row r="3603" spans="1:36">
      <c r="A3603" t="s">
        <v>521</v>
      </c>
      <c r="B3603" t="s">
        <v>3888</v>
      </c>
      <c r="C3603" t="s">
        <v>140</v>
      </c>
      <c r="D3603" t="s">
        <v>60</v>
      </c>
      <c r="E3603" t="s">
        <v>69</v>
      </c>
      <c r="F3603">
        <v>0</v>
      </c>
      <c r="G3603">
        <v>1856</v>
      </c>
      <c r="H3603">
        <v>1</v>
      </c>
      <c r="I3603" t="s">
        <v>181</v>
      </c>
      <c r="J3603">
        <v>3</v>
      </c>
      <c r="K3603" s="6">
        <v>12.11</v>
      </c>
      <c r="L3603" t="s">
        <v>174</v>
      </c>
      <c r="M3603">
        <v>0</v>
      </c>
      <c r="N3603" t="s">
        <v>217</v>
      </c>
      <c r="O3603">
        <v>4</v>
      </c>
      <c r="P3603">
        <v>1</v>
      </c>
      <c r="Q3603" s="6">
        <v>161.30000000000001</v>
      </c>
      <c r="R3603">
        <v>0</v>
      </c>
      <c r="S3603" s="6">
        <v>0</v>
      </c>
      <c r="T3603">
        <v>0</v>
      </c>
      <c r="U3603" s="6">
        <v>3045</v>
      </c>
      <c r="V3603">
        <v>0</v>
      </c>
      <c r="W3603">
        <v>0</v>
      </c>
      <c r="X3603">
        <v>0</v>
      </c>
      <c r="Y3603" s="6">
        <v>46.5</v>
      </c>
      <c r="Z3603">
        <v>0.40699999999999997</v>
      </c>
      <c r="AA3603">
        <v>0.14499999999999999</v>
      </c>
      <c r="AB3603">
        <v>3.2000000000000001E-2</v>
      </c>
      <c r="AC3603">
        <v>6</v>
      </c>
      <c r="AD3603" s="6">
        <v>60</v>
      </c>
      <c r="AE3603" s="6">
        <v>0</v>
      </c>
      <c r="AF3603" s="6">
        <v>0</v>
      </c>
      <c r="AG3603" s="6">
        <v>151.21</v>
      </c>
      <c r="AH3603" s="6">
        <v>190.51</v>
      </c>
      <c r="AI3603" s="6">
        <f t="shared" si="112"/>
        <v>39.299999999999983</v>
      </c>
      <c r="AJ3603" s="5">
        <f t="shared" si="113"/>
        <v>0.20628838381187331</v>
      </c>
    </row>
    <row r="3604" spans="1:36">
      <c r="A3604" t="s">
        <v>693</v>
      </c>
      <c r="B3604" t="s">
        <v>3889</v>
      </c>
      <c r="C3604" t="s">
        <v>140</v>
      </c>
      <c r="D3604" t="s">
        <v>60</v>
      </c>
      <c r="E3604" t="s">
        <v>69</v>
      </c>
      <c r="F3604">
        <v>0</v>
      </c>
      <c r="G3604">
        <v>1856</v>
      </c>
      <c r="H3604">
        <v>1.22</v>
      </c>
      <c r="I3604" t="s">
        <v>173</v>
      </c>
      <c r="J3604">
        <v>1</v>
      </c>
      <c r="K3604" s="6">
        <v>2.1</v>
      </c>
      <c r="L3604" t="s">
        <v>174</v>
      </c>
      <c r="M3604">
        <v>0</v>
      </c>
      <c r="N3604" t="s">
        <v>175</v>
      </c>
      <c r="O3604">
        <v>1</v>
      </c>
      <c r="P3604">
        <v>1</v>
      </c>
      <c r="Q3604" s="6">
        <v>28.2</v>
      </c>
      <c r="R3604">
        <v>0</v>
      </c>
      <c r="S3604" s="6">
        <v>0</v>
      </c>
      <c r="T3604">
        <v>0</v>
      </c>
      <c r="U3604" s="6">
        <v>3727</v>
      </c>
      <c r="V3604">
        <v>0</v>
      </c>
      <c r="W3604">
        <v>0</v>
      </c>
      <c r="X3604">
        <v>0</v>
      </c>
      <c r="Y3604" s="6">
        <v>46.5</v>
      </c>
      <c r="Z3604">
        <v>0.40699999999999997</v>
      </c>
      <c r="AA3604">
        <v>0.14499999999999999</v>
      </c>
      <c r="AB3604">
        <v>3.2000000000000001E-2</v>
      </c>
      <c r="AC3604">
        <v>6</v>
      </c>
      <c r="AD3604" s="6">
        <v>50</v>
      </c>
      <c r="AE3604" s="6">
        <v>0</v>
      </c>
      <c r="AF3604" s="6">
        <v>0</v>
      </c>
      <c r="AG3604" s="6">
        <v>83.81</v>
      </c>
      <c r="AH3604" s="6">
        <v>107.88</v>
      </c>
      <c r="AI3604" s="6">
        <f t="shared" si="112"/>
        <v>24.069999999999993</v>
      </c>
      <c r="AJ3604" s="5">
        <f t="shared" si="113"/>
        <v>0.22311827956989241</v>
      </c>
    </row>
    <row r="3605" spans="1:36">
      <c r="A3605" t="s">
        <v>279</v>
      </c>
      <c r="B3605" t="s">
        <v>3890</v>
      </c>
      <c r="C3605" t="s">
        <v>140</v>
      </c>
      <c r="D3605" t="s">
        <v>60</v>
      </c>
      <c r="E3605" t="s">
        <v>69</v>
      </c>
      <c r="F3605">
        <v>0</v>
      </c>
      <c r="G3605">
        <v>1856</v>
      </c>
      <c r="H3605">
        <v>1.22</v>
      </c>
      <c r="I3605" t="s">
        <v>173</v>
      </c>
      <c r="J3605">
        <v>1</v>
      </c>
      <c r="K3605" s="6">
        <v>2.4700000000000002</v>
      </c>
      <c r="L3605" t="s">
        <v>174</v>
      </c>
      <c r="M3605">
        <v>0</v>
      </c>
      <c r="N3605" t="s">
        <v>182</v>
      </c>
      <c r="O3605">
        <v>3</v>
      </c>
      <c r="P3605">
        <v>1</v>
      </c>
      <c r="Q3605" s="6">
        <v>67</v>
      </c>
      <c r="R3605">
        <v>0</v>
      </c>
      <c r="S3605" s="6">
        <v>0</v>
      </c>
      <c r="T3605">
        <v>0</v>
      </c>
      <c r="U3605" s="6">
        <v>1063</v>
      </c>
      <c r="V3605">
        <v>0</v>
      </c>
      <c r="W3605">
        <v>0</v>
      </c>
      <c r="X3605">
        <v>0</v>
      </c>
      <c r="Y3605" s="6">
        <v>46.5</v>
      </c>
      <c r="Z3605">
        <v>0.40699999999999997</v>
      </c>
      <c r="AA3605">
        <v>0.14499999999999999</v>
      </c>
      <c r="AB3605">
        <v>3.2000000000000001E-2</v>
      </c>
      <c r="AC3605">
        <v>6</v>
      </c>
      <c r="AD3605" s="6">
        <v>50</v>
      </c>
      <c r="AE3605" s="6">
        <v>0</v>
      </c>
      <c r="AF3605" s="6">
        <v>0</v>
      </c>
      <c r="AG3605" s="6">
        <v>91.6</v>
      </c>
      <c r="AH3605" s="6">
        <v>118.31</v>
      </c>
      <c r="AI3605" s="6">
        <f t="shared" si="112"/>
        <v>26.710000000000008</v>
      </c>
      <c r="AJ3605" s="5">
        <f t="shared" si="113"/>
        <v>0.2257628264728257</v>
      </c>
    </row>
    <row r="3606" spans="1:36">
      <c r="A3606" t="s">
        <v>391</v>
      </c>
      <c r="B3606" t="s">
        <v>3891</v>
      </c>
      <c r="C3606" t="s">
        <v>140</v>
      </c>
      <c r="D3606" t="s">
        <v>60</v>
      </c>
      <c r="E3606" t="s">
        <v>69</v>
      </c>
      <c r="F3606">
        <v>0</v>
      </c>
      <c r="G3606">
        <v>1856</v>
      </c>
      <c r="H3606">
        <v>1</v>
      </c>
      <c r="I3606" t="s">
        <v>181</v>
      </c>
      <c r="J3606">
        <v>3</v>
      </c>
      <c r="K3606" s="6">
        <v>3.11</v>
      </c>
      <c r="L3606" t="s">
        <v>200</v>
      </c>
      <c r="M3606">
        <v>1</v>
      </c>
      <c r="N3606" t="s">
        <v>182</v>
      </c>
      <c r="O3606">
        <v>3</v>
      </c>
      <c r="P3606">
        <v>0</v>
      </c>
      <c r="Q3606" s="6">
        <v>114</v>
      </c>
      <c r="R3606">
        <v>0</v>
      </c>
      <c r="S3606" s="6">
        <v>0</v>
      </c>
      <c r="T3606">
        <v>0</v>
      </c>
      <c r="U3606" s="6">
        <v>2015</v>
      </c>
      <c r="V3606">
        <v>0</v>
      </c>
      <c r="W3606">
        <v>0</v>
      </c>
      <c r="X3606">
        <v>0</v>
      </c>
      <c r="Y3606" s="6">
        <v>46.5</v>
      </c>
      <c r="Z3606">
        <v>0.40699999999999997</v>
      </c>
      <c r="AA3606">
        <v>0.14499999999999999</v>
      </c>
      <c r="AB3606">
        <v>3.2000000000000001E-2</v>
      </c>
      <c r="AC3606">
        <v>6</v>
      </c>
      <c r="AD3606" s="6">
        <v>139</v>
      </c>
      <c r="AE3606" s="6">
        <v>0</v>
      </c>
      <c r="AF3606" s="6">
        <v>0</v>
      </c>
      <c r="AG3606" s="6">
        <v>108.86</v>
      </c>
      <c r="AH3606" s="6">
        <v>139.72999999999999</v>
      </c>
      <c r="AI3606" s="6">
        <f t="shared" si="112"/>
        <v>30.86999999999999</v>
      </c>
      <c r="AJ3606" s="5">
        <f t="shared" si="113"/>
        <v>0.22092607170972584</v>
      </c>
    </row>
    <row r="3607" spans="1:36">
      <c r="A3607" t="s">
        <v>494</v>
      </c>
      <c r="B3607" t="s">
        <v>3892</v>
      </c>
      <c r="C3607" t="s">
        <v>140</v>
      </c>
      <c r="D3607" t="s">
        <v>60</v>
      </c>
      <c r="E3607" t="s">
        <v>69</v>
      </c>
      <c r="F3607">
        <v>0</v>
      </c>
      <c r="G3607">
        <v>1856</v>
      </c>
      <c r="H3607">
        <v>1</v>
      </c>
      <c r="I3607" t="s">
        <v>173</v>
      </c>
      <c r="J3607">
        <v>1</v>
      </c>
      <c r="K3607" s="6">
        <v>1.5</v>
      </c>
      <c r="L3607" t="s">
        <v>200</v>
      </c>
      <c r="M3607">
        <v>1</v>
      </c>
      <c r="N3607" t="s">
        <v>175</v>
      </c>
      <c r="O3607">
        <v>1</v>
      </c>
      <c r="P3607">
        <v>0</v>
      </c>
      <c r="Q3607" s="6">
        <v>35.4</v>
      </c>
      <c r="R3607">
        <v>0</v>
      </c>
      <c r="S3607" s="6">
        <v>0</v>
      </c>
      <c r="T3607">
        <v>0</v>
      </c>
      <c r="U3607" s="6">
        <v>1272</v>
      </c>
      <c r="V3607">
        <v>0</v>
      </c>
      <c r="W3607">
        <v>0</v>
      </c>
      <c r="X3607">
        <v>0</v>
      </c>
      <c r="Y3607" s="6">
        <v>46.5</v>
      </c>
      <c r="Z3607">
        <v>0.40699999999999997</v>
      </c>
      <c r="AA3607">
        <v>0.14499999999999999</v>
      </c>
      <c r="AB3607">
        <v>3.2000000000000001E-2</v>
      </c>
      <c r="AC3607">
        <v>6</v>
      </c>
      <c r="AD3607" s="6">
        <v>99</v>
      </c>
      <c r="AE3607" s="6">
        <v>0</v>
      </c>
      <c r="AF3607" s="6">
        <v>0</v>
      </c>
      <c r="AG3607" s="6">
        <v>80.680000000000007</v>
      </c>
      <c r="AH3607" s="6">
        <v>104.18</v>
      </c>
      <c r="AI3607" s="6">
        <f t="shared" si="112"/>
        <v>23.5</v>
      </c>
      <c r="AJ3607" s="5">
        <f t="shared" si="113"/>
        <v>0.22557112689575734</v>
      </c>
    </row>
    <row r="3608" spans="1:36">
      <c r="A3608" t="s">
        <v>284</v>
      </c>
      <c r="B3608" t="s">
        <v>3893</v>
      </c>
      <c r="C3608" t="s">
        <v>140</v>
      </c>
      <c r="D3608" t="s">
        <v>60</v>
      </c>
      <c r="E3608" t="s">
        <v>69</v>
      </c>
      <c r="F3608">
        <v>0</v>
      </c>
      <c r="G3608">
        <v>1856</v>
      </c>
      <c r="H3608">
        <v>1.22</v>
      </c>
      <c r="I3608" t="s">
        <v>173</v>
      </c>
      <c r="J3608">
        <v>1</v>
      </c>
      <c r="K3608" s="6">
        <v>1.42</v>
      </c>
      <c r="L3608" t="s">
        <v>174</v>
      </c>
      <c r="M3608">
        <v>0</v>
      </c>
      <c r="N3608" t="s">
        <v>217</v>
      </c>
      <c r="O3608">
        <v>4</v>
      </c>
      <c r="P3608">
        <v>1</v>
      </c>
      <c r="Q3608" s="6">
        <v>120.3</v>
      </c>
      <c r="R3608">
        <v>0</v>
      </c>
      <c r="S3608" s="6">
        <v>0</v>
      </c>
      <c r="T3608">
        <v>0</v>
      </c>
      <c r="U3608" s="6">
        <v>3337</v>
      </c>
      <c r="V3608">
        <v>0</v>
      </c>
      <c r="W3608">
        <v>0</v>
      </c>
      <c r="X3608">
        <v>0</v>
      </c>
      <c r="Y3608" s="6">
        <v>46.5</v>
      </c>
      <c r="Z3608">
        <v>0.40699999999999997</v>
      </c>
      <c r="AA3608">
        <v>0.14499999999999999</v>
      </c>
      <c r="AB3608">
        <v>3.2000000000000001E-2</v>
      </c>
      <c r="AC3608">
        <v>6</v>
      </c>
      <c r="AD3608" s="6">
        <v>50</v>
      </c>
      <c r="AE3608" s="6">
        <v>0</v>
      </c>
      <c r="AF3608" s="6">
        <v>0</v>
      </c>
      <c r="AG3608" s="6">
        <v>110.87</v>
      </c>
      <c r="AH3608" s="6">
        <v>140.41</v>
      </c>
      <c r="AI3608" s="6">
        <f t="shared" si="112"/>
        <v>29.539999999999992</v>
      </c>
      <c r="AJ3608" s="5">
        <f t="shared" si="113"/>
        <v>0.21038387579232243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"/>
  <sheetViews>
    <sheetView workbookViewId="0"/>
  </sheetViews>
  <sheetFormatPr defaultRowHeight="14"/>
  <cols>
    <col min="1" max="9" width="15" customWidth="1"/>
    <col min="10" max="10" width="20" customWidth="1"/>
    <col min="11" max="15" width="15" customWidth="1"/>
  </cols>
  <sheetData>
    <row r="1" spans="1:15" ht="28">
      <c r="A1" s="1" t="s">
        <v>3894</v>
      </c>
      <c r="B1" s="1" t="s">
        <v>3895</v>
      </c>
      <c r="C1" s="1" t="s">
        <v>3896</v>
      </c>
      <c r="D1" s="1" t="s">
        <v>3897</v>
      </c>
      <c r="E1" s="1" t="s">
        <v>3898</v>
      </c>
      <c r="F1" s="1" t="s">
        <v>173</v>
      </c>
      <c r="G1" s="1" t="s">
        <v>220</v>
      </c>
      <c r="H1" s="1" t="s">
        <v>181</v>
      </c>
      <c r="I1" s="1" t="s">
        <v>178</v>
      </c>
      <c r="J1" s="1" t="s">
        <v>3899</v>
      </c>
      <c r="L1" s="1" t="s">
        <v>3900</v>
      </c>
      <c r="M1" s="1" t="s">
        <v>3895</v>
      </c>
    </row>
    <row r="2" spans="1:15">
      <c r="A2">
        <v>1</v>
      </c>
      <c r="B2" t="s">
        <v>3901</v>
      </c>
      <c r="C2" t="s">
        <v>3902</v>
      </c>
      <c r="D2" t="s">
        <v>174</v>
      </c>
      <c r="E2" t="s">
        <v>3903</v>
      </c>
      <c r="F2">
        <v>80</v>
      </c>
      <c r="G2">
        <v>100</v>
      </c>
      <c r="H2">
        <v>120</v>
      </c>
      <c r="I2">
        <v>150</v>
      </c>
      <c r="J2" t="s">
        <v>3904</v>
      </c>
      <c r="L2" t="s">
        <v>3905</v>
      </c>
      <c r="M2" t="s">
        <v>3906</v>
      </c>
    </row>
    <row r="3" spans="1:15">
      <c r="A3">
        <v>1</v>
      </c>
      <c r="B3" t="s">
        <v>3901</v>
      </c>
      <c r="C3" t="s">
        <v>3902</v>
      </c>
      <c r="D3" t="s">
        <v>174</v>
      </c>
      <c r="E3" t="s">
        <v>272</v>
      </c>
      <c r="F3">
        <v>150</v>
      </c>
      <c r="G3">
        <v>180</v>
      </c>
      <c r="H3">
        <v>220</v>
      </c>
      <c r="I3">
        <v>270</v>
      </c>
      <c r="J3" t="s">
        <v>3904</v>
      </c>
      <c r="L3" t="s">
        <v>3907</v>
      </c>
      <c r="M3" t="s">
        <v>3908</v>
      </c>
    </row>
    <row r="4" spans="1:15">
      <c r="A4">
        <v>1</v>
      </c>
      <c r="B4" t="s">
        <v>3901</v>
      </c>
      <c r="C4" t="s">
        <v>3902</v>
      </c>
      <c r="D4" t="s">
        <v>200</v>
      </c>
      <c r="E4" t="s">
        <v>3903</v>
      </c>
      <c r="F4">
        <v>130</v>
      </c>
      <c r="G4">
        <v>160</v>
      </c>
      <c r="H4">
        <v>210</v>
      </c>
      <c r="I4" t="s">
        <v>3909</v>
      </c>
      <c r="J4" t="s">
        <v>3904</v>
      </c>
      <c r="L4" t="s">
        <v>3910</v>
      </c>
      <c r="M4" t="s">
        <v>3911</v>
      </c>
    </row>
    <row r="5" spans="1:15">
      <c r="A5">
        <v>1</v>
      </c>
      <c r="B5" t="s">
        <v>3901</v>
      </c>
      <c r="C5" t="s">
        <v>3902</v>
      </c>
      <c r="D5" t="s">
        <v>200</v>
      </c>
      <c r="E5" t="s">
        <v>272</v>
      </c>
      <c r="F5">
        <v>260</v>
      </c>
      <c r="G5">
        <v>280</v>
      </c>
      <c r="H5">
        <v>310</v>
      </c>
      <c r="I5" t="s">
        <v>3909</v>
      </c>
      <c r="J5" t="s">
        <v>3904</v>
      </c>
      <c r="L5" t="s">
        <v>3912</v>
      </c>
      <c r="M5" t="s">
        <v>3913</v>
      </c>
    </row>
    <row r="6" spans="1:15">
      <c r="A6">
        <v>2</v>
      </c>
      <c r="B6" t="s">
        <v>3914</v>
      </c>
      <c r="C6" t="s">
        <v>3915</v>
      </c>
      <c r="D6" t="s">
        <v>174</v>
      </c>
      <c r="E6" t="s">
        <v>3903</v>
      </c>
      <c r="F6">
        <v>75</v>
      </c>
      <c r="G6">
        <v>90</v>
      </c>
      <c r="H6">
        <v>115</v>
      </c>
      <c r="I6">
        <v>145</v>
      </c>
      <c r="J6" t="s">
        <v>3904</v>
      </c>
    </row>
    <row r="7" spans="1:15" ht="28">
      <c r="A7">
        <v>2</v>
      </c>
      <c r="B7" t="s">
        <v>3914</v>
      </c>
      <c r="C7" t="s">
        <v>3915</v>
      </c>
      <c r="D7" t="s">
        <v>174</v>
      </c>
      <c r="E7" t="s">
        <v>272</v>
      </c>
      <c r="F7">
        <v>140</v>
      </c>
      <c r="G7">
        <v>170</v>
      </c>
      <c r="H7">
        <v>210</v>
      </c>
      <c r="I7">
        <v>260</v>
      </c>
      <c r="J7" t="s">
        <v>3904</v>
      </c>
      <c r="L7" s="2" t="s">
        <v>3916</v>
      </c>
      <c r="M7" s="2"/>
      <c r="N7" s="2"/>
      <c r="O7" s="2"/>
    </row>
    <row r="8" spans="1:15">
      <c r="A8">
        <v>2</v>
      </c>
      <c r="B8" t="s">
        <v>3914</v>
      </c>
      <c r="C8" t="s">
        <v>3915</v>
      </c>
      <c r="D8" t="s">
        <v>200</v>
      </c>
      <c r="E8" t="s">
        <v>3903</v>
      </c>
      <c r="F8">
        <v>130</v>
      </c>
      <c r="G8">
        <v>160</v>
      </c>
      <c r="H8">
        <v>210</v>
      </c>
      <c r="I8" t="s">
        <v>3909</v>
      </c>
      <c r="J8" t="s">
        <v>3904</v>
      </c>
      <c r="L8" s="2" t="s">
        <v>3917</v>
      </c>
      <c r="M8" s="2" t="s">
        <v>3918</v>
      </c>
      <c r="N8" s="2" t="s">
        <v>3919</v>
      </c>
      <c r="O8" s="2" t="s">
        <v>3920</v>
      </c>
    </row>
    <row r="9" spans="1:15">
      <c r="A9">
        <v>2</v>
      </c>
      <c r="B9" t="s">
        <v>3914</v>
      </c>
      <c r="C9" t="s">
        <v>3915</v>
      </c>
      <c r="D9" t="s">
        <v>200</v>
      </c>
      <c r="E9" t="s">
        <v>272</v>
      </c>
      <c r="F9">
        <v>250</v>
      </c>
      <c r="G9">
        <v>270</v>
      </c>
      <c r="H9">
        <v>300</v>
      </c>
      <c r="I9" t="s">
        <v>3909</v>
      </c>
      <c r="J9" t="s">
        <v>3904</v>
      </c>
      <c r="L9" t="s">
        <v>3921</v>
      </c>
      <c r="M9" t="s">
        <v>3922</v>
      </c>
      <c r="N9" t="s">
        <v>3923</v>
      </c>
      <c r="O9" t="s">
        <v>3924</v>
      </c>
    </row>
    <row r="10" spans="1:15">
      <c r="A10">
        <v>3</v>
      </c>
      <c r="B10" t="s">
        <v>3906</v>
      </c>
      <c r="C10" t="s">
        <v>3925</v>
      </c>
      <c r="D10" t="s">
        <v>174</v>
      </c>
      <c r="E10" t="s">
        <v>3903</v>
      </c>
      <c r="F10">
        <v>70</v>
      </c>
      <c r="G10">
        <v>80</v>
      </c>
      <c r="H10">
        <v>110</v>
      </c>
      <c r="I10">
        <v>130</v>
      </c>
      <c r="J10" t="s">
        <v>3904</v>
      </c>
      <c r="L10" t="s">
        <v>3926</v>
      </c>
      <c r="M10" t="s">
        <v>3927</v>
      </c>
      <c r="N10" t="s">
        <v>3928</v>
      </c>
      <c r="O10" t="s">
        <v>3924</v>
      </c>
    </row>
    <row r="11" spans="1:15">
      <c r="A11">
        <v>3</v>
      </c>
      <c r="B11" t="s">
        <v>3906</v>
      </c>
      <c r="C11" t="s">
        <v>3925</v>
      </c>
      <c r="D11" t="s">
        <v>174</v>
      </c>
      <c r="E11" t="s">
        <v>272</v>
      </c>
      <c r="F11">
        <v>130</v>
      </c>
      <c r="G11">
        <v>160</v>
      </c>
      <c r="H11">
        <v>200</v>
      </c>
      <c r="I11">
        <v>250</v>
      </c>
      <c r="J11" t="s">
        <v>3904</v>
      </c>
      <c r="L11" t="s">
        <v>3929</v>
      </c>
      <c r="M11" t="s">
        <v>3930</v>
      </c>
      <c r="N11" t="s">
        <v>3931</v>
      </c>
      <c r="O11" t="s">
        <v>3924</v>
      </c>
    </row>
    <row r="12" spans="1:15">
      <c r="A12">
        <v>3</v>
      </c>
      <c r="B12" t="s">
        <v>3906</v>
      </c>
      <c r="C12" t="s">
        <v>3925</v>
      </c>
      <c r="D12" t="s">
        <v>200</v>
      </c>
      <c r="E12" t="s">
        <v>3903</v>
      </c>
      <c r="F12">
        <v>130</v>
      </c>
      <c r="G12">
        <v>160</v>
      </c>
      <c r="H12">
        <v>210</v>
      </c>
      <c r="I12" t="s">
        <v>3909</v>
      </c>
      <c r="J12" t="s">
        <v>3904</v>
      </c>
      <c r="L12" t="s">
        <v>3932</v>
      </c>
      <c r="M12" t="s">
        <v>3933</v>
      </c>
      <c r="N12" t="s">
        <v>3934</v>
      </c>
      <c r="O12" t="s">
        <v>3924</v>
      </c>
    </row>
    <row r="13" spans="1:15">
      <c r="A13">
        <v>3</v>
      </c>
      <c r="B13" t="s">
        <v>3906</v>
      </c>
      <c r="C13" t="s">
        <v>3925</v>
      </c>
      <c r="D13" t="s">
        <v>200</v>
      </c>
      <c r="E13" t="s">
        <v>272</v>
      </c>
      <c r="F13">
        <v>230</v>
      </c>
      <c r="G13">
        <v>260</v>
      </c>
      <c r="H13">
        <v>290</v>
      </c>
      <c r="I13" t="s">
        <v>3909</v>
      </c>
      <c r="J13" t="s">
        <v>3904</v>
      </c>
      <c r="L13" t="s">
        <v>3935</v>
      </c>
      <c r="M13" t="s">
        <v>3936</v>
      </c>
      <c r="N13" t="s">
        <v>3934</v>
      </c>
      <c r="O13" t="s">
        <v>3924</v>
      </c>
    </row>
    <row r="14" spans="1:15">
      <c r="A14">
        <v>4</v>
      </c>
      <c r="B14" t="s">
        <v>3908</v>
      </c>
      <c r="C14" t="s">
        <v>3937</v>
      </c>
      <c r="D14" t="s">
        <v>174</v>
      </c>
      <c r="E14" t="s">
        <v>3903</v>
      </c>
      <c r="F14">
        <v>65</v>
      </c>
      <c r="G14">
        <v>70</v>
      </c>
      <c r="H14">
        <v>105</v>
      </c>
      <c r="I14">
        <v>125</v>
      </c>
      <c r="J14" t="s">
        <v>3904</v>
      </c>
      <c r="L14" t="s">
        <v>3938</v>
      </c>
      <c r="M14" t="s">
        <v>3939</v>
      </c>
      <c r="N14" t="s">
        <v>3940</v>
      </c>
      <c r="O14" t="s">
        <v>3924</v>
      </c>
    </row>
    <row r="15" spans="1:15">
      <c r="A15">
        <v>4</v>
      </c>
      <c r="B15" t="s">
        <v>3908</v>
      </c>
      <c r="C15" t="s">
        <v>3937</v>
      </c>
      <c r="D15" t="s">
        <v>174</v>
      </c>
      <c r="E15" t="s">
        <v>272</v>
      </c>
      <c r="F15">
        <v>125</v>
      </c>
      <c r="G15">
        <v>155</v>
      </c>
      <c r="H15">
        <v>195</v>
      </c>
      <c r="I15">
        <v>245</v>
      </c>
      <c r="J15" t="s">
        <v>3904</v>
      </c>
      <c r="L15" t="s">
        <v>3899</v>
      </c>
      <c r="M15" t="s">
        <v>3941</v>
      </c>
      <c r="N15" t="s">
        <v>3942</v>
      </c>
    </row>
    <row r="16" spans="1:15">
      <c r="A16">
        <v>4</v>
      </c>
      <c r="B16" t="s">
        <v>3908</v>
      </c>
      <c r="C16" t="s">
        <v>3937</v>
      </c>
      <c r="D16" t="s">
        <v>200</v>
      </c>
      <c r="E16" t="s">
        <v>3903</v>
      </c>
      <c r="F16">
        <v>130</v>
      </c>
      <c r="G16">
        <v>160</v>
      </c>
      <c r="H16">
        <v>210</v>
      </c>
      <c r="I16" t="s">
        <v>3909</v>
      </c>
      <c r="J16" t="s">
        <v>3904</v>
      </c>
    </row>
    <row r="17" spans="1:10">
      <c r="A17">
        <v>4</v>
      </c>
      <c r="B17" t="s">
        <v>3908</v>
      </c>
      <c r="C17" t="s">
        <v>3937</v>
      </c>
      <c r="D17" t="s">
        <v>200</v>
      </c>
      <c r="E17" t="s">
        <v>272</v>
      </c>
      <c r="F17">
        <v>225</v>
      </c>
      <c r="G17">
        <v>255</v>
      </c>
      <c r="H17">
        <v>285</v>
      </c>
      <c r="I17" t="s">
        <v>3909</v>
      </c>
      <c r="J17" t="s">
        <v>3904</v>
      </c>
    </row>
    <row r="18" spans="1:10">
      <c r="A18">
        <v>5</v>
      </c>
      <c r="B18" t="s">
        <v>3911</v>
      </c>
      <c r="C18" t="s">
        <v>3943</v>
      </c>
      <c r="D18" t="s">
        <v>174</v>
      </c>
      <c r="E18" t="s">
        <v>3903</v>
      </c>
      <c r="F18">
        <v>51</v>
      </c>
      <c r="G18">
        <v>51</v>
      </c>
      <c r="H18">
        <v>61</v>
      </c>
      <c r="I18">
        <v>66</v>
      </c>
      <c r="J18" t="s">
        <v>3904</v>
      </c>
    </row>
    <row r="19" spans="1:10">
      <c r="A19">
        <v>5</v>
      </c>
      <c r="B19" t="s">
        <v>3911</v>
      </c>
      <c r="C19" t="s">
        <v>3943</v>
      </c>
      <c r="D19" t="s">
        <v>174</v>
      </c>
      <c r="E19" t="s">
        <v>272</v>
      </c>
      <c r="F19">
        <v>51</v>
      </c>
      <c r="G19">
        <v>51</v>
      </c>
      <c r="H19">
        <v>61</v>
      </c>
      <c r="I19">
        <v>66</v>
      </c>
      <c r="J19" t="s">
        <v>3904</v>
      </c>
    </row>
    <row r="20" spans="1:10">
      <c r="A20">
        <v>5</v>
      </c>
      <c r="B20" t="s">
        <v>3911</v>
      </c>
      <c r="C20" t="s">
        <v>3943</v>
      </c>
      <c r="D20" t="s">
        <v>200</v>
      </c>
      <c r="E20" t="s">
        <v>3903</v>
      </c>
      <c r="F20">
        <v>100</v>
      </c>
      <c r="G20">
        <v>120</v>
      </c>
      <c r="H20">
        <v>140</v>
      </c>
      <c r="I20" t="s">
        <v>3909</v>
      </c>
      <c r="J20" t="s">
        <v>3904</v>
      </c>
    </row>
    <row r="21" spans="1:10">
      <c r="A21">
        <v>5</v>
      </c>
      <c r="B21" t="s">
        <v>3911</v>
      </c>
      <c r="C21" t="s">
        <v>3943</v>
      </c>
      <c r="D21" t="s">
        <v>200</v>
      </c>
      <c r="E21" t="s">
        <v>272</v>
      </c>
      <c r="F21">
        <v>100</v>
      </c>
      <c r="G21">
        <v>120</v>
      </c>
      <c r="H21">
        <v>140</v>
      </c>
      <c r="I21" t="s">
        <v>3909</v>
      </c>
      <c r="J21" t="s">
        <v>3904</v>
      </c>
    </row>
    <row r="22" spans="1:10">
      <c r="A22">
        <v>6</v>
      </c>
      <c r="B22" t="s">
        <v>3913</v>
      </c>
      <c r="C22" t="s">
        <v>3944</v>
      </c>
      <c r="D22" t="s">
        <v>174</v>
      </c>
      <c r="E22" t="s">
        <v>3903</v>
      </c>
      <c r="F22">
        <v>50</v>
      </c>
      <c r="G22">
        <v>50</v>
      </c>
      <c r="H22">
        <v>60</v>
      </c>
      <c r="I22">
        <v>65</v>
      </c>
      <c r="J22" t="s">
        <v>3904</v>
      </c>
    </row>
    <row r="23" spans="1:10">
      <c r="A23">
        <v>6</v>
      </c>
      <c r="B23" t="s">
        <v>3913</v>
      </c>
      <c r="C23" t="s">
        <v>3944</v>
      </c>
      <c r="D23" t="s">
        <v>174</v>
      </c>
      <c r="E23" t="s">
        <v>272</v>
      </c>
      <c r="F23">
        <v>50</v>
      </c>
      <c r="G23">
        <v>50</v>
      </c>
      <c r="H23">
        <v>60</v>
      </c>
      <c r="I23">
        <v>65</v>
      </c>
      <c r="J23" t="s">
        <v>3904</v>
      </c>
    </row>
    <row r="24" spans="1:10">
      <c r="A24">
        <v>6</v>
      </c>
      <c r="B24" t="s">
        <v>3913</v>
      </c>
      <c r="C24" t="s">
        <v>3944</v>
      </c>
      <c r="D24" t="s">
        <v>200</v>
      </c>
      <c r="E24" t="s">
        <v>3903</v>
      </c>
      <c r="F24">
        <v>99</v>
      </c>
      <c r="G24">
        <v>119</v>
      </c>
      <c r="H24">
        <v>139</v>
      </c>
      <c r="I24" t="s">
        <v>3909</v>
      </c>
      <c r="J24" t="s">
        <v>3904</v>
      </c>
    </row>
    <row r="25" spans="1:10">
      <c r="A25">
        <v>6</v>
      </c>
      <c r="B25" t="s">
        <v>3913</v>
      </c>
      <c r="C25" t="s">
        <v>3944</v>
      </c>
      <c r="D25" t="s">
        <v>200</v>
      </c>
      <c r="E25" t="s">
        <v>272</v>
      </c>
      <c r="F25">
        <v>99</v>
      </c>
      <c r="G25">
        <v>119</v>
      </c>
      <c r="H25">
        <v>139</v>
      </c>
      <c r="I25" t="s">
        <v>3909</v>
      </c>
      <c r="J25" t="s">
        <v>3904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workbookViewId="0"/>
  </sheetViews>
  <sheetFormatPr defaultRowHeight="14"/>
  <cols>
    <col min="1" max="2" width="24" customWidth="1"/>
    <col min="3" max="3" width="50" customWidth="1"/>
  </cols>
  <sheetData>
    <row r="1" spans="1:3">
      <c r="A1" s="1" t="s">
        <v>3945</v>
      </c>
      <c r="B1" s="1" t="s">
        <v>3946</v>
      </c>
      <c r="C1" s="1" t="s">
        <v>3947</v>
      </c>
    </row>
    <row r="2" spans="1:3">
      <c r="A2" s="3" t="s">
        <v>40</v>
      </c>
      <c r="B2" s="3" t="s">
        <v>3948</v>
      </c>
      <c r="C2" s="3" t="s">
        <v>3949</v>
      </c>
    </row>
    <row r="3" spans="1:3">
      <c r="A3" s="3" t="s">
        <v>3950</v>
      </c>
      <c r="B3" s="3" t="s">
        <v>3948</v>
      </c>
      <c r="C3" s="3" t="s">
        <v>3951</v>
      </c>
    </row>
    <row r="4" spans="1:3">
      <c r="A4" s="3" t="s">
        <v>147</v>
      </c>
      <c r="B4" s="3" t="s">
        <v>3948</v>
      </c>
      <c r="C4" s="3" t="s">
        <v>3952</v>
      </c>
    </row>
    <row r="5" spans="1:3">
      <c r="A5" s="3" t="s">
        <v>3953</v>
      </c>
      <c r="B5" s="3" t="s">
        <v>3948</v>
      </c>
      <c r="C5" s="3" t="s">
        <v>3954</v>
      </c>
    </row>
    <row r="6" spans="1:3" ht="28">
      <c r="A6" s="3" t="s">
        <v>3955</v>
      </c>
      <c r="B6" s="3" t="s">
        <v>3948</v>
      </c>
      <c r="C6" s="3" t="s">
        <v>3956</v>
      </c>
    </row>
    <row r="7" spans="1:3">
      <c r="A7" s="3" t="s">
        <v>152</v>
      </c>
      <c r="B7" s="3" t="s">
        <v>3948</v>
      </c>
      <c r="C7" s="3" t="s">
        <v>3957</v>
      </c>
    </row>
    <row r="8" spans="1:3">
      <c r="A8" s="3" t="s">
        <v>153</v>
      </c>
      <c r="B8" s="3" t="s">
        <v>3948</v>
      </c>
      <c r="C8" s="3" t="s">
        <v>3958</v>
      </c>
    </row>
    <row r="9" spans="1:3">
      <c r="A9" s="3" t="s">
        <v>3959</v>
      </c>
      <c r="B9" s="3" t="s">
        <v>3948</v>
      </c>
      <c r="C9" s="3" t="s">
        <v>3960</v>
      </c>
    </row>
    <row r="10" spans="1:3" ht="28">
      <c r="A10" s="3" t="s">
        <v>3961</v>
      </c>
      <c r="B10" s="3" t="s">
        <v>3948</v>
      </c>
      <c r="C10" s="3" t="s">
        <v>3962</v>
      </c>
    </row>
    <row r="11" spans="1:3">
      <c r="A11" s="3" t="s">
        <v>158</v>
      </c>
      <c r="B11" s="3" t="s">
        <v>3948</v>
      </c>
      <c r="C11" s="3" t="s">
        <v>3963</v>
      </c>
    </row>
    <row r="12" spans="1:3">
      <c r="A12" s="3" t="s">
        <v>159</v>
      </c>
      <c r="B12" s="3" t="s">
        <v>3948</v>
      </c>
      <c r="C12" s="3" t="s">
        <v>3964</v>
      </c>
    </row>
    <row r="13" spans="1:3">
      <c r="A13" s="3" t="s">
        <v>49</v>
      </c>
      <c r="B13" s="3" t="s">
        <v>3948</v>
      </c>
      <c r="C13" s="3" t="s">
        <v>3965</v>
      </c>
    </row>
    <row r="14" spans="1:3">
      <c r="A14" s="3" t="s">
        <v>10</v>
      </c>
      <c r="B14" s="3" t="s">
        <v>3966</v>
      </c>
      <c r="C14" s="3" t="s">
        <v>3967</v>
      </c>
    </row>
    <row r="15" spans="1:3">
      <c r="A15" s="3" t="s">
        <v>165</v>
      </c>
      <c r="B15" s="3" t="s">
        <v>3968</v>
      </c>
      <c r="C15" s="3" t="s">
        <v>3969</v>
      </c>
    </row>
    <row r="16" spans="1:3">
      <c r="A16" s="3" t="s">
        <v>3970</v>
      </c>
      <c r="B16" s="3" t="s">
        <v>3971</v>
      </c>
      <c r="C16" s="3" t="s">
        <v>3972</v>
      </c>
    </row>
    <row r="17" spans="1:3">
      <c r="A17" s="3"/>
      <c r="B17" s="3"/>
      <c r="C17" s="3"/>
    </row>
    <row r="18" spans="1:3">
      <c r="A18" s="3"/>
      <c r="B18" s="3"/>
      <c r="C18" s="3"/>
    </row>
    <row r="19" spans="1:3">
      <c r="A19" s="3"/>
      <c r="B19" s="3"/>
      <c r="C19" s="3"/>
    </row>
    <row r="20" spans="1:3">
      <c r="A20" s="3"/>
      <c r="B20" s="3"/>
      <c r="C20" s="3"/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8"/>
  <sheetViews>
    <sheetView workbookViewId="0"/>
  </sheetViews>
  <sheetFormatPr defaultRowHeight="14"/>
  <cols>
    <col min="1" max="11" width="15" customWidth="1"/>
    <col min="12" max="12" width="42" customWidth="1"/>
  </cols>
  <sheetData>
    <row r="1" spans="1:18" ht="19">
      <c r="A1" s="14" t="s">
        <v>3973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8" ht="28">
      <c r="N2" s="1" t="s">
        <v>3974</v>
      </c>
      <c r="O2" s="1" t="s">
        <v>3975</v>
      </c>
      <c r="Q2" s="1" t="s">
        <v>3974</v>
      </c>
      <c r="R2" s="1" t="s">
        <v>3976</v>
      </c>
    </row>
    <row r="3" spans="1:18" ht="28">
      <c r="A3" s="1" t="s">
        <v>3974</v>
      </c>
      <c r="B3" s="1" t="s">
        <v>3977</v>
      </c>
      <c r="C3" s="1" t="s">
        <v>3978</v>
      </c>
      <c r="D3" s="1" t="s">
        <v>3979</v>
      </c>
      <c r="E3" s="1" t="s">
        <v>3980</v>
      </c>
      <c r="F3" s="1" t="s">
        <v>3981</v>
      </c>
      <c r="G3" s="1" t="s">
        <v>3982</v>
      </c>
      <c r="H3" s="1" t="s">
        <v>3983</v>
      </c>
      <c r="I3" s="1" t="s">
        <v>3984</v>
      </c>
      <c r="J3" s="1" t="s">
        <v>3985</v>
      </c>
      <c r="K3" s="1" t="s">
        <v>3986</v>
      </c>
      <c r="L3" s="1" t="s">
        <v>3987</v>
      </c>
      <c r="N3" t="s">
        <v>3988</v>
      </c>
      <c r="O3">
        <v>6.1955361887393465</v>
      </c>
      <c r="Q3" t="s">
        <v>3988</v>
      </c>
      <c r="R3">
        <v>7.5065363907378764</v>
      </c>
    </row>
    <row r="4" spans="1:18">
      <c r="A4" t="s">
        <v>3988</v>
      </c>
      <c r="B4" s="8">
        <v>0.97186584544238375</v>
      </c>
      <c r="C4" s="10">
        <v>4.831458068079848</v>
      </c>
      <c r="D4" s="10">
        <v>6.1955361887393465</v>
      </c>
      <c r="E4" s="10">
        <v>5.8684686277740843</v>
      </c>
      <c r="F4" s="10">
        <v>5.803657711479377</v>
      </c>
      <c r="G4" s="10">
        <v>7.5065363907378764</v>
      </c>
      <c r="H4" s="10">
        <v>32.297447280799112</v>
      </c>
      <c r="I4" s="10">
        <v>17.203107658157602</v>
      </c>
      <c r="J4" s="10">
        <v>19.292709313573226</v>
      </c>
      <c r="K4" s="10">
        <v>112.10243619836285</v>
      </c>
      <c r="L4" t="s">
        <v>3989</v>
      </c>
      <c r="N4" t="s">
        <v>3990</v>
      </c>
      <c r="O4">
        <v>8.1865764770515366</v>
      </c>
      <c r="Q4" t="s">
        <v>3990</v>
      </c>
      <c r="R4">
        <v>9.9278613284075554</v>
      </c>
    </row>
    <row r="5" spans="1:18">
      <c r="A5" t="s">
        <v>3990</v>
      </c>
      <c r="B5" s="8">
        <v>0.95087747081822016</v>
      </c>
      <c r="C5" s="10">
        <v>4.8451812376776928</v>
      </c>
      <c r="D5" s="10">
        <v>8.1865764770515366</v>
      </c>
      <c r="E5" s="10">
        <v>5.3765333648959164</v>
      </c>
      <c r="F5" s="10">
        <v>5.8006756267941082</v>
      </c>
      <c r="G5" s="10">
        <v>9.9278613284075554</v>
      </c>
      <c r="H5" s="10">
        <v>34.628190899001112</v>
      </c>
      <c r="I5" s="10">
        <v>18.645948945615981</v>
      </c>
      <c r="J5" s="10">
        <v>18.564241467144079</v>
      </c>
      <c r="K5" s="10">
        <v>110.49558286542441</v>
      </c>
      <c r="L5" t="s">
        <v>3991</v>
      </c>
      <c r="N5" t="s">
        <v>3992</v>
      </c>
      <c r="O5">
        <v>5.7540241269364136</v>
      </c>
      <c r="Q5" t="s">
        <v>3992</v>
      </c>
      <c r="R5">
        <v>6.9916294900909053</v>
      </c>
    </row>
    <row r="6" spans="1:18">
      <c r="A6" s="7" t="s">
        <v>3992</v>
      </c>
      <c r="B6" s="9">
        <v>0.97573281338010787</v>
      </c>
      <c r="C6" s="11">
        <v>3.96950291590209</v>
      </c>
      <c r="D6" s="11">
        <v>5.7540241269364136</v>
      </c>
      <c r="E6" s="11">
        <v>4.7095146607949818</v>
      </c>
      <c r="F6" s="11">
        <v>4.7660032753044339</v>
      </c>
      <c r="G6" s="11">
        <v>6.9916294900909053</v>
      </c>
      <c r="H6" s="11">
        <v>33.296337402885683</v>
      </c>
      <c r="I6" s="11">
        <v>15.538290788013317</v>
      </c>
      <c r="J6" s="11">
        <v>18.759181926670248</v>
      </c>
      <c r="K6" s="11">
        <v>110.93484389107182</v>
      </c>
      <c r="L6" s="7" t="s">
        <v>3993</v>
      </c>
    </row>
    <row r="8" spans="1:18" ht="28">
      <c r="A8" s="2" t="s">
        <v>3994</v>
      </c>
      <c r="B8" s="2" t="s">
        <v>3988</v>
      </c>
      <c r="C8" s="2" t="s">
        <v>3990</v>
      </c>
      <c r="D8" s="2" t="s">
        <v>3992</v>
      </c>
      <c r="E8" s="2" t="s">
        <v>3995</v>
      </c>
    </row>
    <row r="9" spans="1:18">
      <c r="A9" t="s">
        <v>3996</v>
      </c>
      <c r="B9">
        <v>0.97189999999999999</v>
      </c>
      <c r="C9">
        <v>0.95089999999999997</v>
      </c>
      <c r="D9">
        <v>0.97570000000000001</v>
      </c>
      <c r="E9" t="s">
        <v>3992</v>
      </c>
    </row>
    <row r="10" spans="1:18">
      <c r="A10" t="s">
        <v>3975</v>
      </c>
      <c r="B10">
        <v>6.2</v>
      </c>
      <c r="C10">
        <v>8.19</v>
      </c>
      <c r="D10">
        <v>5.75</v>
      </c>
      <c r="E10" t="s">
        <v>3992</v>
      </c>
    </row>
    <row r="11" spans="1:18">
      <c r="A11" t="s">
        <v>3997</v>
      </c>
      <c r="B11">
        <v>5.87</v>
      </c>
      <c r="C11">
        <v>5.38</v>
      </c>
      <c r="D11">
        <v>4.71</v>
      </c>
      <c r="E11" t="s">
        <v>3992</v>
      </c>
    </row>
    <row r="12" spans="1:18">
      <c r="A12" t="s">
        <v>3976</v>
      </c>
      <c r="B12">
        <v>7.51</v>
      </c>
      <c r="C12">
        <v>9.93</v>
      </c>
      <c r="D12">
        <v>6.99</v>
      </c>
      <c r="E12" t="s">
        <v>3992</v>
      </c>
    </row>
    <row r="13" spans="1:18">
      <c r="A13" t="s">
        <v>3998</v>
      </c>
      <c r="B13">
        <v>17.2</v>
      </c>
      <c r="C13">
        <v>18.649999999999999</v>
      </c>
      <c r="D13">
        <v>15.54</v>
      </c>
      <c r="E13" t="s">
        <v>3992</v>
      </c>
    </row>
    <row r="15" spans="1:18" ht="42">
      <c r="A15" s="2" t="s">
        <v>3999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8">
      <c r="A16" t="s">
        <v>14</v>
      </c>
      <c r="B16" t="s">
        <v>4000</v>
      </c>
    </row>
    <row r="17" spans="1:2">
      <c r="A17" t="s">
        <v>16</v>
      </c>
      <c r="B17" t="s">
        <v>4001</v>
      </c>
    </row>
    <row r="18" spans="1:2">
      <c r="A18" t="s">
        <v>18</v>
      </c>
      <c r="B18" t="s">
        <v>4002</v>
      </c>
    </row>
  </sheetData>
  <mergeCells count="1">
    <mergeCell ref="A1:L1"/>
  </mergeCells>
  <phoneticPr fontId="7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902"/>
  <sheetViews>
    <sheetView workbookViewId="0"/>
  </sheetViews>
  <sheetFormatPr defaultRowHeight="14"/>
  <cols>
    <col min="1" max="1" width="16" customWidth="1"/>
    <col min="2" max="18" width="14" customWidth="1"/>
  </cols>
  <sheetData>
    <row r="1" spans="1:18" ht="28">
      <c r="A1" s="1" t="s">
        <v>143</v>
      </c>
      <c r="B1" s="1" t="s">
        <v>35</v>
      </c>
      <c r="C1" s="1" t="s">
        <v>4003</v>
      </c>
      <c r="D1" s="1" t="s">
        <v>4004</v>
      </c>
      <c r="E1" s="1" t="s">
        <v>4005</v>
      </c>
      <c r="F1" s="1" t="s">
        <v>4006</v>
      </c>
      <c r="G1" s="1" t="s">
        <v>4007</v>
      </c>
      <c r="H1" s="1" t="s">
        <v>4008</v>
      </c>
      <c r="I1" s="1" t="s">
        <v>4009</v>
      </c>
      <c r="J1" s="1" t="s">
        <v>4010</v>
      </c>
      <c r="K1" s="1" t="s">
        <v>4011</v>
      </c>
      <c r="L1" s="1" t="s">
        <v>4012</v>
      </c>
      <c r="M1" s="1" t="s">
        <v>4013</v>
      </c>
      <c r="N1" s="1" t="s">
        <v>4014</v>
      </c>
      <c r="O1" s="1" t="s">
        <v>4015</v>
      </c>
      <c r="P1" s="1" t="s">
        <v>4016</v>
      </c>
      <c r="Q1" s="1" t="s">
        <v>4017</v>
      </c>
      <c r="R1" s="1" t="s">
        <v>4018</v>
      </c>
    </row>
    <row r="2" spans="1:18">
      <c r="A2" t="s">
        <v>172</v>
      </c>
      <c r="B2" t="s">
        <v>52</v>
      </c>
      <c r="C2" s="10">
        <v>57.71</v>
      </c>
      <c r="D2" s="10">
        <v>51</v>
      </c>
      <c r="E2" s="10">
        <v>0.19</v>
      </c>
      <c r="F2" s="10">
        <v>52.3548281507491</v>
      </c>
      <c r="G2" s="10">
        <v>52.195099118531353</v>
      </c>
      <c r="H2" s="10">
        <v>54.305190000000003</v>
      </c>
      <c r="I2" s="10">
        <v>71.246913580246911</v>
      </c>
      <c r="J2" s="10">
        <v>64.63559030956678</v>
      </c>
      <c r="K2" s="10">
        <v>64.438393973495494</v>
      </c>
      <c r="L2" s="10">
        <v>67.043444444444447</v>
      </c>
      <c r="M2" s="10">
        <v>6.6113232706801313</v>
      </c>
      <c r="N2" s="10">
        <v>6.8085196067514175</v>
      </c>
      <c r="O2" s="10">
        <v>4.2034691358024645</v>
      </c>
      <c r="P2" s="5">
        <v>0.10714824876507263</v>
      </c>
      <c r="Q2" s="5">
        <v>0.10441591663912334</v>
      </c>
      <c r="R2" s="5">
        <v>0.13921487062286314</v>
      </c>
    </row>
    <row r="3" spans="1:18">
      <c r="A3" t="s">
        <v>177</v>
      </c>
      <c r="B3" t="s">
        <v>52</v>
      </c>
      <c r="C3" s="10">
        <v>121.84</v>
      </c>
      <c r="D3" s="10">
        <v>66</v>
      </c>
      <c r="E3" s="10">
        <v>0.19</v>
      </c>
      <c r="F3" s="10">
        <v>126.50468747757377</v>
      </c>
      <c r="G3" s="10">
        <v>126.50517332806079</v>
      </c>
      <c r="H3" s="10">
        <v>124.134834</v>
      </c>
      <c r="I3" s="10">
        <v>150.41975308641975</v>
      </c>
      <c r="J3" s="10">
        <v>156.17862651552315</v>
      </c>
      <c r="K3" s="10">
        <v>156.17922633093923</v>
      </c>
      <c r="L3" s="10">
        <v>153.25288148148147</v>
      </c>
      <c r="M3" s="10">
        <v>5.7588734291034029</v>
      </c>
      <c r="N3" s="10">
        <v>5.7594732445194836</v>
      </c>
      <c r="O3" s="10">
        <v>2.8331283950617205</v>
      </c>
      <c r="P3" s="5">
        <v>0.2198676431061462</v>
      </c>
      <c r="Q3" s="5">
        <v>0.21987063924990516</v>
      </c>
      <c r="R3" s="5">
        <v>0.20497416543047045</v>
      </c>
    </row>
    <row r="4" spans="1:18">
      <c r="A4" t="s">
        <v>180</v>
      </c>
      <c r="B4" t="s">
        <v>52</v>
      </c>
      <c r="C4" s="10">
        <v>81.89</v>
      </c>
      <c r="D4" s="10">
        <v>61</v>
      </c>
      <c r="E4" s="10">
        <v>0.19</v>
      </c>
      <c r="F4" s="10">
        <v>87.128129150047727</v>
      </c>
      <c r="G4" s="10">
        <v>79.285486269769635</v>
      </c>
      <c r="H4" s="10">
        <v>83.571960000000004</v>
      </c>
      <c r="I4" s="10">
        <v>101.09876543209876</v>
      </c>
      <c r="J4" s="10">
        <v>107.56559154326879</v>
      </c>
      <c r="K4" s="10">
        <v>97.883316382431644</v>
      </c>
      <c r="L4" s="10">
        <v>103.17525925925926</v>
      </c>
      <c r="M4" s="10">
        <v>6.466826111170036</v>
      </c>
      <c r="N4" s="10">
        <v>3.2154490496671144</v>
      </c>
      <c r="O4" s="10">
        <v>2.0764938271605047</v>
      </c>
      <c r="P4" s="5">
        <v>0.23869707008435556</v>
      </c>
      <c r="Q4" s="5">
        <v>0.16339164807152126</v>
      </c>
      <c r="R4" s="5">
        <v>0.20630197018234347</v>
      </c>
    </row>
    <row r="5" spans="1:18">
      <c r="A5" t="s">
        <v>184</v>
      </c>
      <c r="B5" t="s">
        <v>52</v>
      </c>
      <c r="C5" s="10">
        <v>135.69</v>
      </c>
      <c r="D5" s="10">
        <v>66</v>
      </c>
      <c r="E5" s="10">
        <v>0.19</v>
      </c>
      <c r="F5" s="10">
        <v>140.53712055903083</v>
      </c>
      <c r="G5" s="10">
        <v>134.0504026778776</v>
      </c>
      <c r="H5" s="10">
        <v>130.41998000000001</v>
      </c>
      <c r="I5" s="10">
        <v>167.5185185185185</v>
      </c>
      <c r="J5" s="10">
        <v>173.50261797411213</v>
      </c>
      <c r="K5" s="10">
        <v>165.49432429367604</v>
      </c>
      <c r="L5" s="10">
        <v>161.01232098765433</v>
      </c>
      <c r="M5" s="10">
        <v>5.984099455593622</v>
      </c>
      <c r="N5" s="10">
        <v>2.0241942248424607</v>
      </c>
      <c r="O5" s="10">
        <v>6.5061975308641706</v>
      </c>
      <c r="P5" s="5">
        <v>0.2179368727436381</v>
      </c>
      <c r="Q5" s="5">
        <v>0.18009272777709964</v>
      </c>
      <c r="R5" s="5">
        <v>0.15726946132026712</v>
      </c>
    </row>
    <row r="6" spans="1:18">
      <c r="A6" t="s">
        <v>186</v>
      </c>
      <c r="B6" t="s">
        <v>52</v>
      </c>
      <c r="C6" s="10">
        <v>131.59</v>
      </c>
      <c r="D6" s="10">
        <v>66</v>
      </c>
      <c r="E6" s="10">
        <v>0.19</v>
      </c>
      <c r="F6" s="10">
        <v>128.03441577475766</v>
      </c>
      <c r="G6" s="10">
        <v>123.8644327838828</v>
      </c>
      <c r="H6" s="10">
        <v>124.63011</v>
      </c>
      <c r="I6" s="10">
        <v>162.45679012345678</v>
      </c>
      <c r="J6" s="10">
        <v>158.0671799688366</v>
      </c>
      <c r="K6" s="10">
        <v>152.9190528196084</v>
      </c>
      <c r="L6" s="10">
        <v>153.86433333333332</v>
      </c>
      <c r="M6" s="10">
        <v>4.3896101546201862</v>
      </c>
      <c r="N6" s="10">
        <v>9.5377373038483881</v>
      </c>
      <c r="O6" s="10">
        <v>8.5924567901234639</v>
      </c>
      <c r="P6" s="5">
        <v>0.16750586664516093</v>
      </c>
      <c r="Q6" s="5">
        <v>0.13947936785071052</v>
      </c>
      <c r="R6" s="5">
        <v>0.1447660601438929</v>
      </c>
    </row>
    <row r="7" spans="1:18">
      <c r="A7" t="s">
        <v>189</v>
      </c>
      <c r="B7" t="s">
        <v>52</v>
      </c>
      <c r="C7" s="10">
        <v>140.08000000000001</v>
      </c>
      <c r="D7" s="10">
        <v>66</v>
      </c>
      <c r="E7" s="10">
        <v>0.19</v>
      </c>
      <c r="F7" s="10">
        <v>146.91789168691122</v>
      </c>
      <c r="G7" s="10">
        <v>149.05780924908427</v>
      </c>
      <c r="H7" s="10">
        <v>141.47730999999999</v>
      </c>
      <c r="I7" s="10">
        <v>172.93827160493828</v>
      </c>
      <c r="J7" s="10">
        <v>181.38011319371753</v>
      </c>
      <c r="K7" s="10">
        <v>184.02198672726453</v>
      </c>
      <c r="L7" s="10">
        <v>174.66334567901231</v>
      </c>
      <c r="M7" s="10">
        <v>8.4418415887792548</v>
      </c>
      <c r="N7" s="10">
        <v>11.083715122326254</v>
      </c>
      <c r="O7" s="10">
        <v>1.7250740740740298</v>
      </c>
      <c r="P7" s="5">
        <v>0.22769923596644903</v>
      </c>
      <c r="Q7" s="5">
        <v>0.23878661190844602</v>
      </c>
      <c r="R7" s="5">
        <v>0.19800001851887039</v>
      </c>
    </row>
    <row r="8" spans="1:18">
      <c r="A8" t="s">
        <v>191</v>
      </c>
      <c r="B8" t="s">
        <v>52</v>
      </c>
      <c r="C8" s="10">
        <v>143.07</v>
      </c>
      <c r="D8" s="10">
        <v>66</v>
      </c>
      <c r="E8" s="10">
        <v>0.19</v>
      </c>
      <c r="F8" s="10">
        <v>144.00659910233443</v>
      </c>
      <c r="G8" s="10">
        <v>141.65147763209012</v>
      </c>
      <c r="H8" s="10">
        <v>129.08908</v>
      </c>
      <c r="I8" s="10">
        <v>176.62962962962962</v>
      </c>
      <c r="J8" s="10">
        <v>177.78592481769681</v>
      </c>
      <c r="K8" s="10">
        <v>174.87836744702483</v>
      </c>
      <c r="L8" s="10">
        <v>159.36923456790123</v>
      </c>
      <c r="M8" s="10">
        <v>1.1562951880671903</v>
      </c>
      <c r="N8" s="10">
        <v>1.7512621826047905</v>
      </c>
      <c r="O8" s="10">
        <v>17.260395061728389</v>
      </c>
      <c r="P8" s="5">
        <v>0.19526812852758069</v>
      </c>
      <c r="Q8" s="5">
        <v>0.18188852006901546</v>
      </c>
      <c r="R8" s="5">
        <v>0.10227340685982116</v>
      </c>
    </row>
    <row r="9" spans="1:18">
      <c r="A9" t="s">
        <v>193</v>
      </c>
      <c r="B9" t="s">
        <v>52</v>
      </c>
      <c r="C9" s="10">
        <v>147.85</v>
      </c>
      <c r="D9" s="10">
        <v>66</v>
      </c>
      <c r="E9" s="10">
        <v>0.19</v>
      </c>
      <c r="F9" s="10">
        <v>154.34959113984269</v>
      </c>
      <c r="G9" s="10">
        <v>149.23794108669122</v>
      </c>
      <c r="H9" s="10">
        <v>150.02095</v>
      </c>
      <c r="I9" s="10">
        <v>182.53086419753083</v>
      </c>
      <c r="J9" s="10">
        <v>190.55505078992923</v>
      </c>
      <c r="K9" s="10">
        <v>184.24437171196445</v>
      </c>
      <c r="L9" s="10">
        <v>185.21104938271603</v>
      </c>
      <c r="M9" s="10">
        <v>8.0241865923983937</v>
      </c>
      <c r="N9" s="10">
        <v>1.7135075144336156</v>
      </c>
      <c r="O9" s="10">
        <v>2.680185185185195</v>
      </c>
      <c r="P9" s="5">
        <v>0.22410873190135447</v>
      </c>
      <c r="Q9" s="5">
        <v>0.19753315324530524</v>
      </c>
      <c r="R9" s="5">
        <v>0.20172149289815849</v>
      </c>
    </row>
    <row r="10" spans="1:18">
      <c r="A10" t="s">
        <v>195</v>
      </c>
      <c r="B10" t="s">
        <v>52</v>
      </c>
      <c r="C10" s="10">
        <v>123.66</v>
      </c>
      <c r="D10" s="10">
        <v>66</v>
      </c>
      <c r="E10" s="10">
        <v>0.19</v>
      </c>
      <c r="F10" s="10">
        <v>125.04071772451655</v>
      </c>
      <c r="G10" s="10">
        <v>124.19278795787555</v>
      </c>
      <c r="H10" s="10">
        <v>123.78506</v>
      </c>
      <c r="I10" s="10">
        <v>152.66666666666666</v>
      </c>
      <c r="J10" s="10">
        <v>154.37125645002044</v>
      </c>
      <c r="K10" s="10">
        <v>153.32442957762413</v>
      </c>
      <c r="L10" s="10">
        <v>152.82106172839505</v>
      </c>
      <c r="M10" s="10">
        <v>1.7045897833537822</v>
      </c>
      <c r="N10" s="10">
        <v>0.65776291095747297</v>
      </c>
      <c r="O10" s="10">
        <v>0.15439506172839401</v>
      </c>
      <c r="P10" s="5">
        <v>0.19894413737549377</v>
      </c>
      <c r="Q10" s="5">
        <v>0.19347490585383728</v>
      </c>
      <c r="R10" s="5">
        <v>0.1908183426982222</v>
      </c>
    </row>
    <row r="11" spans="1:18">
      <c r="A11" t="s">
        <v>197</v>
      </c>
      <c r="B11" t="s">
        <v>52</v>
      </c>
      <c r="C11" s="10">
        <v>94.03</v>
      </c>
      <c r="D11" s="10">
        <v>66</v>
      </c>
      <c r="E11" s="10">
        <v>0.19</v>
      </c>
      <c r="F11" s="10">
        <v>92.149769700977401</v>
      </c>
      <c r="G11" s="10">
        <v>80.250437828771879</v>
      </c>
      <c r="H11" s="10">
        <v>81.743520000000004</v>
      </c>
      <c r="I11" s="10">
        <v>116.08641975308642</v>
      </c>
      <c r="J11" s="10">
        <v>113.76514777898444</v>
      </c>
      <c r="K11" s="10">
        <v>99.074614603422063</v>
      </c>
      <c r="L11" s="10">
        <v>100.91792592592593</v>
      </c>
      <c r="M11" s="10">
        <v>2.3212719741019754</v>
      </c>
      <c r="N11" s="10">
        <v>17.011805149664355</v>
      </c>
      <c r="O11" s="10">
        <v>15.168493827160489</v>
      </c>
      <c r="P11" s="5">
        <v>0.17347270376094978</v>
      </c>
      <c r="Q11" s="5">
        <v>5.0917327547674557E-2</v>
      </c>
      <c r="R11" s="5">
        <v>6.8252749575746202E-2</v>
      </c>
    </row>
    <row r="12" spans="1:18">
      <c r="A12" t="s">
        <v>199</v>
      </c>
      <c r="B12" t="s">
        <v>52</v>
      </c>
      <c r="C12" s="10">
        <v>76.78</v>
      </c>
      <c r="D12" s="10">
        <v>100</v>
      </c>
      <c r="E12" s="10">
        <v>0.19</v>
      </c>
      <c r="F12" s="10">
        <v>87.08324028648218</v>
      </c>
      <c r="G12" s="10">
        <v>83.696782150488389</v>
      </c>
      <c r="H12" s="10">
        <v>79.981800000000007</v>
      </c>
      <c r="I12" s="10">
        <v>100</v>
      </c>
      <c r="J12" s="10">
        <v>107.51017319318787</v>
      </c>
      <c r="K12" s="10">
        <v>103.32936067961529</v>
      </c>
      <c r="L12" s="10">
        <v>100</v>
      </c>
      <c r="M12" s="10">
        <v>7.5101731931878675</v>
      </c>
      <c r="N12" s="10">
        <v>3.3293606796152915</v>
      </c>
      <c r="O12" s="10">
        <v>0</v>
      </c>
      <c r="P12" s="5">
        <v>0.28583502640227365</v>
      </c>
      <c r="Q12" s="5">
        <v>0.25693917493532814</v>
      </c>
      <c r="R12" s="5">
        <v>0.23219999999999999</v>
      </c>
    </row>
    <row r="13" spans="1:18">
      <c r="A13" t="s">
        <v>202</v>
      </c>
      <c r="B13" t="s">
        <v>52</v>
      </c>
      <c r="C13" s="10">
        <v>125.95</v>
      </c>
      <c r="D13" s="10">
        <v>66</v>
      </c>
      <c r="E13" s="10">
        <v>0.19</v>
      </c>
      <c r="F13" s="10">
        <v>132.7441424237949</v>
      </c>
      <c r="G13" s="10">
        <v>130.36779961011197</v>
      </c>
      <c r="H13" s="10">
        <v>131.78996000000001</v>
      </c>
      <c r="I13" s="10">
        <v>155.49382716049382</v>
      </c>
      <c r="J13" s="10">
        <v>163.88165731332703</v>
      </c>
      <c r="K13" s="10">
        <v>160.94790075322464</v>
      </c>
      <c r="L13" s="10">
        <v>162.70365432098765</v>
      </c>
      <c r="M13" s="10">
        <v>8.3878301528332031</v>
      </c>
      <c r="N13" s="10">
        <v>5.4540735927308219</v>
      </c>
      <c r="O13" s="10">
        <v>7.2098271604938304</v>
      </c>
      <c r="P13" s="5">
        <v>0.23145761359250289</v>
      </c>
      <c r="Q13" s="5">
        <v>0.21744863144804608</v>
      </c>
      <c r="R13" s="5">
        <v>0.22589323192753072</v>
      </c>
    </row>
    <row r="14" spans="1:18">
      <c r="A14" t="s">
        <v>203</v>
      </c>
      <c r="B14" t="s">
        <v>52</v>
      </c>
      <c r="C14" s="10">
        <v>172.07</v>
      </c>
      <c r="D14" s="10">
        <v>66</v>
      </c>
      <c r="E14" s="10">
        <v>0.19</v>
      </c>
      <c r="F14" s="10">
        <v>175.50519287303922</v>
      </c>
      <c r="G14" s="10">
        <v>154.65384638278385</v>
      </c>
      <c r="H14" s="10">
        <v>170.2022</v>
      </c>
      <c r="I14" s="10">
        <v>212.43209876543207</v>
      </c>
      <c r="J14" s="10">
        <v>216.67307762103607</v>
      </c>
      <c r="K14" s="10">
        <v>190.93067454664671</v>
      </c>
      <c r="L14" s="10">
        <v>210.12617283950615</v>
      </c>
      <c r="M14" s="10">
        <v>4.2409788556039985</v>
      </c>
      <c r="N14" s="10">
        <v>21.50142421878536</v>
      </c>
      <c r="O14" s="10">
        <v>2.3059259259259193</v>
      </c>
      <c r="P14" s="5">
        <v>0.20585426722487146</v>
      </c>
      <c r="Q14" s="5">
        <v>9.8782841423622716E-2</v>
      </c>
      <c r="R14" s="5">
        <v>0.18111105496873714</v>
      </c>
    </row>
    <row r="15" spans="1:18">
      <c r="A15" t="s">
        <v>205</v>
      </c>
      <c r="B15" t="s">
        <v>52</v>
      </c>
      <c r="C15" s="10">
        <v>141.56</v>
      </c>
      <c r="D15" s="10">
        <v>66</v>
      </c>
      <c r="E15" s="10">
        <v>0.19</v>
      </c>
      <c r="F15" s="10">
        <v>157.79213788035338</v>
      </c>
      <c r="G15" s="10">
        <v>148.22844020146528</v>
      </c>
      <c r="H15" s="10">
        <v>141.24289999999999</v>
      </c>
      <c r="I15" s="10">
        <v>174.76543209876542</v>
      </c>
      <c r="J15" s="10">
        <v>194.80510849426341</v>
      </c>
      <c r="K15" s="10">
        <v>182.99807432279661</v>
      </c>
      <c r="L15" s="10">
        <v>174.37395061728392</v>
      </c>
      <c r="M15" s="10">
        <v>20.039676395497992</v>
      </c>
      <c r="N15" s="10">
        <v>8.2326422240311956</v>
      </c>
      <c r="O15" s="10">
        <v>0.39148148148149176</v>
      </c>
      <c r="P15" s="5">
        <v>0.27332501137069187</v>
      </c>
      <c r="Q15" s="5">
        <v>0.22643994739366799</v>
      </c>
      <c r="R15" s="5">
        <v>0.18818149443264037</v>
      </c>
    </row>
    <row r="16" spans="1:18">
      <c r="A16" t="s">
        <v>207</v>
      </c>
      <c r="B16" t="s">
        <v>52</v>
      </c>
      <c r="C16" s="10">
        <v>55.98</v>
      </c>
      <c r="D16" s="10">
        <v>51</v>
      </c>
      <c r="E16" s="10">
        <v>0.19</v>
      </c>
      <c r="F16" s="10">
        <v>56.045805436426001</v>
      </c>
      <c r="G16" s="10">
        <v>52.067467261962662</v>
      </c>
      <c r="H16" s="10">
        <v>53.373477999999999</v>
      </c>
      <c r="I16" s="10">
        <v>69.1111111111111</v>
      </c>
      <c r="J16" s="10">
        <v>69.192352390649376</v>
      </c>
      <c r="K16" s="10">
        <v>64.280823780200819</v>
      </c>
      <c r="L16" s="10">
        <v>65.893182716049381</v>
      </c>
      <c r="M16" s="10">
        <v>8.1241279538275535E-2</v>
      </c>
      <c r="N16" s="10">
        <v>4.8302873309102807</v>
      </c>
      <c r="O16" s="10">
        <v>3.217928395061719</v>
      </c>
      <c r="P16" s="5">
        <v>0.19095105071806881</v>
      </c>
      <c r="Q16" s="5">
        <v>0.12913374925909965</v>
      </c>
      <c r="R16" s="5">
        <v>0.15044322200625565</v>
      </c>
    </row>
    <row r="17" spans="1:18">
      <c r="A17" t="s">
        <v>209</v>
      </c>
      <c r="B17" t="s">
        <v>52</v>
      </c>
      <c r="C17" s="10">
        <v>117.12</v>
      </c>
      <c r="D17" s="10">
        <v>66</v>
      </c>
      <c r="E17" s="10">
        <v>0.19</v>
      </c>
      <c r="F17" s="10">
        <v>117.21145871817041</v>
      </c>
      <c r="G17" s="10">
        <v>110.58869798534798</v>
      </c>
      <c r="H17" s="10">
        <v>113.655914</v>
      </c>
      <c r="I17" s="10">
        <v>144.59259259259258</v>
      </c>
      <c r="J17" s="10">
        <v>144.70550459033382</v>
      </c>
      <c r="K17" s="10">
        <v>136.52925677203453</v>
      </c>
      <c r="L17" s="10">
        <v>140.31594320987654</v>
      </c>
      <c r="M17" s="10">
        <v>0.11291199774123584</v>
      </c>
      <c r="N17" s="10">
        <v>8.0633358205580521</v>
      </c>
      <c r="O17" s="10">
        <v>4.2766493827160446</v>
      </c>
      <c r="P17" s="5">
        <v>0.19063203344219221</v>
      </c>
      <c r="Q17" s="5">
        <v>0.14216188698985249</v>
      </c>
      <c r="R17" s="5">
        <v>0.16531224235282638</v>
      </c>
    </row>
    <row r="18" spans="1:18">
      <c r="A18" t="s">
        <v>211</v>
      </c>
      <c r="B18" t="s">
        <v>52</v>
      </c>
      <c r="C18" s="10">
        <v>60.33</v>
      </c>
      <c r="D18" s="10">
        <v>51</v>
      </c>
      <c r="E18" s="10">
        <v>0.19</v>
      </c>
      <c r="F18" s="10">
        <v>60.869173908230103</v>
      </c>
      <c r="G18" s="10">
        <v>56.582638777290931</v>
      </c>
      <c r="H18" s="10">
        <v>58.521389999999997</v>
      </c>
      <c r="I18" s="10">
        <v>74.481481481481481</v>
      </c>
      <c r="J18" s="10">
        <v>75.147128281765561</v>
      </c>
      <c r="K18" s="10">
        <v>69.855109601593739</v>
      </c>
      <c r="L18" s="10">
        <v>72.248629629629619</v>
      </c>
      <c r="M18" s="10">
        <v>0.66564680028407963</v>
      </c>
      <c r="N18" s="10">
        <v>4.626371879887742</v>
      </c>
      <c r="O18" s="10">
        <v>2.2328518518518621</v>
      </c>
      <c r="P18" s="5">
        <v>0.19717491034665308</v>
      </c>
      <c r="Q18" s="5">
        <v>0.1363552309332634</v>
      </c>
      <c r="R18" s="5">
        <v>0.16496686083498691</v>
      </c>
    </row>
    <row r="19" spans="1:18">
      <c r="A19" t="s">
        <v>213</v>
      </c>
      <c r="B19" t="s">
        <v>52</v>
      </c>
      <c r="C19" s="10">
        <v>129.33000000000001</v>
      </c>
      <c r="D19" s="10">
        <v>140</v>
      </c>
      <c r="E19" s="10">
        <v>0.19</v>
      </c>
      <c r="F19" s="10">
        <v>129.09482796051481</v>
      </c>
      <c r="G19" s="10">
        <v>125.36330721452454</v>
      </c>
      <c r="H19" s="10">
        <v>128.96180000000001</v>
      </c>
      <c r="I19" s="10">
        <v>159.66666666666669</v>
      </c>
      <c r="J19" s="10">
        <v>159.37633081545036</v>
      </c>
      <c r="K19" s="10">
        <v>154.76951507965993</v>
      </c>
      <c r="L19" s="10">
        <v>159.2120987654321</v>
      </c>
      <c r="M19" s="10">
        <v>0.29033585121632655</v>
      </c>
      <c r="N19" s="10">
        <v>4.8971515870067606</v>
      </c>
      <c r="O19" s="10">
        <v>0.45456790123458291</v>
      </c>
      <c r="P19" s="5">
        <v>0.18852442305402589</v>
      </c>
      <c r="Q19" s="5">
        <v>0.16437032232456233</v>
      </c>
      <c r="R19" s="5">
        <v>0.18768736168384742</v>
      </c>
    </row>
    <row r="20" spans="1:18">
      <c r="A20" t="s">
        <v>214</v>
      </c>
      <c r="B20" t="s">
        <v>52</v>
      </c>
      <c r="C20" s="10">
        <v>104.09</v>
      </c>
      <c r="D20" s="10">
        <v>66</v>
      </c>
      <c r="E20" s="10">
        <v>0.19</v>
      </c>
      <c r="F20" s="10">
        <v>110.08022975526291</v>
      </c>
      <c r="G20" s="10">
        <v>113.52754047619044</v>
      </c>
      <c r="H20" s="10">
        <v>110.15038</v>
      </c>
      <c r="I20" s="10">
        <v>128.50617283950618</v>
      </c>
      <c r="J20" s="10">
        <v>135.90151821637394</v>
      </c>
      <c r="K20" s="10">
        <v>140.15745737801288</v>
      </c>
      <c r="L20" s="10">
        <v>135.98812345679011</v>
      </c>
      <c r="M20" s="10">
        <v>7.3953453768677662</v>
      </c>
      <c r="N20" s="10">
        <v>11.651284538506701</v>
      </c>
      <c r="O20" s="10">
        <v>7.4819506172839283</v>
      </c>
      <c r="P20" s="5">
        <v>0.2340777250606253</v>
      </c>
      <c r="Q20" s="5">
        <v>0.25733527172041104</v>
      </c>
      <c r="R20" s="5">
        <v>0.23456550944263638</v>
      </c>
    </row>
    <row r="21" spans="1:18">
      <c r="A21" t="s">
        <v>216</v>
      </c>
      <c r="B21" t="s">
        <v>52</v>
      </c>
      <c r="C21" s="10">
        <v>185.94</v>
      </c>
      <c r="D21" s="10">
        <v>66</v>
      </c>
      <c r="E21" s="10">
        <v>0.19</v>
      </c>
      <c r="F21" s="10">
        <v>187.60918772525326</v>
      </c>
      <c r="G21" s="10">
        <v>173.72914761904772</v>
      </c>
      <c r="H21" s="10">
        <v>172.19926000000001</v>
      </c>
      <c r="I21" s="10">
        <v>229.55555555555554</v>
      </c>
      <c r="J21" s="10">
        <v>231.61628114228796</v>
      </c>
      <c r="K21" s="10">
        <v>214.48042915931816</v>
      </c>
      <c r="L21" s="10">
        <v>212.59167901234568</v>
      </c>
      <c r="M21" s="10">
        <v>2.060725586732417</v>
      </c>
      <c r="N21" s="10">
        <v>15.07512639623738</v>
      </c>
      <c r="O21" s="10">
        <v>16.963876543209864</v>
      </c>
      <c r="P21" s="5">
        <v>0.19720669426614196</v>
      </c>
      <c r="Q21" s="5">
        <v>0.13306775481187635</v>
      </c>
      <c r="R21" s="5">
        <v>0.12536557938750725</v>
      </c>
    </row>
    <row r="22" spans="1:18">
      <c r="A22" t="s">
        <v>219</v>
      </c>
      <c r="B22" t="s">
        <v>52</v>
      </c>
      <c r="C22" s="10">
        <v>64.400000000000006</v>
      </c>
      <c r="D22" s="10">
        <v>51</v>
      </c>
      <c r="E22" s="10">
        <v>0.19</v>
      </c>
      <c r="F22" s="10">
        <v>69.780060123742373</v>
      </c>
      <c r="G22" s="10">
        <v>64.62634440325327</v>
      </c>
      <c r="H22" s="10">
        <v>64.476073999999997</v>
      </c>
      <c r="I22" s="10">
        <v>79.506172839506178</v>
      </c>
      <c r="J22" s="10">
        <v>86.148222374990581</v>
      </c>
      <c r="K22" s="10">
        <v>79.785610374386749</v>
      </c>
      <c r="L22" s="10">
        <v>79.600091358024684</v>
      </c>
      <c r="M22" s="10">
        <v>6.6420495354844036</v>
      </c>
      <c r="N22" s="10">
        <v>0.27943753488057155</v>
      </c>
      <c r="O22" s="10">
        <v>9.3918518518506744E-2</v>
      </c>
      <c r="P22" s="5">
        <v>0.25245120300130808</v>
      </c>
      <c r="Q22" s="5">
        <v>0.19283690758510413</v>
      </c>
      <c r="R22" s="5">
        <v>0.19095570242071486</v>
      </c>
    </row>
    <row r="23" spans="1:18">
      <c r="A23" t="s">
        <v>222</v>
      </c>
      <c r="B23" t="s">
        <v>52</v>
      </c>
      <c r="C23" s="10">
        <v>132.47999999999999</v>
      </c>
      <c r="D23" s="10">
        <v>66</v>
      </c>
      <c r="E23" s="10">
        <v>0.19</v>
      </c>
      <c r="F23" s="10">
        <v>132.14378180860177</v>
      </c>
      <c r="G23" s="10">
        <v>131.41860475496722</v>
      </c>
      <c r="H23" s="10">
        <v>131.53412</v>
      </c>
      <c r="I23" s="10">
        <v>163.55555555555554</v>
      </c>
      <c r="J23" s="10">
        <v>163.14047136864414</v>
      </c>
      <c r="K23" s="10">
        <v>162.24519105551508</v>
      </c>
      <c r="L23" s="10">
        <v>162.38780246913581</v>
      </c>
      <c r="M23" s="10">
        <v>0.41508418691140037</v>
      </c>
      <c r="N23" s="10">
        <v>1.310364500040464</v>
      </c>
      <c r="O23" s="10">
        <v>1.1677530864197365</v>
      </c>
      <c r="P23" s="5">
        <v>0.18793908777768276</v>
      </c>
      <c r="Q23" s="5">
        <v>0.18345807886121199</v>
      </c>
      <c r="R23" s="5">
        <v>0.18417517827313559</v>
      </c>
    </row>
    <row r="24" spans="1:18">
      <c r="A24" t="s">
        <v>224</v>
      </c>
      <c r="B24" t="s">
        <v>52</v>
      </c>
      <c r="C24" s="10">
        <v>125.65</v>
      </c>
      <c r="D24" s="10">
        <v>66</v>
      </c>
      <c r="E24" s="10">
        <v>0.19</v>
      </c>
      <c r="F24" s="10">
        <v>115.82941782433514</v>
      </c>
      <c r="G24" s="10">
        <v>114.38394441391939</v>
      </c>
      <c r="H24" s="10">
        <v>113.957275</v>
      </c>
      <c r="I24" s="10">
        <v>155.12345679012344</v>
      </c>
      <c r="J24" s="10">
        <v>142.99928126461128</v>
      </c>
      <c r="K24" s="10">
        <v>141.21474619002393</v>
      </c>
      <c r="L24" s="10">
        <v>140.68799382716048</v>
      </c>
      <c r="M24" s="10">
        <v>12.124175525512157</v>
      </c>
      <c r="N24" s="10">
        <v>13.908710600099511</v>
      </c>
      <c r="O24" s="10">
        <v>14.435462962962958</v>
      </c>
      <c r="P24" s="5">
        <v>0.12132425499753045</v>
      </c>
      <c r="Q24" s="5">
        <v>0.11022040268428773</v>
      </c>
      <c r="R24" s="5">
        <v>0.10688896342949572</v>
      </c>
    </row>
    <row r="25" spans="1:18">
      <c r="A25" t="s">
        <v>226</v>
      </c>
      <c r="B25" t="s">
        <v>52</v>
      </c>
      <c r="C25" s="10">
        <v>104.11</v>
      </c>
      <c r="D25" s="10">
        <v>140</v>
      </c>
      <c r="E25" s="10">
        <v>0.19</v>
      </c>
      <c r="F25" s="10">
        <v>103.89694922159134</v>
      </c>
      <c r="G25" s="10">
        <v>103.31679407814413</v>
      </c>
      <c r="H25" s="10">
        <v>107.11292</v>
      </c>
      <c r="I25" s="10">
        <v>140</v>
      </c>
      <c r="J25" s="10">
        <v>140</v>
      </c>
      <c r="K25" s="10">
        <v>140</v>
      </c>
      <c r="L25" s="10">
        <v>140</v>
      </c>
      <c r="M25" s="10">
        <v>0</v>
      </c>
      <c r="N25" s="10">
        <v>0</v>
      </c>
      <c r="O25" s="10">
        <v>0</v>
      </c>
      <c r="P25" s="5">
        <v>0.25635714285714284</v>
      </c>
      <c r="Q25" s="5">
        <v>0.25635714285714284</v>
      </c>
      <c r="R25" s="5">
        <v>0.25635714285714284</v>
      </c>
    </row>
    <row r="26" spans="1:18">
      <c r="A26" t="s">
        <v>227</v>
      </c>
      <c r="B26" t="s">
        <v>52</v>
      </c>
      <c r="C26" s="10">
        <v>136.49</v>
      </c>
      <c r="D26" s="10">
        <v>66</v>
      </c>
      <c r="E26" s="10">
        <v>0.19</v>
      </c>
      <c r="F26" s="10">
        <v>137.82471299832866</v>
      </c>
      <c r="G26" s="10">
        <v>132.60039791597293</v>
      </c>
      <c r="H26" s="10">
        <v>133.45813000000001</v>
      </c>
      <c r="I26" s="10">
        <v>168.50617283950618</v>
      </c>
      <c r="J26" s="10">
        <v>170.15396666460327</v>
      </c>
      <c r="K26" s="10">
        <v>163.70419495799126</v>
      </c>
      <c r="L26" s="10">
        <v>164.76312345679014</v>
      </c>
      <c r="M26" s="10">
        <v>1.6477938250970965</v>
      </c>
      <c r="N26" s="10">
        <v>4.8019778815149152</v>
      </c>
      <c r="O26" s="10">
        <v>3.7430493827160376</v>
      </c>
      <c r="P26" s="5">
        <v>0.19784414859372362</v>
      </c>
      <c r="Q26" s="5">
        <v>0.1662400585701227</v>
      </c>
      <c r="R26" s="5">
        <v>0.17159861298820839</v>
      </c>
    </row>
    <row r="27" spans="1:18">
      <c r="A27" t="s">
        <v>229</v>
      </c>
      <c r="B27" t="s">
        <v>52</v>
      </c>
      <c r="C27" s="10">
        <v>95.05</v>
      </c>
      <c r="D27" s="10">
        <v>51</v>
      </c>
      <c r="E27" s="10">
        <v>0.19</v>
      </c>
      <c r="F27" s="10">
        <v>101.38458578411219</v>
      </c>
      <c r="G27" s="10">
        <v>98.256109035409011</v>
      </c>
      <c r="H27" s="10">
        <v>95.740139999999997</v>
      </c>
      <c r="I27" s="10">
        <v>117.34567901234567</v>
      </c>
      <c r="J27" s="10">
        <v>125.16615528902739</v>
      </c>
      <c r="K27" s="10">
        <v>121.30383831531977</v>
      </c>
      <c r="L27" s="10">
        <v>118.1977037037037</v>
      </c>
      <c r="M27" s="10">
        <v>7.8204762766817169</v>
      </c>
      <c r="N27" s="10">
        <v>3.9581593029740958</v>
      </c>
      <c r="O27" s="10">
        <v>0.85202469135802517</v>
      </c>
      <c r="P27" s="5">
        <v>0.24060941409828143</v>
      </c>
      <c r="Q27" s="5">
        <v>0.21643040055397905</v>
      </c>
      <c r="R27" s="5">
        <v>0.1958388613177294</v>
      </c>
    </row>
    <row r="28" spans="1:18">
      <c r="A28" t="s">
        <v>231</v>
      </c>
      <c r="B28" t="s">
        <v>52</v>
      </c>
      <c r="C28" s="10">
        <v>110.93</v>
      </c>
      <c r="D28" s="10">
        <v>66</v>
      </c>
      <c r="E28" s="10">
        <v>0.19</v>
      </c>
      <c r="F28" s="10">
        <v>116.09079284212758</v>
      </c>
      <c r="G28" s="10">
        <v>118.33583653846159</v>
      </c>
      <c r="H28" s="10">
        <v>118.07023</v>
      </c>
      <c r="I28" s="10">
        <v>136.95061728395061</v>
      </c>
      <c r="J28" s="10">
        <v>143.32196647176244</v>
      </c>
      <c r="K28" s="10">
        <v>146.09362535612541</v>
      </c>
      <c r="L28" s="10">
        <v>145.76571604938269</v>
      </c>
      <c r="M28" s="10">
        <v>6.3713491878118305</v>
      </c>
      <c r="N28" s="10">
        <v>9.1430080721748084</v>
      </c>
      <c r="O28" s="10">
        <v>8.8150987654320829</v>
      </c>
      <c r="P28" s="5">
        <v>0.22600838705450191</v>
      </c>
      <c r="Q28" s="5">
        <v>0.24069240030431668</v>
      </c>
      <c r="R28" s="5">
        <v>0.23898428926580373</v>
      </c>
    </row>
    <row r="29" spans="1:18">
      <c r="A29" t="s">
        <v>232</v>
      </c>
      <c r="B29" t="s">
        <v>52</v>
      </c>
      <c r="C29" s="10">
        <v>113.6</v>
      </c>
      <c r="D29" s="10">
        <v>66</v>
      </c>
      <c r="E29" s="10">
        <v>0.19</v>
      </c>
      <c r="F29" s="10">
        <v>121.72652241904153</v>
      </c>
      <c r="G29" s="10">
        <v>120.06443612637374</v>
      </c>
      <c r="H29" s="10">
        <v>122.59273</v>
      </c>
      <c r="I29" s="10">
        <v>140.24691358024691</v>
      </c>
      <c r="J29" s="10">
        <v>150.27965730745868</v>
      </c>
      <c r="K29" s="10">
        <v>148.22769892144905</v>
      </c>
      <c r="L29" s="10">
        <v>151.34904938271603</v>
      </c>
      <c r="M29" s="10">
        <v>10.032743727211766</v>
      </c>
      <c r="N29" s="10">
        <v>7.9807853412021359</v>
      </c>
      <c r="O29" s="10">
        <v>11.102135802469121</v>
      </c>
      <c r="P29" s="5">
        <v>0.24407599780731068</v>
      </c>
      <c r="Q29" s="5">
        <v>0.23361152587141937</v>
      </c>
      <c r="R29" s="5">
        <v>0.24941715548711571</v>
      </c>
    </row>
    <row r="30" spans="1:18">
      <c r="A30" t="s">
        <v>234</v>
      </c>
      <c r="B30" t="s">
        <v>52</v>
      </c>
      <c r="C30" s="10">
        <v>46.28</v>
      </c>
      <c r="D30" s="10">
        <v>51</v>
      </c>
      <c r="E30" s="10">
        <v>0.19</v>
      </c>
      <c r="F30" s="10">
        <v>50.753259507134324</v>
      </c>
      <c r="G30" s="10">
        <v>48.14771742604313</v>
      </c>
      <c r="H30" s="10">
        <v>46.88355</v>
      </c>
      <c r="I30" s="10">
        <v>57.135802469135797</v>
      </c>
      <c r="J30" s="10">
        <v>62.6583450705362</v>
      </c>
      <c r="K30" s="10">
        <v>59.441626451905094</v>
      </c>
      <c r="L30" s="10">
        <v>57.880925925925922</v>
      </c>
      <c r="M30" s="10">
        <v>5.5225426014004029</v>
      </c>
      <c r="N30" s="10">
        <v>2.3058239827692972</v>
      </c>
      <c r="O30" s="10">
        <v>0.74512345679012526</v>
      </c>
      <c r="P30" s="5">
        <v>0.2613912807958565</v>
      </c>
      <c r="Q30" s="5">
        <v>0.22142103501414648</v>
      </c>
      <c r="R30" s="5">
        <v>0.20042744203457283</v>
      </c>
    </row>
    <row r="31" spans="1:18">
      <c r="A31" t="s">
        <v>235</v>
      </c>
      <c r="B31" t="s">
        <v>52</v>
      </c>
      <c r="C31" s="10">
        <v>153.32</v>
      </c>
      <c r="D31" s="10">
        <v>66</v>
      </c>
      <c r="E31" s="10">
        <v>0.19</v>
      </c>
      <c r="F31" s="10">
        <v>162.46929103211045</v>
      </c>
      <c r="G31" s="10">
        <v>142.26855086996346</v>
      </c>
      <c r="H31" s="10">
        <v>154.25299999999999</v>
      </c>
      <c r="I31" s="10">
        <v>189.28395061728392</v>
      </c>
      <c r="J31" s="10">
        <v>200.57937164458079</v>
      </c>
      <c r="K31" s="10">
        <v>175.64018625921415</v>
      </c>
      <c r="L31" s="10">
        <v>190.43580246913578</v>
      </c>
      <c r="M31" s="10">
        <v>11.295421027296868</v>
      </c>
      <c r="N31" s="10">
        <v>13.643764358069774</v>
      </c>
      <c r="O31" s="10">
        <v>1.151851851851859</v>
      </c>
      <c r="P31" s="5">
        <v>0.23561431695140939</v>
      </c>
      <c r="Q31" s="5">
        <v>0.12707904002261458</v>
      </c>
      <c r="R31" s="5">
        <v>0.19489928883068719</v>
      </c>
    </row>
    <row r="32" spans="1:18">
      <c r="A32" t="s">
        <v>237</v>
      </c>
      <c r="B32" t="s">
        <v>52</v>
      </c>
      <c r="C32" s="10">
        <v>117.41</v>
      </c>
      <c r="D32" s="10">
        <v>66</v>
      </c>
      <c r="E32" s="10">
        <v>0.19</v>
      </c>
      <c r="F32" s="10">
        <v>119.59353035666618</v>
      </c>
      <c r="G32" s="10">
        <v>118.52783484432241</v>
      </c>
      <c r="H32" s="10">
        <v>119.77664</v>
      </c>
      <c r="I32" s="10">
        <v>144.95061728395061</v>
      </c>
      <c r="J32" s="10">
        <v>147.64633377366195</v>
      </c>
      <c r="K32" s="10">
        <v>146.33066030163261</v>
      </c>
      <c r="L32" s="10">
        <v>147.87239506172838</v>
      </c>
      <c r="M32" s="10">
        <v>2.6957164897113444</v>
      </c>
      <c r="N32" s="10">
        <v>1.3800430176819987</v>
      </c>
      <c r="O32" s="10">
        <v>2.9217777777777769</v>
      </c>
      <c r="P32" s="5">
        <v>0.20478892364515788</v>
      </c>
      <c r="Q32" s="5">
        <v>0.19763910203110005</v>
      </c>
      <c r="R32" s="5">
        <v>0.20600460991391972</v>
      </c>
    </row>
    <row r="33" spans="1:18">
      <c r="A33" t="s">
        <v>239</v>
      </c>
      <c r="B33" t="s">
        <v>52</v>
      </c>
      <c r="C33" s="10">
        <v>65.97</v>
      </c>
      <c r="D33" s="10">
        <v>51</v>
      </c>
      <c r="E33" s="10">
        <v>0.19</v>
      </c>
      <c r="F33" s="10">
        <v>67.661987307678515</v>
      </c>
      <c r="G33" s="10">
        <v>59.548539788842291</v>
      </c>
      <c r="H33" s="10">
        <v>60.726109999999998</v>
      </c>
      <c r="I33" s="10">
        <v>81.444444444444443</v>
      </c>
      <c r="J33" s="10">
        <v>83.533317663800631</v>
      </c>
      <c r="K33" s="10">
        <v>73.516715788694185</v>
      </c>
      <c r="L33" s="10">
        <v>74.970506172839492</v>
      </c>
      <c r="M33" s="10">
        <v>2.0888732193561879</v>
      </c>
      <c r="N33" s="10">
        <v>7.9277286557502578</v>
      </c>
      <c r="O33" s="10">
        <v>6.4739382716049505</v>
      </c>
      <c r="P33" s="5">
        <v>0.21025523892739795</v>
      </c>
      <c r="Q33" s="5">
        <v>0.10265305934483492</v>
      </c>
      <c r="R33" s="5">
        <v>0.12005396031459929</v>
      </c>
    </row>
    <row r="34" spans="1:18">
      <c r="A34" t="s">
        <v>241</v>
      </c>
      <c r="B34" t="s">
        <v>52</v>
      </c>
      <c r="C34" s="10">
        <v>97.34</v>
      </c>
      <c r="D34" s="10">
        <v>51</v>
      </c>
      <c r="E34" s="10">
        <v>0.19</v>
      </c>
      <c r="F34" s="10">
        <v>109.05471606071571</v>
      </c>
      <c r="G34" s="10">
        <v>101.08914254703741</v>
      </c>
      <c r="H34" s="10">
        <v>99.065960000000004</v>
      </c>
      <c r="I34" s="10">
        <v>120.17283950617283</v>
      </c>
      <c r="J34" s="10">
        <v>134.63545192680951</v>
      </c>
      <c r="K34" s="10">
        <v>124.80141055189803</v>
      </c>
      <c r="L34" s="10">
        <v>122.30365432098765</v>
      </c>
      <c r="M34" s="10">
        <v>14.462612420636674</v>
      </c>
      <c r="N34" s="10">
        <v>4.6285710457251952</v>
      </c>
      <c r="O34" s="10">
        <v>2.1308148148148121</v>
      </c>
      <c r="P34" s="5">
        <v>0.27701063422050271</v>
      </c>
      <c r="Q34" s="5">
        <v>0.22004086676951731</v>
      </c>
      <c r="R34" s="5">
        <v>0.20411208855191018</v>
      </c>
    </row>
    <row r="35" spans="1:18">
      <c r="A35" t="s">
        <v>242</v>
      </c>
      <c r="B35" t="s">
        <v>52</v>
      </c>
      <c r="C35" s="10">
        <v>55.59</v>
      </c>
      <c r="D35" s="10">
        <v>51</v>
      </c>
      <c r="E35" s="10">
        <v>0.19</v>
      </c>
      <c r="F35" s="10">
        <v>61.384356753763399</v>
      </c>
      <c r="G35" s="10">
        <v>57.178580818102724</v>
      </c>
      <c r="H35" s="10">
        <v>55.102744999999999</v>
      </c>
      <c r="I35" s="10">
        <v>68.629629629629633</v>
      </c>
      <c r="J35" s="10">
        <v>75.783156486127652</v>
      </c>
      <c r="K35" s="10">
        <v>70.5908405161762</v>
      </c>
      <c r="L35" s="10">
        <v>68.028080246913575</v>
      </c>
      <c r="M35" s="10">
        <v>7.1535268564980186</v>
      </c>
      <c r="N35" s="10">
        <v>1.9612108865465672</v>
      </c>
      <c r="O35" s="10">
        <v>0.60154938271605829</v>
      </c>
      <c r="P35" s="5">
        <v>0.26645969134083336</v>
      </c>
      <c r="Q35" s="5">
        <v>0.21250406435858613</v>
      </c>
      <c r="R35" s="5">
        <v>0.1828374430348251</v>
      </c>
    </row>
    <row r="36" spans="1:18">
      <c r="A36" t="s">
        <v>244</v>
      </c>
      <c r="B36" t="s">
        <v>52</v>
      </c>
      <c r="C36" s="10">
        <v>121.75</v>
      </c>
      <c r="D36" s="10">
        <v>66</v>
      </c>
      <c r="E36" s="10">
        <v>0.19</v>
      </c>
      <c r="F36" s="10">
        <v>125.17183375907311</v>
      </c>
      <c r="G36" s="10">
        <v>125.34607642773891</v>
      </c>
      <c r="H36" s="10">
        <v>123.74064</v>
      </c>
      <c r="I36" s="10">
        <v>150.30864197530863</v>
      </c>
      <c r="J36" s="10">
        <v>154.5331280976211</v>
      </c>
      <c r="K36" s="10">
        <v>154.74824250338136</v>
      </c>
      <c r="L36" s="10">
        <v>152.76622222222221</v>
      </c>
      <c r="M36" s="10">
        <v>4.2244861223124701</v>
      </c>
      <c r="N36" s="10">
        <v>4.4396005280727309</v>
      </c>
      <c r="O36" s="10">
        <v>2.4575802469135795</v>
      </c>
      <c r="P36" s="5">
        <v>0.21214304337974357</v>
      </c>
      <c r="Q36" s="5">
        <v>0.21323823760169894</v>
      </c>
      <c r="R36" s="5">
        <v>0.20303062922577411</v>
      </c>
    </row>
    <row r="37" spans="1:18">
      <c r="A37" t="s">
        <v>246</v>
      </c>
      <c r="B37" t="s">
        <v>52</v>
      </c>
      <c r="C37" s="10">
        <v>131.07</v>
      </c>
      <c r="D37" s="10">
        <v>66</v>
      </c>
      <c r="E37" s="10">
        <v>0.19</v>
      </c>
      <c r="F37" s="10">
        <v>138.20045000662674</v>
      </c>
      <c r="G37" s="10">
        <v>136.35642392329891</v>
      </c>
      <c r="H37" s="10">
        <v>129.07327000000001</v>
      </c>
      <c r="I37" s="10">
        <v>161.81481481481481</v>
      </c>
      <c r="J37" s="10">
        <v>170.61783951435399</v>
      </c>
      <c r="K37" s="10">
        <v>168.34126410283815</v>
      </c>
      <c r="L37" s="10">
        <v>159.34971604938272</v>
      </c>
      <c r="M37" s="10">
        <v>8.8030246995391792</v>
      </c>
      <c r="N37" s="10">
        <v>6.5264492880233433</v>
      </c>
      <c r="O37" s="10">
        <v>2.4650987654320886</v>
      </c>
      <c r="P37" s="5">
        <v>0.23179193703848802</v>
      </c>
      <c r="Q37" s="5">
        <v>0.22140301904867177</v>
      </c>
      <c r="R37" s="5">
        <v>0.17746951014722109</v>
      </c>
    </row>
    <row r="38" spans="1:18">
      <c r="A38" t="s">
        <v>248</v>
      </c>
      <c r="B38" t="s">
        <v>52</v>
      </c>
      <c r="C38" s="10">
        <v>48.32</v>
      </c>
      <c r="D38" s="10">
        <v>51</v>
      </c>
      <c r="E38" s="10">
        <v>0.19</v>
      </c>
      <c r="F38" s="10">
        <v>55.835657170273699</v>
      </c>
      <c r="G38" s="10">
        <v>54.092824416628844</v>
      </c>
      <c r="H38" s="10">
        <v>53.564439999999998</v>
      </c>
      <c r="I38" s="10">
        <v>59.654320987654316</v>
      </c>
      <c r="J38" s="10">
        <v>68.932910086757644</v>
      </c>
      <c r="K38" s="10">
        <v>66.781264711887459</v>
      </c>
      <c r="L38" s="10">
        <v>66.128938271604937</v>
      </c>
      <c r="M38" s="10">
        <v>9.2785890991033284</v>
      </c>
      <c r="N38" s="10">
        <v>7.1269437242331435</v>
      </c>
      <c r="O38" s="10">
        <v>6.4746172839506215</v>
      </c>
      <c r="P38" s="5">
        <v>0.29902857808867533</v>
      </c>
      <c r="Q38" s="5">
        <v>0.27644377194014486</v>
      </c>
      <c r="R38" s="5">
        <v>0.26930627856839351</v>
      </c>
    </row>
    <row r="39" spans="1:18">
      <c r="A39" t="s">
        <v>250</v>
      </c>
      <c r="B39" t="s">
        <v>52</v>
      </c>
      <c r="C39" s="10">
        <v>58.77</v>
      </c>
      <c r="D39" s="10">
        <v>51</v>
      </c>
      <c r="E39" s="10">
        <v>0.19</v>
      </c>
      <c r="F39" s="10">
        <v>71.604079223979397</v>
      </c>
      <c r="G39" s="10">
        <v>65.590508204683445</v>
      </c>
      <c r="H39" s="10">
        <v>65.868290000000002</v>
      </c>
      <c r="I39" s="10">
        <v>72.555555555555557</v>
      </c>
      <c r="J39" s="10">
        <v>88.400097807381968</v>
      </c>
      <c r="K39" s="10">
        <v>80.975936055164738</v>
      </c>
      <c r="L39" s="10">
        <v>81.318876543209868</v>
      </c>
      <c r="M39" s="10">
        <v>15.844542251826411</v>
      </c>
      <c r="N39" s="10">
        <v>8.4203804996091804</v>
      </c>
      <c r="O39" s="10">
        <v>8.7633209876543106</v>
      </c>
      <c r="P39" s="5">
        <v>0.33518173104224397</v>
      </c>
      <c r="Q39" s="5">
        <v>0.27422882817973199</v>
      </c>
      <c r="R39" s="5">
        <v>0.27728957287338096</v>
      </c>
    </row>
    <row r="40" spans="1:18">
      <c r="A40" t="s">
        <v>252</v>
      </c>
      <c r="B40" t="s">
        <v>52</v>
      </c>
      <c r="C40" s="10">
        <v>69.64</v>
      </c>
      <c r="D40" s="10">
        <v>100</v>
      </c>
      <c r="E40" s="10">
        <v>0.19</v>
      </c>
      <c r="F40" s="10">
        <v>84.029119970734413</v>
      </c>
      <c r="G40" s="10">
        <v>83.109435082065374</v>
      </c>
      <c r="H40" s="10">
        <v>79.484309999999994</v>
      </c>
      <c r="I40" s="10">
        <v>100</v>
      </c>
      <c r="J40" s="10">
        <v>103.73965428485729</v>
      </c>
      <c r="K40" s="10">
        <v>102.60424084205602</v>
      </c>
      <c r="L40" s="10">
        <v>100</v>
      </c>
      <c r="M40" s="10">
        <v>3.7396542848572949</v>
      </c>
      <c r="N40" s="10">
        <v>2.604240842056015</v>
      </c>
      <c r="O40" s="10">
        <v>0</v>
      </c>
      <c r="P40" s="5">
        <v>0.32870414423421462</v>
      </c>
      <c r="Q40" s="5">
        <v>0.32127561757217782</v>
      </c>
      <c r="R40" s="5">
        <v>0.30359999999999998</v>
      </c>
    </row>
    <row r="41" spans="1:18">
      <c r="A41" t="s">
        <v>254</v>
      </c>
      <c r="B41" t="s">
        <v>52</v>
      </c>
      <c r="C41" s="10">
        <v>164.2</v>
      </c>
      <c r="D41" s="10">
        <v>51</v>
      </c>
      <c r="E41" s="10">
        <v>0.19</v>
      </c>
      <c r="F41" s="10">
        <v>156.47865832815859</v>
      </c>
      <c r="G41" s="10">
        <v>162.53862361111098</v>
      </c>
      <c r="H41" s="10">
        <v>155.38206</v>
      </c>
      <c r="I41" s="10">
        <v>202.71604938271602</v>
      </c>
      <c r="J41" s="10">
        <v>193.18352880019577</v>
      </c>
      <c r="K41" s="10">
        <v>200.66496742112466</v>
      </c>
      <c r="L41" s="10">
        <v>191.82970370370367</v>
      </c>
      <c r="M41" s="10">
        <v>9.5325205825202488</v>
      </c>
      <c r="N41" s="10">
        <v>2.0510819615913647</v>
      </c>
      <c r="O41" s="10">
        <v>10.886345679012351</v>
      </c>
      <c r="P41" s="5">
        <v>0.1500310558576276</v>
      </c>
      <c r="Q41" s="5">
        <v>0.18172064556040629</v>
      </c>
      <c r="R41" s="5">
        <v>0.14403245780111287</v>
      </c>
    </row>
    <row r="42" spans="1:18">
      <c r="A42" t="s">
        <v>256</v>
      </c>
      <c r="B42" t="s">
        <v>52</v>
      </c>
      <c r="C42" s="10">
        <v>88.49</v>
      </c>
      <c r="D42" s="10">
        <v>51</v>
      </c>
      <c r="E42" s="10">
        <v>0.19</v>
      </c>
      <c r="F42" s="10">
        <v>96.674525552334629</v>
      </c>
      <c r="G42" s="10">
        <v>87.998978860063488</v>
      </c>
      <c r="H42" s="10">
        <v>91.894769999999994</v>
      </c>
      <c r="I42" s="10">
        <v>109.2469135802469</v>
      </c>
      <c r="J42" s="10">
        <v>119.35126611399336</v>
      </c>
      <c r="K42" s="10">
        <v>108.64071464205368</v>
      </c>
      <c r="L42" s="10">
        <v>113.45033333333332</v>
      </c>
      <c r="M42" s="10">
        <v>10.104352533746464</v>
      </c>
      <c r="N42" s="10">
        <v>0.60619893819321646</v>
      </c>
      <c r="O42" s="10">
        <v>4.2034197530864219</v>
      </c>
      <c r="P42" s="5">
        <v>0.25857510455328997</v>
      </c>
      <c r="Q42" s="5">
        <v>0.18548032115257787</v>
      </c>
      <c r="R42" s="5">
        <v>0.22001110618155956</v>
      </c>
    </row>
    <row r="43" spans="1:18">
      <c r="A43" t="s">
        <v>257</v>
      </c>
      <c r="B43" t="s">
        <v>52</v>
      </c>
      <c r="C43" s="10">
        <v>137.32</v>
      </c>
      <c r="D43" s="10">
        <v>66</v>
      </c>
      <c r="E43" s="10">
        <v>0.19</v>
      </c>
      <c r="F43" s="10">
        <v>141.34527365422153</v>
      </c>
      <c r="G43" s="10">
        <v>133.63858262293255</v>
      </c>
      <c r="H43" s="10">
        <v>134.09110000000001</v>
      </c>
      <c r="I43" s="10">
        <v>169.53086419753083</v>
      </c>
      <c r="J43" s="10">
        <v>174.50033784471793</v>
      </c>
      <c r="K43" s="10">
        <v>164.98590447275623</v>
      </c>
      <c r="L43" s="10">
        <v>165.54456790123456</v>
      </c>
      <c r="M43" s="10">
        <v>4.9694736471871011</v>
      </c>
      <c r="N43" s="10">
        <v>4.5449597247745999</v>
      </c>
      <c r="O43" s="10">
        <v>3.986296296296274</v>
      </c>
      <c r="P43" s="5">
        <v>0.21306742613761293</v>
      </c>
      <c r="Q43" s="5">
        <v>0.16768647334551329</v>
      </c>
      <c r="R43" s="5">
        <v>0.17049528268468228</v>
      </c>
    </row>
    <row r="44" spans="1:18">
      <c r="A44" t="s">
        <v>259</v>
      </c>
      <c r="B44" t="s">
        <v>52</v>
      </c>
      <c r="C44" s="10">
        <v>128.69</v>
      </c>
      <c r="D44" s="10">
        <v>140</v>
      </c>
      <c r="E44" s="10">
        <v>0.19</v>
      </c>
      <c r="F44" s="10">
        <v>131.76545732716912</v>
      </c>
      <c r="G44" s="10">
        <v>132.65239581358188</v>
      </c>
      <c r="H44" s="10">
        <v>129.54628</v>
      </c>
      <c r="I44" s="10">
        <v>158.87654320987653</v>
      </c>
      <c r="J44" s="10">
        <v>162.67340410761619</v>
      </c>
      <c r="K44" s="10">
        <v>163.76838989331094</v>
      </c>
      <c r="L44" s="10">
        <v>159.93367901234566</v>
      </c>
      <c r="M44" s="10">
        <v>3.7968608977396627</v>
      </c>
      <c r="N44" s="10">
        <v>4.8918466834344088</v>
      </c>
      <c r="O44" s="10">
        <v>1.0571358024691335</v>
      </c>
      <c r="P44" s="5">
        <v>0.20890571691199478</v>
      </c>
      <c r="Q44" s="5">
        <v>0.21419511980403066</v>
      </c>
      <c r="R44" s="5">
        <v>0.19535396925330462</v>
      </c>
    </row>
    <row r="45" spans="1:18">
      <c r="A45" t="s">
        <v>260</v>
      </c>
      <c r="B45" t="s">
        <v>52</v>
      </c>
      <c r="C45" s="10">
        <v>131.47</v>
      </c>
      <c r="D45" s="10">
        <v>140</v>
      </c>
      <c r="E45" s="10">
        <v>0.19</v>
      </c>
      <c r="F45" s="10">
        <v>136.49909902016233</v>
      </c>
      <c r="G45" s="10">
        <v>130.1649217185593</v>
      </c>
      <c r="H45" s="10">
        <v>129.42078000000001</v>
      </c>
      <c r="I45" s="10">
        <v>162.30864197530863</v>
      </c>
      <c r="J45" s="10">
        <v>168.51740619773128</v>
      </c>
      <c r="K45" s="10">
        <v>160.69743422044357</v>
      </c>
      <c r="L45" s="10">
        <v>159.77874074074074</v>
      </c>
      <c r="M45" s="10">
        <v>6.2087642224226443</v>
      </c>
      <c r="N45" s="10">
        <v>1.6112077548650632</v>
      </c>
      <c r="O45" s="10">
        <v>2.5299012345678875</v>
      </c>
      <c r="P45" s="5">
        <v>0.21984320215717895</v>
      </c>
      <c r="Q45" s="5">
        <v>0.18187866136275449</v>
      </c>
      <c r="R45" s="5">
        <v>0.17717463918854456</v>
      </c>
    </row>
    <row r="46" spans="1:18">
      <c r="A46" t="s">
        <v>262</v>
      </c>
      <c r="B46" t="s">
        <v>52</v>
      </c>
      <c r="C46" s="10">
        <v>96.89</v>
      </c>
      <c r="D46" s="10">
        <v>120</v>
      </c>
      <c r="E46" s="10">
        <v>0.19</v>
      </c>
      <c r="F46" s="10">
        <v>98.666313732335354</v>
      </c>
      <c r="G46" s="10">
        <v>94.430552367077325</v>
      </c>
      <c r="H46" s="10">
        <v>94.783714000000003</v>
      </c>
      <c r="I46" s="10">
        <v>120</v>
      </c>
      <c r="J46" s="10">
        <v>121.81026386708068</v>
      </c>
      <c r="K46" s="10">
        <v>120</v>
      </c>
      <c r="L46" s="10">
        <v>120</v>
      </c>
      <c r="M46" s="10">
        <v>1.8102638670806783</v>
      </c>
      <c r="N46" s="10">
        <v>0</v>
      </c>
      <c r="O46" s="10">
        <v>0</v>
      </c>
      <c r="P46" s="5">
        <v>0.20458262773548921</v>
      </c>
      <c r="Q46" s="5">
        <v>0.19258333333333333</v>
      </c>
      <c r="R46" s="5">
        <v>0.19258333333333333</v>
      </c>
    </row>
    <row r="47" spans="1:18">
      <c r="A47" t="s">
        <v>264</v>
      </c>
      <c r="B47" t="s">
        <v>52</v>
      </c>
      <c r="C47" s="10">
        <v>188.55</v>
      </c>
      <c r="D47" s="10">
        <v>66</v>
      </c>
      <c r="E47" s="10">
        <v>0.19</v>
      </c>
      <c r="F47" s="10">
        <v>199.98472176647175</v>
      </c>
      <c r="G47" s="10">
        <v>175.02745325091587</v>
      </c>
      <c r="H47" s="10">
        <v>185.17592999999999</v>
      </c>
      <c r="I47" s="10">
        <v>232.77777777777777</v>
      </c>
      <c r="J47" s="10">
        <v>246.89471823021202</v>
      </c>
      <c r="K47" s="10">
        <v>216.08327561841463</v>
      </c>
      <c r="L47" s="10">
        <v>228.61225925925925</v>
      </c>
      <c r="M47" s="10">
        <v>14.11694045243425</v>
      </c>
      <c r="N47" s="10">
        <v>16.69450215936314</v>
      </c>
      <c r="O47" s="10">
        <v>4.1655185185185246</v>
      </c>
      <c r="P47" s="5">
        <v>0.23631416114705883</v>
      </c>
      <c r="Q47" s="5">
        <v>0.12741974379838691</v>
      </c>
      <c r="R47" s="5">
        <v>0.17524108019870607</v>
      </c>
    </row>
    <row r="48" spans="1:18">
      <c r="A48" t="s">
        <v>265</v>
      </c>
      <c r="B48" t="s">
        <v>52</v>
      </c>
      <c r="C48" s="10">
        <v>59.36</v>
      </c>
      <c r="D48" s="10">
        <v>51</v>
      </c>
      <c r="E48" s="10">
        <v>0.19</v>
      </c>
      <c r="F48" s="10">
        <v>64.139505811640262</v>
      </c>
      <c r="G48" s="10">
        <v>58.630716261490925</v>
      </c>
      <c r="H48" s="10">
        <v>58.496555000000001</v>
      </c>
      <c r="I48" s="10">
        <v>73.283950617283949</v>
      </c>
      <c r="J48" s="10">
        <v>79.18457507609908</v>
      </c>
      <c r="K48" s="10">
        <v>72.3836003228283</v>
      </c>
      <c r="L48" s="10">
        <v>72.217969135802463</v>
      </c>
      <c r="M48" s="10">
        <v>5.9006244588151304</v>
      </c>
      <c r="N48" s="10">
        <v>0.90035029445564874</v>
      </c>
      <c r="O48" s="10">
        <v>1.0659814814814865</v>
      </c>
      <c r="P48" s="5">
        <v>0.25035905107840745</v>
      </c>
      <c r="Q48" s="5">
        <v>0.17992473798959299</v>
      </c>
      <c r="R48" s="5">
        <v>0.17804390361107583</v>
      </c>
    </row>
    <row r="49" spans="1:18">
      <c r="A49" t="s">
        <v>267</v>
      </c>
      <c r="B49" t="s">
        <v>52</v>
      </c>
      <c r="C49" s="10">
        <v>54.18</v>
      </c>
      <c r="D49" s="10">
        <v>51</v>
      </c>
      <c r="E49" s="10">
        <v>0.19</v>
      </c>
      <c r="F49" s="10">
        <v>61.397656101359182</v>
      </c>
      <c r="G49" s="10">
        <v>59.183093267365358</v>
      </c>
      <c r="H49" s="10">
        <v>58.102310000000003</v>
      </c>
      <c r="I49" s="10">
        <v>66.888888888888886</v>
      </c>
      <c r="J49" s="10">
        <v>75.799575433776766</v>
      </c>
      <c r="K49" s="10">
        <v>73.06554724366093</v>
      </c>
      <c r="L49" s="10">
        <v>71.73124691358025</v>
      </c>
      <c r="M49" s="10">
        <v>8.9106865448878807</v>
      </c>
      <c r="N49" s="10">
        <v>6.1766583547720444</v>
      </c>
      <c r="O49" s="10">
        <v>4.8423580246913644</v>
      </c>
      <c r="P49" s="5">
        <v>0.28522027082678025</v>
      </c>
      <c r="Q49" s="5">
        <v>0.25847404085924253</v>
      </c>
      <c r="R49" s="5">
        <v>0.2446806331796447</v>
      </c>
    </row>
    <row r="50" spans="1:18">
      <c r="A50" t="s">
        <v>268</v>
      </c>
      <c r="B50" t="s">
        <v>52</v>
      </c>
      <c r="C50" s="10">
        <v>60.81</v>
      </c>
      <c r="D50" s="10">
        <v>51</v>
      </c>
      <c r="E50" s="10">
        <v>0.19</v>
      </c>
      <c r="F50" s="10">
        <v>64.21107754300553</v>
      </c>
      <c r="G50" s="10">
        <v>60.151627564866253</v>
      </c>
      <c r="H50" s="10">
        <v>57.680790000000002</v>
      </c>
      <c r="I50" s="10">
        <v>75.074074074074076</v>
      </c>
      <c r="J50" s="10">
        <v>79.272935238278421</v>
      </c>
      <c r="K50" s="10">
        <v>74.26126859860031</v>
      </c>
      <c r="L50" s="10">
        <v>71.210851851851842</v>
      </c>
      <c r="M50" s="10">
        <v>4.1988611642043452</v>
      </c>
      <c r="N50" s="10">
        <v>0.81280547547376614</v>
      </c>
      <c r="O50" s="10">
        <v>3.8632222222222339</v>
      </c>
      <c r="P50" s="5">
        <v>0.2329033885623456</v>
      </c>
      <c r="Q50" s="5">
        <v>0.18113437667362767</v>
      </c>
      <c r="R50" s="5">
        <v>0.14605711884320571</v>
      </c>
    </row>
    <row r="51" spans="1:18">
      <c r="A51" t="s">
        <v>270</v>
      </c>
      <c r="B51" t="s">
        <v>52</v>
      </c>
      <c r="C51" s="10">
        <v>119.93</v>
      </c>
      <c r="D51" s="10">
        <v>140</v>
      </c>
      <c r="E51" s="10">
        <v>0.19</v>
      </c>
      <c r="F51" s="10">
        <v>124.71205572657921</v>
      </c>
      <c r="G51" s="10">
        <v>123.61122383540368</v>
      </c>
      <c r="H51" s="10">
        <v>124.91269</v>
      </c>
      <c r="I51" s="10">
        <v>148.06172839506172</v>
      </c>
      <c r="J51" s="10">
        <v>153.96550089701137</v>
      </c>
      <c r="K51" s="10">
        <v>152.60644917951069</v>
      </c>
      <c r="L51" s="10">
        <v>154.21319753086419</v>
      </c>
      <c r="M51" s="10">
        <v>5.9037725019496463</v>
      </c>
      <c r="N51" s="10">
        <v>4.5447207844489697</v>
      </c>
      <c r="O51" s="10">
        <v>6.151469135802472</v>
      </c>
      <c r="P51" s="5">
        <v>0.22105926781466423</v>
      </c>
      <c r="Q51" s="5">
        <v>0.21412233464048058</v>
      </c>
      <c r="R51" s="5">
        <v>0.22231039936775032</v>
      </c>
    </row>
    <row r="52" spans="1:18">
      <c r="A52" t="s">
        <v>271</v>
      </c>
      <c r="B52" t="s">
        <v>52</v>
      </c>
      <c r="C52" s="10">
        <v>150.08000000000001</v>
      </c>
      <c r="D52" s="10">
        <v>51</v>
      </c>
      <c r="E52" s="10">
        <v>0.19</v>
      </c>
      <c r="F52" s="10">
        <v>156.3374536131476</v>
      </c>
      <c r="G52" s="10">
        <v>150.50655828754586</v>
      </c>
      <c r="H52" s="10">
        <v>149.78198</v>
      </c>
      <c r="I52" s="10">
        <v>185.28395061728395</v>
      </c>
      <c r="J52" s="10">
        <v>193.00920199154024</v>
      </c>
      <c r="K52" s="10">
        <v>185.81056578709365</v>
      </c>
      <c r="L52" s="10">
        <v>184.91602469135802</v>
      </c>
      <c r="M52" s="10">
        <v>7.7252513742562883</v>
      </c>
      <c r="N52" s="10">
        <v>0.52661516980970191</v>
      </c>
      <c r="O52" s="10">
        <v>0.3679259259259311</v>
      </c>
      <c r="P52" s="5">
        <v>0.22242049367895864</v>
      </c>
      <c r="Q52" s="5">
        <v>0.19229566217474742</v>
      </c>
      <c r="R52" s="5">
        <v>0.18838834951974853</v>
      </c>
    </row>
    <row r="53" spans="1:18">
      <c r="A53" t="s">
        <v>273</v>
      </c>
      <c r="B53" t="s">
        <v>52</v>
      </c>
      <c r="C53" s="10">
        <v>140.21</v>
      </c>
      <c r="D53" s="10">
        <v>66</v>
      </c>
      <c r="E53" s="10">
        <v>0.19</v>
      </c>
      <c r="F53" s="10">
        <v>140.42969962399437</v>
      </c>
      <c r="G53" s="10">
        <v>131.63625437201682</v>
      </c>
      <c r="H53" s="10">
        <v>133.98527999999999</v>
      </c>
      <c r="I53" s="10">
        <v>173.09876543209876</v>
      </c>
      <c r="J53" s="10">
        <v>173.3699995357955</v>
      </c>
      <c r="K53" s="10">
        <v>162.51389428644052</v>
      </c>
      <c r="L53" s="10">
        <v>165.41392592592589</v>
      </c>
      <c r="M53" s="10">
        <v>0.27123410369674161</v>
      </c>
      <c r="N53" s="10">
        <v>10.584871145658241</v>
      </c>
      <c r="O53" s="10">
        <v>7.6848395061728638</v>
      </c>
      <c r="P53" s="5">
        <v>0.1912672297662952</v>
      </c>
      <c r="Q53" s="5">
        <v>0.13724299934089668</v>
      </c>
      <c r="R53" s="5">
        <v>0.15236882738163454</v>
      </c>
    </row>
    <row r="54" spans="1:18">
      <c r="A54" t="s">
        <v>275</v>
      </c>
      <c r="B54" t="s">
        <v>52</v>
      </c>
      <c r="C54" s="10">
        <v>120.56</v>
      </c>
      <c r="D54" s="10">
        <v>66</v>
      </c>
      <c r="E54" s="10">
        <v>0.19</v>
      </c>
      <c r="F54" s="10">
        <v>124.25229567182471</v>
      </c>
      <c r="G54" s="10">
        <v>124.50504409340658</v>
      </c>
      <c r="H54" s="10">
        <v>121.74571</v>
      </c>
      <c r="I54" s="10">
        <v>148.83950617283949</v>
      </c>
      <c r="J54" s="10">
        <v>153.39789589114162</v>
      </c>
      <c r="K54" s="10">
        <v>153.7099309795143</v>
      </c>
      <c r="L54" s="10">
        <v>150.30334567901235</v>
      </c>
      <c r="M54" s="10">
        <v>4.5583897183021236</v>
      </c>
      <c r="N54" s="10">
        <v>4.870424806674805</v>
      </c>
      <c r="O54" s="10">
        <v>1.4638395061728602</v>
      </c>
      <c r="P54" s="5">
        <v>0.21407005422320091</v>
      </c>
      <c r="Q54" s="5">
        <v>0.21566551209975077</v>
      </c>
      <c r="R54" s="5">
        <v>0.1978887798181965</v>
      </c>
    </row>
    <row r="55" spans="1:18">
      <c r="A55" t="s">
        <v>276</v>
      </c>
      <c r="B55" t="s">
        <v>52</v>
      </c>
      <c r="C55" s="10">
        <v>67.209999999999994</v>
      </c>
      <c r="D55" s="10">
        <v>51</v>
      </c>
      <c r="E55" s="10">
        <v>0.19</v>
      </c>
      <c r="F55" s="10">
        <v>72.485525642850249</v>
      </c>
      <c r="G55" s="10">
        <v>69.34938903009153</v>
      </c>
      <c r="H55" s="10">
        <v>70.203149999999994</v>
      </c>
      <c r="I55" s="10">
        <v>82.975308641975289</v>
      </c>
      <c r="J55" s="10">
        <v>89.488303262778075</v>
      </c>
      <c r="K55" s="10">
        <v>85.616529666779655</v>
      </c>
      <c r="L55" s="10">
        <v>86.670555555555538</v>
      </c>
      <c r="M55" s="10">
        <v>6.512994620802786</v>
      </c>
      <c r="N55" s="10">
        <v>2.6412210248043664</v>
      </c>
      <c r="O55" s="10">
        <v>3.6952469135802488</v>
      </c>
      <c r="P55" s="5">
        <v>0.24895212503201586</v>
      </c>
      <c r="Q55" s="5">
        <v>0.21498803722152779</v>
      </c>
      <c r="R55" s="5">
        <v>0.2245347965155409</v>
      </c>
    </row>
    <row r="56" spans="1:18">
      <c r="A56" t="s">
        <v>278</v>
      </c>
      <c r="B56" t="s">
        <v>52</v>
      </c>
      <c r="C56" s="10">
        <v>137.21</v>
      </c>
      <c r="D56" s="10">
        <v>66</v>
      </c>
      <c r="E56" s="10">
        <v>0.19</v>
      </c>
      <c r="F56" s="10">
        <v>139.71718389329709</v>
      </c>
      <c r="G56" s="10">
        <v>131.71086380425123</v>
      </c>
      <c r="H56" s="10">
        <v>132.29659000000001</v>
      </c>
      <c r="I56" s="10">
        <v>169.39506172839506</v>
      </c>
      <c r="J56" s="10">
        <v>172.49035048555194</v>
      </c>
      <c r="K56" s="10">
        <v>162.60600469660645</v>
      </c>
      <c r="L56" s="10">
        <v>163.32912345679011</v>
      </c>
      <c r="M56" s="10">
        <v>3.0952887571568795</v>
      </c>
      <c r="N56" s="10">
        <v>6.7890570317886159</v>
      </c>
      <c r="O56" s="10">
        <v>6.0659382716049493</v>
      </c>
      <c r="P56" s="5">
        <v>0.20453521246979595</v>
      </c>
      <c r="Q56" s="5">
        <v>0.15618122309806956</v>
      </c>
      <c r="R56" s="5">
        <v>0.15991712258040805</v>
      </c>
    </row>
    <row r="57" spans="1:18">
      <c r="A57" t="s">
        <v>280</v>
      </c>
      <c r="B57" t="s">
        <v>52</v>
      </c>
      <c r="C57" s="10">
        <v>81.08</v>
      </c>
      <c r="D57" s="10">
        <v>120</v>
      </c>
      <c r="E57" s="10">
        <v>0.19</v>
      </c>
      <c r="F57" s="10">
        <v>89.397212521293596</v>
      </c>
      <c r="G57" s="10">
        <v>90.932527901265416</v>
      </c>
      <c r="H57" s="10">
        <v>86.243809999999996</v>
      </c>
      <c r="I57" s="10">
        <v>120</v>
      </c>
      <c r="J57" s="10">
        <v>120</v>
      </c>
      <c r="K57" s="10">
        <v>120</v>
      </c>
      <c r="L57" s="10">
        <v>120</v>
      </c>
      <c r="M57" s="10">
        <v>0</v>
      </c>
      <c r="N57" s="10">
        <v>0</v>
      </c>
      <c r="O57" s="10">
        <v>0</v>
      </c>
      <c r="P57" s="5">
        <v>0.32433333333333336</v>
      </c>
      <c r="Q57" s="5">
        <v>0.32433333333333336</v>
      </c>
      <c r="R57" s="5">
        <v>0.32433333333333336</v>
      </c>
    </row>
    <row r="58" spans="1:18">
      <c r="A58" t="s">
        <v>281</v>
      </c>
      <c r="B58" t="s">
        <v>52</v>
      </c>
      <c r="C58" s="10">
        <v>59.25</v>
      </c>
      <c r="D58" s="10">
        <v>51</v>
      </c>
      <c r="E58" s="10">
        <v>0.19</v>
      </c>
      <c r="F58" s="10">
        <v>64.082176263868135</v>
      </c>
      <c r="G58" s="10">
        <v>59.772151033534911</v>
      </c>
      <c r="H58" s="10">
        <v>60.222907999999997</v>
      </c>
      <c r="I58" s="10">
        <v>73.148148148148138</v>
      </c>
      <c r="J58" s="10">
        <v>79.113797856627315</v>
      </c>
      <c r="K58" s="10">
        <v>73.792779053746798</v>
      </c>
      <c r="L58" s="10">
        <v>74.349269135802459</v>
      </c>
      <c r="M58" s="10">
        <v>5.9656497084791766</v>
      </c>
      <c r="N58" s="10">
        <v>0.64463090559866032</v>
      </c>
      <c r="O58" s="10">
        <v>1.2011209876543205</v>
      </c>
      <c r="P58" s="5">
        <v>0.25107880540162109</v>
      </c>
      <c r="Q58" s="5">
        <v>0.19707590959753121</v>
      </c>
      <c r="R58" s="5">
        <v>0.20308564309116381</v>
      </c>
    </row>
    <row r="59" spans="1:18">
      <c r="A59" t="s">
        <v>282</v>
      </c>
      <c r="B59" t="s">
        <v>52</v>
      </c>
      <c r="C59" s="10">
        <v>60.7</v>
      </c>
      <c r="D59" s="10">
        <v>51</v>
      </c>
      <c r="E59" s="10">
        <v>0.19</v>
      </c>
      <c r="F59" s="10">
        <v>57.76446464551573</v>
      </c>
      <c r="G59" s="10">
        <v>56.866599005574457</v>
      </c>
      <c r="H59" s="10">
        <v>56.503315000000001</v>
      </c>
      <c r="I59" s="10">
        <v>74.938271604938265</v>
      </c>
      <c r="J59" s="10">
        <v>71.314153883352745</v>
      </c>
      <c r="K59" s="10">
        <v>70.205677784659812</v>
      </c>
      <c r="L59" s="10">
        <v>69.757179012345674</v>
      </c>
      <c r="M59" s="10">
        <v>3.6241177215855203</v>
      </c>
      <c r="N59" s="10">
        <v>4.7325938202784528</v>
      </c>
      <c r="O59" s="10">
        <v>5.1810925925925915</v>
      </c>
      <c r="P59" s="5">
        <v>0.14883656757274466</v>
      </c>
      <c r="Q59" s="5">
        <v>0.13539756447927684</v>
      </c>
      <c r="R59" s="5">
        <v>0.12983866521813797</v>
      </c>
    </row>
    <row r="60" spans="1:18">
      <c r="A60" t="s">
        <v>283</v>
      </c>
      <c r="B60" t="s">
        <v>52</v>
      </c>
      <c r="C60" s="10">
        <v>130.1</v>
      </c>
      <c r="D60" s="10">
        <v>140</v>
      </c>
      <c r="E60" s="10">
        <v>0.19</v>
      </c>
      <c r="F60" s="10">
        <v>140.96706461634079</v>
      </c>
      <c r="G60" s="10">
        <v>135.71137461379206</v>
      </c>
      <c r="H60" s="10">
        <v>137.55258000000001</v>
      </c>
      <c r="I60" s="10">
        <v>160.61728395061726</v>
      </c>
      <c r="J60" s="10">
        <v>174.03341310659357</v>
      </c>
      <c r="K60" s="10">
        <v>167.54490693060748</v>
      </c>
      <c r="L60" s="10">
        <v>169.81799999999998</v>
      </c>
      <c r="M60" s="10">
        <v>13.416129155976307</v>
      </c>
      <c r="N60" s="10">
        <v>6.9276229799902183</v>
      </c>
      <c r="O60" s="10">
        <v>9.20071604938272</v>
      </c>
      <c r="P60" s="5">
        <v>0.25244240357272563</v>
      </c>
      <c r="Q60" s="5">
        <v>0.22349176478468633</v>
      </c>
      <c r="R60" s="5">
        <v>0.23388568938510637</v>
      </c>
    </row>
    <row r="61" spans="1:18">
      <c r="A61" t="s">
        <v>285</v>
      </c>
      <c r="B61" t="s">
        <v>52</v>
      </c>
      <c r="C61" s="10">
        <v>170.6</v>
      </c>
      <c r="D61" s="10">
        <v>66</v>
      </c>
      <c r="E61" s="10">
        <v>0.19</v>
      </c>
      <c r="F61" s="10">
        <v>173.60242827370632</v>
      </c>
      <c r="G61" s="10">
        <v>149.71948923992676</v>
      </c>
      <c r="H61" s="10">
        <v>161.79356000000001</v>
      </c>
      <c r="I61" s="10">
        <v>210.61728395061726</v>
      </c>
      <c r="J61" s="10">
        <v>214.32398552309422</v>
      </c>
      <c r="K61" s="10">
        <v>184.83887560484783</v>
      </c>
      <c r="L61" s="10">
        <v>199.74513580246915</v>
      </c>
      <c r="M61" s="10">
        <v>3.706701572476959</v>
      </c>
      <c r="N61" s="10">
        <v>25.778408345769435</v>
      </c>
      <c r="O61" s="10">
        <v>10.872148148148113</v>
      </c>
      <c r="P61" s="5">
        <v>0.2040088299794276</v>
      </c>
      <c r="Q61" s="5">
        <v>7.7033987348462243E-2</v>
      </c>
      <c r="R61" s="5">
        <v>0.14591161724854818</v>
      </c>
    </row>
    <row r="62" spans="1:18">
      <c r="A62" t="s">
        <v>287</v>
      </c>
      <c r="B62" t="s">
        <v>52</v>
      </c>
      <c r="C62" s="10">
        <v>146.56</v>
      </c>
      <c r="D62" s="10">
        <v>66</v>
      </c>
      <c r="E62" s="10">
        <v>0.19</v>
      </c>
      <c r="F62" s="10">
        <v>153.60752521373504</v>
      </c>
      <c r="G62" s="10">
        <v>125.79360673076933</v>
      </c>
      <c r="H62" s="10">
        <v>135.71895000000001</v>
      </c>
      <c r="I62" s="10">
        <v>180.93827160493825</v>
      </c>
      <c r="J62" s="10">
        <v>189.63892001695683</v>
      </c>
      <c r="K62" s="10">
        <v>155.30074905033248</v>
      </c>
      <c r="L62" s="10">
        <v>167.55425925925925</v>
      </c>
      <c r="M62" s="10">
        <v>8.7006484120185803</v>
      </c>
      <c r="N62" s="10">
        <v>25.637522554605766</v>
      </c>
      <c r="O62" s="10">
        <v>13.384012345678997</v>
      </c>
      <c r="P62" s="5">
        <v>0.22716286305102806</v>
      </c>
      <c r="Q62" s="5">
        <v>5.6282723063361614E-2</v>
      </c>
      <c r="R62" s="5">
        <v>0.12529827264357699</v>
      </c>
    </row>
    <row r="63" spans="1:18">
      <c r="A63" t="s">
        <v>289</v>
      </c>
      <c r="B63" t="s">
        <v>52</v>
      </c>
      <c r="C63" s="10">
        <v>58.74</v>
      </c>
      <c r="D63" s="10">
        <v>51</v>
      </c>
      <c r="E63" s="10">
        <v>0.19</v>
      </c>
      <c r="F63" s="10">
        <v>60.651232766840799</v>
      </c>
      <c r="G63" s="10">
        <v>57.297274399502669</v>
      </c>
      <c r="H63" s="10">
        <v>58.755153999999997</v>
      </c>
      <c r="I63" s="10">
        <v>72.518518518518519</v>
      </c>
      <c r="J63" s="10">
        <v>74.878065144247898</v>
      </c>
      <c r="K63" s="10">
        <v>70.737375801855137</v>
      </c>
      <c r="L63" s="10">
        <v>72.537227160493813</v>
      </c>
      <c r="M63" s="10">
        <v>2.3595466257293793</v>
      </c>
      <c r="N63" s="10">
        <v>1.781142716663382</v>
      </c>
      <c r="O63" s="10">
        <v>1.8708641975294427E-2</v>
      </c>
      <c r="P63" s="5">
        <v>0.21552460140575114</v>
      </c>
      <c r="Q63" s="5">
        <v>0.16960447946869547</v>
      </c>
      <c r="R63" s="5">
        <v>0.19020891341719554</v>
      </c>
    </row>
    <row r="64" spans="1:18">
      <c r="A64" t="s">
        <v>290</v>
      </c>
      <c r="B64" t="s">
        <v>52</v>
      </c>
      <c r="C64" s="10">
        <v>143.82</v>
      </c>
      <c r="D64" s="10">
        <v>66</v>
      </c>
      <c r="E64" s="10">
        <v>0.19</v>
      </c>
      <c r="F64" s="10">
        <v>151.67082488628927</v>
      </c>
      <c r="G64" s="10">
        <v>149.25639423076925</v>
      </c>
      <c r="H64" s="10">
        <v>142.93039999999999</v>
      </c>
      <c r="I64" s="10">
        <v>177.55555555555554</v>
      </c>
      <c r="J64" s="10">
        <v>187.2479319583818</v>
      </c>
      <c r="K64" s="10">
        <v>184.26715337132003</v>
      </c>
      <c r="L64" s="10">
        <v>176.45728395061727</v>
      </c>
      <c r="M64" s="10">
        <v>9.6923764028262553</v>
      </c>
      <c r="N64" s="10">
        <v>6.7115978157644918</v>
      </c>
      <c r="O64" s="10">
        <v>1.0982716049382759</v>
      </c>
      <c r="P64" s="5">
        <v>0.23192743174346089</v>
      </c>
      <c r="Q64" s="5">
        <v>0.21950278512098279</v>
      </c>
      <c r="R64" s="5">
        <v>0.18495855325389138</v>
      </c>
    </row>
    <row r="65" spans="1:18">
      <c r="A65" t="s">
        <v>292</v>
      </c>
      <c r="B65" t="s">
        <v>52</v>
      </c>
      <c r="C65" s="10">
        <v>94.13</v>
      </c>
      <c r="D65" s="10">
        <v>51</v>
      </c>
      <c r="E65" s="10">
        <v>0.19</v>
      </c>
      <c r="F65" s="10">
        <v>93.523854867777516</v>
      </c>
      <c r="G65" s="10">
        <v>85.891502800057168</v>
      </c>
      <c r="H65" s="10">
        <v>90.98321</v>
      </c>
      <c r="I65" s="10">
        <v>116.20987654320986</v>
      </c>
      <c r="J65" s="10">
        <v>115.46154921947841</v>
      </c>
      <c r="K65" s="10">
        <v>106.03889234574959</v>
      </c>
      <c r="L65" s="10">
        <v>112.32495061728395</v>
      </c>
      <c r="M65" s="10">
        <v>0.74832732373144495</v>
      </c>
      <c r="N65" s="10">
        <v>10.170984197460271</v>
      </c>
      <c r="O65" s="10">
        <v>3.8849259259259128</v>
      </c>
      <c r="P65" s="5">
        <v>0.18475024251519204</v>
      </c>
      <c r="Q65" s="5">
        <v>0.11230683461799611</v>
      </c>
      <c r="R65" s="5">
        <v>0.1619849420568916</v>
      </c>
    </row>
    <row r="66" spans="1:18">
      <c r="A66" t="s">
        <v>294</v>
      </c>
      <c r="B66" t="s">
        <v>52</v>
      </c>
      <c r="C66" s="10">
        <v>125.27</v>
      </c>
      <c r="D66" s="10">
        <v>66</v>
      </c>
      <c r="E66" s="10">
        <v>0.19</v>
      </c>
      <c r="F66" s="10">
        <v>126.92284002160636</v>
      </c>
      <c r="G66" s="10">
        <v>124.28433992674003</v>
      </c>
      <c r="H66" s="10">
        <v>127.19206</v>
      </c>
      <c r="I66" s="10">
        <v>154.6543209876543</v>
      </c>
      <c r="J66" s="10">
        <v>156.69486422420536</v>
      </c>
      <c r="K66" s="10">
        <v>153.43745669967905</v>
      </c>
      <c r="L66" s="10">
        <v>157.02723456790122</v>
      </c>
      <c r="M66" s="10">
        <v>2.0405432365510592</v>
      </c>
      <c r="N66" s="10">
        <v>1.2168642879752554</v>
      </c>
      <c r="O66" s="10">
        <v>2.3729135802469159</v>
      </c>
      <c r="P66" s="5">
        <v>0.20054814418959765</v>
      </c>
      <c r="Q66" s="5">
        <v>0.18357614434923028</v>
      </c>
      <c r="R66" s="5">
        <v>0.20224029707514757</v>
      </c>
    </row>
    <row r="67" spans="1:18">
      <c r="A67" t="s">
        <v>295</v>
      </c>
      <c r="B67" t="s">
        <v>52</v>
      </c>
      <c r="C67" s="10">
        <v>157.9</v>
      </c>
      <c r="D67" s="10">
        <v>66</v>
      </c>
      <c r="E67" s="10">
        <v>0.19</v>
      </c>
      <c r="F67" s="10">
        <v>163.90400497610739</v>
      </c>
      <c r="G67" s="10">
        <v>152.65522063492057</v>
      </c>
      <c r="H67" s="10">
        <v>154.47935000000001</v>
      </c>
      <c r="I67" s="10">
        <v>194.93827160493828</v>
      </c>
      <c r="J67" s="10">
        <v>202.35062342729304</v>
      </c>
      <c r="K67" s="10">
        <v>188.46323535175378</v>
      </c>
      <c r="L67" s="10">
        <v>190.71524691358024</v>
      </c>
      <c r="M67" s="10">
        <v>7.4123518223547649</v>
      </c>
      <c r="N67" s="10">
        <v>6.4750362531844985</v>
      </c>
      <c r="O67" s="10">
        <v>4.2230246913580345</v>
      </c>
      <c r="P67" s="5">
        <v>0.21967129467858876</v>
      </c>
      <c r="Q67" s="5">
        <v>0.16217080904246167</v>
      </c>
      <c r="R67" s="5">
        <v>0.17206409788751698</v>
      </c>
    </row>
    <row r="68" spans="1:18">
      <c r="A68" t="s">
        <v>297</v>
      </c>
      <c r="B68" t="s">
        <v>52</v>
      </c>
      <c r="C68" s="10">
        <v>64.06</v>
      </c>
      <c r="D68" s="10">
        <v>51</v>
      </c>
      <c r="E68" s="10">
        <v>0.19</v>
      </c>
      <c r="F68" s="10">
        <v>69.924494802885192</v>
      </c>
      <c r="G68" s="10">
        <v>63.196701122272067</v>
      </c>
      <c r="H68" s="10">
        <v>66.507369999999995</v>
      </c>
      <c r="I68" s="10">
        <v>79.086419753086417</v>
      </c>
      <c r="J68" s="10">
        <v>86.32653679368542</v>
      </c>
      <c r="K68" s="10">
        <v>78.020618669471688</v>
      </c>
      <c r="L68" s="10">
        <v>82.107864197530859</v>
      </c>
      <c r="M68" s="10">
        <v>7.240117040599003</v>
      </c>
      <c r="N68" s="10">
        <v>1.0658010836147298</v>
      </c>
      <c r="O68" s="10">
        <v>3.021444444444441</v>
      </c>
      <c r="P68" s="5">
        <v>0.25793385928246992</v>
      </c>
      <c r="Q68" s="5">
        <v>0.17893499061593918</v>
      </c>
      <c r="R68" s="5">
        <v>0.21980676728007731</v>
      </c>
    </row>
    <row r="69" spans="1:18">
      <c r="A69" t="s">
        <v>299</v>
      </c>
      <c r="B69" t="s">
        <v>52</v>
      </c>
      <c r="C69" s="10">
        <v>55.95</v>
      </c>
      <c r="D69" s="10">
        <v>51</v>
      </c>
      <c r="E69" s="10">
        <v>0.19</v>
      </c>
      <c r="F69" s="10">
        <v>65.364971668416374</v>
      </c>
      <c r="G69" s="10">
        <v>57.792572586579787</v>
      </c>
      <c r="H69" s="10">
        <v>56.957005000000002</v>
      </c>
      <c r="I69" s="10">
        <v>69.074074074074076</v>
      </c>
      <c r="J69" s="10">
        <v>80.697495886933794</v>
      </c>
      <c r="K69" s="10">
        <v>71.348855045160221</v>
      </c>
      <c r="L69" s="10">
        <v>70.317290123456786</v>
      </c>
      <c r="M69" s="10">
        <v>11.623421812859718</v>
      </c>
      <c r="N69" s="10">
        <v>2.2747809710861446</v>
      </c>
      <c r="O69" s="10">
        <v>1.2432160493827098</v>
      </c>
      <c r="P69" s="5">
        <v>0.30666993585039859</v>
      </c>
      <c r="Q69" s="5">
        <v>0.21582483748917233</v>
      </c>
      <c r="R69" s="5">
        <v>0.20432087326220882</v>
      </c>
    </row>
    <row r="70" spans="1:18">
      <c r="A70" t="s">
        <v>301</v>
      </c>
      <c r="B70" t="s">
        <v>52</v>
      </c>
      <c r="C70" s="10">
        <v>152.96</v>
      </c>
      <c r="D70" s="10">
        <v>66</v>
      </c>
      <c r="E70" s="10">
        <v>0.19</v>
      </c>
      <c r="F70" s="10">
        <v>153.36154751409424</v>
      </c>
      <c r="G70" s="10">
        <v>144.1632133547009</v>
      </c>
      <c r="H70" s="10">
        <v>142.27030999999999</v>
      </c>
      <c r="I70" s="10">
        <v>188.83950617283949</v>
      </c>
      <c r="J70" s="10">
        <v>189.33524384456078</v>
      </c>
      <c r="K70" s="10">
        <v>177.97927574654432</v>
      </c>
      <c r="L70" s="10">
        <v>175.64235802469133</v>
      </c>
      <c r="M70" s="10">
        <v>0.49573767172128669</v>
      </c>
      <c r="N70" s="10">
        <v>10.860230426295175</v>
      </c>
      <c r="O70" s="10">
        <v>13.197148148148159</v>
      </c>
      <c r="P70" s="5">
        <v>0.19212082814557169</v>
      </c>
      <c r="Q70" s="5">
        <v>0.14057409572883986</v>
      </c>
      <c r="R70" s="5">
        <v>0.1291394529188836</v>
      </c>
    </row>
    <row r="71" spans="1:18">
      <c r="A71" t="s">
        <v>302</v>
      </c>
      <c r="B71" t="s">
        <v>52</v>
      </c>
      <c r="C71" s="10">
        <v>53.08</v>
      </c>
      <c r="D71" s="10">
        <v>51</v>
      </c>
      <c r="E71" s="10">
        <v>0.19</v>
      </c>
      <c r="F71" s="10">
        <v>54.947767338597849</v>
      </c>
      <c r="G71" s="10">
        <v>52.882061918905571</v>
      </c>
      <c r="H71" s="10">
        <v>54.167630000000003</v>
      </c>
      <c r="I71" s="10">
        <v>65.53086419753086</v>
      </c>
      <c r="J71" s="10">
        <v>67.836749800738076</v>
      </c>
      <c r="K71" s="10">
        <v>65.286496196179712</v>
      </c>
      <c r="L71" s="10">
        <v>66.873617283950622</v>
      </c>
      <c r="M71" s="10">
        <v>2.3058856032072157</v>
      </c>
      <c r="N71" s="10">
        <v>0.24436800135114822</v>
      </c>
      <c r="O71" s="10">
        <v>1.3427530864197621</v>
      </c>
      <c r="P71" s="5">
        <v>0.21753326691040145</v>
      </c>
      <c r="Q71" s="5">
        <v>0.18696816198407024</v>
      </c>
      <c r="R71" s="5">
        <v>0.20626396244399109</v>
      </c>
    </row>
    <row r="72" spans="1:18">
      <c r="A72" t="s">
        <v>304</v>
      </c>
      <c r="B72" t="s">
        <v>52</v>
      </c>
      <c r="C72" s="10">
        <v>106.77</v>
      </c>
      <c r="D72" s="10">
        <v>140</v>
      </c>
      <c r="E72" s="10">
        <v>0.19</v>
      </c>
      <c r="F72" s="10">
        <v>120.19712787284081</v>
      </c>
      <c r="G72" s="10">
        <v>103.47635265567767</v>
      </c>
      <c r="H72" s="10">
        <v>107.96317000000001</v>
      </c>
      <c r="I72" s="10">
        <v>140</v>
      </c>
      <c r="J72" s="10">
        <v>148.39151589239606</v>
      </c>
      <c r="K72" s="10">
        <v>140</v>
      </c>
      <c r="L72" s="10">
        <v>140</v>
      </c>
      <c r="M72" s="10">
        <v>8.3915158923960576</v>
      </c>
      <c r="N72" s="10">
        <v>0</v>
      </c>
      <c r="O72" s="10">
        <v>0</v>
      </c>
      <c r="P72" s="5">
        <v>0.28048447138027283</v>
      </c>
      <c r="Q72" s="5">
        <v>0.23735714285714288</v>
      </c>
      <c r="R72" s="5">
        <v>0.23735714285714288</v>
      </c>
    </row>
    <row r="73" spans="1:18">
      <c r="A73" t="s">
        <v>305</v>
      </c>
      <c r="B73" t="s">
        <v>52</v>
      </c>
      <c r="C73" s="10">
        <v>136.58000000000001</v>
      </c>
      <c r="D73" s="10">
        <v>66</v>
      </c>
      <c r="E73" s="10">
        <v>0.19</v>
      </c>
      <c r="F73" s="10">
        <v>137.723089834994</v>
      </c>
      <c r="G73" s="10">
        <v>132.03616192696197</v>
      </c>
      <c r="H73" s="10">
        <v>132.7783</v>
      </c>
      <c r="I73" s="10">
        <v>168.61728395061729</v>
      </c>
      <c r="J73" s="10">
        <v>170.02850596912839</v>
      </c>
      <c r="K73" s="10">
        <v>163.00760731723699</v>
      </c>
      <c r="L73" s="10">
        <v>163.92382716049383</v>
      </c>
      <c r="M73" s="10">
        <v>1.4112220185110971</v>
      </c>
      <c r="N73" s="10">
        <v>5.6096766333803032</v>
      </c>
      <c r="O73" s="10">
        <v>4.693456790123463</v>
      </c>
      <c r="P73" s="5">
        <v>0.19672293053731549</v>
      </c>
      <c r="Q73" s="5">
        <v>0.16212499374832814</v>
      </c>
      <c r="R73" s="5">
        <v>0.16680813054542792</v>
      </c>
    </row>
    <row r="74" spans="1:18">
      <c r="A74" t="s">
        <v>307</v>
      </c>
      <c r="B74" t="s">
        <v>52</v>
      </c>
      <c r="C74" s="10">
        <v>118.7</v>
      </c>
      <c r="D74" s="10">
        <v>66</v>
      </c>
      <c r="E74" s="10">
        <v>0.19</v>
      </c>
      <c r="F74" s="10">
        <v>120.44910327970831</v>
      </c>
      <c r="G74" s="10">
        <v>118.65227344322355</v>
      </c>
      <c r="H74" s="10">
        <v>121.748436</v>
      </c>
      <c r="I74" s="10">
        <v>146.54320987654322</v>
      </c>
      <c r="J74" s="10">
        <v>148.7025966416152</v>
      </c>
      <c r="K74" s="10">
        <v>146.48428820151054</v>
      </c>
      <c r="L74" s="10">
        <v>150.3067111111111</v>
      </c>
      <c r="M74" s="10">
        <v>2.1593867650719858</v>
      </c>
      <c r="N74" s="10">
        <v>5.8921675032678422E-2</v>
      </c>
      <c r="O74" s="10">
        <v>3.7635012345678831</v>
      </c>
      <c r="P74" s="5">
        <v>0.20176242593748234</v>
      </c>
      <c r="Q74" s="5">
        <v>0.18967418651268037</v>
      </c>
      <c r="R74" s="5">
        <v>0.21028143638740451</v>
      </c>
    </row>
    <row r="75" spans="1:18">
      <c r="A75" t="s">
        <v>308</v>
      </c>
      <c r="B75" t="s">
        <v>52</v>
      </c>
      <c r="C75" s="10">
        <v>61.01</v>
      </c>
      <c r="D75" s="10">
        <v>51</v>
      </c>
      <c r="E75" s="10">
        <v>0.19</v>
      </c>
      <c r="F75" s="10">
        <v>70.731218909193018</v>
      </c>
      <c r="G75" s="10">
        <v>63.665574644305792</v>
      </c>
      <c r="H75" s="10">
        <v>63.836384000000002</v>
      </c>
      <c r="I75" s="10">
        <v>75.320987654320987</v>
      </c>
      <c r="J75" s="10">
        <v>87.322492480485195</v>
      </c>
      <c r="K75" s="10">
        <v>78.599474869513315</v>
      </c>
      <c r="L75" s="10">
        <v>78.810350617283945</v>
      </c>
      <c r="M75" s="10">
        <v>12.001504826164208</v>
      </c>
      <c r="N75" s="10">
        <v>3.2784872151923281</v>
      </c>
      <c r="O75" s="10">
        <v>3.4893629629629572</v>
      </c>
      <c r="P75" s="5">
        <v>0.30132548594356151</v>
      </c>
      <c r="Q75" s="5">
        <v>0.22378616267747886</v>
      </c>
      <c r="R75" s="5">
        <v>0.22586310653184863</v>
      </c>
    </row>
    <row r="76" spans="1:18">
      <c r="A76" t="s">
        <v>309</v>
      </c>
      <c r="B76" t="s">
        <v>52</v>
      </c>
      <c r="C76" s="10">
        <v>174.79</v>
      </c>
      <c r="D76" s="10">
        <v>66</v>
      </c>
      <c r="E76" s="10">
        <v>0.19</v>
      </c>
      <c r="F76" s="10">
        <v>179.24285053697912</v>
      </c>
      <c r="G76" s="10">
        <v>162.61458879731381</v>
      </c>
      <c r="H76" s="10">
        <v>166.309</v>
      </c>
      <c r="I76" s="10">
        <v>215.7901234567901</v>
      </c>
      <c r="J76" s="10">
        <v>221.28746979873964</v>
      </c>
      <c r="K76" s="10">
        <v>200.75875160162198</v>
      </c>
      <c r="L76" s="10">
        <v>205.31975308641972</v>
      </c>
      <c r="M76" s="10">
        <v>5.4973463419495374</v>
      </c>
      <c r="N76" s="10">
        <v>15.031371855168118</v>
      </c>
      <c r="O76" s="10">
        <v>10.470370370370375</v>
      </c>
      <c r="P76" s="5">
        <v>0.21012247029182884</v>
      </c>
      <c r="Q76" s="5">
        <v>0.12935302393767317</v>
      </c>
      <c r="R76" s="5">
        <v>0.14869369667306032</v>
      </c>
    </row>
    <row r="77" spans="1:18">
      <c r="A77" t="s">
        <v>310</v>
      </c>
      <c r="B77" t="s">
        <v>52</v>
      </c>
      <c r="C77" s="10">
        <v>72.989999999999995</v>
      </c>
      <c r="D77" s="10">
        <v>51</v>
      </c>
      <c r="E77" s="10">
        <v>0.19</v>
      </c>
      <c r="F77" s="10">
        <v>79.417190552761923</v>
      </c>
      <c r="G77" s="10">
        <v>70.545834506894778</v>
      </c>
      <c r="H77" s="10">
        <v>72.275695999999996</v>
      </c>
      <c r="I77" s="10">
        <v>90.1111111111111</v>
      </c>
      <c r="J77" s="10">
        <v>98.045914262669029</v>
      </c>
      <c r="K77" s="10">
        <v>87.093622848018242</v>
      </c>
      <c r="L77" s="10">
        <v>89.22925432098765</v>
      </c>
      <c r="M77" s="10">
        <v>7.9348031515579294</v>
      </c>
      <c r="N77" s="10">
        <v>3.0174882630928579</v>
      </c>
      <c r="O77" s="10">
        <v>0.8818567901234502</v>
      </c>
      <c r="P77" s="5">
        <v>0.25555286470727595</v>
      </c>
      <c r="Q77" s="5">
        <v>0.16193634375078894</v>
      </c>
      <c r="R77" s="5">
        <v>0.18199473305660041</v>
      </c>
    </row>
    <row r="78" spans="1:18">
      <c r="A78" t="s">
        <v>312</v>
      </c>
      <c r="B78" t="s">
        <v>52</v>
      </c>
      <c r="C78" s="10">
        <v>136.19</v>
      </c>
      <c r="D78" s="10">
        <v>66</v>
      </c>
      <c r="E78" s="10">
        <v>0.19</v>
      </c>
      <c r="F78" s="10">
        <v>142.51494700198512</v>
      </c>
      <c r="G78" s="10">
        <v>133.05711645992901</v>
      </c>
      <c r="H78" s="10">
        <v>131.21394000000001</v>
      </c>
      <c r="I78" s="10">
        <v>168.1358024691358</v>
      </c>
      <c r="J78" s="10">
        <v>175.94437901479643</v>
      </c>
      <c r="K78" s="10">
        <v>164.26804501225803</v>
      </c>
      <c r="L78" s="10">
        <v>161.99251851851852</v>
      </c>
      <c r="M78" s="10">
        <v>7.8085765456606282</v>
      </c>
      <c r="N78" s="10">
        <v>3.8677574568777686</v>
      </c>
      <c r="O78" s="10">
        <v>6.1432839506172741</v>
      </c>
      <c r="P78" s="5">
        <v>0.22594855963800467</v>
      </c>
      <c r="Q78" s="5">
        <v>0.17092822289425061</v>
      </c>
      <c r="R78" s="5">
        <v>0.15928216163617986</v>
      </c>
    </row>
    <row r="79" spans="1:18">
      <c r="A79" t="s">
        <v>314</v>
      </c>
      <c r="B79" t="s">
        <v>52</v>
      </c>
      <c r="C79" s="10">
        <v>136.16</v>
      </c>
      <c r="D79" s="10">
        <v>140</v>
      </c>
      <c r="E79" s="10">
        <v>0.19</v>
      </c>
      <c r="F79" s="10">
        <v>136.22513560814639</v>
      </c>
      <c r="G79" s="10">
        <v>133.09410239172595</v>
      </c>
      <c r="H79" s="10">
        <v>134.38300000000001</v>
      </c>
      <c r="I79" s="10">
        <v>168.09876543209876</v>
      </c>
      <c r="J79" s="10">
        <v>168.17917976314368</v>
      </c>
      <c r="K79" s="10">
        <v>164.31370665645179</v>
      </c>
      <c r="L79" s="10">
        <v>165.90493827160495</v>
      </c>
      <c r="M79" s="10">
        <v>8.0414331044920573E-2</v>
      </c>
      <c r="N79" s="10">
        <v>3.7850587756469736</v>
      </c>
      <c r="O79" s="10">
        <v>2.1938271604938109</v>
      </c>
      <c r="P79" s="5">
        <v>0.19038729888109882</v>
      </c>
      <c r="Q79" s="5">
        <v>0.17134119380141397</v>
      </c>
      <c r="R79" s="5">
        <v>0.17928904697766837</v>
      </c>
    </row>
    <row r="80" spans="1:18">
      <c r="A80" t="s">
        <v>315</v>
      </c>
      <c r="B80" t="s">
        <v>52</v>
      </c>
      <c r="C80" s="10">
        <v>147.13999999999999</v>
      </c>
      <c r="D80" s="10">
        <v>66</v>
      </c>
      <c r="E80" s="10">
        <v>0.19</v>
      </c>
      <c r="F80" s="10">
        <v>161.0029233928334</v>
      </c>
      <c r="G80" s="10">
        <v>150.05203195970697</v>
      </c>
      <c r="H80" s="10">
        <v>144.67357000000001</v>
      </c>
      <c r="I80" s="10">
        <v>181.6543209876543</v>
      </c>
      <c r="J80" s="10">
        <v>198.76904122572023</v>
      </c>
      <c r="K80" s="10">
        <v>185.24942217247772</v>
      </c>
      <c r="L80" s="10">
        <v>178.60934567901234</v>
      </c>
      <c r="M80" s="10">
        <v>17.114720238065928</v>
      </c>
      <c r="N80" s="10">
        <v>3.5951011848234202</v>
      </c>
      <c r="O80" s="10">
        <v>3.0449753086419662</v>
      </c>
      <c r="P80" s="5">
        <v>0.25974387614563577</v>
      </c>
      <c r="Q80" s="5">
        <v>0.20571951979961212</v>
      </c>
      <c r="R80" s="5">
        <v>0.17619092416119961</v>
      </c>
    </row>
    <row r="81" spans="1:18">
      <c r="A81" t="s">
        <v>317</v>
      </c>
      <c r="B81" t="s">
        <v>52</v>
      </c>
      <c r="C81" s="10">
        <v>45.34</v>
      </c>
      <c r="D81" s="10">
        <v>51</v>
      </c>
      <c r="E81" s="10">
        <v>0.19</v>
      </c>
      <c r="F81" s="10">
        <v>50.251921803406894</v>
      </c>
      <c r="G81" s="10">
        <v>48.979779503798525</v>
      </c>
      <c r="H81" s="10">
        <v>48.143520000000002</v>
      </c>
      <c r="I81" s="10">
        <v>55.97530864197531</v>
      </c>
      <c r="J81" s="10">
        <v>62.039409633835668</v>
      </c>
      <c r="K81" s="10">
        <v>60.46886358493645</v>
      </c>
      <c r="L81" s="10">
        <v>59.43644444444444</v>
      </c>
      <c r="M81" s="10">
        <v>6.0641009918603572</v>
      </c>
      <c r="N81" s="10">
        <v>4.4935549429611399</v>
      </c>
      <c r="O81" s="10">
        <v>3.4611358024691299</v>
      </c>
      <c r="P81" s="5">
        <v>0.26917421897464311</v>
      </c>
      <c r="Q81" s="5">
        <v>0.25019262291387323</v>
      </c>
      <c r="R81" s="5">
        <v>0.23716836658391399</v>
      </c>
    </row>
    <row r="82" spans="1:18">
      <c r="A82" t="s">
        <v>318</v>
      </c>
      <c r="B82" t="s">
        <v>52</v>
      </c>
      <c r="C82" s="10">
        <v>121.01</v>
      </c>
      <c r="D82" s="10">
        <v>140</v>
      </c>
      <c r="E82" s="10">
        <v>0.19</v>
      </c>
      <c r="F82" s="10">
        <v>124.95111380733248</v>
      </c>
      <c r="G82" s="10">
        <v>121.6547813797313</v>
      </c>
      <c r="H82" s="10">
        <v>122.89823</v>
      </c>
      <c r="I82" s="10">
        <v>149.39506172839506</v>
      </c>
      <c r="J82" s="10">
        <v>154.26063433004009</v>
      </c>
      <c r="K82" s="10">
        <v>150.19108812312507</v>
      </c>
      <c r="L82" s="10">
        <v>151.72620987654321</v>
      </c>
      <c r="M82" s="10">
        <v>4.8655726016450274</v>
      </c>
      <c r="N82" s="10">
        <v>0.79602639473000636</v>
      </c>
      <c r="O82" s="10">
        <v>2.3311481481481451</v>
      </c>
      <c r="P82" s="5">
        <v>0.21554840918714538</v>
      </c>
      <c r="Q82" s="5">
        <v>0.1942930734958303</v>
      </c>
      <c r="R82" s="5">
        <v>0.20244498232399274</v>
      </c>
    </row>
    <row r="83" spans="1:18">
      <c r="A83" t="s">
        <v>320</v>
      </c>
      <c r="B83" t="s">
        <v>52</v>
      </c>
      <c r="C83" s="10">
        <v>67.959999999999994</v>
      </c>
      <c r="D83" s="10">
        <v>51</v>
      </c>
      <c r="E83" s="10">
        <v>0.19</v>
      </c>
      <c r="F83" s="10">
        <v>76.771044298738246</v>
      </c>
      <c r="G83" s="10">
        <v>66.135300358591707</v>
      </c>
      <c r="H83" s="10">
        <v>68.228099999999998</v>
      </c>
      <c r="I83" s="10">
        <v>83.901234567901227</v>
      </c>
      <c r="J83" s="10">
        <v>94.779067035479315</v>
      </c>
      <c r="K83" s="10">
        <v>81.648518961224326</v>
      </c>
      <c r="L83" s="10">
        <v>84.232222222222219</v>
      </c>
      <c r="M83" s="10">
        <v>10.877832467578088</v>
      </c>
      <c r="N83" s="10">
        <v>2.252715606676901</v>
      </c>
      <c r="O83" s="10">
        <v>0.33098765432099242</v>
      </c>
      <c r="P83" s="5">
        <v>0.28296403282214155</v>
      </c>
      <c r="Q83" s="5">
        <v>0.16765177293326217</v>
      </c>
      <c r="R83" s="5">
        <v>0.1931828674695617</v>
      </c>
    </row>
    <row r="84" spans="1:18">
      <c r="A84" t="s">
        <v>321</v>
      </c>
      <c r="B84" t="s">
        <v>52</v>
      </c>
      <c r="C84" s="10">
        <v>140.19999999999999</v>
      </c>
      <c r="D84" s="10">
        <v>66</v>
      </c>
      <c r="E84" s="10">
        <v>0.19</v>
      </c>
      <c r="F84" s="10">
        <v>148.92105854172669</v>
      </c>
      <c r="G84" s="10">
        <v>146.06719572649573</v>
      </c>
      <c r="H84" s="10">
        <v>147.18432999999999</v>
      </c>
      <c r="I84" s="10">
        <v>173.0864197530864</v>
      </c>
      <c r="J84" s="10">
        <v>183.85315869348975</v>
      </c>
      <c r="K84" s="10">
        <v>180.32987126727866</v>
      </c>
      <c r="L84" s="10">
        <v>181.70904938271602</v>
      </c>
      <c r="M84" s="10">
        <v>10.766738940403343</v>
      </c>
      <c r="N84" s="10">
        <v>7.2434515141922589</v>
      </c>
      <c r="O84" s="10">
        <v>8.6226296296296141</v>
      </c>
      <c r="P84" s="5">
        <v>0.23743491275157252</v>
      </c>
      <c r="Q84" s="5">
        <v>0.22253590592209527</v>
      </c>
      <c r="R84" s="5">
        <v>0.22843688591034106</v>
      </c>
    </row>
    <row r="85" spans="1:18">
      <c r="A85" t="s">
        <v>322</v>
      </c>
      <c r="B85" t="s">
        <v>52</v>
      </c>
      <c r="C85" s="10">
        <v>62.17</v>
      </c>
      <c r="D85" s="10">
        <v>51</v>
      </c>
      <c r="E85" s="10">
        <v>0.19</v>
      </c>
      <c r="F85" s="10">
        <v>67.208441765760398</v>
      </c>
      <c r="G85" s="10">
        <v>59.573099557985131</v>
      </c>
      <c r="H85" s="10">
        <v>60.098633</v>
      </c>
      <c r="I85" s="10">
        <v>76.753086419753089</v>
      </c>
      <c r="J85" s="10">
        <v>82.973384896000482</v>
      </c>
      <c r="K85" s="10">
        <v>73.547036491339668</v>
      </c>
      <c r="L85" s="10">
        <v>74.195843209876543</v>
      </c>
      <c r="M85" s="10">
        <v>6.2202984762473932</v>
      </c>
      <c r="N85" s="10">
        <v>3.206049928413421</v>
      </c>
      <c r="O85" s="10">
        <v>2.5572432098765461</v>
      </c>
      <c r="P85" s="5">
        <v>0.25072358952302132</v>
      </c>
      <c r="Q85" s="5">
        <v>0.15469061751630656</v>
      </c>
      <c r="R85" s="5">
        <v>0.16208243871370581</v>
      </c>
    </row>
    <row r="86" spans="1:18">
      <c r="A86" t="s">
        <v>324</v>
      </c>
      <c r="B86" t="s">
        <v>52</v>
      </c>
      <c r="C86" s="10">
        <v>112.04</v>
      </c>
      <c r="D86" s="10">
        <v>51</v>
      </c>
      <c r="E86" s="10">
        <v>0.19</v>
      </c>
      <c r="F86" s="10">
        <v>119.32039038978284</v>
      </c>
      <c r="G86" s="10">
        <v>111.55936319732625</v>
      </c>
      <c r="H86" s="10">
        <v>111.06715</v>
      </c>
      <c r="I86" s="10">
        <v>138.32098765432099</v>
      </c>
      <c r="J86" s="10">
        <v>147.30912393800349</v>
      </c>
      <c r="K86" s="10">
        <v>137.72760888558796</v>
      </c>
      <c r="L86" s="10">
        <v>137.11993827160492</v>
      </c>
      <c r="M86" s="10">
        <v>8.9881362836825076</v>
      </c>
      <c r="N86" s="10">
        <v>0.5933787687330323</v>
      </c>
      <c r="O86" s="10">
        <v>1.2010493827160644</v>
      </c>
      <c r="P86" s="5">
        <v>0.23942253538108643</v>
      </c>
      <c r="Q86" s="5">
        <v>0.18651023635302466</v>
      </c>
      <c r="R86" s="5">
        <v>0.18290511640930721</v>
      </c>
    </row>
    <row r="87" spans="1:18">
      <c r="A87" t="s">
        <v>325</v>
      </c>
      <c r="B87" t="s">
        <v>52</v>
      </c>
      <c r="C87" s="10">
        <v>195.87</v>
      </c>
      <c r="D87" s="10">
        <v>66</v>
      </c>
      <c r="E87" s="10">
        <v>0.19</v>
      </c>
      <c r="F87" s="10">
        <v>203.13394166354948</v>
      </c>
      <c r="G87" s="10">
        <v>168.59600636446859</v>
      </c>
      <c r="H87" s="10">
        <v>187.40788000000001</v>
      </c>
      <c r="I87" s="10">
        <v>241.81481481481481</v>
      </c>
      <c r="J87" s="10">
        <v>250.78264402907342</v>
      </c>
      <c r="K87" s="10">
        <v>208.14321773391183</v>
      </c>
      <c r="L87" s="10">
        <v>231.36775308641975</v>
      </c>
      <c r="M87" s="10">
        <v>8.9678292142586145</v>
      </c>
      <c r="N87" s="10">
        <v>33.671597080902984</v>
      </c>
      <c r="O87" s="10">
        <v>10.447061728395056</v>
      </c>
      <c r="P87" s="5">
        <v>0.21896508923762426</v>
      </c>
      <c r="Q87" s="5">
        <v>5.8965254153040804E-2</v>
      </c>
      <c r="R87" s="5">
        <v>0.15342567238901586</v>
      </c>
    </row>
    <row r="88" spans="1:18">
      <c r="A88" t="s">
        <v>326</v>
      </c>
      <c r="B88" t="s">
        <v>52</v>
      </c>
      <c r="C88" s="10">
        <v>101.5</v>
      </c>
      <c r="D88" s="10">
        <v>51</v>
      </c>
      <c r="E88" s="10">
        <v>0.19</v>
      </c>
      <c r="F88" s="10">
        <v>117.55709184599463</v>
      </c>
      <c r="G88" s="10">
        <v>109.79543721001217</v>
      </c>
      <c r="H88" s="10">
        <v>104.89651499999999</v>
      </c>
      <c r="I88" s="10">
        <v>125.30864197530863</v>
      </c>
      <c r="J88" s="10">
        <v>145.13221215554893</v>
      </c>
      <c r="K88" s="10">
        <v>135.54992248149648</v>
      </c>
      <c r="L88" s="10">
        <v>129.50187037037034</v>
      </c>
      <c r="M88" s="10">
        <v>19.823570180240296</v>
      </c>
      <c r="N88" s="10">
        <v>10.241280506187849</v>
      </c>
      <c r="O88" s="10">
        <v>4.1932283950617091</v>
      </c>
      <c r="P88" s="5">
        <v>0.30063768413303765</v>
      </c>
      <c r="Q88" s="5">
        <v>0.2511983913981547</v>
      </c>
      <c r="R88" s="5">
        <v>0.21622753625322996</v>
      </c>
    </row>
    <row r="89" spans="1:18">
      <c r="A89" t="s">
        <v>327</v>
      </c>
      <c r="B89" t="s">
        <v>52</v>
      </c>
      <c r="C89" s="10">
        <v>155.12</v>
      </c>
      <c r="D89" s="10">
        <v>66</v>
      </c>
      <c r="E89" s="10">
        <v>0.19</v>
      </c>
      <c r="F89" s="10">
        <v>163.31452136707884</v>
      </c>
      <c r="G89" s="10">
        <v>153.48793821733818</v>
      </c>
      <c r="H89" s="10">
        <v>151.56945999999999</v>
      </c>
      <c r="I89" s="10">
        <v>191.50617283950618</v>
      </c>
      <c r="J89" s="10">
        <v>201.62286588528249</v>
      </c>
      <c r="K89" s="10">
        <v>189.49128174980021</v>
      </c>
      <c r="L89" s="10">
        <v>187.12279012345678</v>
      </c>
      <c r="M89" s="10">
        <v>10.116693045776316</v>
      </c>
      <c r="N89" s="10">
        <v>2.0148910897059693</v>
      </c>
      <c r="O89" s="10">
        <v>4.3833827160493968</v>
      </c>
      <c r="P89" s="5">
        <v>0.2306428176243723</v>
      </c>
      <c r="Q89" s="5">
        <v>0.18138714051859772</v>
      </c>
      <c r="R89" s="5">
        <v>0.17102561426292598</v>
      </c>
    </row>
    <row r="90" spans="1:18">
      <c r="A90" t="s">
        <v>329</v>
      </c>
      <c r="B90" t="s">
        <v>52</v>
      </c>
      <c r="C90" s="10">
        <v>109.9</v>
      </c>
      <c r="D90" s="10">
        <v>66</v>
      </c>
      <c r="E90" s="10">
        <v>0.19</v>
      </c>
      <c r="F90" s="10">
        <v>113.37330622525285</v>
      </c>
      <c r="G90" s="10">
        <v>115.62763736263734</v>
      </c>
      <c r="H90" s="10">
        <v>112.80718</v>
      </c>
      <c r="I90" s="10">
        <v>135.67901234567901</v>
      </c>
      <c r="J90" s="10">
        <v>139.96704472253438</v>
      </c>
      <c r="K90" s="10">
        <v>142.7501695835029</v>
      </c>
      <c r="L90" s="10">
        <v>139.26812345679011</v>
      </c>
      <c r="M90" s="10">
        <v>4.2880323768553694</v>
      </c>
      <c r="N90" s="10">
        <v>7.0711572378238827</v>
      </c>
      <c r="O90" s="10">
        <v>3.5891111111110945</v>
      </c>
      <c r="P90" s="5">
        <v>0.21481517154368873</v>
      </c>
      <c r="Q90" s="5">
        <v>0.23012350653837166</v>
      </c>
      <c r="R90" s="5">
        <v>0.21087469786940854</v>
      </c>
    </row>
    <row r="91" spans="1:18">
      <c r="A91" t="s">
        <v>331</v>
      </c>
      <c r="B91" t="s">
        <v>52</v>
      </c>
      <c r="C91" s="10">
        <v>141.6</v>
      </c>
      <c r="D91" s="10">
        <v>66</v>
      </c>
      <c r="E91" s="10">
        <v>0.19</v>
      </c>
      <c r="F91" s="10">
        <v>142.44626176218992</v>
      </c>
      <c r="G91" s="10">
        <v>137.6534716575091</v>
      </c>
      <c r="H91" s="10">
        <v>140.50824</v>
      </c>
      <c r="I91" s="10">
        <v>174.81481481481481</v>
      </c>
      <c r="J91" s="10">
        <v>175.85958242245667</v>
      </c>
      <c r="K91" s="10">
        <v>169.94255760186309</v>
      </c>
      <c r="L91" s="10">
        <v>173.46696296296295</v>
      </c>
      <c r="M91" s="10">
        <v>1.0447676076418588</v>
      </c>
      <c r="N91" s="10">
        <v>4.8722572129517232</v>
      </c>
      <c r="O91" s="10">
        <v>1.347851851851857</v>
      </c>
      <c r="P91" s="5">
        <v>0.19481214472667735</v>
      </c>
      <c r="Q91" s="5">
        <v>0.16677728052241794</v>
      </c>
      <c r="R91" s="5">
        <v>0.18370623673031558</v>
      </c>
    </row>
    <row r="92" spans="1:18">
      <c r="A92" t="s">
        <v>332</v>
      </c>
      <c r="B92" t="s">
        <v>52</v>
      </c>
      <c r="C92" s="10">
        <v>154.02000000000001</v>
      </c>
      <c r="D92" s="10">
        <v>66</v>
      </c>
      <c r="E92" s="10">
        <v>0.19</v>
      </c>
      <c r="F92" s="10">
        <v>157.91259057374461</v>
      </c>
      <c r="G92" s="10">
        <v>154.17745038156289</v>
      </c>
      <c r="H92" s="10">
        <v>142.01169999999999</v>
      </c>
      <c r="I92" s="10">
        <v>190.14814814814815</v>
      </c>
      <c r="J92" s="10">
        <v>194.95381552314149</v>
      </c>
      <c r="K92" s="10">
        <v>190.34253133526281</v>
      </c>
      <c r="L92" s="10">
        <v>175.32308641975305</v>
      </c>
      <c r="M92" s="10">
        <v>4.8056673749933339</v>
      </c>
      <c r="N92" s="10">
        <v>0.19438318711465286</v>
      </c>
      <c r="O92" s="10">
        <v>14.825061728395099</v>
      </c>
      <c r="P92" s="5">
        <v>0.20996673193237675</v>
      </c>
      <c r="Q92" s="5">
        <v>0.19082719495458184</v>
      </c>
      <c r="R92" s="5">
        <v>0.12150759409259919</v>
      </c>
    </row>
    <row r="93" spans="1:18">
      <c r="A93" t="s">
        <v>333</v>
      </c>
      <c r="B93" t="s">
        <v>52</v>
      </c>
      <c r="C93" s="10">
        <v>124.34</v>
      </c>
      <c r="D93" s="10">
        <v>66</v>
      </c>
      <c r="E93" s="10">
        <v>0.19</v>
      </c>
      <c r="F93" s="10">
        <v>128.20439592703761</v>
      </c>
      <c r="G93" s="10">
        <v>125.60348914835164</v>
      </c>
      <c r="H93" s="10">
        <v>123.8134</v>
      </c>
      <c r="I93" s="10">
        <v>153.50617283950618</v>
      </c>
      <c r="J93" s="10">
        <v>158.27703200868839</v>
      </c>
      <c r="K93" s="10">
        <v>155.06603598561929</v>
      </c>
      <c r="L93" s="10">
        <v>152.85604938271604</v>
      </c>
      <c r="M93" s="10">
        <v>4.7708591691822164</v>
      </c>
      <c r="N93" s="10">
        <v>1.5598631461131163</v>
      </c>
      <c r="O93" s="10">
        <v>0.65012345679014061</v>
      </c>
      <c r="P93" s="5">
        <v>0.21441539292211056</v>
      </c>
      <c r="Q93" s="5">
        <v>0.19814807149947911</v>
      </c>
      <c r="R93" s="5">
        <v>0.18655492862646522</v>
      </c>
    </row>
    <row r="94" spans="1:18">
      <c r="A94" t="s">
        <v>334</v>
      </c>
      <c r="B94" t="s">
        <v>52</v>
      </c>
      <c r="C94" s="10">
        <v>123.96</v>
      </c>
      <c r="D94" s="10">
        <v>140</v>
      </c>
      <c r="E94" s="10">
        <v>0.19</v>
      </c>
      <c r="F94" s="10">
        <v>125.10810123275938</v>
      </c>
      <c r="G94" s="10">
        <v>121.92075421245413</v>
      </c>
      <c r="H94" s="10">
        <v>122.207115</v>
      </c>
      <c r="I94" s="10">
        <v>153.03703703703701</v>
      </c>
      <c r="J94" s="10">
        <v>154.4544459663696</v>
      </c>
      <c r="K94" s="10">
        <v>150.5194496450051</v>
      </c>
      <c r="L94" s="10">
        <v>150.87298148148147</v>
      </c>
      <c r="M94" s="10">
        <v>1.4174089293325949</v>
      </c>
      <c r="N94" s="10">
        <v>2.5175873920319134</v>
      </c>
      <c r="O94" s="10">
        <v>2.1640555555555352</v>
      </c>
      <c r="P94" s="5">
        <v>0.19743326762513116</v>
      </c>
      <c r="Q94" s="5">
        <v>0.17645194496554858</v>
      </c>
      <c r="R94" s="5">
        <v>0.17838171697286201</v>
      </c>
    </row>
    <row r="95" spans="1:18">
      <c r="A95" t="s">
        <v>467</v>
      </c>
      <c r="B95" t="s">
        <v>58</v>
      </c>
      <c r="C95" s="10">
        <v>138.63</v>
      </c>
      <c r="D95" s="10">
        <v>119</v>
      </c>
      <c r="E95" s="10">
        <v>0.19</v>
      </c>
      <c r="F95" s="10">
        <v>140.97810502649176</v>
      </c>
      <c r="G95" s="10">
        <v>136.05774085359093</v>
      </c>
      <c r="H95" s="10">
        <v>135.31685999999999</v>
      </c>
      <c r="I95" s="10">
        <v>171.14814814814812</v>
      </c>
      <c r="J95" s="10">
        <v>174.04704324258242</v>
      </c>
      <c r="K95" s="10">
        <v>167.97251957233448</v>
      </c>
      <c r="L95" s="10">
        <v>167.05785185185184</v>
      </c>
      <c r="M95" s="10">
        <v>2.8988950944342946</v>
      </c>
      <c r="N95" s="10">
        <v>3.1756285758136471</v>
      </c>
      <c r="O95" s="10">
        <v>4.0902962962962874</v>
      </c>
      <c r="P95" s="5">
        <v>0.20349120894411882</v>
      </c>
      <c r="Q95" s="5">
        <v>0.17468642875061852</v>
      </c>
      <c r="R95" s="5">
        <v>0.17016770859152358</v>
      </c>
    </row>
    <row r="96" spans="1:18">
      <c r="A96" t="s">
        <v>468</v>
      </c>
      <c r="B96" t="s">
        <v>58</v>
      </c>
      <c r="C96" s="10">
        <v>132.22</v>
      </c>
      <c r="D96" s="10">
        <v>99</v>
      </c>
      <c r="E96" s="10">
        <v>0.19</v>
      </c>
      <c r="F96" s="10">
        <v>125.09863276661947</v>
      </c>
      <c r="G96" s="10">
        <v>132.89743580586074</v>
      </c>
      <c r="H96" s="10">
        <v>132.12354999999999</v>
      </c>
      <c r="I96" s="10">
        <v>163.23456790123456</v>
      </c>
      <c r="J96" s="10">
        <v>154.44275650199933</v>
      </c>
      <c r="K96" s="10">
        <v>164.07090840229719</v>
      </c>
      <c r="L96" s="10">
        <v>163.11549382716046</v>
      </c>
      <c r="M96" s="10">
        <v>8.7918113992352289</v>
      </c>
      <c r="N96" s="10">
        <v>0.83634050106263658</v>
      </c>
      <c r="O96" s="10">
        <v>0.1190740740740921</v>
      </c>
      <c r="P96" s="5">
        <v>0.14388992404257978</v>
      </c>
      <c r="Q96" s="5">
        <v>0.19412892091875103</v>
      </c>
      <c r="R96" s="5">
        <v>0.18940870117401462</v>
      </c>
    </row>
    <row r="97" spans="1:18">
      <c r="A97" t="s">
        <v>470</v>
      </c>
      <c r="B97" t="s">
        <v>58</v>
      </c>
      <c r="C97" s="10">
        <v>81.48</v>
      </c>
      <c r="D97" s="10">
        <v>99</v>
      </c>
      <c r="E97" s="10">
        <v>0.19</v>
      </c>
      <c r="F97" s="10">
        <v>84.328337469267581</v>
      </c>
      <c r="G97" s="10">
        <v>84.823675869963367</v>
      </c>
      <c r="H97" s="10">
        <v>83.980490000000003</v>
      </c>
      <c r="I97" s="10">
        <v>100.5925925925926</v>
      </c>
      <c r="J97" s="10">
        <v>104.10905860403405</v>
      </c>
      <c r="K97" s="10">
        <v>104.72058749378193</v>
      </c>
      <c r="L97" s="10">
        <v>103.67961728395062</v>
      </c>
      <c r="M97" s="10">
        <v>3.5164660114414517</v>
      </c>
      <c r="N97" s="10">
        <v>4.1279949011893393</v>
      </c>
      <c r="O97" s="10">
        <v>3.0870246913580246</v>
      </c>
      <c r="P97" s="5">
        <v>0.21735917034943975</v>
      </c>
      <c r="Q97" s="5">
        <v>0.22192949877369531</v>
      </c>
      <c r="R97" s="5">
        <v>0.21411746942652987</v>
      </c>
    </row>
    <row r="98" spans="1:18">
      <c r="A98" t="s">
        <v>471</v>
      </c>
      <c r="B98" t="s">
        <v>58</v>
      </c>
      <c r="C98" s="10">
        <v>145.34</v>
      </c>
      <c r="D98" s="10">
        <v>99</v>
      </c>
      <c r="E98" s="10">
        <v>0.19</v>
      </c>
      <c r="F98" s="10">
        <v>127.63723042788888</v>
      </c>
      <c r="G98" s="10">
        <v>134.20612187118422</v>
      </c>
      <c r="H98" s="10">
        <v>133.73231999999999</v>
      </c>
      <c r="I98" s="10">
        <v>179.4320987654321</v>
      </c>
      <c r="J98" s="10">
        <v>157.57682768875171</v>
      </c>
      <c r="K98" s="10">
        <v>165.68657021133853</v>
      </c>
      <c r="L98" s="10">
        <v>165.1016296296296</v>
      </c>
      <c r="M98" s="10">
        <v>21.855271076680395</v>
      </c>
      <c r="N98" s="10">
        <v>13.745528554093568</v>
      </c>
      <c r="O98" s="10">
        <v>14.330469135802502</v>
      </c>
      <c r="P98" s="5">
        <v>7.7656263730109365E-2</v>
      </c>
      <c r="Q98" s="5">
        <v>0.12280156554261355</v>
      </c>
      <c r="R98" s="5">
        <v>0.11969372848687569</v>
      </c>
    </row>
    <row r="99" spans="1:18">
      <c r="A99" t="s">
        <v>472</v>
      </c>
      <c r="B99" t="s">
        <v>58</v>
      </c>
      <c r="C99" s="10">
        <v>136.87</v>
      </c>
      <c r="D99" s="10">
        <v>119</v>
      </c>
      <c r="E99" s="10">
        <v>0.19</v>
      </c>
      <c r="F99" s="10">
        <v>126.7707566419999</v>
      </c>
      <c r="G99" s="10">
        <v>136.23618218864473</v>
      </c>
      <c r="H99" s="10">
        <v>136.01051000000001</v>
      </c>
      <c r="I99" s="10">
        <v>168.97530864197529</v>
      </c>
      <c r="J99" s="10">
        <v>156.50710696543197</v>
      </c>
      <c r="K99" s="10">
        <v>168.19281751684534</v>
      </c>
      <c r="L99" s="10">
        <v>167.91420987654323</v>
      </c>
      <c r="M99" s="10">
        <v>12.468201676543316</v>
      </c>
      <c r="N99" s="10">
        <v>0.78249112512995112</v>
      </c>
      <c r="O99" s="10">
        <v>1.0610987654320638</v>
      </c>
      <c r="P99" s="5">
        <v>0.12547102394378329</v>
      </c>
      <c r="Q99" s="5">
        <v>0.18623160001293276</v>
      </c>
      <c r="R99" s="5">
        <v>0.18488137424085835</v>
      </c>
    </row>
    <row r="100" spans="1:18">
      <c r="A100" t="s">
        <v>473</v>
      </c>
      <c r="B100" t="s">
        <v>58</v>
      </c>
      <c r="C100" s="10">
        <v>91.05</v>
      </c>
      <c r="D100" s="10">
        <v>99</v>
      </c>
      <c r="E100" s="10">
        <v>0.19</v>
      </c>
      <c r="F100" s="10">
        <v>86.089674201223175</v>
      </c>
      <c r="G100" s="10">
        <v>85.126604791042283</v>
      </c>
      <c r="H100" s="10">
        <v>84.870710000000003</v>
      </c>
      <c r="I100" s="10">
        <v>112.40740740740739</v>
      </c>
      <c r="J100" s="10">
        <v>106.28354839657182</v>
      </c>
      <c r="K100" s="10">
        <v>105.09457381610157</v>
      </c>
      <c r="L100" s="10">
        <v>104.77865432098766</v>
      </c>
      <c r="M100" s="10">
        <v>6.1238590108355737</v>
      </c>
      <c r="N100" s="10">
        <v>7.312833591305818</v>
      </c>
      <c r="O100" s="10">
        <v>7.628753086419735</v>
      </c>
      <c r="P100" s="5">
        <v>0.14332931696758422</v>
      </c>
      <c r="Q100" s="5">
        <v>0.13363747818871502</v>
      </c>
      <c r="R100" s="5">
        <v>0.13102529718438791</v>
      </c>
    </row>
    <row r="101" spans="1:18">
      <c r="A101" t="s">
        <v>474</v>
      </c>
      <c r="B101" t="s">
        <v>58</v>
      </c>
      <c r="C101" s="10">
        <v>154.03</v>
      </c>
      <c r="D101" s="10">
        <v>60</v>
      </c>
      <c r="E101" s="10">
        <v>0.19</v>
      </c>
      <c r="F101" s="10">
        <v>153.08454826411597</v>
      </c>
      <c r="G101" s="10">
        <v>141.56768718087471</v>
      </c>
      <c r="H101" s="10">
        <v>150.15115</v>
      </c>
      <c r="I101" s="10">
        <v>190.16049382716048</v>
      </c>
      <c r="J101" s="10">
        <v>188.99326946187156</v>
      </c>
      <c r="K101" s="10">
        <v>174.77492244552434</v>
      </c>
      <c r="L101" s="10">
        <v>185.37179012345678</v>
      </c>
      <c r="M101" s="10">
        <v>1.1672243652889165</v>
      </c>
      <c r="N101" s="10">
        <v>15.38557138163614</v>
      </c>
      <c r="O101" s="10">
        <v>4.7887037037037032</v>
      </c>
      <c r="P101" s="5">
        <v>0.1849974317150232</v>
      </c>
      <c r="Q101" s="5">
        <v>0.11869507452930114</v>
      </c>
      <c r="R101" s="5">
        <v>0.16907529512760969</v>
      </c>
    </row>
    <row r="102" spans="1:18">
      <c r="A102" t="s">
        <v>475</v>
      </c>
      <c r="B102" t="s">
        <v>58</v>
      </c>
      <c r="C102" s="10">
        <v>96.27</v>
      </c>
      <c r="D102" s="10">
        <v>119</v>
      </c>
      <c r="E102" s="10">
        <v>0.19</v>
      </c>
      <c r="F102" s="10">
        <v>103.69621299850093</v>
      </c>
      <c r="G102" s="10">
        <v>97.294080870518258</v>
      </c>
      <c r="H102" s="10">
        <v>96.176630000000003</v>
      </c>
      <c r="I102" s="10">
        <v>119</v>
      </c>
      <c r="J102" s="10">
        <v>128.02001604753201</v>
      </c>
      <c r="K102" s="10">
        <v>120.11614922286203</v>
      </c>
      <c r="L102" s="10">
        <v>119</v>
      </c>
      <c r="M102" s="10">
        <v>9.0200160475320104</v>
      </c>
      <c r="N102" s="10">
        <v>1.1161492228620347</v>
      </c>
      <c r="O102" s="10">
        <v>0</v>
      </c>
      <c r="P102" s="5">
        <v>0.2480082179941587</v>
      </c>
      <c r="Q102" s="5">
        <v>0.19852575508908618</v>
      </c>
      <c r="R102" s="5">
        <v>0.19100840336134456</v>
      </c>
    </row>
    <row r="103" spans="1:18">
      <c r="A103" t="s">
        <v>476</v>
      </c>
      <c r="B103" t="s">
        <v>58</v>
      </c>
      <c r="C103" s="10">
        <v>91.93</v>
      </c>
      <c r="D103" s="10">
        <v>119</v>
      </c>
      <c r="E103" s="10">
        <v>0.19</v>
      </c>
      <c r="F103" s="10">
        <v>97.806683882259691</v>
      </c>
      <c r="G103" s="10">
        <v>92.317927031301977</v>
      </c>
      <c r="H103" s="10">
        <v>90.056309999999996</v>
      </c>
      <c r="I103" s="10">
        <v>119</v>
      </c>
      <c r="J103" s="10">
        <v>120.74899244723417</v>
      </c>
      <c r="K103" s="10">
        <v>119</v>
      </c>
      <c r="L103" s="10">
        <v>119</v>
      </c>
      <c r="M103" s="10">
        <v>1.7489924472341727</v>
      </c>
      <c r="N103" s="10">
        <v>0</v>
      </c>
      <c r="O103" s="10">
        <v>0</v>
      </c>
      <c r="P103" s="5">
        <v>0.23866859559782838</v>
      </c>
      <c r="Q103" s="5">
        <v>0.22747899159663859</v>
      </c>
      <c r="R103" s="5">
        <v>0.22747899159663859</v>
      </c>
    </row>
    <row r="104" spans="1:18">
      <c r="A104" t="s">
        <v>477</v>
      </c>
      <c r="B104" t="s">
        <v>58</v>
      </c>
      <c r="C104" s="10">
        <v>60.36</v>
      </c>
      <c r="D104" s="10">
        <v>50</v>
      </c>
      <c r="E104" s="10">
        <v>0.19</v>
      </c>
      <c r="F104" s="10">
        <v>65.187835623953873</v>
      </c>
      <c r="G104" s="10">
        <v>60.195536595692886</v>
      </c>
      <c r="H104" s="10">
        <v>61.428317999999997</v>
      </c>
      <c r="I104" s="10">
        <v>74.518518518518519</v>
      </c>
      <c r="J104" s="10">
        <v>80.478809412288726</v>
      </c>
      <c r="K104" s="10">
        <v>74.315477278633182</v>
      </c>
      <c r="L104" s="10">
        <v>75.837429629629625</v>
      </c>
      <c r="M104" s="10">
        <v>5.9602908937702068</v>
      </c>
      <c r="N104" s="10">
        <v>0.20304123988533718</v>
      </c>
      <c r="O104" s="10">
        <v>1.318911111111106</v>
      </c>
      <c r="P104" s="5">
        <v>0.24998890464719872</v>
      </c>
      <c r="Q104" s="5">
        <v>0.18778695622594879</v>
      </c>
      <c r="R104" s="5">
        <v>0.20408694895406379</v>
      </c>
    </row>
    <row r="105" spans="1:18">
      <c r="A105" t="s">
        <v>479</v>
      </c>
      <c r="B105" t="s">
        <v>58</v>
      </c>
      <c r="C105" s="10">
        <v>103.5</v>
      </c>
      <c r="D105" s="10">
        <v>119</v>
      </c>
      <c r="E105" s="10">
        <v>0.19</v>
      </c>
      <c r="F105" s="10">
        <v>101.0595740101945</v>
      </c>
      <c r="G105" s="10">
        <v>99.126103021977997</v>
      </c>
      <c r="H105" s="10">
        <v>100.76288</v>
      </c>
      <c r="I105" s="10">
        <v>127.77777777777777</v>
      </c>
      <c r="J105" s="10">
        <v>124.76490618542529</v>
      </c>
      <c r="K105" s="10">
        <v>122.37790496540492</v>
      </c>
      <c r="L105" s="10">
        <v>124.3986172839506</v>
      </c>
      <c r="M105" s="10">
        <v>3.0128715923524823</v>
      </c>
      <c r="N105" s="10">
        <v>5.3998728123728483</v>
      </c>
      <c r="O105" s="10">
        <v>3.3791604938271718</v>
      </c>
      <c r="P105" s="5">
        <v>0.17043980423326283</v>
      </c>
      <c r="Q105" s="5">
        <v>0.15425909579626754</v>
      </c>
      <c r="R105" s="5">
        <v>0.16799718308964559</v>
      </c>
    </row>
    <row r="106" spans="1:18">
      <c r="A106" t="s">
        <v>480</v>
      </c>
      <c r="B106" t="s">
        <v>58</v>
      </c>
      <c r="C106" s="10">
        <v>102.39</v>
      </c>
      <c r="D106" s="10">
        <v>119</v>
      </c>
      <c r="E106" s="10">
        <v>0.19</v>
      </c>
      <c r="F106" s="10">
        <v>112.966785680802</v>
      </c>
      <c r="G106" s="10">
        <v>106.87418163919416</v>
      </c>
      <c r="H106" s="10">
        <v>106.176384</v>
      </c>
      <c r="I106" s="10">
        <v>126.4074074074074</v>
      </c>
      <c r="J106" s="10">
        <v>139.46516750716296</v>
      </c>
      <c r="K106" s="10">
        <v>131.94343412246192</v>
      </c>
      <c r="L106" s="10">
        <v>131.08195555555554</v>
      </c>
      <c r="M106" s="10">
        <v>13.057760099755555</v>
      </c>
      <c r="N106" s="10">
        <v>5.5360267150545184</v>
      </c>
      <c r="O106" s="10">
        <v>4.6745481481481335</v>
      </c>
      <c r="P106" s="5">
        <v>0.26583818863056807</v>
      </c>
      <c r="Q106" s="5">
        <v>0.22398563686793396</v>
      </c>
      <c r="R106" s="5">
        <v>0.21888562337930051</v>
      </c>
    </row>
    <row r="107" spans="1:18">
      <c r="A107" t="s">
        <v>482</v>
      </c>
      <c r="B107" t="s">
        <v>58</v>
      </c>
      <c r="C107" s="10">
        <v>62.11</v>
      </c>
      <c r="D107" s="10">
        <v>50</v>
      </c>
      <c r="E107" s="10">
        <v>0.19</v>
      </c>
      <c r="F107" s="10">
        <v>57.393318115969628</v>
      </c>
      <c r="G107" s="10">
        <v>58.278106670465107</v>
      </c>
      <c r="H107" s="10">
        <v>55.922029999999999</v>
      </c>
      <c r="I107" s="10">
        <v>76.679012345679013</v>
      </c>
      <c r="J107" s="10">
        <v>70.85594829132053</v>
      </c>
      <c r="K107" s="10">
        <v>71.948279840080374</v>
      </c>
      <c r="L107" s="10">
        <v>69.039543209876541</v>
      </c>
      <c r="M107" s="10">
        <v>5.8230640543584826</v>
      </c>
      <c r="N107" s="10">
        <v>4.7307325055986382</v>
      </c>
      <c r="O107" s="10">
        <v>7.6394691358024716</v>
      </c>
      <c r="P107" s="5">
        <v>0.12343280278124316</v>
      </c>
      <c r="Q107" s="5">
        <v>0.13674100147978444</v>
      </c>
      <c r="R107" s="5">
        <v>0.10037064105147826</v>
      </c>
    </row>
    <row r="108" spans="1:18">
      <c r="A108" t="s">
        <v>483</v>
      </c>
      <c r="B108" t="s">
        <v>58</v>
      </c>
      <c r="C108" s="10">
        <v>94.34</v>
      </c>
      <c r="D108" s="10">
        <v>99</v>
      </c>
      <c r="E108" s="10">
        <v>0.19</v>
      </c>
      <c r="F108" s="10">
        <v>93.305020165238233</v>
      </c>
      <c r="G108" s="10">
        <v>89.867112239149733</v>
      </c>
      <c r="H108" s="10">
        <v>90.618709999999993</v>
      </c>
      <c r="I108" s="10">
        <v>116.46913580246913</v>
      </c>
      <c r="J108" s="10">
        <v>115.19138292004719</v>
      </c>
      <c r="K108" s="10">
        <v>110.94705214709843</v>
      </c>
      <c r="L108" s="10">
        <v>111.87495061728393</v>
      </c>
      <c r="M108" s="10">
        <v>1.277752882421936</v>
      </c>
      <c r="N108" s="10">
        <v>5.5220836553706931</v>
      </c>
      <c r="O108" s="10">
        <v>4.5941851851851965</v>
      </c>
      <c r="P108" s="5">
        <v>0.1810151279676871</v>
      </c>
      <c r="Q108" s="5">
        <v>0.14968448305485463</v>
      </c>
      <c r="R108" s="5">
        <v>0.1567370579431111</v>
      </c>
    </row>
    <row r="109" spans="1:18">
      <c r="A109" t="s">
        <v>484</v>
      </c>
      <c r="B109" t="s">
        <v>58</v>
      </c>
      <c r="C109" s="10">
        <v>100.03</v>
      </c>
      <c r="D109" s="10">
        <v>119</v>
      </c>
      <c r="E109" s="10">
        <v>0.19</v>
      </c>
      <c r="F109" s="10">
        <v>109.60479222310427</v>
      </c>
      <c r="G109" s="10">
        <v>100.83867226245977</v>
      </c>
      <c r="H109" s="10">
        <v>100.031654</v>
      </c>
      <c r="I109" s="10">
        <v>123.49382716049382</v>
      </c>
      <c r="J109" s="10">
        <v>135.31455830012871</v>
      </c>
      <c r="K109" s="10">
        <v>124.49218797834538</v>
      </c>
      <c r="L109" s="10">
        <v>123.49586913580247</v>
      </c>
      <c r="M109" s="10">
        <v>11.820731139634887</v>
      </c>
      <c r="N109" s="10">
        <v>0.99836081785156239</v>
      </c>
      <c r="O109" s="10">
        <v>2.0419753086429182E-3</v>
      </c>
      <c r="P109" s="5">
        <v>0.26075951282246579</v>
      </c>
      <c r="Q109" s="5">
        <v>0.196495767128781</v>
      </c>
      <c r="R109" s="5">
        <v>0.19001339316052893</v>
      </c>
    </row>
    <row r="110" spans="1:18">
      <c r="A110" t="s">
        <v>485</v>
      </c>
      <c r="B110" t="s">
        <v>58</v>
      </c>
      <c r="C110" s="10">
        <v>141.66</v>
      </c>
      <c r="D110" s="10">
        <v>119</v>
      </c>
      <c r="E110" s="10">
        <v>0.19</v>
      </c>
      <c r="F110" s="10">
        <v>144.63876141553351</v>
      </c>
      <c r="G110" s="10">
        <v>136.30075863858369</v>
      </c>
      <c r="H110" s="10">
        <v>137.8768</v>
      </c>
      <c r="I110" s="10">
        <v>174.88888888888889</v>
      </c>
      <c r="J110" s="10">
        <v>178.56637211794259</v>
      </c>
      <c r="K110" s="10">
        <v>168.27254152911564</v>
      </c>
      <c r="L110" s="10">
        <v>170.21827160493825</v>
      </c>
      <c r="M110" s="10">
        <v>3.6774832290537063</v>
      </c>
      <c r="N110" s="10">
        <v>6.6163473597732434</v>
      </c>
      <c r="O110" s="10">
        <v>4.6706172839506337</v>
      </c>
      <c r="P110" s="5">
        <v>0.20668153628369645</v>
      </c>
      <c r="Q110" s="5">
        <v>0.15815142082768724</v>
      </c>
      <c r="R110" s="5">
        <v>0.16777441890151201</v>
      </c>
    </row>
    <row r="111" spans="1:18">
      <c r="A111" t="s">
        <v>486</v>
      </c>
      <c r="B111" t="s">
        <v>58</v>
      </c>
      <c r="C111" s="10">
        <v>65.34</v>
      </c>
      <c r="D111" s="10">
        <v>50</v>
      </c>
      <c r="E111" s="10">
        <v>0.19</v>
      </c>
      <c r="F111" s="10">
        <v>70.010550606592375</v>
      </c>
      <c r="G111" s="10">
        <v>67.887219153972154</v>
      </c>
      <c r="H111" s="10">
        <v>69.382300000000001</v>
      </c>
      <c r="I111" s="10">
        <v>80.666666666666671</v>
      </c>
      <c r="J111" s="10">
        <v>86.432778526657245</v>
      </c>
      <c r="K111" s="10">
        <v>83.811381671570558</v>
      </c>
      <c r="L111" s="10">
        <v>85.657160493827149</v>
      </c>
      <c r="M111" s="10">
        <v>5.7661118599905734</v>
      </c>
      <c r="N111" s="10">
        <v>3.1447150049038868</v>
      </c>
      <c r="O111" s="10">
        <v>4.9904938271604777</v>
      </c>
      <c r="P111" s="5">
        <v>0.24403679814772924</v>
      </c>
      <c r="Q111" s="5">
        <v>0.22039228208829523</v>
      </c>
      <c r="R111" s="5">
        <v>0.23719161803514716</v>
      </c>
    </row>
    <row r="112" spans="1:18">
      <c r="A112" t="s">
        <v>487</v>
      </c>
      <c r="B112" t="s">
        <v>58</v>
      </c>
      <c r="C112" s="10">
        <v>102.16</v>
      </c>
      <c r="D112" s="10">
        <v>119</v>
      </c>
      <c r="E112" s="10">
        <v>0.19</v>
      </c>
      <c r="F112" s="10">
        <v>98.455515004621049</v>
      </c>
      <c r="G112" s="10">
        <v>96.753796703296686</v>
      </c>
      <c r="H112" s="10">
        <v>97.089910000000003</v>
      </c>
      <c r="I112" s="10">
        <v>126.12345679012344</v>
      </c>
      <c r="J112" s="10">
        <v>121.5500185242235</v>
      </c>
      <c r="K112" s="10">
        <v>119.44913173246503</v>
      </c>
      <c r="L112" s="10">
        <v>119.86408641975308</v>
      </c>
      <c r="M112" s="10">
        <v>4.573438265899938</v>
      </c>
      <c r="N112" s="10">
        <v>6.6743250576584074</v>
      </c>
      <c r="O112" s="10">
        <v>6.2593703703703625</v>
      </c>
      <c r="P112" s="5">
        <v>0.15952295819979082</v>
      </c>
      <c r="Q112" s="5">
        <v>0.14474053918774557</v>
      </c>
      <c r="R112" s="5">
        <v>0.14770134198291046</v>
      </c>
    </row>
    <row r="113" spans="1:18">
      <c r="A113" t="s">
        <v>489</v>
      </c>
      <c r="B113" t="s">
        <v>58</v>
      </c>
      <c r="C113" s="10">
        <v>90.34</v>
      </c>
      <c r="D113" s="10">
        <v>99</v>
      </c>
      <c r="E113" s="10">
        <v>0.19</v>
      </c>
      <c r="F113" s="10">
        <v>89.536395164976454</v>
      </c>
      <c r="G113" s="10">
        <v>87.724892747530291</v>
      </c>
      <c r="H113" s="10">
        <v>86.845269999999999</v>
      </c>
      <c r="I113" s="10">
        <v>111.53086419753086</v>
      </c>
      <c r="J113" s="10">
        <v>110.53875946293388</v>
      </c>
      <c r="K113" s="10">
        <v>108.30233672534602</v>
      </c>
      <c r="L113" s="10">
        <v>107.21638271604938</v>
      </c>
      <c r="M113" s="10">
        <v>0.99210473459697823</v>
      </c>
      <c r="N113" s="10">
        <v>3.2285274721848367</v>
      </c>
      <c r="O113" s="10">
        <v>4.3144814814814794</v>
      </c>
      <c r="P113" s="5">
        <v>0.18273010807315035</v>
      </c>
      <c r="Q113" s="5">
        <v>0.16585363962089186</v>
      </c>
      <c r="R113" s="5">
        <v>0.1574048880267169</v>
      </c>
    </row>
    <row r="114" spans="1:18">
      <c r="A114" t="s">
        <v>490</v>
      </c>
      <c r="B114" t="s">
        <v>58</v>
      </c>
      <c r="C114" s="10">
        <v>61.86</v>
      </c>
      <c r="D114" s="10">
        <v>50</v>
      </c>
      <c r="E114" s="10">
        <v>0.19</v>
      </c>
      <c r="F114" s="10">
        <v>53.786340654742013</v>
      </c>
      <c r="G114" s="10">
        <v>57.167912959802443</v>
      </c>
      <c r="H114" s="10">
        <v>58.082839999999997</v>
      </c>
      <c r="I114" s="10">
        <v>76.370370370370367</v>
      </c>
      <c r="J114" s="10">
        <v>66.402889697212359</v>
      </c>
      <c r="K114" s="10">
        <v>70.577670320743749</v>
      </c>
      <c r="L114" s="10">
        <v>71.707209876543203</v>
      </c>
      <c r="M114" s="10">
        <v>9.9674806731580077</v>
      </c>
      <c r="N114" s="10">
        <v>5.7927000496266174</v>
      </c>
      <c r="O114" s="10">
        <v>4.6631604938271636</v>
      </c>
      <c r="P114" s="5">
        <v>6.8414036165101916E-2</v>
      </c>
      <c r="Q114" s="5">
        <v>0.12351881666150018</v>
      </c>
      <c r="R114" s="5">
        <v>0.13732524098339538</v>
      </c>
    </row>
    <row r="115" spans="1:18">
      <c r="A115" t="s">
        <v>491</v>
      </c>
      <c r="B115" t="s">
        <v>58</v>
      </c>
      <c r="C115" s="10">
        <v>92.66</v>
      </c>
      <c r="D115" s="10">
        <v>99</v>
      </c>
      <c r="E115" s="10">
        <v>0.19</v>
      </c>
      <c r="F115" s="10">
        <v>95.033698198439481</v>
      </c>
      <c r="G115" s="10">
        <v>91.21287562190227</v>
      </c>
      <c r="H115" s="10">
        <v>94.665580000000006</v>
      </c>
      <c r="I115" s="10">
        <v>114.39506172839505</v>
      </c>
      <c r="J115" s="10">
        <v>117.32555333140675</v>
      </c>
      <c r="K115" s="10">
        <v>112.60848842210156</v>
      </c>
      <c r="L115" s="10">
        <v>116.87108641975308</v>
      </c>
      <c r="M115" s="10">
        <v>2.9304916030117028</v>
      </c>
      <c r="N115" s="10">
        <v>1.7865733062934908</v>
      </c>
      <c r="O115" s="10">
        <v>2.4760246913580346</v>
      </c>
      <c r="P115" s="5">
        <v>0.21023172387463235</v>
      </c>
      <c r="Q115" s="5">
        <v>0.17714906488511475</v>
      </c>
      <c r="R115" s="5">
        <v>0.20716061740708716</v>
      </c>
    </row>
    <row r="116" spans="1:18">
      <c r="A116" t="s">
        <v>492</v>
      </c>
      <c r="B116" t="s">
        <v>58</v>
      </c>
      <c r="C116" s="10">
        <v>86.37</v>
      </c>
      <c r="D116" s="10">
        <v>99</v>
      </c>
      <c r="E116" s="10">
        <v>0.19</v>
      </c>
      <c r="F116" s="10">
        <v>91.638734352788347</v>
      </c>
      <c r="G116" s="10">
        <v>89.418225753413282</v>
      </c>
      <c r="H116" s="10">
        <v>91.288589999999999</v>
      </c>
      <c r="I116" s="10">
        <v>106.62962962962963</v>
      </c>
      <c r="J116" s="10">
        <v>113.134239941714</v>
      </c>
      <c r="K116" s="10">
        <v>110.39287130051022</v>
      </c>
      <c r="L116" s="10">
        <v>112.70196296296295</v>
      </c>
      <c r="M116" s="10">
        <v>6.5046103120843668</v>
      </c>
      <c r="N116" s="10">
        <v>3.7632416708805891</v>
      </c>
      <c r="O116" s="10">
        <v>6.0723333333333187</v>
      </c>
      <c r="P116" s="5">
        <v>0.23657064347188572</v>
      </c>
      <c r="Q116" s="5">
        <v>0.21761252350358232</v>
      </c>
      <c r="R116" s="5">
        <v>0.23364245192088068</v>
      </c>
    </row>
    <row r="117" spans="1:18">
      <c r="A117" t="s">
        <v>493</v>
      </c>
      <c r="B117" t="s">
        <v>58</v>
      </c>
      <c r="C117" s="10">
        <v>57.71</v>
      </c>
      <c r="D117" s="10">
        <v>50</v>
      </c>
      <c r="E117" s="10">
        <v>0.19</v>
      </c>
      <c r="F117" s="10">
        <v>59.972154842779787</v>
      </c>
      <c r="G117" s="10">
        <v>59.415340087538951</v>
      </c>
      <c r="H117" s="10">
        <v>56.607509999999998</v>
      </c>
      <c r="I117" s="10">
        <v>71.246913580246911</v>
      </c>
      <c r="J117" s="10">
        <v>74.039697336765158</v>
      </c>
      <c r="K117" s="10">
        <v>73.352271713011049</v>
      </c>
      <c r="L117" s="10">
        <v>69.885814814814808</v>
      </c>
      <c r="M117" s="10">
        <v>2.7927837565182472</v>
      </c>
      <c r="N117" s="10">
        <v>2.1053581327641382</v>
      </c>
      <c r="O117" s="10">
        <v>1.3610987654321036</v>
      </c>
      <c r="P117" s="5">
        <v>0.22055326972084313</v>
      </c>
      <c r="Q117" s="5">
        <v>0.21324863358303409</v>
      </c>
      <c r="R117" s="5">
        <v>0.17422440944673231</v>
      </c>
    </row>
    <row r="118" spans="1:18">
      <c r="A118" t="s">
        <v>495</v>
      </c>
      <c r="B118" t="s">
        <v>58</v>
      </c>
      <c r="C118" s="10">
        <v>81.72</v>
      </c>
      <c r="D118" s="10">
        <v>99</v>
      </c>
      <c r="E118" s="10">
        <v>0.19</v>
      </c>
      <c r="F118" s="10">
        <v>81.344430020223996</v>
      </c>
      <c r="G118" s="10">
        <v>83.015365144524282</v>
      </c>
      <c r="H118" s="10">
        <v>82.037925999999999</v>
      </c>
      <c r="I118" s="10">
        <v>100.88888888888889</v>
      </c>
      <c r="J118" s="10">
        <v>100.42522224719011</v>
      </c>
      <c r="K118" s="10">
        <v>102.48810511669663</v>
      </c>
      <c r="L118" s="10">
        <v>101.28139012345679</v>
      </c>
      <c r="M118" s="10">
        <v>0.46366664169877936</v>
      </c>
      <c r="N118" s="10">
        <v>1.5992162278077444</v>
      </c>
      <c r="O118" s="10">
        <v>0.3925012345679022</v>
      </c>
      <c r="P118" s="5">
        <v>0.18626020265256102</v>
      </c>
      <c r="Q118" s="5">
        <v>0.20263917547357641</v>
      </c>
      <c r="R118" s="5">
        <v>0.19313903669383353</v>
      </c>
    </row>
    <row r="119" spans="1:18">
      <c r="A119" t="s">
        <v>496</v>
      </c>
      <c r="B119" t="s">
        <v>58</v>
      </c>
      <c r="C119" s="10">
        <v>90.51</v>
      </c>
      <c r="D119" s="10">
        <v>50</v>
      </c>
      <c r="E119" s="10">
        <v>0.19</v>
      </c>
      <c r="F119" s="10">
        <v>90.671346898229174</v>
      </c>
      <c r="G119" s="10">
        <v>81.555002409303782</v>
      </c>
      <c r="H119" s="10">
        <v>88.458870000000005</v>
      </c>
      <c r="I119" s="10">
        <v>111.74074074074073</v>
      </c>
      <c r="J119" s="10">
        <v>111.93993444225823</v>
      </c>
      <c r="K119" s="10">
        <v>100.68518815963429</v>
      </c>
      <c r="L119" s="10">
        <v>109.20848148148148</v>
      </c>
      <c r="M119" s="10">
        <v>0.19919370151750115</v>
      </c>
      <c r="N119" s="10">
        <v>11.05555258110644</v>
      </c>
      <c r="O119" s="10">
        <v>2.5322592592592486</v>
      </c>
      <c r="P119" s="5">
        <v>0.191441370311972</v>
      </c>
      <c r="Q119" s="5">
        <v>0.10105943431820118</v>
      </c>
      <c r="R119" s="5">
        <v>0.17121821700865045</v>
      </c>
    </row>
    <row r="120" spans="1:18">
      <c r="A120" t="s">
        <v>497</v>
      </c>
      <c r="B120" t="s">
        <v>58</v>
      </c>
      <c r="C120" s="10">
        <v>108.25</v>
      </c>
      <c r="D120" s="10">
        <v>119</v>
      </c>
      <c r="E120" s="10">
        <v>0.19</v>
      </c>
      <c r="F120" s="10">
        <v>105.70330101332904</v>
      </c>
      <c r="G120" s="10">
        <v>101.11827252747253</v>
      </c>
      <c r="H120" s="10">
        <v>101.48711400000001</v>
      </c>
      <c r="I120" s="10">
        <v>133.64197530864197</v>
      </c>
      <c r="J120" s="10">
        <v>130.4979024855914</v>
      </c>
      <c r="K120" s="10">
        <v>124.83737349070681</v>
      </c>
      <c r="L120" s="10">
        <v>125.29273333333333</v>
      </c>
      <c r="M120" s="10">
        <v>3.1440728230505783</v>
      </c>
      <c r="N120" s="10">
        <v>8.8046018179351648</v>
      </c>
      <c r="O120" s="10">
        <v>8.3492419753086438</v>
      </c>
      <c r="P120" s="5">
        <v>0.17048475156945794</v>
      </c>
      <c r="Q120" s="5">
        <v>0.13287185581440972</v>
      </c>
      <c r="R120" s="5">
        <v>0.13602331819190364</v>
      </c>
    </row>
    <row r="121" spans="1:18">
      <c r="A121" t="s">
        <v>498</v>
      </c>
      <c r="B121" t="s">
        <v>58</v>
      </c>
      <c r="C121" s="10">
        <v>82.95</v>
      </c>
      <c r="D121" s="10">
        <v>99</v>
      </c>
      <c r="E121" s="10">
        <v>0.19</v>
      </c>
      <c r="F121" s="10">
        <v>92.800038985982724</v>
      </c>
      <c r="G121" s="10">
        <v>88.274511920024437</v>
      </c>
      <c r="H121" s="10">
        <v>88.635149999999996</v>
      </c>
      <c r="I121" s="10">
        <v>102.4074074074074</v>
      </c>
      <c r="J121" s="10">
        <v>114.56794936541077</v>
      </c>
      <c r="K121" s="10">
        <v>108.98087891361041</v>
      </c>
      <c r="L121" s="10">
        <v>109.4261111111111</v>
      </c>
      <c r="M121" s="10">
        <v>12.160541958003364</v>
      </c>
      <c r="N121" s="10">
        <v>6.5734715062030062</v>
      </c>
      <c r="O121" s="10">
        <v>7.018703703703693</v>
      </c>
      <c r="P121" s="5">
        <v>0.27597551968540818</v>
      </c>
      <c r="Q121" s="5">
        <v>0.23885730389681656</v>
      </c>
      <c r="R121" s="5">
        <v>0.24195423598876958</v>
      </c>
    </row>
    <row r="122" spans="1:18">
      <c r="A122" t="s">
        <v>499</v>
      </c>
      <c r="B122" t="s">
        <v>58</v>
      </c>
      <c r="C122" s="10">
        <v>54.8</v>
      </c>
      <c r="D122" s="10">
        <v>50</v>
      </c>
      <c r="E122" s="10">
        <v>0.19</v>
      </c>
      <c r="F122" s="10">
        <v>63.312864455034045</v>
      </c>
      <c r="G122" s="10">
        <v>63.185451547544055</v>
      </c>
      <c r="H122" s="10">
        <v>63.820113999999997</v>
      </c>
      <c r="I122" s="10">
        <v>67.654320987654316</v>
      </c>
      <c r="J122" s="10">
        <v>78.164030191400045</v>
      </c>
      <c r="K122" s="10">
        <v>78.006730305609935</v>
      </c>
      <c r="L122" s="10">
        <v>78.79026419753086</v>
      </c>
      <c r="M122" s="10">
        <v>10.509709203745729</v>
      </c>
      <c r="N122" s="10">
        <v>10.352409317955619</v>
      </c>
      <c r="O122" s="10">
        <v>11.135943209876544</v>
      </c>
      <c r="P122" s="5">
        <v>0.29891025493681189</v>
      </c>
      <c r="Q122" s="5">
        <v>0.29749651363019636</v>
      </c>
      <c r="R122" s="5">
        <v>0.304482596192166</v>
      </c>
    </row>
    <row r="123" spans="1:18">
      <c r="A123" t="s">
        <v>500</v>
      </c>
      <c r="B123" t="s">
        <v>58</v>
      </c>
      <c r="C123" s="10">
        <v>169.96</v>
      </c>
      <c r="D123" s="10">
        <v>50</v>
      </c>
      <c r="E123" s="10">
        <v>0.19</v>
      </c>
      <c r="F123" s="10">
        <v>153.10865450427758</v>
      </c>
      <c r="G123" s="10">
        <v>154.33862869352868</v>
      </c>
      <c r="H123" s="10">
        <v>168.13247999999999</v>
      </c>
      <c r="I123" s="10">
        <v>209.82716049382717</v>
      </c>
      <c r="J123" s="10">
        <v>189.02303025219453</v>
      </c>
      <c r="K123" s="10">
        <v>190.54151690559095</v>
      </c>
      <c r="L123" s="10">
        <v>207.57096296296294</v>
      </c>
      <c r="M123" s="10">
        <v>20.804130241632635</v>
      </c>
      <c r="N123" s="10">
        <v>19.285643588236212</v>
      </c>
      <c r="O123" s="10">
        <v>2.2561975308642275</v>
      </c>
      <c r="P123" s="5">
        <v>0.10085030499596069</v>
      </c>
      <c r="Q123" s="5">
        <v>0.10801591820951349</v>
      </c>
      <c r="R123" s="5">
        <v>0.18119568568785743</v>
      </c>
    </row>
    <row r="124" spans="1:18">
      <c r="A124" t="s">
        <v>502</v>
      </c>
      <c r="B124" t="s">
        <v>58</v>
      </c>
      <c r="C124" s="10">
        <v>112.75</v>
      </c>
      <c r="D124" s="10">
        <v>50</v>
      </c>
      <c r="E124" s="10">
        <v>0.19</v>
      </c>
      <c r="F124" s="10">
        <v>111.72995927515768</v>
      </c>
      <c r="G124" s="10">
        <v>108.46628324175825</v>
      </c>
      <c r="H124" s="10">
        <v>106.529015</v>
      </c>
      <c r="I124" s="10">
        <v>139.19753086419752</v>
      </c>
      <c r="J124" s="10">
        <v>137.93822132735517</v>
      </c>
      <c r="K124" s="10">
        <v>133.90899165649165</v>
      </c>
      <c r="L124" s="10">
        <v>131.51730246913579</v>
      </c>
      <c r="M124" s="10">
        <v>1.2593095368423519</v>
      </c>
      <c r="N124" s="10">
        <v>5.2885392077058668</v>
      </c>
      <c r="O124" s="10">
        <v>7.6802283950617323</v>
      </c>
      <c r="P124" s="5">
        <v>0.18260509005389047</v>
      </c>
      <c r="Q124" s="5">
        <v>0.15801023810835263</v>
      </c>
      <c r="R124" s="5">
        <v>0.14269835312003953</v>
      </c>
    </row>
    <row r="125" spans="1:18">
      <c r="A125" t="s">
        <v>503</v>
      </c>
      <c r="B125" t="s">
        <v>58</v>
      </c>
      <c r="C125" s="10">
        <v>79.08</v>
      </c>
      <c r="D125" s="10">
        <v>50</v>
      </c>
      <c r="E125" s="10">
        <v>0.19</v>
      </c>
      <c r="F125" s="10">
        <v>86.760758825291077</v>
      </c>
      <c r="G125" s="10">
        <v>79.264973484062352</v>
      </c>
      <c r="H125" s="10">
        <v>85.501869999999997</v>
      </c>
      <c r="I125" s="10">
        <v>97.629629629629619</v>
      </c>
      <c r="J125" s="10">
        <v>107.11204793245811</v>
      </c>
      <c r="K125" s="10">
        <v>97.857991955632528</v>
      </c>
      <c r="L125" s="10">
        <v>105.55786419753085</v>
      </c>
      <c r="M125" s="10">
        <v>9.4824183028284921</v>
      </c>
      <c r="N125" s="10">
        <v>0.22836232600290884</v>
      </c>
      <c r="O125" s="10">
        <v>7.928234567901228</v>
      </c>
      <c r="P125" s="5">
        <v>0.26170770210774369</v>
      </c>
      <c r="Q125" s="5">
        <v>0.19189022358180222</v>
      </c>
      <c r="R125" s="5">
        <v>0.25083743782445916</v>
      </c>
    </row>
    <row r="126" spans="1:18">
      <c r="A126" t="s">
        <v>504</v>
      </c>
      <c r="B126" t="s">
        <v>58</v>
      </c>
      <c r="C126" s="10">
        <v>95.18</v>
      </c>
      <c r="D126" s="10">
        <v>99</v>
      </c>
      <c r="E126" s="10">
        <v>0.19</v>
      </c>
      <c r="F126" s="10">
        <v>92.231314033378609</v>
      </c>
      <c r="G126" s="10">
        <v>84.845099023199069</v>
      </c>
      <c r="H126" s="10">
        <v>84.610810000000001</v>
      </c>
      <c r="I126" s="10">
        <v>117.50617283950618</v>
      </c>
      <c r="J126" s="10">
        <v>113.86581979429457</v>
      </c>
      <c r="K126" s="10">
        <v>104.74703583110995</v>
      </c>
      <c r="L126" s="10">
        <v>104.45779012345679</v>
      </c>
      <c r="M126" s="10">
        <v>3.6403530452116115</v>
      </c>
      <c r="N126" s="10">
        <v>12.759137008396223</v>
      </c>
      <c r="O126" s="10">
        <v>13.048382716049389</v>
      </c>
      <c r="P126" s="5">
        <v>0.16410385336048705</v>
      </c>
      <c r="Q126" s="5">
        <v>9.1334668854357509E-2</v>
      </c>
      <c r="R126" s="5">
        <v>8.8818556399590007E-2</v>
      </c>
    </row>
    <row r="127" spans="1:18">
      <c r="A127" t="s">
        <v>505</v>
      </c>
      <c r="B127" t="s">
        <v>58</v>
      </c>
      <c r="C127" s="10">
        <v>90.23</v>
      </c>
      <c r="D127" s="10">
        <v>119</v>
      </c>
      <c r="E127" s="10">
        <v>0.19</v>
      </c>
      <c r="F127" s="10">
        <v>92.420901777760562</v>
      </c>
      <c r="G127" s="10">
        <v>90.914252550227573</v>
      </c>
      <c r="H127" s="10">
        <v>92.259510000000006</v>
      </c>
      <c r="I127" s="10">
        <v>119</v>
      </c>
      <c r="J127" s="10">
        <v>119</v>
      </c>
      <c r="K127" s="10">
        <v>119</v>
      </c>
      <c r="L127" s="10">
        <v>119</v>
      </c>
      <c r="M127" s="10">
        <v>0</v>
      </c>
      <c r="N127" s="10">
        <v>0</v>
      </c>
      <c r="O127" s="10">
        <v>0</v>
      </c>
      <c r="P127" s="5">
        <v>0.24176470588235291</v>
      </c>
      <c r="Q127" s="5">
        <v>0.24176470588235291</v>
      </c>
      <c r="R127" s="5">
        <v>0.24176470588235291</v>
      </c>
    </row>
    <row r="128" spans="1:18">
      <c r="A128" t="s">
        <v>506</v>
      </c>
      <c r="B128" t="s">
        <v>58</v>
      </c>
      <c r="C128" s="10">
        <v>100.19</v>
      </c>
      <c r="D128" s="10">
        <v>99</v>
      </c>
      <c r="E128" s="10">
        <v>0.19</v>
      </c>
      <c r="F128" s="10">
        <v>95.485814245320768</v>
      </c>
      <c r="G128" s="10">
        <v>93.605080069930082</v>
      </c>
      <c r="H128" s="10">
        <v>94.397620000000003</v>
      </c>
      <c r="I128" s="10">
        <v>123.69135802469135</v>
      </c>
      <c r="J128" s="10">
        <v>117.88372129051946</v>
      </c>
      <c r="K128" s="10">
        <v>115.56182724682725</v>
      </c>
      <c r="L128" s="10">
        <v>116.54027160493827</v>
      </c>
      <c r="M128" s="10">
        <v>5.8076367341718935</v>
      </c>
      <c r="N128" s="10">
        <v>8.1295307778641046</v>
      </c>
      <c r="O128" s="10">
        <v>7.151086419753085</v>
      </c>
      <c r="P128" s="5">
        <v>0.15009469583093693</v>
      </c>
      <c r="Q128" s="5">
        <v>0.13301820863384872</v>
      </c>
      <c r="R128" s="5">
        <v>0.14029718122130622</v>
      </c>
    </row>
    <row r="129" spans="1:18">
      <c r="A129" t="s">
        <v>507</v>
      </c>
      <c r="B129" t="s">
        <v>58</v>
      </c>
      <c r="C129" s="10">
        <v>86.39</v>
      </c>
      <c r="D129" s="10">
        <v>119</v>
      </c>
      <c r="E129" s="10">
        <v>0.19</v>
      </c>
      <c r="F129" s="10">
        <v>96.997526264237706</v>
      </c>
      <c r="G129" s="10">
        <v>95.463858791208764</v>
      </c>
      <c r="H129" s="10">
        <v>95.865290000000002</v>
      </c>
      <c r="I129" s="10">
        <v>119</v>
      </c>
      <c r="J129" s="10">
        <v>119.75003242498481</v>
      </c>
      <c r="K129" s="10">
        <v>119</v>
      </c>
      <c r="L129" s="10">
        <v>119</v>
      </c>
      <c r="M129" s="10">
        <v>0.75003242498480915</v>
      </c>
      <c r="N129" s="10">
        <v>0</v>
      </c>
      <c r="O129" s="10">
        <v>0</v>
      </c>
      <c r="P129" s="5">
        <v>0.27858057112329038</v>
      </c>
      <c r="Q129" s="5">
        <v>0.27403361344537813</v>
      </c>
      <c r="R129" s="5">
        <v>0.27403361344537813</v>
      </c>
    </row>
    <row r="130" spans="1:18">
      <c r="A130" t="s">
        <v>508</v>
      </c>
      <c r="B130" t="s">
        <v>58</v>
      </c>
      <c r="C130" s="10">
        <v>185.14</v>
      </c>
      <c r="D130" s="10">
        <v>139</v>
      </c>
      <c r="E130" s="10">
        <v>0.19</v>
      </c>
      <c r="F130" s="10">
        <v>177.02625970351454</v>
      </c>
      <c r="G130" s="10">
        <v>162.02236486568981</v>
      </c>
      <c r="H130" s="10">
        <v>177.96736000000001</v>
      </c>
      <c r="I130" s="10">
        <v>228.56790123456787</v>
      </c>
      <c r="J130" s="10">
        <v>218.55093790557351</v>
      </c>
      <c r="K130" s="10">
        <v>200.02761094529606</v>
      </c>
      <c r="L130" s="10">
        <v>219.71279012345678</v>
      </c>
      <c r="M130" s="10">
        <v>10.016963328994365</v>
      </c>
      <c r="N130" s="10">
        <v>28.540290289271809</v>
      </c>
      <c r="O130" s="10">
        <v>8.8551111111110856</v>
      </c>
      <c r="P130" s="5">
        <v>0.15287483195340462</v>
      </c>
      <c r="Q130" s="5">
        <v>7.4427779619722439E-2</v>
      </c>
      <c r="R130" s="5">
        <v>0.15735447219085572</v>
      </c>
    </row>
    <row r="131" spans="1:18">
      <c r="A131" t="s">
        <v>509</v>
      </c>
      <c r="B131" t="s">
        <v>58</v>
      </c>
      <c r="C131" s="10">
        <v>83.04</v>
      </c>
      <c r="D131" s="10">
        <v>99</v>
      </c>
      <c r="E131" s="10">
        <v>0.19</v>
      </c>
      <c r="F131" s="10">
        <v>85.491849266694459</v>
      </c>
      <c r="G131" s="10">
        <v>85.771059809634806</v>
      </c>
      <c r="H131" s="10">
        <v>84.101650000000006</v>
      </c>
      <c r="I131" s="10">
        <v>102.51851851851852</v>
      </c>
      <c r="J131" s="10">
        <v>105.54549292184501</v>
      </c>
      <c r="K131" s="10">
        <v>105.89019729584544</v>
      </c>
      <c r="L131" s="10">
        <v>103.82919753086419</v>
      </c>
      <c r="M131" s="10">
        <v>3.0269744033264914</v>
      </c>
      <c r="N131" s="10">
        <v>3.3716787773269203</v>
      </c>
      <c r="O131" s="10">
        <v>1.3106790123456733</v>
      </c>
      <c r="P131" s="5">
        <v>0.21323026023015509</v>
      </c>
      <c r="Q131" s="5">
        <v>0.21579143187357108</v>
      </c>
      <c r="R131" s="5">
        <v>0.20022496585976604</v>
      </c>
    </row>
    <row r="132" spans="1:18">
      <c r="A132" t="s">
        <v>510</v>
      </c>
      <c r="B132" t="s">
        <v>58</v>
      </c>
      <c r="C132" s="10">
        <v>166.37</v>
      </c>
      <c r="D132" s="10">
        <v>139</v>
      </c>
      <c r="E132" s="10">
        <v>0.19</v>
      </c>
      <c r="F132" s="10">
        <v>148.66224243977368</v>
      </c>
      <c r="G132" s="10">
        <v>165.97626323260079</v>
      </c>
      <c r="H132" s="10">
        <v>162.75334000000001</v>
      </c>
      <c r="I132" s="10">
        <v>205.39506172839506</v>
      </c>
      <c r="J132" s="10">
        <v>183.53363264169587</v>
      </c>
      <c r="K132" s="10">
        <v>204.90896695382813</v>
      </c>
      <c r="L132" s="10">
        <v>200.93004938271605</v>
      </c>
      <c r="M132" s="10">
        <v>21.861429086699189</v>
      </c>
      <c r="N132" s="10">
        <v>0.48609477456693639</v>
      </c>
      <c r="O132" s="10">
        <v>4.4650123456790141</v>
      </c>
      <c r="P132" s="5">
        <v>9.3517642486833058E-2</v>
      </c>
      <c r="Q132" s="5">
        <v>0.18807847956459639</v>
      </c>
      <c r="R132" s="5">
        <v>0.17200040257238344</v>
      </c>
    </row>
    <row r="133" spans="1:18">
      <c r="A133" t="s">
        <v>511</v>
      </c>
      <c r="B133" t="s">
        <v>58</v>
      </c>
      <c r="C133" s="10">
        <v>127.33</v>
      </c>
      <c r="D133" s="10">
        <v>99</v>
      </c>
      <c r="E133" s="10">
        <v>0.19</v>
      </c>
      <c r="F133" s="10">
        <v>118.10114376109139</v>
      </c>
      <c r="G133" s="10">
        <v>128.20221355311352</v>
      </c>
      <c r="H133" s="10">
        <v>127.47369399999999</v>
      </c>
      <c r="I133" s="10">
        <v>157.19753086419752</v>
      </c>
      <c r="J133" s="10">
        <v>145.80388118653258</v>
      </c>
      <c r="K133" s="10">
        <v>158.27433771989323</v>
      </c>
      <c r="L133" s="10">
        <v>157.37493086419752</v>
      </c>
      <c r="M133" s="10">
        <v>11.393649677664939</v>
      </c>
      <c r="N133" s="10">
        <v>1.0768068556957076</v>
      </c>
      <c r="O133" s="10">
        <v>0.17740000000000578</v>
      </c>
      <c r="P133" s="5">
        <v>0.1267036311804226</v>
      </c>
      <c r="Q133" s="5">
        <v>0.1955107705120025</v>
      </c>
      <c r="R133" s="5">
        <v>0.19091306791501622</v>
      </c>
    </row>
    <row r="134" spans="1:18">
      <c r="A134" t="s">
        <v>513</v>
      </c>
      <c r="B134" t="s">
        <v>58</v>
      </c>
      <c r="C134" s="10">
        <v>200.96</v>
      </c>
      <c r="D134" s="10">
        <v>99</v>
      </c>
      <c r="E134" s="10">
        <v>0.19</v>
      </c>
      <c r="F134" s="10">
        <v>190.16774285231375</v>
      </c>
      <c r="G134" s="10">
        <v>208.77762258852263</v>
      </c>
      <c r="H134" s="10">
        <v>203.54661999999999</v>
      </c>
      <c r="I134" s="10">
        <v>248.09876543209876</v>
      </c>
      <c r="J134" s="10">
        <v>234.77499117569596</v>
      </c>
      <c r="K134" s="10">
        <v>257.75015134385507</v>
      </c>
      <c r="L134" s="10">
        <v>251.29212345679011</v>
      </c>
      <c r="M134" s="10">
        <v>13.3237742564028</v>
      </c>
      <c r="N134" s="10">
        <v>9.6513859117563072</v>
      </c>
      <c r="O134" s="10">
        <v>3.1933580246913493</v>
      </c>
      <c r="P134" s="5">
        <v>0.14403148736736701</v>
      </c>
      <c r="Q134" s="5">
        <v>0.22033023471669427</v>
      </c>
      <c r="R134" s="5">
        <v>0.20029327924973642</v>
      </c>
    </row>
    <row r="135" spans="1:18">
      <c r="A135" t="s">
        <v>514</v>
      </c>
      <c r="B135" t="s">
        <v>58</v>
      </c>
      <c r="C135" s="10">
        <v>117.97</v>
      </c>
      <c r="D135" s="10">
        <v>139</v>
      </c>
      <c r="E135" s="10">
        <v>0.19</v>
      </c>
      <c r="F135" s="10">
        <v>124.69054019219968</v>
      </c>
      <c r="G135" s="10">
        <v>112.26360847069596</v>
      </c>
      <c r="H135" s="10">
        <v>116.162285</v>
      </c>
      <c r="I135" s="10">
        <v>145.64197530864197</v>
      </c>
      <c r="J135" s="10">
        <v>153.93893850888847</v>
      </c>
      <c r="K135" s="10">
        <v>139</v>
      </c>
      <c r="L135" s="10">
        <v>143.41022839506172</v>
      </c>
      <c r="M135" s="10">
        <v>8.2969632002464948</v>
      </c>
      <c r="N135" s="10">
        <v>6.6419753086419746</v>
      </c>
      <c r="O135" s="10">
        <v>2.2317469135802526</v>
      </c>
      <c r="P135" s="5">
        <v>0.23365718158964449</v>
      </c>
      <c r="Q135" s="5">
        <v>0.15129496402877698</v>
      </c>
      <c r="R135" s="5">
        <v>0.17739479728726062</v>
      </c>
    </row>
    <row r="136" spans="1:18">
      <c r="A136" t="s">
        <v>515</v>
      </c>
      <c r="B136" t="s">
        <v>58</v>
      </c>
      <c r="C136" s="10">
        <v>105.31</v>
      </c>
      <c r="D136" s="10">
        <v>99</v>
      </c>
      <c r="E136" s="10">
        <v>0.19</v>
      </c>
      <c r="F136" s="10">
        <v>121.66171831354066</v>
      </c>
      <c r="G136" s="10">
        <v>103.22131521534023</v>
      </c>
      <c r="H136" s="10">
        <v>108.871185</v>
      </c>
      <c r="I136" s="10">
        <v>130.01234567901233</v>
      </c>
      <c r="J136" s="10">
        <v>150.19965223893908</v>
      </c>
      <c r="K136" s="10">
        <v>127.43372248807435</v>
      </c>
      <c r="L136" s="10">
        <v>134.40887037037035</v>
      </c>
      <c r="M136" s="10">
        <v>20.187306559926753</v>
      </c>
      <c r="N136" s="10">
        <v>2.5786231909379751</v>
      </c>
      <c r="O136" s="10">
        <v>4.3965246913580245</v>
      </c>
      <c r="P136" s="5">
        <v>0.29886655241736632</v>
      </c>
      <c r="Q136" s="5">
        <v>0.17360963845456809</v>
      </c>
      <c r="R136" s="5">
        <v>0.21649516352742909</v>
      </c>
    </row>
    <row r="137" spans="1:18">
      <c r="A137" t="s">
        <v>516</v>
      </c>
      <c r="B137" t="s">
        <v>58</v>
      </c>
      <c r="C137" s="10">
        <v>120.44</v>
      </c>
      <c r="D137" s="10">
        <v>50</v>
      </c>
      <c r="E137" s="10">
        <v>0.19</v>
      </c>
      <c r="F137" s="10">
        <v>118.61046259664073</v>
      </c>
      <c r="G137" s="10">
        <v>113.57193733766226</v>
      </c>
      <c r="H137" s="10">
        <v>111.395195</v>
      </c>
      <c r="I137" s="10">
        <v>148.69135802469134</v>
      </c>
      <c r="J137" s="10">
        <v>146.43266987239596</v>
      </c>
      <c r="K137" s="10">
        <v>140.21226831810154</v>
      </c>
      <c r="L137" s="10">
        <v>137.52493209876542</v>
      </c>
      <c r="M137" s="10">
        <v>2.2586881522953774</v>
      </c>
      <c r="N137" s="10">
        <v>8.4790897065898037</v>
      </c>
      <c r="O137" s="10">
        <v>11.166425925925921</v>
      </c>
      <c r="P137" s="5">
        <v>0.17750594792163826</v>
      </c>
      <c r="Q137" s="5">
        <v>0.14101667817857363</v>
      </c>
      <c r="R137" s="5">
        <v>0.12423152542620884</v>
      </c>
    </row>
    <row r="138" spans="1:18">
      <c r="A138" t="s">
        <v>518</v>
      </c>
      <c r="B138" t="s">
        <v>58</v>
      </c>
      <c r="C138" s="10">
        <v>83.02</v>
      </c>
      <c r="D138" s="10">
        <v>99</v>
      </c>
      <c r="E138" s="10">
        <v>0.19</v>
      </c>
      <c r="F138" s="10">
        <v>90.402686406777605</v>
      </c>
      <c r="G138" s="10">
        <v>89.732960060772584</v>
      </c>
      <c r="H138" s="10">
        <v>88.927199999999999</v>
      </c>
      <c r="I138" s="10">
        <v>102.49382716049382</v>
      </c>
      <c r="J138" s="10">
        <v>111.60825482318222</v>
      </c>
      <c r="K138" s="10">
        <v>110.78143217379331</v>
      </c>
      <c r="L138" s="10">
        <v>109.78666666666666</v>
      </c>
      <c r="M138" s="10">
        <v>9.1144276626883993</v>
      </c>
      <c r="N138" s="10">
        <v>8.2876050132994834</v>
      </c>
      <c r="O138" s="10">
        <v>7.2928395061728395</v>
      </c>
      <c r="P138" s="5">
        <v>0.25614821115583059</v>
      </c>
      <c r="Q138" s="5">
        <v>0.25059643686715771</v>
      </c>
      <c r="R138" s="5">
        <v>0.24380616954092788</v>
      </c>
    </row>
    <row r="139" spans="1:18">
      <c r="A139" t="s">
        <v>519</v>
      </c>
      <c r="B139" t="s">
        <v>58</v>
      </c>
      <c r="C139" s="10">
        <v>90.13</v>
      </c>
      <c r="D139" s="10">
        <v>99</v>
      </c>
      <c r="E139" s="10">
        <v>0.19</v>
      </c>
      <c r="F139" s="10">
        <v>90.755300165775139</v>
      </c>
      <c r="G139" s="10">
        <v>87.426885504773054</v>
      </c>
      <c r="H139" s="10">
        <v>88.654880000000006</v>
      </c>
      <c r="I139" s="10">
        <v>111.27160493827159</v>
      </c>
      <c r="J139" s="10">
        <v>112.04358045157424</v>
      </c>
      <c r="K139" s="10">
        <v>107.93442654910253</v>
      </c>
      <c r="L139" s="10">
        <v>109.45046913580246</v>
      </c>
      <c r="M139" s="10">
        <v>0.77197551330264957</v>
      </c>
      <c r="N139" s="10">
        <v>3.3371783891690683</v>
      </c>
      <c r="O139" s="10">
        <v>1.8211358024691293</v>
      </c>
      <c r="P139" s="5">
        <v>0.19558086561724436</v>
      </c>
      <c r="Q139" s="5">
        <v>0.16495595630002977</v>
      </c>
      <c r="R139" s="5">
        <v>0.1765224881021778</v>
      </c>
    </row>
    <row r="140" spans="1:18">
      <c r="A140" t="s">
        <v>520</v>
      </c>
      <c r="B140" t="s">
        <v>58</v>
      </c>
      <c r="C140" s="10">
        <v>87.07</v>
      </c>
      <c r="D140" s="10">
        <v>99</v>
      </c>
      <c r="E140" s="10">
        <v>0.19</v>
      </c>
      <c r="F140" s="10">
        <v>90.123664142968408</v>
      </c>
      <c r="G140" s="10">
        <v>88.489457799145299</v>
      </c>
      <c r="H140" s="10">
        <v>87.415595999999994</v>
      </c>
      <c r="I140" s="10">
        <v>107.49382716049381</v>
      </c>
      <c r="J140" s="10">
        <v>111.26378289255358</v>
      </c>
      <c r="K140" s="10">
        <v>109.24624419647567</v>
      </c>
      <c r="L140" s="10">
        <v>107.92048888888887</v>
      </c>
      <c r="M140" s="10">
        <v>3.7699557320597705</v>
      </c>
      <c r="N140" s="10">
        <v>1.752417035981864</v>
      </c>
      <c r="O140" s="10">
        <v>0.42666172839506089</v>
      </c>
      <c r="P140" s="5">
        <v>0.21744526622753158</v>
      </c>
      <c r="Q140" s="5">
        <v>0.20299319541450281</v>
      </c>
      <c r="R140" s="5">
        <v>0.19320232055616246</v>
      </c>
    </row>
    <row r="141" spans="1:18">
      <c r="A141" t="s">
        <v>522</v>
      </c>
      <c r="B141" t="s">
        <v>58</v>
      </c>
      <c r="C141" s="10">
        <v>83.2</v>
      </c>
      <c r="D141" s="10">
        <v>99</v>
      </c>
      <c r="E141" s="10">
        <v>0.19</v>
      </c>
      <c r="F141" s="10">
        <v>86.811846358402533</v>
      </c>
      <c r="G141" s="10">
        <v>87.361483478776094</v>
      </c>
      <c r="H141" s="10">
        <v>86.393209999999996</v>
      </c>
      <c r="I141" s="10">
        <v>102.71604938271605</v>
      </c>
      <c r="J141" s="10">
        <v>107.17511896099077</v>
      </c>
      <c r="K141" s="10">
        <v>107.85368330713098</v>
      </c>
      <c r="L141" s="10">
        <v>106.65828395061727</v>
      </c>
      <c r="M141" s="10">
        <v>4.4590695782747218</v>
      </c>
      <c r="N141" s="10">
        <v>5.1376339244149278</v>
      </c>
      <c r="O141" s="10">
        <v>3.9422345679012238</v>
      </c>
      <c r="P141" s="5">
        <v>0.22370041846855473</v>
      </c>
      <c r="Q141" s="5">
        <v>0.22858452814194194</v>
      </c>
      <c r="R141" s="5">
        <v>0.21993869657117721</v>
      </c>
    </row>
    <row r="142" spans="1:18">
      <c r="A142" t="s">
        <v>523</v>
      </c>
      <c r="B142" t="s">
        <v>58</v>
      </c>
      <c r="C142" s="10">
        <v>129.69</v>
      </c>
      <c r="D142" s="10">
        <v>99</v>
      </c>
      <c r="E142" s="10">
        <v>0.19</v>
      </c>
      <c r="F142" s="10">
        <v>118.45501189715534</v>
      </c>
      <c r="G142" s="10">
        <v>131.31699674908421</v>
      </c>
      <c r="H142" s="10">
        <v>125.96159</v>
      </c>
      <c r="I142" s="10">
        <v>160.11111111111109</v>
      </c>
      <c r="J142" s="10">
        <v>146.24075542858682</v>
      </c>
      <c r="K142" s="10">
        <v>162.11974907294345</v>
      </c>
      <c r="L142" s="10">
        <v>155.50813580246913</v>
      </c>
      <c r="M142" s="10">
        <v>13.870355682524263</v>
      </c>
      <c r="N142" s="10">
        <v>2.0086379618323633</v>
      </c>
      <c r="O142" s="10">
        <v>4.6029753086419589</v>
      </c>
      <c r="P142" s="5">
        <v>0.11317471234391285</v>
      </c>
      <c r="Q142" s="5">
        <v>0.20003577144911661</v>
      </c>
      <c r="R142" s="5">
        <v>0.16602434122973517</v>
      </c>
    </row>
    <row r="143" spans="1:18">
      <c r="A143" t="s">
        <v>524</v>
      </c>
      <c r="B143" t="s">
        <v>58</v>
      </c>
      <c r="C143" s="10">
        <v>73.53</v>
      </c>
      <c r="D143" s="10">
        <v>50</v>
      </c>
      <c r="E143" s="10">
        <v>0.19</v>
      </c>
      <c r="F143" s="10">
        <v>77.3958309228655</v>
      </c>
      <c r="G143" s="10">
        <v>73.598250754044713</v>
      </c>
      <c r="H143" s="10">
        <v>75.930449999999993</v>
      </c>
      <c r="I143" s="10">
        <v>90.777777777777771</v>
      </c>
      <c r="J143" s="10">
        <v>95.550408546747519</v>
      </c>
      <c r="K143" s="10">
        <v>90.862037967956425</v>
      </c>
      <c r="L143" s="10">
        <v>93.741296296296284</v>
      </c>
      <c r="M143" s="10">
        <v>4.7726307689697478</v>
      </c>
      <c r="N143" s="10">
        <v>8.4260190178653716E-2</v>
      </c>
      <c r="O143" s="10">
        <v>2.9635185185185122</v>
      </c>
      <c r="P143" s="5">
        <v>0.23045854938416252</v>
      </c>
      <c r="Q143" s="5">
        <v>0.19075114707496185</v>
      </c>
      <c r="R143" s="5">
        <v>0.21560717735770024</v>
      </c>
    </row>
    <row r="144" spans="1:18">
      <c r="A144" t="s">
        <v>525</v>
      </c>
      <c r="B144" t="s">
        <v>58</v>
      </c>
      <c r="C144" s="10">
        <v>160.81</v>
      </c>
      <c r="D144" s="10">
        <v>99</v>
      </c>
      <c r="E144" s="10">
        <v>0.19</v>
      </c>
      <c r="F144" s="10">
        <v>144.64327982251041</v>
      </c>
      <c r="G144" s="10">
        <v>154.18090051892545</v>
      </c>
      <c r="H144" s="10">
        <v>152.66446999999999</v>
      </c>
      <c r="I144" s="10">
        <v>198.53086419753086</v>
      </c>
      <c r="J144" s="10">
        <v>178.57195039816099</v>
      </c>
      <c r="K144" s="10">
        <v>190.34679076410549</v>
      </c>
      <c r="L144" s="10">
        <v>188.47465432098764</v>
      </c>
      <c r="M144" s="10">
        <v>19.958913799369867</v>
      </c>
      <c r="N144" s="10">
        <v>8.1840734334253682</v>
      </c>
      <c r="O144" s="10">
        <v>10.056209876543221</v>
      </c>
      <c r="P144" s="5">
        <v>9.946663156535647E-2</v>
      </c>
      <c r="Q144" s="5">
        <v>0.15517356844072083</v>
      </c>
      <c r="R144" s="5">
        <v>0.14678182814901194</v>
      </c>
    </row>
    <row r="145" spans="1:18">
      <c r="A145" t="s">
        <v>526</v>
      </c>
      <c r="B145" t="s">
        <v>58</v>
      </c>
      <c r="C145" s="10">
        <v>89.2</v>
      </c>
      <c r="D145" s="10">
        <v>99</v>
      </c>
      <c r="E145" s="10">
        <v>0.19</v>
      </c>
      <c r="F145" s="10">
        <v>89.772655444516118</v>
      </c>
      <c r="G145" s="10">
        <v>89.114844851039166</v>
      </c>
      <c r="H145" s="10">
        <v>89.577939999999998</v>
      </c>
      <c r="I145" s="10">
        <v>110.12345679012346</v>
      </c>
      <c r="J145" s="10">
        <v>110.83043882039026</v>
      </c>
      <c r="K145" s="10">
        <v>110.01832697659155</v>
      </c>
      <c r="L145" s="10">
        <v>110.59004938271605</v>
      </c>
      <c r="M145" s="10">
        <v>0.70698203026680062</v>
      </c>
      <c r="N145" s="10">
        <v>0.10512981353190298</v>
      </c>
      <c r="O145" s="10">
        <v>0.46659259259259045</v>
      </c>
      <c r="P145" s="5">
        <v>0.19516695098035422</v>
      </c>
      <c r="Q145" s="5">
        <v>0.18922599123890546</v>
      </c>
      <c r="R145" s="5">
        <v>0.19341748649276816</v>
      </c>
    </row>
    <row r="146" spans="1:18">
      <c r="A146" t="s">
        <v>527</v>
      </c>
      <c r="B146" t="s">
        <v>58</v>
      </c>
      <c r="C146" s="10">
        <v>85.84</v>
      </c>
      <c r="D146" s="10">
        <v>99</v>
      </c>
      <c r="E146" s="10">
        <v>0.19</v>
      </c>
      <c r="F146" s="10">
        <v>95.285842519057226</v>
      </c>
      <c r="G146" s="10">
        <v>94.077492463092469</v>
      </c>
      <c r="H146" s="10">
        <v>94.505645999999999</v>
      </c>
      <c r="I146" s="10">
        <v>105.9753086419753</v>
      </c>
      <c r="J146" s="10">
        <v>117.63684261612002</v>
      </c>
      <c r="K146" s="10">
        <v>116.14505242357095</v>
      </c>
      <c r="L146" s="10">
        <v>116.67363703703703</v>
      </c>
      <c r="M146" s="10">
        <v>11.661533974144717</v>
      </c>
      <c r="N146" s="10">
        <v>10.169743781595642</v>
      </c>
      <c r="O146" s="10">
        <v>10.698328395061722</v>
      </c>
      <c r="P146" s="5">
        <v>0.27029663419207434</v>
      </c>
      <c r="Q146" s="5">
        <v>0.26092417878508539</v>
      </c>
      <c r="R146" s="5">
        <v>0.26427252822545638</v>
      </c>
    </row>
    <row r="147" spans="1:18">
      <c r="A147" t="s">
        <v>529</v>
      </c>
      <c r="B147" t="s">
        <v>58</v>
      </c>
      <c r="C147" s="10">
        <v>95.59</v>
      </c>
      <c r="D147" s="10">
        <v>119</v>
      </c>
      <c r="E147" s="10">
        <v>0.19</v>
      </c>
      <c r="F147" s="10">
        <v>106.78715173322691</v>
      </c>
      <c r="G147" s="10">
        <v>97.013554680042063</v>
      </c>
      <c r="H147" s="10">
        <v>99.730255</v>
      </c>
      <c r="I147" s="10">
        <v>119</v>
      </c>
      <c r="J147" s="10">
        <v>131.83598979410729</v>
      </c>
      <c r="K147" s="10">
        <v>119.76982059264451</v>
      </c>
      <c r="L147" s="10">
        <v>123.12377160493827</v>
      </c>
      <c r="M147" s="10">
        <v>12.835989794107292</v>
      </c>
      <c r="N147" s="10">
        <v>0.76982059264450697</v>
      </c>
      <c r="O147" s="10">
        <v>4.1237716049382698</v>
      </c>
      <c r="P147" s="5">
        <v>0.27493243575380194</v>
      </c>
      <c r="Q147" s="5">
        <v>0.20188575446634235</v>
      </c>
      <c r="R147" s="5">
        <v>0.22362677203622908</v>
      </c>
    </row>
    <row r="148" spans="1:18">
      <c r="A148" t="s">
        <v>530</v>
      </c>
      <c r="B148" t="s">
        <v>58</v>
      </c>
      <c r="C148" s="10">
        <v>103.07</v>
      </c>
      <c r="D148" s="10">
        <v>119</v>
      </c>
      <c r="E148" s="10">
        <v>0.19</v>
      </c>
      <c r="F148" s="10">
        <v>108.95784041157283</v>
      </c>
      <c r="G148" s="10">
        <v>104.44671294261288</v>
      </c>
      <c r="H148" s="10">
        <v>102.39709000000001</v>
      </c>
      <c r="I148" s="10">
        <v>127.2469135802469</v>
      </c>
      <c r="J148" s="10">
        <v>134.51585235996646</v>
      </c>
      <c r="K148" s="10">
        <v>128.94655918841096</v>
      </c>
      <c r="L148" s="10">
        <v>126.41616049382716</v>
      </c>
      <c r="M148" s="10">
        <v>7.2689387797195621</v>
      </c>
      <c r="N148" s="10">
        <v>1.6996456081640616</v>
      </c>
      <c r="O148" s="10">
        <v>0.83075308641973322</v>
      </c>
      <c r="P148" s="5">
        <v>0.23377060627632859</v>
      </c>
      <c r="Q148" s="5">
        <v>0.20067661635392139</v>
      </c>
      <c r="R148" s="5">
        <v>0.18467702548968928</v>
      </c>
    </row>
    <row r="149" spans="1:18">
      <c r="A149" t="s">
        <v>531</v>
      </c>
      <c r="B149" t="s">
        <v>58</v>
      </c>
      <c r="C149" s="10">
        <v>100.3</v>
      </c>
      <c r="D149" s="10">
        <v>119</v>
      </c>
      <c r="E149" s="10">
        <v>0.19</v>
      </c>
      <c r="F149" s="10">
        <v>99.881897529125695</v>
      </c>
      <c r="G149" s="10">
        <v>96.830292980630489</v>
      </c>
      <c r="H149" s="10">
        <v>95.712209999999999</v>
      </c>
      <c r="I149" s="10">
        <v>123.82716049382715</v>
      </c>
      <c r="J149" s="10">
        <v>123.31098460385887</v>
      </c>
      <c r="K149" s="10">
        <v>119.54357158102529</v>
      </c>
      <c r="L149" s="10">
        <v>119</v>
      </c>
      <c r="M149" s="10">
        <v>0.5161758899682809</v>
      </c>
      <c r="N149" s="10">
        <v>4.2835889128018607</v>
      </c>
      <c r="O149" s="10">
        <v>4.8271604938271508</v>
      </c>
      <c r="P149" s="5">
        <v>0.1866093655628695</v>
      </c>
      <c r="Q149" s="5">
        <v>0.16097537765117062</v>
      </c>
      <c r="R149" s="5">
        <v>0.15714285714285717</v>
      </c>
    </row>
    <row r="150" spans="1:18">
      <c r="A150" t="s">
        <v>532</v>
      </c>
      <c r="B150" t="s">
        <v>58</v>
      </c>
      <c r="C150" s="10">
        <v>55.8</v>
      </c>
      <c r="D150" s="10">
        <v>50</v>
      </c>
      <c r="E150" s="10">
        <v>0.19</v>
      </c>
      <c r="F150" s="10">
        <v>52.946965828445954</v>
      </c>
      <c r="G150" s="10">
        <v>51.381734643631177</v>
      </c>
      <c r="H150" s="10">
        <v>53.430840000000003</v>
      </c>
      <c r="I150" s="10">
        <v>68.888888888888886</v>
      </c>
      <c r="J150" s="10">
        <v>65.366624479562901</v>
      </c>
      <c r="K150" s="10">
        <v>63.434240300779223</v>
      </c>
      <c r="L150" s="10">
        <v>65.963999999999999</v>
      </c>
      <c r="M150" s="10">
        <v>3.5222644093259845</v>
      </c>
      <c r="N150" s="10">
        <v>5.4546485881096629</v>
      </c>
      <c r="O150" s="10">
        <v>2.9248888888888871</v>
      </c>
      <c r="P150" s="5">
        <v>0.14635335013442435</v>
      </c>
      <c r="Q150" s="5">
        <v>0.12034888830670598</v>
      </c>
      <c r="R150" s="5">
        <v>0.15408404584318722</v>
      </c>
    </row>
    <row r="151" spans="1:18">
      <c r="A151" t="s">
        <v>533</v>
      </c>
      <c r="B151" t="s">
        <v>58</v>
      </c>
      <c r="C151" s="10">
        <v>96.32</v>
      </c>
      <c r="D151" s="10">
        <v>50</v>
      </c>
      <c r="E151" s="10">
        <v>0.19</v>
      </c>
      <c r="F151" s="10">
        <v>95.446092865398327</v>
      </c>
      <c r="G151" s="10">
        <v>88.487081761294192</v>
      </c>
      <c r="H151" s="10">
        <v>90.995800000000003</v>
      </c>
      <c r="I151" s="10">
        <v>118.91358024691357</v>
      </c>
      <c r="J151" s="10">
        <v>117.83468254987447</v>
      </c>
      <c r="K151" s="10">
        <v>109.24331081641257</v>
      </c>
      <c r="L151" s="10">
        <v>112.34049382716049</v>
      </c>
      <c r="M151" s="10">
        <v>1.0788976970390962</v>
      </c>
      <c r="N151" s="10">
        <v>9.6702694305009942</v>
      </c>
      <c r="O151" s="10">
        <v>6.5730864197530821</v>
      </c>
      <c r="P151" s="5">
        <v>0.18258361701588341</v>
      </c>
      <c r="Q151" s="5">
        <v>0.11829841772308314</v>
      </c>
      <c r="R151" s="5">
        <v>0.14260658184223887</v>
      </c>
    </row>
    <row r="152" spans="1:18">
      <c r="A152" t="s">
        <v>534</v>
      </c>
      <c r="B152" t="s">
        <v>58</v>
      </c>
      <c r="C152" s="10">
        <v>95.3</v>
      </c>
      <c r="D152" s="10">
        <v>119</v>
      </c>
      <c r="E152" s="10">
        <v>0.19</v>
      </c>
      <c r="F152" s="10">
        <v>98.31199811000252</v>
      </c>
      <c r="G152" s="10">
        <v>95.49302835914088</v>
      </c>
      <c r="H152" s="10">
        <v>95.747550000000004</v>
      </c>
      <c r="I152" s="10">
        <v>119</v>
      </c>
      <c r="J152" s="10">
        <v>121.37283717284261</v>
      </c>
      <c r="K152" s="10">
        <v>119</v>
      </c>
      <c r="L152" s="10">
        <v>119</v>
      </c>
      <c r="M152" s="10">
        <v>2.3728371728426083</v>
      </c>
      <c r="N152" s="10">
        <v>0</v>
      </c>
      <c r="O152" s="10">
        <v>0</v>
      </c>
      <c r="P152" s="5">
        <v>0.21481608060058149</v>
      </c>
      <c r="Q152" s="5">
        <v>0.19915966386554623</v>
      </c>
      <c r="R152" s="5">
        <v>0.19915966386554623</v>
      </c>
    </row>
    <row r="153" spans="1:18">
      <c r="A153" t="s">
        <v>535</v>
      </c>
      <c r="B153" t="s">
        <v>58</v>
      </c>
      <c r="C153" s="10">
        <v>44.04</v>
      </c>
      <c r="D153" s="10">
        <v>50</v>
      </c>
      <c r="E153" s="10">
        <v>0.19</v>
      </c>
      <c r="F153" s="10">
        <v>51.118415341468072</v>
      </c>
      <c r="G153" s="10">
        <v>48.200914558896834</v>
      </c>
      <c r="H153" s="10">
        <v>48.682160000000003</v>
      </c>
      <c r="I153" s="10">
        <v>54.370370370370367</v>
      </c>
      <c r="J153" s="10">
        <v>63.109154742553173</v>
      </c>
      <c r="K153" s="10">
        <v>59.50730192456399</v>
      </c>
      <c r="L153" s="10">
        <v>60.101432098765429</v>
      </c>
      <c r="M153" s="10">
        <v>8.7387843721828062</v>
      </c>
      <c r="N153" s="10">
        <v>5.1369315541936231</v>
      </c>
      <c r="O153" s="10">
        <v>5.731061728395062</v>
      </c>
      <c r="P153" s="5">
        <v>0.30216146643610875</v>
      </c>
      <c r="Q153" s="5">
        <v>0.25992275610431015</v>
      </c>
      <c r="R153" s="5">
        <v>0.26723875851030438</v>
      </c>
    </row>
    <row r="154" spans="1:18">
      <c r="A154" t="s">
        <v>536</v>
      </c>
      <c r="B154" t="s">
        <v>58</v>
      </c>
      <c r="C154" s="10">
        <v>124.16</v>
      </c>
      <c r="D154" s="10">
        <v>99</v>
      </c>
      <c r="E154" s="10">
        <v>0.19</v>
      </c>
      <c r="F154" s="10">
        <v>114.24980526128165</v>
      </c>
      <c r="G154" s="10">
        <v>129.57151978021977</v>
      </c>
      <c r="H154" s="10">
        <v>124.36159000000001</v>
      </c>
      <c r="I154" s="10">
        <v>153.28395061728395</v>
      </c>
      <c r="J154" s="10">
        <v>141.04914229787857</v>
      </c>
      <c r="K154" s="10">
        <v>159.96483923483922</v>
      </c>
      <c r="L154" s="10">
        <v>153.53282716049384</v>
      </c>
      <c r="M154" s="10">
        <v>12.234808319405374</v>
      </c>
      <c r="N154" s="10">
        <v>6.6808886175552686</v>
      </c>
      <c r="O154" s="10">
        <v>0.24887654320988872</v>
      </c>
      <c r="P154" s="5">
        <v>0.1197394186361713</v>
      </c>
      <c r="Q154" s="5">
        <v>0.22382943280601367</v>
      </c>
      <c r="R154" s="5">
        <v>0.1913130091051426</v>
      </c>
    </row>
    <row r="155" spans="1:18">
      <c r="A155" t="s">
        <v>538</v>
      </c>
      <c r="B155" t="s">
        <v>58</v>
      </c>
      <c r="C155" s="10">
        <v>82.09</v>
      </c>
      <c r="D155" s="10">
        <v>99</v>
      </c>
      <c r="E155" s="10">
        <v>0.19</v>
      </c>
      <c r="F155" s="10">
        <v>86.728077212280198</v>
      </c>
      <c r="G155" s="10">
        <v>87.245631986069526</v>
      </c>
      <c r="H155" s="10">
        <v>87.336119999999994</v>
      </c>
      <c r="I155" s="10">
        <v>101.34567901234567</v>
      </c>
      <c r="J155" s="10">
        <v>107.07170026207432</v>
      </c>
      <c r="K155" s="10">
        <v>107.71065677292533</v>
      </c>
      <c r="L155" s="10">
        <v>107.82237037037035</v>
      </c>
      <c r="M155" s="10">
        <v>5.726021249728646</v>
      </c>
      <c r="N155" s="10">
        <v>6.3649777605796629</v>
      </c>
      <c r="O155" s="10">
        <v>6.4766913580246808</v>
      </c>
      <c r="P155" s="5">
        <v>0.23331748913044054</v>
      </c>
      <c r="Q155" s="5">
        <v>0.23786557004232714</v>
      </c>
      <c r="R155" s="5">
        <v>0.23865520932232831</v>
      </c>
    </row>
    <row r="156" spans="1:18">
      <c r="A156" t="s">
        <v>539</v>
      </c>
      <c r="B156" t="s">
        <v>58</v>
      </c>
      <c r="C156" s="10">
        <v>86.18</v>
      </c>
      <c r="D156" s="10">
        <v>99</v>
      </c>
      <c r="E156" s="10">
        <v>0.19</v>
      </c>
      <c r="F156" s="10">
        <v>87.605459723016565</v>
      </c>
      <c r="G156" s="10">
        <v>84.783361070873582</v>
      </c>
      <c r="H156" s="10">
        <v>85.206069999999997</v>
      </c>
      <c r="I156" s="10">
        <v>106.39506172839506</v>
      </c>
      <c r="J156" s="10">
        <v>108.15488854693402</v>
      </c>
      <c r="K156" s="10">
        <v>104.67081613688096</v>
      </c>
      <c r="L156" s="10">
        <v>105.19267901234566</v>
      </c>
      <c r="M156" s="10">
        <v>1.7598268185389543</v>
      </c>
      <c r="N156" s="10">
        <v>1.7242455915141051</v>
      </c>
      <c r="O156" s="10">
        <v>1.2023827160493994</v>
      </c>
      <c r="P156" s="5">
        <v>0.2031797992875557</v>
      </c>
      <c r="Q156" s="5">
        <v>0.17665684494807027</v>
      </c>
      <c r="R156" s="5">
        <v>0.18074146595424462</v>
      </c>
    </row>
    <row r="157" spans="1:18">
      <c r="A157" t="s">
        <v>540</v>
      </c>
      <c r="B157" t="s">
        <v>58</v>
      </c>
      <c r="C157" s="10">
        <v>113.88</v>
      </c>
      <c r="D157" s="10">
        <v>119</v>
      </c>
      <c r="E157" s="10">
        <v>0.19</v>
      </c>
      <c r="F157" s="10">
        <v>125.06338994032323</v>
      </c>
      <c r="G157" s="10">
        <v>92.698272666222621</v>
      </c>
      <c r="H157" s="10">
        <v>114.42624000000001</v>
      </c>
      <c r="I157" s="10">
        <v>140.59259259259258</v>
      </c>
      <c r="J157" s="10">
        <v>154.3992468399052</v>
      </c>
      <c r="K157" s="10">
        <v>119</v>
      </c>
      <c r="L157" s="10">
        <v>141.26696296296296</v>
      </c>
      <c r="M157" s="10">
        <v>13.806654247312622</v>
      </c>
      <c r="N157" s="10">
        <v>21.592592592592581</v>
      </c>
      <c r="O157" s="10">
        <v>0.67437037037038294</v>
      </c>
      <c r="P157" s="5">
        <v>0.26243163531697239</v>
      </c>
      <c r="Q157" s="5">
        <v>4.3025210084033649E-2</v>
      </c>
      <c r="R157" s="5">
        <v>0.19386672147926912</v>
      </c>
    </row>
    <row r="158" spans="1:18">
      <c r="A158" t="s">
        <v>541</v>
      </c>
      <c r="B158" t="s">
        <v>58</v>
      </c>
      <c r="C158" s="10">
        <v>65.08</v>
      </c>
      <c r="D158" s="10">
        <v>50</v>
      </c>
      <c r="E158" s="10">
        <v>0.19</v>
      </c>
      <c r="F158" s="10">
        <v>68.486404668325008</v>
      </c>
      <c r="G158" s="10">
        <v>67.675320496063748</v>
      </c>
      <c r="H158" s="10">
        <v>65.497603999999995</v>
      </c>
      <c r="I158" s="10">
        <v>80.34567901234567</v>
      </c>
      <c r="J158" s="10">
        <v>84.551116874475312</v>
      </c>
      <c r="K158" s="10">
        <v>83.54977839020215</v>
      </c>
      <c r="L158" s="10">
        <v>80.861239506172822</v>
      </c>
      <c r="M158" s="10">
        <v>4.2054378621296422</v>
      </c>
      <c r="N158" s="10">
        <v>3.2040993778564797</v>
      </c>
      <c r="O158" s="10">
        <v>0.5155604938271523</v>
      </c>
      <c r="P158" s="5">
        <v>0.23028810965776073</v>
      </c>
      <c r="Q158" s="5">
        <v>0.22106316433231971</v>
      </c>
      <c r="R158" s="5">
        <v>0.19516445212255382</v>
      </c>
    </row>
    <row r="159" spans="1:18">
      <c r="A159" t="s">
        <v>542</v>
      </c>
      <c r="B159" t="s">
        <v>58</v>
      </c>
      <c r="C159" s="10">
        <v>139.76</v>
      </c>
      <c r="D159" s="10">
        <v>119</v>
      </c>
      <c r="E159" s="10">
        <v>0.19</v>
      </c>
      <c r="F159" s="10">
        <v>131.14945770459383</v>
      </c>
      <c r="G159" s="10">
        <v>140.84127202380958</v>
      </c>
      <c r="H159" s="10">
        <v>130.43355</v>
      </c>
      <c r="I159" s="10">
        <v>172.54320987654319</v>
      </c>
      <c r="J159" s="10">
        <v>161.91291074641214</v>
      </c>
      <c r="K159" s="10">
        <v>173.87811360964145</v>
      </c>
      <c r="L159" s="10">
        <v>161.02907407407406</v>
      </c>
      <c r="M159" s="10">
        <v>10.63029913013105</v>
      </c>
      <c r="N159" s="10">
        <v>1.3349037330982583</v>
      </c>
      <c r="O159" s="10">
        <v>11.514135802469127</v>
      </c>
      <c r="P159" s="5">
        <v>0.13681991537480304</v>
      </c>
      <c r="Q159" s="5">
        <v>0.19621856311506261</v>
      </c>
      <c r="R159" s="5">
        <v>0.13208219817677275</v>
      </c>
    </row>
    <row r="160" spans="1:18">
      <c r="A160" t="s">
        <v>543</v>
      </c>
      <c r="B160" t="s">
        <v>58</v>
      </c>
      <c r="C160" s="10">
        <v>59.01</v>
      </c>
      <c r="D160" s="10">
        <v>50</v>
      </c>
      <c r="E160" s="10">
        <v>0.19</v>
      </c>
      <c r="F160" s="10">
        <v>57.788171714449014</v>
      </c>
      <c r="G160" s="10">
        <v>57.308401833185172</v>
      </c>
      <c r="H160" s="10">
        <v>57.46705</v>
      </c>
      <c r="I160" s="10">
        <v>72.851851851851848</v>
      </c>
      <c r="J160" s="10">
        <v>71.343421869690133</v>
      </c>
      <c r="K160" s="10">
        <v>70.751113374302676</v>
      </c>
      <c r="L160" s="10">
        <v>70.946975308641967</v>
      </c>
      <c r="M160" s="10">
        <v>1.5084299821617151</v>
      </c>
      <c r="N160" s="10">
        <v>2.1007384775491715</v>
      </c>
      <c r="O160" s="10">
        <v>1.9048765432098804</v>
      </c>
      <c r="P160" s="5">
        <v>0.17287398818937114</v>
      </c>
      <c r="Q160" s="5">
        <v>0.1659495209946355</v>
      </c>
      <c r="R160" s="5">
        <v>0.1682520679241408</v>
      </c>
    </row>
    <row r="161" spans="1:18">
      <c r="A161" t="s">
        <v>544</v>
      </c>
      <c r="B161" t="s">
        <v>58</v>
      </c>
      <c r="C161" s="10">
        <v>56.94</v>
      </c>
      <c r="D161" s="10">
        <v>50</v>
      </c>
      <c r="E161" s="10">
        <v>0.19</v>
      </c>
      <c r="F161" s="10">
        <v>54.94397534136013</v>
      </c>
      <c r="G161" s="10">
        <v>56.92999039947798</v>
      </c>
      <c r="H161" s="10">
        <v>54.598649999999999</v>
      </c>
      <c r="I161" s="10">
        <v>70.296296296296291</v>
      </c>
      <c r="J161" s="10">
        <v>67.832068322666828</v>
      </c>
      <c r="K161" s="10">
        <v>70.283938764787621</v>
      </c>
      <c r="L161" s="10">
        <v>67.40574074074074</v>
      </c>
      <c r="M161" s="10">
        <v>2.4642279736294626</v>
      </c>
      <c r="N161" s="10">
        <v>1.2357531508669695E-2</v>
      </c>
      <c r="O161" s="10">
        <v>2.8905555555555509</v>
      </c>
      <c r="P161" s="5">
        <v>0.16057402629763431</v>
      </c>
      <c r="Q161" s="5">
        <v>0.18985758338678879</v>
      </c>
      <c r="R161" s="5">
        <v>0.15526482797651592</v>
      </c>
    </row>
    <row r="162" spans="1:18">
      <c r="A162" t="s">
        <v>545</v>
      </c>
      <c r="B162" t="s">
        <v>58</v>
      </c>
      <c r="C162" s="10">
        <v>84.63</v>
      </c>
      <c r="D162" s="10">
        <v>99</v>
      </c>
      <c r="E162" s="10">
        <v>0.19</v>
      </c>
      <c r="F162" s="10">
        <v>94.146029234033946</v>
      </c>
      <c r="G162" s="10">
        <v>89.426891704430815</v>
      </c>
      <c r="H162" s="10">
        <v>91.817970000000003</v>
      </c>
      <c r="I162" s="10">
        <v>104.48148148148147</v>
      </c>
      <c r="J162" s="10">
        <v>116.22966572102956</v>
      </c>
      <c r="K162" s="10">
        <v>110.40357000547013</v>
      </c>
      <c r="L162" s="10">
        <v>113.35551851851851</v>
      </c>
      <c r="M162" s="10">
        <v>11.748184239548095</v>
      </c>
      <c r="N162" s="10">
        <v>5.9220885239886627</v>
      </c>
      <c r="O162" s="10">
        <v>8.8740370370370414</v>
      </c>
      <c r="P162" s="5">
        <v>0.27187263703290687</v>
      </c>
      <c r="Q162" s="5">
        <v>0.23344870101748647</v>
      </c>
      <c r="R162" s="5">
        <v>0.25341085192800489</v>
      </c>
    </row>
    <row r="163" spans="1:18">
      <c r="A163" t="s">
        <v>546</v>
      </c>
      <c r="B163" t="s">
        <v>58</v>
      </c>
      <c r="C163" s="10">
        <v>135.19999999999999</v>
      </c>
      <c r="D163" s="10">
        <v>119</v>
      </c>
      <c r="E163" s="10">
        <v>0.19</v>
      </c>
      <c r="F163" s="10">
        <v>122.49524001640548</v>
      </c>
      <c r="G163" s="10">
        <v>135.60902417582417</v>
      </c>
      <c r="H163" s="10">
        <v>134.43187</v>
      </c>
      <c r="I163" s="10">
        <v>166.91358024691357</v>
      </c>
      <c r="J163" s="10">
        <v>151.22869137827834</v>
      </c>
      <c r="K163" s="10">
        <v>167.41854836521503</v>
      </c>
      <c r="L163" s="10">
        <v>165.96527160493827</v>
      </c>
      <c r="M163" s="10">
        <v>15.684888868635227</v>
      </c>
      <c r="N163" s="10">
        <v>0.50496811830146271</v>
      </c>
      <c r="O163" s="10">
        <v>0.94830864197530218</v>
      </c>
      <c r="P163" s="5">
        <v>0.10598975123169403</v>
      </c>
      <c r="Q163" s="5">
        <v>0.19244312341624131</v>
      </c>
      <c r="R163" s="5">
        <v>0.18537174257860137</v>
      </c>
    </row>
    <row r="164" spans="1:18">
      <c r="A164" t="s">
        <v>547</v>
      </c>
      <c r="B164" t="s">
        <v>58</v>
      </c>
      <c r="C164" s="10">
        <v>114.26</v>
      </c>
      <c r="D164" s="10">
        <v>119</v>
      </c>
      <c r="E164" s="10">
        <v>0.19</v>
      </c>
      <c r="F164" s="10">
        <v>118.70489957649156</v>
      </c>
      <c r="G164" s="10">
        <v>105.1944831043957</v>
      </c>
      <c r="H164" s="10">
        <v>105.54807</v>
      </c>
      <c r="I164" s="10">
        <v>141.06172839506172</v>
      </c>
      <c r="J164" s="10">
        <v>146.54925873640931</v>
      </c>
      <c r="K164" s="10">
        <v>129.869732227649</v>
      </c>
      <c r="L164" s="10">
        <v>130.30625925925924</v>
      </c>
      <c r="M164" s="10">
        <v>5.4875303413475933</v>
      </c>
      <c r="N164" s="10">
        <v>11.191996167412725</v>
      </c>
      <c r="O164" s="10">
        <v>10.755469135802485</v>
      </c>
      <c r="P164" s="5">
        <v>0.2203304132331802</v>
      </c>
      <c r="Q164" s="5">
        <v>0.12019530617254719</v>
      </c>
      <c r="R164" s="5">
        <v>0.12314265907467545</v>
      </c>
    </row>
    <row r="165" spans="1:18">
      <c r="A165" t="s">
        <v>548</v>
      </c>
      <c r="B165" t="s">
        <v>58</v>
      </c>
      <c r="C165" s="10">
        <v>88.19</v>
      </c>
      <c r="D165" s="10">
        <v>99</v>
      </c>
      <c r="E165" s="10">
        <v>0.19</v>
      </c>
      <c r="F165" s="10">
        <v>86.835318446179585</v>
      </c>
      <c r="G165" s="10">
        <v>86.670920656342147</v>
      </c>
      <c r="H165" s="10">
        <v>83.755669999999995</v>
      </c>
      <c r="I165" s="10">
        <v>108.87654320987653</v>
      </c>
      <c r="J165" s="10">
        <v>107.20409684713529</v>
      </c>
      <c r="K165" s="10">
        <v>107.00113661276808</v>
      </c>
      <c r="L165" s="10">
        <v>103.40206172839505</v>
      </c>
      <c r="M165" s="10">
        <v>1.6724463627412405</v>
      </c>
      <c r="N165" s="10">
        <v>1.8754065971084515</v>
      </c>
      <c r="O165" s="10">
        <v>5.474481481481476</v>
      </c>
      <c r="P165" s="5">
        <v>0.1773635281331451</v>
      </c>
      <c r="Q165" s="5">
        <v>0.17580314759500801</v>
      </c>
      <c r="R165" s="5">
        <v>0.14711565199108306</v>
      </c>
    </row>
    <row r="166" spans="1:18">
      <c r="A166" t="s">
        <v>549</v>
      </c>
      <c r="B166" t="s">
        <v>58</v>
      </c>
      <c r="C166" s="10">
        <v>89.82</v>
      </c>
      <c r="D166" s="10">
        <v>99</v>
      </c>
      <c r="E166" s="10">
        <v>0.19</v>
      </c>
      <c r="F166" s="10">
        <v>97.218384317754044</v>
      </c>
      <c r="G166" s="10">
        <v>93.797267936230426</v>
      </c>
      <c r="H166" s="10">
        <v>95.215990000000005</v>
      </c>
      <c r="I166" s="10">
        <v>110.88888888888887</v>
      </c>
      <c r="J166" s="10">
        <v>120.02269668858523</v>
      </c>
      <c r="K166" s="10">
        <v>115.79909621756842</v>
      </c>
      <c r="L166" s="10">
        <v>117.5506049382716</v>
      </c>
      <c r="M166" s="10">
        <v>9.1338077996963563</v>
      </c>
      <c r="N166" s="10">
        <v>4.9102073286795473</v>
      </c>
      <c r="O166" s="10">
        <v>6.6617160493827328</v>
      </c>
      <c r="P166" s="5">
        <v>0.25164154382358306</v>
      </c>
      <c r="Q166" s="5">
        <v>0.22434627787385975</v>
      </c>
      <c r="R166" s="5">
        <v>0.235903549393332</v>
      </c>
    </row>
    <row r="167" spans="1:18">
      <c r="A167" t="s">
        <v>550</v>
      </c>
      <c r="B167" t="s">
        <v>58</v>
      </c>
      <c r="C167" s="10">
        <v>118.58</v>
      </c>
      <c r="D167" s="10">
        <v>99</v>
      </c>
      <c r="E167" s="10">
        <v>0.19</v>
      </c>
      <c r="F167" s="10">
        <v>116.42844650851691</v>
      </c>
      <c r="G167" s="10">
        <v>99.955116071428648</v>
      </c>
      <c r="H167" s="10">
        <v>109.39285</v>
      </c>
      <c r="I167" s="10">
        <v>146.39506172839506</v>
      </c>
      <c r="J167" s="10">
        <v>143.73882285002088</v>
      </c>
      <c r="K167" s="10">
        <v>123.40137786596128</v>
      </c>
      <c r="L167" s="10">
        <v>135.05290123456788</v>
      </c>
      <c r="M167" s="10">
        <v>2.6562388783741824</v>
      </c>
      <c r="N167" s="10">
        <v>22.993683862433784</v>
      </c>
      <c r="O167" s="10">
        <v>11.34216049382718</v>
      </c>
      <c r="P167" s="5">
        <v>0.17503150750213081</v>
      </c>
      <c r="Q167" s="5">
        <v>3.9070697178100133E-2</v>
      </c>
      <c r="R167" s="5">
        <v>0.12197369389315653</v>
      </c>
    </row>
    <row r="168" spans="1:18">
      <c r="A168" t="s">
        <v>551</v>
      </c>
      <c r="B168" t="s">
        <v>58</v>
      </c>
      <c r="C168" s="10">
        <v>131.66999999999999</v>
      </c>
      <c r="D168" s="10">
        <v>139</v>
      </c>
      <c r="E168" s="10">
        <v>0.19</v>
      </c>
      <c r="F168" s="10">
        <v>133.62847840731754</v>
      </c>
      <c r="G168" s="10">
        <v>138.06362341269849</v>
      </c>
      <c r="H168" s="10">
        <v>137.38234</v>
      </c>
      <c r="I168" s="10">
        <v>162.55555555555554</v>
      </c>
      <c r="J168" s="10">
        <v>164.97343013249079</v>
      </c>
      <c r="K168" s="10">
        <v>170.44891779345491</v>
      </c>
      <c r="L168" s="10">
        <v>169.60782716049383</v>
      </c>
      <c r="M168" s="10">
        <v>2.4178745769352474</v>
      </c>
      <c r="N168" s="10">
        <v>7.8933622378993675</v>
      </c>
      <c r="O168" s="10">
        <v>7.0522716049382836</v>
      </c>
      <c r="P168" s="5">
        <v>0.20187147776308398</v>
      </c>
      <c r="Q168" s="5">
        <v>0.22751049578646254</v>
      </c>
      <c r="R168" s="5">
        <v>0.22367969565811741</v>
      </c>
    </row>
    <row r="169" spans="1:18">
      <c r="A169" t="s">
        <v>552</v>
      </c>
      <c r="B169" t="s">
        <v>58</v>
      </c>
      <c r="C169" s="10">
        <v>126.72</v>
      </c>
      <c r="D169" s="10">
        <v>99</v>
      </c>
      <c r="E169" s="10">
        <v>0.19</v>
      </c>
      <c r="F169" s="10">
        <v>119.91780403116709</v>
      </c>
      <c r="G169" s="10">
        <v>131.50189354395602</v>
      </c>
      <c r="H169" s="10">
        <v>126.27216</v>
      </c>
      <c r="I169" s="10">
        <v>156.44444444444443</v>
      </c>
      <c r="J169" s="10">
        <v>148.04667164341615</v>
      </c>
      <c r="K169" s="10">
        <v>162.34801672093334</v>
      </c>
      <c r="L169" s="10">
        <v>155.89155555555556</v>
      </c>
      <c r="M169" s="10">
        <v>8.3977728010282817</v>
      </c>
      <c r="N169" s="10">
        <v>5.9035722764889158</v>
      </c>
      <c r="O169" s="10">
        <v>0.552888888888873</v>
      </c>
      <c r="P169" s="5">
        <v>0.14405370554215075</v>
      </c>
      <c r="Q169" s="5">
        <v>0.21945458552891225</v>
      </c>
      <c r="R169" s="5">
        <v>0.18712723374653606</v>
      </c>
    </row>
    <row r="170" spans="1:18">
      <c r="A170" t="s">
        <v>553</v>
      </c>
      <c r="B170" t="s">
        <v>58</v>
      </c>
      <c r="C170" s="10">
        <v>84.32</v>
      </c>
      <c r="D170" s="10">
        <v>99</v>
      </c>
      <c r="E170" s="10">
        <v>0.19</v>
      </c>
      <c r="F170" s="10">
        <v>94.023432866578162</v>
      </c>
      <c r="G170" s="10">
        <v>89.839791129703713</v>
      </c>
      <c r="H170" s="10">
        <v>87.930809999999994</v>
      </c>
      <c r="I170" s="10">
        <v>104.09876543209874</v>
      </c>
      <c r="J170" s="10">
        <v>116.07831218096068</v>
      </c>
      <c r="K170" s="10">
        <v>110.91332238235026</v>
      </c>
      <c r="L170" s="10">
        <v>108.55655555555555</v>
      </c>
      <c r="M170" s="10">
        <v>11.979546748861935</v>
      </c>
      <c r="N170" s="10">
        <v>6.8145569502515144</v>
      </c>
      <c r="O170" s="10">
        <v>4.4577901234568031</v>
      </c>
      <c r="P170" s="5">
        <v>0.27359384870664694</v>
      </c>
      <c r="Q170" s="5">
        <v>0.23976670981575507</v>
      </c>
      <c r="R170" s="5">
        <v>0.22326201703361997</v>
      </c>
    </row>
    <row r="171" spans="1:18">
      <c r="A171" t="s">
        <v>554</v>
      </c>
      <c r="B171" t="s">
        <v>58</v>
      </c>
      <c r="C171" s="10">
        <v>54.39</v>
      </c>
      <c r="D171" s="10">
        <v>50</v>
      </c>
      <c r="E171" s="10">
        <v>0.19</v>
      </c>
      <c r="F171" s="10">
        <v>62.747780323574624</v>
      </c>
      <c r="G171" s="10">
        <v>62.368968923458013</v>
      </c>
      <c r="H171" s="10">
        <v>60.888559999999998</v>
      </c>
      <c r="I171" s="10">
        <v>67.148148148148138</v>
      </c>
      <c r="J171" s="10">
        <v>77.466395461203234</v>
      </c>
      <c r="K171" s="10">
        <v>76.998727065997542</v>
      </c>
      <c r="L171" s="10">
        <v>75.17106172839506</v>
      </c>
      <c r="M171" s="10">
        <v>10.318247313055096</v>
      </c>
      <c r="N171" s="10">
        <v>9.8505789178494041</v>
      </c>
      <c r="O171" s="10">
        <v>8.0229135802469216</v>
      </c>
      <c r="P171" s="5">
        <v>0.29788910822319553</v>
      </c>
      <c r="Q171" s="5">
        <v>0.29362468611486309</v>
      </c>
      <c r="R171" s="5">
        <v>0.27645028885557482</v>
      </c>
    </row>
    <row r="172" spans="1:18">
      <c r="A172" t="s">
        <v>555</v>
      </c>
      <c r="B172" t="s">
        <v>58</v>
      </c>
      <c r="C172" s="10">
        <v>204.08</v>
      </c>
      <c r="D172" s="10">
        <v>99</v>
      </c>
      <c r="E172" s="10">
        <v>0.19</v>
      </c>
      <c r="F172" s="10">
        <v>186.56372803852952</v>
      </c>
      <c r="G172" s="10">
        <v>206.21522597680098</v>
      </c>
      <c r="H172" s="10">
        <v>202.05437000000001</v>
      </c>
      <c r="I172" s="10">
        <v>251.95061728395061</v>
      </c>
      <c r="J172" s="10">
        <v>230.32559017102409</v>
      </c>
      <c r="K172" s="10">
        <v>254.58669873679131</v>
      </c>
      <c r="L172" s="10">
        <v>249.44983950617282</v>
      </c>
      <c r="M172" s="10">
        <v>21.625027112926517</v>
      </c>
      <c r="N172" s="10">
        <v>2.6360814528406991</v>
      </c>
      <c r="O172" s="10">
        <v>2.5007777777777846</v>
      </c>
      <c r="P172" s="5">
        <v>0.11394995298410346</v>
      </c>
      <c r="Q172" s="5">
        <v>0.19838702880942136</v>
      </c>
      <c r="R172" s="5">
        <v>0.18187960992875324</v>
      </c>
    </row>
    <row r="173" spans="1:18">
      <c r="A173" t="s">
        <v>556</v>
      </c>
      <c r="B173" t="s">
        <v>58</v>
      </c>
      <c r="C173" s="10">
        <v>82.97</v>
      </c>
      <c r="D173" s="10">
        <v>119</v>
      </c>
      <c r="E173" s="10">
        <v>0.19</v>
      </c>
      <c r="F173" s="10">
        <v>87.779040612689371</v>
      </c>
      <c r="G173" s="10">
        <v>94.818922879897912</v>
      </c>
      <c r="H173" s="10">
        <v>86.76755</v>
      </c>
      <c r="I173" s="10">
        <v>119</v>
      </c>
      <c r="J173" s="10">
        <v>119</v>
      </c>
      <c r="K173" s="10">
        <v>119</v>
      </c>
      <c r="L173" s="10">
        <v>119</v>
      </c>
      <c r="M173" s="10">
        <v>0</v>
      </c>
      <c r="N173" s="10">
        <v>0</v>
      </c>
      <c r="O173" s="10">
        <v>0</v>
      </c>
      <c r="P173" s="5">
        <v>0.30277310924369749</v>
      </c>
      <c r="Q173" s="5">
        <v>0.30277310924369749</v>
      </c>
      <c r="R173" s="5">
        <v>0.30277310924369749</v>
      </c>
    </row>
    <row r="174" spans="1:18">
      <c r="A174" t="s">
        <v>557</v>
      </c>
      <c r="B174" t="s">
        <v>58</v>
      </c>
      <c r="C174" s="10">
        <v>98.36</v>
      </c>
      <c r="D174" s="10">
        <v>119</v>
      </c>
      <c r="E174" s="10">
        <v>0.19</v>
      </c>
      <c r="F174" s="10">
        <v>110.76639014914556</v>
      </c>
      <c r="G174" s="10">
        <v>101.18684700854695</v>
      </c>
      <c r="H174" s="10">
        <v>103.614525</v>
      </c>
      <c r="I174" s="10">
        <v>121.43209876543209</v>
      </c>
      <c r="J174" s="10">
        <v>136.74862981375995</v>
      </c>
      <c r="K174" s="10">
        <v>124.92203334388512</v>
      </c>
      <c r="L174" s="10">
        <v>127.91916666666665</v>
      </c>
      <c r="M174" s="10">
        <v>15.31653104832786</v>
      </c>
      <c r="N174" s="10">
        <v>3.4899345784530311</v>
      </c>
      <c r="O174" s="10">
        <v>6.4870679012345676</v>
      </c>
      <c r="P174" s="5">
        <v>0.28072405453745319</v>
      </c>
      <c r="Q174" s="5">
        <v>0.21262889045974145</v>
      </c>
      <c r="R174" s="5">
        <v>0.23107691706351011</v>
      </c>
    </row>
    <row r="175" spans="1:18">
      <c r="A175" t="s">
        <v>558</v>
      </c>
      <c r="B175" t="s">
        <v>58</v>
      </c>
      <c r="C175" s="10">
        <v>66.12</v>
      </c>
      <c r="D175" s="10">
        <v>50</v>
      </c>
      <c r="E175" s="10">
        <v>0.19</v>
      </c>
      <c r="F175" s="10">
        <v>59.894337414223102</v>
      </c>
      <c r="G175" s="10">
        <v>58.969519223653194</v>
      </c>
      <c r="H175" s="10">
        <v>60.033439999999999</v>
      </c>
      <c r="I175" s="10">
        <v>81.629629629629633</v>
      </c>
      <c r="J175" s="10">
        <v>73.94362643731246</v>
      </c>
      <c r="K175" s="10">
        <v>72.801875584757028</v>
      </c>
      <c r="L175" s="10">
        <v>74.115358024691346</v>
      </c>
      <c r="M175" s="10">
        <v>7.6860031923171732</v>
      </c>
      <c r="N175" s="10">
        <v>8.8277540448726057</v>
      </c>
      <c r="O175" s="10">
        <v>7.5142716049382869</v>
      </c>
      <c r="P175" s="5">
        <v>0.10580528456965968</v>
      </c>
      <c r="Q175" s="5">
        <v>9.1781640666357342E-2</v>
      </c>
      <c r="R175" s="5">
        <v>0.1078772097684222</v>
      </c>
    </row>
    <row r="176" spans="1:18">
      <c r="A176" t="s">
        <v>559</v>
      </c>
      <c r="B176" t="s">
        <v>58</v>
      </c>
      <c r="C176" s="10">
        <v>197.55</v>
      </c>
      <c r="D176" s="10">
        <v>99</v>
      </c>
      <c r="E176" s="10">
        <v>0.19</v>
      </c>
      <c r="F176" s="10">
        <v>186.99414145404461</v>
      </c>
      <c r="G176" s="10">
        <v>206.72074978632475</v>
      </c>
      <c r="H176" s="10">
        <v>197.44417000000001</v>
      </c>
      <c r="I176" s="10">
        <v>243.88888888888889</v>
      </c>
      <c r="J176" s="10">
        <v>230.85696475807976</v>
      </c>
      <c r="K176" s="10">
        <v>255.21080220533918</v>
      </c>
      <c r="L176" s="10">
        <v>243.75823456790124</v>
      </c>
      <c r="M176" s="10">
        <v>13.031924130809131</v>
      </c>
      <c r="N176" s="10">
        <v>11.321913316450292</v>
      </c>
      <c r="O176" s="10">
        <v>0.13065432098764518</v>
      </c>
      <c r="P176" s="5">
        <v>0.14427532993419914</v>
      </c>
      <c r="Q176" s="5">
        <v>0.22593401888587011</v>
      </c>
      <c r="R176" s="5">
        <v>0.18956584030817417</v>
      </c>
    </row>
    <row r="177" spans="1:18">
      <c r="A177" t="s">
        <v>560</v>
      </c>
      <c r="B177" t="s">
        <v>58</v>
      </c>
      <c r="C177" s="10">
        <v>84.13</v>
      </c>
      <c r="D177" s="10">
        <v>99</v>
      </c>
      <c r="E177" s="10">
        <v>0.19</v>
      </c>
      <c r="F177" s="10">
        <v>83.154231958206552</v>
      </c>
      <c r="G177" s="10">
        <v>85.6044932246173</v>
      </c>
      <c r="H177" s="10">
        <v>85.702866</v>
      </c>
      <c r="I177" s="10">
        <v>103.86419753086419</v>
      </c>
      <c r="J177" s="10">
        <v>102.65954562741548</v>
      </c>
      <c r="K177" s="10">
        <v>105.68455953656456</v>
      </c>
      <c r="L177" s="10">
        <v>105.80600740740741</v>
      </c>
      <c r="M177" s="10">
        <v>1.2046519034487062</v>
      </c>
      <c r="N177" s="10">
        <v>1.8203620057003747</v>
      </c>
      <c r="O177" s="10">
        <v>1.9418098765432177</v>
      </c>
      <c r="P177" s="5">
        <v>0.18049510655994105</v>
      </c>
      <c r="Q177" s="5">
        <v>0.20395183204701875</v>
      </c>
      <c r="R177" s="5">
        <v>0.20486556423912361</v>
      </c>
    </row>
    <row r="178" spans="1:18">
      <c r="A178" t="s">
        <v>561</v>
      </c>
      <c r="B178" t="s">
        <v>58</v>
      </c>
      <c r="C178" s="10">
        <v>76.72</v>
      </c>
      <c r="D178" s="10">
        <v>99</v>
      </c>
      <c r="E178" s="10">
        <v>0.19</v>
      </c>
      <c r="F178" s="10">
        <v>82.096319337293494</v>
      </c>
      <c r="G178" s="10">
        <v>80.465805570818077</v>
      </c>
      <c r="H178" s="10">
        <v>80.379310000000004</v>
      </c>
      <c r="I178" s="10">
        <v>99</v>
      </c>
      <c r="J178" s="10">
        <v>101.3534806633253</v>
      </c>
      <c r="K178" s="10">
        <v>99.340500704713662</v>
      </c>
      <c r="L178" s="10">
        <v>99.233716049382721</v>
      </c>
      <c r="M178" s="10">
        <v>2.3534806633252998</v>
      </c>
      <c r="N178" s="10">
        <v>0.34050070471366212</v>
      </c>
      <c r="O178" s="10">
        <v>0.23371604938272128</v>
      </c>
      <c r="P178" s="5">
        <v>0.24304523635604072</v>
      </c>
      <c r="Q178" s="5">
        <v>0.22770673133561456</v>
      </c>
      <c r="R178" s="5">
        <v>0.22687567235896905</v>
      </c>
    </row>
    <row r="179" spans="1:18">
      <c r="A179" t="s">
        <v>563</v>
      </c>
      <c r="B179" t="s">
        <v>58</v>
      </c>
      <c r="C179" s="10">
        <v>113.04</v>
      </c>
      <c r="D179" s="10">
        <v>119</v>
      </c>
      <c r="E179" s="10">
        <v>0.19</v>
      </c>
      <c r="F179" s="10">
        <v>109.46638896235569</v>
      </c>
      <c r="G179" s="10">
        <v>105.49895873015872</v>
      </c>
      <c r="H179" s="10">
        <v>101.613815</v>
      </c>
      <c r="I179" s="10">
        <v>139.55555555555554</v>
      </c>
      <c r="J179" s="10">
        <v>135.14369007698232</v>
      </c>
      <c r="K179" s="10">
        <v>130.24562806192435</v>
      </c>
      <c r="L179" s="10">
        <v>125.44915432098765</v>
      </c>
      <c r="M179" s="10">
        <v>4.411865478573219</v>
      </c>
      <c r="N179" s="10">
        <v>9.3099274936311929</v>
      </c>
      <c r="O179" s="10">
        <v>14.106401234567898</v>
      </c>
      <c r="P179" s="5">
        <v>0.16355695234007095</v>
      </c>
      <c r="Q179" s="5">
        <v>0.13210138657202414</v>
      </c>
      <c r="R179" s="5">
        <v>9.891779971060026E-2</v>
      </c>
    </row>
    <row r="180" spans="1:18">
      <c r="A180" t="s">
        <v>564</v>
      </c>
      <c r="B180" t="s">
        <v>58</v>
      </c>
      <c r="C180" s="10">
        <v>67.27</v>
      </c>
      <c r="D180" s="10">
        <v>50</v>
      </c>
      <c r="E180" s="10">
        <v>0.19</v>
      </c>
      <c r="F180" s="10">
        <v>74.33519438103994</v>
      </c>
      <c r="G180" s="10">
        <v>68.072796144913198</v>
      </c>
      <c r="H180" s="10">
        <v>72.338539999999995</v>
      </c>
      <c r="I180" s="10">
        <v>83.049382716049379</v>
      </c>
      <c r="J180" s="10">
        <v>91.771844914864118</v>
      </c>
      <c r="K180" s="10">
        <v>84.04048906779407</v>
      </c>
      <c r="L180" s="10">
        <v>89.306839506172821</v>
      </c>
      <c r="M180" s="10">
        <v>8.7224621988147391</v>
      </c>
      <c r="N180" s="10">
        <v>0.99110635174469053</v>
      </c>
      <c r="O180" s="10">
        <v>6.2574567901234417</v>
      </c>
      <c r="P180" s="5">
        <v>0.26698651353902991</v>
      </c>
      <c r="Q180" s="5">
        <v>0.19955249254041821</v>
      </c>
      <c r="R180" s="5">
        <v>0.24675421981145862</v>
      </c>
    </row>
    <row r="181" spans="1:18">
      <c r="A181" t="s">
        <v>565</v>
      </c>
      <c r="B181" t="s">
        <v>58</v>
      </c>
      <c r="C181" s="10">
        <v>91.04</v>
      </c>
      <c r="D181" s="10">
        <v>99</v>
      </c>
      <c r="E181" s="10">
        <v>0.19</v>
      </c>
      <c r="F181" s="10">
        <v>91.220194553465873</v>
      </c>
      <c r="G181" s="10">
        <v>88.357991330891323</v>
      </c>
      <c r="H181" s="10">
        <v>87.005499999999998</v>
      </c>
      <c r="I181" s="10">
        <v>112.39506172839506</v>
      </c>
      <c r="J181" s="10">
        <v>112.61752414008131</v>
      </c>
      <c r="K181" s="10">
        <v>109.08393991468064</v>
      </c>
      <c r="L181" s="10">
        <v>107.41419753086419</v>
      </c>
      <c r="M181" s="10">
        <v>0.22246241168625147</v>
      </c>
      <c r="N181" s="10">
        <v>3.311121813714422</v>
      </c>
      <c r="O181" s="10">
        <v>4.9808641975308774</v>
      </c>
      <c r="P181" s="5">
        <v>0.1916000578492715</v>
      </c>
      <c r="Q181" s="5">
        <v>0.16541334983677336</v>
      </c>
      <c r="R181" s="5">
        <v>0.15243978828924593</v>
      </c>
    </row>
    <row r="182" spans="1:18">
      <c r="A182" t="s">
        <v>566</v>
      </c>
      <c r="B182" t="s">
        <v>58</v>
      </c>
      <c r="C182" s="10">
        <v>47.94</v>
      </c>
      <c r="D182" s="10">
        <v>50</v>
      </c>
      <c r="E182" s="10">
        <v>0.19</v>
      </c>
      <c r="F182" s="10">
        <v>58.103427396227119</v>
      </c>
      <c r="G182" s="10">
        <v>55.353618674808089</v>
      </c>
      <c r="H182" s="10">
        <v>55.172110000000004</v>
      </c>
      <c r="I182" s="10">
        <v>59.185185185185176</v>
      </c>
      <c r="J182" s="10">
        <v>71.732626415095197</v>
      </c>
      <c r="K182" s="10">
        <v>68.337800833096395</v>
      </c>
      <c r="L182" s="10">
        <v>68.113716049382717</v>
      </c>
      <c r="M182" s="10">
        <v>12.547441229910021</v>
      </c>
      <c r="N182" s="10">
        <v>9.1526156479112188</v>
      </c>
      <c r="O182" s="10">
        <v>8.9285308641975405</v>
      </c>
      <c r="P182" s="5">
        <v>0.33168486369667277</v>
      </c>
      <c r="Q182" s="5">
        <v>0.29848488807701906</v>
      </c>
      <c r="R182" s="5">
        <v>0.29617699957460397</v>
      </c>
    </row>
    <row r="183" spans="1:18">
      <c r="A183" t="s">
        <v>567</v>
      </c>
      <c r="B183" t="s">
        <v>61</v>
      </c>
      <c r="C183" s="10">
        <v>56.85</v>
      </c>
      <c r="D183" s="10">
        <v>50</v>
      </c>
      <c r="E183" s="10">
        <v>0.19</v>
      </c>
      <c r="F183" s="10">
        <v>57.050736502673544</v>
      </c>
      <c r="G183" s="10">
        <v>55.06796785747197</v>
      </c>
      <c r="H183" s="10">
        <v>56.585459999999998</v>
      </c>
      <c r="I183" s="10">
        <v>70.185185185185176</v>
      </c>
      <c r="J183" s="10">
        <v>70.433008027992031</v>
      </c>
      <c r="K183" s="10">
        <v>67.985145503051811</v>
      </c>
      <c r="L183" s="10">
        <v>69.858592592592586</v>
      </c>
      <c r="M183" s="10">
        <v>0.24782284280685474</v>
      </c>
      <c r="N183" s="10">
        <v>2.2000396821333652</v>
      </c>
      <c r="O183" s="10">
        <v>0.32659259259258988</v>
      </c>
      <c r="P183" s="5">
        <v>0.19285003449794116</v>
      </c>
      <c r="Q183" s="5">
        <v>0.16378791897344633</v>
      </c>
      <c r="R183" s="5">
        <v>0.18621320742112893</v>
      </c>
    </row>
    <row r="184" spans="1:18">
      <c r="A184" t="s">
        <v>568</v>
      </c>
      <c r="B184" t="s">
        <v>61</v>
      </c>
      <c r="C184" s="10">
        <v>100.73</v>
      </c>
      <c r="D184" s="10">
        <v>50</v>
      </c>
      <c r="E184" s="10">
        <v>0.19</v>
      </c>
      <c r="F184" s="10">
        <v>103.57571365801137</v>
      </c>
      <c r="G184" s="10">
        <v>99.635206559945118</v>
      </c>
      <c r="H184" s="10">
        <v>96.541210000000007</v>
      </c>
      <c r="I184" s="10">
        <v>124.35802469135803</v>
      </c>
      <c r="J184" s="10">
        <v>127.87125142964365</v>
      </c>
      <c r="K184" s="10">
        <v>123.00642785178408</v>
      </c>
      <c r="L184" s="10">
        <v>119.18667901234568</v>
      </c>
      <c r="M184" s="10">
        <v>3.5132267382856242</v>
      </c>
      <c r="N184" s="10">
        <v>1.3515968395739435</v>
      </c>
      <c r="O184" s="10">
        <v>5.1713456790123473</v>
      </c>
      <c r="P184" s="5">
        <v>0.21225452262486927</v>
      </c>
      <c r="Q184" s="5">
        <v>0.18109970544487267</v>
      </c>
      <c r="R184" s="5">
        <v>0.15485521675147843</v>
      </c>
    </row>
    <row r="185" spans="1:18">
      <c r="A185" t="s">
        <v>569</v>
      </c>
      <c r="B185" t="s">
        <v>61</v>
      </c>
      <c r="C185" s="10">
        <v>72.59</v>
      </c>
      <c r="D185" s="10">
        <v>50</v>
      </c>
      <c r="E185" s="10">
        <v>0.19</v>
      </c>
      <c r="F185" s="10">
        <v>73.318181648331034</v>
      </c>
      <c r="G185" s="10">
        <v>78.620229761904739</v>
      </c>
      <c r="H185" s="10">
        <v>72.663030000000006</v>
      </c>
      <c r="I185" s="10">
        <v>89.617283950617278</v>
      </c>
      <c r="J185" s="10">
        <v>90.516273639914857</v>
      </c>
      <c r="K185" s="10">
        <v>97.062012051734243</v>
      </c>
      <c r="L185" s="10">
        <v>89.707444444444448</v>
      </c>
      <c r="M185" s="10">
        <v>0.89898968929757928</v>
      </c>
      <c r="N185" s="10">
        <v>7.444728101116965</v>
      </c>
      <c r="O185" s="10">
        <v>9.0160493827170285E-2</v>
      </c>
      <c r="P185" s="5">
        <v>0.198044759456491</v>
      </c>
      <c r="Q185" s="5">
        <v>0.25212759898991799</v>
      </c>
      <c r="R185" s="5">
        <v>0.19081409074188069</v>
      </c>
    </row>
    <row r="186" spans="1:18">
      <c r="A186" t="s">
        <v>570</v>
      </c>
      <c r="B186" t="s">
        <v>61</v>
      </c>
      <c r="C186" s="10">
        <v>59.76</v>
      </c>
      <c r="D186" s="10">
        <v>50</v>
      </c>
      <c r="E186" s="10">
        <v>0.19</v>
      </c>
      <c r="F186" s="10">
        <v>59.514403815200197</v>
      </c>
      <c r="G186" s="10">
        <v>61.973941095657125</v>
      </c>
      <c r="H186" s="10">
        <v>60.138514999999998</v>
      </c>
      <c r="I186" s="10">
        <v>73.777777777777771</v>
      </c>
      <c r="J186" s="10">
        <v>73.474572611358269</v>
      </c>
      <c r="K186" s="10">
        <v>76.511038389700147</v>
      </c>
      <c r="L186" s="10">
        <v>74.245080246913574</v>
      </c>
      <c r="M186" s="10">
        <v>0.30320516641950235</v>
      </c>
      <c r="N186" s="10">
        <v>2.7332606119223755</v>
      </c>
      <c r="O186" s="10">
        <v>0.46730246913580231</v>
      </c>
      <c r="P186" s="5">
        <v>0.18665739893311289</v>
      </c>
      <c r="Q186" s="5">
        <v>0.21893623119295111</v>
      </c>
      <c r="R186" s="5">
        <v>0.19509818291988085</v>
      </c>
    </row>
    <row r="187" spans="1:18">
      <c r="A187" t="s">
        <v>571</v>
      </c>
      <c r="B187" t="s">
        <v>61</v>
      </c>
      <c r="C187" s="10">
        <v>105.62</v>
      </c>
      <c r="D187" s="10">
        <v>50</v>
      </c>
      <c r="E187" s="10">
        <v>0.19</v>
      </c>
      <c r="F187" s="10">
        <v>103.54856817131092</v>
      </c>
      <c r="G187" s="10">
        <v>99.360074139430338</v>
      </c>
      <c r="H187" s="10">
        <v>98.556809999999999</v>
      </c>
      <c r="I187" s="10">
        <v>130.39506172839506</v>
      </c>
      <c r="J187" s="10">
        <v>127.8377384830999</v>
      </c>
      <c r="K187" s="10">
        <v>122.66675819682757</v>
      </c>
      <c r="L187" s="10">
        <v>121.67507407407406</v>
      </c>
      <c r="M187" s="10">
        <v>2.5573232452951657</v>
      </c>
      <c r="N187" s="10">
        <v>7.7283035315674908</v>
      </c>
      <c r="O187" s="10">
        <v>8.7199876543210024</v>
      </c>
      <c r="P187" s="5">
        <v>0.17379639804905553</v>
      </c>
      <c r="Q187" s="5">
        <v>0.13896803378038919</v>
      </c>
      <c r="R187" s="5">
        <v>0.13195039490421806</v>
      </c>
    </row>
    <row r="188" spans="1:18">
      <c r="A188" t="s">
        <v>572</v>
      </c>
      <c r="B188" t="s">
        <v>61</v>
      </c>
      <c r="C188" s="10">
        <v>86.03</v>
      </c>
      <c r="D188" s="10">
        <v>50</v>
      </c>
      <c r="E188" s="10">
        <v>0.19</v>
      </c>
      <c r="F188" s="10">
        <v>87.019132572309019</v>
      </c>
      <c r="G188" s="10">
        <v>85.190521713009176</v>
      </c>
      <c r="H188" s="10">
        <v>89.420919999999995</v>
      </c>
      <c r="I188" s="10">
        <v>106.20987654320987</v>
      </c>
      <c r="J188" s="10">
        <v>107.43102786704816</v>
      </c>
      <c r="K188" s="10">
        <v>105.17348359630762</v>
      </c>
      <c r="L188" s="10">
        <v>110.39619753086419</v>
      </c>
      <c r="M188" s="10">
        <v>1.221151323838285</v>
      </c>
      <c r="N188" s="10">
        <v>1.0363929469022537</v>
      </c>
      <c r="O188" s="10">
        <v>4.1863209876543124</v>
      </c>
      <c r="P188" s="5">
        <v>0.19920714054354122</v>
      </c>
      <c r="Q188" s="5">
        <v>0.18201815649453013</v>
      </c>
      <c r="R188" s="5">
        <v>0.2207159130100651</v>
      </c>
    </row>
    <row r="189" spans="1:18">
      <c r="A189" t="s">
        <v>573</v>
      </c>
      <c r="B189" t="s">
        <v>61</v>
      </c>
      <c r="C189" s="10">
        <v>51.65</v>
      </c>
      <c r="D189" s="10">
        <v>50</v>
      </c>
      <c r="E189" s="10">
        <v>0.19</v>
      </c>
      <c r="F189" s="10">
        <v>55.868082523661457</v>
      </c>
      <c r="G189" s="10">
        <v>54.608203166643499</v>
      </c>
      <c r="H189" s="10">
        <v>52.895355000000002</v>
      </c>
      <c r="I189" s="10">
        <v>63.765432098765423</v>
      </c>
      <c r="J189" s="10">
        <v>68.972941387236361</v>
      </c>
      <c r="K189" s="10">
        <v>67.417534773633946</v>
      </c>
      <c r="L189" s="10">
        <v>65.302907407407403</v>
      </c>
      <c r="M189" s="10">
        <v>5.2075092884709377</v>
      </c>
      <c r="N189" s="10">
        <v>3.652102674868523</v>
      </c>
      <c r="O189" s="10">
        <v>1.5374753086419801</v>
      </c>
      <c r="P189" s="5">
        <v>0.25115561318430335</v>
      </c>
      <c r="Q189" s="5">
        <v>0.23387883918592065</v>
      </c>
      <c r="R189" s="5">
        <v>0.20907043728130756</v>
      </c>
    </row>
    <row r="190" spans="1:18">
      <c r="A190" t="s">
        <v>574</v>
      </c>
      <c r="B190" t="s">
        <v>61</v>
      </c>
      <c r="C190" s="10">
        <v>56.72</v>
      </c>
      <c r="D190" s="10">
        <v>50</v>
      </c>
      <c r="E190" s="10">
        <v>0.19</v>
      </c>
      <c r="F190" s="10">
        <v>52.663405747053126</v>
      </c>
      <c r="G190" s="10">
        <v>55.557906851898295</v>
      </c>
      <c r="H190" s="10">
        <v>55.307082999999999</v>
      </c>
      <c r="I190" s="10">
        <v>70.024691358024683</v>
      </c>
      <c r="J190" s="10">
        <v>65.016550305003861</v>
      </c>
      <c r="K190" s="10">
        <v>68.590008459133699</v>
      </c>
      <c r="L190" s="10">
        <v>68.280349382716039</v>
      </c>
      <c r="M190" s="10">
        <v>5.0081410530208217</v>
      </c>
      <c r="N190" s="10">
        <v>1.4346828988909834</v>
      </c>
      <c r="O190" s="10">
        <v>1.7443419753086431</v>
      </c>
      <c r="P190" s="5">
        <v>0.12760674422256044</v>
      </c>
      <c r="Q190" s="5">
        <v>0.17305739896804234</v>
      </c>
      <c r="R190" s="5">
        <v>0.1693071211150296</v>
      </c>
    </row>
    <row r="191" spans="1:18">
      <c r="A191" t="s">
        <v>575</v>
      </c>
      <c r="B191" t="s">
        <v>61</v>
      </c>
      <c r="C191" s="10">
        <v>51.38</v>
      </c>
      <c r="D191" s="10">
        <v>50</v>
      </c>
      <c r="E191" s="10">
        <v>0.19</v>
      </c>
      <c r="F191" s="10">
        <v>48.145480132276447</v>
      </c>
      <c r="G191" s="10">
        <v>48.348402452242901</v>
      </c>
      <c r="H191" s="10">
        <v>47.016199999999998</v>
      </c>
      <c r="I191" s="10">
        <v>63.432098765432094</v>
      </c>
      <c r="J191" s="10">
        <v>59.438864360835119</v>
      </c>
      <c r="K191" s="10">
        <v>59.689385743509753</v>
      </c>
      <c r="L191" s="10">
        <v>58.044691358024686</v>
      </c>
      <c r="M191" s="10">
        <v>3.9932344045969757</v>
      </c>
      <c r="N191" s="10">
        <v>3.7427130219223415</v>
      </c>
      <c r="O191" s="10">
        <v>5.3874074074074088</v>
      </c>
      <c r="P191" s="5">
        <v>0.13558240803377772</v>
      </c>
      <c r="Q191" s="5">
        <v>0.13921044152164458</v>
      </c>
      <c r="R191" s="5">
        <v>0.11481999821338164</v>
      </c>
    </row>
    <row r="192" spans="1:18">
      <c r="A192" t="s">
        <v>576</v>
      </c>
      <c r="B192" t="s">
        <v>61</v>
      </c>
      <c r="C192" s="10">
        <v>52.39</v>
      </c>
      <c r="D192" s="10">
        <v>50</v>
      </c>
      <c r="E192" s="10">
        <v>0.19</v>
      </c>
      <c r="F192" s="10">
        <v>51.689392941525483</v>
      </c>
      <c r="G192" s="10">
        <v>49.086379868288567</v>
      </c>
      <c r="H192" s="10">
        <v>48.545096999999998</v>
      </c>
      <c r="I192" s="10">
        <v>64.679012345679013</v>
      </c>
      <c r="J192" s="10">
        <v>63.814065359908</v>
      </c>
      <c r="K192" s="10">
        <v>60.60046897319576</v>
      </c>
      <c r="L192" s="10">
        <v>59.932218518518511</v>
      </c>
      <c r="M192" s="10">
        <v>0.86494698577101303</v>
      </c>
      <c r="N192" s="10">
        <v>4.0785433724832529</v>
      </c>
      <c r="O192" s="10">
        <v>4.7467938271605021</v>
      </c>
      <c r="P192" s="5">
        <v>0.17902111854928637</v>
      </c>
      <c r="Q192" s="5">
        <v>0.13548523818895425</v>
      </c>
      <c r="R192" s="5">
        <v>0.12584580889806429</v>
      </c>
    </row>
    <row r="193" spans="1:18">
      <c r="A193" t="s">
        <v>577</v>
      </c>
      <c r="B193" t="s">
        <v>61</v>
      </c>
      <c r="C193" s="10">
        <v>49.8</v>
      </c>
      <c r="D193" s="10">
        <v>50</v>
      </c>
      <c r="E193" s="10">
        <v>0.19</v>
      </c>
      <c r="F193" s="10">
        <v>52.908967437879745</v>
      </c>
      <c r="G193" s="10">
        <v>51.860175416378937</v>
      </c>
      <c r="H193" s="10">
        <v>52.125346999999998</v>
      </c>
      <c r="I193" s="10">
        <v>61.481481481481474</v>
      </c>
      <c r="J193" s="10">
        <v>65.31971288627129</v>
      </c>
      <c r="K193" s="10">
        <v>64.02490792145548</v>
      </c>
      <c r="L193" s="10">
        <v>64.35228024691358</v>
      </c>
      <c r="M193" s="10">
        <v>3.8382314047898163</v>
      </c>
      <c r="N193" s="10">
        <v>2.5434264399740059</v>
      </c>
      <c r="O193" s="10">
        <v>2.8707987654321059</v>
      </c>
      <c r="P193" s="5">
        <v>0.23759615896188641</v>
      </c>
      <c r="Q193" s="5">
        <v>0.2221777177548826</v>
      </c>
      <c r="R193" s="5">
        <v>0.22613464808205502</v>
      </c>
    </row>
    <row r="194" spans="1:18">
      <c r="A194" t="s">
        <v>578</v>
      </c>
      <c r="B194" t="s">
        <v>61</v>
      </c>
      <c r="C194" s="10">
        <v>46.82</v>
      </c>
      <c r="D194" s="10">
        <v>50</v>
      </c>
      <c r="E194" s="10">
        <v>0.19</v>
      </c>
      <c r="F194" s="10">
        <v>51.967646341499588</v>
      </c>
      <c r="G194" s="10">
        <v>48.703327766243277</v>
      </c>
      <c r="H194" s="10">
        <v>50.415557999999997</v>
      </c>
      <c r="I194" s="10">
        <v>57.802469135802468</v>
      </c>
      <c r="J194" s="10">
        <v>64.157588075925418</v>
      </c>
      <c r="K194" s="10">
        <v>60.127565143510218</v>
      </c>
      <c r="L194" s="10">
        <v>62.241429629629621</v>
      </c>
      <c r="M194" s="10">
        <v>6.3551189401229493</v>
      </c>
      <c r="N194" s="10">
        <v>2.3250960077077494</v>
      </c>
      <c r="O194" s="10">
        <v>4.4389604938271532</v>
      </c>
      <c r="P194" s="5">
        <v>0.27023441179565161</v>
      </c>
      <c r="Q194" s="5">
        <v>0.22132220241661574</v>
      </c>
      <c r="R194" s="5">
        <v>0.24776792116433571</v>
      </c>
    </row>
    <row r="195" spans="1:18">
      <c r="A195" t="s">
        <v>580</v>
      </c>
      <c r="B195" t="s">
        <v>61</v>
      </c>
      <c r="C195" s="10">
        <v>71.84</v>
      </c>
      <c r="D195" s="10">
        <v>50</v>
      </c>
      <c r="E195" s="10">
        <v>0.19</v>
      </c>
      <c r="F195" s="10">
        <v>76.460464873272244</v>
      </c>
      <c r="G195" s="10">
        <v>76.103274181160742</v>
      </c>
      <c r="H195" s="10">
        <v>73.514319999999998</v>
      </c>
      <c r="I195" s="10">
        <v>88.691358024691354</v>
      </c>
      <c r="J195" s="10">
        <v>94.395635646015108</v>
      </c>
      <c r="K195" s="10">
        <v>93.954659482914494</v>
      </c>
      <c r="L195" s="10">
        <v>90.758419753086415</v>
      </c>
      <c r="M195" s="10">
        <v>5.7042776213237545</v>
      </c>
      <c r="N195" s="10">
        <v>5.2633014582231397</v>
      </c>
      <c r="O195" s="10">
        <v>2.0670617283950605</v>
      </c>
      <c r="P195" s="5">
        <v>0.23894786545639715</v>
      </c>
      <c r="Q195" s="5">
        <v>0.23537586751550099</v>
      </c>
      <c r="R195" s="5">
        <v>0.20844809555471633</v>
      </c>
    </row>
    <row r="196" spans="1:18">
      <c r="A196" t="s">
        <v>581</v>
      </c>
      <c r="B196" t="s">
        <v>61</v>
      </c>
      <c r="C196" s="10">
        <v>74.53</v>
      </c>
      <c r="D196" s="10">
        <v>50</v>
      </c>
      <c r="E196" s="10">
        <v>0.19</v>
      </c>
      <c r="F196" s="10">
        <v>82.595087488988639</v>
      </c>
      <c r="G196" s="10">
        <v>79.908052184146285</v>
      </c>
      <c r="H196" s="10">
        <v>78.930940000000007</v>
      </c>
      <c r="I196" s="10">
        <v>92.012345679012341</v>
      </c>
      <c r="J196" s="10">
        <v>101.96924381356621</v>
      </c>
      <c r="K196" s="10">
        <v>98.651916276723796</v>
      </c>
      <c r="L196" s="10">
        <v>97.4456049382716</v>
      </c>
      <c r="M196" s="10">
        <v>9.9568981345538674</v>
      </c>
      <c r="N196" s="10">
        <v>6.6395705977114545</v>
      </c>
      <c r="O196" s="10">
        <v>5.433259259259259</v>
      </c>
      <c r="P196" s="5">
        <v>0.2690933342972936</v>
      </c>
      <c r="Q196" s="5">
        <v>0.24451543555485081</v>
      </c>
      <c r="R196" s="5">
        <v>0.23516304252806308</v>
      </c>
    </row>
    <row r="197" spans="1:18">
      <c r="A197" t="s">
        <v>582</v>
      </c>
      <c r="B197" t="s">
        <v>61</v>
      </c>
      <c r="C197" s="10">
        <v>94.64</v>
      </c>
      <c r="D197" s="10">
        <v>50</v>
      </c>
      <c r="E197" s="10">
        <v>0.19</v>
      </c>
      <c r="F197" s="10">
        <v>95.895240315890064</v>
      </c>
      <c r="G197" s="10">
        <v>90.710705662393252</v>
      </c>
      <c r="H197" s="10">
        <v>85.881119999999996</v>
      </c>
      <c r="I197" s="10">
        <v>116.83950617283949</v>
      </c>
      <c r="J197" s="10">
        <v>118.38918557517292</v>
      </c>
      <c r="K197" s="10">
        <v>111.98852550912747</v>
      </c>
      <c r="L197" s="10">
        <v>106.02607407407406</v>
      </c>
      <c r="M197" s="10">
        <v>1.5496794023334246</v>
      </c>
      <c r="N197" s="10">
        <v>4.8509806637120221</v>
      </c>
      <c r="O197" s="10">
        <v>10.813432098765432</v>
      </c>
      <c r="P197" s="5">
        <v>0.20060266028346846</v>
      </c>
      <c r="Q197" s="5">
        <v>0.15491342019422785</v>
      </c>
      <c r="R197" s="5">
        <v>0.10738937731599203</v>
      </c>
    </row>
    <row r="198" spans="1:18">
      <c r="A198" t="s">
        <v>583</v>
      </c>
      <c r="B198" t="s">
        <v>61</v>
      </c>
      <c r="C198" s="10">
        <v>70.989999999999995</v>
      </c>
      <c r="D198" s="10">
        <v>50</v>
      </c>
      <c r="E198" s="10">
        <v>0.19</v>
      </c>
      <c r="F198" s="10">
        <v>71.526309053693097</v>
      </c>
      <c r="G198" s="10">
        <v>69.368760978390156</v>
      </c>
      <c r="H198" s="10">
        <v>70.713809999999995</v>
      </c>
      <c r="I198" s="10">
        <v>87.64197530864196</v>
      </c>
      <c r="J198" s="10">
        <v>88.304085251472955</v>
      </c>
      <c r="K198" s="10">
        <v>85.640445652333526</v>
      </c>
      <c r="L198" s="10">
        <v>87.300999999999988</v>
      </c>
      <c r="M198" s="10">
        <v>0.66210994283099467</v>
      </c>
      <c r="N198" s="10">
        <v>2.0015296563084348</v>
      </c>
      <c r="O198" s="10">
        <v>0.34097530864197267</v>
      </c>
      <c r="P198" s="5">
        <v>0.19607343422635312</v>
      </c>
      <c r="Q198" s="5">
        <v>0.17106923651248346</v>
      </c>
      <c r="R198" s="5">
        <v>0.18683634780815792</v>
      </c>
    </row>
    <row r="199" spans="1:18">
      <c r="A199" t="s">
        <v>584</v>
      </c>
      <c r="B199" t="s">
        <v>61</v>
      </c>
      <c r="C199" s="10">
        <v>64.14</v>
      </c>
      <c r="D199" s="10">
        <v>50</v>
      </c>
      <c r="E199" s="10">
        <v>0.19</v>
      </c>
      <c r="F199" s="10">
        <v>61.885211687277888</v>
      </c>
      <c r="G199" s="10">
        <v>60.153954196049078</v>
      </c>
      <c r="H199" s="10">
        <v>59.912750000000003</v>
      </c>
      <c r="I199" s="10">
        <v>79.185185185185176</v>
      </c>
      <c r="J199" s="10">
        <v>76.401495910219609</v>
      </c>
      <c r="K199" s="10">
        <v>74.264140982776638</v>
      </c>
      <c r="L199" s="10">
        <v>73.96635802469136</v>
      </c>
      <c r="M199" s="10">
        <v>2.7836892749655675</v>
      </c>
      <c r="N199" s="10">
        <v>4.9210442024085381</v>
      </c>
      <c r="O199" s="10">
        <v>5.2188271604938166</v>
      </c>
      <c r="P199" s="5">
        <v>0.1604876418208912</v>
      </c>
      <c r="Q199" s="5">
        <v>0.13632610367262757</v>
      </c>
      <c r="R199" s="5">
        <v>0.13284901794693119</v>
      </c>
    </row>
    <row r="200" spans="1:18">
      <c r="A200" t="s">
        <v>585</v>
      </c>
      <c r="B200" t="s">
        <v>61</v>
      </c>
      <c r="C200" s="10">
        <v>57.53</v>
      </c>
      <c r="D200" s="10">
        <v>50</v>
      </c>
      <c r="E200" s="10">
        <v>0.19</v>
      </c>
      <c r="F200" s="10">
        <v>54.878629536035447</v>
      </c>
      <c r="G200" s="10">
        <v>54.609904816654677</v>
      </c>
      <c r="H200" s="10">
        <v>53.635677000000001</v>
      </c>
      <c r="I200" s="10">
        <v>71.024691358024683</v>
      </c>
      <c r="J200" s="10">
        <v>67.751394488932647</v>
      </c>
      <c r="K200" s="10">
        <v>67.419635576116875</v>
      </c>
      <c r="L200" s="10">
        <v>66.216885185185177</v>
      </c>
      <c r="M200" s="10">
        <v>3.2732968690920359</v>
      </c>
      <c r="N200" s="10">
        <v>3.605055781907808</v>
      </c>
      <c r="O200" s="10">
        <v>4.8078061728395056</v>
      </c>
      <c r="P200" s="5">
        <v>0.15086618609159896</v>
      </c>
      <c r="Q200" s="5">
        <v>0.14668776375914194</v>
      </c>
      <c r="R200" s="5">
        <v>0.13118836926398811</v>
      </c>
    </row>
    <row r="201" spans="1:18">
      <c r="A201" t="s">
        <v>586</v>
      </c>
      <c r="B201" t="s">
        <v>61</v>
      </c>
      <c r="C201" s="10">
        <v>51.87</v>
      </c>
      <c r="D201" s="10">
        <v>50</v>
      </c>
      <c r="E201" s="10">
        <v>0.19</v>
      </c>
      <c r="F201" s="10">
        <v>50.192459254750759</v>
      </c>
      <c r="G201" s="10">
        <v>48.606984587046981</v>
      </c>
      <c r="H201" s="10">
        <v>49.076847000000001</v>
      </c>
      <c r="I201" s="10">
        <v>64.037037037037024</v>
      </c>
      <c r="J201" s="10">
        <v>61.965999079939202</v>
      </c>
      <c r="K201" s="10">
        <v>60.008622946971578</v>
      </c>
      <c r="L201" s="10">
        <v>60.588699999999996</v>
      </c>
      <c r="M201" s="10">
        <v>2.0710379570978219</v>
      </c>
      <c r="N201" s="10">
        <v>4.0284140900654464</v>
      </c>
      <c r="O201" s="10">
        <v>3.4483370370370281</v>
      </c>
      <c r="P201" s="5">
        <v>0.16292804489305282</v>
      </c>
      <c r="Q201" s="5">
        <v>0.13562422444126937</v>
      </c>
      <c r="R201" s="5">
        <v>0.14389977008914201</v>
      </c>
    </row>
    <row r="202" spans="1:18">
      <c r="A202" t="s">
        <v>587</v>
      </c>
      <c r="B202" t="s">
        <v>61</v>
      </c>
      <c r="C202" s="10">
        <v>58.36</v>
      </c>
      <c r="D202" s="10">
        <v>50</v>
      </c>
      <c r="E202" s="10">
        <v>0.19</v>
      </c>
      <c r="F202" s="10">
        <v>62.124611357471871</v>
      </c>
      <c r="G202" s="10">
        <v>64.547219291201628</v>
      </c>
      <c r="H202" s="10">
        <v>61.56861</v>
      </c>
      <c r="I202" s="10">
        <v>72.049382716049379</v>
      </c>
      <c r="J202" s="10">
        <v>76.697051058607244</v>
      </c>
      <c r="K202" s="10">
        <v>79.687925050866198</v>
      </c>
      <c r="L202" s="10">
        <v>76.010629629629619</v>
      </c>
      <c r="M202" s="10">
        <v>4.6476683425578642</v>
      </c>
      <c r="N202" s="10">
        <v>7.6385423348168189</v>
      </c>
      <c r="O202" s="10">
        <v>3.9612469135802399</v>
      </c>
      <c r="P202" s="5">
        <v>0.23908417345270785</v>
      </c>
      <c r="Q202" s="5">
        <v>0.26764312205710228</v>
      </c>
      <c r="R202" s="5">
        <v>0.23221264862078247</v>
      </c>
    </row>
    <row r="203" spans="1:18">
      <c r="A203" t="s">
        <v>588</v>
      </c>
      <c r="B203" t="s">
        <v>61</v>
      </c>
      <c r="C203" s="10">
        <v>55.85</v>
      </c>
      <c r="D203" s="10">
        <v>50</v>
      </c>
      <c r="E203" s="10">
        <v>0.19</v>
      </c>
      <c r="F203" s="10">
        <v>58.430756552473952</v>
      </c>
      <c r="G203" s="10">
        <v>57.412128571018101</v>
      </c>
      <c r="H203" s="10">
        <v>55.874769999999998</v>
      </c>
      <c r="I203" s="10">
        <v>68.950617283950621</v>
      </c>
      <c r="J203" s="10">
        <v>72.136736484535732</v>
      </c>
      <c r="K203" s="10">
        <v>70.879171075330987</v>
      </c>
      <c r="L203" s="10">
        <v>68.981197530864193</v>
      </c>
      <c r="M203" s="10">
        <v>3.1861192005851109</v>
      </c>
      <c r="N203" s="10">
        <v>1.9285537913803665</v>
      </c>
      <c r="O203" s="10">
        <v>3.0580246913572751E-2</v>
      </c>
      <c r="P203" s="5">
        <v>0.22577589835973783</v>
      </c>
      <c r="Q203" s="5">
        <v>0.21203931771941653</v>
      </c>
      <c r="R203" s="5">
        <v>0.19035908335730056</v>
      </c>
    </row>
    <row r="204" spans="1:18">
      <c r="A204" t="s">
        <v>589</v>
      </c>
      <c r="B204" t="s">
        <v>61</v>
      </c>
      <c r="C204" s="10">
        <v>98.65</v>
      </c>
      <c r="D204" s="10">
        <v>60</v>
      </c>
      <c r="E204" s="10">
        <v>0.19</v>
      </c>
      <c r="F204" s="10">
        <v>92.929873269290084</v>
      </c>
      <c r="G204" s="10">
        <v>98.03710545674403</v>
      </c>
      <c r="H204" s="10">
        <v>96.592529999999996</v>
      </c>
      <c r="I204" s="10">
        <v>121.79012345679013</v>
      </c>
      <c r="J204" s="10">
        <v>114.72823860406183</v>
      </c>
      <c r="K204" s="10">
        <v>121.03346352684447</v>
      </c>
      <c r="L204" s="10">
        <v>119.25003703703702</v>
      </c>
      <c r="M204" s="10">
        <v>7.0618848527282978</v>
      </c>
      <c r="N204" s="10">
        <v>0.75665992994565556</v>
      </c>
      <c r="O204" s="10">
        <v>2.5400864197531092</v>
      </c>
      <c r="P204" s="5">
        <v>0.14014194586870082</v>
      </c>
      <c r="Q204" s="5">
        <v>0.18493615628771917</v>
      </c>
      <c r="R204" s="5">
        <v>0.17274658816784261</v>
      </c>
    </row>
    <row r="205" spans="1:18">
      <c r="A205" t="s">
        <v>590</v>
      </c>
      <c r="B205" t="s">
        <v>61</v>
      </c>
      <c r="C205" s="10">
        <v>98.12</v>
      </c>
      <c r="D205" s="10">
        <v>50</v>
      </c>
      <c r="E205" s="10">
        <v>0.19</v>
      </c>
      <c r="F205" s="10">
        <v>101.55647357503098</v>
      </c>
      <c r="G205" s="10">
        <v>98.498644858829721</v>
      </c>
      <c r="H205" s="10">
        <v>98.744209999999995</v>
      </c>
      <c r="I205" s="10">
        <v>121.1358024691358</v>
      </c>
      <c r="J205" s="10">
        <v>125.37836243830984</v>
      </c>
      <c r="K205" s="10">
        <v>121.60326525781446</v>
      </c>
      <c r="L205" s="10">
        <v>121.90643209876542</v>
      </c>
      <c r="M205" s="10">
        <v>4.2425599691740388</v>
      </c>
      <c r="N205" s="10">
        <v>0.46746278867865954</v>
      </c>
      <c r="O205" s="10">
        <v>0.77062962962962445</v>
      </c>
      <c r="P205" s="5">
        <v>0.21740882484186072</v>
      </c>
      <c r="Q205" s="5">
        <v>0.19311377213454697</v>
      </c>
      <c r="R205" s="5">
        <v>0.19512040250258714</v>
      </c>
    </row>
    <row r="206" spans="1:18">
      <c r="A206" t="s">
        <v>591</v>
      </c>
      <c r="B206" t="s">
        <v>61</v>
      </c>
      <c r="C206" s="10">
        <v>66.150000000000006</v>
      </c>
      <c r="D206" s="10">
        <v>50</v>
      </c>
      <c r="E206" s="10">
        <v>0.19</v>
      </c>
      <c r="F206" s="10">
        <v>62.717293136234012</v>
      </c>
      <c r="G206" s="10">
        <v>61.286877522615342</v>
      </c>
      <c r="H206" s="10">
        <v>61.214672</v>
      </c>
      <c r="I206" s="10">
        <v>81.666666666666671</v>
      </c>
      <c r="J206" s="10">
        <v>77.428756958313585</v>
      </c>
      <c r="K206" s="10">
        <v>75.662811756315236</v>
      </c>
      <c r="L206" s="10">
        <v>75.573669135802461</v>
      </c>
      <c r="M206" s="10">
        <v>4.2379097083530866</v>
      </c>
      <c r="N206" s="10">
        <v>6.0038549103514356</v>
      </c>
      <c r="O206" s="10">
        <v>6.0929975308642099</v>
      </c>
      <c r="P206" s="5">
        <v>0.14566625374582576</v>
      </c>
      <c r="Q206" s="5">
        <v>0.12572638440866873</v>
      </c>
      <c r="R206" s="5">
        <v>0.12469513844654742</v>
      </c>
    </row>
    <row r="207" spans="1:18">
      <c r="A207" t="s">
        <v>592</v>
      </c>
      <c r="B207" t="s">
        <v>61</v>
      </c>
      <c r="C207" s="10">
        <v>50.52</v>
      </c>
      <c r="D207" s="10">
        <v>50</v>
      </c>
      <c r="E207" s="10">
        <v>0.19</v>
      </c>
      <c r="F207" s="10">
        <v>51.869360538552669</v>
      </c>
      <c r="G207" s="10">
        <v>51.145932554182529</v>
      </c>
      <c r="H207" s="10">
        <v>50.707644999999999</v>
      </c>
      <c r="I207" s="10">
        <v>62.370370370370367</v>
      </c>
      <c r="J207" s="10">
        <v>64.036247578460078</v>
      </c>
      <c r="K207" s="10">
        <v>63.143126610101881</v>
      </c>
      <c r="L207" s="10">
        <v>62.602030864197523</v>
      </c>
      <c r="M207" s="10">
        <v>1.6658772080897108</v>
      </c>
      <c r="N207" s="10">
        <v>0.77275623973151397</v>
      </c>
      <c r="O207" s="10">
        <v>0.2316604938271567</v>
      </c>
      <c r="P207" s="5">
        <v>0.21107182399935853</v>
      </c>
      <c r="Q207" s="5">
        <v>0.19991291669871764</v>
      </c>
      <c r="R207" s="5">
        <v>0.19299742671938311</v>
      </c>
    </row>
    <row r="208" spans="1:18">
      <c r="A208" t="s">
        <v>593</v>
      </c>
      <c r="B208" t="s">
        <v>61</v>
      </c>
      <c r="C208" s="10">
        <v>65.39</v>
      </c>
      <c r="D208" s="10">
        <v>50</v>
      </c>
      <c r="E208" s="10">
        <v>0.19</v>
      </c>
      <c r="F208" s="10">
        <v>58.415873164121948</v>
      </c>
      <c r="G208" s="10">
        <v>59.869391327006916</v>
      </c>
      <c r="H208" s="10">
        <v>59.150623000000003</v>
      </c>
      <c r="I208" s="10">
        <v>80.728395061728392</v>
      </c>
      <c r="J208" s="10">
        <v>72.118361931014746</v>
      </c>
      <c r="K208" s="10">
        <v>73.912828798773972</v>
      </c>
      <c r="L208" s="10">
        <v>73.025460493827154</v>
      </c>
      <c r="M208" s="10">
        <v>8.6100331307136457</v>
      </c>
      <c r="N208" s="10">
        <v>6.8155662629544196</v>
      </c>
      <c r="O208" s="10">
        <v>7.702934567901238</v>
      </c>
      <c r="P208" s="5">
        <v>9.329610033920073E-2</v>
      </c>
      <c r="Q208" s="5">
        <v>0.11530919513278517</v>
      </c>
      <c r="R208" s="5">
        <v>0.10455888182276618</v>
      </c>
    </row>
    <row r="209" spans="1:18">
      <c r="A209" t="s">
        <v>594</v>
      </c>
      <c r="B209" t="s">
        <v>61</v>
      </c>
      <c r="C209" s="10">
        <v>49.44</v>
      </c>
      <c r="D209" s="10">
        <v>50</v>
      </c>
      <c r="E209" s="10">
        <v>0.19</v>
      </c>
      <c r="F209" s="10">
        <v>52.315347869595854</v>
      </c>
      <c r="G209" s="10">
        <v>54.997827659287552</v>
      </c>
      <c r="H209" s="10">
        <v>53.253810000000001</v>
      </c>
      <c r="I209" s="10">
        <v>61.037037037037031</v>
      </c>
      <c r="J209" s="10">
        <v>64.58684922172327</v>
      </c>
      <c r="K209" s="10">
        <v>67.898552665787093</v>
      </c>
      <c r="L209" s="10">
        <v>65.745444444444445</v>
      </c>
      <c r="M209" s="10">
        <v>3.5498121846862389</v>
      </c>
      <c r="N209" s="10">
        <v>6.8615156287500625</v>
      </c>
      <c r="O209" s="10">
        <v>4.7084074074074138</v>
      </c>
      <c r="P209" s="5">
        <v>0.23451909180032815</v>
      </c>
      <c r="Q209" s="5">
        <v>0.2718548767400758</v>
      </c>
      <c r="R209" s="5">
        <v>0.24800873402297416</v>
      </c>
    </row>
    <row r="210" spans="1:18">
      <c r="A210" t="s">
        <v>595</v>
      </c>
      <c r="B210" t="s">
        <v>61</v>
      </c>
      <c r="C210" s="10">
        <v>59.51</v>
      </c>
      <c r="D210" s="10">
        <v>50</v>
      </c>
      <c r="E210" s="10">
        <v>0.19</v>
      </c>
      <c r="F210" s="10">
        <v>59.027867682829346</v>
      </c>
      <c r="G210" s="10">
        <v>60.834283789555286</v>
      </c>
      <c r="H210" s="10">
        <v>60.261490000000002</v>
      </c>
      <c r="I210" s="10">
        <v>73.469135802469125</v>
      </c>
      <c r="J210" s="10">
        <v>72.873910719542394</v>
      </c>
      <c r="K210" s="10">
        <v>75.104054061179355</v>
      </c>
      <c r="L210" s="10">
        <v>74.396901234567892</v>
      </c>
      <c r="M210" s="10">
        <v>0.59522508292673137</v>
      </c>
      <c r="N210" s="10">
        <v>1.6349182587102291</v>
      </c>
      <c r="O210" s="10">
        <v>0.9277654320987665</v>
      </c>
      <c r="P210" s="5">
        <v>0.18338402025621817</v>
      </c>
      <c r="Q210" s="5">
        <v>0.20763265387080868</v>
      </c>
      <c r="R210" s="5">
        <v>0.20010109275426138</v>
      </c>
    </row>
    <row r="211" spans="1:18">
      <c r="A211" t="s">
        <v>596</v>
      </c>
      <c r="B211" t="s">
        <v>61</v>
      </c>
      <c r="C211" s="10">
        <v>62.74</v>
      </c>
      <c r="D211" s="10">
        <v>50</v>
      </c>
      <c r="E211" s="10">
        <v>0.19</v>
      </c>
      <c r="F211" s="10">
        <v>63.217842433506597</v>
      </c>
      <c r="G211" s="10">
        <v>62.404713624129414</v>
      </c>
      <c r="H211" s="10">
        <v>61.056530000000002</v>
      </c>
      <c r="I211" s="10">
        <v>77.456790123456784</v>
      </c>
      <c r="J211" s="10">
        <v>78.04671905371184</v>
      </c>
      <c r="K211" s="10">
        <v>77.042856326085698</v>
      </c>
      <c r="L211" s="10">
        <v>75.37843209876543</v>
      </c>
      <c r="M211" s="10">
        <v>0.58992893025505566</v>
      </c>
      <c r="N211" s="10">
        <v>0.4139337973710866</v>
      </c>
      <c r="O211" s="10">
        <v>2.0783580246913544</v>
      </c>
      <c r="P211" s="5">
        <v>0.19612251788800675</v>
      </c>
      <c r="Q211" s="5">
        <v>0.18564805366961631</v>
      </c>
      <c r="R211" s="5">
        <v>0.1676664232310614</v>
      </c>
    </row>
    <row r="212" spans="1:18">
      <c r="A212" t="s">
        <v>597</v>
      </c>
      <c r="B212" t="s">
        <v>61</v>
      </c>
      <c r="C212" s="10">
        <v>58.22</v>
      </c>
      <c r="D212" s="10">
        <v>50</v>
      </c>
      <c r="E212" s="10">
        <v>0.19</v>
      </c>
      <c r="F212" s="10">
        <v>59.903755740365604</v>
      </c>
      <c r="G212" s="10">
        <v>61.102453434725504</v>
      </c>
      <c r="H212" s="10">
        <v>60.615513</v>
      </c>
      <c r="I212" s="10">
        <v>71.87654320987653</v>
      </c>
      <c r="J212" s="10">
        <v>73.955254000451362</v>
      </c>
      <c r="K212" s="10">
        <v>75.435127697191973</v>
      </c>
      <c r="L212" s="10">
        <v>74.833966666666669</v>
      </c>
      <c r="M212" s="10">
        <v>2.0787107905748314</v>
      </c>
      <c r="N212" s="10">
        <v>3.5585844873154429</v>
      </c>
      <c r="O212" s="10">
        <v>2.9574234567901385</v>
      </c>
      <c r="P212" s="5">
        <v>0.21276722273653914</v>
      </c>
      <c r="Q212" s="5">
        <v>0.22821102346768873</v>
      </c>
      <c r="R212" s="5">
        <v>0.22201103865936106</v>
      </c>
    </row>
    <row r="213" spans="1:18">
      <c r="A213" t="s">
        <v>598</v>
      </c>
      <c r="B213" t="s">
        <v>61</v>
      </c>
      <c r="C213" s="10">
        <v>56.55</v>
      </c>
      <c r="D213" s="10">
        <v>50</v>
      </c>
      <c r="E213" s="10">
        <v>0.19</v>
      </c>
      <c r="F213" s="10">
        <v>53.399470925595637</v>
      </c>
      <c r="G213" s="10">
        <v>54.613645104260591</v>
      </c>
      <c r="H213" s="10">
        <v>52.696793</v>
      </c>
      <c r="I213" s="10">
        <v>69.81481481481481</v>
      </c>
      <c r="J213" s="10">
        <v>65.925272747648933</v>
      </c>
      <c r="K213" s="10">
        <v>67.424253215136531</v>
      </c>
      <c r="L213" s="10">
        <v>65.057769135802459</v>
      </c>
      <c r="M213" s="10">
        <v>3.8895420671658769</v>
      </c>
      <c r="N213" s="10">
        <v>2.3905615996782785</v>
      </c>
      <c r="O213" s="10">
        <v>4.7570456790123501</v>
      </c>
      <c r="P213" s="5">
        <v>0.14221060235178598</v>
      </c>
      <c r="Q213" s="5">
        <v>0.16128103310894809</v>
      </c>
      <c r="R213" s="5">
        <v>0.13077253107224182</v>
      </c>
    </row>
    <row r="214" spans="1:18">
      <c r="A214" t="s">
        <v>599</v>
      </c>
      <c r="B214" t="s">
        <v>61</v>
      </c>
      <c r="C214" s="10">
        <v>50.73</v>
      </c>
      <c r="D214" s="10">
        <v>50</v>
      </c>
      <c r="E214" s="10">
        <v>0.19</v>
      </c>
      <c r="F214" s="10">
        <v>56.800149138334177</v>
      </c>
      <c r="G214" s="10">
        <v>54.505996819282593</v>
      </c>
      <c r="H214" s="10">
        <v>53.472790000000003</v>
      </c>
      <c r="I214" s="10">
        <v>62.629629629629619</v>
      </c>
      <c r="J214" s="10">
        <v>70.123640911523665</v>
      </c>
      <c r="K214" s="10">
        <v>67.291354097879747</v>
      </c>
      <c r="L214" s="10">
        <v>66.015790123456796</v>
      </c>
      <c r="M214" s="10">
        <v>7.4940112818940463</v>
      </c>
      <c r="N214" s="10">
        <v>4.661724468250128</v>
      </c>
      <c r="O214" s="10">
        <v>3.3861604938271768</v>
      </c>
      <c r="P214" s="5">
        <v>0.27656351922731731</v>
      </c>
      <c r="Q214" s="5">
        <v>0.2461141452702848</v>
      </c>
      <c r="R214" s="5">
        <v>0.23154748424385574</v>
      </c>
    </row>
    <row r="215" spans="1:18">
      <c r="A215" t="s">
        <v>600</v>
      </c>
      <c r="B215" t="s">
        <v>61</v>
      </c>
      <c r="C215" s="10">
        <v>52.92</v>
      </c>
      <c r="D215" s="10">
        <v>50</v>
      </c>
      <c r="E215" s="10">
        <v>0.19</v>
      </c>
      <c r="F215" s="10">
        <v>53.005003904914744</v>
      </c>
      <c r="G215" s="10">
        <v>51.896010577659133</v>
      </c>
      <c r="H215" s="10">
        <v>52.867603000000003</v>
      </c>
      <c r="I215" s="10">
        <v>65.333333333333329</v>
      </c>
      <c r="J215" s="10">
        <v>65.438276425820661</v>
      </c>
      <c r="K215" s="10">
        <v>64.069148861307568</v>
      </c>
      <c r="L215" s="10">
        <v>65.268645679012351</v>
      </c>
      <c r="M215" s="10">
        <v>0.10494309248733202</v>
      </c>
      <c r="N215" s="10">
        <v>1.2641844720257609</v>
      </c>
      <c r="O215" s="10">
        <v>6.4687654320977117E-2</v>
      </c>
      <c r="P215" s="5">
        <v>0.1912989936403825</v>
      </c>
      <c r="Q215" s="5">
        <v>0.17401743365504149</v>
      </c>
      <c r="R215" s="5">
        <v>0.18919721024613131</v>
      </c>
    </row>
    <row r="216" spans="1:18">
      <c r="A216" t="s">
        <v>601</v>
      </c>
      <c r="B216" t="s">
        <v>61</v>
      </c>
      <c r="C216" s="10">
        <v>53.62</v>
      </c>
      <c r="D216" s="10">
        <v>50</v>
      </c>
      <c r="E216" s="10">
        <v>0.19</v>
      </c>
      <c r="F216" s="10">
        <v>56.524298025779586</v>
      </c>
      <c r="G216" s="10">
        <v>54.507608693206897</v>
      </c>
      <c r="H216" s="10">
        <v>54.784477000000003</v>
      </c>
      <c r="I216" s="10">
        <v>66.197530864197518</v>
      </c>
      <c r="J216" s="10">
        <v>69.783083982443927</v>
      </c>
      <c r="K216" s="10">
        <v>67.293344065687521</v>
      </c>
      <c r="L216" s="10">
        <v>67.63515679012346</v>
      </c>
      <c r="M216" s="10">
        <v>3.5855531182464091</v>
      </c>
      <c r="N216" s="10">
        <v>1.0958132014900031</v>
      </c>
      <c r="O216" s="10">
        <v>1.4376259259259427</v>
      </c>
      <c r="P216" s="5">
        <v>0.23161894058035967</v>
      </c>
      <c r="Q216" s="5">
        <v>0.20319014094975674</v>
      </c>
      <c r="R216" s="5">
        <v>0.207217037045001</v>
      </c>
    </row>
    <row r="217" spans="1:18">
      <c r="A217" t="s">
        <v>603</v>
      </c>
      <c r="B217" t="s">
        <v>61</v>
      </c>
      <c r="C217" s="10">
        <v>60.73</v>
      </c>
      <c r="D217" s="10">
        <v>50</v>
      </c>
      <c r="E217" s="10">
        <v>0.19</v>
      </c>
      <c r="F217" s="10">
        <v>56.908992454361801</v>
      </c>
      <c r="G217" s="10">
        <v>55.333053429560458</v>
      </c>
      <c r="H217" s="10">
        <v>54.607619999999997</v>
      </c>
      <c r="I217" s="10">
        <v>74.975308641975303</v>
      </c>
      <c r="J217" s="10">
        <v>70.258015375755306</v>
      </c>
      <c r="K217" s="10">
        <v>68.312411641432661</v>
      </c>
      <c r="L217" s="10">
        <v>67.416814814814813</v>
      </c>
      <c r="M217" s="10">
        <v>4.7172932662199969</v>
      </c>
      <c r="N217" s="10">
        <v>6.6628970005426424</v>
      </c>
      <c r="O217" s="10">
        <v>7.5584938271604898</v>
      </c>
      <c r="P217" s="5">
        <v>0.13561463876822294</v>
      </c>
      <c r="Q217" s="5">
        <v>0.11099610538173124</v>
      </c>
      <c r="R217" s="5">
        <v>9.9186157536255953E-2</v>
      </c>
    </row>
    <row r="218" spans="1:18">
      <c r="A218" t="s">
        <v>604</v>
      </c>
      <c r="B218" t="s">
        <v>61</v>
      </c>
      <c r="C218" s="10">
        <v>65.31</v>
      </c>
      <c r="D218" s="10">
        <v>50</v>
      </c>
      <c r="E218" s="10">
        <v>0.19</v>
      </c>
      <c r="F218" s="10">
        <v>62.238681094043287</v>
      </c>
      <c r="G218" s="10">
        <v>61.948751794693294</v>
      </c>
      <c r="H218" s="10">
        <v>59.774177999999999</v>
      </c>
      <c r="I218" s="10">
        <v>80.629629629629633</v>
      </c>
      <c r="J218" s="10">
        <v>76.837877893880602</v>
      </c>
      <c r="K218" s="10">
        <v>76.47994048727567</v>
      </c>
      <c r="L218" s="10">
        <v>73.795281481481481</v>
      </c>
      <c r="M218" s="10">
        <v>3.7917517357490311</v>
      </c>
      <c r="N218" s="10">
        <v>4.1496891423539637</v>
      </c>
      <c r="O218" s="10">
        <v>6.8343481481481518</v>
      </c>
      <c r="P218" s="5">
        <v>0.15002858238486938</v>
      </c>
      <c r="Q218" s="5">
        <v>0.14605059073148813</v>
      </c>
      <c r="R218" s="5">
        <v>0.11498406552742554</v>
      </c>
    </row>
    <row r="219" spans="1:18">
      <c r="A219" t="s">
        <v>605</v>
      </c>
      <c r="B219" t="s">
        <v>61</v>
      </c>
      <c r="C219" s="10">
        <v>91.74</v>
      </c>
      <c r="D219" s="10">
        <v>50</v>
      </c>
      <c r="E219" s="10">
        <v>0.19</v>
      </c>
      <c r="F219" s="10">
        <v>104.24226614159936</v>
      </c>
      <c r="G219" s="10">
        <v>100.14471852317213</v>
      </c>
      <c r="H219" s="10">
        <v>99.363975999999994</v>
      </c>
      <c r="I219" s="10">
        <v>113.25925925925925</v>
      </c>
      <c r="J219" s="10">
        <v>128.69415573036957</v>
      </c>
      <c r="K219" s="10">
        <v>123.63545496687917</v>
      </c>
      <c r="L219" s="10">
        <v>122.67157530864196</v>
      </c>
      <c r="M219" s="10">
        <v>15.434896471110321</v>
      </c>
      <c r="N219" s="10">
        <v>10.376195707619914</v>
      </c>
      <c r="O219" s="10">
        <v>9.41231604938271</v>
      </c>
      <c r="P219" s="5">
        <v>0.28714711651547858</v>
      </c>
      <c r="Q219" s="5">
        <v>0.25797984061629958</v>
      </c>
      <c r="R219" s="5">
        <v>0.25214949128042136</v>
      </c>
    </row>
    <row r="220" spans="1:18">
      <c r="A220" t="s">
        <v>606</v>
      </c>
      <c r="B220" t="s">
        <v>61</v>
      </c>
      <c r="C220" s="10">
        <v>66.319999999999993</v>
      </c>
      <c r="D220" s="10">
        <v>50</v>
      </c>
      <c r="E220" s="10">
        <v>0.19</v>
      </c>
      <c r="F220" s="10">
        <v>73.842189800056417</v>
      </c>
      <c r="G220" s="10">
        <v>67.053106072710577</v>
      </c>
      <c r="H220" s="10">
        <v>68.250559999999993</v>
      </c>
      <c r="I220" s="10">
        <v>81.87654320987653</v>
      </c>
      <c r="J220" s="10">
        <v>91.163197284020256</v>
      </c>
      <c r="K220" s="10">
        <v>82.781612435445155</v>
      </c>
      <c r="L220" s="10">
        <v>84.259950617283934</v>
      </c>
      <c r="M220" s="10">
        <v>9.2866540741437262</v>
      </c>
      <c r="N220" s="10">
        <v>0.90506922556862435</v>
      </c>
      <c r="O220" s="10">
        <v>2.3834074074074039</v>
      </c>
      <c r="P220" s="5">
        <v>0.27251344867404032</v>
      </c>
      <c r="Q220" s="5">
        <v>0.19885590472500489</v>
      </c>
      <c r="R220" s="5">
        <v>0.21291195266383156</v>
      </c>
    </row>
    <row r="221" spans="1:18">
      <c r="A221" t="s">
        <v>607</v>
      </c>
      <c r="B221" t="s">
        <v>61</v>
      </c>
      <c r="C221" s="10">
        <v>69.94</v>
      </c>
      <c r="D221" s="10">
        <v>50</v>
      </c>
      <c r="E221" s="10">
        <v>0.19</v>
      </c>
      <c r="F221" s="10">
        <v>62.248376375113168</v>
      </c>
      <c r="G221" s="10">
        <v>62.158668709203326</v>
      </c>
      <c r="H221" s="10">
        <v>61.492637999999999</v>
      </c>
      <c r="I221" s="10">
        <v>86.34567901234567</v>
      </c>
      <c r="J221" s="10">
        <v>76.849847376682916</v>
      </c>
      <c r="K221" s="10">
        <v>76.73909717185596</v>
      </c>
      <c r="L221" s="10">
        <v>75.916837037037027</v>
      </c>
      <c r="M221" s="10">
        <v>9.4958316356627535</v>
      </c>
      <c r="N221" s="10">
        <v>9.6065818404897101</v>
      </c>
      <c r="O221" s="10">
        <v>10.428841975308643</v>
      </c>
      <c r="P221" s="5">
        <v>8.9913612226371731E-2</v>
      </c>
      <c r="Q221" s="5">
        <v>8.8600171521818857E-2</v>
      </c>
      <c r="R221" s="5">
        <v>7.8728741479589706E-2</v>
      </c>
    </row>
    <row r="222" spans="1:18">
      <c r="A222" t="s">
        <v>608</v>
      </c>
      <c r="B222" t="s">
        <v>61</v>
      </c>
      <c r="C222" s="10">
        <v>55.89</v>
      </c>
      <c r="D222" s="10">
        <v>50</v>
      </c>
      <c r="E222" s="10">
        <v>0.19</v>
      </c>
      <c r="F222" s="10">
        <v>66.652136446548838</v>
      </c>
      <c r="G222" s="10">
        <v>62.078546419438709</v>
      </c>
      <c r="H222" s="10">
        <v>67.292270000000002</v>
      </c>
      <c r="I222" s="10">
        <v>69</v>
      </c>
      <c r="J222" s="10">
        <v>82.286588205615843</v>
      </c>
      <c r="K222" s="10">
        <v>76.640180764739142</v>
      </c>
      <c r="L222" s="10">
        <v>83.076876543209877</v>
      </c>
      <c r="M222" s="10">
        <v>13.286588205615843</v>
      </c>
      <c r="N222" s="10">
        <v>7.6401807647391422</v>
      </c>
      <c r="O222" s="10">
        <v>14.076876543209877</v>
      </c>
      <c r="P222" s="5">
        <v>0.32078846360304369</v>
      </c>
      <c r="Q222" s="5">
        <v>0.27074806658449257</v>
      </c>
      <c r="R222" s="5">
        <v>0.32724962317365724</v>
      </c>
    </row>
    <row r="223" spans="1:18">
      <c r="A223" t="s">
        <v>609</v>
      </c>
      <c r="B223" t="s">
        <v>61</v>
      </c>
      <c r="C223" s="10">
        <v>75.680000000000007</v>
      </c>
      <c r="D223" s="10">
        <v>60</v>
      </c>
      <c r="E223" s="10">
        <v>0.19</v>
      </c>
      <c r="F223" s="10">
        <v>84.826990770169957</v>
      </c>
      <c r="G223" s="10">
        <v>76.447750247877508</v>
      </c>
      <c r="H223" s="10">
        <v>77.666120000000006</v>
      </c>
      <c r="I223" s="10">
        <v>93.432098765432102</v>
      </c>
      <c r="J223" s="10">
        <v>104.72467996317278</v>
      </c>
      <c r="K223" s="10">
        <v>94.379938577626547</v>
      </c>
      <c r="L223" s="10">
        <v>95.8840987654321</v>
      </c>
      <c r="M223" s="10">
        <v>11.292581197740674</v>
      </c>
      <c r="N223" s="10">
        <v>0.94783981219444513</v>
      </c>
      <c r="O223" s="10">
        <v>2.4519999999999982</v>
      </c>
      <c r="P223" s="5">
        <v>0.27734322008323681</v>
      </c>
      <c r="Q223" s="5">
        <v>0.19813467628235454</v>
      </c>
      <c r="R223" s="5">
        <v>0.21071375781357424</v>
      </c>
    </row>
    <row r="224" spans="1:18">
      <c r="A224" t="s">
        <v>610</v>
      </c>
      <c r="B224" t="s">
        <v>61</v>
      </c>
      <c r="C224" s="10">
        <v>49.2</v>
      </c>
      <c r="D224" s="10">
        <v>50</v>
      </c>
      <c r="E224" s="10">
        <v>0.19</v>
      </c>
      <c r="F224" s="10">
        <v>55.25207106250943</v>
      </c>
      <c r="G224" s="10">
        <v>54.582921017023104</v>
      </c>
      <c r="H224" s="10">
        <v>52.282789999999999</v>
      </c>
      <c r="I224" s="10">
        <v>60.74074074074074</v>
      </c>
      <c r="J224" s="10">
        <v>68.212433410505469</v>
      </c>
      <c r="K224" s="10">
        <v>67.386322243238396</v>
      </c>
      <c r="L224" s="10">
        <v>64.546654320987642</v>
      </c>
      <c r="M224" s="10">
        <v>7.4716926697647281</v>
      </c>
      <c r="N224" s="10">
        <v>6.6455815024976559</v>
      </c>
      <c r="O224" s="10">
        <v>3.8059135802469015</v>
      </c>
      <c r="P224" s="5">
        <v>0.27872386982718816</v>
      </c>
      <c r="Q224" s="5">
        <v>0.26988150766846791</v>
      </c>
      <c r="R224" s="5">
        <v>0.23776064743293138</v>
      </c>
    </row>
    <row r="225" spans="1:18">
      <c r="A225" t="s">
        <v>611</v>
      </c>
      <c r="B225" t="s">
        <v>61</v>
      </c>
      <c r="C225" s="10">
        <v>89.22</v>
      </c>
      <c r="D225" s="10">
        <v>50</v>
      </c>
      <c r="E225" s="10">
        <v>0.19</v>
      </c>
      <c r="F225" s="10">
        <v>102.76580787425202</v>
      </c>
      <c r="G225" s="10">
        <v>100.0127811254998</v>
      </c>
      <c r="H225" s="10">
        <v>98.856219999999993</v>
      </c>
      <c r="I225" s="10">
        <v>110.14814814814814</v>
      </c>
      <c r="J225" s="10">
        <v>126.87136774599014</v>
      </c>
      <c r="K225" s="10">
        <v>123.47256929074048</v>
      </c>
      <c r="L225" s="10">
        <v>122.0447160493827</v>
      </c>
      <c r="M225" s="10">
        <v>16.723219597842004</v>
      </c>
      <c r="N225" s="10">
        <v>13.324421142592342</v>
      </c>
      <c r="O225" s="10">
        <v>11.896567901234562</v>
      </c>
      <c r="P225" s="5">
        <v>0.29676804479141544</v>
      </c>
      <c r="Q225" s="5">
        <v>0.27741035508936451</v>
      </c>
      <c r="R225" s="5">
        <v>0.26895647031618236</v>
      </c>
    </row>
    <row r="226" spans="1:18">
      <c r="A226" t="s">
        <v>612</v>
      </c>
      <c r="B226" t="s">
        <v>61</v>
      </c>
      <c r="C226" s="10">
        <v>58.97</v>
      </c>
      <c r="D226" s="10">
        <v>50</v>
      </c>
      <c r="E226" s="10">
        <v>0.19</v>
      </c>
      <c r="F226" s="10">
        <v>59.36114181558527</v>
      </c>
      <c r="G226" s="10">
        <v>59.857586233216111</v>
      </c>
      <c r="H226" s="10">
        <v>58.492137999999997</v>
      </c>
      <c r="I226" s="10">
        <v>72.802469135802468</v>
      </c>
      <c r="J226" s="10">
        <v>73.285360266154655</v>
      </c>
      <c r="K226" s="10">
        <v>73.898254608908772</v>
      </c>
      <c r="L226" s="10">
        <v>72.212516049382714</v>
      </c>
      <c r="M226" s="10">
        <v>0.48289113035218634</v>
      </c>
      <c r="N226" s="10">
        <v>1.0957854731063037</v>
      </c>
      <c r="O226" s="10">
        <v>0.58995308641975441</v>
      </c>
      <c r="P226" s="5">
        <v>0.19533724353901979</v>
      </c>
      <c r="Q226" s="5">
        <v>0.20201092282779171</v>
      </c>
      <c r="R226" s="5">
        <v>0.18338255989206617</v>
      </c>
    </row>
    <row r="227" spans="1:18">
      <c r="A227" t="s">
        <v>613</v>
      </c>
      <c r="B227" t="s">
        <v>61</v>
      </c>
      <c r="C227" s="10">
        <v>98.61</v>
      </c>
      <c r="D227" s="10">
        <v>50</v>
      </c>
      <c r="E227" s="10">
        <v>0.19</v>
      </c>
      <c r="F227" s="10">
        <v>94.404813681181864</v>
      </c>
      <c r="G227" s="10">
        <v>96.17227097069599</v>
      </c>
      <c r="H227" s="10">
        <v>91.426140000000004</v>
      </c>
      <c r="I227" s="10">
        <v>121.74074074074073</v>
      </c>
      <c r="J227" s="10">
        <v>116.5491526928171</v>
      </c>
      <c r="K227" s="10">
        <v>118.7311987292543</v>
      </c>
      <c r="L227" s="10">
        <v>112.87177777777778</v>
      </c>
      <c r="M227" s="10">
        <v>5.1915880479236307</v>
      </c>
      <c r="N227" s="10">
        <v>3.0095420114864311</v>
      </c>
      <c r="O227" s="10">
        <v>8.8689629629629536</v>
      </c>
      <c r="P227" s="5">
        <v>0.15391920300011488</v>
      </c>
      <c r="Q227" s="5">
        <v>0.1694685048631335</v>
      </c>
      <c r="R227" s="5">
        <v>0.12635379772130817</v>
      </c>
    </row>
    <row r="228" spans="1:18">
      <c r="A228" t="s">
        <v>614</v>
      </c>
      <c r="B228" t="s">
        <v>61</v>
      </c>
      <c r="C228" s="10">
        <v>47.71</v>
      </c>
      <c r="D228" s="10">
        <v>50</v>
      </c>
      <c r="E228" s="10">
        <v>0.19</v>
      </c>
      <c r="F228" s="10">
        <v>53.851390698419522</v>
      </c>
      <c r="G228" s="10">
        <v>51.709852169650283</v>
      </c>
      <c r="H228" s="10">
        <v>50.938408000000003</v>
      </c>
      <c r="I228" s="10">
        <v>58.901234567901234</v>
      </c>
      <c r="J228" s="10">
        <v>66.483198393110513</v>
      </c>
      <c r="K228" s="10">
        <v>63.839323666234911</v>
      </c>
      <c r="L228" s="10">
        <v>62.886923456790122</v>
      </c>
      <c r="M228" s="10">
        <v>7.5819638252092787</v>
      </c>
      <c r="N228" s="10">
        <v>4.9380890983336769</v>
      </c>
      <c r="O228" s="10">
        <v>3.9856888888888875</v>
      </c>
      <c r="P228" s="5">
        <v>0.28237507892002878</v>
      </c>
      <c r="Q228" s="5">
        <v>0.2526549897452286</v>
      </c>
      <c r="R228" s="5">
        <v>0.24133671393892009</v>
      </c>
    </row>
    <row r="229" spans="1:18">
      <c r="A229" t="s">
        <v>615</v>
      </c>
      <c r="B229" t="s">
        <v>61</v>
      </c>
      <c r="C229" s="10">
        <v>72.28</v>
      </c>
      <c r="D229" s="10">
        <v>50</v>
      </c>
      <c r="E229" s="10">
        <v>0.19</v>
      </c>
      <c r="F229" s="10">
        <v>71.013672319045455</v>
      </c>
      <c r="G229" s="10">
        <v>77.397441698798232</v>
      </c>
      <c r="H229" s="10">
        <v>70.914919999999995</v>
      </c>
      <c r="I229" s="10">
        <v>89.23456790123457</v>
      </c>
      <c r="J229" s="10">
        <v>87.671200393883268</v>
      </c>
      <c r="K229" s="10">
        <v>95.552397159010155</v>
      </c>
      <c r="L229" s="10">
        <v>87.549283950617266</v>
      </c>
      <c r="M229" s="10">
        <v>1.5633675073513018</v>
      </c>
      <c r="N229" s="10">
        <v>6.3178292577755855</v>
      </c>
      <c r="O229" s="10">
        <v>1.6852839506173041</v>
      </c>
      <c r="P229" s="5">
        <v>0.17555594453748458</v>
      </c>
      <c r="Q229" s="5">
        <v>0.24355639262803858</v>
      </c>
      <c r="R229" s="5">
        <v>0.17440786790706367</v>
      </c>
    </row>
    <row r="230" spans="1:18">
      <c r="A230" t="s">
        <v>616</v>
      </c>
      <c r="B230" t="s">
        <v>61</v>
      </c>
      <c r="C230" s="10">
        <v>86.36</v>
      </c>
      <c r="D230" s="10">
        <v>60</v>
      </c>
      <c r="E230" s="10">
        <v>0.19</v>
      </c>
      <c r="F230" s="10">
        <v>80.563348305881945</v>
      </c>
      <c r="G230" s="10">
        <v>80.475315394144232</v>
      </c>
      <c r="H230" s="10">
        <v>77.811549999999997</v>
      </c>
      <c r="I230" s="10">
        <v>106.61728395061728</v>
      </c>
      <c r="J230" s="10">
        <v>99.460923834422147</v>
      </c>
      <c r="K230" s="10">
        <v>99.352241227338553</v>
      </c>
      <c r="L230" s="10">
        <v>96.063641975308627</v>
      </c>
      <c r="M230" s="10">
        <v>7.1563601161951311</v>
      </c>
      <c r="N230" s="10">
        <v>7.2650427232787251</v>
      </c>
      <c r="O230" s="10">
        <v>10.553641975308651</v>
      </c>
      <c r="P230" s="5">
        <v>0.13171930572685961</v>
      </c>
      <c r="Q230" s="5">
        <v>0.13076948307194811</v>
      </c>
      <c r="R230" s="5">
        <v>0.10101263886916517</v>
      </c>
    </row>
    <row r="231" spans="1:18">
      <c r="A231" t="s">
        <v>617</v>
      </c>
      <c r="B231" t="s">
        <v>61</v>
      </c>
      <c r="C231" s="10">
        <v>68.37</v>
      </c>
      <c r="D231" s="10">
        <v>50</v>
      </c>
      <c r="E231" s="10">
        <v>0.19</v>
      </c>
      <c r="F231" s="10">
        <v>74.934439313705553</v>
      </c>
      <c r="G231" s="10">
        <v>76.137833620546104</v>
      </c>
      <c r="H231" s="10">
        <v>71.866720000000001</v>
      </c>
      <c r="I231" s="10">
        <v>84.407407407407405</v>
      </c>
      <c r="J231" s="10">
        <v>92.511653473710552</v>
      </c>
      <c r="K231" s="10">
        <v>93.997325457464314</v>
      </c>
      <c r="L231" s="10">
        <v>88.724345679012345</v>
      </c>
      <c r="M231" s="10">
        <v>8.1042460663031477</v>
      </c>
      <c r="N231" s="10">
        <v>9.5899180500569088</v>
      </c>
      <c r="O231" s="10">
        <v>4.3169382716049398</v>
      </c>
      <c r="P231" s="5">
        <v>0.26095797196588849</v>
      </c>
      <c r="Q231" s="5">
        <v>0.2726388791674843</v>
      </c>
      <c r="R231" s="5">
        <v>0.22941105424040495</v>
      </c>
    </row>
    <row r="232" spans="1:18">
      <c r="A232" t="s">
        <v>618</v>
      </c>
      <c r="B232" t="s">
        <v>61</v>
      </c>
      <c r="C232" s="10">
        <v>49.04</v>
      </c>
      <c r="D232" s="10">
        <v>50</v>
      </c>
      <c r="E232" s="10">
        <v>0.19</v>
      </c>
      <c r="F232" s="10">
        <v>47.604152542987393</v>
      </c>
      <c r="G232" s="10">
        <v>48.27523981375748</v>
      </c>
      <c r="H232" s="10">
        <v>48.125259999999997</v>
      </c>
      <c r="I232" s="10">
        <v>60.543209876543202</v>
      </c>
      <c r="J232" s="10">
        <v>58.770558695046162</v>
      </c>
      <c r="K232" s="10">
        <v>59.599061498466021</v>
      </c>
      <c r="L232" s="10">
        <v>59.413901234567895</v>
      </c>
      <c r="M232" s="10">
        <v>1.7726511814970394</v>
      </c>
      <c r="N232" s="10">
        <v>0.94414837807718044</v>
      </c>
      <c r="O232" s="10">
        <v>1.1293086419753067</v>
      </c>
      <c r="P232" s="5">
        <v>0.16556859269514421</v>
      </c>
      <c r="Q232" s="5">
        <v>0.17716825119364998</v>
      </c>
      <c r="R232" s="5">
        <v>0.17460393980209138</v>
      </c>
    </row>
    <row r="233" spans="1:18">
      <c r="A233" t="s">
        <v>619</v>
      </c>
      <c r="B233" t="s">
        <v>61</v>
      </c>
      <c r="C233" s="10">
        <v>47.73</v>
      </c>
      <c r="D233" s="10">
        <v>50</v>
      </c>
      <c r="E233" s="10">
        <v>0.19</v>
      </c>
      <c r="F233" s="10">
        <v>49.860598093948617</v>
      </c>
      <c r="G233" s="10">
        <v>49.032570609799748</v>
      </c>
      <c r="H233" s="10">
        <v>49.668075999999999</v>
      </c>
      <c r="I233" s="10">
        <v>58.925925925925917</v>
      </c>
      <c r="J233" s="10">
        <v>61.556293943146436</v>
      </c>
      <c r="K233" s="10">
        <v>60.53403778987623</v>
      </c>
      <c r="L233" s="10">
        <v>61.318612345679007</v>
      </c>
      <c r="M233" s="10">
        <v>2.6303680172205191</v>
      </c>
      <c r="N233" s="10">
        <v>1.6081118639503131</v>
      </c>
      <c r="O233" s="10">
        <v>2.3926864197530904</v>
      </c>
      <c r="P233" s="5">
        <v>0.22461218922497905</v>
      </c>
      <c r="Q233" s="5">
        <v>0.21151798653050685</v>
      </c>
      <c r="R233" s="5">
        <v>0.22160665132267252</v>
      </c>
    </row>
    <row r="234" spans="1:18">
      <c r="A234" t="s">
        <v>620</v>
      </c>
      <c r="B234" t="s">
        <v>61</v>
      </c>
      <c r="C234" s="10">
        <v>146.28</v>
      </c>
      <c r="D234" s="10">
        <v>50</v>
      </c>
      <c r="E234" s="10">
        <v>0.19</v>
      </c>
      <c r="F234" s="10">
        <v>151.92380339509941</v>
      </c>
      <c r="G234" s="10">
        <v>147.0369330738705</v>
      </c>
      <c r="H234" s="10">
        <v>146.25104999999999</v>
      </c>
      <c r="I234" s="10">
        <v>180.59259259259258</v>
      </c>
      <c r="J234" s="10">
        <v>187.56025110506098</v>
      </c>
      <c r="K234" s="10">
        <v>181.52707786897591</v>
      </c>
      <c r="L234" s="10">
        <v>180.55685185185183</v>
      </c>
      <c r="M234" s="10">
        <v>6.9676585124684038</v>
      </c>
      <c r="N234" s="10">
        <v>0.93448527638332735</v>
      </c>
      <c r="O234" s="10">
        <v>3.5740740740749288E-2</v>
      </c>
      <c r="P234" s="5">
        <v>0.22009061547874581</v>
      </c>
      <c r="Q234" s="5">
        <v>0.19416980806806591</v>
      </c>
      <c r="R234" s="5">
        <v>0.18983966268960112</v>
      </c>
    </row>
    <row r="235" spans="1:18">
      <c r="A235" t="s">
        <v>621</v>
      </c>
      <c r="B235" t="s">
        <v>61</v>
      </c>
      <c r="C235" s="10">
        <v>60.05</v>
      </c>
      <c r="D235" s="10">
        <v>50</v>
      </c>
      <c r="E235" s="10">
        <v>0.19</v>
      </c>
      <c r="F235" s="10">
        <v>65.43309214969274</v>
      </c>
      <c r="G235" s="10">
        <v>65.757498469326549</v>
      </c>
      <c r="H235" s="10">
        <v>65.272959999999998</v>
      </c>
      <c r="I235" s="10">
        <v>74.135802469135797</v>
      </c>
      <c r="J235" s="10">
        <v>80.781595246534238</v>
      </c>
      <c r="K235" s="10">
        <v>81.182096875711778</v>
      </c>
      <c r="L235" s="10">
        <v>80.58390123456789</v>
      </c>
      <c r="M235" s="10">
        <v>6.6457927773984409</v>
      </c>
      <c r="N235" s="10">
        <v>7.0462944065759814</v>
      </c>
      <c r="O235" s="10">
        <v>6.4480987654320927</v>
      </c>
      <c r="P235" s="5">
        <v>0.25663760641596994</v>
      </c>
      <c r="Q235" s="5">
        <v>0.26030489096708864</v>
      </c>
      <c r="R235" s="5">
        <v>0.25481393826785237</v>
      </c>
    </row>
    <row r="236" spans="1:18">
      <c r="A236" t="s">
        <v>622</v>
      </c>
      <c r="B236" t="s">
        <v>61</v>
      </c>
      <c r="C236" s="10">
        <v>50.67</v>
      </c>
      <c r="D236" s="10">
        <v>50</v>
      </c>
      <c r="E236" s="10">
        <v>0.19</v>
      </c>
      <c r="F236" s="10">
        <v>51.007357690248277</v>
      </c>
      <c r="G236" s="10">
        <v>49.513226836827222</v>
      </c>
      <c r="H236" s="10">
        <v>48.918669999999999</v>
      </c>
      <c r="I236" s="10">
        <v>62.55555555555555</v>
      </c>
      <c r="J236" s="10">
        <v>62.972046531170712</v>
      </c>
      <c r="K236" s="10">
        <v>61.127440539292863</v>
      </c>
      <c r="L236" s="10">
        <v>60.393419753086413</v>
      </c>
      <c r="M236" s="10">
        <v>0.41649097561516157</v>
      </c>
      <c r="N236" s="10">
        <v>1.4281150162626872</v>
      </c>
      <c r="O236" s="10">
        <v>2.1621358024691375</v>
      </c>
      <c r="P236" s="5">
        <v>0.19535726102027326</v>
      </c>
      <c r="Q236" s="5">
        <v>0.17107604125140483</v>
      </c>
      <c r="R236" s="5">
        <v>0.16100131095142189</v>
      </c>
    </row>
    <row r="237" spans="1:18">
      <c r="A237" t="s">
        <v>623</v>
      </c>
      <c r="B237" t="s">
        <v>61</v>
      </c>
      <c r="C237" s="10">
        <v>49.87</v>
      </c>
      <c r="D237" s="10">
        <v>50</v>
      </c>
      <c r="E237" s="10">
        <v>0.19</v>
      </c>
      <c r="F237" s="10">
        <v>50.535729165843158</v>
      </c>
      <c r="G237" s="10">
        <v>48.735768331770231</v>
      </c>
      <c r="H237" s="10">
        <v>49.103009999999998</v>
      </c>
      <c r="I237" s="10">
        <v>61.567901234567891</v>
      </c>
      <c r="J237" s="10">
        <v>62.389789093633524</v>
      </c>
      <c r="K237" s="10">
        <v>60.16761522440769</v>
      </c>
      <c r="L237" s="10">
        <v>60.620999999999995</v>
      </c>
      <c r="M237" s="10">
        <v>0.82188785906563311</v>
      </c>
      <c r="N237" s="10">
        <v>1.400286010160201</v>
      </c>
      <c r="O237" s="10">
        <v>0.94690123456789621</v>
      </c>
      <c r="P237" s="5">
        <v>0.20067048271062501</v>
      </c>
      <c r="Q237" s="5">
        <v>0.17114880132776719</v>
      </c>
      <c r="R237" s="5">
        <v>0.17734778377130034</v>
      </c>
    </row>
    <row r="238" spans="1:18">
      <c r="A238" t="s">
        <v>624</v>
      </c>
      <c r="B238" t="s">
        <v>61</v>
      </c>
      <c r="C238" s="10">
        <v>52.63</v>
      </c>
      <c r="D238" s="10">
        <v>50</v>
      </c>
      <c r="E238" s="10">
        <v>0.19</v>
      </c>
      <c r="F238" s="10">
        <v>56.12097309926699</v>
      </c>
      <c r="G238" s="10">
        <v>55.399461401372605</v>
      </c>
      <c r="H238" s="10">
        <v>54.213065999999998</v>
      </c>
      <c r="I238" s="10">
        <v>64.975308641975303</v>
      </c>
      <c r="J238" s="10">
        <v>69.285151974403689</v>
      </c>
      <c r="K238" s="10">
        <v>68.394396791818025</v>
      </c>
      <c r="L238" s="10">
        <v>66.929711111111104</v>
      </c>
      <c r="M238" s="10">
        <v>4.309843332428386</v>
      </c>
      <c r="N238" s="10">
        <v>3.4190881498427217</v>
      </c>
      <c r="O238" s="10">
        <v>1.9544024691358004</v>
      </c>
      <c r="P238" s="5">
        <v>0.24038558767333976</v>
      </c>
      <c r="Q238" s="5">
        <v>0.23049251885066566</v>
      </c>
      <c r="R238" s="5">
        <v>0.21365266447022188</v>
      </c>
    </row>
    <row r="239" spans="1:18">
      <c r="A239" t="s">
        <v>625</v>
      </c>
      <c r="B239" t="s">
        <v>61</v>
      </c>
      <c r="C239" s="10">
        <v>63.46</v>
      </c>
      <c r="D239" s="10">
        <v>50</v>
      </c>
      <c r="E239" s="10">
        <v>0.19</v>
      </c>
      <c r="F239" s="10">
        <v>73.850479391974389</v>
      </c>
      <c r="G239" s="10">
        <v>76.706451190476187</v>
      </c>
      <c r="H239" s="10">
        <v>73.301215999999997</v>
      </c>
      <c r="I239" s="10">
        <v>78.34567901234567</v>
      </c>
      <c r="J239" s="10">
        <v>91.173431348116523</v>
      </c>
      <c r="K239" s="10">
        <v>94.699322457378003</v>
      </c>
      <c r="L239" s="10">
        <v>90.495328395061719</v>
      </c>
      <c r="M239" s="10">
        <v>12.827752335770853</v>
      </c>
      <c r="N239" s="10">
        <v>16.353643445032333</v>
      </c>
      <c r="O239" s="10">
        <v>12.149649382716049</v>
      </c>
      <c r="P239" s="5">
        <v>0.30396389538419005</v>
      </c>
      <c r="Q239" s="5">
        <v>0.32987904925548023</v>
      </c>
      <c r="R239" s="5">
        <v>0.29874833181485005</v>
      </c>
    </row>
    <row r="240" spans="1:18">
      <c r="A240" t="s">
        <v>626</v>
      </c>
      <c r="B240" t="s">
        <v>61</v>
      </c>
      <c r="C240" s="10">
        <v>46.54</v>
      </c>
      <c r="D240" s="10">
        <v>50</v>
      </c>
      <c r="E240" s="10">
        <v>0.19</v>
      </c>
      <c r="F240" s="10">
        <v>48.134559647015088</v>
      </c>
      <c r="G240" s="10">
        <v>48.526747715620218</v>
      </c>
      <c r="H240" s="10">
        <v>47.945683000000002</v>
      </c>
      <c r="I240" s="10">
        <v>57.456790123456784</v>
      </c>
      <c r="J240" s="10">
        <v>59.425382280265538</v>
      </c>
      <c r="K240" s="10">
        <v>59.909565081012609</v>
      </c>
      <c r="L240" s="10">
        <v>59.192201234567904</v>
      </c>
      <c r="M240" s="10">
        <v>1.9685921568087537</v>
      </c>
      <c r="N240" s="10">
        <v>2.4527749575558246</v>
      </c>
      <c r="O240" s="10">
        <v>1.7354111111111195</v>
      </c>
      <c r="P240" s="5">
        <v>0.21683297247453504</v>
      </c>
      <c r="Q240" s="5">
        <v>0.22316244597892904</v>
      </c>
      <c r="R240" s="5">
        <v>0.21374777370467332</v>
      </c>
    </row>
    <row r="241" spans="1:18">
      <c r="A241" t="s">
        <v>627</v>
      </c>
      <c r="B241" t="s">
        <v>61</v>
      </c>
      <c r="C241" s="10">
        <v>45.13</v>
      </c>
      <c r="D241" s="10">
        <v>50</v>
      </c>
      <c r="E241" s="10">
        <v>0.19</v>
      </c>
      <c r="F241" s="10">
        <v>51.618806414702703</v>
      </c>
      <c r="G241" s="10">
        <v>48.942076572804908</v>
      </c>
      <c r="H241" s="10">
        <v>47.465263</v>
      </c>
      <c r="I241" s="10">
        <v>55.716049382716051</v>
      </c>
      <c r="J241" s="10">
        <v>63.726921499632965</v>
      </c>
      <c r="K241" s="10">
        <v>60.422316756549264</v>
      </c>
      <c r="L241" s="10">
        <v>58.59909012345679</v>
      </c>
      <c r="M241" s="10">
        <v>8.0108721169169144</v>
      </c>
      <c r="N241" s="10">
        <v>4.7062673738332137</v>
      </c>
      <c r="O241" s="10">
        <v>2.8830407407407392</v>
      </c>
      <c r="P241" s="5">
        <v>0.29182205984546222</v>
      </c>
      <c r="Q241" s="5">
        <v>0.25309053967864786</v>
      </c>
      <c r="R241" s="5">
        <v>0.2298515232076139</v>
      </c>
    </row>
    <row r="242" spans="1:18">
      <c r="A242" t="s">
        <v>628</v>
      </c>
      <c r="B242" t="s">
        <v>61</v>
      </c>
      <c r="C242" s="10">
        <v>96.33</v>
      </c>
      <c r="D242" s="10">
        <v>50</v>
      </c>
      <c r="E242" s="10">
        <v>0.19</v>
      </c>
      <c r="F242" s="10">
        <v>105.93429901143755</v>
      </c>
      <c r="G242" s="10">
        <v>100.48145563299674</v>
      </c>
      <c r="H242" s="10">
        <v>98.820790000000002</v>
      </c>
      <c r="I242" s="10">
        <v>118.92592592592591</v>
      </c>
      <c r="J242" s="10">
        <v>130.78308519930559</v>
      </c>
      <c r="K242" s="10">
        <v>124.05117979382312</v>
      </c>
      <c r="L242" s="10">
        <v>122.00097530864197</v>
      </c>
      <c r="M242" s="10">
        <v>11.857159273379679</v>
      </c>
      <c r="N242" s="10">
        <v>5.1252538678972144</v>
      </c>
      <c r="O242" s="10">
        <v>3.0750493827160597</v>
      </c>
      <c r="P242" s="5">
        <v>0.26343685918405391</v>
      </c>
      <c r="Q242" s="5">
        <v>0.22346566828220885</v>
      </c>
      <c r="R242" s="5">
        <v>0.21041614826191934</v>
      </c>
    </row>
    <row r="243" spans="1:18">
      <c r="A243" t="s">
        <v>629</v>
      </c>
      <c r="B243" t="s">
        <v>61</v>
      </c>
      <c r="C243" s="10">
        <v>141.22999999999999</v>
      </c>
      <c r="D243" s="10">
        <v>50</v>
      </c>
      <c r="E243" s="10">
        <v>0.19</v>
      </c>
      <c r="F243" s="10">
        <v>151.34448550256513</v>
      </c>
      <c r="G243" s="10">
        <v>147.64430774503279</v>
      </c>
      <c r="H243" s="10">
        <v>145.10040000000001</v>
      </c>
      <c r="I243" s="10">
        <v>174.358024691358</v>
      </c>
      <c r="J243" s="10">
        <v>186.84504383032731</v>
      </c>
      <c r="K243" s="10">
        <v>182.27692314201579</v>
      </c>
      <c r="L243" s="10">
        <v>179.13629629629628</v>
      </c>
      <c r="M243" s="10">
        <v>12.487019138969316</v>
      </c>
      <c r="N243" s="10">
        <v>7.9188984506577924</v>
      </c>
      <c r="O243" s="10">
        <v>4.7782716049382827</v>
      </c>
      <c r="P243" s="5">
        <v>0.24413301469077248</v>
      </c>
      <c r="Q243" s="5">
        <v>0.22518990574596914</v>
      </c>
      <c r="R243" s="5">
        <v>0.21160589495273616</v>
      </c>
    </row>
    <row r="244" spans="1:18">
      <c r="A244" t="s">
        <v>630</v>
      </c>
      <c r="B244" t="s">
        <v>61</v>
      </c>
      <c r="C244" s="10">
        <v>74.47</v>
      </c>
      <c r="D244" s="10">
        <v>50</v>
      </c>
      <c r="E244" s="10">
        <v>0.19</v>
      </c>
      <c r="F244" s="10">
        <v>75.810581121008056</v>
      </c>
      <c r="G244" s="10">
        <v>77.56095374070371</v>
      </c>
      <c r="H244" s="10">
        <v>72.924255000000002</v>
      </c>
      <c r="I244" s="10">
        <v>91.938271604938265</v>
      </c>
      <c r="J244" s="10">
        <v>93.593310025935864</v>
      </c>
      <c r="K244" s="10">
        <v>95.754263877411987</v>
      </c>
      <c r="L244" s="10">
        <v>90.029944444444439</v>
      </c>
      <c r="M244" s="10">
        <v>1.6550384209975988</v>
      </c>
      <c r="N244" s="10">
        <v>3.8159922724737214</v>
      </c>
      <c r="O244" s="10">
        <v>1.9083271604938261</v>
      </c>
      <c r="P244" s="5">
        <v>0.20432347163100181</v>
      </c>
      <c r="Q244" s="5">
        <v>0.22228006373335873</v>
      </c>
      <c r="R244" s="5">
        <v>0.172830768034586</v>
      </c>
    </row>
    <row r="245" spans="1:18">
      <c r="A245" t="s">
        <v>631</v>
      </c>
      <c r="B245" t="s">
        <v>61</v>
      </c>
      <c r="C245" s="10">
        <v>150.91999999999999</v>
      </c>
      <c r="D245" s="10">
        <v>50</v>
      </c>
      <c r="E245" s="10">
        <v>0.19</v>
      </c>
      <c r="F245" s="10">
        <v>155.45215554141726</v>
      </c>
      <c r="G245" s="10">
        <v>151.84689450549453</v>
      </c>
      <c r="H245" s="10">
        <v>150.68063000000001</v>
      </c>
      <c r="I245" s="10">
        <v>186.32098765432096</v>
      </c>
      <c r="J245" s="10">
        <v>191.9162414091571</v>
      </c>
      <c r="K245" s="10">
        <v>187.4653018586352</v>
      </c>
      <c r="L245" s="10">
        <v>186.02546913580247</v>
      </c>
      <c r="M245" s="10">
        <v>5.5952537548361363</v>
      </c>
      <c r="N245" s="10">
        <v>1.1443142043142416</v>
      </c>
      <c r="O245" s="10">
        <v>0.29551851851849165</v>
      </c>
      <c r="P245" s="5">
        <v>0.21361527877025738</v>
      </c>
      <c r="Q245" s="5">
        <v>0.19494435234843344</v>
      </c>
      <c r="R245" s="5">
        <v>0.18871324071315609</v>
      </c>
    </row>
    <row r="246" spans="1:18">
      <c r="A246" t="s">
        <v>632</v>
      </c>
      <c r="B246" t="s">
        <v>61</v>
      </c>
      <c r="C246" s="10">
        <v>102.32</v>
      </c>
      <c r="D246" s="10">
        <v>50</v>
      </c>
      <c r="E246" s="10">
        <v>0.19</v>
      </c>
      <c r="F246" s="10">
        <v>105.60006191382843</v>
      </c>
      <c r="G246" s="10">
        <v>99.931056689275081</v>
      </c>
      <c r="H246" s="10">
        <v>97.840549999999993</v>
      </c>
      <c r="I246" s="10">
        <v>126.32098765432097</v>
      </c>
      <c r="J246" s="10">
        <v>130.37044680719558</v>
      </c>
      <c r="K246" s="10">
        <v>123.37167492503096</v>
      </c>
      <c r="L246" s="10">
        <v>120.79080246913578</v>
      </c>
      <c r="M246" s="10">
        <v>4.0494591528746042</v>
      </c>
      <c r="N246" s="10">
        <v>2.9493127292900141</v>
      </c>
      <c r="O246" s="10">
        <v>5.5301851851851893</v>
      </c>
      <c r="P246" s="5">
        <v>0.21515955106512213</v>
      </c>
      <c r="Q246" s="5">
        <v>0.17063620914463062</v>
      </c>
      <c r="R246" s="5">
        <v>0.15291563671708705</v>
      </c>
    </row>
    <row r="247" spans="1:18">
      <c r="A247" t="s">
        <v>633</v>
      </c>
      <c r="B247" t="s">
        <v>61</v>
      </c>
      <c r="C247" s="10">
        <v>49.98</v>
      </c>
      <c r="D247" s="10">
        <v>50</v>
      </c>
      <c r="E247" s="10">
        <v>0.19</v>
      </c>
      <c r="F247" s="10">
        <v>57.275478015112355</v>
      </c>
      <c r="G247" s="10">
        <v>55.412313393660419</v>
      </c>
      <c r="H247" s="10">
        <v>54.452509999999997</v>
      </c>
      <c r="I247" s="10">
        <v>61.703703703703695</v>
      </c>
      <c r="J247" s="10">
        <v>70.710466685323894</v>
      </c>
      <c r="K247" s="10">
        <v>68.410263448963477</v>
      </c>
      <c r="L247" s="10">
        <v>67.225320987654314</v>
      </c>
      <c r="M247" s="10">
        <v>9.0067629816201986</v>
      </c>
      <c r="N247" s="10">
        <v>6.7065597452597814</v>
      </c>
      <c r="O247" s="10">
        <v>5.5216172839506186</v>
      </c>
      <c r="P247" s="5">
        <v>0.29317394803203228</v>
      </c>
      <c r="Q247" s="5">
        <v>0.26940787127231458</v>
      </c>
      <c r="R247" s="5">
        <v>0.25653013974929711</v>
      </c>
    </row>
    <row r="248" spans="1:18">
      <c r="A248" t="s">
        <v>634</v>
      </c>
      <c r="B248" t="s">
        <v>61</v>
      </c>
      <c r="C248" s="10">
        <v>72.69</v>
      </c>
      <c r="D248" s="10">
        <v>50</v>
      </c>
      <c r="E248" s="10">
        <v>0.19</v>
      </c>
      <c r="F248" s="10">
        <v>70.239626441991675</v>
      </c>
      <c r="G248" s="10">
        <v>64.594500035504041</v>
      </c>
      <c r="H248" s="10">
        <v>64.991164999999995</v>
      </c>
      <c r="I248" s="10">
        <v>89.740740740740733</v>
      </c>
      <c r="J248" s="10">
        <v>86.71558819998971</v>
      </c>
      <c r="K248" s="10">
        <v>79.746296340128438</v>
      </c>
      <c r="L248" s="10">
        <v>80.236006172839495</v>
      </c>
      <c r="M248" s="10">
        <v>3.0251525407510229</v>
      </c>
      <c r="N248" s="10">
        <v>9.994444400612295</v>
      </c>
      <c r="O248" s="10">
        <v>9.5047345679012381</v>
      </c>
      <c r="P248" s="5">
        <v>0.16174240976885143</v>
      </c>
      <c r="Q248" s="5">
        <v>8.8484314180967208E-2</v>
      </c>
      <c r="R248" s="5">
        <v>9.4047629397011029E-2</v>
      </c>
    </row>
    <row r="249" spans="1:18">
      <c r="A249" t="s">
        <v>636</v>
      </c>
      <c r="B249" t="s">
        <v>61</v>
      </c>
      <c r="C249" s="10">
        <v>49.71</v>
      </c>
      <c r="D249" s="10">
        <v>50</v>
      </c>
      <c r="E249" s="10">
        <v>0.19</v>
      </c>
      <c r="F249" s="10">
        <v>52.035671015855712</v>
      </c>
      <c r="G249" s="10">
        <v>49.154401083000572</v>
      </c>
      <c r="H249" s="10">
        <v>49.162640000000003</v>
      </c>
      <c r="I249" s="10">
        <v>61.370370370370367</v>
      </c>
      <c r="J249" s="10">
        <v>64.24156915537742</v>
      </c>
      <c r="K249" s="10">
        <v>60.684445781482182</v>
      </c>
      <c r="L249" s="10">
        <v>60.69461728395062</v>
      </c>
      <c r="M249" s="10">
        <v>2.8711987850070528</v>
      </c>
      <c r="N249" s="10">
        <v>0.68592458888818442</v>
      </c>
      <c r="O249" s="10">
        <v>0.6757530864197463</v>
      </c>
      <c r="P249" s="5">
        <v>0.22620196465361456</v>
      </c>
      <c r="Q249" s="5">
        <v>0.18084445923754364</v>
      </c>
      <c r="R249" s="5">
        <v>0.18098173735177772</v>
      </c>
    </row>
    <row r="250" spans="1:18">
      <c r="A250" t="s">
        <v>637</v>
      </c>
      <c r="B250" t="s">
        <v>61</v>
      </c>
      <c r="C250" s="10">
        <v>49.58</v>
      </c>
      <c r="D250" s="10">
        <v>50</v>
      </c>
      <c r="E250" s="10">
        <v>0.19</v>
      </c>
      <c r="F250" s="10">
        <v>51.904847166239975</v>
      </c>
      <c r="G250" s="10">
        <v>48.717785070371782</v>
      </c>
      <c r="H250" s="10">
        <v>48.416294000000001</v>
      </c>
      <c r="I250" s="10">
        <v>61.209876543209873</v>
      </c>
      <c r="J250" s="10">
        <v>64.080058229925896</v>
      </c>
      <c r="K250" s="10">
        <v>60.145413667125652</v>
      </c>
      <c r="L250" s="10">
        <v>59.773202469135796</v>
      </c>
      <c r="M250" s="10">
        <v>2.8701816867160233</v>
      </c>
      <c r="N250" s="10">
        <v>1.064462876084221</v>
      </c>
      <c r="O250" s="10">
        <v>1.4366740740740767</v>
      </c>
      <c r="P250" s="5">
        <v>0.22628035352118728</v>
      </c>
      <c r="Q250" s="5">
        <v>0.17566449414746496</v>
      </c>
      <c r="R250" s="5">
        <v>0.17053130914976675</v>
      </c>
    </row>
    <row r="251" spans="1:18">
      <c r="A251" t="s">
        <v>638</v>
      </c>
      <c r="B251" t="s">
        <v>61</v>
      </c>
      <c r="C251" s="10">
        <v>102.51</v>
      </c>
      <c r="D251" s="10">
        <v>50</v>
      </c>
      <c r="E251" s="10">
        <v>0.19</v>
      </c>
      <c r="F251" s="10">
        <v>104.2044257656657</v>
      </c>
      <c r="G251" s="10">
        <v>99.528238117388184</v>
      </c>
      <c r="H251" s="10">
        <v>99.470740000000006</v>
      </c>
      <c r="I251" s="10">
        <v>126.55555555555556</v>
      </c>
      <c r="J251" s="10">
        <v>128.64743921687122</v>
      </c>
      <c r="K251" s="10">
        <v>122.87436804615824</v>
      </c>
      <c r="L251" s="10">
        <v>122.80338271604938</v>
      </c>
      <c r="M251" s="10">
        <v>2.0918836613156628</v>
      </c>
      <c r="N251" s="10">
        <v>3.6811875093973185</v>
      </c>
      <c r="O251" s="10">
        <v>3.7521728395061729</v>
      </c>
      <c r="P251" s="5">
        <v>0.20317108040377901</v>
      </c>
      <c r="Q251" s="5">
        <v>0.1657332474622232</v>
      </c>
      <c r="R251" s="5">
        <v>0.16525100748220026</v>
      </c>
    </row>
    <row r="252" spans="1:18">
      <c r="A252" t="s">
        <v>639</v>
      </c>
      <c r="B252" t="s">
        <v>61</v>
      </c>
      <c r="C252" s="10">
        <v>65.88</v>
      </c>
      <c r="D252" s="10">
        <v>50</v>
      </c>
      <c r="E252" s="10">
        <v>0.19</v>
      </c>
      <c r="F252" s="10">
        <v>65.87104354603872</v>
      </c>
      <c r="G252" s="10">
        <v>64.661106610570286</v>
      </c>
      <c r="H252" s="10">
        <v>67.123099999999994</v>
      </c>
      <c r="I252" s="10">
        <v>81.333333333333329</v>
      </c>
      <c r="J252" s="10">
        <v>81.322275982763841</v>
      </c>
      <c r="K252" s="10">
        <v>79.828526679716404</v>
      </c>
      <c r="L252" s="10">
        <v>82.868024691358016</v>
      </c>
      <c r="M252" s="10">
        <v>1.1057350569487312E-2</v>
      </c>
      <c r="N252" s="10">
        <v>1.5048066536169245</v>
      </c>
      <c r="O252" s="10">
        <v>1.5346913580246877</v>
      </c>
      <c r="P252" s="5">
        <v>0.18988986469140162</v>
      </c>
      <c r="Q252" s="5">
        <v>0.17473110503066047</v>
      </c>
      <c r="R252" s="5">
        <v>0.20500096092105397</v>
      </c>
    </row>
    <row r="253" spans="1:18">
      <c r="A253" t="s">
        <v>640</v>
      </c>
      <c r="B253" t="s">
        <v>61</v>
      </c>
      <c r="C253" s="10">
        <v>49.81</v>
      </c>
      <c r="D253" s="10">
        <v>50</v>
      </c>
      <c r="E253" s="10">
        <v>0.19</v>
      </c>
      <c r="F253" s="10">
        <v>50.637731507118531</v>
      </c>
      <c r="G253" s="10">
        <v>50.285114740023623</v>
      </c>
      <c r="H253" s="10">
        <v>49.551715999999999</v>
      </c>
      <c r="I253" s="10">
        <v>61.493827160493829</v>
      </c>
      <c r="J253" s="10">
        <v>62.515717910022872</v>
      </c>
      <c r="K253" s="10">
        <v>62.080388567930392</v>
      </c>
      <c r="L253" s="10">
        <v>61.17495802469135</v>
      </c>
      <c r="M253" s="10">
        <v>1.0218907495290424</v>
      </c>
      <c r="N253" s="10">
        <v>0.58656140743656238</v>
      </c>
      <c r="O253" s="10">
        <v>0.31886913580247978</v>
      </c>
      <c r="P253" s="5">
        <v>0.20324037433769623</v>
      </c>
      <c r="Q253" s="5">
        <v>0.19765321788383669</v>
      </c>
      <c r="R253" s="5">
        <v>0.18577794561140915</v>
      </c>
    </row>
    <row r="254" spans="1:18">
      <c r="A254" t="s">
        <v>641</v>
      </c>
      <c r="B254" t="s">
        <v>61</v>
      </c>
      <c r="C254" s="10">
        <v>41.52</v>
      </c>
      <c r="D254" s="10">
        <v>50</v>
      </c>
      <c r="E254" s="10">
        <v>0.19</v>
      </c>
      <c r="F254" s="10">
        <v>50.571156779497159</v>
      </c>
      <c r="G254" s="10">
        <v>49.125341863002177</v>
      </c>
      <c r="H254" s="10">
        <v>49.675392000000002</v>
      </c>
      <c r="I254" s="10">
        <v>51.25925925925926</v>
      </c>
      <c r="J254" s="10">
        <v>62.433526888268091</v>
      </c>
      <c r="K254" s="10">
        <v>60.648570201237249</v>
      </c>
      <c r="L254" s="10">
        <v>61.327644444444445</v>
      </c>
      <c r="M254" s="10">
        <v>11.174267629008831</v>
      </c>
      <c r="N254" s="10">
        <v>9.389310941977989</v>
      </c>
      <c r="O254" s="10">
        <v>10.068385185185186</v>
      </c>
      <c r="P254" s="5">
        <v>0.33497269705258242</v>
      </c>
      <c r="Q254" s="5">
        <v>0.31540018400709169</v>
      </c>
      <c r="R254" s="5">
        <v>0.32298068226618115</v>
      </c>
    </row>
    <row r="255" spans="1:18">
      <c r="A255" t="s">
        <v>642</v>
      </c>
      <c r="B255" t="s">
        <v>61</v>
      </c>
      <c r="C255" s="10">
        <v>58.16</v>
      </c>
      <c r="D255" s="10">
        <v>50</v>
      </c>
      <c r="E255" s="10">
        <v>0.19</v>
      </c>
      <c r="F255" s="10">
        <v>61.888451119914436</v>
      </c>
      <c r="G255" s="10">
        <v>59.086565004035151</v>
      </c>
      <c r="H255" s="10">
        <v>58.996319999999997</v>
      </c>
      <c r="I255" s="10">
        <v>71.802469135802454</v>
      </c>
      <c r="J255" s="10">
        <v>76.405495209770905</v>
      </c>
      <c r="K255" s="10">
        <v>72.946376548191537</v>
      </c>
      <c r="L255" s="10">
        <v>72.834962962962962</v>
      </c>
      <c r="M255" s="10">
        <v>4.6030260739684508</v>
      </c>
      <c r="N255" s="10">
        <v>1.1439074123890833</v>
      </c>
      <c r="O255" s="10">
        <v>1.0324938271605077</v>
      </c>
      <c r="P255" s="5">
        <v>0.23879820632898185</v>
      </c>
      <c r="Q255" s="5">
        <v>0.20270200177006764</v>
      </c>
      <c r="R255" s="5">
        <v>0.20148239754615208</v>
      </c>
    </row>
    <row r="256" spans="1:18">
      <c r="A256" t="s">
        <v>643</v>
      </c>
      <c r="B256" t="s">
        <v>61</v>
      </c>
      <c r="C256" s="10">
        <v>47.82</v>
      </c>
      <c r="D256" s="10">
        <v>50</v>
      </c>
      <c r="E256" s="10">
        <v>0.19</v>
      </c>
      <c r="F256" s="10">
        <v>54.320962847810193</v>
      </c>
      <c r="G256" s="10">
        <v>51.436793629826859</v>
      </c>
      <c r="H256" s="10">
        <v>50.564219999999999</v>
      </c>
      <c r="I256" s="10">
        <v>59.037037037037031</v>
      </c>
      <c r="J256" s="10">
        <v>67.062917096061966</v>
      </c>
      <c r="K256" s="10">
        <v>63.502214357810935</v>
      </c>
      <c r="L256" s="10">
        <v>62.424962962962958</v>
      </c>
      <c r="M256" s="10">
        <v>8.0258800590249351</v>
      </c>
      <c r="N256" s="10">
        <v>4.4651773207739041</v>
      </c>
      <c r="O256" s="10">
        <v>3.3879259259259271</v>
      </c>
      <c r="P256" s="5">
        <v>0.28693826527853106</v>
      </c>
      <c r="Q256" s="5">
        <v>0.24695539386150528</v>
      </c>
      <c r="R256" s="5">
        <v>0.2339602984086375</v>
      </c>
    </row>
    <row r="257" spans="1:18">
      <c r="A257" t="s">
        <v>644</v>
      </c>
      <c r="B257" t="s">
        <v>61</v>
      </c>
      <c r="C257" s="10">
        <v>149.56</v>
      </c>
      <c r="D257" s="10">
        <v>50</v>
      </c>
      <c r="E257" s="10">
        <v>0.19</v>
      </c>
      <c r="F257" s="10">
        <v>151.35950979649098</v>
      </c>
      <c r="G257" s="10">
        <v>139.71965386141636</v>
      </c>
      <c r="H257" s="10">
        <v>139.42621</v>
      </c>
      <c r="I257" s="10">
        <v>184.64197530864197</v>
      </c>
      <c r="J257" s="10">
        <v>186.86359234134687</v>
      </c>
      <c r="K257" s="10">
        <v>172.49339982890908</v>
      </c>
      <c r="L257" s="10">
        <v>172.13112345679011</v>
      </c>
      <c r="M257" s="10">
        <v>2.2216170327048985</v>
      </c>
      <c r="N257" s="10">
        <v>12.148575479732898</v>
      </c>
      <c r="O257" s="10">
        <v>12.510851851851868</v>
      </c>
      <c r="P257" s="5">
        <v>0.19963007172207078</v>
      </c>
      <c r="Q257" s="5">
        <v>0.13295233238869436</v>
      </c>
      <c r="R257" s="5">
        <v>0.13112749747698074</v>
      </c>
    </row>
    <row r="258" spans="1:18">
      <c r="A258" t="s">
        <v>645</v>
      </c>
      <c r="B258" t="s">
        <v>61</v>
      </c>
      <c r="C258" s="10">
        <v>57.62</v>
      </c>
      <c r="D258" s="10">
        <v>50</v>
      </c>
      <c r="E258" s="10">
        <v>0.19</v>
      </c>
      <c r="F258" s="10">
        <v>51.373435716972978</v>
      </c>
      <c r="G258" s="10">
        <v>55.535955434501595</v>
      </c>
      <c r="H258" s="10">
        <v>55.645245000000003</v>
      </c>
      <c r="I258" s="10">
        <v>71.135802469135797</v>
      </c>
      <c r="J258" s="10">
        <v>63.423994712312314</v>
      </c>
      <c r="K258" s="10">
        <v>68.562907943829131</v>
      </c>
      <c r="L258" s="10">
        <v>68.697833333333335</v>
      </c>
      <c r="M258" s="10">
        <v>7.7118077568234824</v>
      </c>
      <c r="N258" s="10">
        <v>2.5728945253066655</v>
      </c>
      <c r="O258" s="10">
        <v>2.4379691358024616</v>
      </c>
      <c r="P258" s="5">
        <v>9.1511024157953341E-2</v>
      </c>
      <c r="Q258" s="5">
        <v>0.15960390642698855</v>
      </c>
      <c r="R258" s="5">
        <v>0.16125447915630534</v>
      </c>
    </row>
    <row r="259" spans="1:18">
      <c r="A259" t="s">
        <v>646</v>
      </c>
      <c r="B259" t="s">
        <v>61</v>
      </c>
      <c r="C259" s="10">
        <v>66.09</v>
      </c>
      <c r="D259" s="10">
        <v>50</v>
      </c>
      <c r="E259" s="10">
        <v>0.19</v>
      </c>
      <c r="F259" s="10">
        <v>62.975304479808273</v>
      </c>
      <c r="G259" s="10">
        <v>61.764736867976694</v>
      </c>
      <c r="H259" s="10">
        <v>61.861224999999997</v>
      </c>
      <c r="I259" s="10">
        <v>81.592592592592595</v>
      </c>
      <c r="J259" s="10">
        <v>77.747289481244778</v>
      </c>
      <c r="K259" s="10">
        <v>76.252761565403318</v>
      </c>
      <c r="L259" s="10">
        <v>76.37188271604937</v>
      </c>
      <c r="M259" s="10">
        <v>3.8453031113478175</v>
      </c>
      <c r="N259" s="10">
        <v>5.3398310271892768</v>
      </c>
      <c r="O259" s="10">
        <v>5.2207098765432249</v>
      </c>
      <c r="P259" s="5">
        <v>0.14993821082414582</v>
      </c>
      <c r="Q259" s="5">
        <v>0.13327729195337454</v>
      </c>
      <c r="R259" s="5">
        <v>0.1346291639067928</v>
      </c>
    </row>
    <row r="260" spans="1:18">
      <c r="A260" t="s">
        <v>647</v>
      </c>
      <c r="B260" t="s">
        <v>61</v>
      </c>
      <c r="C260" s="10">
        <v>95.16</v>
      </c>
      <c r="D260" s="10">
        <v>50</v>
      </c>
      <c r="E260" s="10">
        <v>0.19</v>
      </c>
      <c r="F260" s="10">
        <v>105.4209740087353</v>
      </c>
      <c r="G260" s="10">
        <v>99.769659527569956</v>
      </c>
      <c r="H260" s="10">
        <v>98.867490000000004</v>
      </c>
      <c r="I260" s="10">
        <v>117.48148148148147</v>
      </c>
      <c r="J260" s="10">
        <v>130.14935062806828</v>
      </c>
      <c r="K260" s="10">
        <v>123.17241916983944</v>
      </c>
      <c r="L260" s="10">
        <v>122.05862962962962</v>
      </c>
      <c r="M260" s="10">
        <v>12.66786914658681</v>
      </c>
      <c r="N260" s="10">
        <v>5.6909376883579768</v>
      </c>
      <c r="O260" s="10">
        <v>4.5771481481481544</v>
      </c>
      <c r="P260" s="5">
        <v>0.26883999389331109</v>
      </c>
      <c r="Q260" s="5">
        <v>0.22742444581861956</v>
      </c>
      <c r="R260" s="5">
        <v>0.22037466511994991</v>
      </c>
    </row>
    <row r="261" spans="1:18">
      <c r="A261" t="s">
        <v>648</v>
      </c>
      <c r="B261" t="s">
        <v>61</v>
      </c>
      <c r="C261" s="10">
        <v>86.15</v>
      </c>
      <c r="D261" s="10">
        <v>60</v>
      </c>
      <c r="E261" s="10">
        <v>0.19</v>
      </c>
      <c r="F261" s="10">
        <v>88.635598326233449</v>
      </c>
      <c r="G261" s="10">
        <v>94.996106364141923</v>
      </c>
      <c r="H261" s="10">
        <v>93.072235000000006</v>
      </c>
      <c r="I261" s="10">
        <v>106.35802469135803</v>
      </c>
      <c r="J261" s="10">
        <v>109.42666460028821</v>
      </c>
      <c r="K261" s="10">
        <v>117.27914365943447</v>
      </c>
      <c r="L261" s="10">
        <v>114.90399382716049</v>
      </c>
      <c r="M261" s="10">
        <v>3.0686399089301801</v>
      </c>
      <c r="N261" s="10">
        <v>10.921118968076442</v>
      </c>
      <c r="O261" s="10">
        <v>8.5459691358024656</v>
      </c>
      <c r="P261" s="5">
        <v>0.21271474082951161</v>
      </c>
      <c r="Q261" s="5">
        <v>0.26542778782415072</v>
      </c>
      <c r="R261" s="5">
        <v>0.2502436414039052</v>
      </c>
    </row>
    <row r="262" spans="1:18">
      <c r="A262" t="s">
        <v>649</v>
      </c>
      <c r="B262" t="s">
        <v>61</v>
      </c>
      <c r="C262" s="10">
        <v>73.569999999999993</v>
      </c>
      <c r="D262" s="10">
        <v>50</v>
      </c>
      <c r="E262" s="10">
        <v>0.19</v>
      </c>
      <c r="F262" s="10">
        <v>74.84523854946174</v>
      </c>
      <c r="G262" s="10">
        <v>78.844290141123906</v>
      </c>
      <c r="H262" s="10">
        <v>74.833010000000002</v>
      </c>
      <c r="I262" s="10">
        <v>90.827160493827151</v>
      </c>
      <c r="J262" s="10">
        <v>92.401529073409549</v>
      </c>
      <c r="K262" s="10">
        <v>97.338629803856662</v>
      </c>
      <c r="L262" s="10">
        <v>92.386432098765425</v>
      </c>
      <c r="M262" s="10">
        <v>1.5743685795823978</v>
      </c>
      <c r="N262" s="10">
        <v>6.5114693100295113</v>
      </c>
      <c r="O262" s="10">
        <v>1.5592716049382744</v>
      </c>
      <c r="P262" s="5">
        <v>0.20380105461727382</v>
      </c>
      <c r="Q262" s="5">
        <v>0.24418496389102581</v>
      </c>
      <c r="R262" s="5">
        <v>0.20367094681879028</v>
      </c>
    </row>
    <row r="263" spans="1:18">
      <c r="A263" t="s">
        <v>650</v>
      </c>
      <c r="B263" t="s">
        <v>61</v>
      </c>
      <c r="C263" s="10">
        <v>53.92</v>
      </c>
      <c r="D263" s="10">
        <v>50</v>
      </c>
      <c r="E263" s="10">
        <v>0.19</v>
      </c>
      <c r="F263" s="10">
        <v>50.554953640389407</v>
      </c>
      <c r="G263" s="10">
        <v>48.981380467645522</v>
      </c>
      <c r="H263" s="10">
        <v>49.716414999999998</v>
      </c>
      <c r="I263" s="10">
        <v>66.567901234567898</v>
      </c>
      <c r="J263" s="10">
        <v>62.413523012826424</v>
      </c>
      <c r="K263" s="10">
        <v>60.470840083512989</v>
      </c>
      <c r="L263" s="10">
        <v>61.378290123456786</v>
      </c>
      <c r="M263" s="10">
        <v>4.1543782217414744</v>
      </c>
      <c r="N263" s="10">
        <v>6.0970611510549091</v>
      </c>
      <c r="O263" s="10">
        <v>5.1896111111111125</v>
      </c>
      <c r="P263" s="5">
        <v>0.13608465926656541</v>
      </c>
      <c r="Q263" s="5">
        <v>0.10833056187851828</v>
      </c>
      <c r="R263" s="5">
        <v>0.12151348805017409</v>
      </c>
    </row>
    <row r="264" spans="1:18">
      <c r="A264" t="s">
        <v>651</v>
      </c>
      <c r="B264" t="s">
        <v>61</v>
      </c>
      <c r="C264" s="10">
        <v>59.8</v>
      </c>
      <c r="D264" s="10">
        <v>50</v>
      </c>
      <c r="E264" s="10">
        <v>0.19</v>
      </c>
      <c r="F264" s="10">
        <v>62.748728189128109</v>
      </c>
      <c r="G264" s="10">
        <v>63.684379986590869</v>
      </c>
      <c r="H264" s="10">
        <v>63.177867999999997</v>
      </c>
      <c r="I264" s="10">
        <v>73.827160493827151</v>
      </c>
      <c r="J264" s="10">
        <v>77.467565665590257</v>
      </c>
      <c r="K264" s="10">
        <v>78.622691341470201</v>
      </c>
      <c r="L264" s="10">
        <v>77.997367901234554</v>
      </c>
      <c r="M264" s="10">
        <v>3.6404051717631063</v>
      </c>
      <c r="N264" s="10">
        <v>4.7955308476430503</v>
      </c>
      <c r="O264" s="10">
        <v>4.1702074074074034</v>
      </c>
      <c r="P264" s="5">
        <v>0.22806403575216364</v>
      </c>
      <c r="Q264" s="5">
        <v>0.23940532968682562</v>
      </c>
      <c r="R264" s="5">
        <v>0.23330746140404729</v>
      </c>
    </row>
    <row r="265" spans="1:18">
      <c r="A265" t="s">
        <v>652</v>
      </c>
      <c r="B265" t="s">
        <v>61</v>
      </c>
      <c r="C265" s="10">
        <v>75.86</v>
      </c>
      <c r="D265" s="10">
        <v>50</v>
      </c>
      <c r="E265" s="10">
        <v>0.19</v>
      </c>
      <c r="F265" s="10">
        <v>77.399893393191462</v>
      </c>
      <c r="G265" s="10">
        <v>78.638266132478634</v>
      </c>
      <c r="H265" s="10">
        <v>78.182569999999998</v>
      </c>
      <c r="I265" s="10">
        <v>93.654320987654316</v>
      </c>
      <c r="J265" s="10">
        <v>95.555423942211675</v>
      </c>
      <c r="K265" s="10">
        <v>97.084279175899539</v>
      </c>
      <c r="L265" s="10">
        <v>96.521691358024682</v>
      </c>
      <c r="M265" s="10">
        <v>1.9011029545573592</v>
      </c>
      <c r="N265" s="10">
        <v>3.429958188245223</v>
      </c>
      <c r="O265" s="10">
        <v>2.8673703703703666</v>
      </c>
      <c r="P265" s="5">
        <v>0.20611518561335385</v>
      </c>
      <c r="Q265" s="5">
        <v>0.21861705474935753</v>
      </c>
      <c r="R265" s="5">
        <v>0.21406267407172716</v>
      </c>
    </row>
    <row r="266" spans="1:18">
      <c r="A266" t="s">
        <v>653</v>
      </c>
      <c r="B266" t="s">
        <v>61</v>
      </c>
      <c r="C266" s="10">
        <v>150.66999999999999</v>
      </c>
      <c r="D266" s="10">
        <v>50</v>
      </c>
      <c r="E266" s="10">
        <v>0.19</v>
      </c>
      <c r="F266" s="10">
        <v>150.54278216573644</v>
      </c>
      <c r="G266" s="10">
        <v>147.52994410866913</v>
      </c>
      <c r="H266" s="10">
        <v>142.62544</v>
      </c>
      <c r="I266" s="10">
        <v>186.01234567901233</v>
      </c>
      <c r="J266" s="10">
        <v>185.85528662436596</v>
      </c>
      <c r="K266" s="10">
        <v>182.13573346749274</v>
      </c>
      <c r="L266" s="10">
        <v>176.08079012345678</v>
      </c>
      <c r="M266" s="10">
        <v>0.15705905464636771</v>
      </c>
      <c r="N266" s="10">
        <v>3.8766122115195856</v>
      </c>
      <c r="O266" s="10">
        <v>9.9315555555555477</v>
      </c>
      <c r="P266" s="5">
        <v>0.18931550058879584</v>
      </c>
      <c r="Q266" s="5">
        <v>0.17275980318880535</v>
      </c>
      <c r="R266" s="5">
        <v>0.1443132445375804</v>
      </c>
    </row>
    <row r="267" spans="1:18">
      <c r="A267" t="s">
        <v>654</v>
      </c>
      <c r="B267" t="s">
        <v>61</v>
      </c>
      <c r="C267" s="10">
        <v>46.04</v>
      </c>
      <c r="D267" s="10">
        <v>50</v>
      </c>
      <c r="E267" s="10">
        <v>0.19</v>
      </c>
      <c r="F267" s="10">
        <v>53.621667763097136</v>
      </c>
      <c r="G267" s="10">
        <v>51.252471624569452</v>
      </c>
      <c r="H267" s="10">
        <v>52.321910000000003</v>
      </c>
      <c r="I267" s="10">
        <v>56.839506172839499</v>
      </c>
      <c r="J267" s="10">
        <v>66.19958983098411</v>
      </c>
      <c r="K267" s="10">
        <v>63.27465632662895</v>
      </c>
      <c r="L267" s="10">
        <v>64.594950617283956</v>
      </c>
      <c r="M267" s="10">
        <v>9.3600836581446103</v>
      </c>
      <c r="N267" s="10">
        <v>6.4351501537894507</v>
      </c>
      <c r="O267" s="10">
        <v>7.755444444444457</v>
      </c>
      <c r="P267" s="5">
        <v>0.3045274129711994</v>
      </c>
      <c r="Q267" s="5">
        <v>0.27237850550562054</v>
      </c>
      <c r="R267" s="5">
        <v>0.28725079034767659</v>
      </c>
    </row>
    <row r="268" spans="1:18">
      <c r="A268" t="s">
        <v>655</v>
      </c>
      <c r="B268" t="s">
        <v>61</v>
      </c>
      <c r="C268" s="10">
        <v>60.71</v>
      </c>
      <c r="D268" s="10">
        <v>50</v>
      </c>
      <c r="E268" s="10">
        <v>0.19</v>
      </c>
      <c r="F268" s="10">
        <v>61.346060656432194</v>
      </c>
      <c r="G268" s="10">
        <v>59.177385080032472</v>
      </c>
      <c r="H268" s="10">
        <v>57.744720000000001</v>
      </c>
      <c r="I268" s="10">
        <v>74.950617283950606</v>
      </c>
      <c r="J268" s="10">
        <v>75.735877353619983</v>
      </c>
      <c r="K268" s="10">
        <v>73.05850009880551</v>
      </c>
      <c r="L268" s="10">
        <v>71.289777777777772</v>
      </c>
      <c r="M268" s="10">
        <v>0.785260069669377</v>
      </c>
      <c r="N268" s="10">
        <v>1.8921171851450964</v>
      </c>
      <c r="O268" s="10">
        <v>3.6608395061728345</v>
      </c>
      <c r="P268" s="5">
        <v>0.19839840612742018</v>
      </c>
      <c r="Q268" s="5">
        <v>0.16902208616526751</v>
      </c>
      <c r="R268" s="5">
        <v>0.14840525679230923</v>
      </c>
    </row>
    <row r="269" spans="1:18">
      <c r="A269" t="s">
        <v>969</v>
      </c>
      <c r="B269" t="s">
        <v>75</v>
      </c>
      <c r="C269" s="10">
        <v>104.62</v>
      </c>
      <c r="D269" s="10">
        <v>50</v>
      </c>
      <c r="E269" s="10">
        <v>0.19</v>
      </c>
      <c r="F269" s="10">
        <v>113.82120840512582</v>
      </c>
      <c r="G269" s="10">
        <v>110.878319069659</v>
      </c>
      <c r="H269" s="10">
        <v>113.73016</v>
      </c>
      <c r="I269" s="10">
        <v>129.16049382716048</v>
      </c>
      <c r="J269" s="10">
        <v>140.52001037669854</v>
      </c>
      <c r="K269" s="10">
        <v>136.88681366624567</v>
      </c>
      <c r="L269" s="10">
        <v>140.40760493827159</v>
      </c>
      <c r="M269" s="10">
        <v>11.359516549538057</v>
      </c>
      <c r="N269" s="10">
        <v>7.7263198390851926</v>
      </c>
      <c r="O269" s="10">
        <v>11.24711111111111</v>
      </c>
      <c r="P269" s="5">
        <v>0.25547970200443126</v>
      </c>
      <c r="Q269" s="5">
        <v>0.23571893305163696</v>
      </c>
      <c r="R269" s="5">
        <v>0.2548836649838529</v>
      </c>
    </row>
    <row r="270" spans="1:18">
      <c r="A270" t="s">
        <v>970</v>
      </c>
      <c r="B270" t="s">
        <v>75</v>
      </c>
      <c r="C270" s="10">
        <v>66.22</v>
      </c>
      <c r="D270" s="10">
        <v>50</v>
      </c>
      <c r="E270" s="10">
        <v>0.19</v>
      </c>
      <c r="F270" s="10">
        <v>61.927616430584088</v>
      </c>
      <c r="G270" s="10">
        <v>61.284329238610901</v>
      </c>
      <c r="H270" s="10">
        <v>60.65204</v>
      </c>
      <c r="I270" s="10">
        <v>81.753086419753075</v>
      </c>
      <c r="J270" s="10">
        <v>76.453847445165536</v>
      </c>
      <c r="K270" s="10">
        <v>75.659665726680117</v>
      </c>
      <c r="L270" s="10">
        <v>74.879061728395058</v>
      </c>
      <c r="M270" s="10">
        <v>5.2992389745875386</v>
      </c>
      <c r="N270" s="10">
        <v>6.0934206930729573</v>
      </c>
      <c r="O270" s="10">
        <v>6.8740246913580165</v>
      </c>
      <c r="P270" s="5">
        <v>0.13385653943060863</v>
      </c>
      <c r="Q270" s="5">
        <v>0.12476483521326712</v>
      </c>
      <c r="R270" s="5">
        <v>0.11564062808109997</v>
      </c>
    </row>
    <row r="271" spans="1:18">
      <c r="A271" t="s">
        <v>971</v>
      </c>
      <c r="B271" t="s">
        <v>75</v>
      </c>
      <c r="C271" s="10">
        <v>49.24</v>
      </c>
      <c r="D271" s="10">
        <v>50</v>
      </c>
      <c r="E271" s="10">
        <v>0.19</v>
      </c>
      <c r="F271" s="10">
        <v>53.326761673697291</v>
      </c>
      <c r="G271" s="10">
        <v>52.034999773723698</v>
      </c>
      <c r="H271" s="10">
        <v>52.167923000000002</v>
      </c>
      <c r="I271" s="10">
        <v>60.79012345679012</v>
      </c>
      <c r="J271" s="10">
        <v>65.835508239132452</v>
      </c>
      <c r="K271" s="10">
        <v>64.240740461387276</v>
      </c>
      <c r="L271" s="10">
        <v>64.404843209876546</v>
      </c>
      <c r="M271" s="10">
        <v>5.0453847823423317</v>
      </c>
      <c r="N271" s="10">
        <v>3.4506170045971558</v>
      </c>
      <c r="O271" s="10">
        <v>3.6147197530864261</v>
      </c>
      <c r="P271" s="5">
        <v>0.2520753417571116</v>
      </c>
      <c r="Q271" s="5">
        <v>0.23350821229097851</v>
      </c>
      <c r="R271" s="5">
        <v>0.23546122394023622</v>
      </c>
    </row>
    <row r="272" spans="1:18">
      <c r="A272" t="s">
        <v>972</v>
      </c>
      <c r="B272" t="s">
        <v>75</v>
      </c>
      <c r="C272" s="10">
        <v>56.88</v>
      </c>
      <c r="D272" s="10">
        <v>50</v>
      </c>
      <c r="E272" s="10">
        <v>0.19</v>
      </c>
      <c r="F272" s="10">
        <v>48.474247885242832</v>
      </c>
      <c r="G272" s="10">
        <v>51.074502117343414</v>
      </c>
      <c r="H272" s="10">
        <v>50.439300000000003</v>
      </c>
      <c r="I272" s="10">
        <v>70.222222222222214</v>
      </c>
      <c r="J272" s="10">
        <v>59.844750475608429</v>
      </c>
      <c r="K272" s="10">
        <v>63.054940885609149</v>
      </c>
      <c r="L272" s="10">
        <v>62.270740740740742</v>
      </c>
      <c r="M272" s="10">
        <v>10.377471746613786</v>
      </c>
      <c r="N272" s="10">
        <v>7.1672813366130654</v>
      </c>
      <c r="O272" s="10">
        <v>7.9514814814814727</v>
      </c>
      <c r="P272" s="5">
        <v>4.9540694080039673E-2</v>
      </c>
      <c r="Q272" s="5">
        <v>9.792953254545729E-2</v>
      </c>
      <c r="R272" s="5">
        <v>8.6569401240699187E-2</v>
      </c>
    </row>
    <row r="273" spans="1:18">
      <c r="A273" t="s">
        <v>973</v>
      </c>
      <c r="B273" t="s">
        <v>75</v>
      </c>
      <c r="C273" s="10">
        <v>167.77</v>
      </c>
      <c r="D273" s="10">
        <v>65</v>
      </c>
      <c r="E273" s="10">
        <v>0.19</v>
      </c>
      <c r="F273" s="10">
        <v>165.25769857978656</v>
      </c>
      <c r="G273" s="10">
        <v>155.68859578754589</v>
      </c>
      <c r="H273" s="10">
        <v>168.26872</v>
      </c>
      <c r="I273" s="10">
        <v>207.12345679012347</v>
      </c>
      <c r="J273" s="10">
        <v>204.02185009850191</v>
      </c>
      <c r="K273" s="10">
        <v>192.2081429475875</v>
      </c>
      <c r="L273" s="10">
        <v>207.73916049382714</v>
      </c>
      <c r="M273" s="10">
        <v>3.101606691621555</v>
      </c>
      <c r="N273" s="10">
        <v>14.915313842535966</v>
      </c>
      <c r="O273" s="10">
        <v>0.615703703703673</v>
      </c>
      <c r="P273" s="5">
        <v>0.17768611587925254</v>
      </c>
      <c r="Q273" s="5">
        <v>0.12714416035043549</v>
      </c>
      <c r="R273" s="5">
        <v>0.19240070287573341</v>
      </c>
    </row>
    <row r="274" spans="1:18">
      <c r="A274" t="s">
        <v>974</v>
      </c>
      <c r="B274" t="s">
        <v>75</v>
      </c>
      <c r="C274" s="10">
        <v>152.74</v>
      </c>
      <c r="D274" s="10">
        <v>50</v>
      </c>
      <c r="E274" s="10">
        <v>0.19</v>
      </c>
      <c r="F274" s="10">
        <v>152.73191975191975</v>
      </c>
      <c r="G274" s="10">
        <v>150.22762700632703</v>
      </c>
      <c r="H274" s="10">
        <v>149.01598999999999</v>
      </c>
      <c r="I274" s="10">
        <v>188.5679012345679</v>
      </c>
      <c r="J274" s="10">
        <v>188.55792561965399</v>
      </c>
      <c r="K274" s="10">
        <v>185.46620618065063</v>
      </c>
      <c r="L274" s="10">
        <v>183.97035802469134</v>
      </c>
      <c r="M274" s="10">
        <v>9.9756149139125228E-3</v>
      </c>
      <c r="N274" s="10">
        <v>3.1016950539172683</v>
      </c>
      <c r="O274" s="10">
        <v>4.5975432098765623</v>
      </c>
      <c r="P274" s="5">
        <v>0.18995714713102763</v>
      </c>
      <c r="Q274" s="5">
        <v>0.17645374246116913</v>
      </c>
      <c r="R274" s="5">
        <v>0.16975755420609545</v>
      </c>
    </row>
    <row r="275" spans="1:18">
      <c r="A275" t="s">
        <v>975</v>
      </c>
      <c r="B275" t="s">
        <v>75</v>
      </c>
      <c r="C275" s="10">
        <v>111.86</v>
      </c>
      <c r="D275" s="10">
        <v>50</v>
      </c>
      <c r="E275" s="10">
        <v>0.19</v>
      </c>
      <c r="F275" s="10">
        <v>115.49792342030983</v>
      </c>
      <c r="G275" s="10">
        <v>112.54315922165443</v>
      </c>
      <c r="H275" s="10">
        <v>111.66651</v>
      </c>
      <c r="I275" s="10">
        <v>138.09876543209876</v>
      </c>
      <c r="J275" s="10">
        <v>142.59002891396275</v>
      </c>
      <c r="K275" s="10">
        <v>138.94217187858573</v>
      </c>
      <c r="L275" s="10">
        <v>137.85988888888889</v>
      </c>
      <c r="M275" s="10">
        <v>4.4912634818639958</v>
      </c>
      <c r="N275" s="10">
        <v>0.84340644648696639</v>
      </c>
      <c r="O275" s="10">
        <v>0.2388765432098694</v>
      </c>
      <c r="P275" s="5">
        <v>0.21551316840327533</v>
      </c>
      <c r="Q275" s="5">
        <v>0.19491686010386691</v>
      </c>
      <c r="R275" s="5">
        <v>0.18859647355326142</v>
      </c>
    </row>
    <row r="276" spans="1:18">
      <c r="A276" t="s">
        <v>976</v>
      </c>
      <c r="B276" t="s">
        <v>75</v>
      </c>
      <c r="C276" s="10">
        <v>55.6</v>
      </c>
      <c r="D276" s="10">
        <v>50</v>
      </c>
      <c r="E276" s="10">
        <v>0.19</v>
      </c>
      <c r="F276" s="10">
        <v>51.567180405068946</v>
      </c>
      <c r="G276" s="10">
        <v>54.413093295952613</v>
      </c>
      <c r="H276" s="10">
        <v>53.846684000000003</v>
      </c>
      <c r="I276" s="10">
        <v>68.641975308641975</v>
      </c>
      <c r="J276" s="10">
        <v>63.6631856852703</v>
      </c>
      <c r="K276" s="10">
        <v>67.176658390064944</v>
      </c>
      <c r="L276" s="10">
        <v>66.477387654320992</v>
      </c>
      <c r="M276" s="10">
        <v>4.9787896233716751</v>
      </c>
      <c r="N276" s="10">
        <v>1.4653169185770309</v>
      </c>
      <c r="O276" s="10">
        <v>2.1645876543209823</v>
      </c>
      <c r="P276" s="5">
        <v>0.12665382039051606</v>
      </c>
      <c r="Q276" s="5">
        <v>0.17233156080560663</v>
      </c>
      <c r="R276" s="5">
        <v>0.16362537756271123</v>
      </c>
    </row>
    <row r="277" spans="1:18">
      <c r="A277" t="s">
        <v>977</v>
      </c>
      <c r="B277" t="s">
        <v>75</v>
      </c>
      <c r="C277" s="10">
        <v>104.01</v>
      </c>
      <c r="D277" s="10">
        <v>50</v>
      </c>
      <c r="E277" s="10">
        <v>0.19</v>
      </c>
      <c r="F277" s="10">
        <v>99.915543943477445</v>
      </c>
      <c r="G277" s="10">
        <v>101.94619636752128</v>
      </c>
      <c r="H277" s="10">
        <v>103.25676</v>
      </c>
      <c r="I277" s="10">
        <v>128.40740740740742</v>
      </c>
      <c r="J277" s="10">
        <v>123.35252338700919</v>
      </c>
      <c r="K277" s="10">
        <v>125.85950168829787</v>
      </c>
      <c r="L277" s="10">
        <v>127.47748148148148</v>
      </c>
      <c r="M277" s="10">
        <v>5.0548840203982337</v>
      </c>
      <c r="N277" s="10">
        <v>2.5479057191095507</v>
      </c>
      <c r="O277" s="10">
        <v>0.92992592592594292</v>
      </c>
      <c r="P277" s="5">
        <v>0.1568068723355053</v>
      </c>
      <c r="Q277" s="5">
        <v>0.17360232159833333</v>
      </c>
      <c r="R277" s="5">
        <v>0.18409119170502727</v>
      </c>
    </row>
    <row r="278" spans="1:18">
      <c r="A278" t="s">
        <v>978</v>
      </c>
      <c r="B278" t="s">
        <v>75</v>
      </c>
      <c r="C278" s="10">
        <v>141.13999999999999</v>
      </c>
      <c r="D278" s="10">
        <v>65</v>
      </c>
      <c r="E278" s="10">
        <v>0.19</v>
      </c>
      <c r="F278" s="10">
        <v>141.55014691373242</v>
      </c>
      <c r="G278" s="10">
        <v>138.40469771062266</v>
      </c>
      <c r="H278" s="10">
        <v>142.96887000000001</v>
      </c>
      <c r="I278" s="10">
        <v>174.24691358024688</v>
      </c>
      <c r="J278" s="10">
        <v>174.75326779473136</v>
      </c>
      <c r="K278" s="10">
        <v>170.8699971736082</v>
      </c>
      <c r="L278" s="10">
        <v>176.50477777777778</v>
      </c>
      <c r="M278" s="10">
        <v>0.5063542144844746</v>
      </c>
      <c r="N278" s="10">
        <v>3.376916406638685</v>
      </c>
      <c r="O278" s="10">
        <v>2.2578641975308926</v>
      </c>
      <c r="P278" s="5">
        <v>0.19234700568926802</v>
      </c>
      <c r="Q278" s="5">
        <v>0.17399191002152231</v>
      </c>
      <c r="R278" s="5">
        <v>0.20036158920469896</v>
      </c>
    </row>
    <row r="279" spans="1:18">
      <c r="A279" t="s">
        <v>979</v>
      </c>
      <c r="B279" t="s">
        <v>75</v>
      </c>
      <c r="C279" s="10">
        <v>99.7</v>
      </c>
      <c r="D279" s="10">
        <v>119</v>
      </c>
      <c r="E279" s="10">
        <v>0.19</v>
      </c>
      <c r="F279" s="10">
        <v>100.94602002322078</v>
      </c>
      <c r="G279" s="10">
        <v>98.099398244810743</v>
      </c>
      <c r="H279" s="10">
        <v>94.812619999999995</v>
      </c>
      <c r="I279" s="10">
        <v>123.08641975308642</v>
      </c>
      <c r="J279" s="10">
        <v>124.62471607805034</v>
      </c>
      <c r="K279" s="10">
        <v>121.11036820347005</v>
      </c>
      <c r="L279" s="10">
        <v>119</v>
      </c>
      <c r="M279" s="10">
        <v>1.5382963249639232</v>
      </c>
      <c r="N279" s="10">
        <v>1.976051549616372</v>
      </c>
      <c r="O279" s="10">
        <v>4.0864197530864175</v>
      </c>
      <c r="P279" s="5">
        <v>0.1999981774276654</v>
      </c>
      <c r="Q279" s="5">
        <v>0.17678394113623538</v>
      </c>
      <c r="R279" s="5">
        <v>0.16218487394957981</v>
      </c>
    </row>
    <row r="280" spans="1:18">
      <c r="A280" t="s">
        <v>980</v>
      </c>
      <c r="B280" t="s">
        <v>75</v>
      </c>
      <c r="C280" s="10">
        <v>62.26</v>
      </c>
      <c r="D280" s="10">
        <v>50</v>
      </c>
      <c r="E280" s="10">
        <v>0.19</v>
      </c>
      <c r="F280" s="10">
        <v>63.732252156685661</v>
      </c>
      <c r="G280" s="10">
        <v>66.506309799610293</v>
      </c>
      <c r="H280" s="10">
        <v>66.825066000000007</v>
      </c>
      <c r="I280" s="10">
        <v>76.864197530864189</v>
      </c>
      <c r="J280" s="10">
        <v>78.681792786031679</v>
      </c>
      <c r="K280" s="10">
        <v>82.10655530816085</v>
      </c>
      <c r="L280" s="10">
        <v>82.500081481481487</v>
      </c>
      <c r="M280" s="10">
        <v>1.8175952551674897</v>
      </c>
      <c r="N280" s="10">
        <v>5.242357777296661</v>
      </c>
      <c r="O280" s="10">
        <v>5.6358839506172984</v>
      </c>
      <c r="P280" s="5">
        <v>0.2087114719245064</v>
      </c>
      <c r="Q280" s="5">
        <v>0.24171706185545255</v>
      </c>
      <c r="R280" s="5">
        <v>0.24533407868239152</v>
      </c>
    </row>
    <row r="281" spans="1:18">
      <c r="A281" t="s">
        <v>981</v>
      </c>
      <c r="B281" t="s">
        <v>75</v>
      </c>
      <c r="C281" s="10">
        <v>80.7</v>
      </c>
      <c r="D281" s="10">
        <v>50</v>
      </c>
      <c r="E281" s="10">
        <v>0.19</v>
      </c>
      <c r="F281" s="10">
        <v>84.246151920965985</v>
      </c>
      <c r="G281" s="10">
        <v>87.427650908706639</v>
      </c>
      <c r="H281" s="10">
        <v>84.025059999999996</v>
      </c>
      <c r="I281" s="10">
        <v>99.629629629629633</v>
      </c>
      <c r="J281" s="10">
        <v>104.00759496415553</v>
      </c>
      <c r="K281" s="10">
        <v>107.93537149223042</v>
      </c>
      <c r="L281" s="10">
        <v>103.73464197530863</v>
      </c>
      <c r="M281" s="10">
        <v>4.3779653345258964</v>
      </c>
      <c r="N281" s="10">
        <v>8.3057418626007831</v>
      </c>
      <c r="O281" s="10">
        <v>4.1050123456790004</v>
      </c>
      <c r="P281" s="5">
        <v>0.22409512470880708</v>
      </c>
      <c r="Q281" s="5">
        <v>0.25233036321360985</v>
      </c>
      <c r="R281" s="5">
        <v>0.2220535159391733</v>
      </c>
    </row>
    <row r="282" spans="1:18">
      <c r="A282" t="s">
        <v>982</v>
      </c>
      <c r="B282" t="s">
        <v>75</v>
      </c>
      <c r="C282" s="10">
        <v>53.09</v>
      </c>
      <c r="D282" s="10">
        <v>50</v>
      </c>
      <c r="E282" s="10">
        <v>0.19</v>
      </c>
      <c r="F282" s="10">
        <v>50.83104111737341</v>
      </c>
      <c r="G282" s="10">
        <v>54.316369153845223</v>
      </c>
      <c r="H282" s="10">
        <v>53.031086000000002</v>
      </c>
      <c r="I282" s="10">
        <v>65.543209876543216</v>
      </c>
      <c r="J282" s="10">
        <v>62.754371749843713</v>
      </c>
      <c r="K282" s="10">
        <v>67.057245868944719</v>
      </c>
      <c r="L282" s="10">
        <v>65.47047654320987</v>
      </c>
      <c r="M282" s="10">
        <v>2.7888381266995026</v>
      </c>
      <c r="N282" s="10">
        <v>1.514035992401503</v>
      </c>
      <c r="O282" s="10">
        <v>7.2733333333346195E-2</v>
      </c>
      <c r="P282" s="5">
        <v>0.15400316313210127</v>
      </c>
      <c r="Q282" s="5">
        <v>0.20828839132823929</v>
      </c>
      <c r="R282" s="5">
        <v>0.18910014401741637</v>
      </c>
    </row>
    <row r="283" spans="1:18">
      <c r="A283" t="s">
        <v>983</v>
      </c>
      <c r="B283" t="s">
        <v>75</v>
      </c>
      <c r="C283" s="10">
        <v>113.36</v>
      </c>
      <c r="D283" s="10">
        <v>50</v>
      </c>
      <c r="E283" s="10">
        <v>0.19</v>
      </c>
      <c r="F283" s="10">
        <v>115.07421411108996</v>
      </c>
      <c r="G283" s="10">
        <v>112.16200744645316</v>
      </c>
      <c r="H283" s="10">
        <v>112.45959000000001</v>
      </c>
      <c r="I283" s="10">
        <v>139.95061728395061</v>
      </c>
      <c r="J283" s="10">
        <v>142.06693100134561</v>
      </c>
      <c r="K283" s="10">
        <v>138.47161413142365</v>
      </c>
      <c r="L283" s="10">
        <v>138.839</v>
      </c>
      <c r="M283" s="10">
        <v>2.116313717395002</v>
      </c>
      <c r="N283" s="10">
        <v>1.4790031525269569</v>
      </c>
      <c r="O283" s="10">
        <v>1.1116172839506078</v>
      </c>
      <c r="P283" s="5">
        <v>0.20206624299551953</v>
      </c>
      <c r="Q283" s="5">
        <v>0.18134846111918773</v>
      </c>
      <c r="R283" s="5">
        <v>0.18351471848688047</v>
      </c>
    </row>
    <row r="284" spans="1:18">
      <c r="A284" t="s">
        <v>984</v>
      </c>
      <c r="B284" t="s">
        <v>75</v>
      </c>
      <c r="C284" s="10">
        <v>81.98</v>
      </c>
      <c r="D284" s="10">
        <v>50</v>
      </c>
      <c r="E284" s="10">
        <v>0.19</v>
      </c>
      <c r="F284" s="10">
        <v>75.549348327586074</v>
      </c>
      <c r="G284" s="10">
        <v>72.229717573289591</v>
      </c>
      <c r="H284" s="10">
        <v>74.743949999999998</v>
      </c>
      <c r="I284" s="10">
        <v>101.20987654320987</v>
      </c>
      <c r="J284" s="10">
        <v>93.270800404427249</v>
      </c>
      <c r="K284" s="10">
        <v>89.172490831221708</v>
      </c>
      <c r="L284" s="10">
        <v>92.276481481481468</v>
      </c>
      <c r="M284" s="10">
        <v>7.9390761387826245</v>
      </c>
      <c r="N284" s="10">
        <v>12.037385711988165</v>
      </c>
      <c r="O284" s="10">
        <v>8.9333950617284046</v>
      </c>
      <c r="P284" s="5">
        <v>0.12105396710942462</v>
      </c>
      <c r="Q284" s="5">
        <v>8.0658180164946316E-2</v>
      </c>
      <c r="R284" s="5">
        <v>0.11158294417140099</v>
      </c>
    </row>
    <row r="285" spans="1:18">
      <c r="A285" t="s">
        <v>985</v>
      </c>
      <c r="B285" t="s">
        <v>75</v>
      </c>
      <c r="C285" s="10">
        <v>89.19</v>
      </c>
      <c r="D285" s="10">
        <v>50</v>
      </c>
      <c r="E285" s="10">
        <v>0.19</v>
      </c>
      <c r="F285" s="10">
        <v>80.360507310722113</v>
      </c>
      <c r="G285" s="10">
        <v>82.147606631796123</v>
      </c>
      <c r="H285" s="10">
        <v>83.649994000000007</v>
      </c>
      <c r="I285" s="10">
        <v>110.1111111111111</v>
      </c>
      <c r="J285" s="10">
        <v>99.210502852743346</v>
      </c>
      <c r="K285" s="10">
        <v>101.41679831085941</v>
      </c>
      <c r="L285" s="10">
        <v>103.2715975308642</v>
      </c>
      <c r="M285" s="10">
        <v>10.900608258367754</v>
      </c>
      <c r="N285" s="10">
        <v>8.6943128002516943</v>
      </c>
      <c r="O285" s="10">
        <v>6.8395135802469014</v>
      </c>
      <c r="P285" s="5">
        <v>0.10100243990917604</v>
      </c>
      <c r="Q285" s="5">
        <v>0.12055989258684968</v>
      </c>
      <c r="R285" s="5">
        <v>0.13635498885989164</v>
      </c>
    </row>
    <row r="286" spans="1:18">
      <c r="A286" t="s">
        <v>986</v>
      </c>
      <c r="B286" t="s">
        <v>75</v>
      </c>
      <c r="C286" s="10">
        <v>56.73</v>
      </c>
      <c r="D286" s="10">
        <v>50</v>
      </c>
      <c r="E286" s="10">
        <v>0.19</v>
      </c>
      <c r="F286" s="10">
        <v>56.206566223802305</v>
      </c>
      <c r="G286" s="10">
        <v>57.565809867877597</v>
      </c>
      <c r="H286" s="10">
        <v>56.419865000000001</v>
      </c>
      <c r="I286" s="10">
        <v>70.037037037037024</v>
      </c>
      <c r="J286" s="10">
        <v>69.390822498521359</v>
      </c>
      <c r="K286" s="10">
        <v>71.068901071453823</v>
      </c>
      <c r="L286" s="10">
        <v>69.654154320987658</v>
      </c>
      <c r="M286" s="10">
        <v>0.64621453851566457</v>
      </c>
      <c r="N286" s="10">
        <v>1.0318640344167989</v>
      </c>
      <c r="O286" s="10">
        <v>0.38288271604936597</v>
      </c>
      <c r="P286" s="5">
        <v>0.18245672904066168</v>
      </c>
      <c r="Q286" s="5">
        <v>0.20176055708300966</v>
      </c>
      <c r="R286" s="5">
        <v>0.18554750175315032</v>
      </c>
    </row>
    <row r="287" spans="1:18">
      <c r="A287" t="s">
        <v>987</v>
      </c>
      <c r="B287" t="s">
        <v>75</v>
      </c>
      <c r="C287" s="10">
        <v>75.349999999999994</v>
      </c>
      <c r="D287" s="10">
        <v>50</v>
      </c>
      <c r="E287" s="10">
        <v>0.19</v>
      </c>
      <c r="F287" s="10">
        <v>69.698102339645047</v>
      </c>
      <c r="G287" s="10">
        <v>69.494409919190787</v>
      </c>
      <c r="H287" s="10">
        <v>70.324614999999994</v>
      </c>
      <c r="I287" s="10">
        <v>93.024691358024683</v>
      </c>
      <c r="J287" s="10">
        <v>86.047039925487709</v>
      </c>
      <c r="K287" s="10">
        <v>85.795567801470099</v>
      </c>
      <c r="L287" s="10">
        <v>86.820512345679006</v>
      </c>
      <c r="M287" s="10">
        <v>6.9776514325369732</v>
      </c>
      <c r="N287" s="10">
        <v>7.2291235565545833</v>
      </c>
      <c r="O287" s="10">
        <v>6.2041790123456764</v>
      </c>
      <c r="P287" s="5">
        <v>0.12431618722446233</v>
      </c>
      <c r="Q287" s="5">
        <v>0.12174950372309466</v>
      </c>
      <c r="R287" s="5">
        <v>0.13211753807681706</v>
      </c>
    </row>
    <row r="288" spans="1:18">
      <c r="A288" t="s">
        <v>988</v>
      </c>
      <c r="B288" t="s">
        <v>75</v>
      </c>
      <c r="C288" s="10">
        <v>64.069999999999993</v>
      </c>
      <c r="D288" s="10">
        <v>50</v>
      </c>
      <c r="E288" s="10">
        <v>0.19</v>
      </c>
      <c r="F288" s="10">
        <v>69.098169404556117</v>
      </c>
      <c r="G288" s="10">
        <v>67.807673836286014</v>
      </c>
      <c r="H288" s="10">
        <v>69.787180000000006</v>
      </c>
      <c r="I288" s="10">
        <v>79.098765432098759</v>
      </c>
      <c r="J288" s="10">
        <v>85.306381980933466</v>
      </c>
      <c r="K288" s="10">
        <v>83.713177575661746</v>
      </c>
      <c r="L288" s="10">
        <v>86.157012345679021</v>
      </c>
      <c r="M288" s="10">
        <v>6.2076165488347073</v>
      </c>
      <c r="N288" s="10">
        <v>4.614412143562987</v>
      </c>
      <c r="O288" s="10">
        <v>7.0582469135802626</v>
      </c>
      <c r="P288" s="5">
        <v>0.24894247637509634</v>
      </c>
      <c r="Q288" s="5">
        <v>0.23464857199940634</v>
      </c>
      <c r="R288" s="5">
        <v>0.25635768632576944</v>
      </c>
    </row>
    <row r="289" spans="1:18">
      <c r="A289" t="s">
        <v>989</v>
      </c>
      <c r="B289" t="s">
        <v>75</v>
      </c>
      <c r="C289" s="10">
        <v>75.06</v>
      </c>
      <c r="D289" s="10">
        <v>50</v>
      </c>
      <c r="E289" s="10">
        <v>0.19</v>
      </c>
      <c r="F289" s="10">
        <v>75.595897947708494</v>
      </c>
      <c r="G289" s="10">
        <v>72.640129880568153</v>
      </c>
      <c r="H289" s="10">
        <v>74.819670000000002</v>
      </c>
      <c r="I289" s="10">
        <v>92.666666666666657</v>
      </c>
      <c r="J289" s="10">
        <v>93.328269071245046</v>
      </c>
      <c r="K289" s="10">
        <v>89.679172692059439</v>
      </c>
      <c r="L289" s="10">
        <v>92.369962962962958</v>
      </c>
      <c r="M289" s="10">
        <v>0.66160240457838881</v>
      </c>
      <c r="N289" s="10">
        <v>2.9874939746072187</v>
      </c>
      <c r="O289" s="10">
        <v>0.29670370370369881</v>
      </c>
      <c r="P289" s="5">
        <v>0.19574207529017162</v>
      </c>
      <c r="Q289" s="5">
        <v>0.16301636437100939</v>
      </c>
      <c r="R289" s="5">
        <v>0.18739818018443538</v>
      </c>
    </row>
    <row r="290" spans="1:18">
      <c r="A290" t="s">
        <v>990</v>
      </c>
      <c r="B290" t="s">
        <v>75</v>
      </c>
      <c r="C290" s="10">
        <v>61.58</v>
      </c>
      <c r="D290" s="10">
        <v>50</v>
      </c>
      <c r="E290" s="10">
        <v>0.19</v>
      </c>
      <c r="F290" s="10">
        <v>62.882369250719925</v>
      </c>
      <c r="G290" s="10">
        <v>65.230392844563085</v>
      </c>
      <c r="H290" s="10">
        <v>66.730009999999993</v>
      </c>
      <c r="I290" s="10">
        <v>76.024691358024683</v>
      </c>
      <c r="J290" s="10">
        <v>77.632554630518428</v>
      </c>
      <c r="K290" s="10">
        <v>80.531349190818617</v>
      </c>
      <c r="L290" s="10">
        <v>82.382728395061719</v>
      </c>
      <c r="M290" s="10">
        <v>1.6078632724937449</v>
      </c>
      <c r="N290" s="10">
        <v>4.5066578327939339</v>
      </c>
      <c r="O290" s="10">
        <v>6.358037037037036</v>
      </c>
      <c r="P290" s="5">
        <v>0.20677607102997417</v>
      </c>
      <c r="Q290" s="5">
        <v>0.23532884250968519</v>
      </c>
      <c r="R290" s="5">
        <v>0.25251322455968456</v>
      </c>
    </row>
    <row r="291" spans="1:18">
      <c r="A291" t="s">
        <v>991</v>
      </c>
      <c r="B291" t="s">
        <v>75</v>
      </c>
      <c r="C291" s="10">
        <v>95.01</v>
      </c>
      <c r="D291" s="10">
        <v>50</v>
      </c>
      <c r="E291" s="10">
        <v>0.19</v>
      </c>
      <c r="F291" s="10">
        <v>93.988929986137691</v>
      </c>
      <c r="G291" s="10">
        <v>102.84645086996338</v>
      </c>
      <c r="H291" s="10">
        <v>99.613569999999996</v>
      </c>
      <c r="I291" s="10">
        <v>117.29629629629629</v>
      </c>
      <c r="J291" s="10">
        <v>116.03571603226875</v>
      </c>
      <c r="K291" s="10">
        <v>126.97092699995478</v>
      </c>
      <c r="L291" s="10">
        <v>122.9797160493827</v>
      </c>
      <c r="M291" s="10">
        <v>1.2605802640275385</v>
      </c>
      <c r="N291" s="10">
        <v>9.6746307036584938</v>
      </c>
      <c r="O291" s="10">
        <v>5.6834197530864117</v>
      </c>
      <c r="P291" s="5">
        <v>0.18120038166887889</v>
      </c>
      <c r="Q291" s="5">
        <v>0.25171846622783312</v>
      </c>
      <c r="R291" s="5">
        <v>0.22743357155054264</v>
      </c>
    </row>
    <row r="292" spans="1:18">
      <c r="A292" t="s">
        <v>992</v>
      </c>
      <c r="B292" t="s">
        <v>75</v>
      </c>
      <c r="C292" s="10">
        <v>55.97</v>
      </c>
      <c r="D292" s="10">
        <v>50</v>
      </c>
      <c r="E292" s="10">
        <v>0.19</v>
      </c>
      <c r="F292" s="10">
        <v>51.215733430967987</v>
      </c>
      <c r="G292" s="10">
        <v>54.865260082206994</v>
      </c>
      <c r="H292" s="10">
        <v>55.872959999999999</v>
      </c>
      <c r="I292" s="10">
        <v>69.098765432098759</v>
      </c>
      <c r="J292" s="10">
        <v>63.229300532059241</v>
      </c>
      <c r="K292" s="10">
        <v>67.734888990379005</v>
      </c>
      <c r="L292" s="10">
        <v>68.978962962962953</v>
      </c>
      <c r="M292" s="10">
        <v>5.8694649000395174</v>
      </c>
      <c r="N292" s="10">
        <v>1.3638764417197535</v>
      </c>
      <c r="O292" s="10">
        <v>0.11980246913580572</v>
      </c>
      <c r="P292" s="5">
        <v>0.11480912284295394</v>
      </c>
      <c r="Q292" s="5">
        <v>0.17369023801087324</v>
      </c>
      <c r="R292" s="5">
        <v>0.18859319427501237</v>
      </c>
    </row>
    <row r="293" spans="1:18">
      <c r="A293" t="s">
        <v>993</v>
      </c>
      <c r="B293" t="s">
        <v>75</v>
      </c>
      <c r="C293" s="10">
        <v>72.209999999999994</v>
      </c>
      <c r="D293" s="10">
        <v>50</v>
      </c>
      <c r="E293" s="10">
        <v>0.19</v>
      </c>
      <c r="F293" s="10">
        <v>73.959482932095241</v>
      </c>
      <c r="G293" s="10">
        <v>72.862621409961775</v>
      </c>
      <c r="H293" s="10">
        <v>73.992310000000003</v>
      </c>
      <c r="I293" s="10">
        <v>89.148148148148138</v>
      </c>
      <c r="J293" s="10">
        <v>91.308003619870661</v>
      </c>
      <c r="K293" s="10">
        <v>89.9538535925454</v>
      </c>
      <c r="L293" s="10">
        <v>91.348530864197528</v>
      </c>
      <c r="M293" s="10">
        <v>2.1598554717225227</v>
      </c>
      <c r="N293" s="10">
        <v>0.80570544439726177</v>
      </c>
      <c r="O293" s="10">
        <v>2.2003827160493898</v>
      </c>
      <c r="P293" s="5">
        <v>0.20916023637290998</v>
      </c>
      <c r="Q293" s="5">
        <v>0.19725506894810635</v>
      </c>
      <c r="R293" s="5">
        <v>0.20951109649097321</v>
      </c>
    </row>
    <row r="294" spans="1:18">
      <c r="A294" t="s">
        <v>994</v>
      </c>
      <c r="B294" t="s">
        <v>75</v>
      </c>
      <c r="C294" s="10">
        <v>112.35</v>
      </c>
      <c r="D294" s="10">
        <v>50</v>
      </c>
      <c r="E294" s="10">
        <v>0.19</v>
      </c>
      <c r="F294" s="10">
        <v>115.64153847534838</v>
      </c>
      <c r="G294" s="10">
        <v>107.71341298840049</v>
      </c>
      <c r="H294" s="10">
        <v>109.36045</v>
      </c>
      <c r="I294" s="10">
        <v>138.7037037037037</v>
      </c>
      <c r="J294" s="10">
        <v>142.76733145104737</v>
      </c>
      <c r="K294" s="10">
        <v>132.97952220790182</v>
      </c>
      <c r="L294" s="10">
        <v>135.01290123456789</v>
      </c>
      <c r="M294" s="10">
        <v>4.0636277473436735</v>
      </c>
      <c r="N294" s="10">
        <v>5.7241814958018722</v>
      </c>
      <c r="O294" s="10">
        <v>3.6908024691358037</v>
      </c>
      <c r="P294" s="5">
        <v>0.21305526370699862</v>
      </c>
      <c r="Q294" s="5">
        <v>0.15513307511850868</v>
      </c>
      <c r="R294" s="5">
        <v>0.16785730124555998</v>
      </c>
    </row>
    <row r="295" spans="1:18">
      <c r="A295" t="s">
        <v>995</v>
      </c>
      <c r="B295" t="s">
        <v>75</v>
      </c>
      <c r="C295" s="10">
        <v>96.29</v>
      </c>
      <c r="D295" s="10">
        <v>60</v>
      </c>
      <c r="E295" s="10">
        <v>0.19</v>
      </c>
      <c r="F295" s="10">
        <v>90.360553915649291</v>
      </c>
      <c r="G295" s="10">
        <v>94.419904457715802</v>
      </c>
      <c r="H295" s="10">
        <v>94.538246000000001</v>
      </c>
      <c r="I295" s="10">
        <v>118.87654320987654</v>
      </c>
      <c r="J295" s="10">
        <v>111.55623940203616</v>
      </c>
      <c r="K295" s="10">
        <v>116.56778328113062</v>
      </c>
      <c r="L295" s="10">
        <v>116.71388395061727</v>
      </c>
      <c r="M295" s="10">
        <v>7.3203038078403893</v>
      </c>
      <c r="N295" s="10">
        <v>2.3087599287459284</v>
      </c>
      <c r="O295" s="10">
        <v>2.1626592592592715</v>
      </c>
      <c r="P295" s="5">
        <v>0.13684792068884949</v>
      </c>
      <c r="Q295" s="5">
        <v>0.17395701205217198</v>
      </c>
      <c r="R295" s="5">
        <v>0.1749910401341695</v>
      </c>
    </row>
    <row r="296" spans="1:18">
      <c r="A296" t="s">
        <v>996</v>
      </c>
      <c r="B296" t="s">
        <v>75</v>
      </c>
      <c r="C296" s="10">
        <v>83.07</v>
      </c>
      <c r="D296" s="10">
        <v>50</v>
      </c>
      <c r="E296" s="10">
        <v>0.19</v>
      </c>
      <c r="F296" s="10">
        <v>80.462193559017493</v>
      </c>
      <c r="G296" s="10">
        <v>75.438029921054252</v>
      </c>
      <c r="H296" s="10">
        <v>81.180724999999995</v>
      </c>
      <c r="I296" s="10">
        <v>102.55555555555554</v>
      </c>
      <c r="J296" s="10">
        <v>99.336041430885786</v>
      </c>
      <c r="K296" s="10">
        <v>93.133370272906475</v>
      </c>
      <c r="L296" s="10">
        <v>100.2231172839506</v>
      </c>
      <c r="M296" s="10">
        <v>3.2195141246697574</v>
      </c>
      <c r="N296" s="10">
        <v>9.4221852826490675</v>
      </c>
      <c r="O296" s="10">
        <v>2.3324382716049428</v>
      </c>
      <c r="P296" s="5">
        <v>0.16374763073484341</v>
      </c>
      <c r="Q296" s="5">
        <v>0.10805332442515535</v>
      </c>
      <c r="R296" s="5">
        <v>0.17114930914943163</v>
      </c>
    </row>
    <row r="297" spans="1:18">
      <c r="A297" t="s">
        <v>997</v>
      </c>
      <c r="B297" t="s">
        <v>75</v>
      </c>
      <c r="C297" s="10">
        <v>49.25</v>
      </c>
      <c r="D297" s="10">
        <v>50</v>
      </c>
      <c r="E297" s="10">
        <v>0.19</v>
      </c>
      <c r="F297" s="10">
        <v>47.096681639153196</v>
      </c>
      <c r="G297" s="10">
        <v>49.524441933714577</v>
      </c>
      <c r="H297" s="10">
        <v>49.157116000000002</v>
      </c>
      <c r="I297" s="10">
        <v>60.802469135802468</v>
      </c>
      <c r="J297" s="10">
        <v>58.144051406361967</v>
      </c>
      <c r="K297" s="10">
        <v>61.141286337919226</v>
      </c>
      <c r="L297" s="10">
        <v>60.687797530864195</v>
      </c>
      <c r="M297" s="10">
        <v>2.6584177294405009</v>
      </c>
      <c r="N297" s="10">
        <v>0.3388172021167577</v>
      </c>
      <c r="O297" s="10">
        <v>0.11467160493827322</v>
      </c>
      <c r="P297" s="5">
        <v>0.15296580116515246</v>
      </c>
      <c r="Q297" s="5">
        <v>0.19448865161582915</v>
      </c>
      <c r="R297" s="5">
        <v>0.18846947815246115</v>
      </c>
    </row>
    <row r="298" spans="1:18">
      <c r="A298" t="s">
        <v>998</v>
      </c>
      <c r="B298" t="s">
        <v>75</v>
      </c>
      <c r="C298" s="10">
        <v>100.88</v>
      </c>
      <c r="D298" s="10">
        <v>50</v>
      </c>
      <c r="E298" s="10">
        <v>0.19</v>
      </c>
      <c r="F298" s="10">
        <v>94.166758319330384</v>
      </c>
      <c r="G298" s="10">
        <v>95.269600785325736</v>
      </c>
      <c r="H298" s="10">
        <v>99.075040000000001</v>
      </c>
      <c r="I298" s="10">
        <v>124.5432098765432</v>
      </c>
      <c r="J298" s="10">
        <v>116.25525718435848</v>
      </c>
      <c r="K298" s="10">
        <v>117.61679109299473</v>
      </c>
      <c r="L298" s="10">
        <v>122.31486419753085</v>
      </c>
      <c r="M298" s="10">
        <v>8.2879526921847173</v>
      </c>
      <c r="N298" s="10">
        <v>6.9264187835484705</v>
      </c>
      <c r="O298" s="10">
        <v>2.2283456790123495</v>
      </c>
      <c r="P298" s="5">
        <v>0.13225429590660392</v>
      </c>
      <c r="Q298" s="5">
        <v>0.14229933445269433</v>
      </c>
      <c r="R298" s="5">
        <v>0.17524333071175138</v>
      </c>
    </row>
    <row r="299" spans="1:18">
      <c r="A299" t="s">
        <v>999</v>
      </c>
      <c r="B299" t="s">
        <v>75</v>
      </c>
      <c r="C299" s="10">
        <v>86.4</v>
      </c>
      <c r="D299" s="10">
        <v>50</v>
      </c>
      <c r="E299" s="10">
        <v>0.19</v>
      </c>
      <c r="F299" s="10">
        <v>74.589214020529454</v>
      </c>
      <c r="G299" s="10">
        <v>78.655462603726804</v>
      </c>
      <c r="H299" s="10">
        <v>79.962760000000003</v>
      </c>
      <c r="I299" s="10">
        <v>106.66666666666667</v>
      </c>
      <c r="J299" s="10">
        <v>92.085449408061052</v>
      </c>
      <c r="K299" s="10">
        <v>97.105509387317042</v>
      </c>
      <c r="L299" s="10">
        <v>98.719456790123459</v>
      </c>
      <c r="M299" s="10">
        <v>14.581217258605619</v>
      </c>
      <c r="N299" s="10">
        <v>9.5611572793496293</v>
      </c>
      <c r="O299" s="10">
        <v>7.9472098765432122</v>
      </c>
      <c r="P299" s="5">
        <v>6.1741018202201972E-2</v>
      </c>
      <c r="Q299" s="5">
        <v>0.1102461585842346</v>
      </c>
      <c r="R299" s="5">
        <v>0.12479259095108769</v>
      </c>
    </row>
    <row r="300" spans="1:18">
      <c r="A300" t="s">
        <v>1000</v>
      </c>
      <c r="B300" t="s">
        <v>75</v>
      </c>
      <c r="C300" s="10">
        <v>47.47</v>
      </c>
      <c r="D300" s="10">
        <v>50</v>
      </c>
      <c r="E300" s="10">
        <v>0.19</v>
      </c>
      <c r="F300" s="10">
        <v>46.945996183753365</v>
      </c>
      <c r="G300" s="10">
        <v>52.314947430501334</v>
      </c>
      <c r="H300" s="10">
        <v>50.542805000000001</v>
      </c>
      <c r="I300" s="10">
        <v>58.604938271604937</v>
      </c>
      <c r="J300" s="10">
        <v>57.958019979942421</v>
      </c>
      <c r="K300" s="10">
        <v>64.586354852470777</v>
      </c>
      <c r="L300" s="10">
        <v>62.39852469135802</v>
      </c>
      <c r="M300" s="10">
        <v>0.6469182916625158</v>
      </c>
      <c r="N300" s="10">
        <v>5.9814165808658402</v>
      </c>
      <c r="O300" s="10">
        <v>3.7935864197530833</v>
      </c>
      <c r="P300" s="5">
        <v>0.18095890756054156</v>
      </c>
      <c r="Q300" s="5">
        <v>0.26501503129520532</v>
      </c>
      <c r="R300" s="5">
        <v>0.23924483415591988</v>
      </c>
    </row>
    <row r="301" spans="1:18">
      <c r="A301" t="s">
        <v>1001</v>
      </c>
      <c r="B301" t="s">
        <v>75</v>
      </c>
      <c r="C301" s="10">
        <v>65.87</v>
      </c>
      <c r="D301" s="10">
        <v>50</v>
      </c>
      <c r="E301" s="10">
        <v>0.19</v>
      </c>
      <c r="F301" s="10">
        <v>54.234647682060604</v>
      </c>
      <c r="G301" s="10">
        <v>53.661797910109584</v>
      </c>
      <c r="H301" s="10">
        <v>53.215719999999997</v>
      </c>
      <c r="I301" s="10">
        <v>81.320987654320987</v>
      </c>
      <c r="J301" s="10">
        <v>66.956355163037784</v>
      </c>
      <c r="K301" s="10">
        <v>66.2491332223575</v>
      </c>
      <c r="L301" s="10">
        <v>65.698419753086412</v>
      </c>
      <c r="M301" s="10">
        <v>14.364632491283203</v>
      </c>
      <c r="N301" s="10">
        <v>15.071854431963487</v>
      </c>
      <c r="O301" s="10">
        <v>15.622567901234575</v>
      </c>
      <c r="P301" s="5">
        <v>1.622482526703433E-2</v>
      </c>
      <c r="Q301" s="5">
        <v>5.7228404949084986E-3</v>
      </c>
      <c r="R301" s="5">
        <v>-2.6116343065547133E-3</v>
      </c>
    </row>
    <row r="302" spans="1:18">
      <c r="A302" t="s">
        <v>1002</v>
      </c>
      <c r="B302" t="s">
        <v>75</v>
      </c>
      <c r="C302" s="10">
        <v>68.599999999999994</v>
      </c>
      <c r="D302" s="10">
        <v>50</v>
      </c>
      <c r="E302" s="10">
        <v>0.19</v>
      </c>
      <c r="F302" s="10">
        <v>61.789964799827004</v>
      </c>
      <c r="G302" s="10">
        <v>66.339953669119083</v>
      </c>
      <c r="H302" s="10">
        <v>65.169585999999995</v>
      </c>
      <c r="I302" s="10">
        <v>84.69135802469134</v>
      </c>
      <c r="J302" s="10">
        <v>76.283907160280251</v>
      </c>
      <c r="K302" s="10">
        <v>81.90117736928282</v>
      </c>
      <c r="L302" s="10">
        <v>80.456279012345675</v>
      </c>
      <c r="M302" s="10">
        <v>8.4074508644110892</v>
      </c>
      <c r="N302" s="10">
        <v>2.7901806554085198</v>
      </c>
      <c r="O302" s="10">
        <v>4.2350790123456648</v>
      </c>
      <c r="P302" s="5">
        <v>0.10072776089110887</v>
      </c>
      <c r="Q302" s="5">
        <v>0.16240520339908393</v>
      </c>
      <c r="R302" s="5">
        <v>0.14736300457701237</v>
      </c>
    </row>
    <row r="303" spans="1:18">
      <c r="A303" t="s">
        <v>1003</v>
      </c>
      <c r="B303" t="s">
        <v>75</v>
      </c>
      <c r="C303" s="10">
        <v>98.93</v>
      </c>
      <c r="D303" s="10">
        <v>50</v>
      </c>
      <c r="E303" s="10">
        <v>0.19</v>
      </c>
      <c r="F303" s="10">
        <v>104.69341560695825</v>
      </c>
      <c r="G303" s="10">
        <v>101.59650480423917</v>
      </c>
      <c r="H303" s="10">
        <v>102.107285</v>
      </c>
      <c r="I303" s="10">
        <v>122.1358024691358</v>
      </c>
      <c r="J303" s="10">
        <v>129.2511303789608</v>
      </c>
      <c r="K303" s="10">
        <v>125.42778370893724</v>
      </c>
      <c r="L303" s="10">
        <v>126.05837654320987</v>
      </c>
      <c r="M303" s="10">
        <v>7.1153279098249982</v>
      </c>
      <c r="N303" s="10">
        <v>3.2919812398014443</v>
      </c>
      <c r="O303" s="10">
        <v>3.9225740740740775</v>
      </c>
      <c r="P303" s="5">
        <v>0.23459083328757016</v>
      </c>
      <c r="Q303" s="5">
        <v>0.21125928343298278</v>
      </c>
      <c r="R303" s="5">
        <v>0.21520487005408079</v>
      </c>
    </row>
    <row r="304" spans="1:18">
      <c r="A304" t="s">
        <v>1004</v>
      </c>
      <c r="B304" t="s">
        <v>75</v>
      </c>
      <c r="C304" s="10">
        <v>79.16</v>
      </c>
      <c r="D304" s="10">
        <v>50</v>
      </c>
      <c r="E304" s="10">
        <v>0.19</v>
      </c>
      <c r="F304" s="10">
        <v>80.370344299252878</v>
      </c>
      <c r="G304" s="10">
        <v>86.669325625656327</v>
      </c>
      <c r="H304" s="10">
        <v>79.025189999999995</v>
      </c>
      <c r="I304" s="10">
        <v>97.728395061728378</v>
      </c>
      <c r="J304" s="10">
        <v>99.222647283028238</v>
      </c>
      <c r="K304" s="10">
        <v>106.99916743908187</v>
      </c>
      <c r="L304" s="10">
        <v>97.561962962962951</v>
      </c>
      <c r="M304" s="10">
        <v>1.4942522212998597</v>
      </c>
      <c r="N304" s="10">
        <v>9.2707723773534951</v>
      </c>
      <c r="O304" s="10">
        <v>0.16643209876542642</v>
      </c>
      <c r="P304" s="5">
        <v>0.20219826654897063</v>
      </c>
      <c r="Q304" s="5">
        <v>0.26018115939950304</v>
      </c>
      <c r="R304" s="5">
        <v>0.18861821148421148</v>
      </c>
    </row>
    <row r="305" spans="1:18">
      <c r="A305" t="s">
        <v>1005</v>
      </c>
      <c r="B305" t="s">
        <v>75</v>
      </c>
      <c r="C305" s="10">
        <v>143.6</v>
      </c>
      <c r="D305" s="10">
        <v>65</v>
      </c>
      <c r="E305" s="10">
        <v>0.19</v>
      </c>
      <c r="F305" s="10">
        <v>140.32126525558812</v>
      </c>
      <c r="G305" s="10">
        <v>136.20589674908422</v>
      </c>
      <c r="H305" s="10">
        <v>133.83257</v>
      </c>
      <c r="I305" s="10">
        <v>177.28395061728392</v>
      </c>
      <c r="J305" s="10">
        <v>173.23612994517049</v>
      </c>
      <c r="K305" s="10">
        <v>168.15542808528915</v>
      </c>
      <c r="L305" s="10">
        <v>165.22539506172839</v>
      </c>
      <c r="M305" s="10">
        <v>4.0478206721134313</v>
      </c>
      <c r="N305" s="10">
        <v>9.1285225319947756</v>
      </c>
      <c r="O305" s="10">
        <v>12.058555555555529</v>
      </c>
      <c r="P305" s="5">
        <v>0.17107360892067017</v>
      </c>
      <c r="Q305" s="5">
        <v>0.14602816195046961</v>
      </c>
      <c r="R305" s="5">
        <v>0.13088420853010596</v>
      </c>
    </row>
    <row r="306" spans="1:18">
      <c r="A306" t="s">
        <v>1006</v>
      </c>
      <c r="B306" t="s">
        <v>75</v>
      </c>
      <c r="C306" s="10">
        <v>58.91</v>
      </c>
      <c r="D306" s="10">
        <v>50</v>
      </c>
      <c r="E306" s="10">
        <v>0.19</v>
      </c>
      <c r="F306" s="10">
        <v>55.536653039196366</v>
      </c>
      <c r="G306" s="10">
        <v>61.175262870826735</v>
      </c>
      <c r="H306" s="10">
        <v>59.717649999999999</v>
      </c>
      <c r="I306" s="10">
        <v>72.728395061728392</v>
      </c>
      <c r="J306" s="10">
        <v>68.563769184193035</v>
      </c>
      <c r="K306" s="10">
        <v>75.52501588990954</v>
      </c>
      <c r="L306" s="10">
        <v>73.725493827160491</v>
      </c>
      <c r="M306" s="10">
        <v>4.1646258775353573</v>
      </c>
      <c r="N306" s="10">
        <v>2.7966208281811475</v>
      </c>
      <c r="O306" s="10">
        <v>0.9970987654320993</v>
      </c>
      <c r="P306" s="5">
        <v>0.14079986119576776</v>
      </c>
      <c r="Q306" s="5">
        <v>0.21999354378327748</v>
      </c>
      <c r="R306" s="5">
        <v>0.20095482658811928</v>
      </c>
    </row>
    <row r="307" spans="1:18">
      <c r="A307" t="s">
        <v>1007</v>
      </c>
      <c r="B307" t="s">
        <v>75</v>
      </c>
      <c r="C307" s="10">
        <v>57.67</v>
      </c>
      <c r="D307" s="10">
        <v>50</v>
      </c>
      <c r="E307" s="10">
        <v>0.19</v>
      </c>
      <c r="F307" s="10">
        <v>49.261067913924052</v>
      </c>
      <c r="G307" s="10">
        <v>57.02927031896597</v>
      </c>
      <c r="H307" s="10">
        <v>53.751198000000002</v>
      </c>
      <c r="I307" s="10">
        <v>71.197530864197532</v>
      </c>
      <c r="J307" s="10">
        <v>60.816133227066729</v>
      </c>
      <c r="K307" s="10">
        <v>70.406506566624657</v>
      </c>
      <c r="L307" s="10">
        <v>66.359503703703709</v>
      </c>
      <c r="M307" s="10">
        <v>10.381397637130803</v>
      </c>
      <c r="N307" s="10">
        <v>0.79102429757287496</v>
      </c>
      <c r="O307" s="10">
        <v>4.838027160493823</v>
      </c>
      <c r="P307" s="5">
        <v>5.1731885276562015E-2</v>
      </c>
      <c r="Q307" s="5">
        <v>0.18089956720934994</v>
      </c>
      <c r="R307" s="5">
        <v>0.1309458814294707</v>
      </c>
    </row>
    <row r="308" spans="1:18">
      <c r="A308" t="s">
        <v>1008</v>
      </c>
      <c r="B308" t="s">
        <v>75</v>
      </c>
      <c r="C308" s="10">
        <v>71.680000000000007</v>
      </c>
      <c r="D308" s="10">
        <v>50</v>
      </c>
      <c r="E308" s="10">
        <v>0.19</v>
      </c>
      <c r="F308" s="10">
        <v>66.154576553951642</v>
      </c>
      <c r="G308" s="10">
        <v>70.048229719543272</v>
      </c>
      <c r="H308" s="10">
        <v>67.879419999999996</v>
      </c>
      <c r="I308" s="10">
        <v>88.493827160493836</v>
      </c>
      <c r="J308" s="10">
        <v>81.672316733273632</v>
      </c>
      <c r="K308" s="10">
        <v>86.479295950053412</v>
      </c>
      <c r="L308" s="10">
        <v>83.801753086419737</v>
      </c>
      <c r="M308" s="10">
        <v>6.8215104272202041</v>
      </c>
      <c r="N308" s="10">
        <v>2.014531210440424</v>
      </c>
      <c r="O308" s="10">
        <v>4.6920740740740996</v>
      </c>
      <c r="P308" s="5">
        <v>0.12234643429923318</v>
      </c>
      <c r="Q308" s="5">
        <v>0.17113108735992508</v>
      </c>
      <c r="R308" s="5">
        <v>0.14464796546582134</v>
      </c>
    </row>
    <row r="309" spans="1:18">
      <c r="A309" t="s">
        <v>1009</v>
      </c>
      <c r="B309" t="s">
        <v>75</v>
      </c>
      <c r="C309" s="10">
        <v>93.33</v>
      </c>
      <c r="D309" s="10">
        <v>50</v>
      </c>
      <c r="E309" s="10">
        <v>0.19</v>
      </c>
      <c r="F309" s="10">
        <v>89.07979660593216</v>
      </c>
      <c r="G309" s="10">
        <v>88.345922476135001</v>
      </c>
      <c r="H309" s="10">
        <v>87.313999999999993</v>
      </c>
      <c r="I309" s="10">
        <v>115.22222222222221</v>
      </c>
      <c r="J309" s="10">
        <v>109.97505753818784</v>
      </c>
      <c r="K309" s="10">
        <v>109.06904009399382</v>
      </c>
      <c r="L309" s="10">
        <v>107.79506172839504</v>
      </c>
      <c r="M309" s="10">
        <v>5.2471646840343737</v>
      </c>
      <c r="N309" s="10">
        <v>6.1531821282283943</v>
      </c>
      <c r="O309" s="10">
        <v>7.4271604938271736</v>
      </c>
      <c r="P309" s="5">
        <v>0.15135302413829607</v>
      </c>
      <c r="Q309" s="5">
        <v>0.14430346210464665</v>
      </c>
      <c r="R309" s="5">
        <v>0.13419039329317162</v>
      </c>
    </row>
    <row r="310" spans="1:18">
      <c r="A310" t="s">
        <v>1010</v>
      </c>
      <c r="B310" t="s">
        <v>75</v>
      </c>
      <c r="C310" s="10">
        <v>43.09</v>
      </c>
      <c r="D310" s="10">
        <v>50</v>
      </c>
      <c r="E310" s="10">
        <v>0.19</v>
      </c>
      <c r="F310" s="10">
        <v>44.552055822612132</v>
      </c>
      <c r="G310" s="10">
        <v>50.182944869434131</v>
      </c>
      <c r="H310" s="10">
        <v>48.807099999999998</v>
      </c>
      <c r="I310" s="10">
        <v>53.197530864197532</v>
      </c>
      <c r="J310" s="10">
        <v>55.002538052607569</v>
      </c>
      <c r="K310" s="10">
        <v>61.954252925227316</v>
      </c>
      <c r="L310" s="10">
        <v>60.255679012345674</v>
      </c>
      <c r="M310" s="10">
        <v>1.8050071884100376</v>
      </c>
      <c r="N310" s="10">
        <v>8.7567220610297838</v>
      </c>
      <c r="O310" s="10">
        <v>7.0581481481481418</v>
      </c>
      <c r="P310" s="5">
        <v>0.21658160649266284</v>
      </c>
      <c r="Q310" s="5">
        <v>0.30448681138960076</v>
      </c>
      <c r="R310" s="5">
        <v>0.28488068334320199</v>
      </c>
    </row>
    <row r="311" spans="1:18">
      <c r="A311" t="s">
        <v>1011</v>
      </c>
      <c r="B311" t="s">
        <v>75</v>
      </c>
      <c r="C311" s="10">
        <v>91.17</v>
      </c>
      <c r="D311" s="10">
        <v>50</v>
      </c>
      <c r="E311" s="10">
        <v>0.19</v>
      </c>
      <c r="F311" s="10">
        <v>98.476011226746166</v>
      </c>
      <c r="G311" s="10">
        <v>94.711291376678901</v>
      </c>
      <c r="H311" s="10">
        <v>94.62876</v>
      </c>
      <c r="I311" s="10">
        <v>112.55555555555556</v>
      </c>
      <c r="J311" s="10">
        <v>121.57532250215576</v>
      </c>
      <c r="K311" s="10">
        <v>116.9275202181221</v>
      </c>
      <c r="L311" s="10">
        <v>116.82562962962962</v>
      </c>
      <c r="M311" s="10">
        <v>9.0197669466001997</v>
      </c>
      <c r="N311" s="10">
        <v>4.3719646625665405</v>
      </c>
      <c r="O311" s="10">
        <v>4.2700740740740599</v>
      </c>
      <c r="P311" s="5">
        <v>0.2500945247471304</v>
      </c>
      <c r="Q311" s="5">
        <v>0.2202862095259765</v>
      </c>
      <c r="R311" s="5">
        <v>0.21960617469784019</v>
      </c>
    </row>
    <row r="312" spans="1:18">
      <c r="A312" t="s">
        <v>1012</v>
      </c>
      <c r="B312" t="s">
        <v>75</v>
      </c>
      <c r="C312" s="10">
        <v>54.7</v>
      </c>
      <c r="D312" s="10">
        <v>50</v>
      </c>
      <c r="E312" s="10">
        <v>0.19</v>
      </c>
      <c r="F312" s="10">
        <v>46.017182909729591</v>
      </c>
      <c r="G312" s="10">
        <v>49.136806179764143</v>
      </c>
      <c r="H312" s="10">
        <v>49.163302999999999</v>
      </c>
      <c r="I312" s="10">
        <v>67.53086419753086</v>
      </c>
      <c r="J312" s="10">
        <v>56.811336925592087</v>
      </c>
      <c r="K312" s="10">
        <v>60.662723678721157</v>
      </c>
      <c r="L312" s="10">
        <v>60.695435802469127</v>
      </c>
      <c r="M312" s="10">
        <v>10.719527271938773</v>
      </c>
      <c r="N312" s="10">
        <v>6.8681405188097031</v>
      </c>
      <c r="O312" s="10">
        <v>6.8354283950617329</v>
      </c>
      <c r="P312" s="5">
        <v>3.7164007042421489E-2</v>
      </c>
      <c r="Q312" s="5">
        <v>9.8293042533016309E-2</v>
      </c>
      <c r="R312" s="5">
        <v>9.8779022231276686E-2</v>
      </c>
    </row>
    <row r="313" spans="1:18">
      <c r="A313" t="s">
        <v>1013</v>
      </c>
      <c r="B313" t="s">
        <v>75</v>
      </c>
      <c r="C313" s="10">
        <v>68.209999999999994</v>
      </c>
      <c r="D313" s="10">
        <v>50</v>
      </c>
      <c r="E313" s="10">
        <v>0.19</v>
      </c>
      <c r="F313" s="10">
        <v>60.675948807540387</v>
      </c>
      <c r="G313" s="10">
        <v>62.446771852401305</v>
      </c>
      <c r="H313" s="10">
        <v>63.347136999999996</v>
      </c>
      <c r="I313" s="10">
        <v>84.209876543209859</v>
      </c>
      <c r="J313" s="10">
        <v>74.908578774741216</v>
      </c>
      <c r="K313" s="10">
        <v>77.094780064692969</v>
      </c>
      <c r="L313" s="10">
        <v>78.206341975308632</v>
      </c>
      <c r="M313" s="10">
        <v>9.3012977684686433</v>
      </c>
      <c r="N313" s="10">
        <v>7.1150964785168895</v>
      </c>
      <c r="O313" s="10">
        <v>6.0035345679012266</v>
      </c>
      <c r="P313" s="5">
        <v>8.9423386270411367E-2</v>
      </c>
      <c r="Q313" s="5">
        <v>0.11524489799747066</v>
      </c>
      <c r="R313" s="5">
        <v>0.1278200939057435</v>
      </c>
    </row>
    <row r="314" spans="1:18">
      <c r="A314" t="s">
        <v>1014</v>
      </c>
      <c r="B314" t="s">
        <v>75</v>
      </c>
      <c r="C314" s="10">
        <v>67.239999999999995</v>
      </c>
      <c r="D314" s="10">
        <v>50</v>
      </c>
      <c r="E314" s="10">
        <v>0.19</v>
      </c>
      <c r="F314" s="10">
        <v>68.5190530676322</v>
      </c>
      <c r="G314" s="10">
        <v>65.362183537884263</v>
      </c>
      <c r="H314" s="10">
        <v>67.687269999999998</v>
      </c>
      <c r="I314" s="10">
        <v>83.012345679012327</v>
      </c>
      <c r="J314" s="10">
        <v>84.591423540286655</v>
      </c>
      <c r="K314" s="10">
        <v>80.694053750474396</v>
      </c>
      <c r="L314" s="10">
        <v>83.564530864197522</v>
      </c>
      <c r="M314" s="10">
        <v>1.5790778612743281</v>
      </c>
      <c r="N314" s="10">
        <v>2.3182919285379313</v>
      </c>
      <c r="O314" s="10">
        <v>0.55218518518519488</v>
      </c>
      <c r="P314" s="5">
        <v>0.20512036343758946</v>
      </c>
      <c r="Q314" s="5">
        <v>0.1667291841859575</v>
      </c>
      <c r="R314" s="5">
        <v>0.19535239048642378</v>
      </c>
    </row>
    <row r="315" spans="1:18">
      <c r="A315" t="s">
        <v>1015</v>
      </c>
      <c r="B315" t="s">
        <v>75</v>
      </c>
      <c r="C315" s="10">
        <v>82.75</v>
      </c>
      <c r="D315" s="10">
        <v>50</v>
      </c>
      <c r="E315" s="10">
        <v>0.19</v>
      </c>
      <c r="F315" s="10">
        <v>81.939992913272732</v>
      </c>
      <c r="G315" s="10">
        <v>81.799513428649789</v>
      </c>
      <c r="H315" s="10">
        <v>85.535259999999994</v>
      </c>
      <c r="I315" s="10">
        <v>102.16049382716049</v>
      </c>
      <c r="J315" s="10">
        <v>101.16048507811448</v>
      </c>
      <c r="K315" s="10">
        <v>100.98705361561701</v>
      </c>
      <c r="L315" s="10">
        <v>105.59908641975308</v>
      </c>
      <c r="M315" s="10">
        <v>1.0000087490460174</v>
      </c>
      <c r="N315" s="10">
        <v>1.173440211543479</v>
      </c>
      <c r="O315" s="10">
        <v>3.4385925925925847</v>
      </c>
      <c r="P315" s="5">
        <v>0.18199285090317824</v>
      </c>
      <c r="Q315" s="5">
        <v>0.18058803542315416</v>
      </c>
      <c r="R315" s="5">
        <v>0.21637579636748627</v>
      </c>
    </row>
    <row r="316" spans="1:18">
      <c r="A316" t="s">
        <v>1016</v>
      </c>
      <c r="B316" t="s">
        <v>75</v>
      </c>
      <c r="C316" s="10">
        <v>72.61</v>
      </c>
      <c r="D316" s="10">
        <v>50</v>
      </c>
      <c r="E316" s="10">
        <v>0.19</v>
      </c>
      <c r="F316" s="10">
        <v>62.175409394960724</v>
      </c>
      <c r="G316" s="10">
        <v>64.594332342414631</v>
      </c>
      <c r="H316" s="10">
        <v>63.490200000000002</v>
      </c>
      <c r="I316" s="10">
        <v>89.641975308641975</v>
      </c>
      <c r="J316" s="10">
        <v>76.759764685136687</v>
      </c>
      <c r="K316" s="10">
        <v>79.746089311622995</v>
      </c>
      <c r="L316" s="10">
        <v>78.382962962962964</v>
      </c>
      <c r="M316" s="10">
        <v>12.882210623505287</v>
      </c>
      <c r="N316" s="10">
        <v>9.8958859970189792</v>
      </c>
      <c r="O316" s="10">
        <v>11.259012345679011</v>
      </c>
      <c r="P316" s="5">
        <v>5.4061717126918499E-2</v>
      </c>
      <c r="Q316" s="5">
        <v>8.9485131787934713E-2</v>
      </c>
      <c r="R316" s="5">
        <v>7.3650736649120668E-2</v>
      </c>
    </row>
    <row r="317" spans="1:18">
      <c r="A317" t="s">
        <v>1017</v>
      </c>
      <c r="B317" t="s">
        <v>75</v>
      </c>
      <c r="C317" s="10">
        <v>74.16</v>
      </c>
      <c r="D317" s="10">
        <v>50</v>
      </c>
      <c r="E317" s="10">
        <v>0.19</v>
      </c>
      <c r="F317" s="10">
        <v>73.242603514314368</v>
      </c>
      <c r="G317" s="10">
        <v>71.553775259819631</v>
      </c>
      <c r="H317" s="10">
        <v>71.558260000000004</v>
      </c>
      <c r="I317" s="10">
        <v>91.555555555555543</v>
      </c>
      <c r="J317" s="10">
        <v>90.422967301622677</v>
      </c>
      <c r="K317" s="10">
        <v>88.337994147925471</v>
      </c>
      <c r="L317" s="10">
        <v>88.343530864197533</v>
      </c>
      <c r="M317" s="10">
        <v>1.132588253932866</v>
      </c>
      <c r="N317" s="10">
        <v>3.2175614076300718</v>
      </c>
      <c r="O317" s="10">
        <v>3.2120246913580104</v>
      </c>
      <c r="P317" s="5">
        <v>0.17985438641240914</v>
      </c>
      <c r="Q317" s="5">
        <v>0.16049712566694532</v>
      </c>
      <c r="R317" s="5">
        <v>0.16054973947102688</v>
      </c>
    </row>
    <row r="318" spans="1:18">
      <c r="A318" t="s">
        <v>1018</v>
      </c>
      <c r="B318" t="s">
        <v>75</v>
      </c>
      <c r="C318" s="10">
        <v>93.17</v>
      </c>
      <c r="D318" s="10">
        <v>119</v>
      </c>
      <c r="E318" s="10">
        <v>0.19</v>
      </c>
      <c r="F318" s="10">
        <v>94.886507930888783</v>
      </c>
      <c r="G318" s="10">
        <v>98.688016559829023</v>
      </c>
      <c r="H318" s="10">
        <v>95.049440000000004</v>
      </c>
      <c r="I318" s="10">
        <v>119</v>
      </c>
      <c r="J318" s="10">
        <v>119</v>
      </c>
      <c r="K318" s="10">
        <v>121.83705748127039</v>
      </c>
      <c r="L318" s="10">
        <v>119</v>
      </c>
      <c r="M318" s="10">
        <v>0</v>
      </c>
      <c r="N318" s="10">
        <v>2.8370574812703921</v>
      </c>
      <c r="O318" s="10">
        <v>0</v>
      </c>
      <c r="P318" s="5">
        <v>0.21705882352941175</v>
      </c>
      <c r="Q318" s="5">
        <v>0.23529013318199418</v>
      </c>
      <c r="R318" s="5">
        <v>0.21705882352941175</v>
      </c>
    </row>
    <row r="319" spans="1:18">
      <c r="A319" t="s">
        <v>1019</v>
      </c>
      <c r="B319" t="s">
        <v>75</v>
      </c>
      <c r="C319" s="10">
        <v>65.52</v>
      </c>
      <c r="D319" s="10">
        <v>50</v>
      </c>
      <c r="E319" s="10">
        <v>0.19</v>
      </c>
      <c r="F319" s="10">
        <v>65.850138182423322</v>
      </c>
      <c r="G319" s="10">
        <v>65.013051330090363</v>
      </c>
      <c r="H319" s="10">
        <v>64.591080000000005</v>
      </c>
      <c r="I319" s="10">
        <v>80.888888888888886</v>
      </c>
      <c r="J319" s="10">
        <v>81.296466891880641</v>
      </c>
      <c r="K319" s="10">
        <v>80.263026333444884</v>
      </c>
      <c r="L319" s="10">
        <v>79.742074074074068</v>
      </c>
      <c r="M319" s="10">
        <v>0.40757800299175528</v>
      </c>
      <c r="N319" s="10">
        <v>0.6258625554440016</v>
      </c>
      <c r="O319" s="10">
        <v>1.1468148148148174</v>
      </c>
      <c r="P319" s="5">
        <v>0.19406091672916595</v>
      </c>
      <c r="Q319" s="5">
        <v>0.18368390785810179</v>
      </c>
      <c r="R319" s="5">
        <v>0.17835094257597178</v>
      </c>
    </row>
    <row r="320" spans="1:18">
      <c r="A320" t="s">
        <v>1020</v>
      </c>
      <c r="B320" t="s">
        <v>75</v>
      </c>
      <c r="C320" s="10">
        <v>101.39</v>
      </c>
      <c r="D320" s="10">
        <v>60</v>
      </c>
      <c r="E320" s="10">
        <v>0.19</v>
      </c>
      <c r="F320" s="10">
        <v>109.9468724783187</v>
      </c>
      <c r="G320" s="10">
        <v>98.695522656299261</v>
      </c>
      <c r="H320" s="10">
        <v>100.24205000000001</v>
      </c>
      <c r="I320" s="10">
        <v>125.17283950617283</v>
      </c>
      <c r="J320" s="10">
        <v>135.73687960286259</v>
      </c>
      <c r="K320" s="10">
        <v>121.84632426703611</v>
      </c>
      <c r="L320" s="10">
        <v>123.75561728395061</v>
      </c>
      <c r="M320" s="10">
        <v>10.564040096689752</v>
      </c>
      <c r="N320" s="10">
        <v>3.3265152391367252</v>
      </c>
      <c r="O320" s="10">
        <v>1.4172222222222217</v>
      </c>
      <c r="P320" s="5">
        <v>0.2530401443097432</v>
      </c>
      <c r="Q320" s="5">
        <v>0.16788626485116132</v>
      </c>
      <c r="R320" s="5">
        <v>0.18072405741901723</v>
      </c>
    </row>
    <row r="321" spans="1:18">
      <c r="A321" t="s">
        <v>1021</v>
      </c>
      <c r="B321" t="s">
        <v>75</v>
      </c>
      <c r="C321" s="10">
        <v>63.19</v>
      </c>
      <c r="D321" s="10">
        <v>50</v>
      </c>
      <c r="E321" s="10">
        <v>0.19</v>
      </c>
      <c r="F321" s="10">
        <v>59.040125720281566</v>
      </c>
      <c r="G321" s="10">
        <v>63.453252194926904</v>
      </c>
      <c r="H321" s="10">
        <v>61.363976000000001</v>
      </c>
      <c r="I321" s="10">
        <v>78.012345679012341</v>
      </c>
      <c r="J321" s="10">
        <v>72.889044099113036</v>
      </c>
      <c r="K321" s="10">
        <v>78.337348388798645</v>
      </c>
      <c r="L321" s="10">
        <v>75.757995061728394</v>
      </c>
      <c r="M321" s="10">
        <v>5.1233015798993051</v>
      </c>
      <c r="N321" s="10">
        <v>0.32500270978630397</v>
      </c>
      <c r="O321" s="10">
        <v>2.2543506172839471</v>
      </c>
      <c r="P321" s="5">
        <v>0.13306587044720294</v>
      </c>
      <c r="Q321" s="5">
        <v>0.19336049407264017</v>
      </c>
      <c r="R321" s="5">
        <v>0.1658966166077635</v>
      </c>
    </row>
    <row r="322" spans="1:18">
      <c r="A322" t="s">
        <v>1022</v>
      </c>
      <c r="B322" t="s">
        <v>75</v>
      </c>
      <c r="C322" s="10">
        <v>88.78</v>
      </c>
      <c r="D322" s="10">
        <v>50</v>
      </c>
      <c r="E322" s="10">
        <v>0.19</v>
      </c>
      <c r="F322" s="10">
        <v>96.658851630688204</v>
      </c>
      <c r="G322" s="10">
        <v>99.948106712795706</v>
      </c>
      <c r="H322" s="10">
        <v>97.612853999999999</v>
      </c>
      <c r="I322" s="10">
        <v>109.60493827160494</v>
      </c>
      <c r="J322" s="10">
        <v>119.33191559344222</v>
      </c>
      <c r="K322" s="10">
        <v>123.39272433678481</v>
      </c>
      <c r="L322" s="10">
        <v>120.50969629629628</v>
      </c>
      <c r="M322" s="10">
        <v>9.7269773218372819</v>
      </c>
      <c r="N322" s="10">
        <v>13.787786065179873</v>
      </c>
      <c r="O322" s="10">
        <v>10.904758024691347</v>
      </c>
      <c r="P322" s="5">
        <v>0.25602468075289297</v>
      </c>
      <c r="Q322" s="5">
        <v>0.28050863227813788</v>
      </c>
      <c r="R322" s="5">
        <v>0.26329579503945238</v>
      </c>
    </row>
    <row r="323" spans="1:18">
      <c r="A323" t="s">
        <v>1023</v>
      </c>
      <c r="B323" t="s">
        <v>75</v>
      </c>
      <c r="C323" s="10">
        <v>71.900000000000006</v>
      </c>
      <c r="D323" s="10">
        <v>50</v>
      </c>
      <c r="E323" s="10">
        <v>0.19</v>
      </c>
      <c r="F323" s="10">
        <v>64.975793249247602</v>
      </c>
      <c r="G323" s="10">
        <v>71.456607679660223</v>
      </c>
      <c r="H323" s="10">
        <v>67.885825999999994</v>
      </c>
      <c r="I323" s="10">
        <v>88.76543209876543</v>
      </c>
      <c r="J323" s="10">
        <v>80.217028702774812</v>
      </c>
      <c r="K323" s="10">
        <v>88.218034172420019</v>
      </c>
      <c r="L323" s="10">
        <v>83.809661728395056</v>
      </c>
      <c r="M323" s="10">
        <v>8.5484033959906185</v>
      </c>
      <c r="N323" s="10">
        <v>0.54739792634541118</v>
      </c>
      <c r="O323" s="10">
        <v>4.9557703703703737</v>
      </c>
      <c r="P323" s="5">
        <v>0.10368158528523394</v>
      </c>
      <c r="Q323" s="5">
        <v>0.18497390386785098</v>
      </c>
      <c r="R323" s="5">
        <v>0.14210368450109145</v>
      </c>
    </row>
    <row r="324" spans="1:18">
      <c r="A324" t="s">
        <v>1024</v>
      </c>
      <c r="B324" t="s">
        <v>75</v>
      </c>
      <c r="C324" s="10">
        <v>82.23</v>
      </c>
      <c r="D324" s="10">
        <v>50</v>
      </c>
      <c r="E324" s="10">
        <v>0.19</v>
      </c>
      <c r="F324" s="10">
        <v>83.988381765825409</v>
      </c>
      <c r="G324" s="10">
        <v>79.438422214590915</v>
      </c>
      <c r="H324" s="10">
        <v>79.477059999999994</v>
      </c>
      <c r="I324" s="10">
        <v>101.51851851851852</v>
      </c>
      <c r="J324" s="10">
        <v>103.68936020472272</v>
      </c>
      <c r="K324" s="10">
        <v>98.07212619085297</v>
      </c>
      <c r="L324" s="10">
        <v>98.119827160493813</v>
      </c>
      <c r="M324" s="10">
        <v>2.1708416862041986</v>
      </c>
      <c r="N324" s="10">
        <v>3.4463923276655493</v>
      </c>
      <c r="O324" s="10">
        <v>3.3986913580247062</v>
      </c>
      <c r="P324" s="5">
        <v>0.20695816969411013</v>
      </c>
      <c r="Q324" s="5">
        <v>0.1615354617684483</v>
      </c>
      <c r="R324" s="5">
        <v>0.16194308143758698</v>
      </c>
    </row>
    <row r="325" spans="1:18">
      <c r="A325" t="s">
        <v>1025</v>
      </c>
      <c r="B325" t="s">
        <v>75</v>
      </c>
      <c r="C325" s="10">
        <v>58.34</v>
      </c>
      <c r="D325" s="10">
        <v>50</v>
      </c>
      <c r="E325" s="10">
        <v>0.19</v>
      </c>
      <c r="F325" s="10">
        <v>57.821989586963156</v>
      </c>
      <c r="G325" s="10">
        <v>55.985159724929595</v>
      </c>
      <c r="H325" s="10">
        <v>55.482677000000002</v>
      </c>
      <c r="I325" s="10">
        <v>72.024691358024697</v>
      </c>
      <c r="J325" s="10">
        <v>71.385172329584137</v>
      </c>
      <c r="K325" s="10">
        <v>69.117481141888391</v>
      </c>
      <c r="L325" s="10">
        <v>68.497132098765434</v>
      </c>
      <c r="M325" s="10">
        <v>0.63951902844056008</v>
      </c>
      <c r="N325" s="10">
        <v>2.9072102161363063</v>
      </c>
      <c r="O325" s="10">
        <v>3.5275592592592631</v>
      </c>
      <c r="P325" s="5">
        <v>0.18274344522633906</v>
      </c>
      <c r="Q325" s="5">
        <v>0.15592988870302935</v>
      </c>
      <c r="R325" s="5">
        <v>0.14828550900671211</v>
      </c>
    </row>
    <row r="326" spans="1:18">
      <c r="A326" t="s">
        <v>1026</v>
      </c>
      <c r="B326" t="s">
        <v>75</v>
      </c>
      <c r="C326" s="10">
        <v>76.650000000000006</v>
      </c>
      <c r="D326" s="10">
        <v>50</v>
      </c>
      <c r="E326" s="10">
        <v>0.19</v>
      </c>
      <c r="F326" s="10">
        <v>70.327945945798064</v>
      </c>
      <c r="G326" s="10">
        <v>79.220894001831525</v>
      </c>
      <c r="H326" s="10">
        <v>74.192310000000006</v>
      </c>
      <c r="I326" s="10">
        <v>94.629629629629633</v>
      </c>
      <c r="J326" s="10">
        <v>86.824624624442052</v>
      </c>
      <c r="K326" s="10">
        <v>97.803572841767306</v>
      </c>
      <c r="L326" s="10">
        <v>91.595444444444439</v>
      </c>
      <c r="M326" s="10">
        <v>7.8050050051875814</v>
      </c>
      <c r="N326" s="10">
        <v>3.1739432121376723</v>
      </c>
      <c r="O326" s="10">
        <v>3.0341851851851942</v>
      </c>
      <c r="P326" s="5">
        <v>0.11718593277485684</v>
      </c>
      <c r="Q326" s="5">
        <v>0.21628629943806718</v>
      </c>
      <c r="R326" s="5">
        <v>0.16316798870395047</v>
      </c>
    </row>
    <row r="327" spans="1:18">
      <c r="A327" t="s">
        <v>1027</v>
      </c>
      <c r="B327" t="s">
        <v>75</v>
      </c>
      <c r="C327" s="10">
        <v>83.81</v>
      </c>
      <c r="D327" s="10">
        <v>50</v>
      </c>
      <c r="E327" s="10">
        <v>0.19</v>
      </c>
      <c r="F327" s="10">
        <v>81.909251575885136</v>
      </c>
      <c r="G327" s="10">
        <v>83.603936174744859</v>
      </c>
      <c r="H327" s="10">
        <v>82.902540000000002</v>
      </c>
      <c r="I327" s="10">
        <v>103.46913580246913</v>
      </c>
      <c r="J327" s="10">
        <v>101.12253280973474</v>
      </c>
      <c r="K327" s="10">
        <v>103.21473601820352</v>
      </c>
      <c r="L327" s="10">
        <v>102.34881481481482</v>
      </c>
      <c r="M327" s="10">
        <v>2.3466029927343897</v>
      </c>
      <c r="N327" s="10">
        <v>0.25439978426560117</v>
      </c>
      <c r="O327" s="10">
        <v>1.1203209876543099</v>
      </c>
      <c r="P327" s="5">
        <v>0.17120351249813742</v>
      </c>
      <c r="Q327" s="5">
        <v>0.18800354258311716</v>
      </c>
      <c r="R327" s="5">
        <v>0.18113365404727044</v>
      </c>
    </row>
    <row r="328" spans="1:18">
      <c r="A328" t="s">
        <v>1028</v>
      </c>
      <c r="B328" t="s">
        <v>75</v>
      </c>
      <c r="C328" s="10">
        <v>78.099999999999994</v>
      </c>
      <c r="D328" s="10">
        <v>50</v>
      </c>
      <c r="E328" s="10">
        <v>0.19</v>
      </c>
      <c r="F328" s="10">
        <v>71.492258982886113</v>
      </c>
      <c r="G328" s="10">
        <v>75.531483453259852</v>
      </c>
      <c r="H328" s="10">
        <v>72.804119999999998</v>
      </c>
      <c r="I328" s="10">
        <v>96.419753086419746</v>
      </c>
      <c r="J328" s="10">
        <v>88.262048127019881</v>
      </c>
      <c r="K328" s="10">
        <v>93.248745004024499</v>
      </c>
      <c r="L328" s="10">
        <v>89.881629629629614</v>
      </c>
      <c r="M328" s="10">
        <v>8.1577049593998652</v>
      </c>
      <c r="N328" s="10">
        <v>3.1710080823952467</v>
      </c>
      <c r="O328" s="10">
        <v>6.5381234567901316</v>
      </c>
      <c r="P328" s="5">
        <v>0.11513496845660613</v>
      </c>
      <c r="Q328" s="5">
        <v>0.16245521592135856</v>
      </c>
      <c r="R328" s="5">
        <v>0.13107939495731827</v>
      </c>
    </row>
    <row r="329" spans="1:18">
      <c r="A329" t="s">
        <v>1029</v>
      </c>
      <c r="B329" t="s">
        <v>75</v>
      </c>
      <c r="C329" s="10">
        <v>43.64</v>
      </c>
      <c r="D329" s="10">
        <v>50</v>
      </c>
      <c r="E329" s="10">
        <v>0.19</v>
      </c>
      <c r="F329" s="10">
        <v>51.268415539319591</v>
      </c>
      <c r="G329" s="10">
        <v>52.069905720936958</v>
      </c>
      <c r="H329" s="10">
        <v>52.370379999999997</v>
      </c>
      <c r="I329" s="10">
        <v>53.876543209876537</v>
      </c>
      <c r="J329" s="10">
        <v>63.294340171999494</v>
      </c>
      <c r="K329" s="10">
        <v>64.28383422337896</v>
      </c>
      <c r="L329" s="10">
        <v>64.654790123456777</v>
      </c>
      <c r="M329" s="10">
        <v>9.4177969621229565</v>
      </c>
      <c r="N329" s="10">
        <v>10.407291013502423</v>
      </c>
      <c r="O329" s="10">
        <v>10.77824691358024</v>
      </c>
      <c r="P329" s="5">
        <v>0.31052287011113028</v>
      </c>
      <c r="Q329" s="5">
        <v>0.32113570188803614</v>
      </c>
      <c r="R329" s="5">
        <v>0.32503067573693362</v>
      </c>
    </row>
    <row r="330" spans="1:18">
      <c r="A330" t="s">
        <v>1030</v>
      </c>
      <c r="B330" t="s">
        <v>75</v>
      </c>
      <c r="C330" s="10">
        <v>62.99</v>
      </c>
      <c r="D330" s="10">
        <v>50</v>
      </c>
      <c r="E330" s="10">
        <v>0.19</v>
      </c>
      <c r="F330" s="10">
        <v>67.222898326399843</v>
      </c>
      <c r="G330" s="10">
        <v>65.02676066667901</v>
      </c>
      <c r="H330" s="10">
        <v>65.390915000000007</v>
      </c>
      <c r="I330" s="10">
        <v>77.76543209876543</v>
      </c>
      <c r="J330" s="10">
        <v>82.991232501728192</v>
      </c>
      <c r="K330" s="10">
        <v>80.279951440344448</v>
      </c>
      <c r="L330" s="10">
        <v>80.729524691358023</v>
      </c>
      <c r="M330" s="10">
        <v>5.2258004029627614</v>
      </c>
      <c r="N330" s="10">
        <v>2.5145193415790175</v>
      </c>
      <c r="O330" s="10">
        <v>2.9640925925925927</v>
      </c>
      <c r="P330" s="5">
        <v>0.24100416271455768</v>
      </c>
      <c r="Q330" s="5">
        <v>0.215370726191738</v>
      </c>
      <c r="R330" s="5">
        <v>0.21974023455704814</v>
      </c>
    </row>
    <row r="331" spans="1:18">
      <c r="A331" t="s">
        <v>1031</v>
      </c>
      <c r="B331" t="s">
        <v>75</v>
      </c>
      <c r="C331" s="10">
        <v>64.34</v>
      </c>
      <c r="D331" s="10">
        <v>50</v>
      </c>
      <c r="E331" s="10">
        <v>0.19</v>
      </c>
      <c r="F331" s="10">
        <v>61.756421710814372</v>
      </c>
      <c r="G331" s="10">
        <v>63.869253878050849</v>
      </c>
      <c r="H331" s="10">
        <v>63.096989999999998</v>
      </c>
      <c r="I331" s="10">
        <v>79.432098765432102</v>
      </c>
      <c r="J331" s="10">
        <v>76.242495939276992</v>
      </c>
      <c r="K331" s="10">
        <v>78.850930713643024</v>
      </c>
      <c r="L331" s="10">
        <v>77.89751851851851</v>
      </c>
      <c r="M331" s="10">
        <v>3.1896028261551095</v>
      </c>
      <c r="N331" s="10">
        <v>0.58116805178907782</v>
      </c>
      <c r="O331" s="10">
        <v>1.5345802469135918</v>
      </c>
      <c r="P331" s="5">
        <v>0.15611367115731206</v>
      </c>
      <c r="Q331" s="5">
        <v>0.18402992307524274</v>
      </c>
      <c r="R331" s="5">
        <v>0.17404300902467759</v>
      </c>
    </row>
    <row r="332" spans="1:18">
      <c r="A332" t="s">
        <v>1032</v>
      </c>
      <c r="B332" t="s">
        <v>75</v>
      </c>
      <c r="C332" s="10">
        <v>72.53</v>
      </c>
      <c r="D332" s="10">
        <v>50</v>
      </c>
      <c r="E332" s="10">
        <v>0.19</v>
      </c>
      <c r="F332" s="10">
        <v>70.508320259997191</v>
      </c>
      <c r="G332" s="10">
        <v>71.164684775585926</v>
      </c>
      <c r="H332" s="10">
        <v>72.334980000000002</v>
      </c>
      <c r="I332" s="10">
        <v>89.543209876543202</v>
      </c>
      <c r="J332" s="10">
        <v>87.047308962959491</v>
      </c>
      <c r="K332" s="10">
        <v>87.857635525414722</v>
      </c>
      <c r="L332" s="10">
        <v>89.302444444444447</v>
      </c>
      <c r="M332" s="10">
        <v>2.4959009135837107</v>
      </c>
      <c r="N332" s="10">
        <v>1.68557435112848</v>
      </c>
      <c r="O332" s="10">
        <v>0.24076543209875467</v>
      </c>
      <c r="P332" s="5">
        <v>0.16677493119444872</v>
      </c>
      <c r="Q332" s="5">
        <v>0.17445991385667181</v>
      </c>
      <c r="R332" s="5">
        <v>0.18781618519836463</v>
      </c>
    </row>
    <row r="333" spans="1:18">
      <c r="A333" t="s">
        <v>1033</v>
      </c>
      <c r="B333" t="s">
        <v>75</v>
      </c>
      <c r="C333" s="10">
        <v>61.35</v>
      </c>
      <c r="D333" s="10">
        <v>50</v>
      </c>
      <c r="E333" s="10">
        <v>0.19</v>
      </c>
      <c r="F333" s="10">
        <v>59.968687915114437</v>
      </c>
      <c r="G333" s="10">
        <v>62.951639039357268</v>
      </c>
      <c r="H333" s="10">
        <v>59.041600000000003</v>
      </c>
      <c r="I333" s="10">
        <v>75.740740740740733</v>
      </c>
      <c r="J333" s="10">
        <v>74.035417179153626</v>
      </c>
      <c r="K333" s="10">
        <v>77.718072888095392</v>
      </c>
      <c r="L333" s="10">
        <v>72.89086419753086</v>
      </c>
      <c r="M333" s="10">
        <v>1.7053235615871074</v>
      </c>
      <c r="N333" s="10">
        <v>1.9773321473546588</v>
      </c>
      <c r="O333" s="10">
        <v>2.8498765432098736</v>
      </c>
      <c r="P333" s="5">
        <v>0.17134255012647509</v>
      </c>
      <c r="Q333" s="5">
        <v>0.21060832158902643</v>
      </c>
      <c r="R333" s="5">
        <v>0.1583307362944093</v>
      </c>
    </row>
    <row r="334" spans="1:18">
      <c r="A334" t="s">
        <v>1034</v>
      </c>
      <c r="B334" t="s">
        <v>75</v>
      </c>
      <c r="C334" s="10">
        <v>78.42</v>
      </c>
      <c r="D334" s="10">
        <v>50</v>
      </c>
      <c r="E334" s="10">
        <v>0.19</v>
      </c>
      <c r="F334" s="10">
        <v>83.919395055774302</v>
      </c>
      <c r="G334" s="10">
        <v>85.487463115257455</v>
      </c>
      <c r="H334" s="10">
        <v>86.089966000000004</v>
      </c>
      <c r="I334" s="10">
        <v>96.81481481481481</v>
      </c>
      <c r="J334" s="10">
        <v>103.60419142688185</v>
      </c>
      <c r="K334" s="10">
        <v>105.54007792007093</v>
      </c>
      <c r="L334" s="10">
        <v>106.2839086419753</v>
      </c>
      <c r="M334" s="10">
        <v>6.7893766120670449</v>
      </c>
      <c r="N334" s="10">
        <v>8.7252631052561185</v>
      </c>
      <c r="O334" s="10">
        <v>9.4690938271604921</v>
      </c>
      <c r="P334" s="5">
        <v>0.24308081632638842</v>
      </c>
      <c r="Q334" s="5">
        <v>0.25696473277772147</v>
      </c>
      <c r="R334" s="5">
        <v>0.2621648845813227</v>
      </c>
    </row>
    <row r="335" spans="1:18">
      <c r="A335" t="s">
        <v>1035</v>
      </c>
      <c r="B335" t="s">
        <v>75</v>
      </c>
      <c r="C335" s="10">
        <v>64.2</v>
      </c>
      <c r="D335" s="10">
        <v>50</v>
      </c>
      <c r="E335" s="10">
        <v>0.19</v>
      </c>
      <c r="F335" s="10">
        <v>65.485154830989217</v>
      </c>
      <c r="G335" s="10">
        <v>64.913335055019175</v>
      </c>
      <c r="H335" s="10">
        <v>64.714034999999996</v>
      </c>
      <c r="I335" s="10">
        <v>79.259259259259252</v>
      </c>
      <c r="J335" s="10">
        <v>80.845870161715084</v>
      </c>
      <c r="K335" s="10">
        <v>80.139919821011318</v>
      </c>
      <c r="L335" s="10">
        <v>79.893870370370365</v>
      </c>
      <c r="M335" s="10">
        <v>1.5866109024558313</v>
      </c>
      <c r="N335" s="10">
        <v>0.88066056175206597</v>
      </c>
      <c r="O335" s="10">
        <v>0.63461111111111279</v>
      </c>
      <c r="P335" s="5">
        <v>0.20589635720932353</v>
      </c>
      <c r="Q335" s="5">
        <v>0.1989011201485148</v>
      </c>
      <c r="R335" s="5">
        <v>0.19643397293956394</v>
      </c>
    </row>
    <row r="336" spans="1:18">
      <c r="A336" t="s">
        <v>1036</v>
      </c>
      <c r="B336" t="s">
        <v>75</v>
      </c>
      <c r="C336" s="10">
        <v>101.92</v>
      </c>
      <c r="D336" s="10">
        <v>60</v>
      </c>
      <c r="E336" s="10">
        <v>0.19</v>
      </c>
      <c r="F336" s="10">
        <v>95.633932985890425</v>
      </c>
      <c r="G336" s="10">
        <v>99.117254410942195</v>
      </c>
      <c r="H336" s="10">
        <v>100.440445</v>
      </c>
      <c r="I336" s="10">
        <v>125.82716049382715</v>
      </c>
      <c r="J336" s="10">
        <v>118.06658393319805</v>
      </c>
      <c r="K336" s="10">
        <v>122.36698075424961</v>
      </c>
      <c r="L336" s="10">
        <v>124.00054938271603</v>
      </c>
      <c r="M336" s="10">
        <v>7.7605765606291044</v>
      </c>
      <c r="N336" s="10">
        <v>3.4601797395775407</v>
      </c>
      <c r="O336" s="10">
        <v>1.8266111111111201</v>
      </c>
      <c r="P336" s="5">
        <v>0.13675828837678378</v>
      </c>
      <c r="Q336" s="5">
        <v>0.16709557290878502</v>
      </c>
      <c r="R336" s="5">
        <v>0.17806815770280573</v>
      </c>
    </row>
    <row r="337" spans="1:18">
      <c r="A337" t="s">
        <v>1037</v>
      </c>
      <c r="B337" t="s">
        <v>75</v>
      </c>
      <c r="C337" s="10">
        <v>98.18</v>
      </c>
      <c r="D337" s="10">
        <v>50</v>
      </c>
      <c r="E337" s="10">
        <v>0.19</v>
      </c>
      <c r="F337" s="10">
        <v>100.55362505445058</v>
      </c>
      <c r="G337" s="10">
        <v>98.718122091092752</v>
      </c>
      <c r="H337" s="10">
        <v>95.245840000000001</v>
      </c>
      <c r="I337" s="10">
        <v>121.20987654320987</v>
      </c>
      <c r="J337" s="10">
        <v>124.14027784500071</v>
      </c>
      <c r="K337" s="10">
        <v>121.87422480381821</v>
      </c>
      <c r="L337" s="10">
        <v>117.58745679012345</v>
      </c>
      <c r="M337" s="10">
        <v>2.9304013017908375</v>
      </c>
      <c r="N337" s="10">
        <v>0.66434826060833529</v>
      </c>
      <c r="O337" s="10">
        <v>3.6224197530864188</v>
      </c>
      <c r="P337" s="5">
        <v>0.2091205070236288</v>
      </c>
      <c r="Q337" s="5">
        <v>0.19441538883187942</v>
      </c>
      <c r="R337" s="5">
        <v>0.16504699837809181</v>
      </c>
    </row>
    <row r="338" spans="1:18">
      <c r="A338" t="s">
        <v>1038</v>
      </c>
      <c r="B338" t="s">
        <v>75</v>
      </c>
      <c r="C338" s="10">
        <v>100.68</v>
      </c>
      <c r="D338" s="10">
        <v>60</v>
      </c>
      <c r="E338" s="10">
        <v>0.19</v>
      </c>
      <c r="F338" s="10">
        <v>93.235398213837712</v>
      </c>
      <c r="G338" s="10">
        <v>96.658234771875556</v>
      </c>
      <c r="H338" s="10">
        <v>99.478380000000001</v>
      </c>
      <c r="I338" s="10">
        <v>124.29629629629629</v>
      </c>
      <c r="J338" s="10">
        <v>115.10542989362679</v>
      </c>
      <c r="K338" s="10">
        <v>119.33115403935253</v>
      </c>
      <c r="L338" s="10">
        <v>122.81281481481481</v>
      </c>
      <c r="M338" s="10">
        <v>9.1908664026694993</v>
      </c>
      <c r="N338" s="10">
        <v>4.9651422569437642</v>
      </c>
      <c r="O338" s="10">
        <v>1.4834814814814763</v>
      </c>
      <c r="P338" s="5">
        <v>0.12532362640891798</v>
      </c>
      <c r="Q338" s="5">
        <v>0.15629744126334202</v>
      </c>
      <c r="R338" s="5">
        <v>0.18021584187438511</v>
      </c>
    </row>
    <row r="339" spans="1:18">
      <c r="A339" t="s">
        <v>1039</v>
      </c>
      <c r="B339" t="s">
        <v>75</v>
      </c>
      <c r="C339" s="10">
        <v>56.25</v>
      </c>
      <c r="D339" s="10">
        <v>50</v>
      </c>
      <c r="E339" s="10">
        <v>0.19</v>
      </c>
      <c r="F339" s="10">
        <v>54.163098197696897</v>
      </c>
      <c r="G339" s="10">
        <v>56.549231695205258</v>
      </c>
      <c r="H339" s="10">
        <v>55.369278000000001</v>
      </c>
      <c r="I339" s="10">
        <v>69.444444444444443</v>
      </c>
      <c r="J339" s="10">
        <v>66.868022466292459</v>
      </c>
      <c r="K339" s="10">
        <v>69.813866290376851</v>
      </c>
      <c r="L339" s="10">
        <v>68.357133333333337</v>
      </c>
      <c r="M339" s="10">
        <v>2.5764219781519841</v>
      </c>
      <c r="N339" s="10">
        <v>0.36942184593240768</v>
      </c>
      <c r="O339" s="10">
        <v>1.0873111111111058</v>
      </c>
      <c r="P339" s="5">
        <v>0.158790735461706</v>
      </c>
      <c r="Q339" s="5">
        <v>0.19428613556454036</v>
      </c>
      <c r="R339" s="5">
        <v>0.17711587281307881</v>
      </c>
    </row>
    <row r="340" spans="1:18">
      <c r="A340" t="s">
        <v>1040</v>
      </c>
      <c r="B340" t="s">
        <v>75</v>
      </c>
      <c r="C340" s="10">
        <v>48.67</v>
      </c>
      <c r="D340" s="10">
        <v>50</v>
      </c>
      <c r="E340" s="10">
        <v>0.19</v>
      </c>
      <c r="F340" s="10">
        <v>46.844689583626469</v>
      </c>
      <c r="G340" s="10">
        <v>49.149206108385492</v>
      </c>
      <c r="H340" s="10">
        <v>49.592570000000002</v>
      </c>
      <c r="I340" s="10">
        <v>60.086419753086417</v>
      </c>
      <c r="J340" s="10">
        <v>57.832950103242553</v>
      </c>
      <c r="K340" s="10">
        <v>60.678032232574679</v>
      </c>
      <c r="L340" s="10">
        <v>61.225395061728392</v>
      </c>
      <c r="M340" s="10">
        <v>2.2534696498438649</v>
      </c>
      <c r="N340" s="10">
        <v>0.59161247948826201</v>
      </c>
      <c r="O340" s="10">
        <v>1.1389753086419745</v>
      </c>
      <c r="P340" s="5">
        <v>0.15843822746176675</v>
      </c>
      <c r="Q340" s="5">
        <v>0.19789752222927606</v>
      </c>
      <c r="R340" s="5">
        <v>0.20506842053154326</v>
      </c>
    </row>
    <row r="341" spans="1:18">
      <c r="A341" t="s">
        <v>1041</v>
      </c>
      <c r="B341" t="s">
        <v>75</v>
      </c>
      <c r="C341" s="10">
        <v>195.15</v>
      </c>
      <c r="D341" s="10">
        <v>119</v>
      </c>
      <c r="E341" s="10">
        <v>0.19</v>
      </c>
      <c r="F341" s="10">
        <v>169.27893973131125</v>
      </c>
      <c r="G341" s="10">
        <v>138.72253443223443</v>
      </c>
      <c r="H341" s="10">
        <v>185.42229</v>
      </c>
      <c r="I341" s="10">
        <v>240.92592592592592</v>
      </c>
      <c r="J341" s="10">
        <v>208.98634534729783</v>
      </c>
      <c r="K341" s="10">
        <v>171.26238818794371</v>
      </c>
      <c r="L341" s="10">
        <v>228.91640740740741</v>
      </c>
      <c r="M341" s="10">
        <v>31.939580578628096</v>
      </c>
      <c r="N341" s="10">
        <v>69.66353773798221</v>
      </c>
      <c r="O341" s="10">
        <v>12.009518518518519</v>
      </c>
      <c r="P341" s="5">
        <v>6.620693483253319E-2</v>
      </c>
      <c r="Q341" s="5">
        <v>-0.1394796140869061</v>
      </c>
      <c r="R341" s="5">
        <v>0.14750540509450075</v>
      </c>
    </row>
    <row r="342" spans="1:18">
      <c r="A342" t="s">
        <v>1042</v>
      </c>
      <c r="B342" t="s">
        <v>75</v>
      </c>
      <c r="C342" s="10">
        <v>52.76</v>
      </c>
      <c r="D342" s="10">
        <v>50</v>
      </c>
      <c r="E342" s="10">
        <v>0.19</v>
      </c>
      <c r="F342" s="10">
        <v>55.275554192839607</v>
      </c>
      <c r="G342" s="10">
        <v>60.853165782628757</v>
      </c>
      <c r="H342" s="10">
        <v>60.962783999999999</v>
      </c>
      <c r="I342" s="10">
        <v>65.135802469135797</v>
      </c>
      <c r="J342" s="10">
        <v>68.241424929431602</v>
      </c>
      <c r="K342" s="10">
        <v>75.127365163739199</v>
      </c>
      <c r="L342" s="10">
        <v>75.262696296296284</v>
      </c>
      <c r="M342" s="10">
        <v>3.1056224602958054</v>
      </c>
      <c r="N342" s="10">
        <v>9.9915626946034024</v>
      </c>
      <c r="O342" s="10">
        <v>10.126893827160487</v>
      </c>
      <c r="P342" s="5">
        <v>0.22686256838043656</v>
      </c>
      <c r="Q342" s="5">
        <v>0.29772593668085917</v>
      </c>
      <c r="R342" s="5">
        <v>0.29898870760232987</v>
      </c>
    </row>
    <row r="343" spans="1:18">
      <c r="A343" t="s">
        <v>1043</v>
      </c>
      <c r="B343" t="s">
        <v>75</v>
      </c>
      <c r="C343" s="10">
        <v>157.57</v>
      </c>
      <c r="D343" s="10">
        <v>50</v>
      </c>
      <c r="E343" s="10">
        <v>0.19</v>
      </c>
      <c r="F343" s="10">
        <v>159.82596287830353</v>
      </c>
      <c r="G343" s="10">
        <v>157.1709281898658</v>
      </c>
      <c r="H343" s="10">
        <v>156.16702000000001</v>
      </c>
      <c r="I343" s="10">
        <v>194.53086419753083</v>
      </c>
      <c r="J343" s="10">
        <v>197.31600355346114</v>
      </c>
      <c r="K343" s="10">
        <v>194.03818295045158</v>
      </c>
      <c r="L343" s="10">
        <v>192.7987901234568</v>
      </c>
      <c r="M343" s="10">
        <v>2.7851393559303119</v>
      </c>
      <c r="N343" s="10">
        <v>0.49268124707924699</v>
      </c>
      <c r="O343" s="10">
        <v>1.7320740740740348</v>
      </c>
      <c r="P343" s="5">
        <v>0.20143324838166154</v>
      </c>
      <c r="Q343" s="5">
        <v>0.18794333360544757</v>
      </c>
      <c r="R343" s="5">
        <v>0.18272308711532056</v>
      </c>
    </row>
    <row r="344" spans="1:18">
      <c r="A344" t="s">
        <v>1044</v>
      </c>
      <c r="B344" t="s">
        <v>75</v>
      </c>
      <c r="C344" s="10">
        <v>157.69999999999999</v>
      </c>
      <c r="D344" s="10">
        <v>50</v>
      </c>
      <c r="E344" s="10">
        <v>0.19</v>
      </c>
      <c r="F344" s="10">
        <v>155.34037283495266</v>
      </c>
      <c r="G344" s="10">
        <v>154.43139075091588</v>
      </c>
      <c r="H344" s="10">
        <v>153.34603999999999</v>
      </c>
      <c r="I344" s="10">
        <v>194.69135802469134</v>
      </c>
      <c r="J344" s="10">
        <v>191.77823806784278</v>
      </c>
      <c r="K344" s="10">
        <v>190.65603796409366</v>
      </c>
      <c r="L344" s="10">
        <v>189.31609876543206</v>
      </c>
      <c r="M344" s="10">
        <v>2.9131199568485613</v>
      </c>
      <c r="N344" s="10">
        <v>4.0353200605976838</v>
      </c>
      <c r="O344" s="10">
        <v>5.3752592592592805</v>
      </c>
      <c r="P344" s="5">
        <v>0.17769606401216073</v>
      </c>
      <c r="Q344" s="5">
        <v>0.17285598880587402</v>
      </c>
      <c r="R344" s="5">
        <v>0.16700163890766259</v>
      </c>
    </row>
    <row r="345" spans="1:18">
      <c r="A345" t="s">
        <v>1045</v>
      </c>
      <c r="B345" t="s">
        <v>75</v>
      </c>
      <c r="C345" s="10">
        <v>83.14</v>
      </c>
      <c r="D345" s="10">
        <v>50</v>
      </c>
      <c r="E345" s="10">
        <v>0.19</v>
      </c>
      <c r="F345" s="10">
        <v>87.835285083562511</v>
      </c>
      <c r="G345" s="10">
        <v>88.879141591356557</v>
      </c>
      <c r="H345" s="10">
        <v>83.254859999999994</v>
      </c>
      <c r="I345" s="10">
        <v>102.64197530864197</v>
      </c>
      <c r="J345" s="10">
        <v>108.43862355995371</v>
      </c>
      <c r="K345" s="10">
        <v>109.72733529797105</v>
      </c>
      <c r="L345" s="10">
        <v>102.78377777777776</v>
      </c>
      <c r="M345" s="10">
        <v>5.796648251311737</v>
      </c>
      <c r="N345" s="10">
        <v>7.0853599893290777</v>
      </c>
      <c r="O345" s="10">
        <v>0.14180246913578287</v>
      </c>
      <c r="P345" s="5">
        <v>0.23329901034723638</v>
      </c>
      <c r="Q345" s="5">
        <v>0.24230366321912014</v>
      </c>
      <c r="R345" s="5">
        <v>0.19111749151941385</v>
      </c>
    </row>
    <row r="346" spans="1:18">
      <c r="A346" t="s">
        <v>1046</v>
      </c>
      <c r="B346" t="s">
        <v>75</v>
      </c>
      <c r="C346" s="10">
        <v>66.400000000000006</v>
      </c>
      <c r="D346" s="10">
        <v>50</v>
      </c>
      <c r="E346" s="10">
        <v>0.19</v>
      </c>
      <c r="F346" s="10">
        <v>72.895697115599049</v>
      </c>
      <c r="G346" s="10">
        <v>69.420229733560433</v>
      </c>
      <c r="H346" s="10">
        <v>72.797240000000002</v>
      </c>
      <c r="I346" s="10">
        <v>81.975308641975303</v>
      </c>
      <c r="J346" s="10">
        <v>89.994687797035851</v>
      </c>
      <c r="K346" s="10">
        <v>85.703987325383238</v>
      </c>
      <c r="L346" s="10">
        <v>89.873135802469136</v>
      </c>
      <c r="M346" s="10">
        <v>8.0193791550605482</v>
      </c>
      <c r="N346" s="10">
        <v>3.7286786834079351</v>
      </c>
      <c r="O346" s="10">
        <v>7.8978271604938328</v>
      </c>
      <c r="P346" s="5">
        <v>0.2621786727039791</v>
      </c>
      <c r="Q346" s="5">
        <v>0.22524024759891079</v>
      </c>
      <c r="R346" s="5">
        <v>0.2611807810296104</v>
      </c>
    </row>
    <row r="347" spans="1:18">
      <c r="A347" t="s">
        <v>1047</v>
      </c>
      <c r="B347" t="s">
        <v>75</v>
      </c>
      <c r="C347" s="10">
        <v>56.73</v>
      </c>
      <c r="D347" s="10">
        <v>50</v>
      </c>
      <c r="E347" s="10">
        <v>0.19</v>
      </c>
      <c r="F347" s="10">
        <v>59.697419379165005</v>
      </c>
      <c r="G347" s="10">
        <v>61.85658412166417</v>
      </c>
      <c r="H347" s="10">
        <v>60.858469999999997</v>
      </c>
      <c r="I347" s="10">
        <v>70.037037037037024</v>
      </c>
      <c r="J347" s="10">
        <v>73.700517752055561</v>
      </c>
      <c r="K347" s="10">
        <v>76.366153236622424</v>
      </c>
      <c r="L347" s="10">
        <v>75.133913580246912</v>
      </c>
      <c r="M347" s="10">
        <v>3.6634807150185367</v>
      </c>
      <c r="N347" s="10">
        <v>6.3291161995853997</v>
      </c>
      <c r="O347" s="10">
        <v>5.0968765432098877</v>
      </c>
      <c r="P347" s="5">
        <v>0.23026320940034703</v>
      </c>
      <c r="Q347" s="5">
        <v>0.25713162709373771</v>
      </c>
      <c r="R347" s="5">
        <v>0.24494815594279648</v>
      </c>
    </row>
    <row r="348" spans="1:18">
      <c r="A348" t="s">
        <v>1048</v>
      </c>
      <c r="B348" t="s">
        <v>75</v>
      </c>
      <c r="C348" s="10">
        <v>58.4</v>
      </c>
      <c r="D348" s="10">
        <v>50</v>
      </c>
      <c r="E348" s="10">
        <v>0.19</v>
      </c>
      <c r="F348" s="10">
        <v>62.872908701303935</v>
      </c>
      <c r="G348" s="10">
        <v>64.720906249473131</v>
      </c>
      <c r="H348" s="10">
        <v>63.771816000000001</v>
      </c>
      <c r="I348" s="10">
        <v>72.098765432098759</v>
      </c>
      <c r="J348" s="10">
        <v>77.620874939881389</v>
      </c>
      <c r="K348" s="10">
        <v>79.902353394411264</v>
      </c>
      <c r="L348" s="10">
        <v>78.730637037037027</v>
      </c>
      <c r="M348" s="10">
        <v>5.5221095077826305</v>
      </c>
      <c r="N348" s="10">
        <v>7.8035879623125055</v>
      </c>
      <c r="O348" s="10">
        <v>6.6318716049382687</v>
      </c>
      <c r="P348" s="5">
        <v>0.2476250745017789</v>
      </c>
      <c r="Q348" s="5">
        <v>0.26910788582499046</v>
      </c>
      <c r="R348" s="5">
        <v>0.25823031290186238</v>
      </c>
    </row>
    <row r="349" spans="1:18">
      <c r="A349" t="s">
        <v>1049</v>
      </c>
      <c r="B349" t="s">
        <v>75</v>
      </c>
      <c r="C349" s="10">
        <v>79.489999999999995</v>
      </c>
      <c r="D349" s="10">
        <v>50</v>
      </c>
      <c r="E349" s="10">
        <v>0.19</v>
      </c>
      <c r="F349" s="10">
        <v>75.333171288138715</v>
      </c>
      <c r="G349" s="10">
        <v>71.707592250649995</v>
      </c>
      <c r="H349" s="10">
        <v>75.993483999999995</v>
      </c>
      <c r="I349" s="10">
        <v>98.135802469135783</v>
      </c>
      <c r="J349" s="10">
        <v>93.003915170541617</v>
      </c>
      <c r="K349" s="10">
        <v>88.52789166746912</v>
      </c>
      <c r="L349" s="10">
        <v>93.8191160493827</v>
      </c>
      <c r="M349" s="10">
        <v>5.1318872985941653</v>
      </c>
      <c r="N349" s="10">
        <v>9.6079108016666623</v>
      </c>
      <c r="O349" s="10">
        <v>4.3166864197530828</v>
      </c>
      <c r="P349" s="5">
        <v>0.14530479868251897</v>
      </c>
      <c r="Q349" s="5">
        <v>0.10209089471392248</v>
      </c>
      <c r="R349" s="5">
        <v>0.15273130522611639</v>
      </c>
    </row>
    <row r="350" spans="1:18">
      <c r="A350" t="s">
        <v>1050</v>
      </c>
      <c r="B350" t="s">
        <v>75</v>
      </c>
      <c r="C350" s="10">
        <v>47.87</v>
      </c>
      <c r="D350" s="10">
        <v>50</v>
      </c>
      <c r="E350" s="10">
        <v>0.19</v>
      </c>
      <c r="F350" s="10">
        <v>43.943240399229026</v>
      </c>
      <c r="G350" s="10">
        <v>48.980115465225232</v>
      </c>
      <c r="H350" s="10">
        <v>47.203335000000003</v>
      </c>
      <c r="I350" s="10">
        <v>59.098765432098759</v>
      </c>
      <c r="J350" s="10">
        <v>54.250914073122253</v>
      </c>
      <c r="K350" s="10">
        <v>60.469278352129912</v>
      </c>
      <c r="L350" s="10">
        <v>58.275722222222221</v>
      </c>
      <c r="M350" s="10">
        <v>4.8478513589765058</v>
      </c>
      <c r="N350" s="10">
        <v>1.3705129200311532</v>
      </c>
      <c r="O350" s="10">
        <v>0.82304320987653767</v>
      </c>
      <c r="P350" s="5">
        <v>0.11761855412282494</v>
      </c>
      <c r="Q350" s="5">
        <v>0.20835833824178801</v>
      </c>
      <c r="R350" s="5">
        <v>0.17856015893792254</v>
      </c>
    </row>
    <row r="351" spans="1:18">
      <c r="A351" t="s">
        <v>1051</v>
      </c>
      <c r="B351" t="s">
        <v>75</v>
      </c>
      <c r="C351" s="10">
        <v>104.88</v>
      </c>
      <c r="D351" s="10">
        <v>50</v>
      </c>
      <c r="E351" s="10">
        <v>0.19</v>
      </c>
      <c r="F351" s="10">
        <v>105.6785688185695</v>
      </c>
      <c r="G351" s="10">
        <v>102.00134746642246</v>
      </c>
      <c r="H351" s="10">
        <v>102.72214</v>
      </c>
      <c r="I351" s="10">
        <v>129.48148148148147</v>
      </c>
      <c r="J351" s="10">
        <v>130.46736891181419</v>
      </c>
      <c r="K351" s="10">
        <v>125.92758946471908</v>
      </c>
      <c r="L351" s="10">
        <v>126.81745679012344</v>
      </c>
      <c r="M351" s="10">
        <v>0.98588743033272408</v>
      </c>
      <c r="N351" s="10">
        <v>3.55389201676239</v>
      </c>
      <c r="O351" s="10">
        <v>2.6640246913580228</v>
      </c>
      <c r="P351" s="5">
        <v>0.19612083178522033</v>
      </c>
      <c r="Q351" s="5">
        <v>0.16714041421888687</v>
      </c>
      <c r="R351" s="5">
        <v>0.17298451920880928</v>
      </c>
    </row>
    <row r="352" spans="1:18">
      <c r="A352" t="s">
        <v>1052</v>
      </c>
      <c r="B352" t="s">
        <v>75</v>
      </c>
      <c r="C352" s="10">
        <v>79.75</v>
      </c>
      <c r="D352" s="10">
        <v>50</v>
      </c>
      <c r="E352" s="10">
        <v>0.19</v>
      </c>
      <c r="F352" s="10">
        <v>89.4032215673341</v>
      </c>
      <c r="G352" s="10">
        <v>85.710653319137307</v>
      </c>
      <c r="H352" s="10">
        <v>83.221109999999996</v>
      </c>
      <c r="I352" s="10">
        <v>98.456790123456784</v>
      </c>
      <c r="J352" s="10">
        <v>110.37434761399271</v>
      </c>
      <c r="K352" s="10">
        <v>105.81562138165098</v>
      </c>
      <c r="L352" s="10">
        <v>102.7421111111111</v>
      </c>
      <c r="M352" s="10">
        <v>11.917557490535927</v>
      </c>
      <c r="N352" s="10">
        <v>7.3588312581942006</v>
      </c>
      <c r="O352" s="10">
        <v>4.2853209876543161</v>
      </c>
      <c r="P352" s="5">
        <v>0.27745892298357111</v>
      </c>
      <c r="Q352" s="5">
        <v>0.24633056103917478</v>
      </c>
      <c r="R352" s="5">
        <v>0.22378468636142912</v>
      </c>
    </row>
    <row r="353" spans="1:18">
      <c r="A353" t="s">
        <v>1053</v>
      </c>
      <c r="B353" t="s">
        <v>75</v>
      </c>
      <c r="C353" s="10">
        <v>124.46</v>
      </c>
      <c r="D353" s="10">
        <v>65</v>
      </c>
      <c r="E353" s="10">
        <v>0.19</v>
      </c>
      <c r="F353" s="10">
        <v>120.33462072380071</v>
      </c>
      <c r="G353" s="10">
        <v>124.59716749084255</v>
      </c>
      <c r="H353" s="10">
        <v>125.01376999999999</v>
      </c>
      <c r="I353" s="10">
        <v>153.6543209876543</v>
      </c>
      <c r="J353" s="10">
        <v>148.56126015284036</v>
      </c>
      <c r="K353" s="10">
        <v>153.82366356894141</v>
      </c>
      <c r="L353" s="10">
        <v>154.33798765432098</v>
      </c>
      <c r="M353" s="10">
        <v>5.0930608348139401</v>
      </c>
      <c r="N353" s="10">
        <v>0.16934258128711122</v>
      </c>
      <c r="O353" s="10">
        <v>0.68366666666668152</v>
      </c>
      <c r="P353" s="5">
        <v>0.16223112356508623</v>
      </c>
      <c r="Q353" s="5">
        <v>0.1908917190480324</v>
      </c>
      <c r="R353" s="5">
        <v>0.19358803434213689</v>
      </c>
    </row>
    <row r="354" spans="1:18">
      <c r="A354" t="s">
        <v>1054</v>
      </c>
      <c r="B354" t="s">
        <v>75</v>
      </c>
      <c r="C354" s="10">
        <v>106.58</v>
      </c>
      <c r="D354" s="10">
        <v>50</v>
      </c>
      <c r="E354" s="10">
        <v>0.19</v>
      </c>
      <c r="F354" s="10">
        <v>111.52450330605468</v>
      </c>
      <c r="G354" s="10">
        <v>111.23098132727316</v>
      </c>
      <c r="H354" s="10">
        <v>111.05455000000001</v>
      </c>
      <c r="I354" s="10">
        <v>131.58024691358023</v>
      </c>
      <c r="J354" s="10">
        <v>137.68457198278355</v>
      </c>
      <c r="K354" s="10">
        <v>137.32219916947301</v>
      </c>
      <c r="L354" s="10">
        <v>137.10438271604937</v>
      </c>
      <c r="M354" s="10">
        <v>6.1043250692033268</v>
      </c>
      <c r="N354" s="10">
        <v>5.7419522558927838</v>
      </c>
      <c r="O354" s="10">
        <v>5.5241358024691465</v>
      </c>
      <c r="P354" s="5">
        <v>0.22591181811331013</v>
      </c>
      <c r="Q354" s="5">
        <v>0.22386911479281829</v>
      </c>
      <c r="R354" s="5">
        <v>0.22263608289799919</v>
      </c>
    </row>
    <row r="355" spans="1:18">
      <c r="A355" t="s">
        <v>1055</v>
      </c>
      <c r="B355" t="s">
        <v>75</v>
      </c>
      <c r="C355" s="10">
        <v>66.3</v>
      </c>
      <c r="D355" s="10">
        <v>50</v>
      </c>
      <c r="E355" s="10">
        <v>0.19</v>
      </c>
      <c r="F355" s="10">
        <v>66.636812364914533</v>
      </c>
      <c r="G355" s="10">
        <v>65.077411107472358</v>
      </c>
      <c r="H355" s="10">
        <v>66.073610000000002</v>
      </c>
      <c r="I355" s="10">
        <v>81.851851851851848</v>
      </c>
      <c r="J355" s="10">
        <v>82.267669586314227</v>
      </c>
      <c r="K355" s="10">
        <v>80.342482848731294</v>
      </c>
      <c r="L355" s="10">
        <v>81.572358024691354</v>
      </c>
      <c r="M355" s="10">
        <v>0.41581773446237946</v>
      </c>
      <c r="N355" s="10">
        <v>1.509369003120554</v>
      </c>
      <c r="O355" s="10">
        <v>0.27949382716049342</v>
      </c>
      <c r="P355" s="5">
        <v>0.19409410363279037</v>
      </c>
      <c r="Q355" s="5">
        <v>0.17478278428574909</v>
      </c>
      <c r="R355" s="5">
        <v>0.18722467260378237</v>
      </c>
    </row>
    <row r="356" spans="1:18">
      <c r="A356" t="s">
        <v>1056</v>
      </c>
      <c r="B356" t="s">
        <v>75</v>
      </c>
      <c r="C356" s="10">
        <v>65.900000000000006</v>
      </c>
      <c r="D356" s="10">
        <v>50</v>
      </c>
      <c r="E356" s="10">
        <v>0.19</v>
      </c>
      <c r="F356" s="10">
        <v>73.309432796394304</v>
      </c>
      <c r="G356" s="10">
        <v>70.189111915433543</v>
      </c>
      <c r="H356" s="10">
        <v>71.865036000000003</v>
      </c>
      <c r="I356" s="10">
        <v>81.358024691358025</v>
      </c>
      <c r="J356" s="10">
        <v>90.505472588141117</v>
      </c>
      <c r="K356" s="10">
        <v>86.653224586954991</v>
      </c>
      <c r="L356" s="10">
        <v>88.72226666666667</v>
      </c>
      <c r="M356" s="10">
        <v>9.1474478967830919</v>
      </c>
      <c r="N356" s="10">
        <v>5.2951998955969657</v>
      </c>
      <c r="O356" s="10">
        <v>7.3642419753086443</v>
      </c>
      <c r="P356" s="5">
        <v>0.2718672350357425</v>
      </c>
      <c r="Q356" s="5">
        <v>0.23949742996730017</v>
      </c>
      <c r="R356" s="5">
        <v>0.25723268266365296</v>
      </c>
    </row>
    <row r="357" spans="1:18">
      <c r="A357" t="s">
        <v>1057</v>
      </c>
      <c r="B357" t="s">
        <v>75</v>
      </c>
      <c r="C357" s="10">
        <v>94.71</v>
      </c>
      <c r="D357" s="10">
        <v>50</v>
      </c>
      <c r="E357" s="10">
        <v>0.19</v>
      </c>
      <c r="F357" s="10">
        <v>97.909459462995713</v>
      </c>
      <c r="G357" s="10">
        <v>101.50036231684977</v>
      </c>
      <c r="H357" s="10">
        <v>100.34696</v>
      </c>
      <c r="I357" s="10">
        <v>116.92592592592591</v>
      </c>
      <c r="J357" s="10">
        <v>120.87587588024161</v>
      </c>
      <c r="K357" s="10">
        <v>125.30908928006144</v>
      </c>
      <c r="L357" s="10">
        <v>123.88513580246912</v>
      </c>
      <c r="M357" s="10">
        <v>3.9499499543156986</v>
      </c>
      <c r="N357" s="10">
        <v>8.383163354135533</v>
      </c>
      <c r="O357" s="10">
        <v>6.9592098765432127</v>
      </c>
      <c r="P357" s="5">
        <v>0.21646896611665994</v>
      </c>
      <c r="Q357" s="5">
        <v>0.24418890485807898</v>
      </c>
      <c r="R357" s="5">
        <v>0.23550150398178477</v>
      </c>
    </row>
    <row r="358" spans="1:18">
      <c r="A358" t="s">
        <v>1058</v>
      </c>
      <c r="B358" t="s">
        <v>75</v>
      </c>
      <c r="C358" s="10">
        <v>69.010000000000005</v>
      </c>
      <c r="D358" s="10">
        <v>50</v>
      </c>
      <c r="E358" s="10">
        <v>0.19</v>
      </c>
      <c r="F358" s="10">
        <v>61.09006931826579</v>
      </c>
      <c r="G358" s="10">
        <v>63.263208974897218</v>
      </c>
      <c r="H358" s="10">
        <v>62.507168</v>
      </c>
      <c r="I358" s="10">
        <v>85.197530864197532</v>
      </c>
      <c r="J358" s="10">
        <v>75.419838664525656</v>
      </c>
      <c r="K358" s="10">
        <v>78.102727129502739</v>
      </c>
      <c r="L358" s="10">
        <v>77.169343209876544</v>
      </c>
      <c r="M358" s="10">
        <v>9.7776921996718755</v>
      </c>
      <c r="N358" s="10">
        <v>7.0948037346947928</v>
      </c>
      <c r="O358" s="10">
        <v>8.0281876543209876</v>
      </c>
      <c r="P358" s="5">
        <v>8.4988761286499168E-2</v>
      </c>
      <c r="Q358" s="5">
        <v>0.11642009778257822</v>
      </c>
      <c r="R358" s="5">
        <v>0.10573296169808871</v>
      </c>
    </row>
    <row r="359" spans="1:18">
      <c r="A359" t="s">
        <v>1059</v>
      </c>
      <c r="B359" t="s">
        <v>75</v>
      </c>
      <c r="C359" s="10">
        <v>54.29</v>
      </c>
      <c r="D359" s="10">
        <v>50</v>
      </c>
      <c r="E359" s="10">
        <v>0.19</v>
      </c>
      <c r="F359" s="10">
        <v>55.870500305527237</v>
      </c>
      <c r="G359" s="10">
        <v>57.09338211898411</v>
      </c>
      <c r="H359" s="10">
        <v>58.952080000000002</v>
      </c>
      <c r="I359" s="10">
        <v>67.024691358024683</v>
      </c>
      <c r="J359" s="10">
        <v>68.975926303120048</v>
      </c>
      <c r="K359" s="10">
        <v>70.48565693701741</v>
      </c>
      <c r="L359" s="10">
        <v>72.780345679012342</v>
      </c>
      <c r="M359" s="10">
        <v>1.951234945095365</v>
      </c>
      <c r="N359" s="10">
        <v>3.4609655789927274</v>
      </c>
      <c r="O359" s="10">
        <v>5.7556543209876594</v>
      </c>
      <c r="P359" s="5">
        <v>0.21291379601894156</v>
      </c>
      <c r="Q359" s="5">
        <v>0.22977237697435479</v>
      </c>
      <c r="R359" s="5">
        <v>0.25405685431285885</v>
      </c>
    </row>
    <row r="360" spans="1:18">
      <c r="A360" t="s">
        <v>1060</v>
      </c>
      <c r="B360" t="s">
        <v>75</v>
      </c>
      <c r="C360" s="10">
        <v>121.01</v>
      </c>
      <c r="D360" s="10">
        <v>50</v>
      </c>
      <c r="E360" s="10">
        <v>0.19</v>
      </c>
      <c r="F360" s="10">
        <v>114.78280979140145</v>
      </c>
      <c r="G360" s="10">
        <v>112.46021423715182</v>
      </c>
      <c r="H360" s="10">
        <v>108.994255</v>
      </c>
      <c r="I360" s="10">
        <v>149.39506172839506</v>
      </c>
      <c r="J360" s="10">
        <v>141.70717258197709</v>
      </c>
      <c r="K360" s="10">
        <v>138.83977066315038</v>
      </c>
      <c r="L360" s="10">
        <v>134.56080864197529</v>
      </c>
      <c r="M360" s="10">
        <v>7.6878891464179731</v>
      </c>
      <c r="N360" s="10">
        <v>10.555291065244688</v>
      </c>
      <c r="O360" s="10">
        <v>14.834253086419778</v>
      </c>
      <c r="P360" s="5">
        <v>0.14605592790304137</v>
      </c>
      <c r="Q360" s="5">
        <v>0.12841976458178198</v>
      </c>
      <c r="R360" s="5">
        <v>0.10070397747110596</v>
      </c>
    </row>
    <row r="361" spans="1:18">
      <c r="A361" t="s">
        <v>1061</v>
      </c>
      <c r="B361" t="s">
        <v>75</v>
      </c>
      <c r="C361" s="10">
        <v>53.84</v>
      </c>
      <c r="D361" s="10">
        <v>50</v>
      </c>
      <c r="E361" s="10">
        <v>0.19</v>
      </c>
      <c r="F361" s="10">
        <v>51.820830010346512</v>
      </c>
      <c r="G361" s="10">
        <v>52.159988389510886</v>
      </c>
      <c r="H361" s="10">
        <v>51.776375000000002</v>
      </c>
      <c r="I361" s="10">
        <v>66.46913580246914</v>
      </c>
      <c r="J361" s="10">
        <v>63.976333346106799</v>
      </c>
      <c r="K361" s="10">
        <v>64.395047394457876</v>
      </c>
      <c r="L361" s="10">
        <v>63.921450617283945</v>
      </c>
      <c r="M361" s="10">
        <v>2.492802456362341</v>
      </c>
      <c r="N361" s="10">
        <v>2.0740884080112636</v>
      </c>
      <c r="O361" s="10">
        <v>2.5476851851851947</v>
      </c>
      <c r="P361" s="5">
        <v>0.15843879784841763</v>
      </c>
      <c r="Q361" s="5">
        <v>0.1639108568365816</v>
      </c>
      <c r="R361" s="5">
        <v>0.15771623641091123</v>
      </c>
    </row>
    <row r="362" spans="1:18">
      <c r="A362" t="s">
        <v>1062</v>
      </c>
      <c r="B362" t="s">
        <v>75</v>
      </c>
      <c r="C362" s="10">
        <v>64.05</v>
      </c>
      <c r="D362" s="10">
        <v>50</v>
      </c>
      <c r="E362" s="10">
        <v>0.19</v>
      </c>
      <c r="F362" s="10">
        <v>63.622713754273576</v>
      </c>
      <c r="G362" s="10">
        <v>63.311494634762717</v>
      </c>
      <c r="H362" s="10">
        <v>65.109120000000004</v>
      </c>
      <c r="I362" s="10">
        <v>79.074074074074062</v>
      </c>
      <c r="J362" s="10">
        <v>78.546560190461193</v>
      </c>
      <c r="K362" s="10">
        <v>78.162339055262606</v>
      </c>
      <c r="L362" s="10">
        <v>80.381629629629629</v>
      </c>
      <c r="M362" s="10">
        <v>0.52751388361286899</v>
      </c>
      <c r="N362" s="10">
        <v>0.91173501881145569</v>
      </c>
      <c r="O362" s="10">
        <v>1.3075555555555667</v>
      </c>
      <c r="P362" s="5">
        <v>0.1845600896501344</v>
      </c>
      <c r="Q362" s="5">
        <v>0.18055164706988688</v>
      </c>
      <c r="R362" s="5">
        <v>0.2031761449087317</v>
      </c>
    </row>
    <row r="363" spans="1:18">
      <c r="A363" t="s">
        <v>1063</v>
      </c>
      <c r="B363" t="s">
        <v>75</v>
      </c>
      <c r="C363" s="10">
        <v>75.48</v>
      </c>
      <c r="D363" s="10">
        <v>50</v>
      </c>
      <c r="E363" s="10">
        <v>0.19</v>
      </c>
      <c r="F363" s="10">
        <v>73.225415674010037</v>
      </c>
      <c r="G363" s="10">
        <v>72.547064904988105</v>
      </c>
      <c r="H363" s="10">
        <v>73.981200000000001</v>
      </c>
      <c r="I363" s="10">
        <v>93.18518518518519</v>
      </c>
      <c r="J363" s="10">
        <v>90.401747745691395</v>
      </c>
      <c r="K363" s="10">
        <v>89.564277660479135</v>
      </c>
      <c r="L363" s="10">
        <v>91.334814814814806</v>
      </c>
      <c r="M363" s="10">
        <v>2.7834374394937953</v>
      </c>
      <c r="N363" s="10">
        <v>3.6209075247060554</v>
      </c>
      <c r="O363" s="10">
        <v>1.8503703703703849</v>
      </c>
      <c r="P363" s="5">
        <v>0.16506039006754236</v>
      </c>
      <c r="Q363" s="5">
        <v>0.15725329370566585</v>
      </c>
      <c r="R363" s="5">
        <v>0.17359004720118071</v>
      </c>
    </row>
    <row r="364" spans="1:18">
      <c r="A364" t="s">
        <v>1064</v>
      </c>
      <c r="B364" t="s">
        <v>75</v>
      </c>
      <c r="C364" s="10">
        <v>51.83</v>
      </c>
      <c r="D364" s="10">
        <v>50</v>
      </c>
      <c r="E364" s="10">
        <v>0.19</v>
      </c>
      <c r="F364" s="10">
        <v>48.214264885323793</v>
      </c>
      <c r="G364" s="10">
        <v>49.021477121959506</v>
      </c>
      <c r="H364" s="10">
        <v>47.583992000000002</v>
      </c>
      <c r="I364" s="10">
        <v>63.987654320987644</v>
      </c>
      <c r="J364" s="10">
        <v>59.523783809041717</v>
      </c>
      <c r="K364" s="10">
        <v>60.520342125875928</v>
      </c>
      <c r="L364" s="10">
        <v>58.745669135802466</v>
      </c>
      <c r="M364" s="10">
        <v>4.4638705119459274</v>
      </c>
      <c r="N364" s="10">
        <v>3.4673121951117167</v>
      </c>
      <c r="O364" s="10">
        <v>5.2419851851851789</v>
      </c>
      <c r="P364" s="5">
        <v>0.12925562383137723</v>
      </c>
      <c r="Q364" s="5">
        <v>0.14359373758662722</v>
      </c>
      <c r="R364" s="5">
        <v>0.11772219531307922</v>
      </c>
    </row>
    <row r="365" spans="1:18">
      <c r="A365" t="s">
        <v>1526</v>
      </c>
      <c r="B365" t="s">
        <v>88</v>
      </c>
      <c r="C365" s="10">
        <v>107.03</v>
      </c>
      <c r="D365" s="10">
        <v>60</v>
      </c>
      <c r="E365" s="10">
        <v>0.19</v>
      </c>
      <c r="F365" s="10">
        <v>113.41828072922331</v>
      </c>
      <c r="G365" s="10">
        <v>113.17585973193472</v>
      </c>
      <c r="H365" s="10">
        <v>116.67333000000001</v>
      </c>
      <c r="I365" s="10">
        <v>132.1358024691358</v>
      </c>
      <c r="J365" s="10">
        <v>140.02256880151026</v>
      </c>
      <c r="K365" s="10">
        <v>139.72328361967249</v>
      </c>
      <c r="L365" s="10">
        <v>144.04114814814815</v>
      </c>
      <c r="M365" s="10">
        <v>7.8867663323744637</v>
      </c>
      <c r="N365" s="10">
        <v>7.5874811505366893</v>
      </c>
      <c r="O365" s="10">
        <v>11.905345679012356</v>
      </c>
      <c r="P365" s="5">
        <v>0.23562322191274074</v>
      </c>
      <c r="Q365" s="5">
        <v>0.23398593829689671</v>
      </c>
      <c r="R365" s="5">
        <v>0.25694843885916346</v>
      </c>
    </row>
    <row r="366" spans="1:18">
      <c r="A366" t="s">
        <v>1527</v>
      </c>
      <c r="B366" t="s">
        <v>88</v>
      </c>
      <c r="C366" s="10">
        <v>100.43</v>
      </c>
      <c r="D366" s="10">
        <v>60</v>
      </c>
      <c r="E366" s="10">
        <v>0.19</v>
      </c>
      <c r="F366" s="10">
        <v>94.174063897856399</v>
      </c>
      <c r="G366" s="10">
        <v>97.773641531592403</v>
      </c>
      <c r="H366" s="10">
        <v>100.59014999999999</v>
      </c>
      <c r="I366" s="10">
        <v>123.98765432098766</v>
      </c>
      <c r="J366" s="10">
        <v>116.26427641710666</v>
      </c>
      <c r="K366" s="10">
        <v>120.70819942171902</v>
      </c>
      <c r="L366" s="10">
        <v>124.18537037037035</v>
      </c>
      <c r="M366" s="10">
        <v>7.7233779038810013</v>
      </c>
      <c r="N366" s="10">
        <v>3.279454899268643</v>
      </c>
      <c r="O366" s="10">
        <v>0.19771604938269149</v>
      </c>
      <c r="P366" s="5">
        <v>0.13619210392967154</v>
      </c>
      <c r="Q366" s="5">
        <v>0.16799355403250554</v>
      </c>
      <c r="R366" s="5">
        <v>0.19128960439963535</v>
      </c>
    </row>
    <row r="367" spans="1:18">
      <c r="A367" t="s">
        <v>1528</v>
      </c>
      <c r="B367" t="s">
        <v>88</v>
      </c>
      <c r="C367" s="10">
        <v>60.32</v>
      </c>
      <c r="D367" s="10">
        <v>50</v>
      </c>
      <c r="E367" s="10">
        <v>0.19</v>
      </c>
      <c r="F367" s="10">
        <v>61.15432510024219</v>
      </c>
      <c r="G367" s="10">
        <v>60.770383464707969</v>
      </c>
      <c r="H367" s="10">
        <v>60.968124000000003</v>
      </c>
      <c r="I367" s="10">
        <v>74.469135802469125</v>
      </c>
      <c r="J367" s="10">
        <v>75.49916679042245</v>
      </c>
      <c r="K367" s="10">
        <v>75.025164771244405</v>
      </c>
      <c r="L367" s="10">
        <v>75.269288888888894</v>
      </c>
      <c r="M367" s="10">
        <v>1.0300309879533245</v>
      </c>
      <c r="N367" s="10">
        <v>0.55602896877527996</v>
      </c>
      <c r="O367" s="10">
        <v>0.80015308641976901</v>
      </c>
      <c r="P367" s="5">
        <v>0.20105078553460307</v>
      </c>
      <c r="Q367" s="5">
        <v>0.19600309864138532</v>
      </c>
      <c r="R367" s="5">
        <v>0.19861073632510004</v>
      </c>
    </row>
    <row r="368" spans="1:18">
      <c r="A368" t="s">
        <v>1529</v>
      </c>
      <c r="B368" t="s">
        <v>88</v>
      </c>
      <c r="C368" s="10">
        <v>106.9</v>
      </c>
      <c r="D368" s="10">
        <v>60</v>
      </c>
      <c r="E368" s="10">
        <v>0.19</v>
      </c>
      <c r="F368" s="10">
        <v>94.156250365165278</v>
      </c>
      <c r="G368" s="10">
        <v>100.46906127894759</v>
      </c>
      <c r="H368" s="10">
        <v>99.517240000000001</v>
      </c>
      <c r="I368" s="10">
        <v>131.97530864197532</v>
      </c>
      <c r="J368" s="10">
        <v>116.24228440143861</v>
      </c>
      <c r="K368" s="10">
        <v>124.03587812215751</v>
      </c>
      <c r="L368" s="10">
        <v>122.86079012345678</v>
      </c>
      <c r="M368" s="10">
        <v>15.733024240536707</v>
      </c>
      <c r="N368" s="10">
        <v>7.9394305198178046</v>
      </c>
      <c r="O368" s="10">
        <v>9.1145185185185369</v>
      </c>
      <c r="P368" s="5">
        <v>8.0369070941305285E-2</v>
      </c>
      <c r="Q368" s="5">
        <v>0.13815259247232586</v>
      </c>
      <c r="R368" s="5">
        <v>0.12990955135009763</v>
      </c>
    </row>
    <row r="369" spans="1:18">
      <c r="A369" t="s">
        <v>1530</v>
      </c>
      <c r="B369" t="s">
        <v>88</v>
      </c>
      <c r="C369" s="10">
        <v>145.69</v>
      </c>
      <c r="D369" s="10">
        <v>60</v>
      </c>
      <c r="E369" s="10">
        <v>0.19</v>
      </c>
      <c r="F369" s="10">
        <v>141.30810858598886</v>
      </c>
      <c r="G369" s="10">
        <v>143.56624650488408</v>
      </c>
      <c r="H369" s="10">
        <v>144.84461999999999</v>
      </c>
      <c r="I369" s="10">
        <v>179.86419753086417</v>
      </c>
      <c r="J369" s="10">
        <v>174.45445504443069</v>
      </c>
      <c r="K369" s="10">
        <v>177.24227963565934</v>
      </c>
      <c r="L369" s="10">
        <v>178.8205185185185</v>
      </c>
      <c r="M369" s="10">
        <v>5.4097424864334869</v>
      </c>
      <c r="N369" s="10">
        <v>2.621917895204831</v>
      </c>
      <c r="O369" s="10">
        <v>1.0436790123456774</v>
      </c>
      <c r="P369" s="5">
        <v>0.16488231863786371</v>
      </c>
      <c r="Q369" s="5">
        <v>0.17801779406425186</v>
      </c>
      <c r="R369" s="5">
        <v>0.18527246645405254</v>
      </c>
    </row>
    <row r="370" spans="1:18">
      <c r="A370" t="s">
        <v>1531</v>
      </c>
      <c r="B370" t="s">
        <v>88</v>
      </c>
      <c r="C370" s="10">
        <v>71.23</v>
      </c>
      <c r="D370" s="10">
        <v>50</v>
      </c>
      <c r="E370" s="10">
        <v>0.19</v>
      </c>
      <c r="F370" s="10">
        <v>61.199420194391124</v>
      </c>
      <c r="G370" s="10">
        <v>65.623149311007211</v>
      </c>
      <c r="H370" s="10">
        <v>65.302660000000003</v>
      </c>
      <c r="I370" s="10">
        <v>87.938271604938265</v>
      </c>
      <c r="J370" s="10">
        <v>75.554839746161875</v>
      </c>
      <c r="K370" s="10">
        <v>81.016233717292849</v>
      </c>
      <c r="L370" s="10">
        <v>80.620567901234566</v>
      </c>
      <c r="M370" s="10">
        <v>12.38343185877639</v>
      </c>
      <c r="N370" s="10">
        <v>6.9220378876454163</v>
      </c>
      <c r="O370" s="10">
        <v>7.3177037037036996</v>
      </c>
      <c r="P370" s="5">
        <v>5.7241068351039273E-2</v>
      </c>
      <c r="Q370" s="5">
        <v>0.12079349123339933</v>
      </c>
      <c r="R370" s="5">
        <v>0.11647856304781451</v>
      </c>
    </row>
    <row r="371" spans="1:18">
      <c r="A371" t="s">
        <v>1532</v>
      </c>
      <c r="B371" t="s">
        <v>88</v>
      </c>
      <c r="C371" s="10">
        <v>83.66</v>
      </c>
      <c r="D371" s="10">
        <v>60</v>
      </c>
      <c r="E371" s="10">
        <v>0.19</v>
      </c>
      <c r="F371" s="10">
        <v>85.016660471196502</v>
      </c>
      <c r="G371" s="10">
        <v>76.509848688601707</v>
      </c>
      <c r="H371" s="10">
        <v>79.637</v>
      </c>
      <c r="I371" s="10">
        <v>103.28395061728394</v>
      </c>
      <c r="J371" s="10">
        <v>104.9588400878969</v>
      </c>
      <c r="K371" s="10">
        <v>94.456603319261362</v>
      </c>
      <c r="L371" s="10">
        <v>98.317283950617281</v>
      </c>
      <c r="M371" s="10">
        <v>1.6748894706129676</v>
      </c>
      <c r="N371" s="10">
        <v>8.8273472980225733</v>
      </c>
      <c r="O371" s="10">
        <v>4.9666666666666544</v>
      </c>
      <c r="P371" s="5">
        <v>0.20292564275729771</v>
      </c>
      <c r="Q371" s="5">
        <v>0.11430226093107615</v>
      </c>
      <c r="R371" s="5">
        <v>0.14908145711164408</v>
      </c>
    </row>
    <row r="372" spans="1:18">
      <c r="A372" t="s">
        <v>1533</v>
      </c>
      <c r="B372" t="s">
        <v>88</v>
      </c>
      <c r="C372" s="10">
        <v>53.26</v>
      </c>
      <c r="D372" s="10">
        <v>50</v>
      </c>
      <c r="E372" s="10">
        <v>0.19</v>
      </c>
      <c r="F372" s="10">
        <v>50.007561615270816</v>
      </c>
      <c r="G372" s="10">
        <v>53.173821998011945</v>
      </c>
      <c r="H372" s="10">
        <v>54.036769999999997</v>
      </c>
      <c r="I372" s="10">
        <v>65.753086419753075</v>
      </c>
      <c r="J372" s="10">
        <v>61.737730389223223</v>
      </c>
      <c r="K372" s="10">
        <v>65.646693824706105</v>
      </c>
      <c r="L372" s="10">
        <v>66.712061728395057</v>
      </c>
      <c r="M372" s="10">
        <v>4.0153560305298512</v>
      </c>
      <c r="N372" s="10">
        <v>0.10639259504696952</v>
      </c>
      <c r="O372" s="10">
        <v>0.95897530864198188</v>
      </c>
      <c r="P372" s="5">
        <v>0.13731846531733011</v>
      </c>
      <c r="Q372" s="5">
        <v>0.18868724535894876</v>
      </c>
      <c r="R372" s="5">
        <v>0.20164362155621068</v>
      </c>
    </row>
    <row r="373" spans="1:18">
      <c r="A373" t="s">
        <v>1534</v>
      </c>
      <c r="B373" t="s">
        <v>88</v>
      </c>
      <c r="C373" s="10">
        <v>58.48</v>
      </c>
      <c r="D373" s="10">
        <v>50</v>
      </c>
      <c r="E373" s="10">
        <v>0.19</v>
      </c>
      <c r="F373" s="10">
        <v>58.910038947882263</v>
      </c>
      <c r="G373" s="10">
        <v>60.649918320164772</v>
      </c>
      <c r="H373" s="10">
        <v>61.100807000000003</v>
      </c>
      <c r="I373" s="10">
        <v>72.197530864197518</v>
      </c>
      <c r="J373" s="10">
        <v>72.72844314553366</v>
      </c>
      <c r="K373" s="10">
        <v>74.876442370573784</v>
      </c>
      <c r="L373" s="10">
        <v>75.433095061728395</v>
      </c>
      <c r="M373" s="10">
        <v>0.53091228133614266</v>
      </c>
      <c r="N373" s="10">
        <v>2.6789115063762665</v>
      </c>
      <c r="O373" s="10">
        <v>3.2355641975308771</v>
      </c>
      <c r="P373" s="5">
        <v>0.19591294037494705</v>
      </c>
      <c r="Q373" s="5">
        <v>0.2189799869153177</v>
      </c>
      <c r="R373" s="5">
        <v>0.22474346369926018</v>
      </c>
    </row>
    <row r="374" spans="1:18">
      <c r="A374" t="s">
        <v>1535</v>
      </c>
      <c r="B374" t="s">
        <v>88</v>
      </c>
      <c r="C374" s="10">
        <v>50.48</v>
      </c>
      <c r="D374" s="10">
        <v>50</v>
      </c>
      <c r="E374" s="10">
        <v>0.19</v>
      </c>
      <c r="F374" s="10">
        <v>51.396823940460912</v>
      </c>
      <c r="G374" s="10">
        <v>53.16550033860122</v>
      </c>
      <c r="H374" s="10">
        <v>52.970790000000001</v>
      </c>
      <c r="I374" s="10">
        <v>62.32098765432098</v>
      </c>
      <c r="J374" s="10">
        <v>63.452869062297417</v>
      </c>
      <c r="K374" s="10">
        <v>65.636420171112619</v>
      </c>
      <c r="L374" s="10">
        <v>65.396037037037033</v>
      </c>
      <c r="M374" s="10">
        <v>1.1318814079764365</v>
      </c>
      <c r="N374" s="10">
        <v>3.3154325167916383</v>
      </c>
      <c r="O374" s="10">
        <v>3.0750493827160525</v>
      </c>
      <c r="P374" s="5">
        <v>0.2044488965433664</v>
      </c>
      <c r="Q374" s="5">
        <v>0.23091478986209465</v>
      </c>
      <c r="R374" s="5">
        <v>0.22808778196436186</v>
      </c>
    </row>
    <row r="375" spans="1:18">
      <c r="A375" t="s">
        <v>1536</v>
      </c>
      <c r="B375" t="s">
        <v>88</v>
      </c>
      <c r="C375" s="10">
        <v>73.67</v>
      </c>
      <c r="D375" s="10">
        <v>50</v>
      </c>
      <c r="E375" s="10">
        <v>0.19</v>
      </c>
      <c r="F375" s="10">
        <v>77.839365958274215</v>
      </c>
      <c r="G375" s="10">
        <v>75.256663324047523</v>
      </c>
      <c r="H375" s="10">
        <v>76.723740000000006</v>
      </c>
      <c r="I375" s="10">
        <v>90.950617283950606</v>
      </c>
      <c r="J375" s="10">
        <v>96.097982664536062</v>
      </c>
      <c r="K375" s="10">
        <v>92.909460893885822</v>
      </c>
      <c r="L375" s="10">
        <v>94.720666666666673</v>
      </c>
      <c r="M375" s="10">
        <v>5.1473653805854553</v>
      </c>
      <c r="N375" s="10">
        <v>1.9588436099352151</v>
      </c>
      <c r="O375" s="10">
        <v>3.770049382716067</v>
      </c>
      <c r="P375" s="5">
        <v>0.23338661273284844</v>
      </c>
      <c r="Q375" s="5">
        <v>0.20707752158695314</v>
      </c>
      <c r="R375" s="5">
        <v>0.22223942680583614</v>
      </c>
    </row>
    <row r="376" spans="1:18">
      <c r="A376" t="s">
        <v>1537</v>
      </c>
      <c r="B376" t="s">
        <v>88</v>
      </c>
      <c r="C376" s="10">
        <v>44.04</v>
      </c>
      <c r="D376" s="10">
        <v>50</v>
      </c>
      <c r="E376" s="10">
        <v>0.19</v>
      </c>
      <c r="F376" s="10">
        <v>45.704865544064788</v>
      </c>
      <c r="G376" s="10">
        <v>47.503505261579555</v>
      </c>
      <c r="H376" s="10">
        <v>46.419643000000001</v>
      </c>
      <c r="I376" s="10">
        <v>54.370370370370367</v>
      </c>
      <c r="J376" s="10">
        <v>56.425759930944182</v>
      </c>
      <c r="K376" s="10">
        <v>58.64630279207352</v>
      </c>
      <c r="L376" s="10">
        <v>57.308201234567896</v>
      </c>
      <c r="M376" s="10">
        <v>2.0553895605738148</v>
      </c>
      <c r="N376" s="10">
        <v>4.2759324217031534</v>
      </c>
      <c r="O376" s="10">
        <v>2.9378308641975295</v>
      </c>
      <c r="P376" s="5">
        <v>0.21950541642863663</v>
      </c>
      <c r="Q376" s="5">
        <v>0.24905752104884044</v>
      </c>
      <c r="R376" s="5">
        <v>0.23152360305743835</v>
      </c>
    </row>
    <row r="377" spans="1:18">
      <c r="A377" t="s">
        <v>1538</v>
      </c>
      <c r="B377" t="s">
        <v>88</v>
      </c>
      <c r="C377" s="10">
        <v>63.27</v>
      </c>
      <c r="D377" s="10">
        <v>50</v>
      </c>
      <c r="E377" s="10">
        <v>0.19</v>
      </c>
      <c r="F377" s="10">
        <v>56.041760694444896</v>
      </c>
      <c r="G377" s="10">
        <v>60.071086063455738</v>
      </c>
      <c r="H377" s="10">
        <v>60.739150000000002</v>
      </c>
      <c r="I377" s="10">
        <v>78.111111111111114</v>
      </c>
      <c r="J377" s="10">
        <v>69.187358882030736</v>
      </c>
      <c r="K377" s="10">
        <v>74.161834646241644</v>
      </c>
      <c r="L377" s="10">
        <v>74.986604938271597</v>
      </c>
      <c r="M377" s="10">
        <v>8.9237522290803781</v>
      </c>
      <c r="N377" s="10">
        <v>3.9492764648694703</v>
      </c>
      <c r="O377" s="10">
        <v>3.1245061728395171</v>
      </c>
      <c r="P377" s="5">
        <v>8.5526590083027182E-2</v>
      </c>
      <c r="Q377" s="5">
        <v>0.14686576590501885</v>
      </c>
      <c r="R377" s="5">
        <v>0.15624930543150492</v>
      </c>
    </row>
    <row r="378" spans="1:18">
      <c r="A378" t="s">
        <v>1539</v>
      </c>
      <c r="B378" t="s">
        <v>88</v>
      </c>
      <c r="C378" s="10">
        <v>87.28</v>
      </c>
      <c r="D378" s="10">
        <v>99</v>
      </c>
      <c r="E378" s="10">
        <v>0.19</v>
      </c>
      <c r="F378" s="10">
        <v>88.08597486210121</v>
      </c>
      <c r="G378" s="10">
        <v>86.799194413919381</v>
      </c>
      <c r="H378" s="10">
        <v>90.051130000000001</v>
      </c>
      <c r="I378" s="10">
        <v>107.75308641975307</v>
      </c>
      <c r="J378" s="10">
        <v>108.74811711370519</v>
      </c>
      <c r="K378" s="10">
        <v>107.15949927644367</v>
      </c>
      <c r="L378" s="10">
        <v>111.17423456790122</v>
      </c>
      <c r="M378" s="10">
        <v>0.99503069395211696</v>
      </c>
      <c r="N378" s="10">
        <v>0.59358714330940643</v>
      </c>
      <c r="O378" s="10">
        <v>3.4211481481481485</v>
      </c>
      <c r="P378" s="5">
        <v>0.19741139141984859</v>
      </c>
      <c r="Q378" s="5">
        <v>0.18551317811927923</v>
      </c>
      <c r="R378" s="5">
        <v>0.21492600925718525</v>
      </c>
    </row>
    <row r="379" spans="1:18">
      <c r="A379" t="s">
        <v>1540</v>
      </c>
      <c r="B379" t="s">
        <v>88</v>
      </c>
      <c r="C379" s="10">
        <v>44.87</v>
      </c>
      <c r="D379" s="10">
        <v>50</v>
      </c>
      <c r="E379" s="10">
        <v>0.19</v>
      </c>
      <c r="F379" s="10">
        <v>45.102558025660841</v>
      </c>
      <c r="G379" s="10">
        <v>47.496281780027239</v>
      </c>
      <c r="H379" s="10">
        <v>44.742977000000003</v>
      </c>
      <c r="I379" s="10">
        <v>55.395061728395056</v>
      </c>
      <c r="J379" s="10">
        <v>55.682170402050417</v>
      </c>
      <c r="K379" s="10">
        <v>58.637384913613872</v>
      </c>
      <c r="L379" s="10">
        <v>55.238243209876543</v>
      </c>
      <c r="M379" s="10">
        <v>0.28710867365536075</v>
      </c>
      <c r="N379" s="10">
        <v>3.2423231852188152</v>
      </c>
      <c r="O379" s="10">
        <v>0.15681851851851292</v>
      </c>
      <c r="P379" s="5">
        <v>0.19417652587860113</v>
      </c>
      <c r="Q379" s="5">
        <v>0.23478852158731747</v>
      </c>
      <c r="R379" s="5">
        <v>0.18770045184968362</v>
      </c>
    </row>
    <row r="380" spans="1:18">
      <c r="A380" t="s">
        <v>1541</v>
      </c>
      <c r="B380" t="s">
        <v>88</v>
      </c>
      <c r="C380" s="10">
        <v>139.33000000000001</v>
      </c>
      <c r="D380" s="10">
        <v>139</v>
      </c>
      <c r="E380" s="10">
        <v>0.19</v>
      </c>
      <c r="F380" s="10">
        <v>135.48372145690647</v>
      </c>
      <c r="G380" s="10">
        <v>139.70063057081811</v>
      </c>
      <c r="H380" s="10">
        <v>136.54570000000001</v>
      </c>
      <c r="I380" s="10">
        <v>172.01234567901236</v>
      </c>
      <c r="J380" s="10">
        <v>167.2638536505018</v>
      </c>
      <c r="K380" s="10">
        <v>172.46991428496062</v>
      </c>
      <c r="L380" s="10">
        <v>168.57493827160494</v>
      </c>
      <c r="M380" s="10">
        <v>4.7484920285105545</v>
      </c>
      <c r="N380" s="10">
        <v>0.45756860594826776</v>
      </c>
      <c r="O380" s="10">
        <v>3.4374074074074201</v>
      </c>
      <c r="P380" s="5">
        <v>0.16700472361990198</v>
      </c>
      <c r="Q380" s="5">
        <v>0.19214895781884442</v>
      </c>
      <c r="R380" s="5">
        <v>0.17348330998339742</v>
      </c>
    </row>
    <row r="381" spans="1:18">
      <c r="A381" t="s">
        <v>1542</v>
      </c>
      <c r="B381" t="s">
        <v>88</v>
      </c>
      <c r="C381" s="10">
        <v>78.86</v>
      </c>
      <c r="D381" s="10">
        <v>50</v>
      </c>
      <c r="E381" s="10">
        <v>0.19</v>
      </c>
      <c r="F381" s="10">
        <v>88.992249566736703</v>
      </c>
      <c r="G381" s="10">
        <v>84.610327457264958</v>
      </c>
      <c r="H381" s="10">
        <v>81.251379999999997</v>
      </c>
      <c r="I381" s="10">
        <v>97.358024691358011</v>
      </c>
      <c r="J381" s="10">
        <v>109.86697477374901</v>
      </c>
      <c r="K381" s="10">
        <v>104.45719439168512</v>
      </c>
      <c r="L381" s="10">
        <v>100.31034567901233</v>
      </c>
      <c r="M381" s="10">
        <v>12.508950082390996</v>
      </c>
      <c r="N381" s="10">
        <v>7.0991697003271099</v>
      </c>
      <c r="O381" s="10">
        <v>2.9523209876543177</v>
      </c>
      <c r="P381" s="5">
        <v>0.28222288670096007</v>
      </c>
      <c r="Q381" s="5">
        <v>0.24504960659485872</v>
      </c>
      <c r="R381" s="5">
        <v>0.2138398141668485</v>
      </c>
    </row>
    <row r="382" spans="1:18">
      <c r="A382" t="s">
        <v>1543</v>
      </c>
      <c r="B382" t="s">
        <v>88</v>
      </c>
      <c r="C382" s="10">
        <v>66.23</v>
      </c>
      <c r="D382" s="10">
        <v>50</v>
      </c>
      <c r="E382" s="10">
        <v>0.19</v>
      </c>
      <c r="F382" s="10">
        <v>60.281282757642266</v>
      </c>
      <c r="G382" s="10">
        <v>61.960488403838092</v>
      </c>
      <c r="H382" s="10">
        <v>62.775191999999997</v>
      </c>
      <c r="I382" s="10">
        <v>81.76543209876543</v>
      </c>
      <c r="J382" s="10">
        <v>74.421336737829947</v>
      </c>
      <c r="K382" s="10">
        <v>76.494430128195177</v>
      </c>
      <c r="L382" s="10">
        <v>77.500237037037024</v>
      </c>
      <c r="M382" s="10">
        <v>7.3440953609354835</v>
      </c>
      <c r="N382" s="10">
        <v>5.2710019705702535</v>
      </c>
      <c r="O382" s="10">
        <v>4.2651950617284058</v>
      </c>
      <c r="P382" s="5">
        <v>0.11006704658754285</v>
      </c>
      <c r="Q382" s="5">
        <v>0.1341853271015061</v>
      </c>
      <c r="R382" s="5">
        <v>0.14542196860186407</v>
      </c>
    </row>
    <row r="383" spans="1:18">
      <c r="A383" t="s">
        <v>1544</v>
      </c>
      <c r="B383" t="s">
        <v>88</v>
      </c>
      <c r="C383" s="10">
        <v>88.99</v>
      </c>
      <c r="D383" s="10">
        <v>50</v>
      </c>
      <c r="E383" s="10">
        <v>0.19</v>
      </c>
      <c r="F383" s="10">
        <v>92.253185918142634</v>
      </c>
      <c r="G383" s="10">
        <v>92.611775437062946</v>
      </c>
      <c r="H383" s="10">
        <v>90.764139999999998</v>
      </c>
      <c r="I383" s="10">
        <v>109.86419753086419</v>
      </c>
      <c r="J383" s="10">
        <v>113.89282212116373</v>
      </c>
      <c r="K383" s="10">
        <v>114.3355252309419</v>
      </c>
      <c r="L383" s="10">
        <v>112.05449382716048</v>
      </c>
      <c r="M383" s="10">
        <v>4.0286245902995432</v>
      </c>
      <c r="N383" s="10">
        <v>4.4713277000777083</v>
      </c>
      <c r="O383" s="10">
        <v>2.190296296296296</v>
      </c>
      <c r="P383" s="5">
        <v>0.21865137466407777</v>
      </c>
      <c r="Q383" s="5">
        <v>0.22167672890597614</v>
      </c>
      <c r="R383" s="5">
        <v>0.20583283221765775</v>
      </c>
    </row>
    <row r="384" spans="1:18">
      <c r="A384" t="s">
        <v>1545</v>
      </c>
      <c r="B384" t="s">
        <v>88</v>
      </c>
      <c r="C384" s="10">
        <v>49.18</v>
      </c>
      <c r="D384" s="10">
        <v>50</v>
      </c>
      <c r="E384" s="10">
        <v>0.19</v>
      </c>
      <c r="F384" s="10">
        <v>46.699810395983832</v>
      </c>
      <c r="G384" s="10">
        <v>49.128961292913338</v>
      </c>
      <c r="H384" s="10">
        <v>50.274746</v>
      </c>
      <c r="I384" s="10">
        <v>60.716049382716044</v>
      </c>
      <c r="J384" s="10">
        <v>57.654086908622013</v>
      </c>
      <c r="K384" s="10">
        <v>60.653038633226338</v>
      </c>
      <c r="L384" s="10">
        <v>62.067587654320981</v>
      </c>
      <c r="M384" s="10">
        <v>3.061962474094031</v>
      </c>
      <c r="N384" s="10">
        <v>6.3010749489706086E-2</v>
      </c>
      <c r="O384" s="10">
        <v>1.3515382716049373</v>
      </c>
      <c r="P384" s="5">
        <v>0.14698154741489344</v>
      </c>
      <c r="Q384" s="5">
        <v>0.1891585136006903</v>
      </c>
      <c r="R384" s="5">
        <v>0.20763796598793349</v>
      </c>
    </row>
    <row r="385" spans="1:18">
      <c r="A385" t="s">
        <v>1546</v>
      </c>
      <c r="B385" t="s">
        <v>88</v>
      </c>
      <c r="C385" s="10">
        <v>113.47</v>
      </c>
      <c r="D385" s="10">
        <v>60</v>
      </c>
      <c r="E385" s="10">
        <v>0.19</v>
      </c>
      <c r="F385" s="10">
        <v>105.55547259477899</v>
      </c>
      <c r="G385" s="10">
        <v>105.93597164647096</v>
      </c>
      <c r="H385" s="10">
        <v>108.24117</v>
      </c>
      <c r="I385" s="10">
        <v>140.0864197530864</v>
      </c>
      <c r="J385" s="10">
        <v>130.31539826515925</v>
      </c>
      <c r="K385" s="10">
        <v>130.78515018082834</v>
      </c>
      <c r="L385" s="10">
        <v>133.63107407407406</v>
      </c>
      <c r="M385" s="10">
        <v>9.7710214879271575</v>
      </c>
      <c r="N385" s="10">
        <v>9.3012695722580645</v>
      </c>
      <c r="O385" s="10">
        <v>6.4553456790123391</v>
      </c>
      <c r="P385" s="5">
        <v>0.12926636828353219</v>
      </c>
      <c r="Q385" s="5">
        <v>0.13239385478311397</v>
      </c>
      <c r="R385" s="5">
        <v>0.15087115189165079</v>
      </c>
    </row>
    <row r="386" spans="1:18">
      <c r="A386" t="s">
        <v>1547</v>
      </c>
      <c r="B386" t="s">
        <v>88</v>
      </c>
      <c r="C386" s="10">
        <v>64.16</v>
      </c>
      <c r="D386" s="10">
        <v>50</v>
      </c>
      <c r="E386" s="10">
        <v>0.19</v>
      </c>
      <c r="F386" s="10">
        <v>60.037452906768323</v>
      </c>
      <c r="G386" s="10">
        <v>60.144188749903044</v>
      </c>
      <c r="H386" s="10">
        <v>61.720325000000003</v>
      </c>
      <c r="I386" s="10">
        <v>79.209876543209873</v>
      </c>
      <c r="J386" s="10">
        <v>74.120312230578165</v>
      </c>
      <c r="K386" s="10">
        <v>74.25208487642351</v>
      </c>
      <c r="L386" s="10">
        <v>76.197932098765435</v>
      </c>
      <c r="M386" s="10">
        <v>5.0895643126317083</v>
      </c>
      <c r="N386" s="10">
        <v>4.9577916667863633</v>
      </c>
      <c r="O386" s="10">
        <v>3.0119444444444383</v>
      </c>
      <c r="P386" s="5">
        <v>0.13438033287815893</v>
      </c>
      <c r="Q386" s="5">
        <v>0.13591651861654255</v>
      </c>
      <c r="R386" s="5">
        <v>0.15798239882891096</v>
      </c>
    </row>
    <row r="387" spans="1:18">
      <c r="A387" t="s">
        <v>1548</v>
      </c>
      <c r="B387" t="s">
        <v>88</v>
      </c>
      <c r="C387" s="10">
        <v>53.8</v>
      </c>
      <c r="D387" s="10">
        <v>50</v>
      </c>
      <c r="E387" s="10">
        <v>0.19</v>
      </c>
      <c r="F387" s="10">
        <v>46.728765642674979</v>
      </c>
      <c r="G387" s="10">
        <v>48.336744239125395</v>
      </c>
      <c r="H387" s="10">
        <v>48.188923000000003</v>
      </c>
      <c r="I387" s="10">
        <v>66.419753086419746</v>
      </c>
      <c r="J387" s="10">
        <v>57.68983412675923</v>
      </c>
      <c r="K387" s="10">
        <v>59.674992887809125</v>
      </c>
      <c r="L387" s="10">
        <v>59.492497530864199</v>
      </c>
      <c r="M387" s="10">
        <v>8.729918959660516</v>
      </c>
      <c r="N387" s="10">
        <v>6.7447601986106207</v>
      </c>
      <c r="O387" s="10">
        <v>6.9272555555555471</v>
      </c>
      <c r="P387" s="5">
        <v>6.7426682458685508E-2</v>
      </c>
      <c r="Q387" s="5">
        <v>9.8449829710986314E-2</v>
      </c>
      <c r="R387" s="5">
        <v>9.5684292425460588E-2</v>
      </c>
    </row>
    <row r="388" spans="1:18">
      <c r="A388" t="s">
        <v>1549</v>
      </c>
      <c r="B388" t="s">
        <v>88</v>
      </c>
      <c r="C388" s="10">
        <v>60.87</v>
      </c>
      <c r="D388" s="10">
        <v>50</v>
      </c>
      <c r="E388" s="10">
        <v>0.19</v>
      </c>
      <c r="F388" s="10">
        <v>60.257627250949184</v>
      </c>
      <c r="G388" s="10">
        <v>62.349913388802804</v>
      </c>
      <c r="H388" s="10">
        <v>63.034129999999998</v>
      </c>
      <c r="I388" s="10">
        <v>75.148148148148138</v>
      </c>
      <c r="J388" s="10">
        <v>74.392132408579229</v>
      </c>
      <c r="K388" s="10">
        <v>76.975201714571355</v>
      </c>
      <c r="L388" s="10">
        <v>77.819913580246904</v>
      </c>
      <c r="M388" s="10">
        <v>0.75601573956890888</v>
      </c>
      <c r="N388" s="10">
        <v>1.827053566423217</v>
      </c>
      <c r="O388" s="10">
        <v>2.6717654320987663</v>
      </c>
      <c r="P388" s="5">
        <v>0.18176831300267715</v>
      </c>
      <c r="Q388" s="5">
        <v>0.20922584619252324</v>
      </c>
      <c r="R388" s="5">
        <v>0.2178094629052546</v>
      </c>
    </row>
    <row r="389" spans="1:18">
      <c r="A389" t="s">
        <v>1550</v>
      </c>
      <c r="B389" t="s">
        <v>88</v>
      </c>
      <c r="C389" s="10">
        <v>56.91</v>
      </c>
      <c r="D389" s="10">
        <v>50</v>
      </c>
      <c r="E389" s="10">
        <v>0.19</v>
      </c>
      <c r="F389" s="10">
        <v>59.157143941796349</v>
      </c>
      <c r="G389" s="10">
        <v>60.133786655218273</v>
      </c>
      <c r="H389" s="10">
        <v>60.331634999999999</v>
      </c>
      <c r="I389" s="10">
        <v>70.259259259259252</v>
      </c>
      <c r="J389" s="10">
        <v>73.033511039254748</v>
      </c>
      <c r="K389" s="10">
        <v>74.239242784220082</v>
      </c>
      <c r="L389" s="10">
        <v>74.483499999999992</v>
      </c>
      <c r="M389" s="10">
        <v>2.7742517799954953</v>
      </c>
      <c r="N389" s="10">
        <v>3.9799835249608293</v>
      </c>
      <c r="O389" s="10">
        <v>4.2242407407407399</v>
      </c>
      <c r="P389" s="5">
        <v>0.22076866920157423</v>
      </c>
      <c r="Q389" s="5">
        <v>0.23342429332945058</v>
      </c>
      <c r="R389" s="5">
        <v>0.23593816080071423</v>
      </c>
    </row>
    <row r="390" spans="1:18">
      <c r="A390" t="s">
        <v>1551</v>
      </c>
      <c r="B390" t="s">
        <v>88</v>
      </c>
      <c r="C390" s="10">
        <v>80.92</v>
      </c>
      <c r="D390" s="10">
        <v>60</v>
      </c>
      <c r="E390" s="10">
        <v>0.19</v>
      </c>
      <c r="F390" s="10">
        <v>80.42758708384018</v>
      </c>
      <c r="G390" s="10">
        <v>75.694098528412852</v>
      </c>
      <c r="H390" s="10">
        <v>75.090289999999996</v>
      </c>
      <c r="I390" s="10">
        <v>99.901234567901227</v>
      </c>
      <c r="J390" s="10">
        <v>99.293317387457009</v>
      </c>
      <c r="K390" s="10">
        <v>93.449504356065248</v>
      </c>
      <c r="L390" s="10">
        <v>92.704061728395047</v>
      </c>
      <c r="M390" s="10">
        <v>0.60791718044421827</v>
      </c>
      <c r="N390" s="10">
        <v>6.4517302118359794</v>
      </c>
      <c r="O390" s="10">
        <v>7.1971728395061803</v>
      </c>
      <c r="P390" s="5">
        <v>0.18504082521245255</v>
      </c>
      <c r="Q390" s="5">
        <v>0.13407780429016294</v>
      </c>
      <c r="R390" s="5">
        <v>0.12711483735114071</v>
      </c>
    </row>
    <row r="391" spans="1:18">
      <c r="A391" t="s">
        <v>1552</v>
      </c>
      <c r="B391" t="s">
        <v>88</v>
      </c>
      <c r="C391" s="10">
        <v>47.25</v>
      </c>
      <c r="D391" s="10">
        <v>50</v>
      </c>
      <c r="E391" s="10">
        <v>0.19</v>
      </c>
      <c r="F391" s="10">
        <v>44.692663413880993</v>
      </c>
      <c r="G391" s="10">
        <v>47.96175894027575</v>
      </c>
      <c r="H391" s="10">
        <v>47.037399999999998</v>
      </c>
      <c r="I391" s="10">
        <v>58.333333333333329</v>
      </c>
      <c r="J391" s="10">
        <v>55.176127671458012</v>
      </c>
      <c r="K391" s="10">
        <v>59.212048074414504</v>
      </c>
      <c r="L391" s="10">
        <v>58.070864197530859</v>
      </c>
      <c r="M391" s="10">
        <v>3.1572056618753166</v>
      </c>
      <c r="N391" s="10">
        <v>0.87871474108117553</v>
      </c>
      <c r="O391" s="10">
        <v>0.26246913580246911</v>
      </c>
      <c r="P391" s="5">
        <v>0.14365139428873167</v>
      </c>
      <c r="Q391" s="5">
        <v>0.20202050872115163</v>
      </c>
      <c r="R391" s="5">
        <v>0.18633895580963228</v>
      </c>
    </row>
    <row r="392" spans="1:18">
      <c r="A392" t="s">
        <v>1553</v>
      </c>
      <c r="B392" t="s">
        <v>88</v>
      </c>
      <c r="C392" s="10">
        <v>125.36</v>
      </c>
      <c r="D392" s="10">
        <v>60</v>
      </c>
      <c r="E392" s="10">
        <v>0.19</v>
      </c>
      <c r="F392" s="10">
        <v>120.09895291164649</v>
      </c>
      <c r="G392" s="10">
        <v>118.57940882173381</v>
      </c>
      <c r="H392" s="10">
        <v>118.48609</v>
      </c>
      <c r="I392" s="10">
        <v>154.76543209876542</v>
      </c>
      <c r="J392" s="10">
        <v>148.2703122366006</v>
      </c>
      <c r="K392" s="10">
        <v>146.39433187868372</v>
      </c>
      <c r="L392" s="10">
        <v>146.27912345679013</v>
      </c>
      <c r="M392" s="10">
        <v>6.4951198621648132</v>
      </c>
      <c r="N392" s="10">
        <v>8.3711002200817006</v>
      </c>
      <c r="O392" s="10">
        <v>8.4863086419752847</v>
      </c>
      <c r="P392" s="5">
        <v>0.15451719154702892</v>
      </c>
      <c r="Q392" s="5">
        <v>0.14368269323510946</v>
      </c>
      <c r="R392" s="5">
        <v>0.14300826367044439</v>
      </c>
    </row>
    <row r="393" spans="1:18">
      <c r="A393" t="s">
        <v>1554</v>
      </c>
      <c r="B393" t="s">
        <v>88</v>
      </c>
      <c r="C393" s="10">
        <v>94.71</v>
      </c>
      <c r="D393" s="10">
        <v>50</v>
      </c>
      <c r="E393" s="10">
        <v>0.19</v>
      </c>
      <c r="F393" s="10">
        <v>103.67935800877814</v>
      </c>
      <c r="G393" s="10">
        <v>100.05709532866237</v>
      </c>
      <c r="H393" s="10">
        <v>101.47436500000001</v>
      </c>
      <c r="I393" s="10">
        <v>116.92592592592591</v>
      </c>
      <c r="J393" s="10">
        <v>127.99920741824461</v>
      </c>
      <c r="K393" s="10">
        <v>123.52727818353378</v>
      </c>
      <c r="L393" s="10">
        <v>125.2769938271605</v>
      </c>
      <c r="M393" s="10">
        <v>11.073281492318699</v>
      </c>
      <c r="N393" s="10">
        <v>6.6013522576078714</v>
      </c>
      <c r="O393" s="10">
        <v>8.3510679012345861</v>
      </c>
      <c r="P393" s="5">
        <v>0.26007354334211036</v>
      </c>
      <c r="Q393" s="5">
        <v>0.23328675744573427</v>
      </c>
      <c r="R393" s="5">
        <v>0.24399526914999672</v>
      </c>
    </row>
    <row r="394" spans="1:18">
      <c r="A394" t="s">
        <v>1555</v>
      </c>
      <c r="B394" t="s">
        <v>88</v>
      </c>
      <c r="C394" s="10">
        <v>149.26</v>
      </c>
      <c r="D394" s="10">
        <v>60</v>
      </c>
      <c r="E394" s="10">
        <v>0.19</v>
      </c>
      <c r="F394" s="10">
        <v>142.85545535424242</v>
      </c>
      <c r="G394" s="10">
        <v>157.44489525335774</v>
      </c>
      <c r="H394" s="10">
        <v>153.15792999999999</v>
      </c>
      <c r="I394" s="10">
        <v>184.27160493827159</v>
      </c>
      <c r="J394" s="10">
        <v>176.36475969659557</v>
      </c>
      <c r="K394" s="10">
        <v>194.37641389303423</v>
      </c>
      <c r="L394" s="10">
        <v>189.08386419753086</v>
      </c>
      <c r="M394" s="10">
        <v>7.9068452416760238</v>
      </c>
      <c r="N394" s="10">
        <v>10.104808954762632</v>
      </c>
      <c r="O394" s="10">
        <v>4.8122592592592639</v>
      </c>
      <c r="P394" s="5">
        <v>0.15368580289636394</v>
      </c>
      <c r="Q394" s="5">
        <v>0.23210847957027286</v>
      </c>
      <c r="R394" s="5">
        <v>0.2106148209237354</v>
      </c>
    </row>
    <row r="395" spans="1:18">
      <c r="A395" t="s">
        <v>1556</v>
      </c>
      <c r="B395" t="s">
        <v>88</v>
      </c>
      <c r="C395" s="10">
        <v>53.24</v>
      </c>
      <c r="D395" s="10">
        <v>50</v>
      </c>
      <c r="E395" s="10">
        <v>0.19</v>
      </c>
      <c r="F395" s="10">
        <v>46.018466670766514</v>
      </c>
      <c r="G395" s="10">
        <v>48.351552897275177</v>
      </c>
      <c r="H395" s="10">
        <v>48.673189999999998</v>
      </c>
      <c r="I395" s="10">
        <v>65.728395061728392</v>
      </c>
      <c r="J395" s="10">
        <v>56.812921815761122</v>
      </c>
      <c r="K395" s="10">
        <v>59.6932751818212</v>
      </c>
      <c r="L395" s="10">
        <v>60.090358024691355</v>
      </c>
      <c r="M395" s="10">
        <v>8.9154732459672701</v>
      </c>
      <c r="N395" s="10">
        <v>6.0351198799071923</v>
      </c>
      <c r="O395" s="10">
        <v>5.6380370370370372</v>
      </c>
      <c r="P395" s="5">
        <v>6.2889245994912288E-2</v>
      </c>
      <c r="Q395" s="5">
        <v>0.10810723925207671</v>
      </c>
      <c r="R395" s="5">
        <v>0.11400095206416502</v>
      </c>
    </row>
    <row r="396" spans="1:18">
      <c r="A396" t="s">
        <v>1557</v>
      </c>
      <c r="B396" t="s">
        <v>88</v>
      </c>
      <c r="C396" s="10">
        <v>86.82</v>
      </c>
      <c r="D396" s="10">
        <v>60</v>
      </c>
      <c r="E396" s="10">
        <v>0.19</v>
      </c>
      <c r="F396" s="10">
        <v>86.141116600074483</v>
      </c>
      <c r="G396" s="10">
        <v>79.243905478237352</v>
      </c>
      <c r="H396" s="10">
        <v>80.496229999999997</v>
      </c>
      <c r="I396" s="10">
        <v>107.18518518518518</v>
      </c>
      <c r="J396" s="10">
        <v>106.34705753095615</v>
      </c>
      <c r="K396" s="10">
        <v>97.831982071897954</v>
      </c>
      <c r="L396" s="10">
        <v>99.378061728395053</v>
      </c>
      <c r="M396" s="10">
        <v>0.83812765422902658</v>
      </c>
      <c r="N396" s="10">
        <v>9.353203113287222</v>
      </c>
      <c r="O396" s="10">
        <v>7.8071234567901229</v>
      </c>
      <c r="P396" s="5">
        <v>0.1836163405392961</v>
      </c>
      <c r="Q396" s="5">
        <v>0.11256014483898646</v>
      </c>
      <c r="R396" s="5">
        <v>0.12636653915344856</v>
      </c>
    </row>
    <row r="397" spans="1:18">
      <c r="A397" t="s">
        <v>1558</v>
      </c>
      <c r="B397" t="s">
        <v>88</v>
      </c>
      <c r="C397" s="10">
        <v>57.86</v>
      </c>
      <c r="D397" s="10">
        <v>50</v>
      </c>
      <c r="E397" s="10">
        <v>0.19</v>
      </c>
      <c r="F397" s="10">
        <v>50.905139377445167</v>
      </c>
      <c r="G397" s="10">
        <v>53.085352673949025</v>
      </c>
      <c r="H397" s="10">
        <v>53.676720000000003</v>
      </c>
      <c r="I397" s="10">
        <v>71.432098765432087</v>
      </c>
      <c r="J397" s="10">
        <v>62.845851083265636</v>
      </c>
      <c r="K397" s="10">
        <v>65.537472436974099</v>
      </c>
      <c r="L397" s="10">
        <v>66.26755555555556</v>
      </c>
      <c r="M397" s="10">
        <v>8.5862476821664515</v>
      </c>
      <c r="N397" s="10">
        <v>5.8946263284579885</v>
      </c>
      <c r="O397" s="10">
        <v>5.1645432098765269</v>
      </c>
      <c r="P397" s="5">
        <v>7.9334609959530816E-2</v>
      </c>
      <c r="Q397" s="5">
        <v>0.11714630045211692</v>
      </c>
      <c r="R397" s="5">
        <v>0.12687287896875971</v>
      </c>
    </row>
    <row r="398" spans="1:18">
      <c r="A398" t="s">
        <v>1559</v>
      </c>
      <c r="B398" t="s">
        <v>88</v>
      </c>
      <c r="C398" s="10">
        <v>65.98</v>
      </c>
      <c r="D398" s="10">
        <v>50</v>
      </c>
      <c r="E398" s="10">
        <v>0.19</v>
      </c>
      <c r="F398" s="10">
        <v>56.599574039973376</v>
      </c>
      <c r="G398" s="10">
        <v>61.33877958568808</v>
      </c>
      <c r="H398" s="10">
        <v>59.000369999999997</v>
      </c>
      <c r="I398" s="10">
        <v>81.456790123456784</v>
      </c>
      <c r="J398" s="10">
        <v>69.876017333300453</v>
      </c>
      <c r="K398" s="10">
        <v>75.726888377392683</v>
      </c>
      <c r="L398" s="10">
        <v>72.839962962962957</v>
      </c>
      <c r="M398" s="10">
        <v>11.580772790156331</v>
      </c>
      <c r="N398" s="10">
        <v>5.7299017460641011</v>
      </c>
      <c r="O398" s="10">
        <v>8.6168271604938269</v>
      </c>
      <c r="P398" s="5">
        <v>5.5756144697212788E-2</v>
      </c>
      <c r="Q398" s="5">
        <v>0.12871106401227084</v>
      </c>
      <c r="R398" s="5">
        <v>9.4178561931052174E-2</v>
      </c>
    </row>
    <row r="399" spans="1:18">
      <c r="A399" t="s">
        <v>1560</v>
      </c>
      <c r="B399" t="s">
        <v>88</v>
      </c>
      <c r="C399" s="10">
        <v>63.44</v>
      </c>
      <c r="D399" s="10">
        <v>50</v>
      </c>
      <c r="E399" s="10">
        <v>0.19</v>
      </c>
      <c r="F399" s="10">
        <v>58.929527584957121</v>
      </c>
      <c r="G399" s="10">
        <v>60.082275166510556</v>
      </c>
      <c r="H399" s="10">
        <v>58.483893999999999</v>
      </c>
      <c r="I399" s="10">
        <v>78.320987654320973</v>
      </c>
      <c r="J399" s="10">
        <v>72.752503191305081</v>
      </c>
      <c r="K399" s="10">
        <v>74.175648353716724</v>
      </c>
      <c r="L399" s="10">
        <v>72.20233827160493</v>
      </c>
      <c r="M399" s="10">
        <v>5.5684844630158921</v>
      </c>
      <c r="N399" s="10">
        <v>4.1453393006042489</v>
      </c>
      <c r="O399" s="10">
        <v>6.1186493827160433</v>
      </c>
      <c r="P399" s="5">
        <v>0.12800251239215168</v>
      </c>
      <c r="Q399" s="5">
        <v>0.14473278753860458</v>
      </c>
      <c r="R399" s="5">
        <v>0.12135809561517905</v>
      </c>
    </row>
    <row r="400" spans="1:18">
      <c r="A400" t="s">
        <v>1561</v>
      </c>
      <c r="B400" t="s">
        <v>88</v>
      </c>
      <c r="C400" s="10">
        <v>73.25</v>
      </c>
      <c r="D400" s="10">
        <v>60</v>
      </c>
      <c r="E400" s="10">
        <v>0.19</v>
      </c>
      <c r="F400" s="10">
        <v>78.937221985285845</v>
      </c>
      <c r="G400" s="10">
        <v>74.054053513863465</v>
      </c>
      <c r="H400" s="10">
        <v>74.038169999999994</v>
      </c>
      <c r="I400" s="10">
        <v>90.432098765432087</v>
      </c>
      <c r="J400" s="10">
        <v>97.453360475661526</v>
      </c>
      <c r="K400" s="10">
        <v>91.424757424522795</v>
      </c>
      <c r="L400" s="10">
        <v>91.405148148148129</v>
      </c>
      <c r="M400" s="10">
        <v>7.0212617102294388</v>
      </c>
      <c r="N400" s="10">
        <v>0.99265865909070783</v>
      </c>
      <c r="O400" s="10">
        <v>0.97304938271604158</v>
      </c>
      <c r="P400" s="5">
        <v>0.24835839787901609</v>
      </c>
      <c r="Q400" s="5">
        <v>0.19879470218476941</v>
      </c>
      <c r="R400" s="5">
        <v>0.19862281847322791</v>
      </c>
    </row>
    <row r="401" spans="1:18">
      <c r="A401" t="s">
        <v>1562</v>
      </c>
      <c r="B401" t="s">
        <v>88</v>
      </c>
      <c r="C401" s="10">
        <v>124.9</v>
      </c>
      <c r="D401" s="10">
        <v>60</v>
      </c>
      <c r="E401" s="10">
        <v>0.19</v>
      </c>
      <c r="F401" s="10">
        <v>122.20443557077746</v>
      </c>
      <c r="G401" s="10">
        <v>112.08411826923079</v>
      </c>
      <c r="H401" s="10">
        <v>119.69575500000001</v>
      </c>
      <c r="I401" s="10">
        <v>154.19753086419752</v>
      </c>
      <c r="J401" s="10">
        <v>150.8696735441697</v>
      </c>
      <c r="K401" s="10">
        <v>138.37545465337132</v>
      </c>
      <c r="L401" s="10">
        <v>147.77253703703704</v>
      </c>
      <c r="M401" s="10">
        <v>3.3278573200278174</v>
      </c>
      <c r="N401" s="10">
        <v>15.822076210826197</v>
      </c>
      <c r="O401" s="10">
        <v>6.4249938271604776</v>
      </c>
      <c r="P401" s="5">
        <v>0.17213315926322745</v>
      </c>
      <c r="Q401" s="5">
        <v>9.7383272829181661E-2</v>
      </c>
      <c r="R401" s="5">
        <v>0.15478205555410046</v>
      </c>
    </row>
    <row r="402" spans="1:18">
      <c r="A402" t="s">
        <v>1563</v>
      </c>
      <c r="B402" t="s">
        <v>88</v>
      </c>
      <c r="C402" s="10">
        <v>173.51</v>
      </c>
      <c r="D402" s="10">
        <v>60</v>
      </c>
      <c r="E402" s="10">
        <v>0.19</v>
      </c>
      <c r="F402" s="10">
        <v>178.56054603078803</v>
      </c>
      <c r="G402" s="10">
        <v>173.01126112637371</v>
      </c>
      <c r="H402" s="10">
        <v>178.41583</v>
      </c>
      <c r="I402" s="10">
        <v>214.20987654320984</v>
      </c>
      <c r="J402" s="10">
        <v>220.44511855652843</v>
      </c>
      <c r="K402" s="10">
        <v>213.59414953873295</v>
      </c>
      <c r="L402" s="10">
        <v>220.26645679012344</v>
      </c>
      <c r="M402" s="10">
        <v>6.2352420133185831</v>
      </c>
      <c r="N402" s="10">
        <v>0.61572700447689499</v>
      </c>
      <c r="O402" s="10">
        <v>6.0565802469135974</v>
      </c>
      <c r="P402" s="5">
        <v>0.21291067302310407</v>
      </c>
      <c r="Q402" s="5">
        <v>0.18766501622491369</v>
      </c>
      <c r="R402" s="5">
        <v>0.21227225185119503</v>
      </c>
    </row>
    <row r="403" spans="1:18">
      <c r="A403" t="s">
        <v>1564</v>
      </c>
      <c r="B403" t="s">
        <v>88</v>
      </c>
      <c r="C403" s="10">
        <v>73.430000000000007</v>
      </c>
      <c r="D403" s="10">
        <v>50</v>
      </c>
      <c r="E403" s="10">
        <v>0.19</v>
      </c>
      <c r="F403" s="10">
        <v>72.241989825903801</v>
      </c>
      <c r="G403" s="10">
        <v>77.214106368118593</v>
      </c>
      <c r="H403" s="10">
        <v>74.751980000000003</v>
      </c>
      <c r="I403" s="10">
        <v>90.65432098765433</v>
      </c>
      <c r="J403" s="10">
        <v>89.187641760375058</v>
      </c>
      <c r="K403" s="10">
        <v>95.326057244590842</v>
      </c>
      <c r="L403" s="10">
        <v>92.286395061728399</v>
      </c>
      <c r="M403" s="10">
        <v>1.4666792272792719</v>
      </c>
      <c r="N403" s="10">
        <v>4.6717362569365122</v>
      </c>
      <c r="O403" s="10">
        <v>1.6320740740740689</v>
      </c>
      <c r="P403" s="5">
        <v>0.17667965481935158</v>
      </c>
      <c r="Q403" s="5">
        <v>0.22969645317868531</v>
      </c>
      <c r="R403" s="5">
        <v>0.20432475500983382</v>
      </c>
    </row>
    <row r="404" spans="1:18">
      <c r="A404" t="s">
        <v>1565</v>
      </c>
      <c r="B404" t="s">
        <v>88</v>
      </c>
      <c r="C404" s="10">
        <v>166.64</v>
      </c>
      <c r="D404" s="10">
        <v>50</v>
      </c>
      <c r="E404" s="10">
        <v>0.19</v>
      </c>
      <c r="F404" s="10">
        <v>152.3121005955748</v>
      </c>
      <c r="G404" s="10">
        <v>160.39807745726478</v>
      </c>
      <c r="H404" s="10">
        <v>161.67142999999999</v>
      </c>
      <c r="I404" s="10">
        <v>205.72839506172838</v>
      </c>
      <c r="J404" s="10">
        <v>188.03963036490714</v>
      </c>
      <c r="K404" s="10">
        <v>198.02231784847501</v>
      </c>
      <c r="L404" s="10">
        <v>199.59435802469133</v>
      </c>
      <c r="M404" s="10">
        <v>17.688764696821238</v>
      </c>
      <c r="N404" s="10">
        <v>7.7060772132533657</v>
      </c>
      <c r="O404" s="10">
        <v>6.1340370370370465</v>
      </c>
      <c r="P404" s="5">
        <v>0.1138038312635444</v>
      </c>
      <c r="Q404" s="5">
        <v>0.15847869164165884</v>
      </c>
      <c r="R404" s="5">
        <v>0.1651066610841507</v>
      </c>
    </row>
    <row r="405" spans="1:18">
      <c r="A405" t="s">
        <v>1566</v>
      </c>
      <c r="B405" t="s">
        <v>88</v>
      </c>
      <c r="C405" s="10">
        <v>73.819999999999993</v>
      </c>
      <c r="D405" s="10">
        <v>50</v>
      </c>
      <c r="E405" s="10">
        <v>0.19</v>
      </c>
      <c r="F405" s="10">
        <v>62.752440047233875</v>
      </c>
      <c r="G405" s="10">
        <v>64.962338512062985</v>
      </c>
      <c r="H405" s="10">
        <v>65.739075</v>
      </c>
      <c r="I405" s="10">
        <v>91.135802469135783</v>
      </c>
      <c r="J405" s="10">
        <v>77.472148206461569</v>
      </c>
      <c r="K405" s="10">
        <v>80.200417916127137</v>
      </c>
      <c r="L405" s="10">
        <v>81.159351851851852</v>
      </c>
      <c r="M405" s="10">
        <v>13.663654262674214</v>
      </c>
      <c r="N405" s="10">
        <v>10.935384553008646</v>
      </c>
      <c r="O405" s="10">
        <v>9.9764506172839305</v>
      </c>
      <c r="P405" s="5">
        <v>4.714143458018849E-2</v>
      </c>
      <c r="Q405" s="5">
        <v>7.9555918558924799E-2</v>
      </c>
      <c r="R405" s="5">
        <v>9.0431375859791233E-2</v>
      </c>
    </row>
    <row r="406" spans="1:18">
      <c r="A406" t="s">
        <v>1567</v>
      </c>
      <c r="B406" t="s">
        <v>88</v>
      </c>
      <c r="C406" s="10">
        <v>59.98</v>
      </c>
      <c r="D406" s="10">
        <v>50</v>
      </c>
      <c r="E406" s="10">
        <v>0.19</v>
      </c>
      <c r="F406" s="10">
        <v>55.144925011601238</v>
      </c>
      <c r="G406" s="10">
        <v>56.009187821818124</v>
      </c>
      <c r="H406" s="10">
        <v>55.638184000000003</v>
      </c>
      <c r="I406" s="10">
        <v>74.049382716049379</v>
      </c>
      <c r="J406" s="10">
        <v>68.080154335310169</v>
      </c>
      <c r="K406" s="10">
        <v>69.147145459034718</v>
      </c>
      <c r="L406" s="10">
        <v>68.689116049382719</v>
      </c>
      <c r="M406" s="10">
        <v>5.9692283807392101</v>
      </c>
      <c r="N406" s="10">
        <v>4.9022372570146615</v>
      </c>
      <c r="O406" s="10">
        <v>5.3602666666666607</v>
      </c>
      <c r="P406" s="5">
        <v>0.11897967057205951</v>
      </c>
      <c r="Q406" s="5">
        <v>0.13257445984470423</v>
      </c>
      <c r="R406" s="5">
        <v>0.12679033521295383</v>
      </c>
    </row>
    <row r="407" spans="1:18">
      <c r="A407" t="s">
        <v>1568</v>
      </c>
      <c r="B407" t="s">
        <v>88</v>
      </c>
      <c r="C407" s="10">
        <v>91.5</v>
      </c>
      <c r="D407" s="10">
        <v>60</v>
      </c>
      <c r="E407" s="10">
        <v>0.19</v>
      </c>
      <c r="F407" s="10">
        <v>85.374892112452713</v>
      </c>
      <c r="G407" s="10">
        <v>81.350897015625222</v>
      </c>
      <c r="H407" s="10">
        <v>82.753389999999996</v>
      </c>
      <c r="I407" s="10">
        <v>112.96296296296296</v>
      </c>
      <c r="J407" s="10">
        <v>105.4011013733984</v>
      </c>
      <c r="K407" s="10">
        <v>100.4332061921299</v>
      </c>
      <c r="L407" s="10">
        <v>102.16467901234567</v>
      </c>
      <c r="M407" s="10">
        <v>7.5618615895645576</v>
      </c>
      <c r="N407" s="10">
        <v>12.52975677083306</v>
      </c>
      <c r="O407" s="10">
        <v>10.798283950617289</v>
      </c>
      <c r="P407" s="5">
        <v>0.13188762918284672</v>
      </c>
      <c r="Q407" s="5">
        <v>8.8946739139648429E-2</v>
      </c>
      <c r="R407" s="5">
        <v>0.10438714353575117</v>
      </c>
    </row>
    <row r="408" spans="1:18">
      <c r="A408" t="s">
        <v>1569</v>
      </c>
      <c r="B408" t="s">
        <v>88</v>
      </c>
      <c r="C408" s="10">
        <v>94.05</v>
      </c>
      <c r="D408" s="10">
        <v>60</v>
      </c>
      <c r="E408" s="10">
        <v>0.19</v>
      </c>
      <c r="F408" s="10">
        <v>83.045262397838172</v>
      </c>
      <c r="G408" s="10">
        <v>91.484892976983858</v>
      </c>
      <c r="H408" s="10">
        <v>91.596694999999997</v>
      </c>
      <c r="I408" s="10">
        <v>116.1111111111111</v>
      </c>
      <c r="J408" s="10">
        <v>102.52501530597304</v>
      </c>
      <c r="K408" s="10">
        <v>112.94431231726402</v>
      </c>
      <c r="L408" s="10">
        <v>113.08233950617283</v>
      </c>
      <c r="M408" s="10">
        <v>13.586095805138058</v>
      </c>
      <c r="N408" s="10">
        <v>3.1667987938470787</v>
      </c>
      <c r="O408" s="10">
        <v>3.0287716049382709</v>
      </c>
      <c r="P408" s="5">
        <v>8.2662902128621249E-2</v>
      </c>
      <c r="Q408" s="5">
        <v>0.16728874548537978</v>
      </c>
      <c r="R408" s="5">
        <v>0.16830514463431234</v>
      </c>
    </row>
    <row r="409" spans="1:18">
      <c r="A409" t="s">
        <v>1570</v>
      </c>
      <c r="B409" t="s">
        <v>88</v>
      </c>
      <c r="C409" s="10">
        <v>48.61</v>
      </c>
      <c r="D409" s="10">
        <v>50</v>
      </c>
      <c r="E409" s="10">
        <v>0.19</v>
      </c>
      <c r="F409" s="10">
        <v>48.419614082540008</v>
      </c>
      <c r="G409" s="10">
        <v>53.305899732880889</v>
      </c>
      <c r="H409" s="10">
        <v>55.308390000000003</v>
      </c>
      <c r="I409" s="10">
        <v>60.012345679012341</v>
      </c>
      <c r="J409" s="10">
        <v>59.777301336469144</v>
      </c>
      <c r="K409" s="10">
        <v>65.809752756643064</v>
      </c>
      <c r="L409" s="10">
        <v>68.281962962962965</v>
      </c>
      <c r="M409" s="10">
        <v>0.23504434254319762</v>
      </c>
      <c r="N409" s="10">
        <v>5.7974070776307229</v>
      </c>
      <c r="O409" s="10">
        <v>8.2696172839506232</v>
      </c>
      <c r="P409" s="5">
        <v>0.18681508008552669</v>
      </c>
      <c r="Q409" s="5">
        <v>0.26135568112899288</v>
      </c>
      <c r="R409" s="5">
        <v>0.28809896654015787</v>
      </c>
    </row>
    <row r="410" spans="1:18">
      <c r="A410" t="s">
        <v>1571</v>
      </c>
      <c r="B410" t="s">
        <v>88</v>
      </c>
      <c r="C410" s="10">
        <v>69.72</v>
      </c>
      <c r="D410" s="10">
        <v>60</v>
      </c>
      <c r="E410" s="10">
        <v>0.19</v>
      </c>
      <c r="F410" s="10">
        <v>81.591067091499454</v>
      </c>
      <c r="G410" s="10">
        <v>75.890380643797428</v>
      </c>
      <c r="H410" s="10">
        <v>75.314880000000002</v>
      </c>
      <c r="I410" s="10">
        <v>86.074074074074062</v>
      </c>
      <c r="J410" s="10">
        <v>100.72971245864129</v>
      </c>
      <c r="K410" s="10">
        <v>93.691827955305456</v>
      </c>
      <c r="L410" s="10">
        <v>92.981333333333325</v>
      </c>
      <c r="M410" s="10">
        <v>14.655638384567226</v>
      </c>
      <c r="N410" s="10">
        <v>7.6177538812313941</v>
      </c>
      <c r="O410" s="10">
        <v>6.9072592592592628</v>
      </c>
      <c r="P410" s="5">
        <v>0.30785069967685647</v>
      </c>
      <c r="Q410" s="5">
        <v>0.25585825870257251</v>
      </c>
      <c r="R410" s="5">
        <v>0.25017207754961562</v>
      </c>
    </row>
    <row r="411" spans="1:18">
      <c r="A411" t="s">
        <v>1572</v>
      </c>
      <c r="B411" t="s">
        <v>88</v>
      </c>
      <c r="C411" s="10">
        <v>48.31</v>
      </c>
      <c r="D411" s="10">
        <v>50</v>
      </c>
      <c r="E411" s="10">
        <v>0.19</v>
      </c>
      <c r="F411" s="10">
        <v>55.129680591500573</v>
      </c>
      <c r="G411" s="10">
        <v>60.018744370251213</v>
      </c>
      <c r="H411" s="10">
        <v>57.517547999999998</v>
      </c>
      <c r="I411" s="10">
        <v>59.641975308641975</v>
      </c>
      <c r="J411" s="10">
        <v>68.061334063580944</v>
      </c>
      <c r="K411" s="10">
        <v>74.097215271915076</v>
      </c>
      <c r="L411" s="10">
        <v>71.009318518518512</v>
      </c>
      <c r="M411" s="10">
        <v>8.419358754938969</v>
      </c>
      <c r="N411" s="10">
        <v>14.455239963273101</v>
      </c>
      <c r="O411" s="10">
        <v>11.367343209876537</v>
      </c>
      <c r="P411" s="5">
        <v>0.290199043779098</v>
      </c>
      <c r="Q411" s="5">
        <v>0.34801868298671612</v>
      </c>
      <c r="R411" s="5">
        <v>0.31966675630887453</v>
      </c>
    </row>
    <row r="412" spans="1:18">
      <c r="A412" t="s">
        <v>1573</v>
      </c>
      <c r="B412" t="s">
        <v>88</v>
      </c>
      <c r="C412" s="10">
        <v>52.46</v>
      </c>
      <c r="D412" s="10">
        <v>50</v>
      </c>
      <c r="E412" s="10">
        <v>0.19</v>
      </c>
      <c r="F412" s="10">
        <v>48.520224793473801</v>
      </c>
      <c r="G412" s="10">
        <v>48.887032885390511</v>
      </c>
      <c r="H412" s="10">
        <v>48.646346999999999</v>
      </c>
      <c r="I412" s="10">
        <v>64.76543209876543</v>
      </c>
      <c r="J412" s="10">
        <v>59.901512090708394</v>
      </c>
      <c r="K412" s="10">
        <v>60.354361586901859</v>
      </c>
      <c r="L412" s="10">
        <v>60.057218518518511</v>
      </c>
      <c r="M412" s="10">
        <v>4.8639200080570362</v>
      </c>
      <c r="N412" s="10">
        <v>4.4110705118635707</v>
      </c>
      <c r="O412" s="10">
        <v>4.7082135802469196</v>
      </c>
      <c r="P412" s="5">
        <v>0.12422911928232745</v>
      </c>
      <c r="Q412" s="5">
        <v>0.13080018377023306</v>
      </c>
      <c r="R412" s="5">
        <v>0.12649967324370714</v>
      </c>
    </row>
    <row r="413" spans="1:18">
      <c r="A413" t="s">
        <v>1574</v>
      </c>
      <c r="B413" t="s">
        <v>88</v>
      </c>
      <c r="C413" s="10">
        <v>62.57</v>
      </c>
      <c r="D413" s="10">
        <v>50</v>
      </c>
      <c r="E413" s="10">
        <v>0.19</v>
      </c>
      <c r="F413" s="10">
        <v>64.666937449322063</v>
      </c>
      <c r="G413" s="10">
        <v>67.674627051598051</v>
      </c>
      <c r="H413" s="10">
        <v>66.71172</v>
      </c>
      <c r="I413" s="10">
        <v>77.246913580246911</v>
      </c>
      <c r="J413" s="10">
        <v>79.83572524607662</v>
      </c>
      <c r="K413" s="10">
        <v>83.54892228592351</v>
      </c>
      <c r="L413" s="10">
        <v>82.360148148148141</v>
      </c>
      <c r="M413" s="10">
        <v>2.5888116658297093</v>
      </c>
      <c r="N413" s="10">
        <v>6.3020087056765988</v>
      </c>
      <c r="O413" s="10">
        <v>5.1132345679012303</v>
      </c>
      <c r="P413" s="5">
        <v>0.21626565291238603</v>
      </c>
      <c r="Q413" s="5">
        <v>0.25109746136675276</v>
      </c>
      <c r="R413" s="5">
        <v>0.24028791342810521</v>
      </c>
    </row>
    <row r="414" spans="1:18">
      <c r="A414" t="s">
        <v>1575</v>
      </c>
      <c r="B414" t="s">
        <v>88</v>
      </c>
      <c r="C414" s="10">
        <v>67.77</v>
      </c>
      <c r="D414" s="10">
        <v>50</v>
      </c>
      <c r="E414" s="10">
        <v>0.19</v>
      </c>
      <c r="F414" s="10">
        <v>76.942111648616489</v>
      </c>
      <c r="G414" s="10">
        <v>78.871194115286428</v>
      </c>
      <c r="H414" s="10">
        <v>75.380759999999995</v>
      </c>
      <c r="I414" s="10">
        <v>83.666666666666657</v>
      </c>
      <c r="J414" s="10">
        <v>94.990261294588251</v>
      </c>
      <c r="K414" s="10">
        <v>97.371844586773364</v>
      </c>
      <c r="L414" s="10">
        <v>93.062666666666658</v>
      </c>
      <c r="M414" s="10">
        <v>11.323594627921594</v>
      </c>
      <c r="N414" s="10">
        <v>13.705177920106706</v>
      </c>
      <c r="O414" s="10">
        <v>9.3960000000000008</v>
      </c>
      <c r="P414" s="5">
        <v>0.28655844213515219</v>
      </c>
      <c r="Q414" s="5">
        <v>0.30400825528568015</v>
      </c>
      <c r="R414" s="5">
        <v>0.27178102210696731</v>
      </c>
    </row>
    <row r="415" spans="1:18">
      <c r="A415" t="s">
        <v>1576</v>
      </c>
      <c r="B415" t="s">
        <v>88</v>
      </c>
      <c r="C415" s="10">
        <v>109.88</v>
      </c>
      <c r="D415" s="10">
        <v>50</v>
      </c>
      <c r="E415" s="10">
        <v>0.19</v>
      </c>
      <c r="F415" s="10">
        <v>112.50933718188026</v>
      </c>
      <c r="G415" s="10">
        <v>109.86453406593412</v>
      </c>
      <c r="H415" s="10">
        <v>111.02034</v>
      </c>
      <c r="I415" s="10">
        <v>135.6543209876543</v>
      </c>
      <c r="J415" s="10">
        <v>138.90041627392623</v>
      </c>
      <c r="K415" s="10">
        <v>135.63522724189397</v>
      </c>
      <c r="L415" s="10">
        <v>137.06214814814814</v>
      </c>
      <c r="M415" s="10">
        <v>3.2460952862719239</v>
      </c>
      <c r="N415" s="10">
        <v>1.9093745760329739E-2</v>
      </c>
      <c r="O415" s="10">
        <v>1.4078271604938379</v>
      </c>
      <c r="P415" s="5">
        <v>0.20892965660156784</v>
      </c>
      <c r="Q415" s="5">
        <v>0.18988597406160351</v>
      </c>
      <c r="R415" s="5">
        <v>0.19831987543904114</v>
      </c>
    </row>
    <row r="416" spans="1:18">
      <c r="A416" t="s">
        <v>1577</v>
      </c>
      <c r="B416" t="s">
        <v>88</v>
      </c>
      <c r="C416" s="10">
        <v>116.38</v>
      </c>
      <c r="D416" s="10">
        <v>60</v>
      </c>
      <c r="E416" s="10">
        <v>0.19</v>
      </c>
      <c r="F416" s="10">
        <v>118.58033495624454</v>
      </c>
      <c r="G416" s="10">
        <v>131.04610886197128</v>
      </c>
      <c r="H416" s="10">
        <v>128.13649000000001</v>
      </c>
      <c r="I416" s="10">
        <v>143.67901234567898</v>
      </c>
      <c r="J416" s="10">
        <v>146.39547525462288</v>
      </c>
      <c r="K416" s="10">
        <v>161.78531958268059</v>
      </c>
      <c r="L416" s="10">
        <v>158.19319753086421</v>
      </c>
      <c r="M416" s="10">
        <v>2.7164629089438961</v>
      </c>
      <c r="N416" s="10">
        <v>18.106307237001602</v>
      </c>
      <c r="O416" s="10">
        <v>14.514185185185227</v>
      </c>
      <c r="P416" s="5">
        <v>0.20503007488733882</v>
      </c>
      <c r="Q416" s="5">
        <v>0.28065166666420649</v>
      </c>
      <c r="R416" s="5">
        <v>0.26431729166297602</v>
      </c>
    </row>
    <row r="417" spans="1:18">
      <c r="A417" t="s">
        <v>1578</v>
      </c>
      <c r="B417" t="s">
        <v>88</v>
      </c>
      <c r="C417" s="10">
        <v>100.66</v>
      </c>
      <c r="D417" s="10">
        <v>50</v>
      </c>
      <c r="E417" s="10">
        <v>0.19</v>
      </c>
      <c r="F417" s="10">
        <v>99.521402790358096</v>
      </c>
      <c r="G417" s="10">
        <v>99.288035603451448</v>
      </c>
      <c r="H417" s="10">
        <v>99.905624000000003</v>
      </c>
      <c r="I417" s="10">
        <v>124.27160493827159</v>
      </c>
      <c r="J417" s="10">
        <v>122.86592937081245</v>
      </c>
      <c r="K417" s="10">
        <v>122.5778217326561</v>
      </c>
      <c r="L417" s="10">
        <v>123.34027654320987</v>
      </c>
      <c r="M417" s="10">
        <v>1.4056755674591415</v>
      </c>
      <c r="N417" s="10">
        <v>1.6937832056154889</v>
      </c>
      <c r="O417" s="10">
        <v>0.93132839506172616</v>
      </c>
      <c r="P417" s="5">
        <v>0.18073301105137457</v>
      </c>
      <c r="Q417" s="5">
        <v>0.17880740106851609</v>
      </c>
      <c r="R417" s="5">
        <v>0.18388378215824963</v>
      </c>
    </row>
    <row r="418" spans="1:18">
      <c r="A418" t="s">
        <v>1579</v>
      </c>
      <c r="B418" t="s">
        <v>88</v>
      </c>
      <c r="C418" s="10">
        <v>84.96</v>
      </c>
      <c r="D418" s="10">
        <v>50</v>
      </c>
      <c r="E418" s="10">
        <v>0.19</v>
      </c>
      <c r="F418" s="10">
        <v>81.084425868869118</v>
      </c>
      <c r="G418" s="10">
        <v>84.073063354700849</v>
      </c>
      <c r="H418" s="10">
        <v>82.285849999999996</v>
      </c>
      <c r="I418" s="10">
        <v>104.88888888888887</v>
      </c>
      <c r="J418" s="10">
        <v>100.10422946773964</v>
      </c>
      <c r="K418" s="10">
        <v>103.79390537617388</v>
      </c>
      <c r="L418" s="10">
        <v>101.58746913580246</v>
      </c>
      <c r="M418" s="10">
        <v>4.7846594211492288</v>
      </c>
      <c r="N418" s="10">
        <v>1.0949835127149896</v>
      </c>
      <c r="O418" s="10">
        <v>3.3014197530864067</v>
      </c>
      <c r="P418" s="5">
        <v>0.15128461153202469</v>
      </c>
      <c r="Q418" s="5">
        <v>0.18145482923987993</v>
      </c>
      <c r="R418" s="5">
        <v>0.16367637935319379</v>
      </c>
    </row>
    <row r="419" spans="1:18">
      <c r="A419" t="s">
        <v>1580</v>
      </c>
      <c r="B419" t="s">
        <v>88</v>
      </c>
      <c r="C419" s="10">
        <v>152.91999999999999</v>
      </c>
      <c r="D419" s="10">
        <v>50</v>
      </c>
      <c r="E419" s="10">
        <v>0.19</v>
      </c>
      <c r="F419" s="10">
        <v>158.21085985185147</v>
      </c>
      <c r="G419" s="10">
        <v>157.57742852564107</v>
      </c>
      <c r="H419" s="10">
        <v>158.75550000000001</v>
      </c>
      <c r="I419" s="10">
        <v>188.7901234567901</v>
      </c>
      <c r="J419" s="10">
        <v>195.3220491998166</v>
      </c>
      <c r="K419" s="10">
        <v>194.54003521684081</v>
      </c>
      <c r="L419" s="10">
        <v>195.99444444444444</v>
      </c>
      <c r="M419" s="10">
        <v>6.5319257430265054</v>
      </c>
      <c r="N419" s="10">
        <v>5.7499117600507077</v>
      </c>
      <c r="O419" s="10">
        <v>7.2043209876543415</v>
      </c>
      <c r="P419" s="5">
        <v>0.21708787806357108</v>
      </c>
      <c r="Q419" s="5">
        <v>0.21394072007054868</v>
      </c>
      <c r="R419" s="5">
        <v>0.21977380311233316</v>
      </c>
    </row>
    <row r="420" spans="1:18">
      <c r="A420" t="s">
        <v>1581</v>
      </c>
      <c r="B420" t="s">
        <v>88</v>
      </c>
      <c r="C420" s="10">
        <v>51.14</v>
      </c>
      <c r="D420" s="10">
        <v>50</v>
      </c>
      <c r="E420" s="10">
        <v>0.19</v>
      </c>
      <c r="F420" s="10">
        <v>50.338281443604757</v>
      </c>
      <c r="G420" s="10">
        <v>52.675542575004101</v>
      </c>
      <c r="H420" s="10">
        <v>53.029609999999998</v>
      </c>
      <c r="I420" s="10">
        <v>63.135802469135797</v>
      </c>
      <c r="J420" s="10">
        <v>62.146026473586119</v>
      </c>
      <c r="K420" s="10">
        <v>65.031534043214933</v>
      </c>
      <c r="L420" s="10">
        <v>65.468654320987653</v>
      </c>
      <c r="M420" s="10">
        <v>0.9897759955496781</v>
      </c>
      <c r="N420" s="10">
        <v>1.8957315740791358</v>
      </c>
      <c r="O420" s="10">
        <v>2.3328518518518564</v>
      </c>
      <c r="P420" s="5">
        <v>0.17709943978902659</v>
      </c>
      <c r="Q420" s="5">
        <v>0.2136122766838576</v>
      </c>
      <c r="R420" s="5">
        <v>0.21886282022439915</v>
      </c>
    </row>
    <row r="421" spans="1:18">
      <c r="A421" t="s">
        <v>1582</v>
      </c>
      <c r="B421" t="s">
        <v>88</v>
      </c>
      <c r="C421" s="10">
        <v>56.72</v>
      </c>
      <c r="D421" s="10">
        <v>50</v>
      </c>
      <c r="E421" s="10">
        <v>0.19</v>
      </c>
      <c r="F421" s="10">
        <v>52.629668774635597</v>
      </c>
      <c r="G421" s="10">
        <v>53.215089378834421</v>
      </c>
      <c r="H421" s="10">
        <v>52.650826000000002</v>
      </c>
      <c r="I421" s="10">
        <v>70.024691358024683</v>
      </c>
      <c r="J421" s="10">
        <v>64.974899721772331</v>
      </c>
      <c r="K421" s="10">
        <v>65.697641208437545</v>
      </c>
      <c r="L421" s="10">
        <v>65.001019753086425</v>
      </c>
      <c r="M421" s="10">
        <v>5.0497916362523512</v>
      </c>
      <c r="N421" s="10">
        <v>4.3270501495871372</v>
      </c>
      <c r="O421" s="10">
        <v>5.0236716049382579</v>
      </c>
      <c r="P421" s="5">
        <v>0.12704751768945341</v>
      </c>
      <c r="Q421" s="5">
        <v>0.13665089101074984</v>
      </c>
      <c r="R421" s="5">
        <v>0.12739830520417675</v>
      </c>
    </row>
    <row r="422" spans="1:18">
      <c r="A422" t="s">
        <v>1583</v>
      </c>
      <c r="B422" t="s">
        <v>88</v>
      </c>
      <c r="C422" s="10">
        <v>101.74</v>
      </c>
      <c r="D422" s="10">
        <v>60</v>
      </c>
      <c r="E422" s="10">
        <v>0.19</v>
      </c>
      <c r="F422" s="10">
        <v>93.384632473498343</v>
      </c>
      <c r="G422" s="10">
        <v>99.70780273811468</v>
      </c>
      <c r="H422" s="10">
        <v>100.84749600000001</v>
      </c>
      <c r="I422" s="10">
        <v>125.60493827160492</v>
      </c>
      <c r="J422" s="10">
        <v>115.28966972036832</v>
      </c>
      <c r="K422" s="10">
        <v>123.09605276310454</v>
      </c>
      <c r="L422" s="10">
        <v>124.50308148148149</v>
      </c>
      <c r="M422" s="10">
        <v>10.315268551236599</v>
      </c>
      <c r="N422" s="10">
        <v>2.5088855085003843</v>
      </c>
      <c r="O422" s="10">
        <v>1.1018567901234348</v>
      </c>
      <c r="P422" s="5">
        <v>0.11752717960969661</v>
      </c>
      <c r="Q422" s="5">
        <v>0.17349096322530963</v>
      </c>
      <c r="R422" s="5">
        <v>0.18283147059992455</v>
      </c>
    </row>
    <row r="423" spans="1:18">
      <c r="A423" t="s">
        <v>1584</v>
      </c>
      <c r="B423" t="s">
        <v>88</v>
      </c>
      <c r="C423" s="10">
        <v>99.53</v>
      </c>
      <c r="D423" s="10">
        <v>60</v>
      </c>
      <c r="E423" s="10">
        <v>0.19</v>
      </c>
      <c r="F423" s="10">
        <v>104.23134396224609</v>
      </c>
      <c r="G423" s="10">
        <v>92.611438761238716</v>
      </c>
      <c r="H423" s="10">
        <v>96.086389999999994</v>
      </c>
      <c r="I423" s="10">
        <v>122.87654320987653</v>
      </c>
      <c r="J423" s="10">
        <v>128.6806715583285</v>
      </c>
      <c r="K423" s="10">
        <v>114.33510958177618</v>
      </c>
      <c r="L423" s="10">
        <v>118.62517283950616</v>
      </c>
      <c r="M423" s="10">
        <v>5.8041283484519681</v>
      </c>
      <c r="N423" s="10">
        <v>8.54143362810035</v>
      </c>
      <c r="O423" s="10">
        <v>4.2513703703703669</v>
      </c>
      <c r="P423" s="5">
        <v>0.22653496601558418</v>
      </c>
      <c r="Q423" s="5">
        <v>0.12948874266121277</v>
      </c>
      <c r="R423" s="5">
        <v>0.1609706640035076</v>
      </c>
    </row>
    <row r="424" spans="1:18">
      <c r="A424" t="s">
        <v>1585</v>
      </c>
      <c r="B424" t="s">
        <v>88</v>
      </c>
      <c r="C424" s="10">
        <v>143.16999999999999</v>
      </c>
      <c r="D424" s="10">
        <v>60</v>
      </c>
      <c r="E424" s="10">
        <v>0.19</v>
      </c>
      <c r="F424" s="10">
        <v>137.10409514663917</v>
      </c>
      <c r="G424" s="10">
        <v>141.7725279151405</v>
      </c>
      <c r="H424" s="10">
        <v>144.73186999999999</v>
      </c>
      <c r="I424" s="10">
        <v>176.75308641975306</v>
      </c>
      <c r="J424" s="10">
        <v>169.26431499585081</v>
      </c>
      <c r="K424" s="10">
        <v>175.02781224091419</v>
      </c>
      <c r="L424" s="10">
        <v>178.68132098765429</v>
      </c>
      <c r="M424" s="10">
        <v>7.48877142390225</v>
      </c>
      <c r="N424" s="10">
        <v>1.7252741788388732</v>
      </c>
      <c r="O424" s="10">
        <v>1.928234567901228</v>
      </c>
      <c r="P424" s="5">
        <v>0.15416312054014739</v>
      </c>
      <c r="Q424" s="5">
        <v>0.18201571414869788</v>
      </c>
      <c r="R424" s="5">
        <v>0.19874109275310262</v>
      </c>
    </row>
    <row r="425" spans="1:18">
      <c r="A425" t="s">
        <v>1586</v>
      </c>
      <c r="B425" t="s">
        <v>88</v>
      </c>
      <c r="C425" s="10">
        <v>63.77</v>
      </c>
      <c r="D425" s="10">
        <v>50</v>
      </c>
      <c r="E425" s="10">
        <v>0.19</v>
      </c>
      <c r="F425" s="10">
        <v>59.889413685606122</v>
      </c>
      <c r="G425" s="10">
        <v>67.03147451392168</v>
      </c>
      <c r="H425" s="10">
        <v>65.798293999999999</v>
      </c>
      <c r="I425" s="10">
        <v>78.728395061728392</v>
      </c>
      <c r="J425" s="10">
        <v>73.937547760007547</v>
      </c>
      <c r="K425" s="10">
        <v>82.754906807310704</v>
      </c>
      <c r="L425" s="10">
        <v>81.232461728395052</v>
      </c>
      <c r="M425" s="10">
        <v>4.7908473017208451</v>
      </c>
      <c r="N425" s="10">
        <v>4.0265117455823116</v>
      </c>
      <c r="O425" s="10">
        <v>2.5040666666666596</v>
      </c>
      <c r="P425" s="5">
        <v>0.13751535002229437</v>
      </c>
      <c r="Q425" s="5">
        <v>0.2294112523323335</v>
      </c>
      <c r="R425" s="5">
        <v>0.21496900816303827</v>
      </c>
    </row>
    <row r="426" spans="1:18">
      <c r="A426" t="s">
        <v>1587</v>
      </c>
      <c r="B426" t="s">
        <v>88</v>
      </c>
      <c r="C426" s="10">
        <v>61.87</v>
      </c>
      <c r="D426" s="10">
        <v>50</v>
      </c>
      <c r="E426" s="10">
        <v>0.19</v>
      </c>
      <c r="F426" s="10">
        <v>62.678549453538537</v>
      </c>
      <c r="G426" s="10">
        <v>64.79461029011965</v>
      </c>
      <c r="H426" s="10">
        <v>62.073734000000002</v>
      </c>
      <c r="I426" s="10">
        <v>76.382716049382708</v>
      </c>
      <c r="J426" s="10">
        <v>77.380925251282136</v>
      </c>
      <c r="K426" s="10">
        <v>79.99334603718475</v>
      </c>
      <c r="L426" s="10">
        <v>76.634239506172833</v>
      </c>
      <c r="M426" s="10">
        <v>0.99820920189942797</v>
      </c>
      <c r="N426" s="10">
        <v>3.6106299878020423</v>
      </c>
      <c r="O426" s="10">
        <v>0.25152345679012456</v>
      </c>
      <c r="P426" s="5">
        <v>0.2004489504475799</v>
      </c>
      <c r="Q426" s="5">
        <v>0.22656066954319115</v>
      </c>
      <c r="R426" s="5">
        <v>0.19265852445738157</v>
      </c>
    </row>
    <row r="427" spans="1:18">
      <c r="A427" t="s">
        <v>1588</v>
      </c>
      <c r="B427" t="s">
        <v>88</v>
      </c>
      <c r="C427" s="10">
        <v>63.26</v>
      </c>
      <c r="D427" s="10">
        <v>50</v>
      </c>
      <c r="E427" s="10">
        <v>0.19</v>
      </c>
      <c r="F427" s="10">
        <v>56.868456608907358</v>
      </c>
      <c r="G427" s="10">
        <v>64.030243753890645</v>
      </c>
      <c r="H427" s="10">
        <v>63.696370000000002</v>
      </c>
      <c r="I427" s="10">
        <v>78.098765432098759</v>
      </c>
      <c r="J427" s="10">
        <v>70.20797112210785</v>
      </c>
      <c r="K427" s="10">
        <v>79.049683646778561</v>
      </c>
      <c r="L427" s="10">
        <v>78.637493827160498</v>
      </c>
      <c r="M427" s="10">
        <v>7.890794309990909</v>
      </c>
      <c r="N427" s="10">
        <v>0.95091821467980253</v>
      </c>
      <c r="O427" s="10">
        <v>0.53872839506173875</v>
      </c>
      <c r="P427" s="5">
        <v>9.8962710516498589E-2</v>
      </c>
      <c r="Q427" s="5">
        <v>0.19974379299646983</v>
      </c>
      <c r="R427" s="5">
        <v>0.19554913411863195</v>
      </c>
    </row>
    <row r="428" spans="1:18">
      <c r="A428" t="s">
        <v>1589</v>
      </c>
      <c r="B428" t="s">
        <v>88</v>
      </c>
      <c r="C428" s="10">
        <v>100.23</v>
      </c>
      <c r="D428" s="10">
        <v>60</v>
      </c>
      <c r="E428" s="10">
        <v>0.19</v>
      </c>
      <c r="F428" s="10">
        <v>94.02624431959579</v>
      </c>
      <c r="G428" s="10">
        <v>97.584963497494172</v>
      </c>
      <c r="H428" s="10">
        <v>101.66783</v>
      </c>
      <c r="I428" s="10">
        <v>123.74074074074073</v>
      </c>
      <c r="J428" s="10">
        <v>116.08178311061208</v>
      </c>
      <c r="K428" s="10">
        <v>120.47526357715329</v>
      </c>
      <c r="L428" s="10">
        <v>125.51583950617282</v>
      </c>
      <c r="M428" s="10">
        <v>7.6589576301286542</v>
      </c>
      <c r="N428" s="10">
        <v>3.2654771635874482</v>
      </c>
      <c r="O428" s="10">
        <v>1.7750987654320909</v>
      </c>
      <c r="P428" s="5">
        <v>0.13655702631227865</v>
      </c>
      <c r="Q428" s="5">
        <v>0.16804498264648376</v>
      </c>
      <c r="R428" s="5">
        <v>0.20145536695334196</v>
      </c>
    </row>
    <row r="429" spans="1:18">
      <c r="A429" t="s">
        <v>1590</v>
      </c>
      <c r="B429" t="s">
        <v>88</v>
      </c>
      <c r="C429" s="10">
        <v>63.22</v>
      </c>
      <c r="D429" s="10">
        <v>50</v>
      </c>
      <c r="E429" s="10">
        <v>0.19</v>
      </c>
      <c r="F429" s="10">
        <v>59.805797213677849</v>
      </c>
      <c r="G429" s="10">
        <v>60.252384572572367</v>
      </c>
      <c r="H429" s="10">
        <v>59.699286999999998</v>
      </c>
      <c r="I429" s="10">
        <v>78.049382716049379</v>
      </c>
      <c r="J429" s="10">
        <v>73.83431754775043</v>
      </c>
      <c r="K429" s="10">
        <v>74.385659966138718</v>
      </c>
      <c r="L429" s="10">
        <v>73.702823456790114</v>
      </c>
      <c r="M429" s="10">
        <v>4.2150651682989491</v>
      </c>
      <c r="N429" s="10">
        <v>3.6637227499106615</v>
      </c>
      <c r="O429" s="10">
        <v>4.3465592592592657</v>
      </c>
      <c r="P429" s="5">
        <v>0.14375859221405948</v>
      </c>
      <c r="Q429" s="5">
        <v>0.15010500641147054</v>
      </c>
      <c r="R429" s="5">
        <v>0.14223096165285851</v>
      </c>
    </row>
    <row r="430" spans="1:18">
      <c r="A430" t="s">
        <v>1591</v>
      </c>
      <c r="B430" t="s">
        <v>88</v>
      </c>
      <c r="C430" s="10">
        <v>57.15</v>
      </c>
      <c r="D430" s="10">
        <v>50</v>
      </c>
      <c r="E430" s="10">
        <v>0.19</v>
      </c>
      <c r="F430" s="10">
        <v>60.864958490383735</v>
      </c>
      <c r="G430" s="10">
        <v>60.650877038223392</v>
      </c>
      <c r="H430" s="10">
        <v>60.095764000000003</v>
      </c>
      <c r="I430" s="10">
        <v>70.555555555555543</v>
      </c>
      <c r="J430" s="10">
        <v>75.141924062202136</v>
      </c>
      <c r="K430" s="10">
        <v>74.8776259731153</v>
      </c>
      <c r="L430" s="10">
        <v>74.192301234567893</v>
      </c>
      <c r="M430" s="10">
        <v>4.5863685066465933</v>
      </c>
      <c r="N430" s="10">
        <v>4.3220704175597575</v>
      </c>
      <c r="O430" s="10">
        <v>3.6367456790123498</v>
      </c>
      <c r="P430" s="5">
        <v>0.23943922499653464</v>
      </c>
      <c r="Q430" s="5">
        <v>0.23675464790350564</v>
      </c>
      <c r="R430" s="5">
        <v>0.22970444306191026</v>
      </c>
    </row>
    <row r="431" spans="1:18">
      <c r="A431" t="s">
        <v>1592</v>
      </c>
      <c r="B431" t="s">
        <v>88</v>
      </c>
      <c r="C431" s="10">
        <v>68.28</v>
      </c>
      <c r="D431" s="10">
        <v>50</v>
      </c>
      <c r="E431" s="10">
        <v>0.19</v>
      </c>
      <c r="F431" s="10">
        <v>65.037340271328446</v>
      </c>
      <c r="G431" s="10">
        <v>64.078923054570495</v>
      </c>
      <c r="H431" s="10">
        <v>63.716698000000001</v>
      </c>
      <c r="I431" s="10">
        <v>84.296296296296291</v>
      </c>
      <c r="J431" s="10">
        <v>80.293012680652396</v>
      </c>
      <c r="K431" s="10">
        <v>79.109781548852453</v>
      </c>
      <c r="L431" s="10">
        <v>78.662590123456781</v>
      </c>
      <c r="M431" s="10">
        <v>4.0032836156438947</v>
      </c>
      <c r="N431" s="10">
        <v>5.1865147474438373</v>
      </c>
      <c r="O431" s="10">
        <v>5.6337061728395099</v>
      </c>
      <c r="P431" s="5">
        <v>0.14961467106025131</v>
      </c>
      <c r="Q431" s="5">
        <v>0.13689560679882254</v>
      </c>
      <c r="R431" s="5">
        <v>0.13198891756757378</v>
      </c>
    </row>
    <row r="432" spans="1:18">
      <c r="A432" t="s">
        <v>1593</v>
      </c>
      <c r="B432" t="s">
        <v>88</v>
      </c>
      <c r="C432" s="10">
        <v>51.2</v>
      </c>
      <c r="D432" s="10">
        <v>50</v>
      </c>
      <c r="E432" s="10">
        <v>0.19</v>
      </c>
      <c r="F432" s="10">
        <v>45.671147905896177</v>
      </c>
      <c r="G432" s="10">
        <v>48.611451996831128</v>
      </c>
      <c r="H432" s="10">
        <v>49.638652999999998</v>
      </c>
      <c r="I432" s="10">
        <v>63.209876543209873</v>
      </c>
      <c r="J432" s="10">
        <v>56.384133217155771</v>
      </c>
      <c r="K432" s="10">
        <v>60.014138267692751</v>
      </c>
      <c r="L432" s="10">
        <v>61.282287654320982</v>
      </c>
      <c r="M432" s="10">
        <v>6.8257433260541021</v>
      </c>
      <c r="N432" s="10">
        <v>3.1957382755171224</v>
      </c>
      <c r="O432" s="10">
        <v>1.9275888888888915</v>
      </c>
      <c r="P432" s="5">
        <v>9.1943121608162148E-2</v>
      </c>
      <c r="Q432" s="5">
        <v>0.14686769688131371</v>
      </c>
      <c r="R432" s="5">
        <v>0.16452205099119013</v>
      </c>
    </row>
    <row r="433" spans="1:18">
      <c r="A433" t="s">
        <v>1594</v>
      </c>
      <c r="B433" t="s">
        <v>88</v>
      </c>
      <c r="C433" s="10">
        <v>105.61</v>
      </c>
      <c r="D433" s="10">
        <v>60</v>
      </c>
      <c r="E433" s="10">
        <v>0.19</v>
      </c>
      <c r="F433" s="10">
        <v>97.608412395506861</v>
      </c>
      <c r="G433" s="10">
        <v>106.16390539456046</v>
      </c>
      <c r="H433" s="10">
        <v>103.50126</v>
      </c>
      <c r="I433" s="10">
        <v>130.38271604938271</v>
      </c>
      <c r="J433" s="10">
        <v>120.50421283395907</v>
      </c>
      <c r="K433" s="10">
        <v>131.06654986982772</v>
      </c>
      <c r="L433" s="10">
        <v>127.77933333333333</v>
      </c>
      <c r="M433" s="10">
        <v>9.8785032154236347</v>
      </c>
      <c r="N433" s="10">
        <v>0.68383382044501673</v>
      </c>
      <c r="O433" s="10">
        <v>2.6033827160493814</v>
      </c>
      <c r="P433" s="5">
        <v>0.12359910482533572</v>
      </c>
      <c r="Q433" s="5">
        <v>0.19422613851597209</v>
      </c>
      <c r="R433" s="5">
        <v>0.17349701829716851</v>
      </c>
    </row>
    <row r="434" spans="1:18">
      <c r="A434" t="s">
        <v>1595</v>
      </c>
      <c r="B434" t="s">
        <v>88</v>
      </c>
      <c r="C434" s="10">
        <v>58.97</v>
      </c>
      <c r="D434" s="10">
        <v>50</v>
      </c>
      <c r="E434" s="10">
        <v>0.19</v>
      </c>
      <c r="F434" s="10">
        <v>54.442789842704173</v>
      </c>
      <c r="G434" s="10">
        <v>59.563398950367734</v>
      </c>
      <c r="H434" s="10">
        <v>58.69782</v>
      </c>
      <c r="I434" s="10">
        <v>72.802469135802468</v>
      </c>
      <c r="J434" s="10">
        <v>67.213320793461932</v>
      </c>
      <c r="K434" s="10">
        <v>73.535060432552754</v>
      </c>
      <c r="L434" s="10">
        <v>72.466444444444434</v>
      </c>
      <c r="M434" s="10">
        <v>5.5891483423405361</v>
      </c>
      <c r="N434" s="10">
        <v>0.73259129675028589</v>
      </c>
      <c r="O434" s="10">
        <v>0.33602469135803403</v>
      </c>
      <c r="P434" s="5">
        <v>0.12264415291713707</v>
      </c>
      <c r="Q434" s="5">
        <v>0.19806960580269062</v>
      </c>
      <c r="R434" s="5">
        <v>0.18624405471957892</v>
      </c>
    </row>
    <row r="435" spans="1:18">
      <c r="A435" t="s">
        <v>1596</v>
      </c>
      <c r="B435" t="s">
        <v>88</v>
      </c>
      <c r="C435" s="10">
        <v>104.08</v>
      </c>
      <c r="D435" s="10">
        <v>50</v>
      </c>
      <c r="E435" s="10">
        <v>0.19</v>
      </c>
      <c r="F435" s="10">
        <v>107.66839035954652</v>
      </c>
      <c r="G435" s="10">
        <v>104.26018301282055</v>
      </c>
      <c r="H435" s="10">
        <v>99.487099999999998</v>
      </c>
      <c r="I435" s="10">
        <v>128.49382716049382</v>
      </c>
      <c r="J435" s="10">
        <v>132.92393871548953</v>
      </c>
      <c r="K435" s="10">
        <v>128.71627532446979</v>
      </c>
      <c r="L435" s="10">
        <v>122.82358024691356</v>
      </c>
      <c r="M435" s="10">
        <v>4.4301115549957046</v>
      </c>
      <c r="N435" s="10">
        <v>0.22244816397596878</v>
      </c>
      <c r="O435" s="10">
        <v>5.6702469135802573</v>
      </c>
      <c r="P435" s="5">
        <v>0.21699581726378955</v>
      </c>
      <c r="Q435" s="5">
        <v>0.19139984638590826</v>
      </c>
      <c r="R435" s="5">
        <v>0.15260571471075135</v>
      </c>
    </row>
    <row r="436" spans="1:18">
      <c r="A436" t="s">
        <v>1597</v>
      </c>
      <c r="B436" t="s">
        <v>88</v>
      </c>
      <c r="C436" s="10">
        <v>77.28</v>
      </c>
      <c r="D436" s="10">
        <v>60</v>
      </c>
      <c r="E436" s="10">
        <v>0.19</v>
      </c>
      <c r="F436" s="10">
        <v>74.386571380788993</v>
      </c>
      <c r="G436" s="10">
        <v>71.080428809464479</v>
      </c>
      <c r="H436" s="10">
        <v>70.392129999999995</v>
      </c>
      <c r="I436" s="10">
        <v>95.407407407407405</v>
      </c>
      <c r="J436" s="10">
        <v>91.835273309616042</v>
      </c>
      <c r="K436" s="10">
        <v>87.753615814153676</v>
      </c>
      <c r="L436" s="10">
        <v>86.903864197530851</v>
      </c>
      <c r="M436" s="10">
        <v>3.5721340977913627</v>
      </c>
      <c r="N436" s="10">
        <v>7.6537915932537288</v>
      </c>
      <c r="O436" s="10">
        <v>8.503543209876554</v>
      </c>
      <c r="P436" s="5">
        <v>0.15849327589567877</v>
      </c>
      <c r="Q436" s="5">
        <v>0.11935252715209939</v>
      </c>
      <c r="R436" s="5">
        <v>0.11074149908519589</v>
      </c>
    </row>
    <row r="437" spans="1:18">
      <c r="A437" t="s">
        <v>1598</v>
      </c>
      <c r="B437" t="s">
        <v>88</v>
      </c>
      <c r="C437" s="10">
        <v>85</v>
      </c>
      <c r="D437" s="10">
        <v>60</v>
      </c>
      <c r="E437" s="10">
        <v>0.19</v>
      </c>
      <c r="F437" s="10">
        <v>83.383247937965351</v>
      </c>
      <c r="G437" s="10">
        <v>90.135545054963345</v>
      </c>
      <c r="H437" s="10">
        <v>90.470794999999995</v>
      </c>
      <c r="I437" s="10">
        <v>104.93827160493827</v>
      </c>
      <c r="J437" s="10">
        <v>102.94228140489548</v>
      </c>
      <c r="K437" s="10">
        <v>111.27845068513993</v>
      </c>
      <c r="L437" s="10">
        <v>111.69233950617283</v>
      </c>
      <c r="M437" s="10">
        <v>1.9959902000427832</v>
      </c>
      <c r="N437" s="10">
        <v>6.3401790802016649</v>
      </c>
      <c r="O437" s="10">
        <v>6.7540679012345635</v>
      </c>
      <c r="P437" s="5">
        <v>0.17429457711670868</v>
      </c>
      <c r="Q437" s="5">
        <v>0.23615040039957297</v>
      </c>
      <c r="R437" s="5">
        <v>0.23898093301821868</v>
      </c>
    </row>
    <row r="438" spans="1:18">
      <c r="A438" t="s">
        <v>1599</v>
      </c>
      <c r="B438" t="s">
        <v>88</v>
      </c>
      <c r="C438" s="10">
        <v>82.79</v>
      </c>
      <c r="D438" s="10">
        <v>50</v>
      </c>
      <c r="E438" s="10">
        <v>0.19</v>
      </c>
      <c r="F438" s="10">
        <v>87.012143136037139</v>
      </c>
      <c r="G438" s="10">
        <v>86.589473902632392</v>
      </c>
      <c r="H438" s="10">
        <v>88.971770000000006</v>
      </c>
      <c r="I438" s="10">
        <v>102.20987654320987</v>
      </c>
      <c r="J438" s="10">
        <v>107.42239893337917</v>
      </c>
      <c r="K438" s="10">
        <v>106.90058506497826</v>
      </c>
      <c r="L438" s="10">
        <v>109.84169135802469</v>
      </c>
      <c r="M438" s="10">
        <v>5.2125223901692976</v>
      </c>
      <c r="N438" s="10">
        <v>4.6907085217683857</v>
      </c>
      <c r="O438" s="10">
        <v>7.6318148148148168</v>
      </c>
      <c r="P438" s="5">
        <v>0.22930412258485863</v>
      </c>
      <c r="Q438" s="5">
        <v>0.22554212449186239</v>
      </c>
      <c r="R438" s="5">
        <v>0.24627890397145066</v>
      </c>
    </row>
    <row r="439" spans="1:18">
      <c r="A439" t="s">
        <v>1600</v>
      </c>
      <c r="B439" t="s">
        <v>88</v>
      </c>
      <c r="C439" s="10">
        <v>80.56</v>
      </c>
      <c r="D439" s="10">
        <v>60</v>
      </c>
      <c r="E439" s="10">
        <v>0.19</v>
      </c>
      <c r="F439" s="10">
        <v>78.746857263966433</v>
      </c>
      <c r="G439" s="10">
        <v>74.264203589375597</v>
      </c>
      <c r="H439" s="10">
        <v>78.313630000000003</v>
      </c>
      <c r="I439" s="10">
        <v>99.456790123456784</v>
      </c>
      <c r="J439" s="10">
        <v>97.218342301193118</v>
      </c>
      <c r="K439" s="10">
        <v>91.684201962192091</v>
      </c>
      <c r="L439" s="10">
        <v>96.68349382716049</v>
      </c>
      <c r="M439" s="10">
        <v>2.2384478222636659</v>
      </c>
      <c r="N439" s="10">
        <v>7.772588161264693</v>
      </c>
      <c r="O439" s="10">
        <v>2.7732962962962944</v>
      </c>
      <c r="P439" s="5">
        <v>0.17134978756975447</v>
      </c>
      <c r="Q439" s="5">
        <v>0.12133172045037145</v>
      </c>
      <c r="R439" s="5">
        <v>0.166765734138489</v>
      </c>
    </row>
    <row r="440" spans="1:18">
      <c r="A440" t="s">
        <v>1601</v>
      </c>
      <c r="B440" t="s">
        <v>88</v>
      </c>
      <c r="C440" s="10">
        <v>76.73</v>
      </c>
      <c r="D440" s="10">
        <v>60</v>
      </c>
      <c r="E440" s="10">
        <v>0.19</v>
      </c>
      <c r="F440" s="10">
        <v>80.287209735661861</v>
      </c>
      <c r="G440" s="10">
        <v>79.388102857885528</v>
      </c>
      <c r="H440" s="10">
        <v>78.16865</v>
      </c>
      <c r="I440" s="10">
        <v>94.728395061728392</v>
      </c>
      <c r="J440" s="10">
        <v>99.120012019335618</v>
      </c>
      <c r="K440" s="10">
        <v>98.010003528253733</v>
      </c>
      <c r="L440" s="10">
        <v>96.504506172839498</v>
      </c>
      <c r="M440" s="10">
        <v>4.3916169576072264</v>
      </c>
      <c r="N440" s="10">
        <v>3.2816084665253413</v>
      </c>
      <c r="O440" s="10">
        <v>1.7761111111111063</v>
      </c>
      <c r="P440" s="5">
        <v>0.22588790662139885</v>
      </c>
      <c r="Q440" s="5">
        <v>0.21712073015199165</v>
      </c>
      <c r="R440" s="5">
        <v>0.20490759402906397</v>
      </c>
    </row>
    <row r="441" spans="1:18">
      <c r="A441" t="s">
        <v>1602</v>
      </c>
      <c r="B441" t="s">
        <v>88</v>
      </c>
      <c r="C441" s="10">
        <v>102.47</v>
      </c>
      <c r="D441" s="10">
        <v>60</v>
      </c>
      <c r="E441" s="10">
        <v>0.19</v>
      </c>
      <c r="F441" s="10">
        <v>88.269190289037056</v>
      </c>
      <c r="G441" s="10">
        <v>91.96531073937274</v>
      </c>
      <c r="H441" s="10">
        <v>95.621480000000005</v>
      </c>
      <c r="I441" s="10">
        <v>126.50617283950616</v>
      </c>
      <c r="J441" s="10">
        <v>108.97430899881117</v>
      </c>
      <c r="K441" s="10">
        <v>113.53742066589227</v>
      </c>
      <c r="L441" s="10">
        <v>118.05120987654321</v>
      </c>
      <c r="M441" s="10">
        <v>17.531863840694996</v>
      </c>
      <c r="N441" s="10">
        <v>12.968752173613893</v>
      </c>
      <c r="O441" s="10">
        <v>8.4549629629629521</v>
      </c>
      <c r="P441" s="5">
        <v>5.9686627596621203E-2</v>
      </c>
      <c r="Q441" s="5">
        <v>9.7478175926336064E-2</v>
      </c>
      <c r="R441" s="5">
        <v>0.13198687156902406</v>
      </c>
    </row>
    <row r="442" spans="1:18">
      <c r="A442" t="s">
        <v>1603</v>
      </c>
      <c r="B442" t="s">
        <v>88</v>
      </c>
      <c r="C442" s="10">
        <v>109.7</v>
      </c>
      <c r="D442" s="10">
        <v>60</v>
      </c>
      <c r="E442" s="10">
        <v>0.19</v>
      </c>
      <c r="F442" s="10">
        <v>100.69156380729433</v>
      </c>
      <c r="G442" s="10">
        <v>103.86898270751908</v>
      </c>
      <c r="H442" s="10">
        <v>104.143326</v>
      </c>
      <c r="I442" s="10">
        <v>135.4320987654321</v>
      </c>
      <c r="J442" s="10">
        <v>124.31057260159793</v>
      </c>
      <c r="K442" s="10">
        <v>128.23331198459144</v>
      </c>
      <c r="L442" s="10">
        <v>128.5720074074074</v>
      </c>
      <c r="M442" s="10">
        <v>11.121526163834176</v>
      </c>
      <c r="N442" s="10">
        <v>7.1987867808406634</v>
      </c>
      <c r="O442" s="10">
        <v>6.8600913580247038</v>
      </c>
      <c r="P442" s="5">
        <v>0.11753282360321228</v>
      </c>
      <c r="Q442" s="5">
        <v>0.14452806137315088</v>
      </c>
      <c r="R442" s="5">
        <v>0.1467816190160855</v>
      </c>
    </row>
    <row r="443" spans="1:18">
      <c r="A443" t="s">
        <v>1604</v>
      </c>
      <c r="B443" t="s">
        <v>88</v>
      </c>
      <c r="C443" s="10">
        <v>104.61</v>
      </c>
      <c r="D443" s="10">
        <v>50</v>
      </c>
      <c r="E443" s="10">
        <v>0.19</v>
      </c>
      <c r="F443" s="10">
        <v>109.17627453087471</v>
      </c>
      <c r="G443" s="10">
        <v>110.28981076701076</v>
      </c>
      <c r="H443" s="10">
        <v>106.69639599999999</v>
      </c>
      <c r="I443" s="10">
        <v>129.14814814814815</v>
      </c>
      <c r="J443" s="10">
        <v>134.78552411219098</v>
      </c>
      <c r="K443" s="10">
        <v>136.16026020618611</v>
      </c>
      <c r="L443" s="10">
        <v>131.72394567901233</v>
      </c>
      <c r="M443" s="10">
        <v>5.6373759640428318</v>
      </c>
      <c r="N443" s="10">
        <v>7.0121120580379568</v>
      </c>
      <c r="O443" s="10">
        <v>2.575797530864179</v>
      </c>
      <c r="P443" s="5">
        <v>0.22387807823541853</v>
      </c>
      <c r="Q443" s="5">
        <v>0.23171415917103763</v>
      </c>
      <c r="R443" s="5">
        <v>0.20583915505449679</v>
      </c>
    </row>
    <row r="444" spans="1:18">
      <c r="A444" t="s">
        <v>1605</v>
      </c>
      <c r="B444" t="s">
        <v>88</v>
      </c>
      <c r="C444" s="10">
        <v>97.98</v>
      </c>
      <c r="D444" s="10">
        <v>60</v>
      </c>
      <c r="E444" s="10">
        <v>0.19</v>
      </c>
      <c r="F444" s="10">
        <v>92.562076581186489</v>
      </c>
      <c r="G444" s="10">
        <v>97.524871066280156</v>
      </c>
      <c r="H444" s="10">
        <v>98.537270000000007</v>
      </c>
      <c r="I444" s="10">
        <v>120.96296296296296</v>
      </c>
      <c r="J444" s="10">
        <v>114.27416861874875</v>
      </c>
      <c r="K444" s="10">
        <v>120.40107539046932</v>
      </c>
      <c r="L444" s="10">
        <v>121.65095061728395</v>
      </c>
      <c r="M444" s="10">
        <v>6.6887943442142159</v>
      </c>
      <c r="N444" s="10">
        <v>0.56188757249364585</v>
      </c>
      <c r="O444" s="10">
        <v>0.68798765432099174</v>
      </c>
      <c r="P444" s="5">
        <v>0.14258838034613702</v>
      </c>
      <c r="Q444" s="5">
        <v>0.18621989311769979</v>
      </c>
      <c r="R444" s="5">
        <v>0.19458089309760662</v>
      </c>
    </row>
    <row r="445" spans="1:18">
      <c r="A445" t="s">
        <v>1606</v>
      </c>
      <c r="B445" t="s">
        <v>88</v>
      </c>
      <c r="C445" s="10">
        <v>77.09</v>
      </c>
      <c r="D445" s="10">
        <v>60</v>
      </c>
      <c r="E445" s="10">
        <v>0.19</v>
      </c>
      <c r="F445" s="10">
        <v>77.329548660381093</v>
      </c>
      <c r="G445" s="10">
        <v>80.257095293692714</v>
      </c>
      <c r="H445" s="10">
        <v>77.724699999999999</v>
      </c>
      <c r="I445" s="10">
        <v>95.172839506172835</v>
      </c>
      <c r="J445" s="10">
        <v>95.468578593063071</v>
      </c>
      <c r="K445" s="10">
        <v>99.082833695916918</v>
      </c>
      <c r="L445" s="10">
        <v>95.956419753086408</v>
      </c>
      <c r="M445" s="10">
        <v>0.29573908689023654</v>
      </c>
      <c r="N445" s="10">
        <v>3.9099941897440829</v>
      </c>
      <c r="O445" s="10">
        <v>0.78358024691357286</v>
      </c>
      <c r="P445" s="5">
        <v>0.19250918850905036</v>
      </c>
      <c r="Q445" s="5">
        <v>0.2219641170478879</v>
      </c>
      <c r="R445" s="5">
        <v>0.19661446104005534</v>
      </c>
    </row>
    <row r="446" spans="1:18">
      <c r="A446" t="s">
        <v>1607</v>
      </c>
      <c r="B446" t="s">
        <v>88</v>
      </c>
      <c r="C446" s="10">
        <v>106.7</v>
      </c>
      <c r="D446" s="10">
        <v>50</v>
      </c>
      <c r="E446" s="10">
        <v>0.19</v>
      </c>
      <c r="F446" s="10">
        <v>102.75161581782677</v>
      </c>
      <c r="G446" s="10">
        <v>104.66416622405367</v>
      </c>
      <c r="H446" s="10">
        <v>104.463005</v>
      </c>
      <c r="I446" s="10">
        <v>131.72839506172838</v>
      </c>
      <c r="J446" s="10">
        <v>126.85384668867502</v>
      </c>
      <c r="K446" s="10">
        <v>129.21502002969589</v>
      </c>
      <c r="L446" s="10">
        <v>128.96667283950615</v>
      </c>
      <c r="M446" s="10">
        <v>4.8745483730533579</v>
      </c>
      <c r="N446" s="10">
        <v>2.513375032032485</v>
      </c>
      <c r="O446" s="10">
        <v>2.7617222222222324</v>
      </c>
      <c r="P446" s="5">
        <v>0.15887454117285565</v>
      </c>
      <c r="Q446" s="5">
        <v>0.17424460426134317</v>
      </c>
      <c r="R446" s="5">
        <v>0.17265447226987179</v>
      </c>
    </row>
    <row r="447" spans="1:18">
      <c r="A447" t="s">
        <v>1608</v>
      </c>
      <c r="B447" t="s">
        <v>88</v>
      </c>
      <c r="C447" s="10">
        <v>90.88</v>
      </c>
      <c r="D447" s="10">
        <v>60</v>
      </c>
      <c r="E447" s="10">
        <v>0.19</v>
      </c>
      <c r="F447" s="10">
        <v>94.907887887528574</v>
      </c>
      <c r="G447" s="10">
        <v>87.276189035661574</v>
      </c>
      <c r="H447" s="10">
        <v>87.500259999999997</v>
      </c>
      <c r="I447" s="10">
        <v>112.19753086419752</v>
      </c>
      <c r="J447" s="10">
        <v>117.17023195991182</v>
      </c>
      <c r="K447" s="10">
        <v>107.74838152550811</v>
      </c>
      <c r="L447" s="10">
        <v>108.025012345679</v>
      </c>
      <c r="M447" s="10">
        <v>4.9727010957142994</v>
      </c>
      <c r="N447" s="10">
        <v>4.4491493386894092</v>
      </c>
      <c r="O447" s="10">
        <v>4.1725185185185154</v>
      </c>
      <c r="P447" s="5">
        <v>0.22437637546801703</v>
      </c>
      <c r="Q447" s="5">
        <v>0.15655345617896571</v>
      </c>
      <c r="R447" s="5">
        <v>0.15871335696602498</v>
      </c>
    </row>
    <row r="448" spans="1:18">
      <c r="A448" t="s">
        <v>1609</v>
      </c>
      <c r="B448" t="s">
        <v>88</v>
      </c>
      <c r="C448" s="10">
        <v>101.83</v>
      </c>
      <c r="D448" s="10">
        <v>60</v>
      </c>
      <c r="E448" s="10">
        <v>0.19</v>
      </c>
      <c r="F448" s="10">
        <v>92.079612039869232</v>
      </c>
      <c r="G448" s="10">
        <v>97.157509509970083</v>
      </c>
      <c r="H448" s="10">
        <v>96.600425999999999</v>
      </c>
      <c r="I448" s="10">
        <v>125.71604938271604</v>
      </c>
      <c r="J448" s="10">
        <v>113.6785333825546</v>
      </c>
      <c r="K448" s="10">
        <v>119.94754260490133</v>
      </c>
      <c r="L448" s="10">
        <v>119.25978518518518</v>
      </c>
      <c r="M448" s="10">
        <v>12.037516000161432</v>
      </c>
      <c r="N448" s="10">
        <v>5.7685067778147072</v>
      </c>
      <c r="O448" s="10">
        <v>6.4562641975308566</v>
      </c>
      <c r="P448" s="5">
        <v>0.10422841525129065</v>
      </c>
      <c r="Q448" s="5">
        <v>0.15104555050851878</v>
      </c>
      <c r="R448" s="5">
        <v>0.14614972815958388</v>
      </c>
    </row>
    <row r="449" spans="1:18">
      <c r="A449" t="s">
        <v>1610</v>
      </c>
      <c r="B449" t="s">
        <v>88</v>
      </c>
      <c r="C449" s="10">
        <v>66.25</v>
      </c>
      <c r="D449" s="10">
        <v>50</v>
      </c>
      <c r="E449" s="10">
        <v>0.19</v>
      </c>
      <c r="F449" s="10">
        <v>62.731535500802124</v>
      </c>
      <c r="G449" s="10">
        <v>60.824452764251774</v>
      </c>
      <c r="H449" s="10">
        <v>64.900220000000004</v>
      </c>
      <c r="I449" s="10">
        <v>81.790123456790113</v>
      </c>
      <c r="J449" s="10">
        <v>77.446340124447062</v>
      </c>
      <c r="K449" s="10">
        <v>75.091916992903421</v>
      </c>
      <c r="L449" s="10">
        <v>80.123728395061732</v>
      </c>
      <c r="M449" s="10">
        <v>4.343783332343051</v>
      </c>
      <c r="N449" s="10">
        <v>6.6982064638866916</v>
      </c>
      <c r="O449" s="10">
        <v>1.6663950617283803</v>
      </c>
      <c r="P449" s="5">
        <v>0.14456900231122444</v>
      </c>
      <c r="Q449" s="5">
        <v>0.11774791944303444</v>
      </c>
      <c r="R449" s="5">
        <v>0.17315380440929173</v>
      </c>
    </row>
    <row r="450" spans="1:18">
      <c r="A450" t="s">
        <v>1611</v>
      </c>
      <c r="B450" t="s">
        <v>88</v>
      </c>
      <c r="C450" s="10">
        <v>50.42</v>
      </c>
      <c r="D450" s="10">
        <v>50</v>
      </c>
      <c r="E450" s="10">
        <v>0.19</v>
      </c>
      <c r="F450" s="10">
        <v>53.336776450983024</v>
      </c>
      <c r="G450" s="10">
        <v>52.427087885149547</v>
      </c>
      <c r="H450" s="10">
        <v>53.302577999999997</v>
      </c>
      <c r="I450" s="10">
        <v>62.246913580246911</v>
      </c>
      <c r="J450" s="10">
        <v>65.847872161707429</v>
      </c>
      <c r="K450" s="10">
        <v>64.724799858209309</v>
      </c>
      <c r="L450" s="10">
        <v>65.805651851851849</v>
      </c>
      <c r="M450" s="10">
        <v>3.6009585814605174</v>
      </c>
      <c r="N450" s="10">
        <v>2.4778862779623978</v>
      </c>
      <c r="O450" s="10">
        <v>3.5587382716049376</v>
      </c>
      <c r="P450" s="5">
        <v>0.23429568268842574</v>
      </c>
      <c r="Q450" s="5">
        <v>0.22100956495109148</v>
      </c>
      <c r="R450" s="5">
        <v>0.23380441373773697</v>
      </c>
    </row>
    <row r="451" spans="1:18">
      <c r="A451" t="s">
        <v>1612</v>
      </c>
      <c r="B451" t="s">
        <v>88</v>
      </c>
      <c r="C451" s="10">
        <v>67.06</v>
      </c>
      <c r="D451" s="10">
        <v>50</v>
      </c>
      <c r="E451" s="10">
        <v>0.19</v>
      </c>
      <c r="F451" s="10">
        <v>65.661495320688843</v>
      </c>
      <c r="G451" s="10">
        <v>70.635241227890489</v>
      </c>
      <c r="H451" s="10">
        <v>70.005099999999999</v>
      </c>
      <c r="I451" s="10">
        <v>82.790123456790127</v>
      </c>
      <c r="J451" s="10">
        <v>81.063574469986222</v>
      </c>
      <c r="K451" s="10">
        <v>87.204001515914172</v>
      </c>
      <c r="L451" s="10">
        <v>86.426049382716045</v>
      </c>
      <c r="M451" s="10">
        <v>1.7265489868039054</v>
      </c>
      <c r="N451" s="10">
        <v>4.4138780591240447</v>
      </c>
      <c r="O451" s="10">
        <v>3.6359259259259176</v>
      </c>
      <c r="P451" s="5">
        <v>0.17274805066942911</v>
      </c>
      <c r="Q451" s="5">
        <v>0.23099859141484486</v>
      </c>
      <c r="R451" s="5">
        <v>0.22407653156698576</v>
      </c>
    </row>
    <row r="452" spans="1:18">
      <c r="A452" t="s">
        <v>1613</v>
      </c>
      <c r="B452" t="s">
        <v>88</v>
      </c>
      <c r="C452" s="10">
        <v>161.96</v>
      </c>
      <c r="D452" s="10">
        <v>50</v>
      </c>
      <c r="E452" s="10">
        <v>0.19</v>
      </c>
      <c r="F452" s="10">
        <v>142.79953028171482</v>
      </c>
      <c r="G452" s="10">
        <v>158.30834570459712</v>
      </c>
      <c r="H452" s="10">
        <v>159.60310000000001</v>
      </c>
      <c r="I452" s="10">
        <v>199.95061728395061</v>
      </c>
      <c r="J452" s="10">
        <v>176.29571639717878</v>
      </c>
      <c r="K452" s="10">
        <v>195.44240210444087</v>
      </c>
      <c r="L452" s="10">
        <v>197.04086419753088</v>
      </c>
      <c r="M452" s="10">
        <v>23.654900886771827</v>
      </c>
      <c r="N452" s="10">
        <v>4.5082151795097332</v>
      </c>
      <c r="O452" s="10">
        <v>2.9097530864197267</v>
      </c>
      <c r="P452" s="5">
        <v>8.1316305864639726E-2</v>
      </c>
      <c r="Q452" s="5">
        <v>0.1713159567418153</v>
      </c>
      <c r="R452" s="5">
        <v>0.1780385218081604</v>
      </c>
    </row>
    <row r="453" spans="1:18">
      <c r="A453" t="s">
        <v>1614</v>
      </c>
      <c r="B453" t="s">
        <v>88</v>
      </c>
      <c r="C453" s="10">
        <v>99.07</v>
      </c>
      <c r="D453" s="10">
        <v>60</v>
      </c>
      <c r="E453" s="10">
        <v>0.19</v>
      </c>
      <c r="F453" s="10">
        <v>86.23273421900231</v>
      </c>
      <c r="G453" s="10">
        <v>90.649874472843038</v>
      </c>
      <c r="H453" s="10">
        <v>92.081869999999995</v>
      </c>
      <c r="I453" s="10">
        <v>122.30864197530863</v>
      </c>
      <c r="J453" s="10">
        <v>106.46016570247198</v>
      </c>
      <c r="K453" s="10">
        <v>111.91342527511486</v>
      </c>
      <c r="L453" s="10">
        <v>113.6813209876543</v>
      </c>
      <c r="M453" s="10">
        <v>15.848476272836649</v>
      </c>
      <c r="N453" s="10">
        <v>10.395216700193771</v>
      </c>
      <c r="O453" s="10">
        <v>8.6273209876543291</v>
      </c>
      <c r="P453" s="5">
        <v>6.9417191432197739E-2</v>
      </c>
      <c r="Q453" s="5">
        <v>0.11476214979160985</v>
      </c>
      <c r="R453" s="5">
        <v>0.12852877553420661</v>
      </c>
    </row>
    <row r="454" spans="1:18">
      <c r="A454" t="s">
        <v>1615</v>
      </c>
      <c r="B454" t="s">
        <v>88</v>
      </c>
      <c r="C454" s="10">
        <v>95.37</v>
      </c>
      <c r="D454" s="10">
        <v>50</v>
      </c>
      <c r="E454" s="10">
        <v>0.19</v>
      </c>
      <c r="F454" s="10">
        <v>96.866468930102457</v>
      </c>
      <c r="G454" s="10">
        <v>96.678190472866319</v>
      </c>
      <c r="H454" s="10">
        <v>98.976585</v>
      </c>
      <c r="I454" s="10">
        <v>117.74074074074073</v>
      </c>
      <c r="J454" s="10">
        <v>119.58823324704007</v>
      </c>
      <c r="K454" s="10">
        <v>119.35579070724236</v>
      </c>
      <c r="L454" s="10">
        <v>122.19331481481481</v>
      </c>
      <c r="M454" s="10">
        <v>1.8474925062993321</v>
      </c>
      <c r="N454" s="10">
        <v>1.6150499665016298</v>
      </c>
      <c r="O454" s="10">
        <v>4.4525740740740787</v>
      </c>
      <c r="P454" s="5">
        <v>0.20251351315652527</v>
      </c>
      <c r="Q454" s="5">
        <v>0.20096042735014893</v>
      </c>
      <c r="R454" s="5">
        <v>0.21951540356741944</v>
      </c>
    </row>
    <row r="455" spans="1:18">
      <c r="A455" t="s">
        <v>1616</v>
      </c>
      <c r="B455" t="s">
        <v>88</v>
      </c>
      <c r="C455" s="10">
        <v>61.05</v>
      </c>
      <c r="D455" s="10">
        <v>50</v>
      </c>
      <c r="E455" s="10">
        <v>0.19</v>
      </c>
      <c r="F455" s="10">
        <v>64.54871506874602</v>
      </c>
      <c r="G455" s="10">
        <v>64.9529586788871</v>
      </c>
      <c r="H455" s="10">
        <v>66.120410000000007</v>
      </c>
      <c r="I455" s="10">
        <v>75.370370370370367</v>
      </c>
      <c r="J455" s="10">
        <v>79.689771689809902</v>
      </c>
      <c r="K455" s="10">
        <v>80.188837875169256</v>
      </c>
      <c r="L455" s="10">
        <v>81.630135802469141</v>
      </c>
      <c r="M455" s="10">
        <v>4.3194013194395353</v>
      </c>
      <c r="N455" s="10">
        <v>4.818467504798889</v>
      </c>
      <c r="O455" s="10">
        <v>6.2597654320987743</v>
      </c>
      <c r="P455" s="5">
        <v>0.2339041924020647</v>
      </c>
      <c r="Q455" s="5">
        <v>0.23867209430024255</v>
      </c>
      <c r="R455" s="5">
        <v>0.25211443788687948</v>
      </c>
    </row>
    <row r="456" spans="1:18">
      <c r="A456" t="s">
        <v>1617</v>
      </c>
      <c r="B456" t="s">
        <v>88</v>
      </c>
      <c r="C456" s="10">
        <v>66.98</v>
      </c>
      <c r="D456" s="10">
        <v>50</v>
      </c>
      <c r="E456" s="10">
        <v>0.19</v>
      </c>
      <c r="F456" s="10">
        <v>62.639932610992844</v>
      </c>
      <c r="G456" s="10">
        <v>61.515292774539738</v>
      </c>
      <c r="H456" s="10">
        <v>60.489384000000001</v>
      </c>
      <c r="I456" s="10">
        <v>82.691358024691354</v>
      </c>
      <c r="J456" s="10">
        <v>77.333250137028202</v>
      </c>
      <c r="K456" s="10">
        <v>75.944805894493498</v>
      </c>
      <c r="L456" s="10">
        <v>74.678251851851854</v>
      </c>
      <c r="M456" s="10">
        <v>5.3581078876631523</v>
      </c>
      <c r="N456" s="10">
        <v>6.7465521301978555</v>
      </c>
      <c r="O456" s="10">
        <v>8.0131061728394997</v>
      </c>
      <c r="P456" s="5">
        <v>0.13387837855880988</v>
      </c>
      <c r="Q456" s="5">
        <v>0.11804370014386333</v>
      </c>
      <c r="R456" s="5">
        <v>0.10308559267193064</v>
      </c>
    </row>
    <row r="457" spans="1:18">
      <c r="A457" t="s">
        <v>1618</v>
      </c>
      <c r="B457" t="s">
        <v>88</v>
      </c>
      <c r="C457" s="10">
        <v>49.26</v>
      </c>
      <c r="D457" s="10">
        <v>50</v>
      </c>
      <c r="E457" s="10">
        <v>0.19</v>
      </c>
      <c r="F457" s="10">
        <v>46.86932225569744</v>
      </c>
      <c r="G457" s="10">
        <v>49.10927540811992</v>
      </c>
      <c r="H457" s="10">
        <v>50.161079999999998</v>
      </c>
      <c r="I457" s="10">
        <v>60.81481481481481</v>
      </c>
      <c r="J457" s="10">
        <v>57.863360809503007</v>
      </c>
      <c r="K457" s="10">
        <v>60.628735071752985</v>
      </c>
      <c r="L457" s="10">
        <v>61.927259259259252</v>
      </c>
      <c r="M457" s="10">
        <v>2.9514540053118026</v>
      </c>
      <c r="N457" s="10">
        <v>0.18607974306182484</v>
      </c>
      <c r="O457" s="10">
        <v>1.1124444444444421</v>
      </c>
      <c r="P457" s="5">
        <v>0.14868408417939774</v>
      </c>
      <c r="Q457" s="5">
        <v>0.18751397432749173</v>
      </c>
      <c r="R457" s="5">
        <v>0.20455061972349872</v>
      </c>
    </row>
    <row r="458" spans="1:18">
      <c r="A458" t="s">
        <v>1619</v>
      </c>
      <c r="B458" t="s">
        <v>88</v>
      </c>
      <c r="C458" s="10">
        <v>101.81</v>
      </c>
      <c r="D458" s="10">
        <v>50</v>
      </c>
      <c r="E458" s="10">
        <v>0.19</v>
      </c>
      <c r="F458" s="10">
        <v>99.741089127899755</v>
      </c>
      <c r="G458" s="10">
        <v>97.810868406162697</v>
      </c>
      <c r="H458" s="10">
        <v>98.360213999999999</v>
      </c>
      <c r="I458" s="10">
        <v>125.69135802469135</v>
      </c>
      <c r="J458" s="10">
        <v>123.13714707148117</v>
      </c>
      <c r="K458" s="10">
        <v>120.75415852612677</v>
      </c>
      <c r="L458" s="10">
        <v>121.43236296296296</v>
      </c>
      <c r="M458" s="10">
        <v>2.5542109532101875</v>
      </c>
      <c r="N458" s="10">
        <v>4.9371994985645813</v>
      </c>
      <c r="O458" s="10">
        <v>4.2589950617283989</v>
      </c>
      <c r="P458" s="5">
        <v>0.1731983205612255</v>
      </c>
      <c r="Q458" s="5">
        <v>0.1568820383277148</v>
      </c>
      <c r="R458" s="5">
        <v>0.16159088470466312</v>
      </c>
    </row>
    <row r="459" spans="1:18">
      <c r="A459" t="s">
        <v>1620</v>
      </c>
      <c r="B459" t="s">
        <v>88</v>
      </c>
      <c r="C459" s="10">
        <v>61.66</v>
      </c>
      <c r="D459" s="10">
        <v>50</v>
      </c>
      <c r="E459" s="10">
        <v>0.19</v>
      </c>
      <c r="F459" s="10">
        <v>60.63784391642244</v>
      </c>
      <c r="G459" s="10">
        <v>59.421301731821814</v>
      </c>
      <c r="H459" s="10">
        <v>63.599792000000001</v>
      </c>
      <c r="I459" s="10">
        <v>76.123456790123441</v>
      </c>
      <c r="J459" s="10">
        <v>74.861535699286961</v>
      </c>
      <c r="K459" s="10">
        <v>73.35963176768125</v>
      </c>
      <c r="L459" s="10">
        <v>78.518261728395061</v>
      </c>
      <c r="M459" s="10">
        <v>1.2619210908364806</v>
      </c>
      <c r="N459" s="10">
        <v>2.763825022442191</v>
      </c>
      <c r="O459" s="10">
        <v>2.3948049382716192</v>
      </c>
      <c r="P459" s="5">
        <v>0.17634604441346916</v>
      </c>
      <c r="Q459" s="5">
        <v>0.15948324011129447</v>
      </c>
      <c r="R459" s="5">
        <v>0.21470497890936502</v>
      </c>
    </row>
    <row r="460" spans="1:18">
      <c r="A460" t="s">
        <v>1621</v>
      </c>
      <c r="B460" t="s">
        <v>88</v>
      </c>
      <c r="C460" s="10">
        <v>55.89</v>
      </c>
      <c r="D460" s="10">
        <v>50</v>
      </c>
      <c r="E460" s="10">
        <v>0.19</v>
      </c>
      <c r="F460" s="10">
        <v>51.513835125192685</v>
      </c>
      <c r="G460" s="10">
        <v>53.657016690712489</v>
      </c>
      <c r="H460" s="10">
        <v>55.216071999999997</v>
      </c>
      <c r="I460" s="10">
        <v>69</v>
      </c>
      <c r="J460" s="10">
        <v>63.597327315052695</v>
      </c>
      <c r="K460" s="10">
        <v>66.243230482361099</v>
      </c>
      <c r="L460" s="10">
        <v>68.167990123456775</v>
      </c>
      <c r="M460" s="10">
        <v>5.402672684947305</v>
      </c>
      <c r="N460" s="10">
        <v>2.7567695176389009</v>
      </c>
      <c r="O460" s="10">
        <v>0.83200987654322489</v>
      </c>
      <c r="P460" s="5">
        <v>0.1211894845340217</v>
      </c>
      <c r="Q460" s="5">
        <v>0.15629114714020328</v>
      </c>
      <c r="R460" s="5">
        <v>0.18011371761468273</v>
      </c>
    </row>
    <row r="461" spans="1:18">
      <c r="A461" t="s">
        <v>1622</v>
      </c>
      <c r="B461" t="s">
        <v>88</v>
      </c>
      <c r="C461" s="10">
        <v>128.44</v>
      </c>
      <c r="D461" s="10">
        <v>60</v>
      </c>
      <c r="E461" s="10">
        <v>0.19</v>
      </c>
      <c r="F461" s="10">
        <v>136.04659169787917</v>
      </c>
      <c r="G461" s="10">
        <v>135.38456321456323</v>
      </c>
      <c r="H461" s="10">
        <v>132.70929000000001</v>
      </c>
      <c r="I461" s="10">
        <v>158.5679012345679</v>
      </c>
      <c r="J461" s="10">
        <v>167.95875518256685</v>
      </c>
      <c r="K461" s="10">
        <v>167.14143606736201</v>
      </c>
      <c r="L461" s="10">
        <v>163.83862962962962</v>
      </c>
      <c r="M461" s="10">
        <v>9.3908539479989486</v>
      </c>
      <c r="N461" s="10">
        <v>8.5735348327941097</v>
      </c>
      <c r="O461" s="10">
        <v>5.2707283950617239</v>
      </c>
      <c r="P461" s="5">
        <v>0.23528845006984589</v>
      </c>
      <c r="Q461" s="5">
        <v>0.2315490220615575</v>
      </c>
      <c r="R461" s="5">
        <v>0.21605789617290544</v>
      </c>
    </row>
    <row r="462" spans="1:18">
      <c r="A462" t="s">
        <v>1623</v>
      </c>
      <c r="B462" t="s">
        <v>88</v>
      </c>
      <c r="C462" s="10">
        <v>95.43</v>
      </c>
      <c r="D462" s="10">
        <v>60</v>
      </c>
      <c r="E462" s="10">
        <v>0.19</v>
      </c>
      <c r="F462" s="10">
        <v>89.274655729089261</v>
      </c>
      <c r="G462" s="10">
        <v>93.971446606885237</v>
      </c>
      <c r="H462" s="10">
        <v>94.337524000000002</v>
      </c>
      <c r="I462" s="10">
        <v>117.81481481481481</v>
      </c>
      <c r="J462" s="10">
        <v>110.21562435690032</v>
      </c>
      <c r="K462" s="10">
        <v>116.01413161343855</v>
      </c>
      <c r="L462" s="10">
        <v>116.46607901234567</v>
      </c>
      <c r="M462" s="10">
        <v>7.5991904579144887</v>
      </c>
      <c r="N462" s="10">
        <v>1.800683201376259</v>
      </c>
      <c r="O462" s="10">
        <v>1.348735802469136</v>
      </c>
      <c r="P462" s="5">
        <v>0.13415179964885462</v>
      </c>
      <c r="Q462" s="5">
        <v>0.17742779545189624</v>
      </c>
      <c r="R462" s="5">
        <v>0.18061979239565362</v>
      </c>
    </row>
    <row r="463" spans="1:18">
      <c r="A463" t="s">
        <v>1624</v>
      </c>
      <c r="B463" t="s">
        <v>88</v>
      </c>
      <c r="C463" s="10">
        <v>135.62</v>
      </c>
      <c r="D463" s="10">
        <v>50</v>
      </c>
      <c r="E463" s="10">
        <v>0.19</v>
      </c>
      <c r="F463" s="10">
        <v>131.48559319973367</v>
      </c>
      <c r="G463" s="10">
        <v>104.43464993894995</v>
      </c>
      <c r="H463" s="10">
        <v>118.47657</v>
      </c>
      <c r="I463" s="10">
        <v>167.4320987654321</v>
      </c>
      <c r="J463" s="10">
        <v>162.32789283917737</v>
      </c>
      <c r="K463" s="10">
        <v>128.93166659129622</v>
      </c>
      <c r="L463" s="10">
        <v>146.26737037037034</v>
      </c>
      <c r="M463" s="10">
        <v>5.1042059262547355</v>
      </c>
      <c r="N463" s="10">
        <v>38.500432174135881</v>
      </c>
      <c r="O463" s="10">
        <v>21.164728395061758</v>
      </c>
      <c r="P463" s="5">
        <v>0.16453052135431581</v>
      </c>
      <c r="Q463" s="5">
        <v>-5.1875024852546914E-2</v>
      </c>
      <c r="R463" s="5">
        <v>7.279388658871519E-2</v>
      </c>
    </row>
    <row r="464" spans="1:18">
      <c r="A464" t="s">
        <v>1625</v>
      </c>
      <c r="B464" t="s">
        <v>88</v>
      </c>
      <c r="C464" s="10">
        <v>135.41</v>
      </c>
      <c r="D464" s="10">
        <v>139</v>
      </c>
      <c r="E464" s="10">
        <v>0.19</v>
      </c>
      <c r="F464" s="10">
        <v>133.0505394406824</v>
      </c>
      <c r="G464" s="10">
        <v>130.43587063492066</v>
      </c>
      <c r="H464" s="10">
        <v>132.70518000000001</v>
      </c>
      <c r="I464" s="10">
        <v>167.17283950617283</v>
      </c>
      <c r="J464" s="10">
        <v>164.25992523541035</v>
      </c>
      <c r="K464" s="10">
        <v>161.0319390554576</v>
      </c>
      <c r="L464" s="10">
        <v>163.83355555555556</v>
      </c>
      <c r="M464" s="10">
        <v>2.9129142707624851</v>
      </c>
      <c r="N464" s="10">
        <v>6.140900450715236</v>
      </c>
      <c r="O464" s="10">
        <v>3.339283950617272</v>
      </c>
      <c r="P464" s="5">
        <v>0.17563581131589989</v>
      </c>
      <c r="Q464" s="5">
        <v>0.15911091430522795</v>
      </c>
      <c r="R464" s="5">
        <v>0.173490439483975</v>
      </c>
    </row>
    <row r="465" spans="1:18">
      <c r="A465" t="s">
        <v>1626</v>
      </c>
      <c r="B465" t="s">
        <v>88</v>
      </c>
      <c r="C465" s="10">
        <v>57.53</v>
      </c>
      <c r="D465" s="10">
        <v>50</v>
      </c>
      <c r="E465" s="10">
        <v>0.19</v>
      </c>
      <c r="F465" s="10">
        <v>53.093592222845075</v>
      </c>
      <c r="G465" s="10">
        <v>53.834302510641876</v>
      </c>
      <c r="H465" s="10">
        <v>51.931694</v>
      </c>
      <c r="I465" s="10">
        <v>71.024691358024683</v>
      </c>
      <c r="J465" s="10">
        <v>65.547644719561816</v>
      </c>
      <c r="K465" s="10">
        <v>66.462101864989961</v>
      </c>
      <c r="L465" s="10">
        <v>64.1132024691358</v>
      </c>
      <c r="M465" s="10">
        <v>5.4770466384628662</v>
      </c>
      <c r="N465" s="10">
        <v>4.5625894930347215</v>
      </c>
      <c r="O465" s="10">
        <v>6.9114888888888828</v>
      </c>
      <c r="P465" s="5">
        <v>0.12231781559603555</v>
      </c>
      <c r="Q465" s="5">
        <v>0.13439391193396932</v>
      </c>
      <c r="R465" s="5">
        <v>0.10268091774552929</v>
      </c>
    </row>
    <row r="466" spans="1:18">
      <c r="A466" t="s">
        <v>1627</v>
      </c>
      <c r="B466" t="s">
        <v>88</v>
      </c>
      <c r="C466" s="10">
        <v>87.88</v>
      </c>
      <c r="D466" s="10">
        <v>60</v>
      </c>
      <c r="E466" s="10">
        <v>0.19</v>
      </c>
      <c r="F466" s="10">
        <v>88.460525454468154</v>
      </c>
      <c r="G466" s="10">
        <v>79.923902933826639</v>
      </c>
      <c r="H466" s="10">
        <v>83.195260000000005</v>
      </c>
      <c r="I466" s="10">
        <v>108.49382716049381</v>
      </c>
      <c r="J466" s="10">
        <v>109.21052525242982</v>
      </c>
      <c r="K466" s="10">
        <v>98.671485103489672</v>
      </c>
      <c r="L466" s="10">
        <v>102.71019753086419</v>
      </c>
      <c r="M466" s="10">
        <v>0.71669809193600997</v>
      </c>
      <c r="N466" s="10">
        <v>9.8223420570041355</v>
      </c>
      <c r="O466" s="10">
        <v>5.7836296296296155</v>
      </c>
      <c r="P466" s="5">
        <v>0.19531565481556221</v>
      </c>
      <c r="Q466" s="5">
        <v>0.10936781879963839</v>
      </c>
      <c r="R466" s="5">
        <v>0.14438875484011951</v>
      </c>
    </row>
    <row r="467" spans="1:18">
      <c r="A467" t="s">
        <v>1628</v>
      </c>
      <c r="B467" t="s">
        <v>88</v>
      </c>
      <c r="C467" s="10">
        <v>96.05</v>
      </c>
      <c r="D467" s="10">
        <v>60</v>
      </c>
      <c r="E467" s="10">
        <v>0.19</v>
      </c>
      <c r="F467" s="10">
        <v>86.835671722423356</v>
      </c>
      <c r="G467" s="10">
        <v>95.24349004237439</v>
      </c>
      <c r="H467" s="10">
        <v>94.983283999999998</v>
      </c>
      <c r="I467" s="10">
        <v>118.58024691358024</v>
      </c>
      <c r="J467" s="10">
        <v>107.20453299064611</v>
      </c>
      <c r="K467" s="10">
        <v>117.5845556078696</v>
      </c>
      <c r="L467" s="10">
        <v>117.2633135802469</v>
      </c>
      <c r="M467" s="10">
        <v>11.375713922934125</v>
      </c>
      <c r="N467" s="10">
        <v>0.99569130571063624</v>
      </c>
      <c r="O467" s="10">
        <v>1.3169333333333384</v>
      </c>
      <c r="P467" s="5">
        <v>0.10404907963751291</v>
      </c>
      <c r="Q467" s="5">
        <v>0.18314102134029206</v>
      </c>
      <c r="R467" s="5">
        <v>0.180903241879908</v>
      </c>
    </row>
    <row r="468" spans="1:18">
      <c r="A468" t="s">
        <v>1629</v>
      </c>
      <c r="B468" t="s">
        <v>88</v>
      </c>
      <c r="C468" s="10">
        <v>48.31</v>
      </c>
      <c r="D468" s="10">
        <v>50</v>
      </c>
      <c r="E468" s="10">
        <v>0.19</v>
      </c>
      <c r="F468" s="10">
        <v>47.797173910602638</v>
      </c>
      <c r="G468" s="10">
        <v>48.627002195854807</v>
      </c>
      <c r="H468" s="10">
        <v>47.960372999999997</v>
      </c>
      <c r="I468" s="10">
        <v>59.641975308641975</v>
      </c>
      <c r="J468" s="10">
        <v>59.008856679756342</v>
      </c>
      <c r="K468" s="10">
        <v>60.033336044265191</v>
      </c>
      <c r="L468" s="10">
        <v>59.210337037037029</v>
      </c>
      <c r="M468" s="10">
        <v>0.63311862888563297</v>
      </c>
      <c r="N468" s="10">
        <v>0.39136073562321627</v>
      </c>
      <c r="O468" s="10">
        <v>0.43163827160494606</v>
      </c>
      <c r="P468" s="5">
        <v>0.18130933696647444</v>
      </c>
      <c r="Q468" s="5">
        <v>0.19528043611671128</v>
      </c>
      <c r="R468" s="5">
        <v>0.18409516956842667</v>
      </c>
    </row>
    <row r="469" spans="1:18">
      <c r="A469" t="s">
        <v>1630</v>
      </c>
      <c r="B469" t="s">
        <v>88</v>
      </c>
      <c r="C469" s="10">
        <v>124.99</v>
      </c>
      <c r="D469" s="10">
        <v>60</v>
      </c>
      <c r="E469" s="10">
        <v>0.19</v>
      </c>
      <c r="F469" s="10">
        <v>123.52651650431407</v>
      </c>
      <c r="G469" s="10">
        <v>123.78735007631256</v>
      </c>
      <c r="H469" s="10">
        <v>121.54505</v>
      </c>
      <c r="I469" s="10">
        <v>154.30864197530863</v>
      </c>
      <c r="J469" s="10">
        <v>152.50187222754823</v>
      </c>
      <c r="K469" s="10">
        <v>152.82388898310191</v>
      </c>
      <c r="L469" s="10">
        <v>150.05561728395062</v>
      </c>
      <c r="M469" s="10">
        <v>1.8067697477603986</v>
      </c>
      <c r="N469" s="10">
        <v>1.4847529922067224</v>
      </c>
      <c r="O469" s="10">
        <v>4.2530246913580072</v>
      </c>
      <c r="P469" s="5">
        <v>0.18040350472876648</v>
      </c>
      <c r="Q469" s="5">
        <v>0.18213048475804441</v>
      </c>
      <c r="R469" s="5">
        <v>0.1670421790109923</v>
      </c>
    </row>
    <row r="470" spans="1:18">
      <c r="A470" t="s">
        <v>2474</v>
      </c>
      <c r="B470" t="s">
        <v>110</v>
      </c>
      <c r="C470" s="10">
        <v>61.78</v>
      </c>
      <c r="D470" s="10">
        <v>50</v>
      </c>
      <c r="E470" s="10">
        <v>0.16</v>
      </c>
      <c r="F470" s="10">
        <v>51.603159351702793</v>
      </c>
      <c r="G470" s="10">
        <v>58.208193824087552</v>
      </c>
      <c r="H470" s="10">
        <v>55.06718</v>
      </c>
      <c r="I470" s="10">
        <v>73.547619047619051</v>
      </c>
      <c r="J470" s="10">
        <v>61.432332561550943</v>
      </c>
      <c r="K470" s="10">
        <v>69.295468838199469</v>
      </c>
      <c r="L470" s="10">
        <v>65.55616666666667</v>
      </c>
      <c r="M470" s="10">
        <v>12.115286486068108</v>
      </c>
      <c r="N470" s="10">
        <v>4.2521502094195824</v>
      </c>
      <c r="O470" s="10">
        <v>7.9914523809523814</v>
      </c>
      <c r="P470" s="5">
        <v>-5.6593559767687349E-3</v>
      </c>
      <c r="Q470" s="5">
        <v>0.10845541511159426</v>
      </c>
      <c r="R470" s="5">
        <v>5.7602005405034386E-2</v>
      </c>
    </row>
    <row r="471" spans="1:18">
      <c r="A471" t="s">
        <v>2475</v>
      </c>
      <c r="B471" t="s">
        <v>110</v>
      </c>
      <c r="C471" s="10">
        <v>106.53</v>
      </c>
      <c r="D471" s="10">
        <v>50</v>
      </c>
      <c r="E471" s="10">
        <v>0.16</v>
      </c>
      <c r="F471" s="10">
        <v>109.00806889836788</v>
      </c>
      <c r="G471" s="10">
        <v>109.93507990284293</v>
      </c>
      <c r="H471" s="10">
        <v>109.29648</v>
      </c>
      <c r="I471" s="10">
        <v>126.82142857142858</v>
      </c>
      <c r="J471" s="10">
        <v>129.77151059329509</v>
      </c>
      <c r="K471" s="10">
        <v>130.87509512243207</v>
      </c>
      <c r="L471" s="10">
        <v>130.11485714285715</v>
      </c>
      <c r="M471" s="10">
        <v>2.9500820218665069</v>
      </c>
      <c r="N471" s="10">
        <v>4.0536665510034879</v>
      </c>
      <c r="O471" s="10">
        <v>3.2934285714285636</v>
      </c>
      <c r="P471" s="5">
        <v>0.1790956311369</v>
      </c>
      <c r="Q471" s="5">
        <v>0.18601778359478957</v>
      </c>
      <c r="R471" s="5">
        <v>0.18126183020715764</v>
      </c>
    </row>
    <row r="472" spans="1:18">
      <c r="A472" t="s">
        <v>2476</v>
      </c>
      <c r="B472" t="s">
        <v>110</v>
      </c>
      <c r="C472" s="10">
        <v>94.8</v>
      </c>
      <c r="D472" s="10">
        <v>60</v>
      </c>
      <c r="E472" s="10">
        <v>0.16</v>
      </c>
      <c r="F472" s="10">
        <v>84.206109541185313</v>
      </c>
      <c r="G472" s="10">
        <v>92.613330519653033</v>
      </c>
      <c r="H472" s="10">
        <v>92.730720000000005</v>
      </c>
      <c r="I472" s="10">
        <v>112.85714285714286</v>
      </c>
      <c r="J472" s="10">
        <v>100.24536850141109</v>
      </c>
      <c r="K472" s="10">
        <v>110.25396490434885</v>
      </c>
      <c r="L472" s="10">
        <v>110.3937142857143</v>
      </c>
      <c r="M472" s="10">
        <v>12.611774355731768</v>
      </c>
      <c r="N472" s="10">
        <v>2.6031779527940131</v>
      </c>
      <c r="O472" s="10">
        <v>2.4634285714285653</v>
      </c>
      <c r="P472" s="5">
        <v>5.4320399863006588E-2</v>
      </c>
      <c r="Q472" s="5">
        <v>0.1401669764688824</v>
      </c>
      <c r="R472" s="5">
        <v>0.14125545450310328</v>
      </c>
    </row>
    <row r="473" spans="1:18">
      <c r="A473" t="s">
        <v>2477</v>
      </c>
      <c r="B473" t="s">
        <v>110</v>
      </c>
      <c r="C473" s="10">
        <v>57.09</v>
      </c>
      <c r="D473" s="10">
        <v>50</v>
      </c>
      <c r="E473" s="10">
        <v>0.16</v>
      </c>
      <c r="F473" s="10">
        <v>56.067033837076615</v>
      </c>
      <c r="G473" s="10">
        <v>56.658784713513597</v>
      </c>
      <c r="H473" s="10">
        <v>59.975372</v>
      </c>
      <c r="I473" s="10">
        <v>67.964285714285722</v>
      </c>
      <c r="J473" s="10">
        <v>66.746468853662634</v>
      </c>
      <c r="K473" s="10">
        <v>67.450934182754281</v>
      </c>
      <c r="L473" s="10">
        <v>71.39925238095239</v>
      </c>
      <c r="M473" s="10">
        <v>1.2178168606230884</v>
      </c>
      <c r="N473" s="10">
        <v>0.5133515315314412</v>
      </c>
      <c r="O473" s="10">
        <v>3.4349666666666678</v>
      </c>
      <c r="P473" s="5">
        <v>0.14467385345633521</v>
      </c>
      <c r="Q473" s="5">
        <v>0.15360697829153774</v>
      </c>
      <c r="R473" s="5">
        <v>0.20041179569507303</v>
      </c>
    </row>
    <row r="474" spans="1:18">
      <c r="A474" t="s">
        <v>2478</v>
      </c>
      <c r="B474" t="s">
        <v>110</v>
      </c>
      <c r="C474" s="10">
        <v>73.900000000000006</v>
      </c>
      <c r="D474" s="10">
        <v>50</v>
      </c>
      <c r="E474" s="10">
        <v>0.16</v>
      </c>
      <c r="F474" s="10">
        <v>73.889580793166772</v>
      </c>
      <c r="G474" s="10">
        <v>73.30186539587595</v>
      </c>
      <c r="H474" s="10">
        <v>78.931060000000002</v>
      </c>
      <c r="I474" s="10">
        <v>87.976190476190482</v>
      </c>
      <c r="J474" s="10">
        <v>87.963786658531873</v>
      </c>
      <c r="K474" s="10">
        <v>87.264125471280892</v>
      </c>
      <c r="L474" s="10">
        <v>93.965547619047626</v>
      </c>
      <c r="M474" s="10">
        <v>1.2403817658608318E-2</v>
      </c>
      <c r="N474" s="10">
        <v>0.71206500490959002</v>
      </c>
      <c r="O474" s="10">
        <v>5.9893571428571448</v>
      </c>
      <c r="P474" s="5">
        <v>0.15988155117885411</v>
      </c>
      <c r="Q474" s="5">
        <v>0.1531456987519928</v>
      </c>
      <c r="R474" s="5">
        <v>0.21354153865411157</v>
      </c>
    </row>
    <row r="475" spans="1:18">
      <c r="A475" t="s">
        <v>2479</v>
      </c>
      <c r="B475" t="s">
        <v>110</v>
      </c>
      <c r="C475" s="10">
        <v>76.63</v>
      </c>
      <c r="D475" s="10">
        <v>50</v>
      </c>
      <c r="E475" s="10">
        <v>0.16</v>
      </c>
      <c r="F475" s="10">
        <v>87.719140165105344</v>
      </c>
      <c r="G475" s="10">
        <v>94.506672437431021</v>
      </c>
      <c r="H475" s="10">
        <v>94.944000000000003</v>
      </c>
      <c r="I475" s="10">
        <v>91.226190476190467</v>
      </c>
      <c r="J475" s="10">
        <v>104.4275478156016</v>
      </c>
      <c r="K475" s="10">
        <v>112.50794337789408</v>
      </c>
      <c r="L475" s="10">
        <v>113.02857142857144</v>
      </c>
      <c r="M475" s="10">
        <v>13.201357339411132</v>
      </c>
      <c r="N475" s="10">
        <v>21.281752901703612</v>
      </c>
      <c r="O475" s="10">
        <v>21.802380952380972</v>
      </c>
      <c r="P475" s="5">
        <v>0.26618979758757311</v>
      </c>
      <c r="Q475" s="5">
        <v>0.31889253594643074</v>
      </c>
      <c r="R475" s="5">
        <v>0.32202982810920133</v>
      </c>
    </row>
    <row r="476" spans="1:18">
      <c r="A476" t="s">
        <v>2480</v>
      </c>
      <c r="B476" t="s">
        <v>110</v>
      </c>
      <c r="C476" s="10">
        <v>68.62</v>
      </c>
      <c r="D476" s="10">
        <v>50</v>
      </c>
      <c r="E476" s="10">
        <v>0.16</v>
      </c>
      <c r="F476" s="10">
        <v>60.180001639588845</v>
      </c>
      <c r="G476" s="10">
        <v>64.01696025246828</v>
      </c>
      <c r="H476" s="10">
        <v>66.127269999999996</v>
      </c>
      <c r="I476" s="10">
        <v>81.690476190476204</v>
      </c>
      <c r="J476" s="10">
        <v>71.64285909474863</v>
      </c>
      <c r="K476" s="10">
        <v>76.210666967224142</v>
      </c>
      <c r="L476" s="10">
        <v>78.722940476190473</v>
      </c>
      <c r="M476" s="10">
        <v>10.047617095727574</v>
      </c>
      <c r="N476" s="10">
        <v>5.4798092232520617</v>
      </c>
      <c r="O476" s="10">
        <v>2.9675357142857308</v>
      </c>
      <c r="P476" s="5">
        <v>4.2193445835974445E-2</v>
      </c>
      <c r="Q476" s="5">
        <v>9.9601109257955317E-2</v>
      </c>
      <c r="R476" s="5">
        <v>0.1283354053478995</v>
      </c>
    </row>
    <row r="477" spans="1:18">
      <c r="A477" t="s">
        <v>2481</v>
      </c>
      <c r="B477" t="s">
        <v>110</v>
      </c>
      <c r="C477" s="10">
        <v>164.26</v>
      </c>
      <c r="D477" s="10">
        <v>65</v>
      </c>
      <c r="E477" s="10">
        <v>0.16</v>
      </c>
      <c r="F477" s="10">
        <v>169.62130784035412</v>
      </c>
      <c r="G477" s="10">
        <v>169.63026904761909</v>
      </c>
      <c r="H477" s="10">
        <v>168.50323</v>
      </c>
      <c r="I477" s="10">
        <v>195.54761904761904</v>
      </c>
      <c r="J477" s="10">
        <v>201.93012838137395</v>
      </c>
      <c r="K477" s="10">
        <v>201.94079648526085</v>
      </c>
      <c r="L477" s="10">
        <v>200.59908333333334</v>
      </c>
      <c r="M477" s="10">
        <v>6.3825093337549106</v>
      </c>
      <c r="N477" s="10">
        <v>6.3931774376418105</v>
      </c>
      <c r="O477" s="10">
        <v>5.0514642857143031</v>
      </c>
      <c r="P477" s="5">
        <v>0.18655031165150615</v>
      </c>
      <c r="Q477" s="5">
        <v>0.18659328447291276</v>
      </c>
      <c r="R477" s="5">
        <v>0.18115278858452749</v>
      </c>
    </row>
    <row r="478" spans="1:18">
      <c r="A478" t="s">
        <v>2482</v>
      </c>
      <c r="B478" t="s">
        <v>110</v>
      </c>
      <c r="C478" s="10">
        <v>46.81</v>
      </c>
      <c r="D478" s="10">
        <v>50</v>
      </c>
      <c r="E478" s="10">
        <v>0.16</v>
      </c>
      <c r="F478" s="10">
        <v>48.343953707610055</v>
      </c>
      <c r="G478" s="10">
        <v>51.918216350781343</v>
      </c>
      <c r="H478" s="10">
        <v>51.542839999999998</v>
      </c>
      <c r="I478" s="10">
        <v>55.726190476190482</v>
      </c>
      <c r="J478" s="10">
        <v>57.552325842392925</v>
      </c>
      <c r="K478" s="10">
        <v>61.807400417596838</v>
      </c>
      <c r="L478" s="10">
        <v>61.360523809523812</v>
      </c>
      <c r="M478" s="10">
        <v>1.8261353662024433</v>
      </c>
      <c r="N478" s="10">
        <v>6.0812099414063567</v>
      </c>
      <c r="O478" s="10">
        <v>5.6343333333333305</v>
      </c>
      <c r="P478" s="5">
        <v>0.18665320098115215</v>
      </c>
      <c r="Q478" s="5">
        <v>0.24264732566437158</v>
      </c>
      <c r="R478" s="5">
        <v>0.2371316753209563</v>
      </c>
    </row>
    <row r="479" spans="1:18">
      <c r="A479" t="s">
        <v>2483</v>
      </c>
      <c r="B479" t="s">
        <v>110</v>
      </c>
      <c r="C479" s="10">
        <v>163.47999999999999</v>
      </c>
      <c r="D479" s="10">
        <v>65</v>
      </c>
      <c r="E479" s="10">
        <v>0.16</v>
      </c>
      <c r="F479" s="10">
        <v>161.2288920074061</v>
      </c>
      <c r="G479" s="10">
        <v>148.92153177655675</v>
      </c>
      <c r="H479" s="10">
        <v>160.32843</v>
      </c>
      <c r="I479" s="10">
        <v>194.61904761904762</v>
      </c>
      <c r="J479" s="10">
        <v>191.93915715167392</v>
      </c>
      <c r="K479" s="10">
        <v>177.28753782923422</v>
      </c>
      <c r="L479" s="10">
        <v>190.86717857142858</v>
      </c>
      <c r="M479" s="10">
        <v>2.6798904673736956</v>
      </c>
      <c r="N479" s="10">
        <v>17.331509789813396</v>
      </c>
      <c r="O479" s="10">
        <v>3.7518690476190386</v>
      </c>
      <c r="P479" s="5">
        <v>0.14827176264603983</v>
      </c>
      <c r="Q479" s="5">
        <v>7.788216813374578E-2</v>
      </c>
      <c r="R479" s="5">
        <v>0.14348815116570415</v>
      </c>
    </row>
    <row r="480" spans="1:18">
      <c r="A480" t="s">
        <v>2484</v>
      </c>
      <c r="B480" t="s">
        <v>110</v>
      </c>
      <c r="C480" s="10">
        <v>42.5</v>
      </c>
      <c r="D480" s="10">
        <v>50</v>
      </c>
      <c r="E480" s="10">
        <v>0.16</v>
      </c>
      <c r="F480" s="10">
        <v>48.343640568270132</v>
      </c>
      <c r="G480" s="10">
        <v>51.973469635331639</v>
      </c>
      <c r="H480" s="10">
        <v>52.267242000000003</v>
      </c>
      <c r="I480" s="10">
        <v>50.595238095238095</v>
      </c>
      <c r="J480" s="10">
        <v>57.551953057464445</v>
      </c>
      <c r="K480" s="10">
        <v>61.873178137299575</v>
      </c>
      <c r="L480" s="10">
        <v>62.222907142857146</v>
      </c>
      <c r="M480" s="10">
        <v>6.95671496222635</v>
      </c>
      <c r="N480" s="10">
        <v>11.277940042061481</v>
      </c>
      <c r="O480" s="10">
        <v>11.627669047619051</v>
      </c>
      <c r="P480" s="5">
        <v>0.26153678994065377</v>
      </c>
      <c r="Q480" s="5">
        <v>0.31311108820545075</v>
      </c>
      <c r="R480" s="5">
        <v>0.31697180425169558</v>
      </c>
    </row>
    <row r="481" spans="1:18">
      <c r="A481" t="s">
        <v>2485</v>
      </c>
      <c r="B481" t="s">
        <v>110</v>
      </c>
      <c r="C481" s="10">
        <v>74.290000000000006</v>
      </c>
      <c r="D481" s="10">
        <v>99</v>
      </c>
      <c r="E481" s="10">
        <v>0.16</v>
      </c>
      <c r="F481" s="10">
        <v>79.270477707149396</v>
      </c>
      <c r="G481" s="10">
        <v>82.921634465694524</v>
      </c>
      <c r="H481" s="10">
        <v>80.490166000000002</v>
      </c>
      <c r="I481" s="10">
        <v>99</v>
      </c>
      <c r="J481" s="10">
        <v>99</v>
      </c>
      <c r="K481" s="10">
        <v>99</v>
      </c>
      <c r="L481" s="10">
        <v>99</v>
      </c>
      <c r="M481" s="10">
        <v>0</v>
      </c>
      <c r="N481" s="10">
        <v>0</v>
      </c>
      <c r="O481" s="10">
        <v>0</v>
      </c>
      <c r="P481" s="5">
        <v>0.24959595959595954</v>
      </c>
      <c r="Q481" s="5">
        <v>0.24959595959595954</v>
      </c>
      <c r="R481" s="5">
        <v>0.24959595959595954</v>
      </c>
    </row>
    <row r="482" spans="1:18">
      <c r="A482" t="s">
        <v>2486</v>
      </c>
      <c r="B482" t="s">
        <v>110</v>
      </c>
      <c r="C482" s="10">
        <v>48.15</v>
      </c>
      <c r="D482" s="10">
        <v>50</v>
      </c>
      <c r="E482" s="10">
        <v>0.16</v>
      </c>
      <c r="F482" s="10">
        <v>46.880922369546788</v>
      </c>
      <c r="G482" s="10">
        <v>50.862553980995671</v>
      </c>
      <c r="H482" s="10">
        <v>50.828719999999997</v>
      </c>
      <c r="I482" s="10">
        <v>57.321428571428569</v>
      </c>
      <c r="J482" s="10">
        <v>55.810621868508086</v>
      </c>
      <c r="K482" s="10">
        <v>60.550659501185322</v>
      </c>
      <c r="L482" s="10">
        <v>60.510380952380949</v>
      </c>
      <c r="M482" s="10">
        <v>1.5108067029204832</v>
      </c>
      <c r="N482" s="10">
        <v>3.2292309297567527</v>
      </c>
      <c r="O482" s="10">
        <v>3.1889523809523794</v>
      </c>
      <c r="P482" s="5">
        <v>0.13726100179562234</v>
      </c>
      <c r="Q482" s="5">
        <v>0.20479809143850153</v>
      </c>
      <c r="R482" s="5">
        <v>0.20426876773603583</v>
      </c>
    </row>
    <row r="483" spans="1:18">
      <c r="A483" t="s">
        <v>2487</v>
      </c>
      <c r="B483" t="s">
        <v>110</v>
      </c>
      <c r="C483" s="10">
        <v>187.45</v>
      </c>
      <c r="D483" s="10">
        <v>139</v>
      </c>
      <c r="E483" s="10">
        <v>0.16</v>
      </c>
      <c r="F483" s="10">
        <v>167.55474883716815</v>
      </c>
      <c r="G483" s="10">
        <v>167.89879780219783</v>
      </c>
      <c r="H483" s="10">
        <v>181.28648000000001</v>
      </c>
      <c r="I483" s="10">
        <v>223.1547619047619</v>
      </c>
      <c r="J483" s="10">
        <v>199.46993909186685</v>
      </c>
      <c r="K483" s="10">
        <v>199.87952119309267</v>
      </c>
      <c r="L483" s="10">
        <v>215.81723809523811</v>
      </c>
      <c r="M483" s="10">
        <v>23.68482281289505</v>
      </c>
      <c r="N483" s="10">
        <v>23.275240711669227</v>
      </c>
      <c r="O483" s="10">
        <v>7.3375238095237876</v>
      </c>
      <c r="P483" s="5">
        <v>6.0259401224016108E-2</v>
      </c>
      <c r="Q483" s="5">
        <v>6.2185065878185702E-2</v>
      </c>
      <c r="R483" s="5">
        <v>0.13144102086377329</v>
      </c>
    </row>
    <row r="484" spans="1:18">
      <c r="A484" t="s">
        <v>2488</v>
      </c>
      <c r="B484" t="s">
        <v>110</v>
      </c>
      <c r="C484" s="10">
        <v>57.9</v>
      </c>
      <c r="D484" s="10">
        <v>50</v>
      </c>
      <c r="E484" s="10">
        <v>0.16</v>
      </c>
      <c r="F484" s="10">
        <v>54.744214197384252</v>
      </c>
      <c r="G484" s="10">
        <v>55.809500587275593</v>
      </c>
      <c r="H484" s="10">
        <v>55.364136000000002</v>
      </c>
      <c r="I484" s="10">
        <v>68.928571428571431</v>
      </c>
      <c r="J484" s="10">
        <v>65.171683568314592</v>
      </c>
      <c r="K484" s="10">
        <v>66.439881651518562</v>
      </c>
      <c r="L484" s="10">
        <v>65.909685714285715</v>
      </c>
      <c r="M484" s="10">
        <v>3.756887860256839</v>
      </c>
      <c r="N484" s="10">
        <v>2.4886897770528691</v>
      </c>
      <c r="O484" s="10">
        <v>3.0188857142857159</v>
      </c>
      <c r="P484" s="5">
        <v>0.11157734724916585</v>
      </c>
      <c r="Q484" s="5">
        <v>0.12853547356256276</v>
      </c>
      <c r="R484" s="5">
        <v>0.12152516929009786</v>
      </c>
    </row>
    <row r="485" spans="1:18">
      <c r="A485" t="s">
        <v>2489</v>
      </c>
      <c r="B485" t="s">
        <v>110</v>
      </c>
      <c r="C485" s="10">
        <v>91.52</v>
      </c>
      <c r="D485" s="10">
        <v>60</v>
      </c>
      <c r="E485" s="10">
        <v>0.16</v>
      </c>
      <c r="F485" s="10">
        <v>85.898054096921825</v>
      </c>
      <c r="G485" s="10">
        <v>93.699003880796894</v>
      </c>
      <c r="H485" s="10">
        <v>94.465860000000006</v>
      </c>
      <c r="I485" s="10">
        <v>108.95238095238095</v>
      </c>
      <c r="J485" s="10">
        <v>102.25958821062123</v>
      </c>
      <c r="K485" s="10">
        <v>111.54643319142488</v>
      </c>
      <c r="L485" s="10">
        <v>112.45935714285716</v>
      </c>
      <c r="M485" s="10">
        <v>6.6927927417597175</v>
      </c>
      <c r="N485" s="10">
        <v>2.5940522390439327</v>
      </c>
      <c r="O485" s="10">
        <v>3.5069761904762089</v>
      </c>
      <c r="P485" s="5">
        <v>0.10502279931443889</v>
      </c>
      <c r="Q485" s="5">
        <v>0.17953450073170441</v>
      </c>
      <c r="R485" s="5">
        <v>0.1861948856444012</v>
      </c>
    </row>
    <row r="486" spans="1:18">
      <c r="A486" t="s">
        <v>2490</v>
      </c>
      <c r="B486" t="s">
        <v>110</v>
      </c>
      <c r="C486" s="10">
        <v>88.98</v>
      </c>
      <c r="D486" s="10">
        <v>60</v>
      </c>
      <c r="E486" s="10">
        <v>0.16</v>
      </c>
      <c r="F486" s="10">
        <v>82.588378050763467</v>
      </c>
      <c r="G486" s="10">
        <v>93.156453251043217</v>
      </c>
      <c r="H486" s="10">
        <v>90.093284999999995</v>
      </c>
      <c r="I486" s="10">
        <v>105.92857142857143</v>
      </c>
      <c r="J486" s="10">
        <v>98.319497679480321</v>
      </c>
      <c r="K486" s="10">
        <v>110.90053958457526</v>
      </c>
      <c r="L486" s="10">
        <v>107.25391071428571</v>
      </c>
      <c r="M486" s="10">
        <v>7.6090737490911096</v>
      </c>
      <c r="N486" s="10">
        <v>4.9719681560038254</v>
      </c>
      <c r="O486" s="10">
        <v>1.3253392857142785</v>
      </c>
      <c r="P486" s="5">
        <v>9.4991307928839308E-2</v>
      </c>
      <c r="Q486" s="5">
        <v>0.19765944932899224</v>
      </c>
      <c r="R486" s="5">
        <v>0.17037990123237257</v>
      </c>
    </row>
    <row r="487" spans="1:18">
      <c r="A487" t="s">
        <v>2491</v>
      </c>
      <c r="B487" t="s">
        <v>110</v>
      </c>
      <c r="C487" s="10">
        <v>147.63999999999999</v>
      </c>
      <c r="D487" s="10">
        <v>60</v>
      </c>
      <c r="E487" s="10">
        <v>0.16</v>
      </c>
      <c r="F487" s="10">
        <v>141.46891509159315</v>
      </c>
      <c r="G487" s="10">
        <v>164.1807063644689</v>
      </c>
      <c r="H487" s="10">
        <v>156.26498000000001</v>
      </c>
      <c r="I487" s="10">
        <v>175.76190476190476</v>
      </c>
      <c r="J487" s="10">
        <v>168.41537510903947</v>
      </c>
      <c r="K487" s="10">
        <v>195.45322186246298</v>
      </c>
      <c r="L487" s="10">
        <v>186.02973809523812</v>
      </c>
      <c r="M487" s="10">
        <v>7.3465296528652857</v>
      </c>
      <c r="N487" s="10">
        <v>19.691317100558223</v>
      </c>
      <c r="O487" s="10">
        <v>10.267833333333357</v>
      </c>
      <c r="P487" s="5">
        <v>0.12335794814213727</v>
      </c>
      <c r="Q487" s="5">
        <v>0.24462744285744403</v>
      </c>
      <c r="R487" s="5">
        <v>0.20636344752355917</v>
      </c>
    </row>
    <row r="488" spans="1:18">
      <c r="A488" t="s">
        <v>2492</v>
      </c>
      <c r="B488" t="s">
        <v>110</v>
      </c>
      <c r="C488" s="10">
        <v>67</v>
      </c>
      <c r="D488" s="10">
        <v>50</v>
      </c>
      <c r="E488" s="10">
        <v>0.16</v>
      </c>
      <c r="F488" s="10">
        <v>68.228320075853873</v>
      </c>
      <c r="G488" s="10">
        <v>66.183026946148175</v>
      </c>
      <c r="H488" s="10">
        <v>71.511054999999999</v>
      </c>
      <c r="I488" s="10">
        <v>79.761904761904759</v>
      </c>
      <c r="J488" s="10">
        <v>81.224190566492709</v>
      </c>
      <c r="K488" s="10">
        <v>78.789317793033547</v>
      </c>
      <c r="L488" s="10">
        <v>85.132208333333338</v>
      </c>
      <c r="M488" s="10">
        <v>1.4622858045879497</v>
      </c>
      <c r="N488" s="10">
        <v>0.97258696887121232</v>
      </c>
      <c r="O488" s="10">
        <v>5.3703035714285789</v>
      </c>
      <c r="P488" s="5">
        <v>0.17512258930851804</v>
      </c>
      <c r="Q488" s="5">
        <v>0.14963091600820974</v>
      </c>
      <c r="R488" s="5">
        <v>0.21298881690390392</v>
      </c>
    </row>
    <row r="489" spans="1:18">
      <c r="A489" t="s">
        <v>2493</v>
      </c>
      <c r="B489" t="s">
        <v>110</v>
      </c>
      <c r="C489" s="10">
        <v>47.27</v>
      </c>
      <c r="D489" s="10">
        <v>50</v>
      </c>
      <c r="E489" s="10">
        <v>0.16</v>
      </c>
      <c r="F489" s="10">
        <v>41.248419641239337</v>
      </c>
      <c r="G489" s="10">
        <v>47.488545552085654</v>
      </c>
      <c r="H489" s="10">
        <v>45.491672999999999</v>
      </c>
      <c r="I489" s="10">
        <v>56.273809523809533</v>
      </c>
      <c r="J489" s="10">
        <v>50</v>
      </c>
      <c r="K489" s="10">
        <v>56.533982800101974</v>
      </c>
      <c r="L489" s="10">
        <v>54.156753571428574</v>
      </c>
      <c r="M489" s="10">
        <v>6.2738095238095326</v>
      </c>
      <c r="N489" s="10">
        <v>0.26017327629244136</v>
      </c>
      <c r="O489" s="10">
        <v>2.1170559523809587</v>
      </c>
      <c r="P489" s="5">
        <v>5.459999999999994E-2</v>
      </c>
      <c r="Q489" s="5">
        <v>0.16386573776092175</v>
      </c>
      <c r="R489" s="5">
        <v>0.12716333822235992</v>
      </c>
    </row>
    <row r="490" spans="1:18">
      <c r="A490" t="s">
        <v>2494</v>
      </c>
      <c r="B490" t="s">
        <v>110</v>
      </c>
      <c r="C490" s="10">
        <v>89.22</v>
      </c>
      <c r="D490" s="10">
        <v>50</v>
      </c>
      <c r="E490" s="10">
        <v>0.16</v>
      </c>
      <c r="F490" s="10">
        <v>93.75792649769528</v>
      </c>
      <c r="G490" s="10">
        <v>96.026457783889711</v>
      </c>
      <c r="H490" s="10">
        <v>90.122990000000001</v>
      </c>
      <c r="I490" s="10">
        <v>106.21428571428572</v>
      </c>
      <c r="J490" s="10">
        <v>111.61657916392295</v>
      </c>
      <c r="K490" s="10">
        <v>114.31721164748775</v>
      </c>
      <c r="L490" s="10">
        <v>107.28927380952382</v>
      </c>
      <c r="M490" s="10">
        <v>5.4022934496372272</v>
      </c>
      <c r="N490" s="10">
        <v>8.1029259332020303</v>
      </c>
      <c r="O490" s="10">
        <v>1.0749880952380977</v>
      </c>
      <c r="P490" s="5">
        <v>0.20065638395019045</v>
      </c>
      <c r="Q490" s="5">
        <v>0.21954009624445991</v>
      </c>
      <c r="R490" s="5">
        <v>0.1684164051814083</v>
      </c>
    </row>
    <row r="491" spans="1:18">
      <c r="A491" t="s">
        <v>2495</v>
      </c>
      <c r="B491" t="s">
        <v>110</v>
      </c>
      <c r="C491" s="10">
        <v>152.74</v>
      </c>
      <c r="D491" s="10">
        <v>65</v>
      </c>
      <c r="E491" s="10">
        <v>0.16</v>
      </c>
      <c r="F491" s="10">
        <v>146.73175458611576</v>
      </c>
      <c r="G491" s="10">
        <v>152.30927287851034</v>
      </c>
      <c r="H491" s="10">
        <v>150.54755</v>
      </c>
      <c r="I491" s="10">
        <v>181.83333333333334</v>
      </c>
      <c r="J491" s="10">
        <v>174.68066022156637</v>
      </c>
      <c r="K491" s="10">
        <v>181.32056295060755</v>
      </c>
      <c r="L491" s="10">
        <v>179.22327380952382</v>
      </c>
      <c r="M491" s="10">
        <v>7.1526731117669726</v>
      </c>
      <c r="N491" s="10">
        <v>0.51277038272579034</v>
      </c>
      <c r="O491" s="10">
        <v>2.6100595238095252</v>
      </c>
      <c r="P491" s="5">
        <v>0.12560440402352871</v>
      </c>
      <c r="Q491" s="5">
        <v>0.15762449931502254</v>
      </c>
      <c r="R491" s="5">
        <v>0.14776693476579325</v>
      </c>
    </row>
    <row r="492" spans="1:18">
      <c r="A492" t="s">
        <v>2496</v>
      </c>
      <c r="B492" t="s">
        <v>110</v>
      </c>
      <c r="C492" s="10">
        <v>67.28</v>
      </c>
      <c r="D492" s="10">
        <v>50</v>
      </c>
      <c r="E492" s="10">
        <v>0.16</v>
      </c>
      <c r="F492" s="10">
        <v>60.556286828635194</v>
      </c>
      <c r="G492" s="10">
        <v>66.328629261694033</v>
      </c>
      <c r="H492" s="10">
        <v>66.409970000000001</v>
      </c>
      <c r="I492" s="10">
        <v>80.095238095238102</v>
      </c>
      <c r="J492" s="10">
        <v>72.090817653137137</v>
      </c>
      <c r="K492" s="10">
        <v>78.962653882969093</v>
      </c>
      <c r="L492" s="10">
        <v>79.059488095238095</v>
      </c>
      <c r="M492" s="10">
        <v>8.0044204421009653</v>
      </c>
      <c r="N492" s="10">
        <v>1.1325842122690091</v>
      </c>
      <c r="O492" s="10">
        <v>1.0357500000000073</v>
      </c>
      <c r="P492" s="5">
        <v>6.6732738089949881E-2</v>
      </c>
      <c r="Q492" s="5">
        <v>0.14795163673556369</v>
      </c>
      <c r="R492" s="5">
        <v>0.14899524875557088</v>
      </c>
    </row>
    <row r="493" spans="1:18">
      <c r="A493" t="s">
        <v>2497</v>
      </c>
      <c r="B493" t="s">
        <v>110</v>
      </c>
      <c r="C493" s="10">
        <v>117.96</v>
      </c>
      <c r="D493" s="10">
        <v>65</v>
      </c>
      <c r="E493" s="10">
        <v>0.16</v>
      </c>
      <c r="F493" s="10">
        <v>111.34495310949839</v>
      </c>
      <c r="G493" s="10">
        <v>117.06621149267409</v>
      </c>
      <c r="H493" s="10">
        <v>117.68077</v>
      </c>
      <c r="I493" s="10">
        <v>140.42857142857142</v>
      </c>
      <c r="J493" s="10">
        <v>132.55351560654572</v>
      </c>
      <c r="K493" s="10">
        <v>139.36453749127867</v>
      </c>
      <c r="L493" s="10">
        <v>140.09615476190476</v>
      </c>
      <c r="M493" s="10">
        <v>7.8750558220257005</v>
      </c>
      <c r="N493" s="10">
        <v>1.0640339372927485</v>
      </c>
      <c r="O493" s="10">
        <v>0.33241666666665992</v>
      </c>
      <c r="P493" s="5">
        <v>0.11009527389573869</v>
      </c>
      <c r="Q493" s="5">
        <v>0.15358668623011901</v>
      </c>
      <c r="R493" s="5">
        <v>0.15800686892174484</v>
      </c>
    </row>
    <row r="494" spans="1:18">
      <c r="A494" t="s">
        <v>2498</v>
      </c>
      <c r="B494" t="s">
        <v>110</v>
      </c>
      <c r="C494" s="10">
        <v>123.9</v>
      </c>
      <c r="D494" s="10">
        <v>60</v>
      </c>
      <c r="E494" s="10">
        <v>0.16</v>
      </c>
      <c r="F494" s="10">
        <v>127.69125190901195</v>
      </c>
      <c r="G494" s="10">
        <v>123.8761410409036</v>
      </c>
      <c r="H494" s="10">
        <v>119.71745</v>
      </c>
      <c r="I494" s="10">
        <v>147.5</v>
      </c>
      <c r="J494" s="10">
        <v>152.01339512977614</v>
      </c>
      <c r="K494" s="10">
        <v>147.47159647726619</v>
      </c>
      <c r="L494" s="10">
        <v>142.5207738095238</v>
      </c>
      <c r="M494" s="10">
        <v>4.5133951297761428</v>
      </c>
      <c r="N494" s="10">
        <v>2.840352273381086E-2</v>
      </c>
      <c r="O494" s="10">
        <v>4.9792261904761972</v>
      </c>
      <c r="P494" s="5">
        <v>0.18494024888908839</v>
      </c>
      <c r="Q494" s="5">
        <v>0.15983821319042896</v>
      </c>
      <c r="R494" s="5">
        <v>0.13065305016102491</v>
      </c>
    </row>
    <row r="495" spans="1:18">
      <c r="A495" t="s">
        <v>2499</v>
      </c>
      <c r="B495" t="s">
        <v>110</v>
      </c>
      <c r="C495" s="10">
        <v>54.68</v>
      </c>
      <c r="D495" s="10">
        <v>50</v>
      </c>
      <c r="E495" s="10">
        <v>0.16</v>
      </c>
      <c r="F495" s="10">
        <v>56.094542418313132</v>
      </c>
      <c r="G495" s="10">
        <v>61.712554187530714</v>
      </c>
      <c r="H495" s="10">
        <v>60.939109999999999</v>
      </c>
      <c r="I495" s="10">
        <v>65.095238095238102</v>
      </c>
      <c r="J495" s="10">
        <v>66.77921716465849</v>
      </c>
      <c r="K495" s="10">
        <v>73.467326413727037</v>
      </c>
      <c r="L495" s="10">
        <v>72.54655952380952</v>
      </c>
      <c r="M495" s="10">
        <v>1.6839790694203884</v>
      </c>
      <c r="N495" s="10">
        <v>8.3720883184889345</v>
      </c>
      <c r="O495" s="10">
        <v>7.4513214285714184</v>
      </c>
      <c r="P495" s="5">
        <v>0.18118237497192088</v>
      </c>
      <c r="Q495" s="5">
        <v>0.25572356217139691</v>
      </c>
      <c r="R495" s="5">
        <v>0.24627714451359722</v>
      </c>
    </row>
    <row r="496" spans="1:18">
      <c r="A496" t="s">
        <v>2500</v>
      </c>
      <c r="B496" t="s">
        <v>110</v>
      </c>
      <c r="C496" s="10">
        <v>77.28</v>
      </c>
      <c r="D496" s="10">
        <v>99</v>
      </c>
      <c r="E496" s="10">
        <v>0.16</v>
      </c>
      <c r="F496" s="10">
        <v>75.748767114427636</v>
      </c>
      <c r="G496" s="10">
        <v>82.921685214731738</v>
      </c>
      <c r="H496" s="10">
        <v>78.226569999999995</v>
      </c>
      <c r="I496" s="10">
        <v>99</v>
      </c>
      <c r="J496" s="10">
        <v>99</v>
      </c>
      <c r="K496" s="10">
        <v>99</v>
      </c>
      <c r="L496" s="10">
        <v>99</v>
      </c>
      <c r="M496" s="10">
        <v>0</v>
      </c>
      <c r="N496" s="10">
        <v>0</v>
      </c>
      <c r="O496" s="10">
        <v>0</v>
      </c>
      <c r="P496" s="5">
        <v>0.21939393939393939</v>
      </c>
      <c r="Q496" s="5">
        <v>0.21939393939393939</v>
      </c>
      <c r="R496" s="5">
        <v>0.21939393939393939</v>
      </c>
    </row>
    <row r="497" spans="1:18">
      <c r="A497" t="s">
        <v>2501</v>
      </c>
      <c r="B497" t="s">
        <v>110</v>
      </c>
      <c r="C497" s="10">
        <v>121.59</v>
      </c>
      <c r="D497" s="10">
        <v>65</v>
      </c>
      <c r="E497" s="10">
        <v>0.16</v>
      </c>
      <c r="F497" s="10">
        <v>118.17273921217409</v>
      </c>
      <c r="G497" s="10">
        <v>126.93080528221779</v>
      </c>
      <c r="H497" s="10">
        <v>125.445274</v>
      </c>
      <c r="I497" s="10">
        <v>144.75</v>
      </c>
      <c r="J497" s="10">
        <v>140.68183239544535</v>
      </c>
      <c r="K497" s="10">
        <v>151.10810152644976</v>
      </c>
      <c r="L497" s="10">
        <v>149.33961190476191</v>
      </c>
      <c r="M497" s="10">
        <v>4.0681676045546453</v>
      </c>
      <c r="N497" s="10">
        <v>6.358101526449758</v>
      </c>
      <c r="O497" s="10">
        <v>4.5896119047619095</v>
      </c>
      <c r="P497" s="5">
        <v>0.13570929572327251</v>
      </c>
      <c r="Q497" s="5">
        <v>0.1953442682971101</v>
      </c>
      <c r="R497" s="5">
        <v>0.18581548157804653</v>
      </c>
    </row>
    <row r="498" spans="1:18">
      <c r="A498" t="s">
        <v>2502</v>
      </c>
      <c r="B498" t="s">
        <v>110</v>
      </c>
      <c r="C498" s="10">
        <v>55.45</v>
      </c>
      <c r="D498" s="10">
        <v>50</v>
      </c>
      <c r="E498" s="10">
        <v>0.16</v>
      </c>
      <c r="F498" s="10">
        <v>55.709061880890424</v>
      </c>
      <c r="G498" s="10">
        <v>57.088443797492104</v>
      </c>
      <c r="H498" s="10">
        <v>56.35472</v>
      </c>
      <c r="I498" s="10">
        <v>66.011904761904773</v>
      </c>
      <c r="J498" s="10">
        <v>66.320311762964792</v>
      </c>
      <c r="K498" s="10">
        <v>67.96243309225251</v>
      </c>
      <c r="L498" s="10">
        <v>67.088952380952378</v>
      </c>
      <c r="M498" s="10">
        <v>0.30840700106001862</v>
      </c>
      <c r="N498" s="10">
        <v>1.950528330347737</v>
      </c>
      <c r="O498" s="10">
        <v>1.0770476190476046</v>
      </c>
      <c r="P498" s="5">
        <v>0.16390622230209553</v>
      </c>
      <c r="Q498" s="5">
        <v>0.18410808034591808</v>
      </c>
      <c r="R498" s="5">
        <v>0.1734853797516871</v>
      </c>
    </row>
    <row r="499" spans="1:18">
      <c r="A499" t="s">
        <v>2503</v>
      </c>
      <c r="B499" t="s">
        <v>110</v>
      </c>
      <c r="C499" s="10">
        <v>66.91</v>
      </c>
      <c r="D499" s="10">
        <v>50</v>
      </c>
      <c r="E499" s="10">
        <v>0.16</v>
      </c>
      <c r="F499" s="10">
        <v>56.685059446701423</v>
      </c>
      <c r="G499" s="10">
        <v>60.528895112634366</v>
      </c>
      <c r="H499" s="10">
        <v>61.453189999999999</v>
      </c>
      <c r="I499" s="10">
        <v>79.654761904761898</v>
      </c>
      <c r="J499" s="10">
        <v>67.482213627025502</v>
      </c>
      <c r="K499" s="10">
        <v>72.058208467421863</v>
      </c>
      <c r="L499" s="10">
        <v>73.158559523809529</v>
      </c>
      <c r="M499" s="10">
        <v>12.172548277736396</v>
      </c>
      <c r="N499" s="10">
        <v>7.5965534373400345</v>
      </c>
      <c r="O499" s="10">
        <v>6.4962023809523686</v>
      </c>
      <c r="P499" s="5">
        <v>8.479473275552759E-3</v>
      </c>
      <c r="Q499" s="5">
        <v>7.1445135494166728E-2</v>
      </c>
      <c r="R499" s="5">
        <v>8.5411188581097378E-2</v>
      </c>
    </row>
    <row r="500" spans="1:18">
      <c r="A500" t="s">
        <v>2504</v>
      </c>
      <c r="B500" t="s">
        <v>110</v>
      </c>
      <c r="C500" s="10">
        <v>77.89</v>
      </c>
      <c r="D500" s="10">
        <v>50</v>
      </c>
      <c r="E500" s="10">
        <v>0.16</v>
      </c>
      <c r="F500" s="10">
        <v>85.006520837778268</v>
      </c>
      <c r="G500" s="10">
        <v>86.992693101343107</v>
      </c>
      <c r="H500" s="10">
        <v>81.713679999999997</v>
      </c>
      <c r="I500" s="10">
        <v>92.726190476190482</v>
      </c>
      <c r="J500" s="10">
        <v>101.19823909259318</v>
      </c>
      <c r="K500" s="10">
        <v>103.56272988255132</v>
      </c>
      <c r="L500" s="10">
        <v>97.278190476190474</v>
      </c>
      <c r="M500" s="10">
        <v>8.4720486164027022</v>
      </c>
      <c r="N500" s="10">
        <v>10.836539406360842</v>
      </c>
      <c r="O500" s="10">
        <v>4.5519999999999925</v>
      </c>
      <c r="P500" s="5">
        <v>0.23032257578382251</v>
      </c>
      <c r="Q500" s="5">
        <v>0.24789545342872205</v>
      </c>
      <c r="R500" s="5">
        <v>0.19930665220315616</v>
      </c>
    </row>
    <row r="501" spans="1:18">
      <c r="A501" t="s">
        <v>2505</v>
      </c>
      <c r="B501" t="s">
        <v>110</v>
      </c>
      <c r="C501" s="10">
        <v>96.92</v>
      </c>
      <c r="D501" s="10">
        <v>119</v>
      </c>
      <c r="E501" s="10">
        <v>0.16</v>
      </c>
      <c r="F501" s="10">
        <v>106.4598583442603</v>
      </c>
      <c r="G501" s="10">
        <v>102.32843992673992</v>
      </c>
      <c r="H501" s="10">
        <v>101.787994</v>
      </c>
      <c r="I501" s="10">
        <v>119</v>
      </c>
      <c r="J501" s="10">
        <v>126.73792660030988</v>
      </c>
      <c r="K501" s="10">
        <v>121.81957134135705</v>
      </c>
      <c r="L501" s="10">
        <v>121.17618333333334</v>
      </c>
      <c r="M501" s="10">
        <v>7.7379266003098763</v>
      </c>
      <c r="N501" s="10">
        <v>2.8195713413570473</v>
      </c>
      <c r="O501" s="10">
        <v>2.1761833333333414</v>
      </c>
      <c r="P501" s="5">
        <v>0.23527232455321681</v>
      </c>
      <c r="Q501" s="5">
        <v>0.20439713477224972</v>
      </c>
      <c r="R501" s="5">
        <v>0.20017286125120026</v>
      </c>
    </row>
    <row r="502" spans="1:18">
      <c r="A502" t="s">
        <v>2506</v>
      </c>
      <c r="B502" t="s">
        <v>110</v>
      </c>
      <c r="C502" s="10">
        <v>112.24</v>
      </c>
      <c r="D502" s="10">
        <v>60</v>
      </c>
      <c r="E502" s="10">
        <v>0.16</v>
      </c>
      <c r="F502" s="10">
        <v>121.52899879590798</v>
      </c>
      <c r="G502" s="10">
        <v>112.66817605311361</v>
      </c>
      <c r="H502" s="10">
        <v>114.21329</v>
      </c>
      <c r="I502" s="10">
        <v>133.61904761904762</v>
      </c>
      <c r="J502" s="10">
        <v>144.67737951893807</v>
      </c>
      <c r="K502" s="10">
        <v>134.12878101561145</v>
      </c>
      <c r="L502" s="10">
        <v>135.96820238095239</v>
      </c>
      <c r="M502" s="10">
        <v>11.058331899890447</v>
      </c>
      <c r="N502" s="10">
        <v>0.50973339656383132</v>
      </c>
      <c r="O502" s="10">
        <v>2.3491547619047708</v>
      </c>
      <c r="P502" s="5">
        <v>0.2242049145954573</v>
      </c>
      <c r="Q502" s="5">
        <v>0.16319227573583769</v>
      </c>
      <c r="R502" s="5">
        <v>0.17451287849251179</v>
      </c>
    </row>
    <row r="503" spans="1:18">
      <c r="A503" t="s">
        <v>2507</v>
      </c>
      <c r="B503" t="s">
        <v>110</v>
      </c>
      <c r="C503" s="10">
        <v>94.47</v>
      </c>
      <c r="D503" s="10">
        <v>65</v>
      </c>
      <c r="E503" s="10">
        <v>0.16</v>
      </c>
      <c r="F503" s="10">
        <v>97.289463252575757</v>
      </c>
      <c r="G503" s="10">
        <v>82.234200310426772</v>
      </c>
      <c r="H503" s="10">
        <v>84.427000000000007</v>
      </c>
      <c r="I503" s="10">
        <v>112.46428571428572</v>
      </c>
      <c r="J503" s="10">
        <v>115.82078958639971</v>
      </c>
      <c r="K503" s="10">
        <v>97.897857512412827</v>
      </c>
      <c r="L503" s="10">
        <v>100.50833333333334</v>
      </c>
      <c r="M503" s="10">
        <v>3.3565038721139899</v>
      </c>
      <c r="N503" s="10">
        <v>14.566428201872895</v>
      </c>
      <c r="O503" s="10">
        <v>11.955952380952382</v>
      </c>
      <c r="P503" s="5">
        <v>0.18434332612171067</v>
      </c>
      <c r="Q503" s="5">
        <v>3.5014632592732658E-2</v>
      </c>
      <c r="R503" s="5">
        <v>6.007793715280664E-2</v>
      </c>
    </row>
    <row r="504" spans="1:18">
      <c r="A504" t="s">
        <v>2508</v>
      </c>
      <c r="B504" t="s">
        <v>110</v>
      </c>
      <c r="C504" s="10">
        <v>74.98</v>
      </c>
      <c r="D504" s="10">
        <v>99</v>
      </c>
      <c r="E504" s="10">
        <v>0.16</v>
      </c>
      <c r="F504" s="10">
        <v>80.624323557696442</v>
      </c>
      <c r="G504" s="10">
        <v>82.788280207452786</v>
      </c>
      <c r="H504" s="10">
        <v>80.29665</v>
      </c>
      <c r="I504" s="10">
        <v>99</v>
      </c>
      <c r="J504" s="10">
        <v>99</v>
      </c>
      <c r="K504" s="10">
        <v>99</v>
      </c>
      <c r="L504" s="10">
        <v>99</v>
      </c>
      <c r="M504" s="10">
        <v>0</v>
      </c>
      <c r="N504" s="10">
        <v>0</v>
      </c>
      <c r="O504" s="10">
        <v>0</v>
      </c>
      <c r="P504" s="5">
        <v>0.24262626262626258</v>
      </c>
      <c r="Q504" s="5">
        <v>0.24262626262626258</v>
      </c>
      <c r="R504" s="5">
        <v>0.24262626262626258</v>
      </c>
    </row>
    <row r="505" spans="1:18">
      <c r="A505" t="s">
        <v>2509</v>
      </c>
      <c r="B505" t="s">
        <v>110</v>
      </c>
      <c r="C505" s="10">
        <v>54.64</v>
      </c>
      <c r="D505" s="10">
        <v>50</v>
      </c>
      <c r="E505" s="10">
        <v>0.16</v>
      </c>
      <c r="F505" s="10">
        <v>54.204198545619207</v>
      </c>
      <c r="G505" s="10">
        <v>56.763435067303654</v>
      </c>
      <c r="H505" s="10">
        <v>58.843420000000002</v>
      </c>
      <c r="I505" s="10">
        <v>65.047619047619051</v>
      </c>
      <c r="J505" s="10">
        <v>64.528807792403825</v>
      </c>
      <c r="K505" s="10">
        <v>67.575517937266255</v>
      </c>
      <c r="L505" s="10">
        <v>70.051690476190487</v>
      </c>
      <c r="M505" s="10">
        <v>0.5188112552152262</v>
      </c>
      <c r="N505" s="10">
        <v>2.5278988896472043</v>
      </c>
      <c r="O505" s="10">
        <v>5.0040714285714358</v>
      </c>
      <c r="P505" s="5">
        <v>0.15324640467893336</v>
      </c>
      <c r="Q505" s="5">
        <v>0.1914231415773231</v>
      </c>
      <c r="R505" s="5">
        <v>0.22000454766225361</v>
      </c>
    </row>
    <row r="506" spans="1:18">
      <c r="A506" t="s">
        <v>2510</v>
      </c>
      <c r="B506" t="s">
        <v>110</v>
      </c>
      <c r="C506" s="10">
        <v>32.799999999999997</v>
      </c>
      <c r="D506" s="10">
        <v>50</v>
      </c>
      <c r="E506" s="10">
        <v>0.16</v>
      </c>
      <c r="F506" s="10">
        <v>41.839560691615063</v>
      </c>
      <c r="G506" s="10">
        <v>47.936140787437147</v>
      </c>
      <c r="H506" s="10">
        <v>46.636448000000001</v>
      </c>
      <c r="I506" s="10">
        <v>50</v>
      </c>
      <c r="J506" s="10">
        <v>50</v>
      </c>
      <c r="K506" s="10">
        <v>57.066834270758513</v>
      </c>
      <c r="L506" s="10">
        <v>55.519580952380956</v>
      </c>
      <c r="M506" s="10">
        <v>0</v>
      </c>
      <c r="N506" s="10">
        <v>7.0668342707585126</v>
      </c>
      <c r="O506" s="10">
        <v>5.5195809523809558</v>
      </c>
      <c r="P506" s="5">
        <v>0.34400000000000008</v>
      </c>
      <c r="Q506" s="5">
        <v>0.42523533293650789</v>
      </c>
      <c r="R506" s="5">
        <v>0.40921744297507401</v>
      </c>
    </row>
    <row r="507" spans="1:18">
      <c r="A507" t="s">
        <v>2511</v>
      </c>
      <c r="B507" t="s">
        <v>110</v>
      </c>
      <c r="C507" s="10">
        <v>102.14</v>
      </c>
      <c r="D507" s="10">
        <v>60</v>
      </c>
      <c r="E507" s="10">
        <v>0.16</v>
      </c>
      <c r="F507" s="10">
        <v>95.936696282276102</v>
      </c>
      <c r="G507" s="10">
        <v>103.26540689449963</v>
      </c>
      <c r="H507" s="10">
        <v>100.912094</v>
      </c>
      <c r="I507" s="10">
        <v>121.5952380952381</v>
      </c>
      <c r="J507" s="10">
        <v>114.21035271699536</v>
      </c>
      <c r="K507" s="10">
        <v>122.93500820773767</v>
      </c>
      <c r="L507" s="10">
        <v>120.13344523809523</v>
      </c>
      <c r="M507" s="10">
        <v>7.3848853782427426</v>
      </c>
      <c r="N507" s="10">
        <v>1.3397701124995649</v>
      </c>
      <c r="O507" s="10">
        <v>1.4617928571428678</v>
      </c>
      <c r="P507" s="5">
        <v>0.10568527659576346</v>
      </c>
      <c r="Q507" s="5">
        <v>0.16915448667476321</v>
      </c>
      <c r="R507" s="5">
        <v>0.14977881640232335</v>
      </c>
    </row>
    <row r="508" spans="1:18">
      <c r="A508" t="s">
        <v>2512</v>
      </c>
      <c r="B508" t="s">
        <v>110</v>
      </c>
      <c r="C508" s="10">
        <v>113.23</v>
      </c>
      <c r="D508" s="10">
        <v>65</v>
      </c>
      <c r="E508" s="10">
        <v>0.16</v>
      </c>
      <c r="F508" s="10">
        <v>111.02219472948099</v>
      </c>
      <c r="G508" s="10">
        <v>114.30115764652021</v>
      </c>
      <c r="H508" s="10">
        <v>112.17587</v>
      </c>
      <c r="I508" s="10">
        <v>134.79761904761907</v>
      </c>
      <c r="J508" s="10">
        <v>132.16927943985831</v>
      </c>
      <c r="K508" s="10">
        <v>136.07280672204789</v>
      </c>
      <c r="L508" s="10">
        <v>133.54270238095239</v>
      </c>
      <c r="M508" s="10">
        <v>2.6283396077607506</v>
      </c>
      <c r="N508" s="10">
        <v>1.2751876744288211</v>
      </c>
      <c r="O508" s="10">
        <v>1.2549166666666736</v>
      </c>
      <c r="P508" s="5">
        <v>0.14329562452125155</v>
      </c>
      <c r="Q508" s="5">
        <v>0.16787194497066737</v>
      </c>
      <c r="R508" s="5">
        <v>0.15210642003489702</v>
      </c>
    </row>
    <row r="509" spans="1:18">
      <c r="A509" t="s">
        <v>2513</v>
      </c>
      <c r="B509" t="s">
        <v>110</v>
      </c>
      <c r="C509" s="10">
        <v>46.86</v>
      </c>
      <c r="D509" s="10">
        <v>50</v>
      </c>
      <c r="E509" s="10">
        <v>0.16</v>
      </c>
      <c r="F509" s="10">
        <v>44.937477235778296</v>
      </c>
      <c r="G509" s="10">
        <v>50.684120491863411</v>
      </c>
      <c r="H509" s="10">
        <v>50.664560000000002</v>
      </c>
      <c r="I509" s="10">
        <v>55.785714285714285</v>
      </c>
      <c r="J509" s="10">
        <v>53.496996709259875</v>
      </c>
      <c r="K509" s="10">
        <v>60.338238680789779</v>
      </c>
      <c r="L509" s="10">
        <v>60.314952380952384</v>
      </c>
      <c r="M509" s="10">
        <v>2.2887175764544097</v>
      </c>
      <c r="N509" s="10">
        <v>4.5525243950754941</v>
      </c>
      <c r="O509" s="10">
        <v>4.5292380952380995</v>
      </c>
      <c r="P509" s="5">
        <v>0.12406297769069097</v>
      </c>
      <c r="Q509" s="5">
        <v>0.22337805967612576</v>
      </c>
      <c r="R509" s="5">
        <v>0.22307822272610286</v>
      </c>
    </row>
    <row r="510" spans="1:18">
      <c r="A510" t="s">
        <v>2514</v>
      </c>
      <c r="B510" t="s">
        <v>110</v>
      </c>
      <c r="C510" s="10">
        <v>185.29</v>
      </c>
      <c r="D510" s="10">
        <v>119</v>
      </c>
      <c r="E510" s="10">
        <v>0.16</v>
      </c>
      <c r="F510" s="10">
        <v>159.85850939806224</v>
      </c>
      <c r="G510" s="10">
        <v>138.43832077228316</v>
      </c>
      <c r="H510" s="10">
        <v>178.37441999999999</v>
      </c>
      <c r="I510" s="10">
        <v>220.58333333333334</v>
      </c>
      <c r="J510" s="10">
        <v>190.30774928340745</v>
      </c>
      <c r="K510" s="10">
        <v>164.80752472890853</v>
      </c>
      <c r="L510" s="10">
        <v>212.35049999999998</v>
      </c>
      <c r="M510" s="10">
        <v>30.275584049925897</v>
      </c>
      <c r="N510" s="10">
        <v>55.77580860442481</v>
      </c>
      <c r="O510" s="10">
        <v>8.2328333333333603</v>
      </c>
      <c r="P510" s="5">
        <v>2.6366500062669503E-2</v>
      </c>
      <c r="Q510" s="5">
        <v>-0.12428118985940131</v>
      </c>
      <c r="R510" s="5">
        <v>0.12743318240362039</v>
      </c>
    </row>
    <row r="511" spans="1:18">
      <c r="A511" t="s">
        <v>2515</v>
      </c>
      <c r="B511" t="s">
        <v>110</v>
      </c>
      <c r="C511" s="10">
        <v>93.88</v>
      </c>
      <c r="D511" s="10">
        <v>60</v>
      </c>
      <c r="E511" s="10">
        <v>0.16</v>
      </c>
      <c r="F511" s="10">
        <v>88.722285583485075</v>
      </c>
      <c r="G511" s="10">
        <v>98.248517719999242</v>
      </c>
      <c r="H511" s="10">
        <v>96.700069999999997</v>
      </c>
      <c r="I511" s="10">
        <v>111.76190476190476</v>
      </c>
      <c r="J511" s="10">
        <v>105.62176855176796</v>
      </c>
      <c r="K511" s="10">
        <v>116.96252109523719</v>
      </c>
      <c r="L511" s="10">
        <v>115.11913095238096</v>
      </c>
      <c r="M511" s="10">
        <v>6.1401362101368022</v>
      </c>
      <c r="N511" s="10">
        <v>5.2006163333324338</v>
      </c>
      <c r="O511" s="10">
        <v>3.3572261904761973</v>
      </c>
      <c r="P511" s="5">
        <v>0.11116807371023159</v>
      </c>
      <c r="Q511" s="5">
        <v>0.19734972262133579</v>
      </c>
      <c r="R511" s="5">
        <v>0.1844969708915413</v>
      </c>
    </row>
    <row r="512" spans="1:18">
      <c r="A512" t="s">
        <v>2516</v>
      </c>
      <c r="B512" t="s">
        <v>110</v>
      </c>
      <c r="C512" s="10">
        <v>135.5</v>
      </c>
      <c r="D512" s="10">
        <v>65</v>
      </c>
      <c r="E512" s="10">
        <v>0.16</v>
      </c>
      <c r="F512" s="10">
        <v>133.74682113006088</v>
      </c>
      <c r="G512" s="10">
        <v>137.44231309523812</v>
      </c>
      <c r="H512" s="10">
        <v>129.77629999999999</v>
      </c>
      <c r="I512" s="10">
        <v>161.30952380952382</v>
      </c>
      <c r="J512" s="10">
        <v>159.22240610721533</v>
      </c>
      <c r="K512" s="10">
        <v>163.62180130385491</v>
      </c>
      <c r="L512" s="10">
        <v>154.49559523809523</v>
      </c>
      <c r="M512" s="10">
        <v>2.0871177023084897</v>
      </c>
      <c r="N512" s="10">
        <v>2.3122774943310844</v>
      </c>
      <c r="O512" s="10">
        <v>6.8139285714285904</v>
      </c>
      <c r="P512" s="5">
        <v>0.14898911960444447</v>
      </c>
      <c r="Q512" s="5">
        <v>0.17187074753951118</v>
      </c>
      <c r="R512" s="5">
        <v>0.12295234183745411</v>
      </c>
    </row>
    <row r="513" spans="1:18">
      <c r="A513" t="s">
        <v>2517</v>
      </c>
      <c r="B513" t="s">
        <v>110</v>
      </c>
      <c r="C513" s="10">
        <v>68.22</v>
      </c>
      <c r="D513" s="10">
        <v>50</v>
      </c>
      <c r="E513" s="10">
        <v>0.16</v>
      </c>
      <c r="F513" s="10">
        <v>59.924957751951005</v>
      </c>
      <c r="G513" s="10">
        <v>70.165055487877169</v>
      </c>
      <c r="H513" s="10">
        <v>66.164116000000007</v>
      </c>
      <c r="I513" s="10">
        <v>81.214285714285722</v>
      </c>
      <c r="J513" s="10">
        <v>71.33923541898929</v>
      </c>
      <c r="K513" s="10">
        <v>83.529827961758542</v>
      </c>
      <c r="L513" s="10">
        <v>78.76680476190478</v>
      </c>
      <c r="M513" s="10">
        <v>9.8750502952964325</v>
      </c>
      <c r="N513" s="10">
        <v>2.3155422474728198</v>
      </c>
      <c r="O513" s="10">
        <v>2.4474809523809427</v>
      </c>
      <c r="P513" s="5">
        <v>4.372398163043676E-2</v>
      </c>
      <c r="Q513" s="5">
        <v>0.18328575953451812</v>
      </c>
      <c r="R513" s="5">
        <v>0.13389910627688298</v>
      </c>
    </row>
    <row r="514" spans="1:18">
      <c r="A514" t="s">
        <v>2518</v>
      </c>
      <c r="B514" t="s">
        <v>110</v>
      </c>
      <c r="C514" s="10">
        <v>91.74</v>
      </c>
      <c r="D514" s="10">
        <v>99</v>
      </c>
      <c r="E514" s="10">
        <v>0.16</v>
      </c>
      <c r="F514" s="10">
        <v>89.980755913392741</v>
      </c>
      <c r="G514" s="10">
        <v>91.216508836996312</v>
      </c>
      <c r="H514" s="10">
        <v>90.156199999999998</v>
      </c>
      <c r="I514" s="10">
        <v>109.21428571428571</v>
      </c>
      <c r="J514" s="10">
        <v>107.11994751594375</v>
      </c>
      <c r="K514" s="10">
        <v>108.59108194880514</v>
      </c>
      <c r="L514" s="10">
        <v>107.32880952380953</v>
      </c>
      <c r="M514" s="10">
        <v>2.0943381983419584</v>
      </c>
      <c r="N514" s="10">
        <v>0.62320376548056799</v>
      </c>
      <c r="O514" s="10">
        <v>1.885476190476183</v>
      </c>
      <c r="P514" s="5">
        <v>0.14357687688051379</v>
      </c>
      <c r="Q514" s="5">
        <v>0.15517924351052625</v>
      </c>
      <c r="R514" s="5">
        <v>0.14524347743139135</v>
      </c>
    </row>
    <row r="515" spans="1:18">
      <c r="A515" t="s">
        <v>2519</v>
      </c>
      <c r="B515" t="s">
        <v>110</v>
      </c>
      <c r="C515" s="10">
        <v>128.76</v>
      </c>
      <c r="D515" s="10">
        <v>139</v>
      </c>
      <c r="E515" s="10">
        <v>0.16</v>
      </c>
      <c r="F515" s="10">
        <v>125.70804873639445</v>
      </c>
      <c r="G515" s="10">
        <v>129.21792467948723</v>
      </c>
      <c r="H515" s="10">
        <v>125.44001</v>
      </c>
      <c r="I515" s="10">
        <v>153.28571428571428</v>
      </c>
      <c r="J515" s="10">
        <v>149.65243897189816</v>
      </c>
      <c r="K515" s="10">
        <v>153.83086271367529</v>
      </c>
      <c r="L515" s="10">
        <v>149.33334523809523</v>
      </c>
      <c r="M515" s="10">
        <v>3.6332753138161138</v>
      </c>
      <c r="N515" s="10">
        <v>0.54514842796100993</v>
      </c>
      <c r="O515" s="10">
        <v>3.9523690476190438</v>
      </c>
      <c r="P515" s="5">
        <v>0.13960640478316139</v>
      </c>
      <c r="Q515" s="5">
        <v>0.16297680628847272</v>
      </c>
      <c r="R515" s="5">
        <v>0.13776792587947023</v>
      </c>
    </row>
    <row r="516" spans="1:18">
      <c r="A516" t="s">
        <v>2520</v>
      </c>
      <c r="B516" t="s">
        <v>110</v>
      </c>
      <c r="C516" s="10">
        <v>61.38</v>
      </c>
      <c r="D516" s="10">
        <v>50</v>
      </c>
      <c r="E516" s="10">
        <v>0.16</v>
      </c>
      <c r="F516" s="10">
        <v>59.855159817674654</v>
      </c>
      <c r="G516" s="10">
        <v>61.024073135724969</v>
      </c>
      <c r="H516" s="10">
        <v>60.402760000000001</v>
      </c>
      <c r="I516" s="10">
        <v>73.071428571428584</v>
      </c>
      <c r="J516" s="10">
        <v>71.256142640088882</v>
      </c>
      <c r="K516" s="10">
        <v>72.647706113958293</v>
      </c>
      <c r="L516" s="10">
        <v>71.908047619047622</v>
      </c>
      <c r="M516" s="10">
        <v>1.8152859313397016</v>
      </c>
      <c r="N516" s="10">
        <v>0.42372245747029069</v>
      </c>
      <c r="O516" s="10">
        <v>1.1633809523809617</v>
      </c>
      <c r="P516" s="5">
        <v>0.13860057918055949</v>
      </c>
      <c r="Q516" s="5">
        <v>0.15510064552187355</v>
      </c>
      <c r="R516" s="5">
        <v>0.14640986603923398</v>
      </c>
    </row>
    <row r="517" spans="1:18">
      <c r="A517" t="s">
        <v>2521</v>
      </c>
      <c r="B517" t="s">
        <v>110</v>
      </c>
      <c r="C517" s="10">
        <v>68.53</v>
      </c>
      <c r="D517" s="10">
        <v>50</v>
      </c>
      <c r="E517" s="10">
        <v>0.16</v>
      </c>
      <c r="F517" s="10">
        <v>70.669679135279154</v>
      </c>
      <c r="G517" s="10">
        <v>69.97351465674079</v>
      </c>
      <c r="H517" s="10">
        <v>71.487139999999997</v>
      </c>
      <c r="I517" s="10">
        <v>81.583333333333343</v>
      </c>
      <c r="J517" s="10">
        <v>84.13057039914186</v>
      </c>
      <c r="K517" s="10">
        <v>83.301803162786655</v>
      </c>
      <c r="L517" s="10">
        <v>85.1037380952381</v>
      </c>
      <c r="M517" s="10">
        <v>2.5472370658085168</v>
      </c>
      <c r="N517" s="10">
        <v>1.7184698294533121</v>
      </c>
      <c r="O517" s="10">
        <v>3.5204047619047572</v>
      </c>
      <c r="P517" s="5">
        <v>0.18543283761334139</v>
      </c>
      <c r="Q517" s="5">
        <v>0.1773287324155505</v>
      </c>
      <c r="R517" s="5">
        <v>0.19474747486051341</v>
      </c>
    </row>
    <row r="518" spans="1:18">
      <c r="A518" t="s">
        <v>2522</v>
      </c>
      <c r="B518" t="s">
        <v>110</v>
      </c>
      <c r="C518" s="10">
        <v>50.47</v>
      </c>
      <c r="D518" s="10">
        <v>50</v>
      </c>
      <c r="E518" s="10">
        <v>0.16</v>
      </c>
      <c r="F518" s="10">
        <v>53.947042803264914</v>
      </c>
      <c r="G518" s="10">
        <v>56.155456440511976</v>
      </c>
      <c r="H518" s="10">
        <v>56.008682</v>
      </c>
      <c r="I518" s="10">
        <v>60.083333333333336</v>
      </c>
      <c r="J518" s="10">
        <v>64.222670003886805</v>
      </c>
      <c r="K518" s="10">
        <v>66.85173385775235</v>
      </c>
      <c r="L518" s="10">
        <v>66.677002380952388</v>
      </c>
      <c r="M518" s="10">
        <v>4.1393366705534689</v>
      </c>
      <c r="N518" s="10">
        <v>6.7684005244190146</v>
      </c>
      <c r="O518" s="10">
        <v>6.593669047619052</v>
      </c>
      <c r="P518" s="5">
        <v>0.21414042740755693</v>
      </c>
      <c r="Q518" s="5">
        <v>0.24504575891194588</v>
      </c>
      <c r="R518" s="5">
        <v>0.24306735159381193</v>
      </c>
    </row>
    <row r="519" spans="1:18">
      <c r="A519" t="s">
        <v>2523</v>
      </c>
      <c r="B519" t="s">
        <v>110</v>
      </c>
      <c r="C519" s="10">
        <v>61.36</v>
      </c>
      <c r="D519" s="10">
        <v>50</v>
      </c>
      <c r="E519" s="10">
        <v>0.16</v>
      </c>
      <c r="F519" s="10">
        <v>57.483255737419064</v>
      </c>
      <c r="G519" s="10">
        <v>55.857791290799703</v>
      </c>
      <c r="H519" s="10">
        <v>60.744779999999999</v>
      </c>
      <c r="I519" s="10">
        <v>73.047619047619051</v>
      </c>
      <c r="J519" s="10">
        <v>68.432447306451266</v>
      </c>
      <c r="K519" s="10">
        <v>66.497370584285363</v>
      </c>
      <c r="L519" s="10">
        <v>72.315214285714291</v>
      </c>
      <c r="M519" s="10">
        <v>4.6151717411677851</v>
      </c>
      <c r="N519" s="10">
        <v>6.5502484633336877</v>
      </c>
      <c r="O519" s="10">
        <v>0.73240476190476045</v>
      </c>
      <c r="P519" s="5">
        <v>0.10334932601167593</v>
      </c>
      <c r="Q519" s="5">
        <v>7.7256747735216846E-2</v>
      </c>
      <c r="R519" s="5">
        <v>0.15149252330817567</v>
      </c>
    </row>
    <row r="520" spans="1:18">
      <c r="A520" t="s">
        <v>2524</v>
      </c>
      <c r="B520" t="s">
        <v>110</v>
      </c>
      <c r="C520" s="10">
        <v>53.8</v>
      </c>
      <c r="D520" s="10">
        <v>50</v>
      </c>
      <c r="E520" s="10">
        <v>0.16</v>
      </c>
      <c r="F520" s="10">
        <v>57.832112611124295</v>
      </c>
      <c r="G520" s="10">
        <v>60.289292272658621</v>
      </c>
      <c r="H520" s="10">
        <v>60.130955</v>
      </c>
      <c r="I520" s="10">
        <v>64.047619047619051</v>
      </c>
      <c r="J520" s="10">
        <v>68.847753108481299</v>
      </c>
      <c r="K520" s="10">
        <v>71.772966991260262</v>
      </c>
      <c r="L520" s="10">
        <v>71.584470238095236</v>
      </c>
      <c r="M520" s="10">
        <v>4.8001340608622485</v>
      </c>
      <c r="N520" s="10">
        <v>7.7253479436412107</v>
      </c>
      <c r="O520" s="10">
        <v>7.5368511904761846</v>
      </c>
      <c r="P520" s="5">
        <v>0.2185656383697957</v>
      </c>
      <c r="Q520" s="5">
        <v>0.25041415653680332</v>
      </c>
      <c r="R520" s="5">
        <v>0.24844034158446346</v>
      </c>
    </row>
    <row r="521" spans="1:18">
      <c r="A521" t="s">
        <v>2525</v>
      </c>
      <c r="B521" t="s">
        <v>110</v>
      </c>
      <c r="C521" s="10">
        <v>61.1</v>
      </c>
      <c r="D521" s="10">
        <v>50</v>
      </c>
      <c r="E521" s="10">
        <v>0.16</v>
      </c>
      <c r="F521" s="10">
        <v>55.756109191494609</v>
      </c>
      <c r="G521" s="10">
        <v>59.892099640775442</v>
      </c>
      <c r="H521" s="10">
        <v>60.44567</v>
      </c>
      <c r="I521" s="10">
        <v>72.738095238095241</v>
      </c>
      <c r="J521" s="10">
        <v>66.37632046606501</v>
      </c>
      <c r="K521" s="10">
        <v>71.30011861997076</v>
      </c>
      <c r="L521" s="10">
        <v>71.95913095238096</v>
      </c>
      <c r="M521" s="10">
        <v>6.3617747720302305</v>
      </c>
      <c r="N521" s="10">
        <v>1.4379766181244804</v>
      </c>
      <c r="O521" s="10">
        <v>0.77896428571428089</v>
      </c>
      <c r="P521" s="5">
        <v>7.9491005663119507E-2</v>
      </c>
      <c r="Q521" s="5">
        <v>0.14305892917706539</v>
      </c>
      <c r="R521" s="5">
        <v>0.15090692186884527</v>
      </c>
    </row>
    <row r="522" spans="1:18">
      <c r="A522" t="s">
        <v>2526</v>
      </c>
      <c r="B522" t="s">
        <v>110</v>
      </c>
      <c r="C522" s="10">
        <v>94.03</v>
      </c>
      <c r="D522" s="10">
        <v>60</v>
      </c>
      <c r="E522" s="10">
        <v>0.16</v>
      </c>
      <c r="F522" s="10">
        <v>91.640777915679422</v>
      </c>
      <c r="G522" s="10">
        <v>97.210666546508094</v>
      </c>
      <c r="H522" s="10">
        <v>99.351550000000003</v>
      </c>
      <c r="I522" s="10">
        <v>111.94047619047619</v>
      </c>
      <c r="J522" s="10">
        <v>109.09616418533265</v>
      </c>
      <c r="K522" s="10">
        <v>115.72698398393821</v>
      </c>
      <c r="L522" s="10">
        <v>118.27565476190478</v>
      </c>
      <c r="M522" s="10">
        <v>2.8443120051435358</v>
      </c>
      <c r="N522" s="10">
        <v>3.7865077934620217</v>
      </c>
      <c r="O522" s="10">
        <v>6.3351785714285853</v>
      </c>
      <c r="P522" s="5">
        <v>0.13809985252770429</v>
      </c>
      <c r="Q522" s="5">
        <v>0.18748422569233761</v>
      </c>
      <c r="R522" s="5">
        <v>0.20499277565372667</v>
      </c>
    </row>
    <row r="523" spans="1:18">
      <c r="A523" t="s">
        <v>2527</v>
      </c>
      <c r="B523" t="s">
        <v>110</v>
      </c>
      <c r="C523" s="10">
        <v>79.209999999999994</v>
      </c>
      <c r="D523" s="10">
        <v>60</v>
      </c>
      <c r="E523" s="10">
        <v>0.16</v>
      </c>
      <c r="F523" s="10">
        <v>77.670739567762752</v>
      </c>
      <c r="G523" s="10">
        <v>73.503912277194786</v>
      </c>
      <c r="H523" s="10">
        <v>75.887649999999994</v>
      </c>
      <c r="I523" s="10">
        <v>94.297619047619037</v>
      </c>
      <c r="J523" s="10">
        <v>92.465166152098519</v>
      </c>
      <c r="K523" s="10">
        <v>87.504657472850937</v>
      </c>
      <c r="L523" s="10">
        <v>90.342440476190475</v>
      </c>
      <c r="M523" s="10">
        <v>1.8324528955205182</v>
      </c>
      <c r="N523" s="10">
        <v>6.7929615747680998</v>
      </c>
      <c r="O523" s="10">
        <v>3.9551785714285614</v>
      </c>
      <c r="P523" s="5">
        <v>0.14335307774491785</v>
      </c>
      <c r="Q523" s="5">
        <v>9.4791039841787064E-2</v>
      </c>
      <c r="R523" s="5">
        <v>0.12322492526781373</v>
      </c>
    </row>
    <row r="524" spans="1:18">
      <c r="A524" t="s">
        <v>2528</v>
      </c>
      <c r="B524" t="s">
        <v>110</v>
      </c>
      <c r="C524" s="10">
        <v>51.44</v>
      </c>
      <c r="D524" s="10">
        <v>50</v>
      </c>
      <c r="E524" s="10">
        <v>0.16</v>
      </c>
      <c r="F524" s="10">
        <v>40.678886177689435</v>
      </c>
      <c r="G524" s="10">
        <v>48.958390258056575</v>
      </c>
      <c r="H524" s="10">
        <v>47.56053</v>
      </c>
      <c r="I524" s="10">
        <v>61.238095238095241</v>
      </c>
      <c r="J524" s="10">
        <v>50</v>
      </c>
      <c r="K524" s="10">
        <v>58.283797926257826</v>
      </c>
      <c r="L524" s="10">
        <v>56.619678571428572</v>
      </c>
      <c r="M524" s="10">
        <v>11.238095238095241</v>
      </c>
      <c r="N524" s="10">
        <v>2.954297311837415</v>
      </c>
      <c r="O524" s="10">
        <v>4.6184166666666684</v>
      </c>
      <c r="P524" s="5">
        <v>-2.8799999999999954E-2</v>
      </c>
      <c r="Q524" s="5">
        <v>0.11742196235936407</v>
      </c>
      <c r="R524" s="5">
        <v>9.1481949423187728E-2</v>
      </c>
    </row>
    <row r="525" spans="1:18">
      <c r="A525" t="s">
        <v>2529</v>
      </c>
      <c r="B525" t="s">
        <v>110</v>
      </c>
      <c r="C525" s="10">
        <v>122.63</v>
      </c>
      <c r="D525" s="10">
        <v>60</v>
      </c>
      <c r="E525" s="10">
        <v>0.16</v>
      </c>
      <c r="F525" s="10">
        <v>122.6858584898566</v>
      </c>
      <c r="G525" s="10">
        <v>124.09222190170941</v>
      </c>
      <c r="H525" s="10">
        <v>120.48394999999999</v>
      </c>
      <c r="I525" s="10">
        <v>145.98809523809524</v>
      </c>
      <c r="J525" s="10">
        <v>146.05459344030547</v>
      </c>
      <c r="K525" s="10">
        <v>147.7288355972731</v>
      </c>
      <c r="L525" s="10">
        <v>143.4332738095238</v>
      </c>
      <c r="M525" s="10">
        <v>6.6498202210226509E-2</v>
      </c>
      <c r="N525" s="10">
        <v>1.7407403591778632</v>
      </c>
      <c r="O525" s="10">
        <v>2.5548214285714437</v>
      </c>
      <c r="P525" s="5">
        <v>0.1603824493878683</v>
      </c>
      <c r="Q525" s="5">
        <v>0.16989801277318403</v>
      </c>
      <c r="R525" s="5">
        <v>0.1450379905373288</v>
      </c>
    </row>
    <row r="526" spans="1:18">
      <c r="A526" t="s">
        <v>2530</v>
      </c>
      <c r="B526" t="s">
        <v>110</v>
      </c>
      <c r="C526" s="10">
        <v>169.98</v>
      </c>
      <c r="D526" s="10">
        <v>60</v>
      </c>
      <c r="E526" s="10">
        <v>0.16</v>
      </c>
      <c r="F526" s="10">
        <v>179.67766666620315</v>
      </c>
      <c r="G526" s="10">
        <v>187.45537084859592</v>
      </c>
      <c r="H526" s="10">
        <v>183.88435000000001</v>
      </c>
      <c r="I526" s="10">
        <v>202.35714285714286</v>
      </c>
      <c r="J526" s="10">
        <v>213.90198412643232</v>
      </c>
      <c r="K526" s="10">
        <v>223.16115577213802</v>
      </c>
      <c r="L526" s="10">
        <v>218.90994047619049</v>
      </c>
      <c r="M526" s="10">
        <v>11.544841269289464</v>
      </c>
      <c r="N526" s="10">
        <v>20.804012914995155</v>
      </c>
      <c r="O526" s="10">
        <v>16.552797619047624</v>
      </c>
      <c r="P526" s="5">
        <v>0.20533696452516825</v>
      </c>
      <c r="Q526" s="5">
        <v>0.23830830051104157</v>
      </c>
      <c r="R526" s="5">
        <v>0.22351630250208904</v>
      </c>
    </row>
    <row r="527" spans="1:18">
      <c r="A527" t="s">
        <v>2531</v>
      </c>
      <c r="B527" t="s">
        <v>110</v>
      </c>
      <c r="C527" s="10">
        <v>37.11</v>
      </c>
      <c r="D527" s="10">
        <v>50</v>
      </c>
      <c r="E527" s="10">
        <v>0.16</v>
      </c>
      <c r="F527" s="10">
        <v>41.759171878705345</v>
      </c>
      <c r="G527" s="10">
        <v>48.517674873666181</v>
      </c>
      <c r="H527" s="10">
        <v>46.905211999999999</v>
      </c>
      <c r="I527" s="10">
        <v>50</v>
      </c>
      <c r="J527" s="10">
        <v>50</v>
      </c>
      <c r="K527" s="10">
        <v>57.759136754364505</v>
      </c>
      <c r="L527" s="10">
        <v>55.839538095238098</v>
      </c>
      <c r="M527" s="10">
        <v>0</v>
      </c>
      <c r="N527" s="10">
        <v>7.7591367543645049</v>
      </c>
      <c r="O527" s="10">
        <v>5.8395380952380975</v>
      </c>
      <c r="P527" s="5">
        <v>0.25780000000000003</v>
      </c>
      <c r="Q527" s="5">
        <v>0.3575042480669377</v>
      </c>
      <c r="R527" s="5">
        <v>0.33541713871797452</v>
      </c>
    </row>
    <row r="528" spans="1:18">
      <c r="A528" t="s">
        <v>2532</v>
      </c>
      <c r="B528" t="s">
        <v>110</v>
      </c>
      <c r="C528" s="10">
        <v>120.72</v>
      </c>
      <c r="D528" s="10">
        <v>65</v>
      </c>
      <c r="E528" s="10">
        <v>0.16</v>
      </c>
      <c r="F528" s="10">
        <v>119.14849087987402</v>
      </c>
      <c r="G528" s="10">
        <v>126.25205335914087</v>
      </c>
      <c r="H528" s="10">
        <v>122.93711999999999</v>
      </c>
      <c r="I528" s="10">
        <v>143.71428571428572</v>
      </c>
      <c r="J528" s="10">
        <v>141.84344152365955</v>
      </c>
      <c r="K528" s="10">
        <v>150.30006352278676</v>
      </c>
      <c r="L528" s="10">
        <v>146.35371428571429</v>
      </c>
      <c r="M528" s="10">
        <v>1.8708441906261726</v>
      </c>
      <c r="N528" s="10">
        <v>6.5857778085010352</v>
      </c>
      <c r="O528" s="10">
        <v>2.6394285714285672</v>
      </c>
      <c r="P528" s="5">
        <v>0.14892081929735293</v>
      </c>
      <c r="Q528" s="5">
        <v>0.19680672668712593</v>
      </c>
      <c r="R528" s="5">
        <v>0.17514905180794868</v>
      </c>
    </row>
    <row r="529" spans="1:18">
      <c r="A529" t="s">
        <v>2533</v>
      </c>
      <c r="B529" t="s">
        <v>110</v>
      </c>
      <c r="C529" s="10">
        <v>83.77</v>
      </c>
      <c r="D529" s="10">
        <v>119</v>
      </c>
      <c r="E529" s="10">
        <v>0.16</v>
      </c>
      <c r="F529" s="10">
        <v>86.454392007939873</v>
      </c>
      <c r="G529" s="10">
        <v>91.735180326617836</v>
      </c>
      <c r="H529" s="10">
        <v>87.260909999999996</v>
      </c>
      <c r="I529" s="10">
        <v>119</v>
      </c>
      <c r="J529" s="10">
        <v>119</v>
      </c>
      <c r="K529" s="10">
        <v>119</v>
      </c>
      <c r="L529" s="10">
        <v>119</v>
      </c>
      <c r="M529" s="10">
        <v>0</v>
      </c>
      <c r="N529" s="10">
        <v>0</v>
      </c>
      <c r="O529" s="10">
        <v>0</v>
      </c>
      <c r="P529" s="5">
        <v>0.29605042016806726</v>
      </c>
      <c r="Q529" s="5">
        <v>0.29605042016806726</v>
      </c>
      <c r="R529" s="5">
        <v>0.29605042016806726</v>
      </c>
    </row>
    <row r="530" spans="1:18">
      <c r="A530" t="s">
        <v>2534</v>
      </c>
      <c r="B530" t="s">
        <v>110</v>
      </c>
      <c r="C530" s="10">
        <v>55.04</v>
      </c>
      <c r="D530" s="10">
        <v>50</v>
      </c>
      <c r="E530" s="10">
        <v>0.16</v>
      </c>
      <c r="F530" s="10">
        <v>50.622324606337344</v>
      </c>
      <c r="G530" s="10">
        <v>52.191161684433041</v>
      </c>
      <c r="H530" s="10">
        <v>51.674422999999997</v>
      </c>
      <c r="I530" s="10">
        <v>65.523809523809518</v>
      </c>
      <c r="J530" s="10">
        <v>60.264672150401601</v>
      </c>
      <c r="K530" s="10">
        <v>62.132335338610766</v>
      </c>
      <c r="L530" s="10">
        <v>61.51717023809524</v>
      </c>
      <c r="M530" s="10">
        <v>5.259137373407917</v>
      </c>
      <c r="N530" s="10">
        <v>3.3914741851987529</v>
      </c>
      <c r="O530" s="10">
        <v>4.0066392857142787</v>
      </c>
      <c r="P530" s="5">
        <v>8.6695438039760167E-2</v>
      </c>
      <c r="Q530" s="5">
        <v>0.11414886145770528</v>
      </c>
      <c r="R530" s="5">
        <v>0.10529044513956164</v>
      </c>
    </row>
    <row r="531" spans="1:18">
      <c r="A531" t="s">
        <v>2535</v>
      </c>
      <c r="B531" t="s">
        <v>110</v>
      </c>
      <c r="C531" s="10">
        <v>202.3</v>
      </c>
      <c r="D531" s="10">
        <v>65</v>
      </c>
      <c r="E531" s="10">
        <v>0.16</v>
      </c>
      <c r="F531" s="10">
        <v>202.63657490612223</v>
      </c>
      <c r="G531" s="10">
        <v>183.40479945054943</v>
      </c>
      <c r="H531" s="10">
        <v>189.66441</v>
      </c>
      <c r="I531" s="10">
        <v>240.83333333333334</v>
      </c>
      <c r="J531" s="10">
        <v>241.23401774538362</v>
      </c>
      <c r="K531" s="10">
        <v>218.3390469649398</v>
      </c>
      <c r="L531" s="10">
        <v>225.7909642857143</v>
      </c>
      <c r="M531" s="10">
        <v>0.40068441205028194</v>
      </c>
      <c r="N531" s="10">
        <v>22.494286368393546</v>
      </c>
      <c r="O531" s="10">
        <v>15.042369047619047</v>
      </c>
      <c r="P531" s="5">
        <v>0.16139522157475103</v>
      </c>
      <c r="Q531" s="5">
        <v>7.3459361428445211E-2</v>
      </c>
      <c r="R531" s="5">
        <v>0.10403854892965948</v>
      </c>
    </row>
    <row r="532" spans="1:18">
      <c r="A532" t="s">
        <v>2536</v>
      </c>
      <c r="B532" t="s">
        <v>110</v>
      </c>
      <c r="C532" s="10">
        <v>100.02</v>
      </c>
      <c r="D532" s="10">
        <v>50</v>
      </c>
      <c r="E532" s="10">
        <v>0.16</v>
      </c>
      <c r="F532" s="10">
        <v>93.45675587913577</v>
      </c>
      <c r="G532" s="10">
        <v>93.363982320457353</v>
      </c>
      <c r="H532" s="10">
        <v>91.001390000000001</v>
      </c>
      <c r="I532" s="10">
        <v>119.07142857142857</v>
      </c>
      <c r="J532" s="10">
        <v>111.25804271325687</v>
      </c>
      <c r="K532" s="10">
        <v>111.14759800054448</v>
      </c>
      <c r="L532" s="10">
        <v>108.3349880952381</v>
      </c>
      <c r="M532" s="10">
        <v>7.8133858581716993</v>
      </c>
      <c r="N532" s="10">
        <v>7.9238305708840926</v>
      </c>
      <c r="O532" s="10">
        <v>10.736440476190467</v>
      </c>
      <c r="P532" s="5">
        <v>0.10100881194018896</v>
      </c>
      <c r="Q532" s="5">
        <v>0.1001155058743597</v>
      </c>
      <c r="R532" s="5">
        <v>7.675256388940882E-2</v>
      </c>
    </row>
    <row r="533" spans="1:18">
      <c r="A533" t="s">
        <v>2537</v>
      </c>
      <c r="B533" t="s">
        <v>110</v>
      </c>
      <c r="C533" s="10">
        <v>128.69</v>
      </c>
      <c r="D533" s="10">
        <v>65</v>
      </c>
      <c r="E533" s="10">
        <v>0.16</v>
      </c>
      <c r="F533" s="10">
        <v>129.61878900338291</v>
      </c>
      <c r="G533" s="10">
        <v>119.93847724358977</v>
      </c>
      <c r="H533" s="10">
        <v>137.39517000000001</v>
      </c>
      <c r="I533" s="10">
        <v>153.20238095238096</v>
      </c>
      <c r="J533" s="10">
        <v>154.30808214688443</v>
      </c>
      <c r="K533" s="10">
        <v>142.78390148046401</v>
      </c>
      <c r="L533" s="10">
        <v>163.56567857142858</v>
      </c>
      <c r="M533" s="10">
        <v>1.1057011945034674</v>
      </c>
      <c r="N533" s="10">
        <v>10.418479471916953</v>
      </c>
      <c r="O533" s="10">
        <v>10.363297619047614</v>
      </c>
      <c r="P533" s="5">
        <v>0.1660190561016682</v>
      </c>
      <c r="Q533" s="5">
        <v>9.8707916889302597E-2</v>
      </c>
      <c r="R533" s="5">
        <v>0.21322125079069379</v>
      </c>
    </row>
    <row r="534" spans="1:18">
      <c r="A534" t="s">
        <v>2538</v>
      </c>
      <c r="B534" t="s">
        <v>110</v>
      </c>
      <c r="C534" s="10">
        <v>49.68</v>
      </c>
      <c r="D534" s="10">
        <v>50</v>
      </c>
      <c r="E534" s="10">
        <v>0.16</v>
      </c>
      <c r="F534" s="10">
        <v>47.131228993815007</v>
      </c>
      <c r="G534" s="10">
        <v>52.788127130497074</v>
      </c>
      <c r="H534" s="10">
        <v>51.032024</v>
      </c>
      <c r="I534" s="10">
        <v>59.142857142857146</v>
      </c>
      <c r="J534" s="10">
        <v>56.108605945017871</v>
      </c>
      <c r="K534" s="10">
        <v>62.843008488686998</v>
      </c>
      <c r="L534" s="10">
        <v>60.752409523809526</v>
      </c>
      <c r="M534" s="10">
        <v>3.034251197839275</v>
      </c>
      <c r="N534" s="10">
        <v>3.7001513458298518</v>
      </c>
      <c r="O534" s="10">
        <v>1.6095523809523797</v>
      </c>
      <c r="P534" s="5">
        <v>0.11457433020733775</v>
      </c>
      <c r="Q534" s="5">
        <v>0.20945859858152086</v>
      </c>
      <c r="R534" s="5">
        <v>0.18225465640947341</v>
      </c>
    </row>
    <row r="535" spans="1:18">
      <c r="A535" t="s">
        <v>2539</v>
      </c>
      <c r="B535" t="s">
        <v>110</v>
      </c>
      <c r="C535" s="10">
        <v>120.21</v>
      </c>
      <c r="D535" s="10">
        <v>65</v>
      </c>
      <c r="E535" s="10">
        <v>0.16</v>
      </c>
      <c r="F535" s="10">
        <v>126.18515780305535</v>
      </c>
      <c r="G535" s="10">
        <v>130.01700238095233</v>
      </c>
      <c r="H535" s="10">
        <v>128.25798</v>
      </c>
      <c r="I535" s="10">
        <v>143.10714285714286</v>
      </c>
      <c r="J535" s="10">
        <v>150.22042595601829</v>
      </c>
      <c r="K535" s="10">
        <v>154.78214569160994</v>
      </c>
      <c r="L535" s="10">
        <v>152.68807142857145</v>
      </c>
      <c r="M535" s="10">
        <v>7.1132830988754279</v>
      </c>
      <c r="N535" s="10">
        <v>11.67500283446708</v>
      </c>
      <c r="O535" s="10">
        <v>9.5809285714285863</v>
      </c>
      <c r="P535" s="5">
        <v>0.19977593436464347</v>
      </c>
      <c r="Q535" s="5">
        <v>0.22336003637326465</v>
      </c>
      <c r="R535" s="5">
        <v>0.21270863614100283</v>
      </c>
    </row>
    <row r="536" spans="1:18">
      <c r="A536" t="s">
        <v>2540</v>
      </c>
      <c r="B536" t="s">
        <v>110</v>
      </c>
      <c r="C536" s="10">
        <v>45.97</v>
      </c>
      <c r="D536" s="10">
        <v>50</v>
      </c>
      <c r="E536" s="10">
        <v>0.16</v>
      </c>
      <c r="F536" s="10">
        <v>46.103127545388915</v>
      </c>
      <c r="G536" s="10">
        <v>49.981767255645934</v>
      </c>
      <c r="H536" s="10">
        <v>48.346119999999999</v>
      </c>
      <c r="I536" s="10">
        <v>54.726190476190474</v>
      </c>
      <c r="J536" s="10">
        <v>54.884675649272523</v>
      </c>
      <c r="K536" s="10">
        <v>59.502103875768974</v>
      </c>
      <c r="L536" s="10">
        <v>57.554904761904766</v>
      </c>
      <c r="M536" s="10">
        <v>0.1584851730820489</v>
      </c>
      <c r="N536" s="10">
        <v>4.7759133995784993</v>
      </c>
      <c r="O536" s="10">
        <v>2.8287142857142911</v>
      </c>
      <c r="P536" s="5">
        <v>0.16242558681114636</v>
      </c>
      <c r="Q536" s="5">
        <v>0.22742227575720478</v>
      </c>
      <c r="R536" s="5">
        <v>0.20128440503601952</v>
      </c>
    </row>
    <row r="537" spans="1:18">
      <c r="A537" t="s">
        <v>2541</v>
      </c>
      <c r="B537" t="s">
        <v>110</v>
      </c>
      <c r="C537" s="10">
        <v>100.6</v>
      </c>
      <c r="D537" s="10">
        <v>60</v>
      </c>
      <c r="E537" s="10">
        <v>0.16</v>
      </c>
      <c r="F537" s="10">
        <v>98.538440855000573</v>
      </c>
      <c r="G537" s="10">
        <v>104.25778595571096</v>
      </c>
      <c r="H537" s="10">
        <v>102.110725</v>
      </c>
      <c r="I537" s="10">
        <v>119.76190476190476</v>
      </c>
      <c r="J537" s="10">
        <v>117.30766768452449</v>
      </c>
      <c r="K537" s="10">
        <v>124.11641185203686</v>
      </c>
      <c r="L537" s="10">
        <v>121.56038690476191</v>
      </c>
      <c r="M537" s="10">
        <v>2.4542370773802702</v>
      </c>
      <c r="N537" s="10">
        <v>4.3545070901321026</v>
      </c>
      <c r="O537" s="10">
        <v>1.7984821428571536</v>
      </c>
      <c r="P537" s="5">
        <v>0.14242604950135421</v>
      </c>
      <c r="Q537" s="5">
        <v>0.18947060667586438</v>
      </c>
      <c r="R537" s="5">
        <v>0.1724277738699829</v>
      </c>
    </row>
    <row r="538" spans="1:18">
      <c r="A538" t="s">
        <v>2542</v>
      </c>
      <c r="B538" t="s">
        <v>110</v>
      </c>
      <c r="C538" s="10">
        <v>55.26</v>
      </c>
      <c r="D538" s="10">
        <v>50</v>
      </c>
      <c r="E538" s="10">
        <v>0.16</v>
      </c>
      <c r="F538" s="10">
        <v>53.905767872445622</v>
      </c>
      <c r="G538" s="10">
        <v>55.272113221763291</v>
      </c>
      <c r="H538" s="10">
        <v>53.711036999999997</v>
      </c>
      <c r="I538" s="10">
        <v>65.785714285714292</v>
      </c>
      <c r="J538" s="10">
        <v>64.173533181482881</v>
      </c>
      <c r="K538" s="10">
        <v>65.800134787813448</v>
      </c>
      <c r="L538" s="10">
        <v>63.941710714285712</v>
      </c>
      <c r="M538" s="10">
        <v>1.6121811042314107</v>
      </c>
      <c r="N538" s="10">
        <v>1.4420502099156352E-2</v>
      </c>
      <c r="O538" s="10">
        <v>1.8440035714285798</v>
      </c>
      <c r="P538" s="5">
        <v>0.13889734193495928</v>
      </c>
      <c r="Q538" s="5">
        <v>0.1601840911390586</v>
      </c>
      <c r="R538" s="5">
        <v>0.13577539007485556</v>
      </c>
    </row>
    <row r="539" spans="1:18">
      <c r="A539" t="s">
        <v>2543</v>
      </c>
      <c r="B539" t="s">
        <v>110</v>
      </c>
      <c r="C539" s="10">
        <v>51.77</v>
      </c>
      <c r="D539" s="10">
        <v>50</v>
      </c>
      <c r="E539" s="10">
        <v>0.16</v>
      </c>
      <c r="F539" s="10">
        <v>59.47872929471432</v>
      </c>
      <c r="G539" s="10">
        <v>58.063860009323989</v>
      </c>
      <c r="H539" s="10">
        <v>59.245370000000001</v>
      </c>
      <c r="I539" s="10">
        <v>61.630952380952387</v>
      </c>
      <c r="J539" s="10">
        <v>70.8080110651361</v>
      </c>
      <c r="K539" s="10">
        <v>69.12364286824284</v>
      </c>
      <c r="L539" s="10">
        <v>70.530202380952389</v>
      </c>
      <c r="M539" s="10">
        <v>9.177058684183713</v>
      </c>
      <c r="N539" s="10">
        <v>7.4926904872904529</v>
      </c>
      <c r="O539" s="10">
        <v>8.8992500000000021</v>
      </c>
      <c r="P539" s="5">
        <v>0.26886803878198301</v>
      </c>
      <c r="Q539" s="5">
        <v>0.25105220367683401</v>
      </c>
      <c r="R539" s="5">
        <v>0.2659882113994731</v>
      </c>
    </row>
    <row r="540" spans="1:18">
      <c r="A540" t="s">
        <v>2544</v>
      </c>
      <c r="B540" t="s">
        <v>110</v>
      </c>
      <c r="C540" s="10">
        <v>95.27</v>
      </c>
      <c r="D540" s="10">
        <v>119</v>
      </c>
      <c r="E540" s="10">
        <v>0.16</v>
      </c>
      <c r="F540" s="10">
        <v>101.9570779071729</v>
      </c>
      <c r="G540" s="10">
        <v>100.90931204212444</v>
      </c>
      <c r="H540" s="10">
        <v>98.535129999999995</v>
      </c>
      <c r="I540" s="10">
        <v>119</v>
      </c>
      <c r="J540" s="10">
        <v>121.37747369901537</v>
      </c>
      <c r="K540" s="10">
        <v>120.13013338348148</v>
      </c>
      <c r="L540" s="10">
        <v>119</v>
      </c>
      <c r="M540" s="10">
        <v>2.3774736990153684</v>
      </c>
      <c r="N540" s="10">
        <v>1.1301333834814784</v>
      </c>
      <c r="O540" s="10">
        <v>0</v>
      </c>
      <c r="P540" s="5">
        <v>0.21509323685344722</v>
      </c>
      <c r="Q540" s="5">
        <v>0.20694335953263729</v>
      </c>
      <c r="R540" s="5">
        <v>0.1994117647058824</v>
      </c>
    </row>
    <row r="541" spans="1:18">
      <c r="A541" t="s">
        <v>2545</v>
      </c>
      <c r="B541" t="s">
        <v>110</v>
      </c>
      <c r="C541" s="10">
        <v>90.92</v>
      </c>
      <c r="D541" s="10">
        <v>60</v>
      </c>
      <c r="E541" s="10">
        <v>0.16</v>
      </c>
      <c r="F541" s="10">
        <v>86.593530899975349</v>
      </c>
      <c r="G541" s="10">
        <v>95.238576394420576</v>
      </c>
      <c r="H541" s="10">
        <v>93.203249999999997</v>
      </c>
      <c r="I541" s="10">
        <v>108.23809523809524</v>
      </c>
      <c r="J541" s="10">
        <v>103.08753678568495</v>
      </c>
      <c r="K541" s="10">
        <v>113.37925761240545</v>
      </c>
      <c r="L541" s="10">
        <v>110.95625</v>
      </c>
      <c r="M541" s="10">
        <v>5.1505584524102943</v>
      </c>
      <c r="N541" s="10">
        <v>5.1411623743102126</v>
      </c>
      <c r="O541" s="10">
        <v>2.7181547619047564</v>
      </c>
      <c r="P541" s="5">
        <v>0.11803111379972915</v>
      </c>
      <c r="Q541" s="5">
        <v>0.19808965136448434</v>
      </c>
      <c r="R541" s="5">
        <v>0.18057793049062126</v>
      </c>
    </row>
    <row r="542" spans="1:18">
      <c r="A542" t="s">
        <v>2546</v>
      </c>
      <c r="B542" t="s">
        <v>110</v>
      </c>
      <c r="C542" s="10">
        <v>96.88</v>
      </c>
      <c r="D542" s="10">
        <v>60</v>
      </c>
      <c r="E542" s="10">
        <v>0.16</v>
      </c>
      <c r="F542" s="10">
        <v>90.771590056953073</v>
      </c>
      <c r="G542" s="10">
        <v>98.60932933183966</v>
      </c>
      <c r="H542" s="10">
        <v>96.859229999999997</v>
      </c>
      <c r="I542" s="10">
        <v>115.33333333333333</v>
      </c>
      <c r="J542" s="10">
        <v>108.06141673446795</v>
      </c>
      <c r="K542" s="10">
        <v>117.39205872838055</v>
      </c>
      <c r="L542" s="10">
        <v>115.30860714285714</v>
      </c>
      <c r="M542" s="10">
        <v>7.2719165988653742</v>
      </c>
      <c r="N542" s="10">
        <v>2.0587253950472189</v>
      </c>
      <c r="O542" s="10">
        <v>2.4726190476187071E-2</v>
      </c>
      <c r="P542" s="5">
        <v>0.10347279419761173</v>
      </c>
      <c r="Q542" s="5">
        <v>0.1747312292719983</v>
      </c>
      <c r="R542" s="5">
        <v>0.1598198746779218</v>
      </c>
    </row>
    <row r="543" spans="1:18">
      <c r="A543" t="s">
        <v>2547</v>
      </c>
      <c r="B543" t="s">
        <v>110</v>
      </c>
      <c r="C543" s="10">
        <v>108.14</v>
      </c>
      <c r="D543" s="10">
        <v>65</v>
      </c>
      <c r="E543" s="10">
        <v>0.16</v>
      </c>
      <c r="F543" s="10">
        <v>108.73176678975743</v>
      </c>
      <c r="G543" s="10">
        <v>112.71235576923078</v>
      </c>
      <c r="H543" s="10">
        <v>112.338104</v>
      </c>
      <c r="I543" s="10">
        <v>128.73809523809524</v>
      </c>
      <c r="J543" s="10">
        <v>129.442579511616</v>
      </c>
      <c r="K543" s="10">
        <v>134.18137591575095</v>
      </c>
      <c r="L543" s="10">
        <v>133.73583809523811</v>
      </c>
      <c r="M543" s="10">
        <v>0.70448427352076237</v>
      </c>
      <c r="N543" s="10">
        <v>5.4432806776557072</v>
      </c>
      <c r="O543" s="10">
        <v>4.9977428571428675</v>
      </c>
      <c r="P543" s="5">
        <v>0.16457165479852276</v>
      </c>
      <c r="Q543" s="5">
        <v>0.1940759344434034</v>
      </c>
      <c r="R543" s="5">
        <v>0.19139101724558222</v>
      </c>
    </row>
    <row r="544" spans="1:18">
      <c r="A544" t="s">
        <v>2548</v>
      </c>
      <c r="B544" t="s">
        <v>110</v>
      </c>
      <c r="C544" s="10">
        <v>70.92</v>
      </c>
      <c r="D544" s="10">
        <v>50</v>
      </c>
      <c r="E544" s="10">
        <v>0.16</v>
      </c>
      <c r="F544" s="10">
        <v>71.244833246531982</v>
      </c>
      <c r="G544" s="10">
        <v>70.524147895768564</v>
      </c>
      <c r="H544" s="10">
        <v>74.943349999999995</v>
      </c>
      <c r="I544" s="10">
        <v>84.428571428571431</v>
      </c>
      <c r="J544" s="10">
        <v>84.815277674442839</v>
      </c>
      <c r="K544" s="10">
        <v>83.957318923534004</v>
      </c>
      <c r="L544" s="10">
        <v>89.218273809523808</v>
      </c>
      <c r="M544" s="10">
        <v>0.38670624587140878</v>
      </c>
      <c r="N544" s="10">
        <v>0.47125250503742677</v>
      </c>
      <c r="O544" s="10">
        <v>4.7897023809523773</v>
      </c>
      <c r="P544" s="5">
        <v>0.16382989073948248</v>
      </c>
      <c r="Q544" s="5">
        <v>0.15528507926042792</v>
      </c>
      <c r="R544" s="5">
        <v>0.20509558219641899</v>
      </c>
    </row>
    <row r="545" spans="1:18">
      <c r="A545" t="s">
        <v>2549</v>
      </c>
      <c r="B545" t="s">
        <v>110</v>
      </c>
      <c r="C545" s="10">
        <v>41.86</v>
      </c>
      <c r="D545" s="10">
        <v>50</v>
      </c>
      <c r="E545" s="10">
        <v>0.16</v>
      </c>
      <c r="F545" s="10">
        <v>46.7275301586455</v>
      </c>
      <c r="G545" s="10">
        <v>51.154609779368911</v>
      </c>
      <c r="H545" s="10">
        <v>50.12435</v>
      </c>
      <c r="I545" s="10">
        <v>50</v>
      </c>
      <c r="J545" s="10">
        <v>55.6280120936256</v>
      </c>
      <c r="K545" s="10">
        <v>60.89834497543918</v>
      </c>
      <c r="L545" s="10">
        <v>59.671845238095237</v>
      </c>
      <c r="M545" s="10">
        <v>5.6280120936255997</v>
      </c>
      <c r="N545" s="10">
        <v>10.89834497543918</v>
      </c>
      <c r="O545" s="10">
        <v>9.6718452380952371</v>
      </c>
      <c r="P545" s="5">
        <v>0.24750142195362171</v>
      </c>
      <c r="Q545" s="5">
        <v>0.31262499798832805</v>
      </c>
      <c r="R545" s="5">
        <v>0.29849663885915728</v>
      </c>
    </row>
    <row r="546" spans="1:18">
      <c r="A546" t="s">
        <v>2550</v>
      </c>
      <c r="B546" t="s">
        <v>110</v>
      </c>
      <c r="C546" s="10">
        <v>130.21</v>
      </c>
      <c r="D546" s="10">
        <v>65</v>
      </c>
      <c r="E546" s="10">
        <v>0.16</v>
      </c>
      <c r="F546" s="10">
        <v>135.31073372871683</v>
      </c>
      <c r="G546" s="10">
        <v>146.40539542124552</v>
      </c>
      <c r="H546" s="10">
        <v>138.39685</v>
      </c>
      <c r="I546" s="10">
        <v>155.01190476190479</v>
      </c>
      <c r="J546" s="10">
        <v>161.084206819901</v>
      </c>
      <c r="K546" s="10">
        <v>174.29213740624468</v>
      </c>
      <c r="L546" s="10">
        <v>164.75815476190476</v>
      </c>
      <c r="M546" s="10">
        <v>6.072302057996211</v>
      </c>
      <c r="N546" s="10">
        <v>19.28023264433989</v>
      </c>
      <c r="O546" s="10">
        <v>9.746249999999975</v>
      </c>
      <c r="P546" s="5">
        <v>0.19166501440094416</v>
      </c>
      <c r="Q546" s="5">
        <v>0.25292097545110065</v>
      </c>
      <c r="R546" s="5">
        <v>0.20969010494097223</v>
      </c>
    </row>
    <row r="547" spans="1:18">
      <c r="A547" t="s">
        <v>2551</v>
      </c>
      <c r="B547" t="s">
        <v>110</v>
      </c>
      <c r="C547" s="10">
        <v>87.77</v>
      </c>
      <c r="D547" s="10">
        <v>60</v>
      </c>
      <c r="E547" s="10">
        <v>0.16</v>
      </c>
      <c r="F547" s="10">
        <v>84.748638169495933</v>
      </c>
      <c r="G547" s="10">
        <v>95.999140797701955</v>
      </c>
      <c r="H547" s="10">
        <v>92.637473999999997</v>
      </c>
      <c r="I547" s="10">
        <v>104.48809523809524</v>
      </c>
      <c r="J547" s="10">
        <v>100.89123591606659</v>
      </c>
      <c r="K547" s="10">
        <v>114.28469142583566</v>
      </c>
      <c r="L547" s="10">
        <v>110.28270714285715</v>
      </c>
      <c r="M547" s="10">
        <v>3.5968593220286493</v>
      </c>
      <c r="N547" s="10">
        <v>9.7965961877404197</v>
      </c>
      <c r="O547" s="10">
        <v>5.7946119047619078</v>
      </c>
      <c r="P547" s="5">
        <v>0.13005327764031369</v>
      </c>
      <c r="Q547" s="5">
        <v>0.23200562643197237</v>
      </c>
      <c r="R547" s="5">
        <v>0.20413633040123705</v>
      </c>
    </row>
    <row r="548" spans="1:18">
      <c r="A548" t="s">
        <v>2552</v>
      </c>
      <c r="B548" t="s">
        <v>110</v>
      </c>
      <c r="C548" s="10">
        <v>52.54</v>
      </c>
      <c r="D548" s="10">
        <v>50</v>
      </c>
      <c r="E548" s="10">
        <v>0.16</v>
      </c>
      <c r="F548" s="10">
        <v>53.388194049787636</v>
      </c>
      <c r="G548" s="10">
        <v>56.074054307068401</v>
      </c>
      <c r="H548" s="10">
        <v>57.9634</v>
      </c>
      <c r="I548" s="10">
        <v>62.547619047619051</v>
      </c>
      <c r="J548" s="10">
        <v>63.557373868794805</v>
      </c>
      <c r="K548" s="10">
        <v>66.754826556033819</v>
      </c>
      <c r="L548" s="10">
        <v>69.004047619047626</v>
      </c>
      <c r="M548" s="10">
        <v>1.0097548211757541</v>
      </c>
      <c r="N548" s="10">
        <v>4.2072075084147684</v>
      </c>
      <c r="O548" s="10">
        <v>6.4564285714285745</v>
      </c>
      <c r="P548" s="5">
        <v>0.17334532876607855</v>
      </c>
      <c r="Q548" s="5">
        <v>0.21294080577232768</v>
      </c>
      <c r="R548" s="5">
        <v>0.23859538950441148</v>
      </c>
    </row>
    <row r="549" spans="1:18">
      <c r="A549" t="s">
        <v>2553</v>
      </c>
      <c r="B549" t="s">
        <v>110</v>
      </c>
      <c r="C549" s="10">
        <v>61.42</v>
      </c>
      <c r="D549" s="10">
        <v>50</v>
      </c>
      <c r="E549" s="10">
        <v>0.16</v>
      </c>
      <c r="F549" s="10">
        <v>56.695203752668142</v>
      </c>
      <c r="G549" s="10">
        <v>60.08046180314016</v>
      </c>
      <c r="H549" s="10">
        <v>59.76117</v>
      </c>
      <c r="I549" s="10">
        <v>73.11904761904762</v>
      </c>
      <c r="J549" s="10">
        <v>67.494290181747786</v>
      </c>
      <c r="K549" s="10">
        <v>71.524359289452576</v>
      </c>
      <c r="L549" s="10">
        <v>71.14425</v>
      </c>
      <c r="M549" s="10">
        <v>5.6247574372998344</v>
      </c>
      <c r="N549" s="10">
        <v>1.5946883295950443</v>
      </c>
      <c r="O549" s="10">
        <v>1.9747976190476209</v>
      </c>
      <c r="P549" s="5">
        <v>8.9997097019481373E-2</v>
      </c>
      <c r="Q549" s="5">
        <v>0.14127158061718736</v>
      </c>
      <c r="R549" s="5">
        <v>0.13668356894619027</v>
      </c>
    </row>
    <row r="550" spans="1:18">
      <c r="A550" t="s">
        <v>2554</v>
      </c>
      <c r="B550" t="s">
        <v>110</v>
      </c>
      <c r="C550" s="10">
        <v>164.14</v>
      </c>
      <c r="D550" s="10">
        <v>65</v>
      </c>
      <c r="E550" s="10">
        <v>0.16</v>
      </c>
      <c r="F550" s="10">
        <v>170.74524449367854</v>
      </c>
      <c r="G550" s="10">
        <v>154.10607797619051</v>
      </c>
      <c r="H550" s="10">
        <v>150.47167999999999</v>
      </c>
      <c r="I550" s="10">
        <v>195.4047619047619</v>
      </c>
      <c r="J550" s="10">
        <v>203.26814820676017</v>
      </c>
      <c r="K550" s="10">
        <v>183.45961663832205</v>
      </c>
      <c r="L550" s="10">
        <v>179.13295238095239</v>
      </c>
      <c r="M550" s="10">
        <v>7.8633863019982755</v>
      </c>
      <c r="N550" s="10">
        <v>11.945145266439852</v>
      </c>
      <c r="O550" s="10">
        <v>16.271809523809509</v>
      </c>
      <c r="P550" s="5">
        <v>0.19249522638913324</v>
      </c>
      <c r="Q550" s="5">
        <v>0.10530718962750996</v>
      </c>
      <c r="R550" s="5">
        <v>8.3697344244445318E-2</v>
      </c>
    </row>
    <row r="551" spans="1:18">
      <c r="A551" t="s">
        <v>2555</v>
      </c>
      <c r="B551" t="s">
        <v>110</v>
      </c>
      <c r="C551" s="10">
        <v>75.69</v>
      </c>
      <c r="D551" s="10">
        <v>60</v>
      </c>
      <c r="E551" s="10">
        <v>0.16</v>
      </c>
      <c r="F551" s="10">
        <v>78.442562310340989</v>
      </c>
      <c r="G551" s="10">
        <v>73.73872561705798</v>
      </c>
      <c r="H551" s="10">
        <v>75.485399999999998</v>
      </c>
      <c r="I551" s="10">
        <v>90.107142857142861</v>
      </c>
      <c r="J551" s="10">
        <v>93.384002750405941</v>
      </c>
      <c r="K551" s="10">
        <v>87.784197163164265</v>
      </c>
      <c r="L551" s="10">
        <v>89.863571428571433</v>
      </c>
      <c r="M551" s="10">
        <v>3.2768598932630795</v>
      </c>
      <c r="N551" s="10">
        <v>2.3229456939785962</v>
      </c>
      <c r="O551" s="10">
        <v>0.24357142857142833</v>
      </c>
      <c r="P551" s="5">
        <v>0.18947573705635601</v>
      </c>
      <c r="Q551" s="5">
        <v>0.13777191742933884</v>
      </c>
      <c r="R551" s="5">
        <v>0.15772321535025322</v>
      </c>
    </row>
    <row r="552" spans="1:18">
      <c r="A552" t="s">
        <v>2556</v>
      </c>
      <c r="B552" t="s">
        <v>110</v>
      </c>
      <c r="C552" s="10">
        <v>56.23</v>
      </c>
      <c r="D552" s="10">
        <v>50</v>
      </c>
      <c r="E552" s="10">
        <v>0.16</v>
      </c>
      <c r="F552" s="10">
        <v>56.433376398355676</v>
      </c>
      <c r="G552" s="10">
        <v>58.208077483086932</v>
      </c>
      <c r="H552" s="10">
        <v>58.909621999999999</v>
      </c>
      <c r="I552" s="10">
        <v>66.94047619047619</v>
      </c>
      <c r="J552" s="10">
        <v>67.182590950423432</v>
      </c>
      <c r="K552" s="10">
        <v>69.295330337008252</v>
      </c>
      <c r="L552" s="10">
        <v>70.130502380952379</v>
      </c>
      <c r="M552" s="10">
        <v>0.24211475994724196</v>
      </c>
      <c r="N552" s="10">
        <v>2.3548541465320625</v>
      </c>
      <c r="O552" s="10">
        <v>3.1900261904761891</v>
      </c>
      <c r="P552" s="5">
        <v>0.16302721874042883</v>
      </c>
      <c r="Q552" s="5">
        <v>0.18854561012216595</v>
      </c>
      <c r="R552" s="5">
        <v>0.19820908034344545</v>
      </c>
    </row>
    <row r="553" spans="1:18">
      <c r="A553" t="s">
        <v>2557</v>
      </c>
      <c r="B553" t="s">
        <v>110</v>
      </c>
      <c r="C553" s="10">
        <v>55.49</v>
      </c>
      <c r="D553" s="10">
        <v>50</v>
      </c>
      <c r="E553" s="10">
        <v>0.16</v>
      </c>
      <c r="F553" s="10">
        <v>48.318043460570017</v>
      </c>
      <c r="G553" s="10">
        <v>50.259082289732845</v>
      </c>
      <c r="H553" s="10">
        <v>50.081837</v>
      </c>
      <c r="I553" s="10">
        <v>66.05952380952381</v>
      </c>
      <c r="J553" s="10">
        <v>57.521480310202406</v>
      </c>
      <c r="K553" s="10">
        <v>59.832240821110531</v>
      </c>
      <c r="L553" s="10">
        <v>59.621234523809527</v>
      </c>
      <c r="M553" s="10">
        <v>8.5380434993214038</v>
      </c>
      <c r="N553" s="10">
        <v>6.227282988413279</v>
      </c>
      <c r="O553" s="10">
        <v>6.4382892857142835</v>
      </c>
      <c r="P553" s="5">
        <v>3.5316898995766753E-2</v>
      </c>
      <c r="Q553" s="5">
        <v>7.2573595130645055E-2</v>
      </c>
      <c r="R553" s="5">
        <v>6.9291328111626582E-2</v>
      </c>
    </row>
    <row r="554" spans="1:18">
      <c r="A554" t="s">
        <v>2558</v>
      </c>
      <c r="B554" t="s">
        <v>110</v>
      </c>
      <c r="C554" s="10">
        <v>100.38</v>
      </c>
      <c r="D554" s="10">
        <v>60</v>
      </c>
      <c r="E554" s="10">
        <v>0.16</v>
      </c>
      <c r="F554" s="10">
        <v>94.837556052894172</v>
      </c>
      <c r="G554" s="10">
        <v>101.10072276512382</v>
      </c>
      <c r="H554" s="10">
        <v>101.49554999999999</v>
      </c>
      <c r="I554" s="10">
        <v>119.5</v>
      </c>
      <c r="J554" s="10">
        <v>112.90185244392164</v>
      </c>
      <c r="K554" s="10">
        <v>120.35800329181407</v>
      </c>
      <c r="L554" s="10">
        <v>120.82803571428572</v>
      </c>
      <c r="M554" s="10">
        <v>6.5981475560783593</v>
      </c>
      <c r="N554" s="10">
        <v>0.85800329181407164</v>
      </c>
      <c r="O554" s="10">
        <v>1.3280357142857184</v>
      </c>
      <c r="P554" s="5">
        <v>0.11090918503875967</v>
      </c>
      <c r="Q554" s="5">
        <v>0.1659881582064501</v>
      </c>
      <c r="R554" s="5">
        <v>0.16923254270753749</v>
      </c>
    </row>
    <row r="555" spans="1:18">
      <c r="A555" t="s">
        <v>2559</v>
      </c>
      <c r="B555" t="s">
        <v>110</v>
      </c>
      <c r="C555" s="10">
        <v>144.11000000000001</v>
      </c>
      <c r="D555" s="10">
        <v>50</v>
      </c>
      <c r="E555" s="10">
        <v>0.16</v>
      </c>
      <c r="F555" s="10">
        <v>140.44909667934823</v>
      </c>
      <c r="G555" s="10">
        <v>157.16799926739913</v>
      </c>
      <c r="H555" s="10">
        <v>157.26197999999999</v>
      </c>
      <c r="I555" s="10">
        <v>171.55952380952382</v>
      </c>
      <c r="J555" s="10">
        <v>167.20130557065266</v>
      </c>
      <c r="K555" s="10">
        <v>187.104761032618</v>
      </c>
      <c r="L555" s="10">
        <v>187.21664285714286</v>
      </c>
      <c r="M555" s="10">
        <v>4.3582182388711601</v>
      </c>
      <c r="N555" s="10">
        <v>15.545237223094176</v>
      </c>
      <c r="O555" s="10">
        <v>15.657119047619034</v>
      </c>
      <c r="P555" s="5">
        <v>0.13810481617857451</v>
      </c>
      <c r="Q555" s="5">
        <v>0.22978977549974106</v>
      </c>
      <c r="R555" s="5">
        <v>0.23025005789701991</v>
      </c>
    </row>
    <row r="556" spans="1:18">
      <c r="A556" t="s">
        <v>2560</v>
      </c>
      <c r="B556" t="s">
        <v>110</v>
      </c>
      <c r="C556" s="10">
        <v>109.81</v>
      </c>
      <c r="D556" s="10">
        <v>50</v>
      </c>
      <c r="E556" s="10">
        <v>0.16</v>
      </c>
      <c r="F556" s="10">
        <v>112.31404717963379</v>
      </c>
      <c r="G556" s="10">
        <v>112.6725631973262</v>
      </c>
      <c r="H556" s="10">
        <v>111.63186</v>
      </c>
      <c r="I556" s="10">
        <v>130.72619047619048</v>
      </c>
      <c r="J556" s="10">
        <v>133.70719902337356</v>
      </c>
      <c r="K556" s="10">
        <v>134.13400380634073</v>
      </c>
      <c r="L556" s="10">
        <v>132.89507142857144</v>
      </c>
      <c r="M556" s="10">
        <v>2.9810085471830803</v>
      </c>
      <c r="N556" s="10">
        <v>3.4078133301502476</v>
      </c>
      <c r="O556" s="10">
        <v>2.1688809523809596</v>
      </c>
      <c r="P556" s="5">
        <v>0.17872784111793452</v>
      </c>
      <c r="Q556" s="5">
        <v>0.18134107024389659</v>
      </c>
      <c r="R556" s="5">
        <v>0.17370901102964698</v>
      </c>
    </row>
    <row r="557" spans="1:18">
      <c r="A557" t="s">
        <v>2561</v>
      </c>
      <c r="B557" t="s">
        <v>110</v>
      </c>
      <c r="C557" s="10">
        <v>64.62</v>
      </c>
      <c r="D557" s="10">
        <v>50</v>
      </c>
      <c r="E557" s="10">
        <v>0.16</v>
      </c>
      <c r="F557" s="10">
        <v>56.369343465244079</v>
      </c>
      <c r="G557" s="10">
        <v>58.322716719632126</v>
      </c>
      <c r="H557" s="10">
        <v>60.910201999999998</v>
      </c>
      <c r="I557" s="10">
        <v>76.928571428571431</v>
      </c>
      <c r="J557" s="10">
        <v>67.106361268147708</v>
      </c>
      <c r="K557" s="10">
        <v>69.431805618609673</v>
      </c>
      <c r="L557" s="10">
        <v>72.512145238095243</v>
      </c>
      <c r="M557" s="10">
        <v>9.8222101604237224</v>
      </c>
      <c r="N557" s="10">
        <v>7.496765809961758</v>
      </c>
      <c r="O557" s="10">
        <v>4.4164261904761872</v>
      </c>
      <c r="P557" s="5">
        <v>3.7051051810312721E-2</v>
      </c>
      <c r="Q557" s="5">
        <v>6.9302613920787459E-2</v>
      </c>
      <c r="R557" s="5">
        <v>0.10883894294095429</v>
      </c>
    </row>
    <row r="558" spans="1:18">
      <c r="A558" t="s">
        <v>2562</v>
      </c>
      <c r="B558" t="s">
        <v>110</v>
      </c>
      <c r="C558" s="10">
        <v>88.25</v>
      </c>
      <c r="D558" s="10">
        <v>60</v>
      </c>
      <c r="E558" s="10">
        <v>0.16</v>
      </c>
      <c r="F558" s="10">
        <v>86.484048189037878</v>
      </c>
      <c r="G558" s="10">
        <v>93.517872955295857</v>
      </c>
      <c r="H558" s="10">
        <v>94.781009999999995</v>
      </c>
      <c r="I558" s="10">
        <v>105.05952380952381</v>
      </c>
      <c r="J558" s="10">
        <v>102.9572002250451</v>
      </c>
      <c r="K558" s="10">
        <v>111.33080113725698</v>
      </c>
      <c r="L558" s="10">
        <v>112.83453571428571</v>
      </c>
      <c r="M558" s="10">
        <v>2.1023235844787109</v>
      </c>
      <c r="N558" s="10">
        <v>6.2712773277331735</v>
      </c>
      <c r="O558" s="10">
        <v>7.7750119047618966</v>
      </c>
      <c r="P558" s="5">
        <v>0.14284770946468942</v>
      </c>
      <c r="Q558" s="5">
        <v>0.20731730034710913</v>
      </c>
      <c r="R558" s="5">
        <v>0.21788130343831527</v>
      </c>
    </row>
    <row r="559" spans="1:18">
      <c r="A559" t="s">
        <v>2563</v>
      </c>
      <c r="B559" t="s">
        <v>110</v>
      </c>
      <c r="C559" s="10">
        <v>46.18</v>
      </c>
      <c r="D559" s="10">
        <v>50</v>
      </c>
      <c r="E559" s="10">
        <v>0.16</v>
      </c>
      <c r="F559" s="10">
        <v>43.795629682009782</v>
      </c>
      <c r="G559" s="10">
        <v>48.481734126267867</v>
      </c>
      <c r="H559" s="10">
        <v>45.592860000000002</v>
      </c>
      <c r="I559" s="10">
        <v>54.976190476190474</v>
      </c>
      <c r="J559" s="10">
        <v>52.13765438334498</v>
      </c>
      <c r="K559" s="10">
        <v>57.716350150318888</v>
      </c>
      <c r="L559" s="10">
        <v>54.277214285714287</v>
      </c>
      <c r="M559" s="10">
        <v>2.8385360928454944</v>
      </c>
      <c r="N559" s="10">
        <v>2.7401596741284138</v>
      </c>
      <c r="O559" s="10">
        <v>0.69897619047618775</v>
      </c>
      <c r="P559" s="5">
        <v>0.11426778695376279</v>
      </c>
      <c r="Q559" s="5">
        <v>0.1998801053821514</v>
      </c>
      <c r="R559" s="5">
        <v>0.14918256937599442</v>
      </c>
    </row>
    <row r="560" spans="1:18">
      <c r="A560" t="s">
        <v>2564</v>
      </c>
      <c r="B560" t="s">
        <v>110</v>
      </c>
      <c r="C560" s="10">
        <v>58.93</v>
      </c>
      <c r="D560" s="10">
        <v>50</v>
      </c>
      <c r="E560" s="10">
        <v>0.16</v>
      </c>
      <c r="F560" s="10">
        <v>57.922736888161673</v>
      </c>
      <c r="G560" s="10">
        <v>60.901107401600129</v>
      </c>
      <c r="H560" s="10">
        <v>62.307537000000004</v>
      </c>
      <c r="I560" s="10">
        <v>70.154761904761912</v>
      </c>
      <c r="J560" s="10">
        <v>68.955639152573426</v>
      </c>
      <c r="K560" s="10">
        <v>72.501318335238253</v>
      </c>
      <c r="L560" s="10">
        <v>74.175639285714297</v>
      </c>
      <c r="M560" s="10">
        <v>1.1991227521884866</v>
      </c>
      <c r="N560" s="10">
        <v>2.3465564304763404</v>
      </c>
      <c r="O560" s="10">
        <v>4.0208773809523848</v>
      </c>
      <c r="P560" s="5">
        <v>0.14539259262596899</v>
      </c>
      <c r="Q560" s="5">
        <v>0.1871871939277841</v>
      </c>
      <c r="R560" s="5">
        <v>0.20553431601701747</v>
      </c>
    </row>
    <row r="561" spans="1:18">
      <c r="A561" t="s">
        <v>2565</v>
      </c>
      <c r="B561" t="s">
        <v>110</v>
      </c>
      <c r="C561" s="10">
        <v>43.45</v>
      </c>
      <c r="D561" s="10">
        <v>50</v>
      </c>
      <c r="E561" s="10">
        <v>0.16</v>
      </c>
      <c r="F561" s="10">
        <v>47.320159599926477</v>
      </c>
      <c r="G561" s="10">
        <v>50.996978097166043</v>
      </c>
      <c r="H561" s="10">
        <v>50.202576000000001</v>
      </c>
      <c r="I561" s="10">
        <v>51.726190476190482</v>
      </c>
      <c r="J561" s="10">
        <v>56.333523333245807</v>
      </c>
      <c r="K561" s="10">
        <v>60.710688210911961</v>
      </c>
      <c r="L561" s="10">
        <v>59.764971428571428</v>
      </c>
      <c r="M561" s="10">
        <v>4.6073328570553258</v>
      </c>
      <c r="N561" s="10">
        <v>8.9844977347214794</v>
      </c>
      <c r="O561" s="10">
        <v>8.0387809523809466</v>
      </c>
      <c r="P561" s="5">
        <v>0.22870082627412125</v>
      </c>
      <c r="Q561" s="5">
        <v>0.28431053443089732</v>
      </c>
      <c r="R561" s="5">
        <v>0.27298551373140689</v>
      </c>
    </row>
    <row r="562" spans="1:18">
      <c r="A562" t="s">
        <v>2566</v>
      </c>
      <c r="B562" t="s">
        <v>110</v>
      </c>
      <c r="C562" s="10">
        <v>111.21</v>
      </c>
      <c r="D562" s="10">
        <v>50</v>
      </c>
      <c r="E562" s="10">
        <v>0.16</v>
      </c>
      <c r="F562" s="10">
        <v>109.64733956517532</v>
      </c>
      <c r="G562" s="10">
        <v>111.98787080974589</v>
      </c>
      <c r="H562" s="10">
        <v>108.66649</v>
      </c>
      <c r="I562" s="10">
        <v>132.39285714285714</v>
      </c>
      <c r="J562" s="10">
        <v>130.53254710139919</v>
      </c>
      <c r="K562" s="10">
        <v>133.31889382112607</v>
      </c>
      <c r="L562" s="10">
        <v>129.36486904761904</v>
      </c>
      <c r="M562" s="10">
        <v>1.8603100414579501</v>
      </c>
      <c r="N562" s="10">
        <v>0.92603667826892888</v>
      </c>
      <c r="O562" s="10">
        <v>3.0279880952381006</v>
      </c>
      <c r="P562" s="5">
        <v>0.14802857624764817</v>
      </c>
      <c r="Q562" s="5">
        <v>0.1658346629457455</v>
      </c>
      <c r="R562" s="5">
        <v>0.14033847969139335</v>
      </c>
    </row>
    <row r="563" spans="1:18">
      <c r="A563" t="s">
        <v>2567</v>
      </c>
      <c r="B563" t="s">
        <v>110</v>
      </c>
      <c r="C563" s="10">
        <v>83.24</v>
      </c>
      <c r="D563" s="10">
        <v>60</v>
      </c>
      <c r="E563" s="10">
        <v>0.16</v>
      </c>
      <c r="F563" s="10">
        <v>92.168149461937361</v>
      </c>
      <c r="G563" s="10">
        <v>87.515844177651829</v>
      </c>
      <c r="H563" s="10">
        <v>88.744150000000005</v>
      </c>
      <c r="I563" s="10">
        <v>99.095238095238088</v>
      </c>
      <c r="J563" s="10">
        <v>109.72398745468733</v>
      </c>
      <c r="K563" s="10">
        <v>104.18552878291885</v>
      </c>
      <c r="L563" s="10">
        <v>105.64779761904762</v>
      </c>
      <c r="M563" s="10">
        <v>10.628749359449245</v>
      </c>
      <c r="N563" s="10">
        <v>5.0902906876807634</v>
      </c>
      <c r="O563" s="10">
        <v>6.5525595238095349</v>
      </c>
      <c r="P563" s="5">
        <v>0.24136916702580116</v>
      </c>
      <c r="Q563" s="5">
        <v>0.20104067261165412</v>
      </c>
      <c r="R563" s="5">
        <v>0.21209905103604021</v>
      </c>
    </row>
    <row r="564" spans="1:18">
      <c r="A564" t="s">
        <v>2568</v>
      </c>
      <c r="B564" t="s">
        <v>110</v>
      </c>
      <c r="C564" s="10">
        <v>102.4</v>
      </c>
      <c r="D564" s="10">
        <v>50</v>
      </c>
      <c r="E564" s="10">
        <v>0.16</v>
      </c>
      <c r="F564" s="10">
        <v>107.28727171811082</v>
      </c>
      <c r="G564" s="10">
        <v>108.95631877646927</v>
      </c>
      <c r="H564" s="10">
        <v>107.74995</v>
      </c>
      <c r="I564" s="10">
        <v>121.90476190476191</v>
      </c>
      <c r="J564" s="10">
        <v>127.7229425215605</v>
      </c>
      <c r="K564" s="10">
        <v>129.70990330532058</v>
      </c>
      <c r="L564" s="10">
        <v>128.27375000000001</v>
      </c>
      <c r="M564" s="10">
        <v>5.8181806167985854</v>
      </c>
      <c r="N564" s="10">
        <v>7.8051414005586679</v>
      </c>
      <c r="O564" s="10">
        <v>6.3689880952380946</v>
      </c>
      <c r="P564" s="5">
        <v>0.19826463454117343</v>
      </c>
      <c r="Q564" s="5">
        <v>0.21054601544984999</v>
      </c>
      <c r="R564" s="5">
        <v>0.2017072861750748</v>
      </c>
    </row>
    <row r="565" spans="1:18">
      <c r="A565" t="s">
        <v>2569</v>
      </c>
      <c r="B565" t="s">
        <v>110</v>
      </c>
      <c r="C565" s="10">
        <v>48.52</v>
      </c>
      <c r="D565" s="10">
        <v>50</v>
      </c>
      <c r="E565" s="10">
        <v>0.16</v>
      </c>
      <c r="F565" s="10">
        <v>45.503976200835261</v>
      </c>
      <c r="G565" s="10">
        <v>51.82414568922794</v>
      </c>
      <c r="H565" s="10">
        <v>51.722102999999997</v>
      </c>
      <c r="I565" s="10">
        <v>57.761904761904766</v>
      </c>
      <c r="J565" s="10">
        <v>54.1714002390896</v>
      </c>
      <c r="K565" s="10">
        <v>61.69541153479517</v>
      </c>
      <c r="L565" s="10">
        <v>61.573932142857139</v>
      </c>
      <c r="M565" s="10">
        <v>3.5905045228151664</v>
      </c>
      <c r="N565" s="10">
        <v>3.9335067728904036</v>
      </c>
      <c r="O565" s="10">
        <v>3.8120273809523724</v>
      </c>
      <c r="P565" s="5">
        <v>0.10432442606516928</v>
      </c>
      <c r="Q565" s="5">
        <v>0.21355577679167367</v>
      </c>
      <c r="R565" s="5">
        <v>0.21200419866918394</v>
      </c>
    </row>
    <row r="566" spans="1:18">
      <c r="A566" t="s">
        <v>2570</v>
      </c>
      <c r="B566" t="s">
        <v>110</v>
      </c>
      <c r="C566" s="10">
        <v>66.36</v>
      </c>
      <c r="D566" s="10">
        <v>50</v>
      </c>
      <c r="E566" s="10">
        <v>0.16</v>
      </c>
      <c r="F566" s="10">
        <v>66.638649149319804</v>
      </c>
      <c r="G566" s="10">
        <v>68.432068196907593</v>
      </c>
      <c r="H566" s="10">
        <v>70.419650000000004</v>
      </c>
      <c r="I566" s="10">
        <v>79</v>
      </c>
      <c r="J566" s="10">
        <v>79.331725177761669</v>
      </c>
      <c r="K566" s="10">
        <v>81.466747853461428</v>
      </c>
      <c r="L566" s="10">
        <v>83.832916666666677</v>
      </c>
      <c r="M566" s="10">
        <v>0.33172517776166899</v>
      </c>
      <c r="N566" s="10">
        <v>2.4667478534614276</v>
      </c>
      <c r="O566" s="10">
        <v>4.8329166666666765</v>
      </c>
      <c r="P566" s="5">
        <v>0.16351245543564599</v>
      </c>
      <c r="Q566" s="5">
        <v>0.18543452698805088</v>
      </c>
      <c r="R566" s="5">
        <v>0.20842548919229231</v>
      </c>
    </row>
    <row r="567" spans="1:18">
      <c r="A567" t="s">
        <v>2571</v>
      </c>
      <c r="B567" t="s">
        <v>110</v>
      </c>
      <c r="C567" s="10">
        <v>98.13</v>
      </c>
      <c r="D567" s="10">
        <v>50</v>
      </c>
      <c r="E567" s="10">
        <v>0.16</v>
      </c>
      <c r="F567" s="10">
        <v>99.290344665116692</v>
      </c>
      <c r="G567" s="10">
        <v>102.52656878815624</v>
      </c>
      <c r="H567" s="10">
        <v>101.73076</v>
      </c>
      <c r="I567" s="10">
        <v>116.82142857142857</v>
      </c>
      <c r="J567" s="10">
        <v>118.20279126799606</v>
      </c>
      <c r="K567" s="10">
        <v>122.05543903351933</v>
      </c>
      <c r="L567" s="10">
        <v>121.10804761904762</v>
      </c>
      <c r="M567" s="10">
        <v>1.3813626965674928</v>
      </c>
      <c r="N567" s="10">
        <v>5.2340104620907653</v>
      </c>
      <c r="O567" s="10">
        <v>4.2866190476190553</v>
      </c>
      <c r="P567" s="5">
        <v>0.16981655892106556</v>
      </c>
      <c r="Q567" s="5">
        <v>0.19602108044483657</v>
      </c>
      <c r="R567" s="5">
        <v>0.18973179793407627</v>
      </c>
    </row>
    <row r="568" spans="1:18">
      <c r="A568" t="s">
        <v>2572</v>
      </c>
      <c r="B568" t="s">
        <v>110</v>
      </c>
      <c r="C568" s="10">
        <v>59.97</v>
      </c>
      <c r="D568" s="10">
        <v>50</v>
      </c>
      <c r="E568" s="10">
        <v>0.16</v>
      </c>
      <c r="F568" s="10">
        <v>66.254829808173895</v>
      </c>
      <c r="G568" s="10">
        <v>59.355779959776726</v>
      </c>
      <c r="H568" s="10">
        <v>64.172430000000006</v>
      </c>
      <c r="I568" s="10">
        <v>71.392857142857139</v>
      </c>
      <c r="J568" s="10">
        <v>78.874797390683213</v>
      </c>
      <c r="K568" s="10">
        <v>70.661642809258012</v>
      </c>
      <c r="L568" s="10">
        <v>76.395750000000007</v>
      </c>
      <c r="M568" s="10">
        <v>7.4819402478260741</v>
      </c>
      <c r="N568" s="10">
        <v>0.73121433359912658</v>
      </c>
      <c r="O568" s="10">
        <v>5.0028928571428679</v>
      </c>
      <c r="P568" s="5">
        <v>0.23968108972811475</v>
      </c>
      <c r="Q568" s="5">
        <v>0.15130758901429342</v>
      </c>
      <c r="R568" s="5">
        <v>0.21500868831054093</v>
      </c>
    </row>
    <row r="569" spans="1:18">
      <c r="A569" t="s">
        <v>2573</v>
      </c>
      <c r="B569" t="s">
        <v>110</v>
      </c>
      <c r="C569" s="10">
        <v>274.57</v>
      </c>
      <c r="D569" s="10">
        <v>65</v>
      </c>
      <c r="E569" s="10">
        <v>0.16</v>
      </c>
      <c r="F569" s="10">
        <v>265.54391878907836</v>
      </c>
      <c r="G569" s="10">
        <v>190.1657268620269</v>
      </c>
      <c r="H569" s="10">
        <v>219.12732</v>
      </c>
      <c r="I569" s="10">
        <v>326.86904761904765</v>
      </c>
      <c r="J569" s="10">
        <v>316.12371284414093</v>
      </c>
      <c r="K569" s="10">
        <v>226.38777007384155</v>
      </c>
      <c r="L569" s="10">
        <v>260.86585714285712</v>
      </c>
      <c r="M569" s="10">
        <v>10.745334774906723</v>
      </c>
      <c r="N569" s="10">
        <v>100.4812775452061</v>
      </c>
      <c r="O569" s="10">
        <v>66.003190476190525</v>
      </c>
      <c r="P569" s="5">
        <v>0.13144763001258383</v>
      </c>
      <c r="Q569" s="5">
        <v>-0.21283053369200422</v>
      </c>
      <c r="R569" s="5">
        <v>-5.2533294342302965E-2</v>
      </c>
    </row>
    <row r="570" spans="1:18">
      <c r="A570" t="s">
        <v>2574</v>
      </c>
      <c r="B570" t="s">
        <v>110</v>
      </c>
      <c r="C570" s="10">
        <v>151.26</v>
      </c>
      <c r="D570" s="10">
        <v>119</v>
      </c>
      <c r="E570" s="10">
        <v>0.16</v>
      </c>
      <c r="F570" s="10">
        <v>142.13083840824962</v>
      </c>
      <c r="G570" s="10">
        <v>159.68866405677659</v>
      </c>
      <c r="H570" s="10">
        <v>156.02808999999999</v>
      </c>
      <c r="I570" s="10">
        <v>180.07142857142856</v>
      </c>
      <c r="J570" s="10">
        <v>169.20337905744003</v>
      </c>
      <c r="K570" s="10">
        <v>190.10555244854356</v>
      </c>
      <c r="L570" s="10">
        <v>185.74772619047619</v>
      </c>
      <c r="M570" s="10">
        <v>10.868049513988524</v>
      </c>
      <c r="N570" s="10">
        <v>10.034123877115007</v>
      </c>
      <c r="O570" s="10">
        <v>5.6762976190476309</v>
      </c>
      <c r="P570" s="5">
        <v>0.10604622175629685</v>
      </c>
      <c r="Q570" s="5">
        <v>0.20433675896477571</v>
      </c>
      <c r="R570" s="5">
        <v>0.18566970857619294</v>
      </c>
    </row>
    <row r="571" spans="1:18">
      <c r="A571" t="s">
        <v>2575</v>
      </c>
      <c r="B571" t="s">
        <v>110</v>
      </c>
      <c r="C571" s="10">
        <v>106.56</v>
      </c>
      <c r="D571" s="10">
        <v>50</v>
      </c>
      <c r="E571" s="10">
        <v>0.16</v>
      </c>
      <c r="F571" s="10">
        <v>112.2115188351809</v>
      </c>
      <c r="G571" s="10">
        <v>107.14074710012204</v>
      </c>
      <c r="H571" s="10">
        <v>104.07845</v>
      </c>
      <c r="I571" s="10">
        <v>126.85714285714286</v>
      </c>
      <c r="J571" s="10">
        <v>133.58514147045346</v>
      </c>
      <c r="K571" s="10">
        <v>127.54850845252625</v>
      </c>
      <c r="L571" s="10">
        <v>123.90291666666667</v>
      </c>
      <c r="M571" s="10">
        <v>6.7279986133106036</v>
      </c>
      <c r="N571" s="10">
        <v>0.69136559538338815</v>
      </c>
      <c r="O571" s="10">
        <v>2.9542261904761915</v>
      </c>
      <c r="P571" s="5">
        <v>0.20230649287017388</v>
      </c>
      <c r="Q571" s="5">
        <v>0.16455314693341319</v>
      </c>
      <c r="R571" s="5">
        <v>0.13997181933435787</v>
      </c>
    </row>
    <row r="572" spans="1:18">
      <c r="A572" t="s">
        <v>2576</v>
      </c>
      <c r="B572" t="s">
        <v>110</v>
      </c>
      <c r="C572" s="10">
        <v>64.25</v>
      </c>
      <c r="D572" s="10">
        <v>50</v>
      </c>
      <c r="E572" s="10">
        <v>0.16</v>
      </c>
      <c r="F572" s="10">
        <v>63.031565167866972</v>
      </c>
      <c r="G572" s="10">
        <v>60.282374695618614</v>
      </c>
      <c r="H572" s="10">
        <v>63.345759999999999</v>
      </c>
      <c r="I572" s="10">
        <v>76.488095238095241</v>
      </c>
      <c r="J572" s="10">
        <v>75.037577580794022</v>
      </c>
      <c r="K572" s="10">
        <v>71.764731780498352</v>
      </c>
      <c r="L572" s="10">
        <v>75.411619047619055</v>
      </c>
      <c r="M572" s="10">
        <v>1.4505176573012193</v>
      </c>
      <c r="N572" s="10">
        <v>4.7233634575968892</v>
      </c>
      <c r="O572" s="10">
        <v>1.0764761904761855</v>
      </c>
      <c r="P572" s="5">
        <v>0.14376233786570314</v>
      </c>
      <c r="Q572" s="5">
        <v>0.10471343784134976</v>
      </c>
      <c r="R572" s="5">
        <v>0.14800927481176335</v>
      </c>
    </row>
    <row r="573" spans="1:18">
      <c r="A573" t="s">
        <v>2577</v>
      </c>
      <c r="B573" t="s">
        <v>110</v>
      </c>
      <c r="C573" s="10">
        <v>139.88999999999999</v>
      </c>
      <c r="D573" s="10">
        <v>99</v>
      </c>
      <c r="E573" s="10">
        <v>0.16</v>
      </c>
      <c r="F573" s="10">
        <v>129.59726837232583</v>
      </c>
      <c r="G573" s="10">
        <v>155.33643795787549</v>
      </c>
      <c r="H573" s="10">
        <v>142.08629999999999</v>
      </c>
      <c r="I573" s="10">
        <v>166.53571428571428</v>
      </c>
      <c r="J573" s="10">
        <v>154.28246234800693</v>
      </c>
      <c r="K573" s="10">
        <v>184.92433090223273</v>
      </c>
      <c r="L573" s="10">
        <v>169.15035714285713</v>
      </c>
      <c r="M573" s="10">
        <v>12.253251937707347</v>
      </c>
      <c r="N573" s="10">
        <v>18.388616616518448</v>
      </c>
      <c r="O573" s="10">
        <v>2.6146428571428544</v>
      </c>
      <c r="P573" s="5">
        <v>9.3286444414807268E-2</v>
      </c>
      <c r="Q573" s="5">
        <v>0.24352842420742271</v>
      </c>
      <c r="R573" s="5">
        <v>0.17298430601683629</v>
      </c>
    </row>
    <row r="574" spans="1:18">
      <c r="A574" t="s">
        <v>2578</v>
      </c>
      <c r="B574" t="s">
        <v>110</v>
      </c>
      <c r="C574" s="10">
        <v>52.9</v>
      </c>
      <c r="D574" s="10">
        <v>50</v>
      </c>
      <c r="E574" s="10">
        <v>0.16</v>
      </c>
      <c r="F574" s="10">
        <v>57.434386336955171</v>
      </c>
      <c r="G574" s="10">
        <v>55.687388982547908</v>
      </c>
      <c r="H574" s="10">
        <v>60.129807</v>
      </c>
      <c r="I574" s="10">
        <v>62.976190476190474</v>
      </c>
      <c r="J574" s="10">
        <v>68.374269448756152</v>
      </c>
      <c r="K574" s="10">
        <v>66.294510693509423</v>
      </c>
      <c r="L574" s="10">
        <v>71.58310357142858</v>
      </c>
      <c r="M574" s="10">
        <v>5.3980789725656777</v>
      </c>
      <c r="N574" s="10">
        <v>3.3183202173189486</v>
      </c>
      <c r="O574" s="10">
        <v>8.6069130952381059</v>
      </c>
      <c r="P574" s="5">
        <v>0.22631714493642255</v>
      </c>
      <c r="Q574" s="5">
        <v>0.20204554726158974</v>
      </c>
      <c r="R574" s="5">
        <v>0.26099879216309485</v>
      </c>
    </row>
    <row r="575" spans="1:18">
      <c r="A575" t="s">
        <v>2579</v>
      </c>
      <c r="B575" t="s">
        <v>112</v>
      </c>
      <c r="C575" s="10">
        <v>95.02</v>
      </c>
      <c r="D575" s="10">
        <v>65</v>
      </c>
      <c r="E575" s="10">
        <v>0.19</v>
      </c>
      <c r="F575" s="10">
        <v>96.419572940809758</v>
      </c>
      <c r="G575" s="10">
        <v>85.299098259288684</v>
      </c>
      <c r="H575" s="10">
        <v>89.708954000000006</v>
      </c>
      <c r="I575" s="10">
        <v>117.30864197530863</v>
      </c>
      <c r="J575" s="10">
        <v>119.03650980346883</v>
      </c>
      <c r="K575" s="10">
        <v>105.3075287151712</v>
      </c>
      <c r="L575" s="10">
        <v>110.7517950617284</v>
      </c>
      <c r="M575" s="10">
        <v>1.7278678281601998</v>
      </c>
      <c r="N575" s="10">
        <v>12.00111326013743</v>
      </c>
      <c r="O575" s="10">
        <v>6.5568469135802303</v>
      </c>
      <c r="P575" s="5">
        <v>0.20175750988600452</v>
      </c>
      <c r="Q575" s="5">
        <v>9.7690344087327588E-2</v>
      </c>
      <c r="R575" s="5">
        <v>0.14204550863451165</v>
      </c>
    </row>
    <row r="576" spans="1:18">
      <c r="A576" t="s">
        <v>2580</v>
      </c>
      <c r="B576" t="s">
        <v>112</v>
      </c>
      <c r="C576" s="10">
        <v>108</v>
      </c>
      <c r="D576" s="10">
        <v>60</v>
      </c>
      <c r="E576" s="10">
        <v>0.19</v>
      </c>
      <c r="F576" s="10">
        <v>103.01543846767122</v>
      </c>
      <c r="G576" s="10">
        <v>101.5578699070202</v>
      </c>
      <c r="H576" s="10">
        <v>107.264786</v>
      </c>
      <c r="I576" s="10">
        <v>133.33333333333331</v>
      </c>
      <c r="J576" s="10">
        <v>127.17955366379162</v>
      </c>
      <c r="K576" s="10">
        <v>125.38008630496321</v>
      </c>
      <c r="L576" s="10">
        <v>132.42566172839506</v>
      </c>
      <c r="M576" s="10">
        <v>6.1537796695416915</v>
      </c>
      <c r="N576" s="10">
        <v>7.9532470283701002</v>
      </c>
      <c r="O576" s="10">
        <v>0.90767160493825827</v>
      </c>
      <c r="P576" s="5">
        <v>0.15080689553679488</v>
      </c>
      <c r="Q576" s="5">
        <v>0.13861919238665588</v>
      </c>
      <c r="R576" s="5">
        <v>0.18444810023673563</v>
      </c>
    </row>
    <row r="577" spans="1:18">
      <c r="A577" t="s">
        <v>2581</v>
      </c>
      <c r="B577" t="s">
        <v>112</v>
      </c>
      <c r="C577" s="10">
        <v>86.63</v>
      </c>
      <c r="D577" s="10">
        <v>60</v>
      </c>
      <c r="E577" s="10">
        <v>0.19</v>
      </c>
      <c r="F577" s="10">
        <v>93.118397512359749</v>
      </c>
      <c r="G577" s="10">
        <v>87.168929342740199</v>
      </c>
      <c r="H577" s="10">
        <v>88.009476000000006</v>
      </c>
      <c r="I577" s="10">
        <v>106.95061728395061</v>
      </c>
      <c r="J577" s="10">
        <v>114.96098458316018</v>
      </c>
      <c r="K577" s="10">
        <v>107.61596215153111</v>
      </c>
      <c r="L577" s="10">
        <v>108.65367407407408</v>
      </c>
      <c r="M577" s="10">
        <v>8.0103672992095767</v>
      </c>
      <c r="N577" s="10">
        <v>0.66534486758050093</v>
      </c>
      <c r="O577" s="10">
        <v>1.703056790123469</v>
      </c>
      <c r="P577" s="5">
        <v>0.24643999602026889</v>
      </c>
      <c r="Q577" s="5">
        <v>0.19500789410757996</v>
      </c>
      <c r="R577" s="5">
        <v>0.2026960824082171</v>
      </c>
    </row>
    <row r="578" spans="1:18">
      <c r="A578" t="s">
        <v>2582</v>
      </c>
      <c r="B578" t="s">
        <v>112</v>
      </c>
      <c r="C578" s="10">
        <v>49.18</v>
      </c>
      <c r="D578" s="10">
        <v>50</v>
      </c>
      <c r="E578" s="10">
        <v>0.19</v>
      </c>
      <c r="F578" s="10">
        <v>52.12694109923472</v>
      </c>
      <c r="G578" s="10">
        <v>54.434373242223955</v>
      </c>
      <c r="H578" s="10">
        <v>54.009937000000001</v>
      </c>
      <c r="I578" s="10">
        <v>60.716049382716044</v>
      </c>
      <c r="J578" s="10">
        <v>64.35424827066015</v>
      </c>
      <c r="K578" s="10">
        <v>67.202929928671551</v>
      </c>
      <c r="L578" s="10">
        <v>66.678934567901237</v>
      </c>
      <c r="M578" s="10">
        <v>3.6381988879441067</v>
      </c>
      <c r="N578" s="10">
        <v>6.4868805459555077</v>
      </c>
      <c r="O578" s="10">
        <v>5.9628851851851934</v>
      </c>
      <c r="P578" s="5">
        <v>0.23579248734039315</v>
      </c>
      <c r="Q578" s="5">
        <v>0.26818666906042476</v>
      </c>
      <c r="R578" s="5">
        <v>0.26243572548510846</v>
      </c>
    </row>
    <row r="579" spans="1:18">
      <c r="A579" t="s">
        <v>2583</v>
      </c>
      <c r="B579" t="s">
        <v>112</v>
      </c>
      <c r="C579" s="10">
        <v>87.86</v>
      </c>
      <c r="D579" s="10">
        <v>60</v>
      </c>
      <c r="E579" s="10">
        <v>0.19</v>
      </c>
      <c r="F579" s="10">
        <v>89.977659716769907</v>
      </c>
      <c r="G579" s="10">
        <v>86.863363445069453</v>
      </c>
      <c r="H579" s="10">
        <v>86.946915000000004</v>
      </c>
      <c r="I579" s="10">
        <v>108.46913580246913</v>
      </c>
      <c r="J579" s="10">
        <v>111.08353051453074</v>
      </c>
      <c r="K579" s="10">
        <v>107.23872030255487</v>
      </c>
      <c r="L579" s="10">
        <v>107.34187037037037</v>
      </c>
      <c r="M579" s="10">
        <v>2.6143947120616104</v>
      </c>
      <c r="N579" s="10">
        <v>1.2304154999142582</v>
      </c>
      <c r="O579" s="10">
        <v>1.1272654320987527</v>
      </c>
      <c r="P579" s="5">
        <v>0.20906366953733874</v>
      </c>
      <c r="Q579" s="5">
        <v>0.18070637403991091</v>
      </c>
      <c r="R579" s="5">
        <v>0.18149367346731052</v>
      </c>
    </row>
    <row r="580" spans="1:18">
      <c r="A580" t="s">
        <v>2584</v>
      </c>
      <c r="B580" t="s">
        <v>112</v>
      </c>
      <c r="C580" s="10">
        <v>77.3</v>
      </c>
      <c r="D580" s="10">
        <v>60</v>
      </c>
      <c r="E580" s="10">
        <v>0.19</v>
      </c>
      <c r="F580" s="10">
        <v>78.29381070733605</v>
      </c>
      <c r="G580" s="10">
        <v>79.938535125276346</v>
      </c>
      <c r="H580" s="10">
        <v>77.724930000000001</v>
      </c>
      <c r="I580" s="10">
        <v>95.432098765432087</v>
      </c>
      <c r="J580" s="10">
        <v>96.659025564612406</v>
      </c>
      <c r="K580" s="10">
        <v>98.689549537378198</v>
      </c>
      <c r="L580" s="10">
        <v>95.956703703703695</v>
      </c>
      <c r="M580" s="10">
        <v>1.226926799180319</v>
      </c>
      <c r="N580" s="10">
        <v>3.257450771946111</v>
      </c>
      <c r="O580" s="10">
        <v>0.52460493827160803</v>
      </c>
      <c r="P580" s="5">
        <v>0.20028161313991039</v>
      </c>
      <c r="Q580" s="5">
        <v>0.21673570948134696</v>
      </c>
      <c r="R580" s="5">
        <v>0.19442835136680081</v>
      </c>
    </row>
    <row r="581" spans="1:18">
      <c r="A581" t="s">
        <v>2585</v>
      </c>
      <c r="B581" t="s">
        <v>112</v>
      </c>
      <c r="C581" s="10">
        <v>146.16</v>
      </c>
      <c r="D581" s="10">
        <v>60</v>
      </c>
      <c r="E581" s="10">
        <v>0.19</v>
      </c>
      <c r="F581" s="10">
        <v>139.3896025672629</v>
      </c>
      <c r="G581" s="10">
        <v>141.72132357642357</v>
      </c>
      <c r="H581" s="10">
        <v>142.24815000000001</v>
      </c>
      <c r="I581" s="10">
        <v>180.44444444444443</v>
      </c>
      <c r="J581" s="10">
        <v>172.08592909538629</v>
      </c>
      <c r="K581" s="10">
        <v>174.96459700793034</v>
      </c>
      <c r="L581" s="10">
        <v>175.61500000000001</v>
      </c>
      <c r="M581" s="10">
        <v>8.3585153490581376</v>
      </c>
      <c r="N581" s="10">
        <v>5.4798474365140919</v>
      </c>
      <c r="O581" s="10">
        <v>4.8294444444444196</v>
      </c>
      <c r="P581" s="5">
        <v>0.1506568795698322</v>
      </c>
      <c r="Q581" s="5">
        <v>0.16463100250289356</v>
      </c>
      <c r="R581" s="5">
        <v>0.16772485266064979</v>
      </c>
    </row>
    <row r="582" spans="1:18">
      <c r="A582" t="s">
        <v>2586</v>
      </c>
      <c r="B582" t="s">
        <v>112</v>
      </c>
      <c r="C582" s="10">
        <v>55.92</v>
      </c>
      <c r="D582" s="10">
        <v>50</v>
      </c>
      <c r="E582" s="10">
        <v>0.19</v>
      </c>
      <c r="F582" s="10">
        <v>53.377263150692073</v>
      </c>
      <c r="G582" s="10">
        <v>54.649308942981982</v>
      </c>
      <c r="H582" s="10">
        <v>54.846671999999998</v>
      </c>
      <c r="I582" s="10">
        <v>69.037037037037038</v>
      </c>
      <c r="J582" s="10">
        <v>65.897855741595151</v>
      </c>
      <c r="K582" s="10">
        <v>67.468282645656757</v>
      </c>
      <c r="L582" s="10">
        <v>67.711940740740729</v>
      </c>
      <c r="M582" s="10">
        <v>3.1391812954418867</v>
      </c>
      <c r="N582" s="10">
        <v>1.5687543913802813</v>
      </c>
      <c r="O582" s="10">
        <v>1.3250962962963087</v>
      </c>
      <c r="P582" s="5">
        <v>0.15141396680221664</v>
      </c>
      <c r="Q582" s="5">
        <v>0.1711660975025599</v>
      </c>
      <c r="R582" s="5">
        <v>0.17414861561700573</v>
      </c>
    </row>
    <row r="583" spans="1:18">
      <c r="A583" t="s">
        <v>2587</v>
      </c>
      <c r="B583" t="s">
        <v>112</v>
      </c>
      <c r="C583" s="10">
        <v>52.33</v>
      </c>
      <c r="D583" s="10">
        <v>50</v>
      </c>
      <c r="E583" s="10">
        <v>0.19</v>
      </c>
      <c r="F583" s="10">
        <v>48.917377299190541</v>
      </c>
      <c r="G583" s="10">
        <v>49.652202364272334</v>
      </c>
      <c r="H583" s="10">
        <v>47.598681999999997</v>
      </c>
      <c r="I583" s="10">
        <v>64.604938271604937</v>
      </c>
      <c r="J583" s="10">
        <v>60.391823826161158</v>
      </c>
      <c r="K583" s="10">
        <v>61.299015264533743</v>
      </c>
      <c r="L583" s="10">
        <v>58.763804938271598</v>
      </c>
      <c r="M583" s="10">
        <v>4.2131144454437788</v>
      </c>
      <c r="N583" s="10">
        <v>3.3059230070711934</v>
      </c>
      <c r="O583" s="10">
        <v>5.8411333333333388</v>
      </c>
      <c r="P583" s="5">
        <v>0.13349197483035535</v>
      </c>
      <c r="Q583" s="5">
        <v>0.14631581316320133</v>
      </c>
      <c r="R583" s="5">
        <v>0.10948584668793972</v>
      </c>
    </row>
    <row r="584" spans="1:18">
      <c r="A584" t="s">
        <v>2588</v>
      </c>
      <c r="B584" t="s">
        <v>112</v>
      </c>
      <c r="C584" s="10">
        <v>74.150000000000006</v>
      </c>
      <c r="D584" s="10">
        <v>60</v>
      </c>
      <c r="E584" s="10">
        <v>0.19</v>
      </c>
      <c r="F584" s="10">
        <v>75.002890138104789</v>
      </c>
      <c r="G584" s="10">
        <v>73.543627174829183</v>
      </c>
      <c r="H584" s="10">
        <v>71.789590000000004</v>
      </c>
      <c r="I584" s="10">
        <v>91.543209876543216</v>
      </c>
      <c r="J584" s="10">
        <v>92.596160664326888</v>
      </c>
      <c r="K584" s="10">
        <v>90.79460145040639</v>
      </c>
      <c r="L584" s="10">
        <v>88.629123456790126</v>
      </c>
      <c r="M584" s="10">
        <v>1.0529507877836721</v>
      </c>
      <c r="N584" s="10">
        <v>0.74860842613682621</v>
      </c>
      <c r="O584" s="10">
        <v>2.9140864197530902</v>
      </c>
      <c r="P584" s="5">
        <v>0.19921085854948795</v>
      </c>
      <c r="Q584" s="5">
        <v>0.18332148811180099</v>
      </c>
      <c r="R584" s="5">
        <v>0.16336755788687465</v>
      </c>
    </row>
    <row r="585" spans="1:18">
      <c r="A585" t="s">
        <v>2589</v>
      </c>
      <c r="B585" t="s">
        <v>112</v>
      </c>
      <c r="C585" s="10">
        <v>102.2</v>
      </c>
      <c r="D585" s="10">
        <v>60</v>
      </c>
      <c r="E585" s="10">
        <v>0.19</v>
      </c>
      <c r="F585" s="10">
        <v>97.897116936079058</v>
      </c>
      <c r="G585" s="10">
        <v>98.388212650967375</v>
      </c>
      <c r="H585" s="10">
        <v>102.86966</v>
      </c>
      <c r="I585" s="10">
        <v>126.17283950617283</v>
      </c>
      <c r="J585" s="10">
        <v>120.86063819269019</v>
      </c>
      <c r="K585" s="10">
        <v>121.46692919872514</v>
      </c>
      <c r="L585" s="10">
        <v>126.99958024691357</v>
      </c>
      <c r="M585" s="10">
        <v>5.312201313482646</v>
      </c>
      <c r="N585" s="10">
        <v>4.7059103074476951</v>
      </c>
      <c r="O585" s="10">
        <v>0.82674074074073189</v>
      </c>
      <c r="P585" s="5">
        <v>0.15439797829744378</v>
      </c>
      <c r="Q585" s="5">
        <v>0.15861872302051538</v>
      </c>
      <c r="R585" s="5">
        <v>0.19527293081361394</v>
      </c>
    </row>
    <row r="586" spans="1:18">
      <c r="A586" t="s">
        <v>2590</v>
      </c>
      <c r="B586" t="s">
        <v>112</v>
      </c>
      <c r="C586" s="10">
        <v>87.39</v>
      </c>
      <c r="D586" s="10">
        <v>60</v>
      </c>
      <c r="E586" s="10">
        <v>0.19</v>
      </c>
      <c r="F586" s="10">
        <v>90.791027759396954</v>
      </c>
      <c r="G586" s="10">
        <v>83.788071754171767</v>
      </c>
      <c r="H586" s="10">
        <v>85.977519999999998</v>
      </c>
      <c r="I586" s="10">
        <v>107.88888888888889</v>
      </c>
      <c r="J586" s="10">
        <v>112.08768859184808</v>
      </c>
      <c r="K586" s="10">
        <v>103.44206389403921</v>
      </c>
      <c r="L586" s="10">
        <v>106.14508641975307</v>
      </c>
      <c r="M586" s="10">
        <v>4.1987997029591924</v>
      </c>
      <c r="N586" s="10">
        <v>4.4468249948496776</v>
      </c>
      <c r="O586" s="10">
        <v>1.7438024691358152</v>
      </c>
      <c r="P586" s="5">
        <v>0.22034256306043851</v>
      </c>
      <c r="Q586" s="5">
        <v>0.15517926933942583</v>
      </c>
      <c r="R586" s="5">
        <v>0.1766929308963551</v>
      </c>
    </row>
    <row r="587" spans="1:18">
      <c r="A587" t="s">
        <v>2591</v>
      </c>
      <c r="B587" t="s">
        <v>112</v>
      </c>
      <c r="C587" s="10">
        <v>86.56</v>
      </c>
      <c r="D587" s="10">
        <v>60</v>
      </c>
      <c r="E587" s="10">
        <v>0.19</v>
      </c>
      <c r="F587" s="10">
        <v>87.469431937769968</v>
      </c>
      <c r="G587" s="10">
        <v>78.204745454418315</v>
      </c>
      <c r="H587" s="10">
        <v>79.826999999999998</v>
      </c>
      <c r="I587" s="10">
        <v>106.86419753086419</v>
      </c>
      <c r="J587" s="10">
        <v>107.98695300959254</v>
      </c>
      <c r="K587" s="10">
        <v>96.549068462244833</v>
      </c>
      <c r="L587" s="10">
        <v>98.551851851851836</v>
      </c>
      <c r="M587" s="10">
        <v>1.1227554787283509</v>
      </c>
      <c r="N587" s="10">
        <v>10.315129068619356</v>
      </c>
      <c r="O587" s="10">
        <v>8.3123456790123527</v>
      </c>
      <c r="P587" s="5">
        <v>0.19842168347586556</v>
      </c>
      <c r="Q587" s="5">
        <v>0.10346105479154384</v>
      </c>
      <c r="R587" s="5">
        <v>0.12168063437182892</v>
      </c>
    </row>
    <row r="588" spans="1:18">
      <c r="A588" t="s">
        <v>2592</v>
      </c>
      <c r="B588" t="s">
        <v>112</v>
      </c>
      <c r="C588" s="10">
        <v>132.32</v>
      </c>
      <c r="D588" s="10">
        <v>60</v>
      </c>
      <c r="E588" s="10">
        <v>0.19</v>
      </c>
      <c r="F588" s="10">
        <v>130.8030523501416</v>
      </c>
      <c r="G588" s="10">
        <v>138.56929862637364</v>
      </c>
      <c r="H588" s="10">
        <v>135.96527</v>
      </c>
      <c r="I588" s="10">
        <v>163.358024691358</v>
      </c>
      <c r="J588" s="10">
        <v>161.48524981498963</v>
      </c>
      <c r="K588" s="10">
        <v>171.07320818070818</v>
      </c>
      <c r="L588" s="10">
        <v>167.85835802469134</v>
      </c>
      <c r="M588" s="10">
        <v>1.8727748763683678</v>
      </c>
      <c r="N588" s="10">
        <v>7.7151834893501814</v>
      </c>
      <c r="O588" s="10">
        <v>4.5003333333333444</v>
      </c>
      <c r="P588" s="5">
        <v>0.18060627734361911</v>
      </c>
      <c r="Q588" s="5">
        <v>0.22652996686525204</v>
      </c>
      <c r="R588" s="5">
        <v>0.21171634491660993</v>
      </c>
    </row>
    <row r="589" spans="1:18">
      <c r="A589" t="s">
        <v>2593</v>
      </c>
      <c r="B589" t="s">
        <v>112</v>
      </c>
      <c r="C589" s="10">
        <v>76.760000000000005</v>
      </c>
      <c r="D589" s="10">
        <v>60</v>
      </c>
      <c r="E589" s="10">
        <v>0.19</v>
      </c>
      <c r="F589" s="10">
        <v>68.906434783734241</v>
      </c>
      <c r="G589" s="10">
        <v>73.056648669644261</v>
      </c>
      <c r="H589" s="10">
        <v>71.657250000000005</v>
      </c>
      <c r="I589" s="10">
        <v>94.76543209876543</v>
      </c>
      <c r="J589" s="10">
        <v>85.069672572511408</v>
      </c>
      <c r="K589" s="10">
        <v>90.193393419313892</v>
      </c>
      <c r="L589" s="10">
        <v>88.465740740740742</v>
      </c>
      <c r="M589" s="10">
        <v>9.6957595262540224</v>
      </c>
      <c r="N589" s="10">
        <v>4.5720386794515377</v>
      </c>
      <c r="O589" s="10">
        <v>6.2996913580246883</v>
      </c>
      <c r="P589" s="5">
        <v>9.7680787068134434E-2</v>
      </c>
      <c r="Q589" s="5">
        <v>0.14893988251291673</v>
      </c>
      <c r="R589" s="5">
        <v>0.13231947918738154</v>
      </c>
    </row>
    <row r="590" spans="1:18">
      <c r="A590" t="s">
        <v>2594</v>
      </c>
      <c r="B590" t="s">
        <v>112</v>
      </c>
      <c r="C590" s="10">
        <v>148.54</v>
      </c>
      <c r="D590" s="10">
        <v>60</v>
      </c>
      <c r="E590" s="10">
        <v>0.19</v>
      </c>
      <c r="F590" s="10">
        <v>147.40138376944523</v>
      </c>
      <c r="G590" s="10">
        <v>159.38644171245417</v>
      </c>
      <c r="H590" s="10">
        <v>158.37517</v>
      </c>
      <c r="I590" s="10">
        <v>183.38271604938271</v>
      </c>
      <c r="J590" s="10">
        <v>181.97701699931508</v>
      </c>
      <c r="K590" s="10">
        <v>196.77338483019031</v>
      </c>
      <c r="L590" s="10">
        <v>195.52490123456789</v>
      </c>
      <c r="M590" s="10">
        <v>1.405699050067625</v>
      </c>
      <c r="N590" s="10">
        <v>13.390668780807601</v>
      </c>
      <c r="O590" s="10">
        <v>12.142185185185184</v>
      </c>
      <c r="P590" s="5">
        <v>0.18374307673941562</v>
      </c>
      <c r="Q590" s="5">
        <v>0.24512148770431694</v>
      </c>
      <c r="R590" s="5">
        <v>0.24030136794801862</v>
      </c>
    </row>
    <row r="591" spans="1:18">
      <c r="A591" t="s">
        <v>2595</v>
      </c>
      <c r="B591" t="s">
        <v>112</v>
      </c>
      <c r="C591" s="10">
        <v>71.45</v>
      </c>
      <c r="D591" s="10">
        <v>60</v>
      </c>
      <c r="E591" s="10">
        <v>0.19</v>
      </c>
      <c r="F591" s="10">
        <v>76.398842102278607</v>
      </c>
      <c r="G591" s="10">
        <v>73.976446556932089</v>
      </c>
      <c r="H591" s="10">
        <v>74.498199999999997</v>
      </c>
      <c r="I591" s="10">
        <v>88.209876543209873</v>
      </c>
      <c r="J591" s="10">
        <v>94.319558150961242</v>
      </c>
      <c r="K591" s="10">
        <v>91.328946366582826</v>
      </c>
      <c r="L591" s="10">
        <v>91.973086419753074</v>
      </c>
      <c r="M591" s="10">
        <v>6.1096816077513694</v>
      </c>
      <c r="N591" s="10">
        <v>3.1190698233729535</v>
      </c>
      <c r="O591" s="10">
        <v>3.7632098765432005</v>
      </c>
      <c r="P591" s="5">
        <v>0.24246888555561122</v>
      </c>
      <c r="Q591" s="5">
        <v>0.21766315234593039</v>
      </c>
      <c r="R591" s="5">
        <v>0.22314230410936089</v>
      </c>
    </row>
    <row r="592" spans="1:18">
      <c r="A592" t="s">
        <v>2596</v>
      </c>
      <c r="B592" t="s">
        <v>112</v>
      </c>
      <c r="C592" s="10">
        <v>70.41</v>
      </c>
      <c r="D592" s="10">
        <v>60</v>
      </c>
      <c r="E592" s="10">
        <v>0.19</v>
      </c>
      <c r="F592" s="10">
        <v>78.42824489476223</v>
      </c>
      <c r="G592" s="10">
        <v>75.040621992627919</v>
      </c>
      <c r="H592" s="10">
        <v>73.844589999999997</v>
      </c>
      <c r="I592" s="10">
        <v>86.92592592592591</v>
      </c>
      <c r="J592" s="10">
        <v>96.824993697237318</v>
      </c>
      <c r="K592" s="10">
        <v>92.6427432007752</v>
      </c>
      <c r="L592" s="10">
        <v>91.166160493827149</v>
      </c>
      <c r="M592" s="10">
        <v>9.8990677713114081</v>
      </c>
      <c r="N592" s="10">
        <v>5.7168172748492907</v>
      </c>
      <c r="O592" s="10">
        <v>4.2402345679012399</v>
      </c>
      <c r="P592" s="5">
        <v>0.27281172648288038</v>
      </c>
      <c r="Q592" s="5">
        <v>0.2399836450502382</v>
      </c>
      <c r="R592" s="5">
        <v>0.22767395688702444</v>
      </c>
    </row>
    <row r="593" spans="1:18">
      <c r="A593" t="s">
        <v>2597</v>
      </c>
      <c r="B593" t="s">
        <v>112</v>
      </c>
      <c r="C593" s="10">
        <v>61.05</v>
      </c>
      <c r="D593" s="10">
        <v>50</v>
      </c>
      <c r="E593" s="10">
        <v>0.19</v>
      </c>
      <c r="F593" s="10">
        <v>52.885826592388469</v>
      </c>
      <c r="G593" s="10">
        <v>52.291500803954058</v>
      </c>
      <c r="H593" s="10">
        <v>52.865302999999997</v>
      </c>
      <c r="I593" s="10">
        <v>75.370370370370367</v>
      </c>
      <c r="J593" s="10">
        <v>65.291143941220326</v>
      </c>
      <c r="K593" s="10">
        <v>64.557408399943284</v>
      </c>
      <c r="L593" s="10">
        <v>65.265806172839504</v>
      </c>
      <c r="M593" s="10">
        <v>10.07922642915004</v>
      </c>
      <c r="N593" s="10">
        <v>10.812961970427082</v>
      </c>
      <c r="O593" s="10">
        <v>10.104564197530863</v>
      </c>
      <c r="P593" s="5">
        <v>6.4957415128742493E-2</v>
      </c>
      <c r="Q593" s="5">
        <v>5.4330068180778589E-2</v>
      </c>
      <c r="R593" s="5">
        <v>6.4594408926399241E-2</v>
      </c>
    </row>
    <row r="594" spans="1:18">
      <c r="A594" t="s">
        <v>2598</v>
      </c>
      <c r="B594" t="s">
        <v>112</v>
      </c>
      <c r="C594" s="10">
        <v>75.97</v>
      </c>
      <c r="D594" s="10">
        <v>60</v>
      </c>
      <c r="E594" s="10">
        <v>0.19</v>
      </c>
      <c r="F594" s="10">
        <v>79.165705044036315</v>
      </c>
      <c r="G594" s="10">
        <v>74.610462108297114</v>
      </c>
      <c r="H594" s="10">
        <v>74.523060000000001</v>
      </c>
      <c r="I594" s="10">
        <v>93.790123456790113</v>
      </c>
      <c r="J594" s="10">
        <v>97.735438325970748</v>
      </c>
      <c r="K594" s="10">
        <v>92.11168161518161</v>
      </c>
      <c r="L594" s="10">
        <v>92.003777777777771</v>
      </c>
      <c r="M594" s="10">
        <v>3.9453148691806348</v>
      </c>
      <c r="N594" s="10">
        <v>1.6784418416085032</v>
      </c>
      <c r="O594" s="10">
        <v>1.7863456790123422</v>
      </c>
      <c r="P594" s="5">
        <v>0.22269750562102025</v>
      </c>
      <c r="Q594" s="5">
        <v>0.17524033143393597</v>
      </c>
      <c r="R594" s="5">
        <v>0.17427303709751044</v>
      </c>
    </row>
    <row r="595" spans="1:18">
      <c r="A595" t="s">
        <v>2599</v>
      </c>
      <c r="B595" t="s">
        <v>112</v>
      </c>
      <c r="C595" s="10">
        <v>55.69</v>
      </c>
      <c r="D595" s="10">
        <v>50</v>
      </c>
      <c r="E595" s="10">
        <v>0.19</v>
      </c>
      <c r="F595" s="10">
        <v>59.303690043675168</v>
      </c>
      <c r="G595" s="10">
        <v>57.734411739357384</v>
      </c>
      <c r="H595" s="10">
        <v>57.596490000000003</v>
      </c>
      <c r="I595" s="10">
        <v>68.753086419753075</v>
      </c>
      <c r="J595" s="10">
        <v>73.21443215268539</v>
      </c>
      <c r="K595" s="10">
        <v>71.277051530070835</v>
      </c>
      <c r="L595" s="10">
        <v>71.106777777777779</v>
      </c>
      <c r="M595" s="10">
        <v>4.4613457329323154</v>
      </c>
      <c r="N595" s="10">
        <v>2.5239651103177607</v>
      </c>
      <c r="O595" s="10">
        <v>2.3536913580247045</v>
      </c>
      <c r="P595" s="5">
        <v>0.23935761894784599</v>
      </c>
      <c r="Q595" s="5">
        <v>0.21868260815326893</v>
      </c>
      <c r="R595" s="5">
        <v>0.21681164945988901</v>
      </c>
    </row>
    <row r="596" spans="1:18">
      <c r="A596" t="s">
        <v>2600</v>
      </c>
      <c r="B596" t="s">
        <v>112</v>
      </c>
      <c r="C596" s="10">
        <v>51.19</v>
      </c>
      <c r="D596" s="10">
        <v>50</v>
      </c>
      <c r="E596" s="10">
        <v>0.19</v>
      </c>
      <c r="F596" s="10">
        <v>45.69891561653025</v>
      </c>
      <c r="G596" s="10">
        <v>48.872266556225838</v>
      </c>
      <c r="H596" s="10">
        <v>48.657966999999999</v>
      </c>
      <c r="I596" s="10">
        <v>63.197530864197525</v>
      </c>
      <c r="J596" s="10">
        <v>56.418414341395369</v>
      </c>
      <c r="K596" s="10">
        <v>60.336131550896091</v>
      </c>
      <c r="L596" s="10">
        <v>60.071564197530861</v>
      </c>
      <c r="M596" s="10">
        <v>6.7791165228021555</v>
      </c>
      <c r="N596" s="10">
        <v>2.8613993133014333</v>
      </c>
      <c r="O596" s="10">
        <v>3.1259666666666632</v>
      </c>
      <c r="P596" s="5">
        <v>9.2672124915768414E-2</v>
      </c>
      <c r="Q596" s="5">
        <v>0.15158631015614488</v>
      </c>
      <c r="R596" s="5">
        <v>0.14784972417774872</v>
      </c>
    </row>
    <row r="597" spans="1:18">
      <c r="A597" t="s">
        <v>2601</v>
      </c>
      <c r="B597" t="s">
        <v>112</v>
      </c>
      <c r="C597" s="10">
        <v>48.53</v>
      </c>
      <c r="D597" s="10">
        <v>50</v>
      </c>
      <c r="E597" s="10">
        <v>0.19</v>
      </c>
      <c r="F597" s="10">
        <v>44.166192208286994</v>
      </c>
      <c r="G597" s="10">
        <v>49.051074494083316</v>
      </c>
      <c r="H597" s="10">
        <v>48.609195999999997</v>
      </c>
      <c r="I597" s="10">
        <v>59.913580246913575</v>
      </c>
      <c r="J597" s="10">
        <v>54.526163220107399</v>
      </c>
      <c r="K597" s="10">
        <v>60.556882091460878</v>
      </c>
      <c r="L597" s="10">
        <v>60.011353086419746</v>
      </c>
      <c r="M597" s="10">
        <v>5.3874170268061761</v>
      </c>
      <c r="N597" s="10">
        <v>0.64330184454730244</v>
      </c>
      <c r="O597" s="10">
        <v>9.7772839506170328E-2</v>
      </c>
      <c r="P597" s="5">
        <v>0.10996855208576672</v>
      </c>
      <c r="Q597" s="5">
        <v>0.19860471140664598</v>
      </c>
      <c r="R597" s="5">
        <v>0.19131968362529581</v>
      </c>
    </row>
    <row r="598" spans="1:18">
      <c r="A598" t="s">
        <v>2602</v>
      </c>
      <c r="B598" t="s">
        <v>112</v>
      </c>
      <c r="C598" s="10">
        <v>99.7</v>
      </c>
      <c r="D598" s="10">
        <v>60</v>
      </c>
      <c r="E598" s="10">
        <v>0.19</v>
      </c>
      <c r="F598" s="10">
        <v>94.383401720137783</v>
      </c>
      <c r="G598" s="10">
        <v>98.628360631889436</v>
      </c>
      <c r="H598" s="10">
        <v>99.715339999999998</v>
      </c>
      <c r="I598" s="10">
        <v>123.08641975308642</v>
      </c>
      <c r="J598" s="10">
        <v>116.52271817300961</v>
      </c>
      <c r="K598" s="10">
        <v>121.76340818751781</v>
      </c>
      <c r="L598" s="10">
        <v>123.10535802469134</v>
      </c>
      <c r="M598" s="10">
        <v>6.5637015800768097</v>
      </c>
      <c r="N598" s="10">
        <v>1.3230115655686063</v>
      </c>
      <c r="O598" s="10">
        <v>1.8938271604923784E-2</v>
      </c>
      <c r="P598" s="5">
        <v>0.14437286081870929</v>
      </c>
      <c r="Q598" s="5">
        <v>0.18119900318115084</v>
      </c>
      <c r="R598" s="5">
        <v>0.19012460871115705</v>
      </c>
    </row>
    <row r="599" spans="1:18">
      <c r="A599" t="s">
        <v>2603</v>
      </c>
      <c r="B599" t="s">
        <v>112</v>
      </c>
      <c r="C599" s="10">
        <v>85.14</v>
      </c>
      <c r="D599" s="10">
        <v>60</v>
      </c>
      <c r="E599" s="10">
        <v>0.19</v>
      </c>
      <c r="F599" s="10">
        <v>89.702669600989722</v>
      </c>
      <c r="G599" s="10">
        <v>87.037297002857869</v>
      </c>
      <c r="H599" s="10">
        <v>86.916625999999994</v>
      </c>
      <c r="I599" s="10">
        <v>105.1111111111111</v>
      </c>
      <c r="J599" s="10">
        <v>110.74403654443175</v>
      </c>
      <c r="K599" s="10">
        <v>107.45345308994798</v>
      </c>
      <c r="L599" s="10">
        <v>107.30447654320986</v>
      </c>
      <c r="M599" s="10">
        <v>5.6329254333206507</v>
      </c>
      <c r="N599" s="10">
        <v>2.3423419788368847</v>
      </c>
      <c r="O599" s="10">
        <v>2.1933654320987586</v>
      </c>
      <c r="P599" s="5">
        <v>0.23120013811451709</v>
      </c>
      <c r="Q599" s="5">
        <v>0.2076569197945613</v>
      </c>
      <c r="R599" s="5">
        <v>0.20655686749736452</v>
      </c>
    </row>
    <row r="600" spans="1:18">
      <c r="A600" t="s">
        <v>2604</v>
      </c>
      <c r="B600" t="s">
        <v>112</v>
      </c>
      <c r="C600" s="10">
        <v>62.61</v>
      </c>
      <c r="D600" s="10">
        <v>50</v>
      </c>
      <c r="E600" s="10">
        <v>0.19</v>
      </c>
      <c r="F600" s="10">
        <v>60.602392273900001</v>
      </c>
      <c r="G600" s="10">
        <v>61.807014157385183</v>
      </c>
      <c r="H600" s="10">
        <v>60.81427</v>
      </c>
      <c r="I600" s="10">
        <v>77.296296296296291</v>
      </c>
      <c r="J600" s="10">
        <v>74.817768239382715</v>
      </c>
      <c r="K600" s="10">
        <v>76.304955749858252</v>
      </c>
      <c r="L600" s="10">
        <v>75.079345679012334</v>
      </c>
      <c r="M600" s="10">
        <v>2.478528056913575</v>
      </c>
      <c r="N600" s="10">
        <v>0.99134054643803893</v>
      </c>
      <c r="O600" s="10">
        <v>2.2169506172839561</v>
      </c>
      <c r="P600" s="5">
        <v>0.16316669858854155</v>
      </c>
      <c r="Q600" s="5">
        <v>0.17947662265545175</v>
      </c>
      <c r="R600" s="5">
        <v>0.16608223694866342</v>
      </c>
    </row>
    <row r="601" spans="1:18">
      <c r="A601" t="s">
        <v>2605</v>
      </c>
      <c r="B601" t="s">
        <v>112</v>
      </c>
      <c r="C601" s="10">
        <v>115.22</v>
      </c>
      <c r="D601" s="10">
        <v>65</v>
      </c>
      <c r="E601" s="10">
        <v>0.19</v>
      </c>
      <c r="F601" s="10">
        <v>108.97750483055263</v>
      </c>
      <c r="G601" s="10">
        <v>116.45509299450548</v>
      </c>
      <c r="H601" s="10">
        <v>113.50193</v>
      </c>
      <c r="I601" s="10">
        <v>142.24691358024691</v>
      </c>
      <c r="J601" s="10">
        <v>134.54012942043533</v>
      </c>
      <c r="K601" s="10">
        <v>143.77171974630306</v>
      </c>
      <c r="L601" s="10">
        <v>140.12583950617284</v>
      </c>
      <c r="M601" s="10">
        <v>7.7067841598115763</v>
      </c>
      <c r="N601" s="10">
        <v>1.5248061660561518</v>
      </c>
      <c r="O601" s="10">
        <v>2.1210740740740732</v>
      </c>
      <c r="P601" s="5">
        <v>0.1436012400438556</v>
      </c>
      <c r="Q601" s="5">
        <v>0.19859065327092773</v>
      </c>
      <c r="R601" s="5">
        <v>0.17773909218988612</v>
      </c>
    </row>
    <row r="602" spans="1:18">
      <c r="A602" t="s">
        <v>2606</v>
      </c>
      <c r="B602" t="s">
        <v>112</v>
      </c>
      <c r="C602" s="10">
        <v>79.27</v>
      </c>
      <c r="D602" s="10">
        <v>60</v>
      </c>
      <c r="E602" s="10">
        <v>0.19</v>
      </c>
      <c r="F602" s="10">
        <v>82.129635858175689</v>
      </c>
      <c r="G602" s="10">
        <v>80.786656268317529</v>
      </c>
      <c r="H602" s="10">
        <v>80.885210000000001</v>
      </c>
      <c r="I602" s="10">
        <v>97.864197530864189</v>
      </c>
      <c r="J602" s="10">
        <v>101.39461217058727</v>
      </c>
      <c r="K602" s="10">
        <v>99.736612676935209</v>
      </c>
      <c r="L602" s="10">
        <v>99.858283950617277</v>
      </c>
      <c r="M602" s="10">
        <v>3.5304146397230767</v>
      </c>
      <c r="N602" s="10">
        <v>1.8724151460710203</v>
      </c>
      <c r="O602" s="10">
        <v>1.9940864197530885</v>
      </c>
      <c r="P602" s="5">
        <v>0.21820303561460061</v>
      </c>
      <c r="Q602" s="5">
        <v>0.20520661497929799</v>
      </c>
      <c r="R602" s="5">
        <v>0.20617502260301976</v>
      </c>
    </row>
    <row r="603" spans="1:18">
      <c r="A603" t="s">
        <v>2607</v>
      </c>
      <c r="B603" t="s">
        <v>112</v>
      </c>
      <c r="C603" s="10">
        <v>136.43</v>
      </c>
      <c r="D603" s="10">
        <v>65</v>
      </c>
      <c r="E603" s="10">
        <v>0.19</v>
      </c>
      <c r="F603" s="10">
        <v>133.72305274032576</v>
      </c>
      <c r="G603" s="10">
        <v>131.16389097985348</v>
      </c>
      <c r="H603" s="10">
        <v>131.98321999999999</v>
      </c>
      <c r="I603" s="10">
        <v>168.4320987654321</v>
      </c>
      <c r="J603" s="10">
        <v>165.0901885683034</v>
      </c>
      <c r="K603" s="10">
        <v>161.93072960475737</v>
      </c>
      <c r="L603" s="10">
        <v>162.94224691358022</v>
      </c>
      <c r="M603" s="10">
        <v>3.3419101971286977</v>
      </c>
      <c r="N603" s="10">
        <v>6.5013691606747273</v>
      </c>
      <c r="O603" s="10">
        <v>5.4898518518518813</v>
      </c>
      <c r="P603" s="5">
        <v>0.17360322146852297</v>
      </c>
      <c r="Q603" s="5">
        <v>0.15747924848482978</v>
      </c>
      <c r="R603" s="5">
        <v>0.16270947170405431</v>
      </c>
    </row>
    <row r="604" spans="1:18">
      <c r="A604" t="s">
        <v>2608</v>
      </c>
      <c r="B604" t="s">
        <v>112</v>
      </c>
      <c r="C604" s="10">
        <v>80.92</v>
      </c>
      <c r="D604" s="10">
        <v>60</v>
      </c>
      <c r="E604" s="10">
        <v>0.19</v>
      </c>
      <c r="F604" s="10">
        <v>79.69389994299128</v>
      </c>
      <c r="G604" s="10">
        <v>76.461222558152542</v>
      </c>
      <c r="H604" s="10">
        <v>74.095489999999998</v>
      </c>
      <c r="I604" s="10">
        <v>99.901234567901227</v>
      </c>
      <c r="J604" s="10">
        <v>98.387530793816381</v>
      </c>
      <c r="K604" s="10">
        <v>94.396571059447581</v>
      </c>
      <c r="L604" s="10">
        <v>91.47591358024691</v>
      </c>
      <c r="M604" s="10">
        <v>1.5137037740848456</v>
      </c>
      <c r="N604" s="10">
        <v>5.5046635084536462</v>
      </c>
      <c r="O604" s="10">
        <v>8.4253209876543167</v>
      </c>
      <c r="P604" s="5">
        <v>0.17753805439453316</v>
      </c>
      <c r="Q604" s="5">
        <v>0.14276547239158208</v>
      </c>
      <c r="R604" s="5">
        <v>0.11539555241486353</v>
      </c>
    </row>
    <row r="605" spans="1:18">
      <c r="A605" t="s">
        <v>2609</v>
      </c>
      <c r="B605" t="s">
        <v>112</v>
      </c>
      <c r="C605" s="10">
        <v>58.18</v>
      </c>
      <c r="D605" s="10">
        <v>50</v>
      </c>
      <c r="E605" s="10">
        <v>0.19</v>
      </c>
      <c r="F605" s="10">
        <v>53.59063424017787</v>
      </c>
      <c r="G605" s="10">
        <v>53.645498034834894</v>
      </c>
      <c r="H605" s="10">
        <v>53.438023000000001</v>
      </c>
      <c r="I605" s="10">
        <v>71.827160493827151</v>
      </c>
      <c r="J605" s="10">
        <v>66.161276839725758</v>
      </c>
      <c r="K605" s="10">
        <v>66.229009919549242</v>
      </c>
      <c r="L605" s="10">
        <v>65.972867901234565</v>
      </c>
      <c r="M605" s="10">
        <v>5.6658836541013926</v>
      </c>
      <c r="N605" s="10">
        <v>5.5981505742779092</v>
      </c>
      <c r="O605" s="10">
        <v>5.8542925925925857</v>
      </c>
      <c r="P605" s="5">
        <v>0.12063365794859471</v>
      </c>
      <c r="Q605" s="5">
        <v>0.12153299482095027</v>
      </c>
      <c r="R605" s="5">
        <v>0.1181223152660419</v>
      </c>
    </row>
    <row r="606" spans="1:18">
      <c r="A606" t="s">
        <v>2610</v>
      </c>
      <c r="B606" t="s">
        <v>112</v>
      </c>
      <c r="C606" s="10">
        <v>127.98</v>
      </c>
      <c r="D606" s="10">
        <v>60</v>
      </c>
      <c r="E606" s="10">
        <v>0.19</v>
      </c>
      <c r="F606" s="10">
        <v>126.83140607675227</v>
      </c>
      <c r="G606" s="10">
        <v>131.04701543040292</v>
      </c>
      <c r="H606" s="10">
        <v>123.4862</v>
      </c>
      <c r="I606" s="10">
        <v>158</v>
      </c>
      <c r="J606" s="10">
        <v>156.58198281080527</v>
      </c>
      <c r="K606" s="10">
        <v>161.78643880296656</v>
      </c>
      <c r="L606" s="10">
        <v>152.45209876543208</v>
      </c>
      <c r="M606" s="10">
        <v>1.4180171891947282</v>
      </c>
      <c r="N606" s="10">
        <v>3.7864388029665577</v>
      </c>
      <c r="O606" s="10">
        <v>5.5479012345679166</v>
      </c>
      <c r="P606" s="5">
        <v>0.18266458437535846</v>
      </c>
      <c r="Q606" s="5">
        <v>0.20895718487343742</v>
      </c>
      <c r="R606" s="5">
        <v>0.160523200163257</v>
      </c>
    </row>
    <row r="607" spans="1:18">
      <c r="A607" t="s">
        <v>2611</v>
      </c>
      <c r="B607" t="s">
        <v>112</v>
      </c>
      <c r="C607" s="10">
        <v>76.760000000000005</v>
      </c>
      <c r="D607" s="10">
        <v>60</v>
      </c>
      <c r="E607" s="10">
        <v>0.19</v>
      </c>
      <c r="F607" s="10">
        <v>83.184317617623165</v>
      </c>
      <c r="G607" s="10">
        <v>78.508275558909148</v>
      </c>
      <c r="H607" s="10">
        <v>78.851129999999998</v>
      </c>
      <c r="I607" s="10">
        <v>94.76543209876543</v>
      </c>
      <c r="J607" s="10">
        <v>102.69668841681872</v>
      </c>
      <c r="K607" s="10">
        <v>96.923796986307579</v>
      </c>
      <c r="L607" s="10">
        <v>97.347074074074058</v>
      </c>
      <c r="M607" s="10">
        <v>7.9312563180532862</v>
      </c>
      <c r="N607" s="10">
        <v>2.1583648875421488</v>
      </c>
      <c r="O607" s="10">
        <v>2.5816419753086279</v>
      </c>
      <c r="P607" s="5">
        <v>0.25255622957917151</v>
      </c>
      <c r="Q607" s="5">
        <v>0.20803762969744274</v>
      </c>
      <c r="R607" s="5">
        <v>0.21148117978778472</v>
      </c>
    </row>
    <row r="608" spans="1:18">
      <c r="A608" t="s">
        <v>2612</v>
      </c>
      <c r="B608" t="s">
        <v>112</v>
      </c>
      <c r="C608" s="10">
        <v>82.29</v>
      </c>
      <c r="D608" s="10">
        <v>60</v>
      </c>
      <c r="E608" s="10">
        <v>0.19</v>
      </c>
      <c r="F608" s="10">
        <v>82.126372298410189</v>
      </c>
      <c r="G608" s="10">
        <v>75.51866098742677</v>
      </c>
      <c r="H608" s="10">
        <v>78.501419999999996</v>
      </c>
      <c r="I608" s="10">
        <v>101.5925925925926</v>
      </c>
      <c r="J608" s="10">
        <v>101.39058308445702</v>
      </c>
      <c r="K608" s="10">
        <v>93.232914799292303</v>
      </c>
      <c r="L608" s="10">
        <v>96.915333333333322</v>
      </c>
      <c r="M608" s="10">
        <v>0.20200950813557483</v>
      </c>
      <c r="N608" s="10">
        <v>8.3596777933002926</v>
      </c>
      <c r="O608" s="10">
        <v>4.677259259259273</v>
      </c>
      <c r="P608" s="5">
        <v>0.18838616470472885</v>
      </c>
      <c r="Q608" s="5">
        <v>0.11737179753362555</v>
      </c>
      <c r="R608" s="5">
        <v>0.15090835299539787</v>
      </c>
    </row>
    <row r="609" spans="1:18">
      <c r="A609" t="s">
        <v>2613</v>
      </c>
      <c r="B609" t="s">
        <v>112</v>
      </c>
      <c r="C609" s="10">
        <v>85.87</v>
      </c>
      <c r="D609" s="10">
        <v>60</v>
      </c>
      <c r="E609" s="10">
        <v>0.19</v>
      </c>
      <c r="F609" s="10">
        <v>81.931484494224804</v>
      </c>
      <c r="G609" s="10">
        <v>79.899696284215466</v>
      </c>
      <c r="H609" s="10">
        <v>79.977990000000005</v>
      </c>
      <c r="I609" s="10">
        <v>106.01234567901234</v>
      </c>
      <c r="J609" s="10">
        <v>101.14998085706765</v>
      </c>
      <c r="K609" s="10">
        <v>98.64160035088328</v>
      </c>
      <c r="L609" s="10">
        <v>98.738259259259266</v>
      </c>
      <c r="M609" s="10">
        <v>4.8623648219446949</v>
      </c>
      <c r="N609" s="10">
        <v>7.3707453281290611</v>
      </c>
      <c r="O609" s="10">
        <v>7.2740864197530755</v>
      </c>
      <c r="P609" s="5">
        <v>0.15106261738852306</v>
      </c>
      <c r="Q609" s="5">
        <v>0.12947478858263387</v>
      </c>
      <c r="R609" s="5">
        <v>0.1303269812107056</v>
      </c>
    </row>
    <row r="610" spans="1:18">
      <c r="A610" t="s">
        <v>2614</v>
      </c>
      <c r="B610" t="s">
        <v>112</v>
      </c>
      <c r="C610" s="10">
        <v>146.34</v>
      </c>
      <c r="D610" s="10">
        <v>65</v>
      </c>
      <c r="E610" s="10">
        <v>0.19</v>
      </c>
      <c r="F610" s="10">
        <v>140.23744587156901</v>
      </c>
      <c r="G610" s="10">
        <v>134.68556858974353</v>
      </c>
      <c r="H610" s="10">
        <v>143.77785</v>
      </c>
      <c r="I610" s="10">
        <v>180.66666666666666</v>
      </c>
      <c r="J610" s="10">
        <v>173.13264922415925</v>
      </c>
      <c r="K610" s="10">
        <v>166.2784797404241</v>
      </c>
      <c r="L610" s="10">
        <v>177.50351851851852</v>
      </c>
      <c r="M610" s="10">
        <v>7.5340174425074053</v>
      </c>
      <c r="N610" s="10">
        <v>14.388186926242554</v>
      </c>
      <c r="O610" s="10">
        <v>3.1631481481481387</v>
      </c>
      <c r="P610" s="5">
        <v>0.15475214723636627</v>
      </c>
      <c r="Q610" s="5">
        <v>0.11991016378998585</v>
      </c>
      <c r="R610" s="5">
        <v>0.17556563823982621</v>
      </c>
    </row>
    <row r="611" spans="1:18">
      <c r="A611" t="s">
        <v>2615</v>
      </c>
      <c r="B611" t="s">
        <v>112</v>
      </c>
      <c r="C611" s="10">
        <v>83.01</v>
      </c>
      <c r="D611" s="10">
        <v>60</v>
      </c>
      <c r="E611" s="10">
        <v>0.19</v>
      </c>
      <c r="F611" s="10">
        <v>91.657441164898955</v>
      </c>
      <c r="G611" s="10">
        <v>86.826638408674228</v>
      </c>
      <c r="H611" s="10">
        <v>87.040700000000001</v>
      </c>
      <c r="I611" s="10">
        <v>102.48148148148148</v>
      </c>
      <c r="J611" s="10">
        <v>113.15733477148018</v>
      </c>
      <c r="K611" s="10">
        <v>107.19338075144965</v>
      </c>
      <c r="L611" s="10">
        <v>107.45765432098764</v>
      </c>
      <c r="M611" s="10">
        <v>10.675853289998699</v>
      </c>
      <c r="N611" s="10">
        <v>4.7118992699681712</v>
      </c>
      <c r="O611" s="10">
        <v>4.9761728395061624</v>
      </c>
      <c r="P611" s="5">
        <v>0.26641962566865274</v>
      </c>
      <c r="Q611" s="5">
        <v>0.22560516873260944</v>
      </c>
      <c r="R611" s="5">
        <v>0.22750965927433936</v>
      </c>
    </row>
    <row r="612" spans="1:18">
      <c r="A612" t="s">
        <v>2616</v>
      </c>
      <c r="B612" t="s">
        <v>112</v>
      </c>
      <c r="C612" s="10">
        <v>120.83</v>
      </c>
      <c r="D612" s="10">
        <v>60</v>
      </c>
      <c r="E612" s="10">
        <v>0.19</v>
      </c>
      <c r="F612" s="10">
        <v>133.75920715734284</v>
      </c>
      <c r="G612" s="10">
        <v>126.93690038156291</v>
      </c>
      <c r="H612" s="10">
        <v>123.70044</v>
      </c>
      <c r="I612" s="10">
        <v>149.17283950617283</v>
      </c>
      <c r="J612" s="10">
        <v>165.13482365104053</v>
      </c>
      <c r="K612" s="10">
        <v>156.71222269328754</v>
      </c>
      <c r="L612" s="10">
        <v>152.71659259259258</v>
      </c>
      <c r="M612" s="10">
        <v>15.961984144867699</v>
      </c>
      <c r="N612" s="10">
        <v>7.5393831871147086</v>
      </c>
      <c r="O612" s="10">
        <v>3.5437530864197413</v>
      </c>
      <c r="P612" s="5">
        <v>0.26829485550948701</v>
      </c>
      <c r="Q612" s="5">
        <v>0.22896888370676199</v>
      </c>
      <c r="R612" s="5">
        <v>0.20879586200340106</v>
      </c>
    </row>
    <row r="613" spans="1:18">
      <c r="A613" t="s">
        <v>2617</v>
      </c>
      <c r="B613" t="s">
        <v>112</v>
      </c>
      <c r="C613" s="10">
        <v>133.05000000000001</v>
      </c>
      <c r="D613" s="10">
        <v>60</v>
      </c>
      <c r="E613" s="10">
        <v>0.19</v>
      </c>
      <c r="F613" s="10">
        <v>129.39531197681373</v>
      </c>
      <c r="G613" s="10">
        <v>137.95568223443223</v>
      </c>
      <c r="H613" s="10">
        <v>135.30253999999999</v>
      </c>
      <c r="I613" s="10">
        <v>164.25925925925927</v>
      </c>
      <c r="J613" s="10">
        <v>159.74729873680707</v>
      </c>
      <c r="K613" s="10">
        <v>170.31565707954596</v>
      </c>
      <c r="L613" s="10">
        <v>167.04017283950614</v>
      </c>
      <c r="M613" s="10">
        <v>4.511960522452199</v>
      </c>
      <c r="N613" s="10">
        <v>6.0563978202866906</v>
      </c>
      <c r="O613" s="10">
        <v>2.7809135802468745</v>
      </c>
      <c r="P613" s="5">
        <v>0.16712206683877892</v>
      </c>
      <c r="Q613" s="5">
        <v>0.21880347185074719</v>
      </c>
      <c r="R613" s="5">
        <v>0.20348501957169443</v>
      </c>
    </row>
    <row r="614" spans="1:18">
      <c r="A614" t="s">
        <v>2618</v>
      </c>
      <c r="B614" t="s">
        <v>112</v>
      </c>
      <c r="C614" s="10">
        <v>69.25</v>
      </c>
      <c r="D614" s="10">
        <v>50</v>
      </c>
      <c r="E614" s="10">
        <v>0.19</v>
      </c>
      <c r="F614" s="10">
        <v>71.816524221586093</v>
      </c>
      <c r="G614" s="10">
        <v>77.132781559439991</v>
      </c>
      <c r="H614" s="10">
        <v>73.707440000000005</v>
      </c>
      <c r="I614" s="10">
        <v>85.493827160493822</v>
      </c>
      <c r="J614" s="10">
        <v>88.662375582205044</v>
      </c>
      <c r="K614" s="10">
        <v>95.225656246222201</v>
      </c>
      <c r="L614" s="10">
        <v>90.996839506172847</v>
      </c>
      <c r="M614" s="10">
        <v>3.1685484217112219</v>
      </c>
      <c r="N614" s="10">
        <v>9.7318290857283785</v>
      </c>
      <c r="O614" s="10">
        <v>5.503012345679025</v>
      </c>
      <c r="P614" s="5">
        <v>0.21894716281548854</v>
      </c>
      <c r="Q614" s="5">
        <v>0.27278001822384612</v>
      </c>
      <c r="R614" s="5">
        <v>0.23898455841092847</v>
      </c>
    </row>
    <row r="615" spans="1:18">
      <c r="A615" t="s">
        <v>2619</v>
      </c>
      <c r="B615" t="s">
        <v>112</v>
      </c>
      <c r="C615" s="10">
        <v>104.61</v>
      </c>
      <c r="D615" s="10">
        <v>60</v>
      </c>
      <c r="E615" s="10">
        <v>0.19</v>
      </c>
      <c r="F615" s="10">
        <v>102.62251666627601</v>
      </c>
      <c r="G615" s="10">
        <v>102.93080625074187</v>
      </c>
      <c r="H615" s="10">
        <v>106.97841</v>
      </c>
      <c r="I615" s="10">
        <v>129.14814814814815</v>
      </c>
      <c r="J615" s="10">
        <v>126.69446502009383</v>
      </c>
      <c r="K615" s="10">
        <v>127.07506944536033</v>
      </c>
      <c r="L615" s="10">
        <v>132.0721111111111</v>
      </c>
      <c r="M615" s="10">
        <v>2.4536831280543225</v>
      </c>
      <c r="N615" s="10">
        <v>2.073078702787825</v>
      </c>
      <c r="O615" s="10">
        <v>2.9239629629629462</v>
      </c>
      <c r="P615" s="5">
        <v>0.17431278482916535</v>
      </c>
      <c r="Q615" s="5">
        <v>0.17678581285387254</v>
      </c>
      <c r="R615" s="5">
        <v>0.20793270343053324</v>
      </c>
    </row>
    <row r="616" spans="1:18">
      <c r="A616" t="s">
        <v>2620</v>
      </c>
      <c r="B616" t="s">
        <v>112</v>
      </c>
      <c r="C616" s="10">
        <v>87.12</v>
      </c>
      <c r="D616" s="10">
        <v>60</v>
      </c>
      <c r="E616" s="10">
        <v>0.19</v>
      </c>
      <c r="F616" s="10">
        <v>92.91757452399213</v>
      </c>
      <c r="G616" s="10">
        <v>87.146087695868943</v>
      </c>
      <c r="H616" s="10">
        <v>87.353960000000001</v>
      </c>
      <c r="I616" s="10">
        <v>107.55555555555556</v>
      </c>
      <c r="J616" s="10">
        <v>114.71305496789151</v>
      </c>
      <c r="K616" s="10">
        <v>107.58776258749252</v>
      </c>
      <c r="L616" s="10">
        <v>107.84439506172839</v>
      </c>
      <c r="M616" s="10">
        <v>7.1574994123359517</v>
      </c>
      <c r="N616" s="10">
        <v>3.2207031936962949E-2</v>
      </c>
      <c r="O616" s="10">
        <v>0.2888395061728346</v>
      </c>
      <c r="P616" s="5">
        <v>0.24053979711040627</v>
      </c>
      <c r="Q616" s="5">
        <v>0.19024247828230206</v>
      </c>
      <c r="R616" s="5">
        <v>0.19216942197010867</v>
      </c>
    </row>
    <row r="617" spans="1:18">
      <c r="A617" t="s">
        <v>2621</v>
      </c>
      <c r="B617" t="s">
        <v>112</v>
      </c>
      <c r="C617" s="10">
        <v>191.51</v>
      </c>
      <c r="D617" s="10">
        <v>60</v>
      </c>
      <c r="E617" s="10">
        <v>0.19</v>
      </c>
      <c r="F617" s="10">
        <v>190.13108028000278</v>
      </c>
      <c r="G617" s="10">
        <v>187.84776062271069</v>
      </c>
      <c r="H617" s="10">
        <v>189.75107</v>
      </c>
      <c r="I617" s="10">
        <v>236.43209876543207</v>
      </c>
      <c r="J617" s="10">
        <v>234.72972874074415</v>
      </c>
      <c r="K617" s="10">
        <v>231.91081558359343</v>
      </c>
      <c r="L617" s="10">
        <v>234.26058024691358</v>
      </c>
      <c r="M617" s="10">
        <v>1.702370024687923</v>
      </c>
      <c r="N617" s="10">
        <v>4.5212831818386405</v>
      </c>
      <c r="O617" s="10">
        <v>2.1715185185184964</v>
      </c>
      <c r="P617" s="5">
        <v>0.1841255003045642</v>
      </c>
      <c r="Q617" s="5">
        <v>0.17420841491125177</v>
      </c>
      <c r="R617" s="5">
        <v>0.18249156645071885</v>
      </c>
    </row>
    <row r="618" spans="1:18">
      <c r="A618" t="s">
        <v>2622</v>
      </c>
      <c r="B618" t="s">
        <v>112</v>
      </c>
      <c r="C618" s="10">
        <v>103.18</v>
      </c>
      <c r="D618" s="10">
        <v>60</v>
      </c>
      <c r="E618" s="10">
        <v>0.19</v>
      </c>
      <c r="F618" s="10">
        <v>99.477666123419297</v>
      </c>
      <c r="G618" s="10">
        <v>103.98259176142483</v>
      </c>
      <c r="H618" s="10">
        <v>102.01989</v>
      </c>
      <c r="I618" s="10">
        <v>127.38271604938272</v>
      </c>
      <c r="J618" s="10">
        <v>122.81193348570282</v>
      </c>
      <c r="K618" s="10">
        <v>128.3735700758331</v>
      </c>
      <c r="L618" s="10">
        <v>125.95048148148148</v>
      </c>
      <c r="M618" s="10">
        <v>4.5707825636798987</v>
      </c>
      <c r="N618" s="10">
        <v>0.99085402645037846</v>
      </c>
      <c r="O618" s="10">
        <v>1.4322345679012471</v>
      </c>
      <c r="P618" s="5">
        <v>0.15985363090133478</v>
      </c>
      <c r="Q618" s="5">
        <v>0.19625200156816311</v>
      </c>
      <c r="R618" s="5">
        <v>0.18078915787891939</v>
      </c>
    </row>
    <row r="619" spans="1:18">
      <c r="A619" t="s">
        <v>2623</v>
      </c>
      <c r="B619" t="s">
        <v>112</v>
      </c>
      <c r="C619" s="10">
        <v>102.06</v>
      </c>
      <c r="D619" s="10">
        <v>60</v>
      </c>
      <c r="E619" s="10">
        <v>0.19</v>
      </c>
      <c r="F619" s="10">
        <v>95.101906385590638</v>
      </c>
      <c r="G619" s="10">
        <v>99.586847930844058</v>
      </c>
      <c r="H619" s="10">
        <v>101.875595</v>
      </c>
      <c r="I619" s="10">
        <v>126</v>
      </c>
      <c r="J619" s="10">
        <v>117.40976096986498</v>
      </c>
      <c r="K619" s="10">
        <v>122.94672584054821</v>
      </c>
      <c r="L619" s="10">
        <v>125.77233950617284</v>
      </c>
      <c r="M619" s="10">
        <v>8.5902390301350238</v>
      </c>
      <c r="N619" s="10">
        <v>3.0532741594517887</v>
      </c>
      <c r="O619" s="10">
        <v>0.22766049382715892</v>
      </c>
      <c r="P619" s="5">
        <v>0.13073666825541641</v>
      </c>
      <c r="Q619" s="5">
        <v>0.1698843600571891</v>
      </c>
      <c r="R619" s="5">
        <v>0.18853381911536318</v>
      </c>
    </row>
    <row r="620" spans="1:18">
      <c r="A620" t="s">
        <v>2624</v>
      </c>
      <c r="B620" t="s">
        <v>112</v>
      </c>
      <c r="C620" s="10">
        <v>102.17</v>
      </c>
      <c r="D620" s="10">
        <v>60</v>
      </c>
      <c r="E620" s="10">
        <v>0.19</v>
      </c>
      <c r="F620" s="10">
        <v>108.7980290935684</v>
      </c>
      <c r="G620" s="10">
        <v>105.34917395659893</v>
      </c>
      <c r="H620" s="10">
        <v>101.486244</v>
      </c>
      <c r="I620" s="10">
        <v>126.1358024691358</v>
      </c>
      <c r="J620" s="10">
        <v>134.3185544365042</v>
      </c>
      <c r="K620" s="10">
        <v>130.06070858839374</v>
      </c>
      <c r="L620" s="10">
        <v>125.29165925925925</v>
      </c>
      <c r="M620" s="10">
        <v>8.1827519673684037</v>
      </c>
      <c r="N620" s="10">
        <v>3.9249061192579404</v>
      </c>
      <c r="O620" s="10">
        <v>0.84414320987654889</v>
      </c>
      <c r="P620" s="5">
        <v>0.23934559578439804</v>
      </c>
      <c r="Q620" s="5">
        <v>0.21444376930668688</v>
      </c>
      <c r="R620" s="5">
        <v>0.18454268541064531</v>
      </c>
    </row>
    <row r="621" spans="1:18">
      <c r="A621" t="s">
        <v>2625</v>
      </c>
      <c r="B621" t="s">
        <v>112</v>
      </c>
      <c r="C621" s="10">
        <v>143.68</v>
      </c>
      <c r="D621" s="10">
        <v>60</v>
      </c>
      <c r="E621" s="10">
        <v>0.19</v>
      </c>
      <c r="F621" s="10">
        <v>137.84717792661047</v>
      </c>
      <c r="G621" s="10">
        <v>143.77718191114434</v>
      </c>
      <c r="H621" s="10">
        <v>143.15958000000001</v>
      </c>
      <c r="I621" s="10">
        <v>177.38271604938271</v>
      </c>
      <c r="J621" s="10">
        <v>170.18170114396352</v>
      </c>
      <c r="K621" s="10">
        <v>177.50269371746214</v>
      </c>
      <c r="L621" s="10">
        <v>176.74022222222223</v>
      </c>
      <c r="M621" s="10">
        <v>7.2010149054191857</v>
      </c>
      <c r="N621" s="10">
        <v>0.11997766807942867</v>
      </c>
      <c r="O621" s="10">
        <v>0.64249382716047876</v>
      </c>
      <c r="P621" s="5">
        <v>0.1557259151002649</v>
      </c>
      <c r="Q621" s="5">
        <v>0.19054749541603583</v>
      </c>
      <c r="R621" s="5">
        <v>0.18705545238397597</v>
      </c>
    </row>
    <row r="622" spans="1:18">
      <c r="A622" t="s">
        <v>2626</v>
      </c>
      <c r="B622" t="s">
        <v>112</v>
      </c>
      <c r="C622" s="10">
        <v>50.77</v>
      </c>
      <c r="D622" s="10">
        <v>50</v>
      </c>
      <c r="E622" s="10">
        <v>0.19</v>
      </c>
      <c r="F622" s="10">
        <v>47.209322814253859</v>
      </c>
      <c r="G622" s="10">
        <v>49.394795591839468</v>
      </c>
      <c r="H622" s="10">
        <v>49.884692999999999</v>
      </c>
      <c r="I622" s="10">
        <v>62.679012345679013</v>
      </c>
      <c r="J622" s="10">
        <v>58.283114585498588</v>
      </c>
      <c r="K622" s="10">
        <v>60.981229125727737</v>
      </c>
      <c r="L622" s="10">
        <v>61.586040740740735</v>
      </c>
      <c r="M622" s="10">
        <v>4.395897760180425</v>
      </c>
      <c r="N622" s="10">
        <v>1.6977832199512761</v>
      </c>
      <c r="O622" s="10">
        <v>1.0929716049382776</v>
      </c>
      <c r="P622" s="5">
        <v>0.12890722534186463</v>
      </c>
      <c r="Q622" s="5">
        <v>0.16744872597885466</v>
      </c>
      <c r="R622" s="5">
        <v>0.17562487555050191</v>
      </c>
    </row>
    <row r="623" spans="1:18">
      <c r="A623" t="s">
        <v>2627</v>
      </c>
      <c r="B623" t="s">
        <v>112</v>
      </c>
      <c r="C623" s="10">
        <v>104.51</v>
      </c>
      <c r="D623" s="10">
        <v>60</v>
      </c>
      <c r="E623" s="10">
        <v>0.19</v>
      </c>
      <c r="F623" s="10">
        <v>100.92930255222404</v>
      </c>
      <c r="G623" s="10">
        <v>101.72017181899713</v>
      </c>
      <c r="H623" s="10">
        <v>103.58134</v>
      </c>
      <c r="I623" s="10">
        <v>129.02469135802468</v>
      </c>
      <c r="J623" s="10">
        <v>124.60407722496795</v>
      </c>
      <c r="K623" s="10">
        <v>125.58045903579892</v>
      </c>
      <c r="L623" s="10">
        <v>127.87819753086418</v>
      </c>
      <c r="M623" s="10">
        <v>4.4206141330567306</v>
      </c>
      <c r="N623" s="10">
        <v>3.4442323222257585</v>
      </c>
      <c r="O623" s="10">
        <v>1.1464938271604979</v>
      </c>
      <c r="P623" s="5">
        <v>0.16126340062443423</v>
      </c>
      <c r="Q623" s="5">
        <v>0.16778453588700781</v>
      </c>
      <c r="R623" s="5">
        <v>0.18273793329956908</v>
      </c>
    </row>
    <row r="624" spans="1:18">
      <c r="A624" t="s">
        <v>2628</v>
      </c>
      <c r="B624" t="s">
        <v>112</v>
      </c>
      <c r="C624" s="10">
        <v>98.49</v>
      </c>
      <c r="D624" s="10">
        <v>60</v>
      </c>
      <c r="E624" s="10">
        <v>0.19</v>
      </c>
      <c r="F624" s="10">
        <v>96.156650131400852</v>
      </c>
      <c r="G624" s="10">
        <v>99.327471899585348</v>
      </c>
      <c r="H624" s="10">
        <v>100.165115</v>
      </c>
      <c r="I624" s="10">
        <v>121.59259259259258</v>
      </c>
      <c r="J624" s="10">
        <v>118.71191374247017</v>
      </c>
      <c r="K624" s="10">
        <v>122.62650851800659</v>
      </c>
      <c r="L624" s="10">
        <v>123.66063580246913</v>
      </c>
      <c r="M624" s="10">
        <v>2.8806788501224077</v>
      </c>
      <c r="N624" s="10">
        <v>1.0339159254140071</v>
      </c>
      <c r="O624" s="10">
        <v>2.0680432098765493</v>
      </c>
      <c r="P624" s="5">
        <v>0.17034443389008916</v>
      </c>
      <c r="Q624" s="5">
        <v>0.19682945237295382</v>
      </c>
      <c r="R624" s="5">
        <v>0.20354606491491575</v>
      </c>
    </row>
    <row r="625" spans="1:18">
      <c r="A625" t="s">
        <v>2629</v>
      </c>
      <c r="B625" t="s">
        <v>112</v>
      </c>
      <c r="C625" s="10">
        <v>128.78</v>
      </c>
      <c r="D625" s="10">
        <v>60</v>
      </c>
      <c r="E625" s="10">
        <v>0.19</v>
      </c>
      <c r="F625" s="10">
        <v>130.57903351643154</v>
      </c>
      <c r="G625" s="10">
        <v>127.31252834249091</v>
      </c>
      <c r="H625" s="10">
        <v>131.90891999999999</v>
      </c>
      <c r="I625" s="10">
        <v>158.98765432098764</v>
      </c>
      <c r="J625" s="10">
        <v>161.20868335361916</v>
      </c>
      <c r="K625" s="10">
        <v>157.17596091665544</v>
      </c>
      <c r="L625" s="10">
        <v>162.8505185185185</v>
      </c>
      <c r="M625" s="10">
        <v>2.2210290326315203</v>
      </c>
      <c r="N625" s="10">
        <v>1.8116934043322033</v>
      </c>
      <c r="O625" s="10">
        <v>3.862864197530854</v>
      </c>
      <c r="P625" s="5">
        <v>0.20115965640935887</v>
      </c>
      <c r="Q625" s="5">
        <v>0.18066351082601467</v>
      </c>
      <c r="R625" s="5">
        <v>0.20921344818834076</v>
      </c>
    </row>
    <row r="626" spans="1:18">
      <c r="A626" t="s">
        <v>2630</v>
      </c>
      <c r="B626" t="s">
        <v>112</v>
      </c>
      <c r="C626" s="10">
        <v>126.33</v>
      </c>
      <c r="D626" s="10">
        <v>65</v>
      </c>
      <c r="E626" s="10">
        <v>0.19</v>
      </c>
      <c r="F626" s="10">
        <v>128.45919386002271</v>
      </c>
      <c r="G626" s="10">
        <v>130.5821707112332</v>
      </c>
      <c r="H626" s="10">
        <v>125.98344400000001</v>
      </c>
      <c r="I626" s="10">
        <v>155.96296296296296</v>
      </c>
      <c r="J626" s="10">
        <v>158.59159735805272</v>
      </c>
      <c r="K626" s="10">
        <v>161.21255643362122</v>
      </c>
      <c r="L626" s="10">
        <v>155.53511604938271</v>
      </c>
      <c r="M626" s="10">
        <v>2.6286343950897617</v>
      </c>
      <c r="N626" s="10">
        <v>5.2495934706582545</v>
      </c>
      <c r="O626" s="10">
        <v>0.42784691358025384</v>
      </c>
      <c r="P626" s="5">
        <v>0.2034256410521903</v>
      </c>
      <c r="Q626" s="5">
        <v>0.21637617568569484</v>
      </c>
      <c r="R626" s="5">
        <v>0.18777184722779922</v>
      </c>
    </row>
    <row r="627" spans="1:18">
      <c r="A627" t="s">
        <v>2631</v>
      </c>
      <c r="B627" t="s">
        <v>112</v>
      </c>
      <c r="C627" s="10">
        <v>56.66</v>
      </c>
      <c r="D627" s="10">
        <v>50</v>
      </c>
      <c r="E627" s="10">
        <v>0.19</v>
      </c>
      <c r="F627" s="10">
        <v>56.779032134688059</v>
      </c>
      <c r="G627" s="10">
        <v>58.001433747141085</v>
      </c>
      <c r="H627" s="10">
        <v>57.624805000000002</v>
      </c>
      <c r="I627" s="10">
        <v>69.950617283950606</v>
      </c>
      <c r="J627" s="10">
        <v>70.097570536651915</v>
      </c>
      <c r="K627" s="10">
        <v>71.606708329803809</v>
      </c>
      <c r="L627" s="10">
        <v>71.141734567901239</v>
      </c>
      <c r="M627" s="10">
        <v>0.14695325270130866</v>
      </c>
      <c r="N627" s="10">
        <v>1.6560910458532021</v>
      </c>
      <c r="O627" s="10">
        <v>1.1911172839506321</v>
      </c>
      <c r="P627" s="5">
        <v>0.19169809215607289</v>
      </c>
      <c r="Q627" s="5">
        <v>0.20873335303953308</v>
      </c>
      <c r="R627" s="5">
        <v>0.20356173005704759</v>
      </c>
    </row>
    <row r="628" spans="1:18">
      <c r="A628" t="s">
        <v>2632</v>
      </c>
      <c r="B628" t="s">
        <v>112</v>
      </c>
      <c r="C628" s="10">
        <v>81.61</v>
      </c>
      <c r="D628" s="10">
        <v>60</v>
      </c>
      <c r="E628" s="10">
        <v>0.19</v>
      </c>
      <c r="F628" s="10">
        <v>75.066648806950255</v>
      </c>
      <c r="G628" s="10">
        <v>73.485408613086264</v>
      </c>
      <c r="H628" s="10">
        <v>71.187839999999994</v>
      </c>
      <c r="I628" s="10">
        <v>100.75308641975307</v>
      </c>
      <c r="J628" s="10">
        <v>92.674875070308957</v>
      </c>
      <c r="K628" s="10">
        <v>90.72272668282254</v>
      </c>
      <c r="L628" s="10">
        <v>87.886222222222216</v>
      </c>
      <c r="M628" s="10">
        <v>8.0782113494441177</v>
      </c>
      <c r="N628" s="10">
        <v>10.030359736930535</v>
      </c>
      <c r="O628" s="10">
        <v>12.866864197530859</v>
      </c>
      <c r="P628" s="5">
        <v>0.11939455070119545</v>
      </c>
      <c r="Q628" s="5">
        <v>0.10044590827479996</v>
      </c>
      <c r="R628" s="5">
        <v>7.1413039080831728E-2</v>
      </c>
    </row>
    <row r="629" spans="1:18">
      <c r="A629" t="s">
        <v>2633</v>
      </c>
      <c r="B629" t="s">
        <v>112</v>
      </c>
      <c r="C629" s="10">
        <v>47.84</v>
      </c>
      <c r="D629" s="10">
        <v>50</v>
      </c>
      <c r="E629" s="10">
        <v>0.19</v>
      </c>
      <c r="F629" s="10">
        <v>46.643398352955494</v>
      </c>
      <c r="G629" s="10">
        <v>49.047151324310946</v>
      </c>
      <c r="H629" s="10">
        <v>49.667439999999999</v>
      </c>
      <c r="I629" s="10">
        <v>59.061728395061728</v>
      </c>
      <c r="J629" s="10">
        <v>57.584442411056159</v>
      </c>
      <c r="K629" s="10">
        <v>60.552038671988818</v>
      </c>
      <c r="L629" s="10">
        <v>61.31782716049382</v>
      </c>
      <c r="M629" s="10">
        <v>1.4772859840055688</v>
      </c>
      <c r="N629" s="10">
        <v>1.4903102769270902</v>
      </c>
      <c r="O629" s="10">
        <v>2.2560987654320925</v>
      </c>
      <c r="P629" s="5">
        <v>0.16922005324801465</v>
      </c>
      <c r="Q629" s="5">
        <v>0.20993576683437684</v>
      </c>
      <c r="R629" s="5">
        <v>0.21980275206453148</v>
      </c>
    </row>
    <row r="630" spans="1:18">
      <c r="A630" t="s">
        <v>2634</v>
      </c>
      <c r="B630" t="s">
        <v>112</v>
      </c>
      <c r="C630" s="10">
        <v>102.71</v>
      </c>
      <c r="D630" s="10">
        <v>60</v>
      </c>
      <c r="E630" s="10">
        <v>0.19</v>
      </c>
      <c r="F630" s="10">
        <v>98.355904996831839</v>
      </c>
      <c r="G630" s="10">
        <v>99.369074483726479</v>
      </c>
      <c r="H630" s="10">
        <v>100.303246</v>
      </c>
      <c r="I630" s="10">
        <v>126.80246913580245</v>
      </c>
      <c r="J630" s="10">
        <v>121.42704320596522</v>
      </c>
      <c r="K630" s="10">
        <v>122.67786973299565</v>
      </c>
      <c r="L630" s="10">
        <v>123.83116790123456</v>
      </c>
      <c r="M630" s="10">
        <v>5.3754259298372347</v>
      </c>
      <c r="N630" s="10">
        <v>4.1245994028068083</v>
      </c>
      <c r="O630" s="10">
        <v>2.9713012345678891</v>
      </c>
      <c r="P630" s="5">
        <v>0.15414229575052135</v>
      </c>
      <c r="Q630" s="5">
        <v>0.16276668136196906</v>
      </c>
      <c r="R630" s="5">
        <v>0.17056423079269042</v>
      </c>
    </row>
    <row r="631" spans="1:18">
      <c r="A631" t="s">
        <v>2635</v>
      </c>
      <c r="B631" t="s">
        <v>112</v>
      </c>
      <c r="C631" s="10">
        <v>141.44</v>
      </c>
      <c r="D631" s="10">
        <v>65</v>
      </c>
      <c r="E631" s="10">
        <v>0.19</v>
      </c>
      <c r="F631" s="10">
        <v>137.61233752591613</v>
      </c>
      <c r="G631" s="10">
        <v>133.69203568376062</v>
      </c>
      <c r="H631" s="10">
        <v>141.62723</v>
      </c>
      <c r="I631" s="10">
        <v>174.61728395061726</v>
      </c>
      <c r="J631" s="10">
        <v>169.89177472335325</v>
      </c>
      <c r="K631" s="10">
        <v>165.0518959058773</v>
      </c>
      <c r="L631" s="10">
        <v>174.84843209876541</v>
      </c>
      <c r="M631" s="10">
        <v>4.7255092272640127</v>
      </c>
      <c r="N631" s="10">
        <v>9.5653880447399615</v>
      </c>
      <c r="O631" s="10">
        <v>0.23114814814815077</v>
      </c>
      <c r="P631" s="5">
        <v>0.16746999535253124</v>
      </c>
      <c r="Q631" s="5">
        <v>0.14305740492276595</v>
      </c>
      <c r="R631" s="5">
        <v>0.19107081314800825</v>
      </c>
    </row>
    <row r="632" spans="1:18">
      <c r="A632" t="s">
        <v>2636</v>
      </c>
      <c r="B632" t="s">
        <v>112</v>
      </c>
      <c r="C632" s="10">
        <v>178.33</v>
      </c>
      <c r="D632" s="10">
        <v>60</v>
      </c>
      <c r="E632" s="10">
        <v>0.19</v>
      </c>
      <c r="F632" s="10">
        <v>171.7181718584788</v>
      </c>
      <c r="G632" s="10">
        <v>161.47979221611712</v>
      </c>
      <c r="H632" s="10">
        <v>170.75528</v>
      </c>
      <c r="I632" s="10">
        <v>220.16049382716051</v>
      </c>
      <c r="J632" s="10">
        <v>211.997743035159</v>
      </c>
      <c r="K632" s="10">
        <v>199.35776816804582</v>
      </c>
      <c r="L632" s="10">
        <v>210.80898765432096</v>
      </c>
      <c r="M632" s="10">
        <v>8.1627507920015034</v>
      </c>
      <c r="N632" s="10">
        <v>20.802725659114685</v>
      </c>
      <c r="O632" s="10">
        <v>9.3515061728395494</v>
      </c>
      <c r="P632" s="5">
        <v>0.15881179937644585</v>
      </c>
      <c r="Q632" s="5">
        <v>0.10547754602830801</v>
      </c>
      <c r="R632" s="5">
        <v>0.15406832514930122</v>
      </c>
    </row>
    <row r="633" spans="1:18">
      <c r="A633" t="s">
        <v>2637</v>
      </c>
      <c r="B633" t="s">
        <v>112</v>
      </c>
      <c r="C633" s="10">
        <v>107.81</v>
      </c>
      <c r="D633" s="10">
        <v>60</v>
      </c>
      <c r="E633" s="10">
        <v>0.19</v>
      </c>
      <c r="F633" s="10">
        <v>104.83735295703922</v>
      </c>
      <c r="G633" s="10">
        <v>101.91449128147907</v>
      </c>
      <c r="H633" s="10">
        <v>107.997604</v>
      </c>
      <c r="I633" s="10">
        <v>133.09876543209876</v>
      </c>
      <c r="J633" s="10">
        <v>129.42883081115951</v>
      </c>
      <c r="K633" s="10">
        <v>125.82035960676428</v>
      </c>
      <c r="L633" s="10">
        <v>133.33037530864195</v>
      </c>
      <c r="M633" s="10">
        <v>3.6699346209392445</v>
      </c>
      <c r="N633" s="10">
        <v>7.2784058253344739</v>
      </c>
      <c r="O633" s="10">
        <v>0.23160987654318888</v>
      </c>
      <c r="P633" s="5">
        <v>0.16703257439373786</v>
      </c>
      <c r="Q633" s="5">
        <v>0.14314344405828594</v>
      </c>
      <c r="R633" s="5">
        <v>0.19140706121591344</v>
      </c>
    </row>
    <row r="634" spans="1:18">
      <c r="A634" t="s">
        <v>2638</v>
      </c>
      <c r="B634" t="s">
        <v>112</v>
      </c>
      <c r="C634" s="10">
        <v>144.58000000000001</v>
      </c>
      <c r="D634" s="10">
        <v>65</v>
      </c>
      <c r="E634" s="10">
        <v>0.19</v>
      </c>
      <c r="F634" s="10">
        <v>136.85301261697464</v>
      </c>
      <c r="G634" s="10">
        <v>133.67206581196575</v>
      </c>
      <c r="H634" s="10">
        <v>140.64410000000001</v>
      </c>
      <c r="I634" s="10">
        <v>178.49382716049382</v>
      </c>
      <c r="J634" s="10">
        <v>168.9543365641662</v>
      </c>
      <c r="K634" s="10">
        <v>165.02724174316759</v>
      </c>
      <c r="L634" s="10">
        <v>173.6346913580247</v>
      </c>
      <c r="M634" s="10">
        <v>9.5394905963276244</v>
      </c>
      <c r="N634" s="10">
        <v>13.466585417326229</v>
      </c>
      <c r="O634" s="10">
        <v>4.859135802469126</v>
      </c>
      <c r="P634" s="5">
        <v>0.14426582388969458</v>
      </c>
      <c r="Q634" s="5">
        <v>0.12390222079206588</v>
      </c>
      <c r="R634" s="5">
        <v>0.16733229477809586</v>
      </c>
    </row>
    <row r="635" spans="1:18">
      <c r="A635" t="s">
        <v>2639</v>
      </c>
      <c r="B635" t="s">
        <v>112</v>
      </c>
      <c r="C635" s="10">
        <v>59.2</v>
      </c>
      <c r="D635" s="10">
        <v>50</v>
      </c>
      <c r="E635" s="10">
        <v>0.19</v>
      </c>
      <c r="F635" s="10">
        <v>53.832658238718516</v>
      </c>
      <c r="G635" s="10">
        <v>57.399441346062389</v>
      </c>
      <c r="H635" s="10">
        <v>56.829487</v>
      </c>
      <c r="I635" s="10">
        <v>73.086419753086417</v>
      </c>
      <c r="J635" s="10">
        <v>66.46007189965249</v>
      </c>
      <c r="K635" s="10">
        <v>70.863507834644921</v>
      </c>
      <c r="L635" s="10">
        <v>70.159860493827154</v>
      </c>
      <c r="M635" s="10">
        <v>6.6263478534339271</v>
      </c>
      <c r="N635" s="10">
        <v>2.2229119184414969</v>
      </c>
      <c r="O635" s="10">
        <v>2.926559259259264</v>
      </c>
      <c r="P635" s="5">
        <v>0.10923960345114296</v>
      </c>
      <c r="Q635" s="5">
        <v>0.16459117239667143</v>
      </c>
      <c r="R635" s="5">
        <v>0.15621268937373994</v>
      </c>
    </row>
    <row r="636" spans="1:18">
      <c r="A636" t="s">
        <v>2640</v>
      </c>
      <c r="B636" t="s">
        <v>112</v>
      </c>
      <c r="C636" s="10">
        <v>101.41</v>
      </c>
      <c r="D636" s="10">
        <v>60</v>
      </c>
      <c r="E636" s="10">
        <v>0.19</v>
      </c>
      <c r="F636" s="10">
        <v>118.47910216503854</v>
      </c>
      <c r="G636" s="10">
        <v>110.48489002802746</v>
      </c>
      <c r="H636" s="10">
        <v>108.6948</v>
      </c>
      <c r="I636" s="10">
        <v>125.19753086419752</v>
      </c>
      <c r="J636" s="10">
        <v>146.27049650004759</v>
      </c>
      <c r="K636" s="10">
        <v>136.40109880003391</v>
      </c>
      <c r="L636" s="10">
        <v>134.1911111111111</v>
      </c>
      <c r="M636" s="10">
        <v>21.072965635850068</v>
      </c>
      <c r="N636" s="10">
        <v>11.203567935836389</v>
      </c>
      <c r="O636" s="10">
        <v>8.9935802469135808</v>
      </c>
      <c r="P636" s="5">
        <v>0.30669545515648805</v>
      </c>
      <c r="Q636" s="5">
        <v>0.25653091586403859</v>
      </c>
      <c r="R636" s="5">
        <v>0.24428675520816079</v>
      </c>
    </row>
    <row r="637" spans="1:18">
      <c r="A637" t="s">
        <v>2641</v>
      </c>
      <c r="B637" t="s">
        <v>112</v>
      </c>
      <c r="C637" s="10">
        <v>51.13</v>
      </c>
      <c r="D637" s="10">
        <v>50</v>
      </c>
      <c r="E637" s="10">
        <v>0.19</v>
      </c>
      <c r="F637" s="10">
        <v>51.034518604818011</v>
      </c>
      <c r="G637" s="10">
        <v>52.765405099821024</v>
      </c>
      <c r="H637" s="10">
        <v>53.998652999999997</v>
      </c>
      <c r="I637" s="10">
        <v>63.123456790123456</v>
      </c>
      <c r="J637" s="10">
        <v>63.005578524466678</v>
      </c>
      <c r="K637" s="10">
        <v>65.142475431877799</v>
      </c>
      <c r="L637" s="10">
        <v>66.66500370370369</v>
      </c>
      <c r="M637" s="10">
        <v>0.11787826565677761</v>
      </c>
      <c r="N637" s="10">
        <v>2.019018641754343</v>
      </c>
      <c r="O637" s="10">
        <v>3.541546913580234</v>
      </c>
      <c r="P637" s="5">
        <v>0.18848455648820184</v>
      </c>
      <c r="Q637" s="5">
        <v>0.21510504995363933</v>
      </c>
      <c r="R637" s="5">
        <v>0.23303086838110554</v>
      </c>
    </row>
    <row r="638" spans="1:18">
      <c r="A638" t="s">
        <v>2642</v>
      </c>
      <c r="B638" t="s">
        <v>112</v>
      </c>
      <c r="C638" s="10">
        <v>59.35</v>
      </c>
      <c r="D638" s="10">
        <v>50</v>
      </c>
      <c r="E638" s="10">
        <v>0.19</v>
      </c>
      <c r="F638" s="10">
        <v>58.439557950893366</v>
      </c>
      <c r="G638" s="10">
        <v>62.352034474978709</v>
      </c>
      <c r="H638" s="10">
        <v>60.324066000000002</v>
      </c>
      <c r="I638" s="10">
        <v>73.271604938271608</v>
      </c>
      <c r="J638" s="10">
        <v>72.147602408510323</v>
      </c>
      <c r="K638" s="10">
        <v>76.977820339479877</v>
      </c>
      <c r="L638" s="10">
        <v>74.474155555555555</v>
      </c>
      <c r="M638" s="10">
        <v>1.1240025297612846</v>
      </c>
      <c r="N638" s="10">
        <v>3.7062154012082686</v>
      </c>
      <c r="O638" s="10">
        <v>1.2025506172839471</v>
      </c>
      <c r="P638" s="5">
        <v>0.17738084123777831</v>
      </c>
      <c r="Q638" s="5">
        <v>0.22899869419190394</v>
      </c>
      <c r="R638" s="5">
        <v>0.2030792486700084</v>
      </c>
    </row>
    <row r="639" spans="1:18">
      <c r="A639" t="s">
        <v>2643</v>
      </c>
      <c r="B639" t="s">
        <v>112</v>
      </c>
      <c r="C639" s="10">
        <v>99.35</v>
      </c>
      <c r="D639" s="10">
        <v>60</v>
      </c>
      <c r="E639" s="10">
        <v>0.19</v>
      </c>
      <c r="F639" s="10">
        <v>92.324795378249078</v>
      </c>
      <c r="G639" s="10">
        <v>97.469264033437369</v>
      </c>
      <c r="H639" s="10">
        <v>100.410645</v>
      </c>
      <c r="I639" s="10">
        <v>122.6543209876543</v>
      </c>
      <c r="J639" s="10">
        <v>113.98122886203589</v>
      </c>
      <c r="K639" s="10">
        <v>120.33242473263871</v>
      </c>
      <c r="L639" s="10">
        <v>123.96375925925925</v>
      </c>
      <c r="M639" s="10">
        <v>8.6730921256184104</v>
      </c>
      <c r="N639" s="10">
        <v>2.3218962550155879</v>
      </c>
      <c r="O639" s="10">
        <v>1.3094382716049466</v>
      </c>
      <c r="P639" s="5">
        <v>0.12836524933193774</v>
      </c>
      <c r="Q639" s="5">
        <v>0.17437049722266162</v>
      </c>
      <c r="R639" s="5">
        <v>0.19855608934690139</v>
      </c>
    </row>
    <row r="640" spans="1:18">
      <c r="A640" t="s">
        <v>2644</v>
      </c>
      <c r="B640" t="s">
        <v>112</v>
      </c>
      <c r="C640" s="10">
        <v>137.79</v>
      </c>
      <c r="D640" s="10">
        <v>65</v>
      </c>
      <c r="E640" s="10">
        <v>0.19</v>
      </c>
      <c r="F640" s="10">
        <v>135.24961886049871</v>
      </c>
      <c r="G640" s="10">
        <v>131.91952963980467</v>
      </c>
      <c r="H640" s="10">
        <v>132.05835999999999</v>
      </c>
      <c r="I640" s="10">
        <v>170.11111111111109</v>
      </c>
      <c r="J640" s="10">
        <v>166.97483809938112</v>
      </c>
      <c r="K640" s="10">
        <v>162.86361683926501</v>
      </c>
      <c r="L640" s="10">
        <v>163.03501234567901</v>
      </c>
      <c r="M640" s="10">
        <v>3.1362730117299691</v>
      </c>
      <c r="N640" s="10">
        <v>7.2474942718460795</v>
      </c>
      <c r="O640" s="10">
        <v>7.0760987654320786</v>
      </c>
      <c r="P640" s="5">
        <v>0.17478584457144802</v>
      </c>
      <c r="Q640" s="5">
        <v>0.15395468506640694</v>
      </c>
      <c r="R640" s="5">
        <v>0.15484411588936894</v>
      </c>
    </row>
    <row r="641" spans="1:18">
      <c r="A641" t="s">
        <v>2645</v>
      </c>
      <c r="B641" t="s">
        <v>112</v>
      </c>
      <c r="C641" s="10">
        <v>102.17</v>
      </c>
      <c r="D641" s="10">
        <v>60</v>
      </c>
      <c r="E641" s="10">
        <v>0.19</v>
      </c>
      <c r="F641" s="10">
        <v>107.03470208211414</v>
      </c>
      <c r="G641" s="10">
        <v>100.86419508547006</v>
      </c>
      <c r="H641" s="10">
        <v>95.140075999999993</v>
      </c>
      <c r="I641" s="10">
        <v>126.1358024691358</v>
      </c>
      <c r="J641" s="10">
        <v>132.14160750878287</v>
      </c>
      <c r="K641" s="10">
        <v>124.52369763638278</v>
      </c>
      <c r="L641" s="10">
        <v>117.45688395061727</v>
      </c>
      <c r="M641" s="10">
        <v>6.0058050396470719</v>
      </c>
      <c r="N641" s="10">
        <v>1.612104832753019</v>
      </c>
      <c r="O641" s="10">
        <v>8.6789185185185289</v>
      </c>
      <c r="P641" s="5">
        <v>0.22681430984401174</v>
      </c>
      <c r="Q641" s="5">
        <v>0.17951360311879763</v>
      </c>
      <c r="R641" s="5">
        <v>0.13014889750561043</v>
      </c>
    </row>
    <row r="642" spans="1:18">
      <c r="A642" t="s">
        <v>2646</v>
      </c>
      <c r="B642" t="s">
        <v>112</v>
      </c>
      <c r="C642" s="10">
        <v>74.31</v>
      </c>
      <c r="D642" s="10">
        <v>60</v>
      </c>
      <c r="E642" s="10">
        <v>0.19</v>
      </c>
      <c r="F642" s="10">
        <v>75.698573669333143</v>
      </c>
      <c r="G642" s="10">
        <v>74.88381134066978</v>
      </c>
      <c r="H642" s="10">
        <v>72.622159999999994</v>
      </c>
      <c r="I642" s="10">
        <v>91.740740740740733</v>
      </c>
      <c r="J642" s="10">
        <v>93.455029221398931</v>
      </c>
      <c r="K642" s="10">
        <v>92.449149803296024</v>
      </c>
      <c r="L642" s="10">
        <v>89.656987654320972</v>
      </c>
      <c r="M642" s="10">
        <v>1.7142884806581975</v>
      </c>
      <c r="N642" s="10">
        <v>0.70840906255529035</v>
      </c>
      <c r="O642" s="10">
        <v>2.0837530864197618</v>
      </c>
      <c r="P642" s="5">
        <v>0.20485820164951787</v>
      </c>
      <c r="Q642" s="5">
        <v>0.19620677790861976</v>
      </c>
      <c r="R642" s="5">
        <v>0.17117447346650097</v>
      </c>
    </row>
    <row r="643" spans="1:18">
      <c r="A643" t="s">
        <v>2647</v>
      </c>
      <c r="B643" t="s">
        <v>112</v>
      </c>
      <c r="C643" s="10">
        <v>108.29</v>
      </c>
      <c r="D643" s="10">
        <v>60</v>
      </c>
      <c r="E643" s="10">
        <v>0.19</v>
      </c>
      <c r="F643" s="10">
        <v>120.01305766896684</v>
      </c>
      <c r="G643" s="10">
        <v>114.66957500000007</v>
      </c>
      <c r="H643" s="10">
        <v>114.05346</v>
      </c>
      <c r="I643" s="10">
        <v>133.69135802469137</v>
      </c>
      <c r="J643" s="10">
        <v>148.16426872711955</v>
      </c>
      <c r="K643" s="10">
        <v>141.56737654320995</v>
      </c>
      <c r="L643" s="10">
        <v>140.80674074074074</v>
      </c>
      <c r="M643" s="10">
        <v>14.47291070242818</v>
      </c>
      <c r="N643" s="10">
        <v>7.8760185185185776</v>
      </c>
      <c r="O643" s="10">
        <v>7.1153827160493677</v>
      </c>
      <c r="P643" s="5">
        <v>0.26912202968826232</v>
      </c>
      <c r="Q643" s="5">
        <v>0.23506387810367343</v>
      </c>
      <c r="R643" s="5">
        <v>0.23093170518456863</v>
      </c>
    </row>
    <row r="644" spans="1:18">
      <c r="A644" t="s">
        <v>2648</v>
      </c>
      <c r="B644" t="s">
        <v>112</v>
      </c>
      <c r="C644" s="10">
        <v>78.819999999999993</v>
      </c>
      <c r="D644" s="10">
        <v>60</v>
      </c>
      <c r="E644" s="10">
        <v>0.19</v>
      </c>
      <c r="F644" s="10">
        <v>80.340927063798262</v>
      </c>
      <c r="G644" s="10">
        <v>80.9623756942906</v>
      </c>
      <c r="H644" s="10">
        <v>77.172430000000006</v>
      </c>
      <c r="I644" s="10">
        <v>97.308641975308632</v>
      </c>
      <c r="J644" s="10">
        <v>99.186329708392904</v>
      </c>
      <c r="K644" s="10">
        <v>99.953550239864938</v>
      </c>
      <c r="L644" s="10">
        <v>95.274604938271608</v>
      </c>
      <c r="M644" s="10">
        <v>1.8776877330842723</v>
      </c>
      <c r="N644" s="10">
        <v>2.6449082645563067</v>
      </c>
      <c r="O644" s="10">
        <v>2.0340370370370238</v>
      </c>
      <c r="P644" s="5">
        <v>0.20533403915912379</v>
      </c>
      <c r="Q644" s="5">
        <v>0.21143371285111345</v>
      </c>
      <c r="R644" s="5">
        <v>0.17270714424827632</v>
      </c>
    </row>
    <row r="645" spans="1:18">
      <c r="A645" t="s">
        <v>2649</v>
      </c>
      <c r="B645" t="s">
        <v>112</v>
      </c>
      <c r="C645" s="10">
        <v>70.59</v>
      </c>
      <c r="D645" s="10">
        <v>60</v>
      </c>
      <c r="E645" s="10">
        <v>0.19</v>
      </c>
      <c r="F645" s="10">
        <v>72.47033548631471</v>
      </c>
      <c r="G645" s="10">
        <v>72.84801769561696</v>
      </c>
      <c r="H645" s="10">
        <v>68.310720000000003</v>
      </c>
      <c r="I645" s="10">
        <v>87.148148148148152</v>
      </c>
      <c r="J645" s="10">
        <v>89.469549983104571</v>
      </c>
      <c r="K645" s="10">
        <v>89.935824315576482</v>
      </c>
      <c r="L645" s="10">
        <v>84.334222222222223</v>
      </c>
      <c r="M645" s="10">
        <v>2.3214018349564185</v>
      </c>
      <c r="N645" s="10">
        <v>2.7876761674283301</v>
      </c>
      <c r="O645" s="10">
        <v>2.8139259259259291</v>
      </c>
      <c r="P645" s="5">
        <v>0.21101648534802939</v>
      </c>
      <c r="Q645" s="5">
        <v>0.21510698837533052</v>
      </c>
      <c r="R645" s="5">
        <v>0.16297324929381504</v>
      </c>
    </row>
    <row r="646" spans="1:18">
      <c r="A646" t="s">
        <v>2650</v>
      </c>
      <c r="B646" t="s">
        <v>112</v>
      </c>
      <c r="C646" s="10">
        <v>100.48</v>
      </c>
      <c r="D646" s="10">
        <v>65</v>
      </c>
      <c r="E646" s="10">
        <v>0.19</v>
      </c>
      <c r="F646" s="10">
        <v>97.349405514993819</v>
      </c>
      <c r="G646" s="10">
        <v>86.671772184516286</v>
      </c>
      <c r="H646" s="10">
        <v>91.156809999999993</v>
      </c>
      <c r="I646" s="10">
        <v>124.04938271604938</v>
      </c>
      <c r="J646" s="10">
        <v>120.18445125307878</v>
      </c>
      <c r="K646" s="10">
        <v>107.00218788211886</v>
      </c>
      <c r="L646" s="10">
        <v>112.53927160493825</v>
      </c>
      <c r="M646" s="10">
        <v>3.8649314629706026</v>
      </c>
      <c r="N646" s="10">
        <v>17.047194833930519</v>
      </c>
      <c r="O646" s="10">
        <v>11.510111111111129</v>
      </c>
      <c r="P646" s="5">
        <v>0.16395175122600564</v>
      </c>
      <c r="Q646" s="5">
        <v>6.0953780583478889E-2</v>
      </c>
      <c r="R646" s="5">
        <v>0.10715611921917827</v>
      </c>
    </row>
    <row r="647" spans="1:18">
      <c r="A647" t="s">
        <v>2651</v>
      </c>
      <c r="B647" t="s">
        <v>112</v>
      </c>
      <c r="C647" s="10">
        <v>150.83000000000001</v>
      </c>
      <c r="D647" s="10">
        <v>65</v>
      </c>
      <c r="E647" s="10">
        <v>0.19</v>
      </c>
      <c r="F647" s="10">
        <v>143.93779920873391</v>
      </c>
      <c r="G647" s="10">
        <v>145.11338295177043</v>
      </c>
      <c r="H647" s="10">
        <v>152.0538</v>
      </c>
      <c r="I647" s="10">
        <v>186.20987654320987</v>
      </c>
      <c r="J647" s="10">
        <v>177.70098667744927</v>
      </c>
      <c r="K647" s="10">
        <v>179.15232463181533</v>
      </c>
      <c r="L647" s="10">
        <v>187.72074074074072</v>
      </c>
      <c r="M647" s="10">
        <v>8.508889865760608</v>
      </c>
      <c r="N647" s="10">
        <v>7.0575519113945404</v>
      </c>
      <c r="O647" s="10">
        <v>1.5108641975308501</v>
      </c>
      <c r="P647" s="5">
        <v>0.15121461720538243</v>
      </c>
      <c r="Q647" s="5">
        <v>0.15809074590587596</v>
      </c>
      <c r="R647" s="5">
        <v>0.19651925831514883</v>
      </c>
    </row>
    <row r="648" spans="1:18">
      <c r="A648" t="s">
        <v>2652</v>
      </c>
      <c r="B648" t="s">
        <v>112</v>
      </c>
      <c r="C648" s="10">
        <v>115.48</v>
      </c>
      <c r="D648" s="10">
        <v>60</v>
      </c>
      <c r="E648" s="10">
        <v>0.19</v>
      </c>
      <c r="F648" s="10">
        <v>100.79864725270323</v>
      </c>
      <c r="G648" s="10">
        <v>100.25463782717627</v>
      </c>
      <c r="H648" s="10">
        <v>104.3588</v>
      </c>
      <c r="I648" s="10">
        <v>142.5679012345679</v>
      </c>
      <c r="J648" s="10">
        <v>124.44277438605337</v>
      </c>
      <c r="K648" s="10">
        <v>123.77115781132872</v>
      </c>
      <c r="L648" s="10">
        <v>128.83802469135802</v>
      </c>
      <c r="M648" s="10">
        <v>18.125126848514526</v>
      </c>
      <c r="N648" s="10">
        <v>18.796743423239178</v>
      </c>
      <c r="O648" s="10">
        <v>13.729876543209883</v>
      </c>
      <c r="P648" s="5">
        <v>7.2023260733873912E-2</v>
      </c>
      <c r="Q648" s="5">
        <v>6.6987801988306436E-2</v>
      </c>
      <c r="R648" s="5">
        <v>0.10368076290643424</v>
      </c>
    </row>
    <row r="649" spans="1:18">
      <c r="A649" t="s">
        <v>2653</v>
      </c>
      <c r="B649" t="s">
        <v>112</v>
      </c>
      <c r="C649" s="10">
        <v>91.92</v>
      </c>
      <c r="D649" s="10">
        <v>60</v>
      </c>
      <c r="E649" s="10">
        <v>0.19</v>
      </c>
      <c r="F649" s="10">
        <v>90.183950371665318</v>
      </c>
      <c r="G649" s="10">
        <v>97.877401876011461</v>
      </c>
      <c r="H649" s="10">
        <v>97.672150000000002</v>
      </c>
      <c r="I649" s="10">
        <v>113.48148148148148</v>
      </c>
      <c r="J649" s="10">
        <v>111.33821033538928</v>
      </c>
      <c r="K649" s="10">
        <v>120.83629861235983</v>
      </c>
      <c r="L649" s="10">
        <v>120.5829012345679</v>
      </c>
      <c r="M649" s="10">
        <v>2.1432711460922036</v>
      </c>
      <c r="N649" s="10">
        <v>7.3548171308783452</v>
      </c>
      <c r="O649" s="10">
        <v>7.101419753086418</v>
      </c>
      <c r="P649" s="5">
        <v>0.17440742290445388</v>
      </c>
      <c r="Q649" s="5">
        <v>0.23930142634642154</v>
      </c>
      <c r="R649" s="5">
        <v>0.23770286617014161</v>
      </c>
    </row>
    <row r="650" spans="1:18">
      <c r="A650" t="s">
        <v>2654</v>
      </c>
      <c r="B650" t="s">
        <v>112</v>
      </c>
      <c r="C650" s="10">
        <v>164.23</v>
      </c>
      <c r="D650" s="10">
        <v>65</v>
      </c>
      <c r="E650" s="10">
        <v>0.19</v>
      </c>
      <c r="F650" s="10">
        <v>167.61958108872901</v>
      </c>
      <c r="G650" s="10">
        <v>164.53104693223449</v>
      </c>
      <c r="H650" s="10">
        <v>166.26526000000001</v>
      </c>
      <c r="I650" s="10">
        <v>202.75308641975306</v>
      </c>
      <c r="J650" s="10">
        <v>206.93775443052962</v>
      </c>
      <c r="K650" s="10">
        <v>203.12474929905491</v>
      </c>
      <c r="L650" s="10">
        <v>205.26575308641975</v>
      </c>
      <c r="M650" s="10">
        <v>4.1846680107765621</v>
      </c>
      <c r="N650" s="10">
        <v>0.37166287930185149</v>
      </c>
      <c r="O650" s="10">
        <v>2.5126666666666893</v>
      </c>
      <c r="P650" s="5">
        <v>0.20637971330102023</v>
      </c>
      <c r="Q650" s="5">
        <v>0.19148207903405837</v>
      </c>
      <c r="R650" s="5">
        <v>0.19991524386994616</v>
      </c>
    </row>
    <row r="651" spans="1:18">
      <c r="A651" t="s">
        <v>2655</v>
      </c>
      <c r="B651" t="s">
        <v>112</v>
      </c>
      <c r="C651" s="10">
        <v>143.9</v>
      </c>
      <c r="D651" s="10">
        <v>65</v>
      </c>
      <c r="E651" s="10">
        <v>0.19</v>
      </c>
      <c r="F651" s="10">
        <v>139.63631547318525</v>
      </c>
      <c r="G651" s="10">
        <v>134.20224877899872</v>
      </c>
      <c r="H651" s="10">
        <v>143.67949999999999</v>
      </c>
      <c r="I651" s="10">
        <v>177.65432098765433</v>
      </c>
      <c r="J651" s="10">
        <v>172.39051292985832</v>
      </c>
      <c r="K651" s="10">
        <v>165.68178861604778</v>
      </c>
      <c r="L651" s="10">
        <v>177.38209876543206</v>
      </c>
      <c r="M651" s="10">
        <v>5.2638080577960125</v>
      </c>
      <c r="N651" s="10">
        <v>11.972532371606547</v>
      </c>
      <c r="O651" s="10">
        <v>0.27222222222226833</v>
      </c>
      <c r="P651" s="5">
        <v>0.16526729021016626</v>
      </c>
      <c r="Q651" s="5">
        <v>0.13146760907153807</v>
      </c>
      <c r="R651" s="5">
        <v>0.18875692078549808</v>
      </c>
    </row>
    <row r="652" spans="1:18">
      <c r="A652" t="s">
        <v>2656</v>
      </c>
      <c r="B652" t="s">
        <v>112</v>
      </c>
      <c r="C652" s="10">
        <v>74.31</v>
      </c>
      <c r="D652" s="10">
        <v>60</v>
      </c>
      <c r="E652" s="10">
        <v>0.19</v>
      </c>
      <c r="F652" s="10">
        <v>81.601744031346755</v>
      </c>
      <c r="G652" s="10">
        <v>76.881479719095537</v>
      </c>
      <c r="H652" s="10">
        <v>74.519369999999995</v>
      </c>
      <c r="I652" s="10">
        <v>91.740740740740733</v>
      </c>
      <c r="J652" s="10">
        <v>100.74289386586018</v>
      </c>
      <c r="K652" s="10">
        <v>94.91540706061177</v>
      </c>
      <c r="L652" s="10">
        <v>91.999222222222215</v>
      </c>
      <c r="M652" s="10">
        <v>9.0021531251194489</v>
      </c>
      <c r="N652" s="10">
        <v>3.1746663198710365</v>
      </c>
      <c r="O652" s="10">
        <v>0.25848148148148198</v>
      </c>
      <c r="P652" s="5">
        <v>0.26237973569684975</v>
      </c>
      <c r="Q652" s="5">
        <v>0.21709233199045774</v>
      </c>
      <c r="R652" s="5">
        <v>0.19227578010925206</v>
      </c>
    </row>
    <row r="653" spans="1:18">
      <c r="A653" t="s">
        <v>2657</v>
      </c>
      <c r="B653" t="s">
        <v>112</v>
      </c>
      <c r="C653" s="10">
        <v>99.66</v>
      </c>
      <c r="D653" s="10">
        <v>60</v>
      </c>
      <c r="E653" s="10">
        <v>0.19</v>
      </c>
      <c r="F653" s="10">
        <v>93.342788009130572</v>
      </c>
      <c r="G653" s="10">
        <v>97.632451848527268</v>
      </c>
      <c r="H653" s="10">
        <v>99.586029999999994</v>
      </c>
      <c r="I653" s="10">
        <v>123.03703703703702</v>
      </c>
      <c r="J653" s="10">
        <v>115.23800988781551</v>
      </c>
      <c r="K653" s="10">
        <v>120.53389117102131</v>
      </c>
      <c r="L653" s="10">
        <v>122.9457160493827</v>
      </c>
      <c r="M653" s="10">
        <v>7.7990271492215157</v>
      </c>
      <c r="N653" s="10">
        <v>2.5031458660157142</v>
      </c>
      <c r="O653" s="10">
        <v>9.1320987654327723E-2</v>
      </c>
      <c r="P653" s="5">
        <v>0.13518117765987753</v>
      </c>
      <c r="Q653" s="5">
        <v>0.17317860535510365</v>
      </c>
      <c r="R653" s="5">
        <v>0.18939835235926153</v>
      </c>
    </row>
    <row r="654" spans="1:18">
      <c r="A654" t="s">
        <v>2658</v>
      </c>
      <c r="B654" t="s">
        <v>112</v>
      </c>
      <c r="C654" s="10">
        <v>151.38</v>
      </c>
      <c r="D654" s="10">
        <v>65</v>
      </c>
      <c r="E654" s="10">
        <v>0.19</v>
      </c>
      <c r="F654" s="10">
        <v>147.31568484073435</v>
      </c>
      <c r="G654" s="10">
        <v>148.08579885531142</v>
      </c>
      <c r="H654" s="10">
        <v>140.90239</v>
      </c>
      <c r="I654" s="10">
        <v>186.88888888888886</v>
      </c>
      <c r="J654" s="10">
        <v>181.87121585275844</v>
      </c>
      <c r="K654" s="10">
        <v>182.82197389544618</v>
      </c>
      <c r="L654" s="10">
        <v>173.95356790123455</v>
      </c>
      <c r="M654" s="10">
        <v>5.017673036130418</v>
      </c>
      <c r="N654" s="10">
        <v>4.0669149934426798</v>
      </c>
      <c r="O654" s="10">
        <v>12.935320987654308</v>
      </c>
      <c r="P654" s="5">
        <v>0.16765278502038444</v>
      </c>
      <c r="Q654" s="5">
        <v>0.17198137196258198</v>
      </c>
      <c r="R654" s="5">
        <v>0.12976777753734334</v>
      </c>
    </row>
    <row r="655" spans="1:18">
      <c r="A655" t="s">
        <v>2659</v>
      </c>
      <c r="B655" t="s">
        <v>112</v>
      </c>
      <c r="C655" s="10">
        <v>49.63</v>
      </c>
      <c r="D655" s="10">
        <v>50</v>
      </c>
      <c r="E655" s="10">
        <v>0.19</v>
      </c>
      <c r="F655" s="10">
        <v>49.030884356504295</v>
      </c>
      <c r="G655" s="10">
        <v>49.418007983404962</v>
      </c>
      <c r="H655" s="10">
        <v>47.991709999999998</v>
      </c>
      <c r="I655" s="10">
        <v>61.271604938271601</v>
      </c>
      <c r="J655" s="10">
        <v>60.531955995684314</v>
      </c>
      <c r="K655" s="10">
        <v>61.009886399265383</v>
      </c>
      <c r="L655" s="10">
        <v>59.249024691358017</v>
      </c>
      <c r="M655" s="10">
        <v>0.73964894258728719</v>
      </c>
      <c r="N655" s="10">
        <v>0.26171853900621755</v>
      </c>
      <c r="O655" s="10">
        <v>2.0225802469135843</v>
      </c>
      <c r="P655" s="5">
        <v>0.18010248993872885</v>
      </c>
      <c r="Q655" s="5">
        <v>0.18652528419397951</v>
      </c>
      <c r="R655" s="5">
        <v>0.16234908070581341</v>
      </c>
    </row>
    <row r="656" spans="1:18">
      <c r="A656" t="s">
        <v>2660</v>
      </c>
      <c r="B656" t="s">
        <v>112</v>
      </c>
      <c r="C656" s="10">
        <v>134.18</v>
      </c>
      <c r="D656" s="10">
        <v>60</v>
      </c>
      <c r="E656" s="10">
        <v>0.19</v>
      </c>
      <c r="F656" s="10">
        <v>128.10876853999741</v>
      </c>
      <c r="G656" s="10">
        <v>126.39304654512154</v>
      </c>
      <c r="H656" s="10">
        <v>126.61644</v>
      </c>
      <c r="I656" s="10">
        <v>165.65432098765433</v>
      </c>
      <c r="J656" s="10">
        <v>158.15897350616964</v>
      </c>
      <c r="K656" s="10">
        <v>156.04079820385374</v>
      </c>
      <c r="L656" s="10">
        <v>156.31659259259257</v>
      </c>
      <c r="M656" s="10">
        <v>7.4953474814846857</v>
      </c>
      <c r="N656" s="10">
        <v>9.6135227838005903</v>
      </c>
      <c r="O656" s="10">
        <v>9.3377283950617596</v>
      </c>
      <c r="P656" s="5">
        <v>0.15161310784072735</v>
      </c>
      <c r="Q656" s="5">
        <v>0.14009668276173837</v>
      </c>
      <c r="R656" s="5">
        <v>0.14161383782390327</v>
      </c>
    </row>
    <row r="657" spans="1:18">
      <c r="A657" t="s">
        <v>2661</v>
      </c>
      <c r="B657" t="s">
        <v>112</v>
      </c>
      <c r="C657" s="10">
        <v>188.78</v>
      </c>
      <c r="D657" s="10">
        <v>60</v>
      </c>
      <c r="E657" s="10">
        <v>0.19</v>
      </c>
      <c r="F657" s="10">
        <v>171.93343657406234</v>
      </c>
      <c r="G657" s="10">
        <v>167.68823946886454</v>
      </c>
      <c r="H657" s="10">
        <v>179.8853</v>
      </c>
      <c r="I657" s="10">
        <v>233.06172839506172</v>
      </c>
      <c r="J657" s="10">
        <v>212.26350194328683</v>
      </c>
      <c r="K657" s="10">
        <v>207.02251786279572</v>
      </c>
      <c r="L657" s="10">
        <v>222.0806172839506</v>
      </c>
      <c r="M657" s="10">
        <v>20.798226451774894</v>
      </c>
      <c r="N657" s="10">
        <v>26.039210532265997</v>
      </c>
      <c r="O657" s="10">
        <v>10.981111111111119</v>
      </c>
      <c r="P657" s="5">
        <v>0.110633725196719</v>
      </c>
      <c r="Q657" s="5">
        <v>8.811851991330702E-2</v>
      </c>
      <c r="R657" s="5">
        <v>0.14994832818468207</v>
      </c>
    </row>
    <row r="658" spans="1:18">
      <c r="A658" t="s">
        <v>2662</v>
      </c>
      <c r="B658" t="s">
        <v>112</v>
      </c>
      <c r="C658" s="10">
        <v>93.54</v>
      </c>
      <c r="D658" s="10">
        <v>60</v>
      </c>
      <c r="E658" s="10">
        <v>0.19</v>
      </c>
      <c r="F658" s="10">
        <v>85.077896613996174</v>
      </c>
      <c r="G658" s="10">
        <v>93.455282108094465</v>
      </c>
      <c r="H658" s="10">
        <v>90.544960000000003</v>
      </c>
      <c r="I658" s="10">
        <v>115.48148148148148</v>
      </c>
      <c r="J658" s="10">
        <v>105.0344402641928</v>
      </c>
      <c r="K658" s="10">
        <v>115.37689149147464</v>
      </c>
      <c r="L658" s="10">
        <v>111.78390123456789</v>
      </c>
      <c r="M658" s="10">
        <v>10.447041217288685</v>
      </c>
      <c r="N658" s="10">
        <v>0.10458999000684344</v>
      </c>
      <c r="O658" s="10">
        <v>3.6975802469135886</v>
      </c>
      <c r="P658" s="5">
        <v>0.10943496471520066</v>
      </c>
      <c r="Q658" s="5">
        <v>0.18926572911776005</v>
      </c>
      <c r="R658" s="5">
        <v>0.16320687534678893</v>
      </c>
    </row>
    <row r="659" spans="1:18">
      <c r="A659" t="s">
        <v>2663</v>
      </c>
      <c r="B659" t="s">
        <v>112</v>
      </c>
      <c r="C659" s="10">
        <v>42.93</v>
      </c>
      <c r="D659" s="10">
        <v>50</v>
      </c>
      <c r="E659" s="10">
        <v>0.19</v>
      </c>
      <c r="F659" s="10">
        <v>50.186953338174639</v>
      </c>
      <c r="G659" s="10">
        <v>49.574683000736897</v>
      </c>
      <c r="H659" s="10">
        <v>48.572220000000002</v>
      </c>
      <c r="I659" s="10">
        <v>52.999999999999993</v>
      </c>
      <c r="J659" s="10">
        <v>61.959201652067449</v>
      </c>
      <c r="K659" s="10">
        <v>61.20331234658876</v>
      </c>
      <c r="L659" s="10">
        <v>59.965703703703703</v>
      </c>
      <c r="M659" s="10">
        <v>8.9592016520674562</v>
      </c>
      <c r="N659" s="10">
        <v>8.203312346588767</v>
      </c>
      <c r="O659" s="10">
        <v>6.9657037037037099</v>
      </c>
      <c r="P659" s="5">
        <v>0.30712470697937866</v>
      </c>
      <c r="Q659" s="5">
        <v>0.29856737562027141</v>
      </c>
      <c r="R659" s="5">
        <v>0.28409078275606919</v>
      </c>
    </row>
    <row r="660" spans="1:18">
      <c r="A660" t="s">
        <v>2664</v>
      </c>
      <c r="B660" t="s">
        <v>112</v>
      </c>
      <c r="C660" s="10">
        <v>59.26</v>
      </c>
      <c r="D660" s="10">
        <v>50</v>
      </c>
      <c r="E660" s="10">
        <v>0.19</v>
      </c>
      <c r="F660" s="10">
        <v>57.265771451028499</v>
      </c>
      <c r="G660" s="10">
        <v>60.291058974510406</v>
      </c>
      <c r="H660" s="10">
        <v>58.382249999999999</v>
      </c>
      <c r="I660" s="10">
        <v>73.160493827160494</v>
      </c>
      <c r="J660" s="10">
        <v>70.698483272874682</v>
      </c>
      <c r="K660" s="10">
        <v>74.433406141370867</v>
      </c>
      <c r="L660" s="10">
        <v>72.076851851851842</v>
      </c>
      <c r="M660" s="10">
        <v>2.4620105542858113</v>
      </c>
      <c r="N660" s="10">
        <v>1.2729123142103731</v>
      </c>
      <c r="O660" s="10">
        <v>1.0836419753086517</v>
      </c>
      <c r="P660" s="5">
        <v>0.16179248469483584</v>
      </c>
      <c r="Q660" s="5">
        <v>0.20385209985624089</v>
      </c>
      <c r="R660" s="5">
        <v>0.17782202638644443</v>
      </c>
    </row>
    <row r="661" spans="1:18">
      <c r="A661" t="s">
        <v>2665</v>
      </c>
      <c r="B661" t="s">
        <v>112</v>
      </c>
      <c r="C661" s="10">
        <v>104.81</v>
      </c>
      <c r="D661" s="10">
        <v>60</v>
      </c>
      <c r="E661" s="10">
        <v>0.19</v>
      </c>
      <c r="F661" s="10">
        <v>109.09767657989794</v>
      </c>
      <c r="G661" s="10">
        <v>78.963385233028447</v>
      </c>
      <c r="H661" s="10">
        <v>104.13258</v>
      </c>
      <c r="I661" s="10">
        <v>129.39506172839506</v>
      </c>
      <c r="J661" s="10">
        <v>134.68848960481225</v>
      </c>
      <c r="K661" s="10">
        <v>97.4856607815166</v>
      </c>
      <c r="L661" s="10">
        <v>128.55874074074075</v>
      </c>
      <c r="M661" s="10">
        <v>5.2934278764171836</v>
      </c>
      <c r="N661" s="10">
        <v>31.909400946878463</v>
      </c>
      <c r="O661" s="10">
        <v>0.83632098765431806</v>
      </c>
      <c r="P661" s="5">
        <v>0.22183402377202635</v>
      </c>
      <c r="Q661" s="5">
        <v>-7.5132477533271291E-2</v>
      </c>
      <c r="R661" s="5">
        <v>0.18473065778260753</v>
      </c>
    </row>
    <row r="662" spans="1:18">
      <c r="A662" t="s">
        <v>2666</v>
      </c>
      <c r="B662" t="s">
        <v>112</v>
      </c>
      <c r="C662" s="10">
        <v>170.59</v>
      </c>
      <c r="D662" s="10">
        <v>60</v>
      </c>
      <c r="E662" s="10">
        <v>0.19</v>
      </c>
      <c r="F662" s="10">
        <v>179.15574917563069</v>
      </c>
      <c r="G662" s="10">
        <v>173.58932158119671</v>
      </c>
      <c r="H662" s="10">
        <v>176.98685</v>
      </c>
      <c r="I662" s="10">
        <v>210.60493827160494</v>
      </c>
      <c r="J662" s="10">
        <v>221.17993725386503</v>
      </c>
      <c r="K662" s="10">
        <v>214.30780442123049</v>
      </c>
      <c r="L662" s="10">
        <v>218.50228395061728</v>
      </c>
      <c r="M662" s="10">
        <v>10.574998982260098</v>
      </c>
      <c r="N662" s="10">
        <v>3.7028661496255495</v>
      </c>
      <c r="O662" s="10">
        <v>7.8973456790123464</v>
      </c>
      <c r="P662" s="5">
        <v>0.22872751426725976</v>
      </c>
      <c r="Q662" s="5">
        <v>0.20399539129849609</v>
      </c>
      <c r="R662" s="5">
        <v>0.2192758953560674</v>
      </c>
    </row>
    <row r="663" spans="1:18">
      <c r="A663" t="s">
        <v>3037</v>
      </c>
      <c r="B663" t="s">
        <v>122</v>
      </c>
      <c r="C663" s="10">
        <v>40.21</v>
      </c>
      <c r="D663" s="10">
        <v>50</v>
      </c>
      <c r="E663" s="10">
        <v>0.19</v>
      </c>
      <c r="F663" s="10">
        <v>55.809685860916936</v>
      </c>
      <c r="G663" s="10">
        <v>53.046595014955734</v>
      </c>
      <c r="H663" s="10">
        <v>51.827232000000002</v>
      </c>
      <c r="I663" s="10">
        <v>50</v>
      </c>
      <c r="J663" s="10">
        <v>68.900846741872755</v>
      </c>
      <c r="K663" s="10">
        <v>65.489623475253993</v>
      </c>
      <c r="L663" s="10">
        <v>63.984237037037033</v>
      </c>
      <c r="M663" s="10">
        <v>18.900846741872755</v>
      </c>
      <c r="N663" s="10">
        <v>15.489623475253993</v>
      </c>
      <c r="O663" s="10">
        <v>13.984237037037033</v>
      </c>
      <c r="P663" s="5">
        <v>0.41640775256883183</v>
      </c>
      <c r="Q663" s="5">
        <v>0.38600960173188642</v>
      </c>
      <c r="R663" s="5">
        <v>0.37156396853299051</v>
      </c>
    </row>
    <row r="664" spans="1:18">
      <c r="A664" t="s">
        <v>3038</v>
      </c>
      <c r="B664" t="s">
        <v>122</v>
      </c>
      <c r="C664" s="10">
        <v>86.6</v>
      </c>
      <c r="D664" s="10">
        <v>50</v>
      </c>
      <c r="E664" s="10">
        <v>0.19</v>
      </c>
      <c r="F664" s="10">
        <v>95.808672427222817</v>
      </c>
      <c r="G664" s="10">
        <v>92.999091391941448</v>
      </c>
      <c r="H664" s="10">
        <v>91.168210000000002</v>
      </c>
      <c r="I664" s="10">
        <v>106.91358024691357</v>
      </c>
      <c r="J664" s="10">
        <v>118.28231163854667</v>
      </c>
      <c r="K664" s="10">
        <v>114.81369307647091</v>
      </c>
      <c r="L664" s="10">
        <v>112.55334567901234</v>
      </c>
      <c r="M664" s="10">
        <v>11.368731391633105</v>
      </c>
      <c r="N664" s="10">
        <v>7.9001128295573437</v>
      </c>
      <c r="O664" s="10">
        <v>5.6397654320987698</v>
      </c>
      <c r="P664" s="5">
        <v>0.26785333495479152</v>
      </c>
      <c r="Q664" s="5">
        <v>0.24573456632632984</v>
      </c>
      <c r="R664" s="5">
        <v>0.23058706538167195</v>
      </c>
    </row>
    <row r="665" spans="1:18">
      <c r="A665" t="s">
        <v>3039</v>
      </c>
      <c r="B665" t="s">
        <v>122</v>
      </c>
      <c r="C665" s="10">
        <v>59.66</v>
      </c>
      <c r="D665" s="10">
        <v>50</v>
      </c>
      <c r="E665" s="10">
        <v>0.19</v>
      </c>
      <c r="F665" s="10">
        <v>60.613925617902254</v>
      </c>
      <c r="G665" s="10">
        <v>62.392885882051239</v>
      </c>
      <c r="H665" s="10">
        <v>60.836869999999998</v>
      </c>
      <c r="I665" s="10">
        <v>73.654320987654316</v>
      </c>
      <c r="J665" s="10">
        <v>74.83200693568179</v>
      </c>
      <c r="K665" s="10">
        <v>77.028254175371899</v>
      </c>
      <c r="L665" s="10">
        <v>75.107246913580241</v>
      </c>
      <c r="M665" s="10">
        <v>1.1776859480274737</v>
      </c>
      <c r="N665" s="10">
        <v>3.3739331877175829</v>
      </c>
      <c r="O665" s="10">
        <v>1.4529259259259248</v>
      </c>
      <c r="P665" s="5">
        <v>0.20274756159783544</v>
      </c>
      <c r="Q665" s="5">
        <v>0.22547900587009567</v>
      </c>
      <c r="R665" s="5">
        <v>0.20566919369783487</v>
      </c>
    </row>
    <row r="666" spans="1:18">
      <c r="A666" t="s">
        <v>3040</v>
      </c>
      <c r="B666" t="s">
        <v>122</v>
      </c>
      <c r="C666" s="10">
        <v>102.5</v>
      </c>
      <c r="D666" s="10">
        <v>50</v>
      </c>
      <c r="E666" s="10">
        <v>0.19</v>
      </c>
      <c r="F666" s="10">
        <v>102.24828145621252</v>
      </c>
      <c r="G666" s="10">
        <v>97.611526359785714</v>
      </c>
      <c r="H666" s="10">
        <v>99.864509999999996</v>
      </c>
      <c r="I666" s="10">
        <v>126.5432098765432</v>
      </c>
      <c r="J666" s="10">
        <v>126.23244624223767</v>
      </c>
      <c r="K666" s="10">
        <v>120.50805723430334</v>
      </c>
      <c r="L666" s="10">
        <v>123.28951851851851</v>
      </c>
      <c r="M666" s="10">
        <v>0.31076363430553045</v>
      </c>
      <c r="N666" s="10">
        <v>6.0351526422398649</v>
      </c>
      <c r="O666" s="10">
        <v>3.253691358024696</v>
      </c>
      <c r="P666" s="5">
        <v>0.18800591249491874</v>
      </c>
      <c r="Q666" s="5">
        <v>0.14943446643812655</v>
      </c>
      <c r="R666" s="5">
        <v>0.16862356807238119</v>
      </c>
    </row>
    <row r="667" spans="1:18">
      <c r="A667" t="s">
        <v>3041</v>
      </c>
      <c r="B667" t="s">
        <v>122</v>
      </c>
      <c r="C667" s="10">
        <v>105.17</v>
      </c>
      <c r="D667" s="10">
        <v>50</v>
      </c>
      <c r="E667" s="10">
        <v>0.19</v>
      </c>
      <c r="F667" s="10">
        <v>110.38306512553197</v>
      </c>
      <c r="G667" s="10">
        <v>102.88444969391858</v>
      </c>
      <c r="H667" s="10">
        <v>102.7589</v>
      </c>
      <c r="I667" s="10">
        <v>129.83950617283949</v>
      </c>
      <c r="J667" s="10">
        <v>136.27538904386662</v>
      </c>
      <c r="K667" s="10">
        <v>127.01783912829454</v>
      </c>
      <c r="L667" s="10">
        <v>126.86283950617283</v>
      </c>
      <c r="M667" s="10">
        <v>6.4358828710271325</v>
      </c>
      <c r="N667" s="10">
        <v>2.8216670445449523</v>
      </c>
      <c r="O667" s="10">
        <v>2.9766666666666595</v>
      </c>
      <c r="P667" s="5">
        <v>0.22825390015106758</v>
      </c>
      <c r="Q667" s="5">
        <v>0.17200606842498004</v>
      </c>
      <c r="R667" s="5">
        <v>0.17099443454532887</v>
      </c>
    </row>
    <row r="668" spans="1:18">
      <c r="A668" t="s">
        <v>3042</v>
      </c>
      <c r="B668" t="s">
        <v>122</v>
      </c>
      <c r="C668" s="10">
        <v>82.49</v>
      </c>
      <c r="D668" s="10">
        <v>60</v>
      </c>
      <c r="E668" s="10">
        <v>0.19</v>
      </c>
      <c r="F668" s="10">
        <v>87.411072775949236</v>
      </c>
      <c r="G668" s="10">
        <v>83.982153007908394</v>
      </c>
      <c r="H668" s="10">
        <v>85.616979999999998</v>
      </c>
      <c r="I668" s="10">
        <v>101.83950617283949</v>
      </c>
      <c r="J668" s="10">
        <v>107.91490466166572</v>
      </c>
      <c r="K668" s="10">
        <v>103.68167038013381</v>
      </c>
      <c r="L668" s="10">
        <v>105.69997530864197</v>
      </c>
      <c r="M668" s="10">
        <v>6.0753984888262238</v>
      </c>
      <c r="N668" s="10">
        <v>1.8421642072943172</v>
      </c>
      <c r="O668" s="10">
        <v>3.8604691358024752</v>
      </c>
      <c r="P668" s="5">
        <v>0.23560141892704958</v>
      </c>
      <c r="Q668" s="5">
        <v>0.20439167600635319</v>
      </c>
      <c r="R668" s="5">
        <v>0.21958354522665946</v>
      </c>
    </row>
    <row r="669" spans="1:18">
      <c r="A669" t="s">
        <v>3043</v>
      </c>
      <c r="B669" t="s">
        <v>122</v>
      </c>
      <c r="C669" s="10">
        <v>113.3</v>
      </c>
      <c r="D669" s="10">
        <v>50</v>
      </c>
      <c r="E669" s="10">
        <v>0.19</v>
      </c>
      <c r="F669" s="10">
        <v>111.99589388210961</v>
      </c>
      <c r="G669" s="10">
        <v>102.22335493178547</v>
      </c>
      <c r="H669" s="10">
        <v>104.39046500000001</v>
      </c>
      <c r="I669" s="10">
        <v>139.87654320987653</v>
      </c>
      <c r="J669" s="10">
        <v>138.26653565692544</v>
      </c>
      <c r="K669" s="10">
        <v>126.20167275529069</v>
      </c>
      <c r="L669" s="10">
        <v>128.87711728395061</v>
      </c>
      <c r="M669" s="10">
        <v>1.6100075529510889</v>
      </c>
      <c r="N669" s="10">
        <v>13.674870454585843</v>
      </c>
      <c r="O669" s="10">
        <v>10.99942592592592</v>
      </c>
      <c r="P669" s="5">
        <v>0.18056817246708046</v>
      </c>
      <c r="Q669" s="5">
        <v>0.10223060022593734</v>
      </c>
      <c r="R669" s="5">
        <v>0.12086798348872187</v>
      </c>
    </row>
    <row r="670" spans="1:18">
      <c r="A670" t="s">
        <v>3044</v>
      </c>
      <c r="B670" t="s">
        <v>122</v>
      </c>
      <c r="C670" s="10">
        <v>73.48</v>
      </c>
      <c r="D670" s="10">
        <v>50</v>
      </c>
      <c r="E670" s="10">
        <v>0.19</v>
      </c>
      <c r="F670" s="10">
        <v>67.022852944591619</v>
      </c>
      <c r="G670" s="10">
        <v>65.027242408452096</v>
      </c>
      <c r="H670" s="10">
        <v>65.341930000000005</v>
      </c>
      <c r="I670" s="10">
        <v>90.716049382716051</v>
      </c>
      <c r="J670" s="10">
        <v>82.744262894557551</v>
      </c>
      <c r="K670" s="10">
        <v>80.280546183274183</v>
      </c>
      <c r="L670" s="10">
        <v>80.669049382716054</v>
      </c>
      <c r="M670" s="10">
        <v>7.9717864881585001</v>
      </c>
      <c r="N670" s="10">
        <v>10.435503199441868</v>
      </c>
      <c r="O670" s="10">
        <v>10.046999999999997</v>
      </c>
      <c r="P670" s="5">
        <v>0.11196260103692213</v>
      </c>
      <c r="Q670" s="5">
        <v>8.4709764776002713E-2</v>
      </c>
      <c r="R670" s="5">
        <v>8.9117814548789726E-2</v>
      </c>
    </row>
    <row r="671" spans="1:18">
      <c r="A671" t="s">
        <v>3045</v>
      </c>
      <c r="B671" t="s">
        <v>122</v>
      </c>
      <c r="C671" s="10">
        <v>50.18</v>
      </c>
      <c r="D671" s="10">
        <v>50</v>
      </c>
      <c r="E671" s="10">
        <v>0.19</v>
      </c>
      <c r="F671" s="10">
        <v>61.203858029514727</v>
      </c>
      <c r="G671" s="10">
        <v>59.081313716756434</v>
      </c>
      <c r="H671" s="10">
        <v>55.469070000000002</v>
      </c>
      <c r="I671" s="10">
        <v>61.950617283950614</v>
      </c>
      <c r="J671" s="10">
        <v>75.560318554956453</v>
      </c>
      <c r="K671" s="10">
        <v>72.939893477477071</v>
      </c>
      <c r="L671" s="10">
        <v>68.480333333333334</v>
      </c>
      <c r="M671" s="10">
        <v>13.609701271005839</v>
      </c>
      <c r="N671" s="10">
        <v>10.989276193526457</v>
      </c>
      <c r="O671" s="10">
        <v>6.5297160493827207</v>
      </c>
      <c r="P671" s="5">
        <v>0.33589480616729883</v>
      </c>
      <c r="Q671" s="5">
        <v>0.31203628621290819</v>
      </c>
      <c r="R671" s="5">
        <v>0.26723487521964945</v>
      </c>
    </row>
    <row r="672" spans="1:18">
      <c r="A672" t="s">
        <v>3046</v>
      </c>
      <c r="B672" t="s">
        <v>122</v>
      </c>
      <c r="C672" s="10">
        <v>59.86</v>
      </c>
      <c r="D672" s="10">
        <v>50</v>
      </c>
      <c r="E672" s="10">
        <v>0.19</v>
      </c>
      <c r="F672" s="10">
        <v>55.578685230357422</v>
      </c>
      <c r="G672" s="10">
        <v>53.09531899615677</v>
      </c>
      <c r="H672" s="10">
        <v>54.061832000000003</v>
      </c>
      <c r="I672" s="10">
        <v>73.901234567901227</v>
      </c>
      <c r="J672" s="10">
        <v>68.615660778219038</v>
      </c>
      <c r="K672" s="10">
        <v>65.549776538465139</v>
      </c>
      <c r="L672" s="10">
        <v>66.743002469135803</v>
      </c>
      <c r="M672" s="10">
        <v>5.2855737896821893</v>
      </c>
      <c r="N672" s="10">
        <v>8.3514580294360883</v>
      </c>
      <c r="O672" s="10">
        <v>7.1582320987654242</v>
      </c>
      <c r="P672" s="5">
        <v>0.12760440807411688</v>
      </c>
      <c r="Q672" s="5">
        <v>8.6800853319863452E-2</v>
      </c>
      <c r="R672" s="5">
        <v>0.10312695285649959</v>
      </c>
    </row>
    <row r="673" spans="1:18">
      <c r="A673" t="s">
        <v>3047</v>
      </c>
      <c r="B673" t="s">
        <v>122</v>
      </c>
      <c r="C673" s="10">
        <v>122.03</v>
      </c>
      <c r="D673" s="10">
        <v>60</v>
      </c>
      <c r="E673" s="10">
        <v>0.19</v>
      </c>
      <c r="F673" s="10">
        <v>145.88594653850612</v>
      </c>
      <c r="G673" s="10">
        <v>139.5394411297035</v>
      </c>
      <c r="H673" s="10">
        <v>137.04388</v>
      </c>
      <c r="I673" s="10">
        <v>150.6543209876543</v>
      </c>
      <c r="J673" s="10">
        <v>180.10610683766186</v>
      </c>
      <c r="K673" s="10">
        <v>172.2709149749426</v>
      </c>
      <c r="L673" s="10">
        <v>169.18997530864198</v>
      </c>
      <c r="M673" s="10">
        <v>29.451785850007553</v>
      </c>
      <c r="N673" s="10">
        <v>21.616593987288297</v>
      </c>
      <c r="O673" s="10">
        <v>18.535654320987675</v>
      </c>
      <c r="P673" s="5">
        <v>0.32245495645524441</v>
      </c>
      <c r="Q673" s="5">
        <v>0.29163898608334621</v>
      </c>
      <c r="R673" s="5">
        <v>0.27873977298366043</v>
      </c>
    </row>
    <row r="674" spans="1:18">
      <c r="A674" t="s">
        <v>3048</v>
      </c>
      <c r="B674" t="s">
        <v>122</v>
      </c>
      <c r="C674" s="10">
        <v>83.96</v>
      </c>
      <c r="D674" s="10">
        <v>50</v>
      </c>
      <c r="E674" s="10">
        <v>0.19</v>
      </c>
      <c r="F674" s="10">
        <v>84.516013385455295</v>
      </c>
      <c r="G674" s="10">
        <v>81.276287271062216</v>
      </c>
      <c r="H674" s="10">
        <v>77.864949999999993</v>
      </c>
      <c r="I674" s="10">
        <v>103.6543209876543</v>
      </c>
      <c r="J674" s="10">
        <v>104.34075726599418</v>
      </c>
      <c r="K674" s="10">
        <v>100.34109539637311</v>
      </c>
      <c r="L674" s="10">
        <v>96.129567901234552</v>
      </c>
      <c r="M674" s="10">
        <v>0.68643627833988319</v>
      </c>
      <c r="N674" s="10">
        <v>3.3132255912811956</v>
      </c>
      <c r="O674" s="10">
        <v>7.52475308641975</v>
      </c>
      <c r="P674" s="5">
        <v>0.1953288226003369</v>
      </c>
      <c r="Q674" s="5">
        <v>0.16325410173831148</v>
      </c>
      <c r="R674" s="5">
        <v>0.12659547074774971</v>
      </c>
    </row>
    <row r="675" spans="1:18">
      <c r="A675" t="s">
        <v>3049</v>
      </c>
      <c r="B675" t="s">
        <v>122</v>
      </c>
      <c r="C675" s="10">
        <v>145.12</v>
      </c>
      <c r="D675" s="10">
        <v>50</v>
      </c>
      <c r="E675" s="10">
        <v>0.19</v>
      </c>
      <c r="F675" s="10">
        <v>154.75405388531743</v>
      </c>
      <c r="G675" s="10">
        <v>149.99968629426141</v>
      </c>
      <c r="H675" s="10">
        <v>146.18259</v>
      </c>
      <c r="I675" s="10">
        <v>179.16049382716048</v>
      </c>
      <c r="J675" s="10">
        <v>191.05438751273755</v>
      </c>
      <c r="K675" s="10">
        <v>185.18479789414988</v>
      </c>
      <c r="L675" s="10">
        <v>180.47233333333332</v>
      </c>
      <c r="M675" s="10">
        <v>11.893893685577069</v>
      </c>
      <c r="N675" s="10">
        <v>6.0243040669894015</v>
      </c>
      <c r="O675" s="10">
        <v>1.3118395061728449</v>
      </c>
      <c r="P675" s="5">
        <v>0.24042571390659695</v>
      </c>
      <c r="Q675" s="5">
        <v>0.21635036109740816</v>
      </c>
      <c r="R675" s="5">
        <v>0.19588782768180527</v>
      </c>
    </row>
    <row r="676" spans="1:18">
      <c r="A676" t="s">
        <v>3050</v>
      </c>
      <c r="B676" t="s">
        <v>122</v>
      </c>
      <c r="C676" s="10">
        <v>153.87</v>
      </c>
      <c r="D676" s="10">
        <v>50</v>
      </c>
      <c r="E676" s="10">
        <v>0.19</v>
      </c>
      <c r="F676" s="10">
        <v>147.37307074375025</v>
      </c>
      <c r="G676" s="10">
        <v>159.50165680044574</v>
      </c>
      <c r="H676" s="10">
        <v>161.68170000000001</v>
      </c>
      <c r="I676" s="10">
        <v>189.96296296296296</v>
      </c>
      <c r="J676" s="10">
        <v>181.94206264660522</v>
      </c>
      <c r="K676" s="10">
        <v>196.91562567956262</v>
      </c>
      <c r="L676" s="10">
        <v>199.60703703703703</v>
      </c>
      <c r="M676" s="10">
        <v>8.0209003163577393</v>
      </c>
      <c r="N676" s="10">
        <v>6.9526627165996615</v>
      </c>
      <c r="O676" s="10">
        <v>9.6440740740740694</v>
      </c>
      <c r="P676" s="5">
        <v>0.15429121907412321</v>
      </c>
      <c r="Q676" s="5">
        <v>0.21859933934145998</v>
      </c>
      <c r="R676" s="5">
        <v>0.22913539380152481</v>
      </c>
    </row>
    <row r="677" spans="1:18">
      <c r="A677" t="s">
        <v>3051</v>
      </c>
      <c r="B677" t="s">
        <v>122</v>
      </c>
      <c r="C677" s="10">
        <v>44.14</v>
      </c>
      <c r="D677" s="10">
        <v>50</v>
      </c>
      <c r="E677" s="10">
        <v>0.19</v>
      </c>
      <c r="F677" s="10">
        <v>55.320169339415145</v>
      </c>
      <c r="G677" s="10">
        <v>49.501235121345644</v>
      </c>
      <c r="H677" s="10">
        <v>50.086790000000001</v>
      </c>
      <c r="I677" s="10">
        <v>54.493827160493822</v>
      </c>
      <c r="J677" s="10">
        <v>68.296505357302649</v>
      </c>
      <c r="K677" s="10">
        <v>61.112635952278566</v>
      </c>
      <c r="L677" s="10">
        <v>61.835543209876541</v>
      </c>
      <c r="M677" s="10">
        <v>13.802678196808827</v>
      </c>
      <c r="N677" s="10">
        <v>6.618808791784744</v>
      </c>
      <c r="O677" s="10">
        <v>7.3417160493827183</v>
      </c>
      <c r="P677" s="5">
        <v>0.35370045994190386</v>
      </c>
      <c r="Q677" s="5">
        <v>0.27772711302343595</v>
      </c>
      <c r="R677" s="5">
        <v>0.2861710642666459</v>
      </c>
    </row>
    <row r="678" spans="1:18">
      <c r="A678" t="s">
        <v>3052</v>
      </c>
      <c r="B678" t="s">
        <v>122</v>
      </c>
      <c r="C678" s="10">
        <v>69.78</v>
      </c>
      <c r="D678" s="10">
        <v>50</v>
      </c>
      <c r="E678" s="10">
        <v>0.19</v>
      </c>
      <c r="F678" s="10">
        <v>76.1733993601284</v>
      </c>
      <c r="G678" s="10">
        <v>83.71544664224659</v>
      </c>
      <c r="H678" s="10">
        <v>74.412880000000001</v>
      </c>
      <c r="I678" s="10">
        <v>86.148148148148138</v>
      </c>
      <c r="J678" s="10">
        <v>94.041233777936284</v>
      </c>
      <c r="K678" s="10">
        <v>103.35240326203282</v>
      </c>
      <c r="L678" s="10">
        <v>91.867753086419754</v>
      </c>
      <c r="M678" s="10">
        <v>7.8930856297881462</v>
      </c>
      <c r="N678" s="10">
        <v>17.204255113884685</v>
      </c>
      <c r="O678" s="10">
        <v>5.7196049382716154</v>
      </c>
      <c r="P678" s="5">
        <v>0.25798506467094429</v>
      </c>
      <c r="Q678" s="5">
        <v>0.32483427769856088</v>
      </c>
      <c r="R678" s="5">
        <v>0.24042988256871659</v>
      </c>
    </row>
    <row r="679" spans="1:18">
      <c r="A679" t="s">
        <v>3053</v>
      </c>
      <c r="B679" t="s">
        <v>122</v>
      </c>
      <c r="C679" s="10">
        <v>116.74</v>
      </c>
      <c r="D679" s="10">
        <v>60</v>
      </c>
      <c r="E679" s="10">
        <v>0.19</v>
      </c>
      <c r="F679" s="10">
        <v>105.89997845485901</v>
      </c>
      <c r="G679" s="10">
        <v>103.47795913438416</v>
      </c>
      <c r="H679" s="10">
        <v>108.94264</v>
      </c>
      <c r="I679" s="10">
        <v>144.12345679012344</v>
      </c>
      <c r="J679" s="10">
        <v>130.74071414180125</v>
      </c>
      <c r="K679" s="10">
        <v>127.75056683257303</v>
      </c>
      <c r="L679" s="10">
        <v>134.49708641975306</v>
      </c>
      <c r="M679" s="10">
        <v>13.382742648322193</v>
      </c>
      <c r="N679" s="10">
        <v>16.372889957550413</v>
      </c>
      <c r="O679" s="10">
        <v>9.6263703703703811</v>
      </c>
      <c r="P679" s="5">
        <v>0.10708763703566812</v>
      </c>
      <c r="Q679" s="5">
        <v>8.6188007658731025E-2</v>
      </c>
      <c r="R679" s="5">
        <v>0.13202580734228569</v>
      </c>
    </row>
    <row r="680" spans="1:18">
      <c r="A680" t="s">
        <v>3054</v>
      </c>
      <c r="B680" t="s">
        <v>122</v>
      </c>
      <c r="C680" s="10">
        <v>50.82</v>
      </c>
      <c r="D680" s="10">
        <v>50</v>
      </c>
      <c r="E680" s="10">
        <v>0.19</v>
      </c>
      <c r="F680" s="10">
        <v>52.516889326691356</v>
      </c>
      <c r="G680" s="10">
        <v>48.359168364285587</v>
      </c>
      <c r="H680" s="10">
        <v>48.867637999999999</v>
      </c>
      <c r="I680" s="10">
        <v>62.74074074074074</v>
      </c>
      <c r="J680" s="10">
        <v>64.835665835421423</v>
      </c>
      <c r="K680" s="10">
        <v>59.702676992945165</v>
      </c>
      <c r="L680" s="10">
        <v>60.330417283950609</v>
      </c>
      <c r="M680" s="10">
        <v>2.0949250946806828</v>
      </c>
      <c r="N680" s="10">
        <v>3.0380637477955759</v>
      </c>
      <c r="O680" s="10">
        <v>2.410323456790131</v>
      </c>
      <c r="P680" s="5">
        <v>0.21617215856159677</v>
      </c>
      <c r="Q680" s="5">
        <v>0.14878188785395327</v>
      </c>
      <c r="R680" s="5">
        <v>0.15763884475038459</v>
      </c>
    </row>
    <row r="681" spans="1:18">
      <c r="A681" t="s">
        <v>3055</v>
      </c>
      <c r="B681" t="s">
        <v>122</v>
      </c>
      <c r="C681" s="10">
        <v>65.67</v>
      </c>
      <c r="D681" s="10">
        <v>50</v>
      </c>
      <c r="E681" s="10">
        <v>0.19</v>
      </c>
      <c r="F681" s="10">
        <v>68.307586388376535</v>
      </c>
      <c r="G681" s="10">
        <v>63.432103969131077</v>
      </c>
      <c r="H681" s="10">
        <v>64.424210000000002</v>
      </c>
      <c r="I681" s="10">
        <v>81.074074074074076</v>
      </c>
      <c r="J681" s="10">
        <v>84.330353565896957</v>
      </c>
      <c r="K681" s="10">
        <v>78.31123946806305</v>
      </c>
      <c r="L681" s="10">
        <v>79.536061728395055</v>
      </c>
      <c r="M681" s="10">
        <v>3.2562794918228803</v>
      </c>
      <c r="N681" s="10">
        <v>2.762834606011026</v>
      </c>
      <c r="O681" s="10">
        <v>1.5380123456790216</v>
      </c>
      <c r="P681" s="5">
        <v>0.22127683303634538</v>
      </c>
      <c r="Q681" s="5">
        <v>0.1614230543907865</v>
      </c>
      <c r="R681" s="5">
        <v>0.17433679047053885</v>
      </c>
    </row>
    <row r="682" spans="1:18">
      <c r="A682" t="s">
        <v>3056</v>
      </c>
      <c r="B682" t="s">
        <v>122</v>
      </c>
      <c r="C682" s="10">
        <v>222.15</v>
      </c>
      <c r="D682" s="10">
        <v>60</v>
      </c>
      <c r="E682" s="10">
        <v>0.19</v>
      </c>
      <c r="F682" s="10">
        <v>217.96774496960302</v>
      </c>
      <c r="G682" s="10">
        <v>160.1976891483516</v>
      </c>
      <c r="H682" s="10">
        <v>191.53847999999999</v>
      </c>
      <c r="I682" s="10">
        <v>274.25925925925924</v>
      </c>
      <c r="J682" s="10">
        <v>269.09598144395432</v>
      </c>
      <c r="K682" s="10">
        <v>197.77492487450814</v>
      </c>
      <c r="L682" s="10">
        <v>236.46725925925924</v>
      </c>
      <c r="M682" s="10">
        <v>5.163277815304923</v>
      </c>
      <c r="N682" s="10">
        <v>76.484334384751094</v>
      </c>
      <c r="O682" s="10">
        <v>37.792000000000002</v>
      </c>
      <c r="P682" s="5">
        <v>0.17445812899934343</v>
      </c>
      <c r="Q682" s="5">
        <v>-0.12324653967614094</v>
      </c>
      <c r="R682" s="5">
        <v>6.0546476091905804E-2</v>
      </c>
    </row>
    <row r="683" spans="1:18">
      <c r="A683" t="s">
        <v>3057</v>
      </c>
      <c r="B683" t="s">
        <v>122</v>
      </c>
      <c r="C683" s="10">
        <v>77.02</v>
      </c>
      <c r="D683" s="10">
        <v>50</v>
      </c>
      <c r="E683" s="10">
        <v>0.19</v>
      </c>
      <c r="F683" s="10">
        <v>87.742017334761087</v>
      </c>
      <c r="G683" s="10">
        <v>85.098114682539659</v>
      </c>
      <c r="H683" s="10">
        <v>82.383489999999995</v>
      </c>
      <c r="I683" s="10">
        <v>95.086419753086403</v>
      </c>
      <c r="J683" s="10">
        <v>108.32347819106306</v>
      </c>
      <c r="K683" s="10">
        <v>105.05940084264155</v>
      </c>
      <c r="L683" s="10">
        <v>101.70801234567899</v>
      </c>
      <c r="M683" s="10">
        <v>13.237058437976657</v>
      </c>
      <c r="N683" s="10">
        <v>9.9729810895551481</v>
      </c>
      <c r="O683" s="10">
        <v>6.6215925925925916</v>
      </c>
      <c r="P683" s="5">
        <v>0.28898147210385344</v>
      </c>
      <c r="Q683" s="5">
        <v>0.26689092663529557</v>
      </c>
      <c r="R683" s="5">
        <v>0.24273419346521971</v>
      </c>
    </row>
    <row r="684" spans="1:18">
      <c r="A684" t="s">
        <v>3058</v>
      </c>
      <c r="B684" t="s">
        <v>122</v>
      </c>
      <c r="C684" s="10">
        <v>65.83</v>
      </c>
      <c r="D684" s="10">
        <v>50</v>
      </c>
      <c r="E684" s="10">
        <v>0.19</v>
      </c>
      <c r="F684" s="10">
        <v>64.791799817832938</v>
      </c>
      <c r="G684" s="10">
        <v>58.452874909391312</v>
      </c>
      <c r="H684" s="10">
        <v>58.672015999999999</v>
      </c>
      <c r="I684" s="10">
        <v>81.271604938271594</v>
      </c>
      <c r="J684" s="10">
        <v>79.98987631831227</v>
      </c>
      <c r="K684" s="10">
        <v>72.164043098013963</v>
      </c>
      <c r="L684" s="10">
        <v>72.434587654320978</v>
      </c>
      <c r="M684" s="10">
        <v>1.2817286199593241</v>
      </c>
      <c r="N684" s="10">
        <v>9.107561840257631</v>
      </c>
      <c r="O684" s="10">
        <v>8.8370172839506154</v>
      </c>
      <c r="P684" s="5">
        <v>0.17702085526378813</v>
      </c>
      <c r="Q684" s="5">
        <v>8.7772841239105753E-2</v>
      </c>
      <c r="R684" s="5">
        <v>9.1180026948451787E-2</v>
      </c>
    </row>
    <row r="685" spans="1:18">
      <c r="A685" t="s">
        <v>3059</v>
      </c>
      <c r="B685" t="s">
        <v>122</v>
      </c>
      <c r="C685" s="10">
        <v>53.55</v>
      </c>
      <c r="D685" s="10">
        <v>50</v>
      </c>
      <c r="E685" s="10">
        <v>0.19</v>
      </c>
      <c r="F685" s="10">
        <v>56.726554875840243</v>
      </c>
      <c r="G685" s="10">
        <v>52.119677809667309</v>
      </c>
      <c r="H685" s="10">
        <v>54.543895999999997</v>
      </c>
      <c r="I685" s="10">
        <v>66.1111111111111</v>
      </c>
      <c r="J685" s="10">
        <v>70.032783797333636</v>
      </c>
      <c r="K685" s="10">
        <v>64.34528124650285</v>
      </c>
      <c r="L685" s="10">
        <v>67.338143209876534</v>
      </c>
      <c r="M685" s="10">
        <v>3.9216726862225357</v>
      </c>
      <c r="N685" s="10">
        <v>1.76582986460825</v>
      </c>
      <c r="O685" s="10">
        <v>1.2270320987654344</v>
      </c>
      <c r="P685" s="5">
        <v>0.23535811235253495</v>
      </c>
      <c r="Q685" s="5">
        <v>0.16777114090381839</v>
      </c>
      <c r="R685" s="5">
        <v>0.20475977733603767</v>
      </c>
    </row>
    <row r="686" spans="1:18">
      <c r="A686" t="s">
        <v>3060</v>
      </c>
      <c r="B686" t="s">
        <v>122</v>
      </c>
      <c r="C686" s="10">
        <v>84.04</v>
      </c>
      <c r="D686" s="10">
        <v>50</v>
      </c>
      <c r="E686" s="10">
        <v>0.19</v>
      </c>
      <c r="F686" s="10">
        <v>87.369282530406323</v>
      </c>
      <c r="G686" s="10">
        <v>78.511008408448845</v>
      </c>
      <c r="H686" s="10">
        <v>81.239684999999994</v>
      </c>
      <c r="I686" s="10">
        <v>103.75308641975309</v>
      </c>
      <c r="J686" s="10">
        <v>107.86331176593373</v>
      </c>
      <c r="K686" s="10">
        <v>96.927170874628203</v>
      </c>
      <c r="L686" s="10">
        <v>100.2959074074074</v>
      </c>
      <c r="M686" s="10">
        <v>4.1102253461806413</v>
      </c>
      <c r="N686" s="10">
        <v>6.8259155451248859</v>
      </c>
      <c r="O686" s="10">
        <v>3.4571790123456907</v>
      </c>
      <c r="P686" s="5">
        <v>0.22086575477703621</v>
      </c>
      <c r="Q686" s="5">
        <v>0.13295725809739445</v>
      </c>
      <c r="R686" s="5">
        <v>0.16207946891965408</v>
      </c>
    </row>
    <row r="687" spans="1:18">
      <c r="A687" t="s">
        <v>3061</v>
      </c>
      <c r="B687" t="s">
        <v>122</v>
      </c>
      <c r="C687" s="10">
        <v>117.81</v>
      </c>
      <c r="D687" s="10">
        <v>60</v>
      </c>
      <c r="E687" s="10">
        <v>0.19</v>
      </c>
      <c r="F687" s="10">
        <v>135.99003404558849</v>
      </c>
      <c r="G687" s="10">
        <v>129.38425097680096</v>
      </c>
      <c r="H687" s="10">
        <v>121.939476</v>
      </c>
      <c r="I687" s="10">
        <v>145.44444444444443</v>
      </c>
      <c r="J687" s="10">
        <v>167.88893092047959</v>
      </c>
      <c r="K687" s="10">
        <v>159.73364318123575</v>
      </c>
      <c r="L687" s="10">
        <v>150.54256296296296</v>
      </c>
      <c r="M687" s="10">
        <v>22.444486476035166</v>
      </c>
      <c r="N687" s="10">
        <v>14.28919873679132</v>
      </c>
      <c r="O687" s="10">
        <v>5.0981185185185325</v>
      </c>
      <c r="P687" s="5">
        <v>0.29828607905186688</v>
      </c>
      <c r="Q687" s="5">
        <v>0.26245969444062994</v>
      </c>
      <c r="R687" s="5">
        <v>0.21743062107303132</v>
      </c>
    </row>
    <row r="688" spans="1:18">
      <c r="A688" t="s">
        <v>3062</v>
      </c>
      <c r="B688" t="s">
        <v>122</v>
      </c>
      <c r="C688" s="10">
        <v>192.62</v>
      </c>
      <c r="D688" s="10">
        <v>60</v>
      </c>
      <c r="E688" s="10">
        <v>0.19</v>
      </c>
      <c r="F688" s="10">
        <v>197.4983447605901</v>
      </c>
      <c r="G688" s="10">
        <v>192.1135195360196</v>
      </c>
      <c r="H688" s="10">
        <v>192.80061000000001</v>
      </c>
      <c r="I688" s="10">
        <v>237.80246913580245</v>
      </c>
      <c r="J688" s="10">
        <v>243.82511698838283</v>
      </c>
      <c r="K688" s="10">
        <v>237.17718461236984</v>
      </c>
      <c r="L688" s="10">
        <v>238.02544444444445</v>
      </c>
      <c r="M688" s="10">
        <v>6.022647852580377</v>
      </c>
      <c r="N688" s="10">
        <v>0.62528452343261165</v>
      </c>
      <c r="O688" s="10">
        <v>0.22297530864199189</v>
      </c>
      <c r="P688" s="5">
        <v>0.21000755632087945</v>
      </c>
      <c r="Q688" s="5">
        <v>0.18786454812334416</v>
      </c>
      <c r="R688" s="5">
        <v>0.19075878442500777</v>
      </c>
    </row>
    <row r="689" spans="1:18">
      <c r="A689" t="s">
        <v>3063</v>
      </c>
      <c r="B689" t="s">
        <v>122</v>
      </c>
      <c r="C689" s="10">
        <v>112.34</v>
      </c>
      <c r="D689" s="10">
        <v>60</v>
      </c>
      <c r="E689" s="10">
        <v>0.19</v>
      </c>
      <c r="F689" s="10">
        <v>105.21314030899808</v>
      </c>
      <c r="G689" s="10">
        <v>100.93086676286681</v>
      </c>
      <c r="H689" s="10">
        <v>105.18029</v>
      </c>
      <c r="I689" s="10">
        <v>138.69135802469134</v>
      </c>
      <c r="J689" s="10">
        <v>129.89276581357785</v>
      </c>
      <c r="K689" s="10">
        <v>124.60600834921829</v>
      </c>
      <c r="L689" s="10">
        <v>129.85220987654321</v>
      </c>
      <c r="M689" s="10">
        <v>8.7985922111134869</v>
      </c>
      <c r="N689" s="10">
        <v>14.085349675473054</v>
      </c>
      <c r="O689" s="10">
        <v>8.8391481481481264</v>
      </c>
      <c r="P689" s="5">
        <v>0.13513274356456145</v>
      </c>
      <c r="Q689" s="5">
        <v>9.8438337859614394E-2</v>
      </c>
      <c r="R689" s="5">
        <v>0.13486262492716078</v>
      </c>
    </row>
    <row r="690" spans="1:18">
      <c r="A690" t="s">
        <v>3064</v>
      </c>
      <c r="B690" t="s">
        <v>122</v>
      </c>
      <c r="C690" s="10">
        <v>81.91</v>
      </c>
      <c r="D690" s="10">
        <v>60</v>
      </c>
      <c r="E690" s="10">
        <v>0.19</v>
      </c>
      <c r="F690" s="10">
        <v>78.547639468676394</v>
      </c>
      <c r="G690" s="10">
        <v>79.341264223374182</v>
      </c>
      <c r="H690" s="10">
        <v>77.127110000000002</v>
      </c>
      <c r="I690" s="10">
        <v>101.12345679012344</v>
      </c>
      <c r="J690" s="10">
        <v>96.972394405773315</v>
      </c>
      <c r="K690" s="10">
        <v>97.952178053548366</v>
      </c>
      <c r="L690" s="10">
        <v>95.218654320987653</v>
      </c>
      <c r="M690" s="10">
        <v>4.1510623843501264</v>
      </c>
      <c r="N690" s="10">
        <v>3.1712787365750756</v>
      </c>
      <c r="O690" s="10">
        <v>5.9048024691357881</v>
      </c>
      <c r="P690" s="5">
        <v>0.15532662154082655</v>
      </c>
      <c r="Q690" s="5">
        <v>0.16377561349149841</v>
      </c>
      <c r="R690" s="5">
        <v>0.13976940144652122</v>
      </c>
    </row>
    <row r="691" spans="1:18">
      <c r="A691" t="s">
        <v>3065</v>
      </c>
      <c r="B691" t="s">
        <v>122</v>
      </c>
      <c r="C691" s="10">
        <v>108.21</v>
      </c>
      <c r="D691" s="10">
        <v>50</v>
      </c>
      <c r="E691" s="10">
        <v>0.19</v>
      </c>
      <c r="F691" s="10">
        <v>107.14696492578642</v>
      </c>
      <c r="G691" s="10">
        <v>103.03158238705738</v>
      </c>
      <c r="H691" s="10">
        <v>106.06251</v>
      </c>
      <c r="I691" s="10">
        <v>133.59259259259258</v>
      </c>
      <c r="J691" s="10">
        <v>132.280203612082</v>
      </c>
      <c r="K691" s="10">
        <v>127.19948442846589</v>
      </c>
      <c r="L691" s="10">
        <v>130.94137037037038</v>
      </c>
      <c r="M691" s="10">
        <v>1.3123889805105762</v>
      </c>
      <c r="N691" s="10">
        <v>6.3931081641266871</v>
      </c>
      <c r="O691" s="10">
        <v>2.6512222222222022</v>
      </c>
      <c r="P691" s="5">
        <v>0.1819637629427078</v>
      </c>
      <c r="Q691" s="5">
        <v>0.14928900469832609</v>
      </c>
      <c r="R691" s="5">
        <v>0.17359960649620693</v>
      </c>
    </row>
    <row r="692" spans="1:18">
      <c r="A692" t="s">
        <v>3066</v>
      </c>
      <c r="B692" t="s">
        <v>122</v>
      </c>
      <c r="C692" s="10">
        <v>51.85</v>
      </c>
      <c r="D692" s="10">
        <v>50</v>
      </c>
      <c r="E692" s="10">
        <v>0.19</v>
      </c>
      <c r="F692" s="10">
        <v>57.49423707084506</v>
      </c>
      <c r="G692" s="10">
        <v>55.738571600241848</v>
      </c>
      <c r="H692" s="10">
        <v>54.890560000000001</v>
      </c>
      <c r="I692" s="10">
        <v>64.012345679012341</v>
      </c>
      <c r="J692" s="10">
        <v>70.980539593635868</v>
      </c>
      <c r="K692" s="10">
        <v>68.813051358323264</v>
      </c>
      <c r="L692" s="10">
        <v>67.766123456790126</v>
      </c>
      <c r="M692" s="10">
        <v>6.9681939146235266</v>
      </c>
      <c r="N692" s="10">
        <v>4.8007056793109228</v>
      </c>
      <c r="O692" s="10">
        <v>3.7537777777777848</v>
      </c>
      <c r="P692" s="5">
        <v>0.26951809190460302</v>
      </c>
      <c r="Q692" s="5">
        <v>0.24650921625308075</v>
      </c>
      <c r="R692" s="5">
        <v>0.23486843639416324</v>
      </c>
    </row>
    <row r="693" spans="1:18">
      <c r="A693" t="s">
        <v>3067</v>
      </c>
      <c r="B693" t="s">
        <v>122</v>
      </c>
      <c r="C693" s="10">
        <v>128.9</v>
      </c>
      <c r="D693" s="10">
        <v>119</v>
      </c>
      <c r="E693" s="10">
        <v>0.19</v>
      </c>
      <c r="F693" s="10">
        <v>148.44027026483627</v>
      </c>
      <c r="G693" s="10">
        <v>135.58995984015988</v>
      </c>
      <c r="H693" s="10">
        <v>135.39642000000001</v>
      </c>
      <c r="I693" s="10">
        <v>159.1358024691358</v>
      </c>
      <c r="J693" s="10">
        <v>183.25959291955095</v>
      </c>
      <c r="K693" s="10">
        <v>167.39501214834553</v>
      </c>
      <c r="L693" s="10">
        <v>167.15607407407407</v>
      </c>
      <c r="M693" s="10">
        <v>24.123790450415157</v>
      </c>
      <c r="N693" s="10">
        <v>8.2592096792097323</v>
      </c>
      <c r="O693" s="10">
        <v>8.020271604938273</v>
      </c>
      <c r="P693" s="5">
        <v>0.29662617958239296</v>
      </c>
      <c r="Q693" s="5">
        <v>0.2299651086033031</v>
      </c>
      <c r="R693" s="5">
        <v>0.2288643968577603</v>
      </c>
    </row>
    <row r="694" spans="1:18">
      <c r="A694" t="s">
        <v>3068</v>
      </c>
      <c r="B694" t="s">
        <v>122</v>
      </c>
      <c r="C694" s="10">
        <v>99.41</v>
      </c>
      <c r="D694" s="10">
        <v>50</v>
      </c>
      <c r="E694" s="10">
        <v>0.19</v>
      </c>
      <c r="F694" s="10">
        <v>104.57271961885249</v>
      </c>
      <c r="G694" s="10">
        <v>99.477624872214491</v>
      </c>
      <c r="H694" s="10">
        <v>97.221199999999996</v>
      </c>
      <c r="I694" s="10">
        <v>122.72839506172838</v>
      </c>
      <c r="J694" s="10">
        <v>129.10212298623765</v>
      </c>
      <c r="K694" s="10">
        <v>122.81188255828948</v>
      </c>
      <c r="L694" s="10">
        <v>120.02617283950616</v>
      </c>
      <c r="M694" s="10">
        <v>6.373727924509268</v>
      </c>
      <c r="N694" s="10">
        <v>8.348749656110499E-2</v>
      </c>
      <c r="O694" s="10">
        <v>2.7022222222222183</v>
      </c>
      <c r="P694" s="5">
        <v>0.2299894246464316</v>
      </c>
      <c r="Q694" s="5">
        <v>0.19055063786016299</v>
      </c>
      <c r="R694" s="5">
        <v>0.17176397740410521</v>
      </c>
    </row>
    <row r="695" spans="1:18">
      <c r="A695" t="s">
        <v>3069</v>
      </c>
      <c r="B695" t="s">
        <v>122</v>
      </c>
      <c r="C695" s="10">
        <v>50.27</v>
      </c>
      <c r="D695" s="10">
        <v>50</v>
      </c>
      <c r="E695" s="10">
        <v>0.19</v>
      </c>
      <c r="F695" s="10">
        <v>58.320147333612134</v>
      </c>
      <c r="G695" s="10">
        <v>54.446626226944709</v>
      </c>
      <c r="H695" s="10">
        <v>52.963009999999997</v>
      </c>
      <c r="I695" s="10">
        <v>62.061728395061728</v>
      </c>
      <c r="J695" s="10">
        <v>72.000181893348312</v>
      </c>
      <c r="K695" s="10">
        <v>67.218057070302109</v>
      </c>
      <c r="L695" s="10">
        <v>65.386432098765425</v>
      </c>
      <c r="M695" s="10">
        <v>9.9384534982865844</v>
      </c>
      <c r="N695" s="10">
        <v>5.1563286752403812</v>
      </c>
      <c r="O695" s="10">
        <v>3.3247037037036975</v>
      </c>
      <c r="P695" s="5">
        <v>0.30180731939728389</v>
      </c>
      <c r="Q695" s="5">
        <v>0.25213547979490764</v>
      </c>
      <c r="R695" s="5">
        <v>0.23118606740817776</v>
      </c>
    </row>
    <row r="696" spans="1:18">
      <c r="A696" t="s">
        <v>3070</v>
      </c>
      <c r="B696" t="s">
        <v>122</v>
      </c>
      <c r="C696" s="10">
        <v>58.74</v>
      </c>
      <c r="D696" s="10">
        <v>50</v>
      </c>
      <c r="E696" s="10">
        <v>0.19</v>
      </c>
      <c r="F696" s="10">
        <v>62.621247983327144</v>
      </c>
      <c r="G696" s="10">
        <v>60.362639286492261</v>
      </c>
      <c r="H696" s="10">
        <v>60.378386999999996</v>
      </c>
      <c r="I696" s="10">
        <v>72.518518518518519</v>
      </c>
      <c r="J696" s="10">
        <v>77.310182695465599</v>
      </c>
      <c r="K696" s="10">
        <v>74.521776896904015</v>
      </c>
      <c r="L696" s="10">
        <v>74.541218518518505</v>
      </c>
      <c r="M696" s="10">
        <v>4.79166417694708</v>
      </c>
      <c r="N696" s="10">
        <v>2.003258378385496</v>
      </c>
      <c r="O696" s="10">
        <v>2.0226999999999862</v>
      </c>
      <c r="P696" s="5">
        <v>0.24020358053758392</v>
      </c>
      <c r="Q696" s="5">
        <v>0.21177402839893453</v>
      </c>
      <c r="R696" s="5">
        <v>0.21197961118106698</v>
      </c>
    </row>
    <row r="697" spans="1:18">
      <c r="A697" t="s">
        <v>3071</v>
      </c>
      <c r="B697" t="s">
        <v>122</v>
      </c>
      <c r="C697" s="10">
        <v>52.21</v>
      </c>
      <c r="D697" s="10">
        <v>50</v>
      </c>
      <c r="E697" s="10">
        <v>0.19</v>
      </c>
      <c r="F697" s="10">
        <v>56.02176101335759</v>
      </c>
      <c r="G697" s="10">
        <v>49.626259429178923</v>
      </c>
      <c r="H697" s="10">
        <v>51.339959999999998</v>
      </c>
      <c r="I697" s="10">
        <v>64.456790123456784</v>
      </c>
      <c r="J697" s="10">
        <v>69.162667917725415</v>
      </c>
      <c r="K697" s="10">
        <v>61.266986949603606</v>
      </c>
      <c r="L697" s="10">
        <v>63.382666666666658</v>
      </c>
      <c r="M697" s="10">
        <v>4.7058777942686305</v>
      </c>
      <c r="N697" s="10">
        <v>3.1898031738531785</v>
      </c>
      <c r="O697" s="10">
        <v>1.0741234567901259</v>
      </c>
      <c r="P697" s="5">
        <v>0.2451129840435303</v>
      </c>
      <c r="Q697" s="5">
        <v>0.14782817632363107</v>
      </c>
      <c r="R697" s="5">
        <v>0.17627321875591631</v>
      </c>
    </row>
    <row r="698" spans="1:18">
      <c r="A698" t="s">
        <v>3072</v>
      </c>
      <c r="B698" t="s">
        <v>122</v>
      </c>
      <c r="C698" s="10">
        <v>51.84</v>
      </c>
      <c r="D698" s="10">
        <v>50</v>
      </c>
      <c r="E698" s="10">
        <v>0.19</v>
      </c>
      <c r="F698" s="10">
        <v>55.309664064325148</v>
      </c>
      <c r="G698" s="10">
        <v>52.18766864303246</v>
      </c>
      <c r="H698" s="10">
        <v>52.789149999999999</v>
      </c>
      <c r="I698" s="10">
        <v>64</v>
      </c>
      <c r="J698" s="10">
        <v>68.283535881882898</v>
      </c>
      <c r="K698" s="10">
        <v>64.429220546953644</v>
      </c>
      <c r="L698" s="10">
        <v>65.171790123456788</v>
      </c>
      <c r="M698" s="10">
        <v>4.2835358818828979</v>
      </c>
      <c r="N698" s="10">
        <v>0.42922054695364409</v>
      </c>
      <c r="O698" s="10">
        <v>1.1717901234567876</v>
      </c>
      <c r="P698" s="5">
        <v>0.24081260101010266</v>
      </c>
      <c r="Q698" s="5">
        <v>0.19539613299805605</v>
      </c>
      <c r="R698" s="5">
        <v>0.20456381661761924</v>
      </c>
    </row>
    <row r="699" spans="1:18">
      <c r="A699" t="s">
        <v>3073</v>
      </c>
      <c r="B699" t="s">
        <v>122</v>
      </c>
      <c r="C699" s="10">
        <v>66.040000000000006</v>
      </c>
      <c r="D699" s="10">
        <v>50</v>
      </c>
      <c r="E699" s="10">
        <v>0.19</v>
      </c>
      <c r="F699" s="10">
        <v>87.447114280842086</v>
      </c>
      <c r="G699" s="10">
        <v>79.495528800066992</v>
      </c>
      <c r="H699" s="10">
        <v>84.120559999999998</v>
      </c>
      <c r="I699" s="10">
        <v>81.53086419753086</v>
      </c>
      <c r="J699" s="10">
        <v>107.95940034671862</v>
      </c>
      <c r="K699" s="10">
        <v>98.142628148230855</v>
      </c>
      <c r="L699" s="10">
        <v>103.85254320987653</v>
      </c>
      <c r="M699" s="10">
        <v>26.428536149187764</v>
      </c>
      <c r="N699" s="10">
        <v>16.611763950699995</v>
      </c>
      <c r="O699" s="10">
        <v>22.321679012345669</v>
      </c>
      <c r="P699" s="5">
        <v>0.38828856229371173</v>
      </c>
      <c r="Q699" s="5">
        <v>0.32710177783036615</v>
      </c>
      <c r="R699" s="5">
        <v>0.36409838450909016</v>
      </c>
    </row>
    <row r="700" spans="1:18">
      <c r="A700" t="s">
        <v>3074</v>
      </c>
      <c r="B700" t="s">
        <v>122</v>
      </c>
      <c r="C700" s="10">
        <v>58.49</v>
      </c>
      <c r="D700" s="10">
        <v>50</v>
      </c>
      <c r="E700" s="10">
        <v>0.19</v>
      </c>
      <c r="F700" s="10">
        <v>58.496513349738336</v>
      </c>
      <c r="G700" s="10">
        <v>58.179820145110405</v>
      </c>
      <c r="H700" s="10">
        <v>57.754719999999999</v>
      </c>
      <c r="I700" s="10">
        <v>72.209876543209873</v>
      </c>
      <c r="J700" s="10">
        <v>72.21791771572633</v>
      </c>
      <c r="K700" s="10">
        <v>71.826938450753588</v>
      </c>
      <c r="L700" s="10">
        <v>71.302123456790113</v>
      </c>
      <c r="M700" s="10">
        <v>8.0411725164566406E-3</v>
      </c>
      <c r="N700" s="10">
        <v>0.38293809245628552</v>
      </c>
      <c r="O700" s="10">
        <v>0.90775308641975982</v>
      </c>
      <c r="P700" s="5">
        <v>0.19009019021794513</v>
      </c>
      <c r="Q700" s="5">
        <v>0.18568156653228005</v>
      </c>
      <c r="R700" s="5">
        <v>0.17968782464879046</v>
      </c>
    </row>
    <row r="701" spans="1:18">
      <c r="A701" t="s">
        <v>3075</v>
      </c>
      <c r="B701" t="s">
        <v>122</v>
      </c>
      <c r="C701" s="10">
        <v>137.26</v>
      </c>
      <c r="D701" s="10">
        <v>50</v>
      </c>
      <c r="E701" s="10">
        <v>0.19</v>
      </c>
      <c r="F701" s="10">
        <v>133.52192454919836</v>
      </c>
      <c r="G701" s="10">
        <v>145.00767873931608</v>
      </c>
      <c r="H701" s="10">
        <v>147.63122999999999</v>
      </c>
      <c r="I701" s="10">
        <v>169.45679012345676</v>
      </c>
      <c r="J701" s="10">
        <v>164.84188215950414</v>
      </c>
      <c r="K701" s="10">
        <v>179.02182560409392</v>
      </c>
      <c r="L701" s="10">
        <v>182.26077777777775</v>
      </c>
      <c r="M701" s="10">
        <v>4.6149079639526178</v>
      </c>
      <c r="N701" s="10">
        <v>9.5650354806371638</v>
      </c>
      <c r="O701" s="10">
        <v>12.803987654320991</v>
      </c>
      <c r="P701" s="5">
        <v>0.16732326638211636</v>
      </c>
      <c r="Q701" s="5">
        <v>0.23327784454868675</v>
      </c>
      <c r="R701" s="5">
        <v>0.24690324669109637</v>
      </c>
    </row>
    <row r="702" spans="1:18">
      <c r="A702" t="s">
        <v>3076</v>
      </c>
      <c r="B702" t="s">
        <v>122</v>
      </c>
      <c r="C702" s="10">
        <v>63.15</v>
      </c>
      <c r="D702" s="10">
        <v>50</v>
      </c>
      <c r="E702" s="10">
        <v>0.19</v>
      </c>
      <c r="F702" s="10">
        <v>67.370148464311711</v>
      </c>
      <c r="G702" s="10">
        <v>63.574078597892118</v>
      </c>
      <c r="H702" s="10">
        <v>65.324259999999995</v>
      </c>
      <c r="I702" s="10">
        <v>77.962962962962962</v>
      </c>
      <c r="J702" s="10">
        <v>83.173022795446556</v>
      </c>
      <c r="K702" s="10">
        <v>78.486516787521126</v>
      </c>
      <c r="L702" s="10">
        <v>80.647234567901222</v>
      </c>
      <c r="M702" s="10">
        <v>5.2100598324835943</v>
      </c>
      <c r="N702" s="10">
        <v>0.52355382455816368</v>
      </c>
      <c r="O702" s="10">
        <v>2.6842716049382602</v>
      </c>
      <c r="P702" s="5">
        <v>0.24073939027911284</v>
      </c>
      <c r="Q702" s="5">
        <v>0.19540320319017571</v>
      </c>
      <c r="R702" s="5">
        <v>0.2169601308916472</v>
      </c>
    </row>
    <row r="703" spans="1:18">
      <c r="A703" t="s">
        <v>3077</v>
      </c>
      <c r="B703" t="s">
        <v>122</v>
      </c>
      <c r="C703" s="10">
        <v>105.4</v>
      </c>
      <c r="D703" s="10">
        <v>50</v>
      </c>
      <c r="E703" s="10">
        <v>0.19</v>
      </c>
      <c r="F703" s="10">
        <v>112.77456371708028</v>
      </c>
      <c r="G703" s="10">
        <v>103.32675401908016</v>
      </c>
      <c r="H703" s="10">
        <v>104.17416</v>
      </c>
      <c r="I703" s="10">
        <v>130.12345679012344</v>
      </c>
      <c r="J703" s="10">
        <v>139.22785644083984</v>
      </c>
      <c r="K703" s="10">
        <v>127.56389385071623</v>
      </c>
      <c r="L703" s="10">
        <v>128.61007407407408</v>
      </c>
      <c r="M703" s="10">
        <v>9.1043996507164024</v>
      </c>
      <c r="N703" s="10">
        <v>2.5595629394072148</v>
      </c>
      <c r="O703" s="10">
        <v>1.5133827160493638</v>
      </c>
      <c r="P703" s="5">
        <v>0.24296758784915889</v>
      </c>
      <c r="Q703" s="5">
        <v>0.17374739184940441</v>
      </c>
      <c r="R703" s="5">
        <v>0.18046855381411281</v>
      </c>
    </row>
    <row r="704" spans="1:18">
      <c r="A704" t="s">
        <v>3078</v>
      </c>
      <c r="B704" t="s">
        <v>122</v>
      </c>
      <c r="C704" s="10">
        <v>61.67</v>
      </c>
      <c r="D704" s="10">
        <v>50</v>
      </c>
      <c r="E704" s="10">
        <v>0.19</v>
      </c>
      <c r="F704" s="10">
        <v>60.433218943882622</v>
      </c>
      <c r="G704" s="10">
        <v>56.094886414385456</v>
      </c>
      <c r="H704" s="10">
        <v>55.380721999999999</v>
      </c>
      <c r="I704" s="10">
        <v>76.135802469135797</v>
      </c>
      <c r="J704" s="10">
        <v>74.6089122763983</v>
      </c>
      <c r="K704" s="10">
        <v>69.252946190599317</v>
      </c>
      <c r="L704" s="10">
        <v>68.371261728395055</v>
      </c>
      <c r="M704" s="10">
        <v>1.5268901927374969</v>
      </c>
      <c r="N704" s="10">
        <v>6.8828562785364795</v>
      </c>
      <c r="O704" s="10">
        <v>7.7645407407407419</v>
      </c>
      <c r="P704" s="5">
        <v>0.17342314586311666</v>
      </c>
      <c r="Q704" s="5">
        <v>0.10949636958013861</v>
      </c>
      <c r="R704" s="5">
        <v>9.8012842808369194E-2</v>
      </c>
    </row>
    <row r="705" spans="1:18">
      <c r="A705" t="s">
        <v>3079</v>
      </c>
      <c r="B705" t="s">
        <v>122</v>
      </c>
      <c r="C705" s="10">
        <v>91.77</v>
      </c>
      <c r="D705" s="10">
        <v>50</v>
      </c>
      <c r="E705" s="10">
        <v>0.19</v>
      </c>
      <c r="F705" s="10">
        <v>103.1860638261692</v>
      </c>
      <c r="G705" s="10">
        <v>100.02562938034183</v>
      </c>
      <c r="H705" s="10">
        <v>98.020583999999999</v>
      </c>
      <c r="I705" s="10">
        <v>113.29629629629629</v>
      </c>
      <c r="J705" s="10">
        <v>127.39020225452987</v>
      </c>
      <c r="K705" s="10">
        <v>123.48843133375533</v>
      </c>
      <c r="L705" s="10">
        <v>121.01306666666666</v>
      </c>
      <c r="M705" s="10">
        <v>14.093905958233577</v>
      </c>
      <c r="N705" s="10">
        <v>10.192135037459039</v>
      </c>
      <c r="O705" s="10">
        <v>7.7167703703703694</v>
      </c>
      <c r="P705" s="5">
        <v>0.27961492818230654</v>
      </c>
      <c r="Q705" s="5">
        <v>0.25685346385224639</v>
      </c>
      <c r="R705" s="5">
        <v>0.24165214114619027</v>
      </c>
    </row>
    <row r="706" spans="1:18">
      <c r="A706" t="s">
        <v>3080</v>
      </c>
      <c r="B706" t="s">
        <v>122</v>
      </c>
      <c r="C706" s="10">
        <v>82.37</v>
      </c>
      <c r="D706" s="10">
        <v>50</v>
      </c>
      <c r="E706" s="10">
        <v>0.19</v>
      </c>
      <c r="F706" s="10">
        <v>86.075800531987426</v>
      </c>
      <c r="G706" s="10">
        <v>77.860838186813112</v>
      </c>
      <c r="H706" s="10">
        <v>82.012050000000002</v>
      </c>
      <c r="I706" s="10">
        <v>101.69135802469135</v>
      </c>
      <c r="J706" s="10">
        <v>106.26642040986101</v>
      </c>
      <c r="K706" s="10">
        <v>96.124491588658159</v>
      </c>
      <c r="L706" s="10">
        <v>101.24944444444444</v>
      </c>
      <c r="M706" s="10">
        <v>4.5750623851696588</v>
      </c>
      <c r="N706" s="10">
        <v>5.5668664360331945</v>
      </c>
      <c r="O706" s="10">
        <v>0.44191358024691851</v>
      </c>
      <c r="P706" s="5">
        <v>0.22487273324625448</v>
      </c>
      <c r="Q706" s="5">
        <v>0.14309039622822892</v>
      </c>
      <c r="R706" s="5">
        <v>0.18646467195979116</v>
      </c>
    </row>
    <row r="707" spans="1:18">
      <c r="A707" t="s">
        <v>3081</v>
      </c>
      <c r="B707" t="s">
        <v>122</v>
      </c>
      <c r="C707" s="10">
        <v>59.23</v>
      </c>
      <c r="D707" s="10">
        <v>50</v>
      </c>
      <c r="E707" s="10">
        <v>0.19</v>
      </c>
      <c r="F707" s="10">
        <v>63.609797332238401</v>
      </c>
      <c r="G707" s="10">
        <v>61.266373339749443</v>
      </c>
      <c r="H707" s="10">
        <v>60.859116</v>
      </c>
      <c r="I707" s="10">
        <v>73.123456790123441</v>
      </c>
      <c r="J707" s="10">
        <v>78.530613990417777</v>
      </c>
      <c r="K707" s="10">
        <v>75.637497950307946</v>
      </c>
      <c r="L707" s="10">
        <v>75.134711111111102</v>
      </c>
      <c r="M707" s="10">
        <v>5.4071572002943356</v>
      </c>
      <c r="N707" s="10">
        <v>2.5140411601845045</v>
      </c>
      <c r="O707" s="10">
        <v>2.0112543209876605</v>
      </c>
      <c r="P707" s="5">
        <v>0.24577184628624985</v>
      </c>
      <c r="Q707" s="5">
        <v>0.21692280145341783</v>
      </c>
      <c r="R707" s="5">
        <v>0.21168260150213153</v>
      </c>
    </row>
    <row r="708" spans="1:18">
      <c r="A708" t="s">
        <v>3082</v>
      </c>
      <c r="B708" t="s">
        <v>122</v>
      </c>
      <c r="C708" s="10">
        <v>61.94</v>
      </c>
      <c r="D708" s="10">
        <v>50</v>
      </c>
      <c r="E708" s="10">
        <v>0.19</v>
      </c>
      <c r="F708" s="10">
        <v>63.806539759240387</v>
      </c>
      <c r="G708" s="10">
        <v>59.76572113612464</v>
      </c>
      <c r="H708" s="10">
        <v>61.442554000000001</v>
      </c>
      <c r="I708" s="10">
        <v>76.469135802469125</v>
      </c>
      <c r="J708" s="10">
        <v>78.773505875605409</v>
      </c>
      <c r="K708" s="10">
        <v>73.784840908795843</v>
      </c>
      <c r="L708" s="10">
        <v>75.855004938271605</v>
      </c>
      <c r="M708" s="10">
        <v>2.3043700731362833</v>
      </c>
      <c r="N708" s="10">
        <v>2.6842948936732824</v>
      </c>
      <c r="O708" s="10">
        <v>0.61413086419752005</v>
      </c>
      <c r="P708" s="5">
        <v>0.21369501951821104</v>
      </c>
      <c r="Q708" s="5">
        <v>0.16053217385718899</v>
      </c>
      <c r="R708" s="5">
        <v>0.18344214662691272</v>
      </c>
    </row>
    <row r="709" spans="1:18">
      <c r="A709" t="s">
        <v>3083</v>
      </c>
      <c r="B709" t="s">
        <v>122</v>
      </c>
      <c r="C709" s="10">
        <v>86.01</v>
      </c>
      <c r="D709" s="10">
        <v>99</v>
      </c>
      <c r="E709" s="10">
        <v>0.19</v>
      </c>
      <c r="F709" s="10">
        <v>88.465264328736012</v>
      </c>
      <c r="G709" s="10">
        <v>88.735635429847946</v>
      </c>
      <c r="H709" s="10">
        <v>85.756979999999999</v>
      </c>
      <c r="I709" s="10">
        <v>106.18518518518519</v>
      </c>
      <c r="J709" s="10">
        <v>109.21637571448889</v>
      </c>
      <c r="K709" s="10">
        <v>109.55016719734314</v>
      </c>
      <c r="L709" s="10">
        <v>105.8728148148148</v>
      </c>
      <c r="M709" s="10">
        <v>3.0311905293037</v>
      </c>
      <c r="N709" s="10">
        <v>3.3649820121579523</v>
      </c>
      <c r="O709" s="10">
        <v>0.31237037037038817</v>
      </c>
      <c r="P709" s="5">
        <v>0.21248073434660106</v>
      </c>
      <c r="Q709" s="5">
        <v>0.21488024892685006</v>
      </c>
      <c r="R709" s="5">
        <v>0.18761015138359569</v>
      </c>
    </row>
    <row r="710" spans="1:18">
      <c r="A710" t="s">
        <v>3084</v>
      </c>
      <c r="B710" t="s">
        <v>122</v>
      </c>
      <c r="C710" s="10">
        <v>187.91</v>
      </c>
      <c r="D710" s="10">
        <v>60</v>
      </c>
      <c r="E710" s="10">
        <v>0.19</v>
      </c>
      <c r="F710" s="10">
        <v>187.61688604007259</v>
      </c>
      <c r="G710" s="10">
        <v>190.73551990232002</v>
      </c>
      <c r="H710" s="10">
        <v>184.33117999999999</v>
      </c>
      <c r="I710" s="10">
        <v>231.98765432098764</v>
      </c>
      <c r="J710" s="10">
        <v>231.62578523465749</v>
      </c>
      <c r="K710" s="10">
        <v>235.47595049669138</v>
      </c>
      <c r="L710" s="10">
        <v>227.56935802469133</v>
      </c>
      <c r="M710" s="10">
        <v>0.36186908633015946</v>
      </c>
      <c r="N710" s="10">
        <v>3.4882961757037378</v>
      </c>
      <c r="O710" s="10">
        <v>4.4182962962963188</v>
      </c>
      <c r="P710" s="5">
        <v>0.18873453657316053</v>
      </c>
      <c r="Q710" s="5">
        <v>0.20199918673800926</v>
      </c>
      <c r="R710" s="5">
        <v>0.17427371755554313</v>
      </c>
    </row>
    <row r="711" spans="1:18">
      <c r="A711" t="s">
        <v>3085</v>
      </c>
      <c r="B711" t="s">
        <v>122</v>
      </c>
      <c r="C711" s="10">
        <v>48.91</v>
      </c>
      <c r="D711" s="10">
        <v>50</v>
      </c>
      <c r="E711" s="10">
        <v>0.19</v>
      </c>
      <c r="F711" s="10">
        <v>54.05543657099264</v>
      </c>
      <c r="G711" s="10">
        <v>52.394304255869969</v>
      </c>
      <c r="H711" s="10">
        <v>53.168370000000003</v>
      </c>
      <c r="I711" s="10">
        <v>60.382716049382708</v>
      </c>
      <c r="J711" s="10">
        <v>66.735106877768686</v>
      </c>
      <c r="K711" s="10">
        <v>64.684326241814773</v>
      </c>
      <c r="L711" s="10">
        <v>65.639962962962969</v>
      </c>
      <c r="M711" s="10">
        <v>6.3523908283859782</v>
      </c>
      <c r="N711" s="10">
        <v>4.3016101924320651</v>
      </c>
      <c r="O711" s="10">
        <v>5.2572469135802606</v>
      </c>
      <c r="P711" s="5">
        <v>0.26710239500203342</v>
      </c>
      <c r="Q711" s="5">
        <v>0.24386628350806819</v>
      </c>
      <c r="R711" s="5">
        <v>0.2548746557398695</v>
      </c>
    </row>
    <row r="712" spans="1:18">
      <c r="A712" t="s">
        <v>3086</v>
      </c>
      <c r="B712" t="s">
        <v>122</v>
      </c>
      <c r="C712" s="10">
        <v>70.260000000000005</v>
      </c>
      <c r="D712" s="10">
        <v>50</v>
      </c>
      <c r="E712" s="10">
        <v>0.19</v>
      </c>
      <c r="F712" s="10">
        <v>66.484086044735733</v>
      </c>
      <c r="G712" s="10">
        <v>62.683149939672766</v>
      </c>
      <c r="H712" s="10">
        <v>63.544080000000001</v>
      </c>
      <c r="I712" s="10">
        <v>86.740740740740748</v>
      </c>
      <c r="J712" s="10">
        <v>82.079118573747806</v>
      </c>
      <c r="K712" s="10">
        <v>77.386604863793536</v>
      </c>
      <c r="L712" s="10">
        <v>78.449481481481484</v>
      </c>
      <c r="M712" s="10">
        <v>4.6616221669929416</v>
      </c>
      <c r="N712" s="10">
        <v>9.3541358769472112</v>
      </c>
      <c r="O712" s="10">
        <v>8.2912592592592631</v>
      </c>
      <c r="P712" s="5">
        <v>0.14399665565521835</v>
      </c>
      <c r="Q712" s="5">
        <v>9.20909358452527E-2</v>
      </c>
      <c r="R712" s="5">
        <v>0.10439178598541356</v>
      </c>
    </row>
    <row r="713" spans="1:18">
      <c r="A713" t="s">
        <v>3087</v>
      </c>
      <c r="B713" t="s">
        <v>122</v>
      </c>
      <c r="C713" s="10">
        <v>58.81</v>
      </c>
      <c r="D713" s="10">
        <v>50</v>
      </c>
      <c r="E713" s="10">
        <v>0.19</v>
      </c>
      <c r="F713" s="10">
        <v>69.591967918467589</v>
      </c>
      <c r="G713" s="10">
        <v>60.696074272870383</v>
      </c>
      <c r="H713" s="10">
        <v>65.834594999999993</v>
      </c>
      <c r="I713" s="10">
        <v>72.604938271604937</v>
      </c>
      <c r="J713" s="10">
        <v>85.916009775885911</v>
      </c>
      <c r="K713" s="10">
        <v>74.933425028235035</v>
      </c>
      <c r="L713" s="10">
        <v>81.277277777777769</v>
      </c>
      <c r="M713" s="10">
        <v>13.311071504280974</v>
      </c>
      <c r="N713" s="10">
        <v>2.3284867566300989</v>
      </c>
      <c r="O713" s="10">
        <v>8.6723395061728326</v>
      </c>
      <c r="P713" s="5">
        <v>0.31549428152672154</v>
      </c>
      <c r="Q713" s="5">
        <v>0.21516999953171365</v>
      </c>
      <c r="R713" s="5">
        <v>0.27642753783174323</v>
      </c>
    </row>
    <row r="714" spans="1:18">
      <c r="A714" t="s">
        <v>3088</v>
      </c>
      <c r="B714" t="s">
        <v>122</v>
      </c>
      <c r="C714" s="10">
        <v>51.44</v>
      </c>
      <c r="D714" s="10">
        <v>50</v>
      </c>
      <c r="E714" s="10">
        <v>0.19</v>
      </c>
      <c r="F714" s="10">
        <v>60.745868522759316</v>
      </c>
      <c r="G714" s="10">
        <v>57.104322942782979</v>
      </c>
      <c r="H714" s="10">
        <v>56.764626</v>
      </c>
      <c r="I714" s="10">
        <v>63.506172839506164</v>
      </c>
      <c r="J714" s="10">
        <v>74.994899410813971</v>
      </c>
      <c r="K714" s="10">
        <v>70.499164126892566</v>
      </c>
      <c r="L714" s="10">
        <v>70.079785185185187</v>
      </c>
      <c r="M714" s="10">
        <v>11.488726571307808</v>
      </c>
      <c r="N714" s="10">
        <v>6.9929912873864026</v>
      </c>
      <c r="O714" s="10">
        <v>6.5736123456790239</v>
      </c>
      <c r="P714" s="5">
        <v>0.31408668583956323</v>
      </c>
      <c r="Q714" s="5">
        <v>0.27034595889091217</v>
      </c>
      <c r="R714" s="5">
        <v>0.26597948518149317</v>
      </c>
    </row>
    <row r="715" spans="1:18">
      <c r="A715" t="s">
        <v>3089</v>
      </c>
      <c r="B715" t="s">
        <v>122</v>
      </c>
      <c r="C715" s="10">
        <v>50.68</v>
      </c>
      <c r="D715" s="10">
        <v>50</v>
      </c>
      <c r="E715" s="10">
        <v>0.19</v>
      </c>
      <c r="F715" s="10">
        <v>55.12200500416624</v>
      </c>
      <c r="G715" s="10">
        <v>49.746799895373094</v>
      </c>
      <c r="H715" s="10">
        <v>51.107483000000002</v>
      </c>
      <c r="I715" s="10">
        <v>62.567901234567898</v>
      </c>
      <c r="J715" s="10">
        <v>68.051858029834861</v>
      </c>
      <c r="K715" s="10">
        <v>61.415802339966781</v>
      </c>
      <c r="L715" s="10">
        <v>63.095658024691353</v>
      </c>
      <c r="M715" s="10">
        <v>5.4839567952669626</v>
      </c>
      <c r="N715" s="10">
        <v>1.1520988946011173</v>
      </c>
      <c r="O715" s="10">
        <v>0.52775679012345478</v>
      </c>
      <c r="P715" s="5">
        <v>0.25527382400372967</v>
      </c>
      <c r="Q715" s="5">
        <v>0.17480521186613857</v>
      </c>
      <c r="R715" s="5">
        <v>0.19677515717218938</v>
      </c>
    </row>
    <row r="716" spans="1:18">
      <c r="A716" t="s">
        <v>3090</v>
      </c>
      <c r="B716" t="s">
        <v>122</v>
      </c>
      <c r="C716" s="10">
        <v>55.08</v>
      </c>
      <c r="D716" s="10">
        <v>50</v>
      </c>
      <c r="E716" s="10">
        <v>0.19</v>
      </c>
      <c r="F716" s="10">
        <v>56.352423221227937</v>
      </c>
      <c r="G716" s="10">
        <v>54.657404383228659</v>
      </c>
      <c r="H716" s="10">
        <v>53.112822999999999</v>
      </c>
      <c r="I716" s="10">
        <v>68</v>
      </c>
      <c r="J716" s="10">
        <v>69.570892865713503</v>
      </c>
      <c r="K716" s="10">
        <v>67.478277016331674</v>
      </c>
      <c r="L716" s="10">
        <v>65.571386419753082</v>
      </c>
      <c r="M716" s="10">
        <v>1.5708928657135033</v>
      </c>
      <c r="N716" s="10">
        <v>0.52172298366832592</v>
      </c>
      <c r="O716" s="10">
        <v>2.4286135802469175</v>
      </c>
      <c r="P716" s="5">
        <v>0.20828959164982955</v>
      </c>
      <c r="Q716" s="5">
        <v>0.18373730872427194</v>
      </c>
      <c r="R716" s="5">
        <v>0.15999946001740481</v>
      </c>
    </row>
    <row r="717" spans="1:18">
      <c r="A717" t="s">
        <v>3091</v>
      </c>
      <c r="B717" t="s">
        <v>122</v>
      </c>
      <c r="C717" s="10">
        <v>72.709999999999994</v>
      </c>
      <c r="D717" s="10">
        <v>50</v>
      </c>
      <c r="E717" s="10">
        <v>0.19</v>
      </c>
      <c r="F717" s="10">
        <v>88.204667844564</v>
      </c>
      <c r="G717" s="10">
        <v>78.925311796727257</v>
      </c>
      <c r="H717" s="10">
        <v>81.383570000000006</v>
      </c>
      <c r="I717" s="10">
        <v>89.765432098765416</v>
      </c>
      <c r="J717" s="10">
        <v>108.89465165995554</v>
      </c>
      <c r="K717" s="10">
        <v>97.438656539169443</v>
      </c>
      <c r="L717" s="10">
        <v>100.47354320987654</v>
      </c>
      <c r="M717" s="10">
        <v>19.129219561190126</v>
      </c>
      <c r="N717" s="10">
        <v>7.6732244404040273</v>
      </c>
      <c r="O717" s="10">
        <v>10.708111111111123</v>
      </c>
      <c r="P717" s="5">
        <v>0.33229043950614828</v>
      </c>
      <c r="Q717" s="5">
        <v>0.25378692007343878</v>
      </c>
      <c r="R717" s="5">
        <v>0.27632690480400407</v>
      </c>
    </row>
    <row r="718" spans="1:18">
      <c r="A718" t="s">
        <v>3092</v>
      </c>
      <c r="B718" t="s">
        <v>122</v>
      </c>
      <c r="C718" s="10">
        <v>51.98</v>
      </c>
      <c r="D718" s="10">
        <v>50</v>
      </c>
      <c r="E718" s="10">
        <v>0.19</v>
      </c>
      <c r="F718" s="10">
        <v>60.770275939763728</v>
      </c>
      <c r="G718" s="10">
        <v>55.75601378959437</v>
      </c>
      <c r="H718" s="10">
        <v>54.73516</v>
      </c>
      <c r="I718" s="10">
        <v>64.172839506172835</v>
      </c>
      <c r="J718" s="10">
        <v>75.025032024399664</v>
      </c>
      <c r="K718" s="10">
        <v>68.834584925425148</v>
      </c>
      <c r="L718" s="10">
        <v>67.574271604938261</v>
      </c>
      <c r="M718" s="10">
        <v>10.852192518226829</v>
      </c>
      <c r="N718" s="10">
        <v>4.6617454192523127</v>
      </c>
      <c r="O718" s="10">
        <v>3.4014320987654258</v>
      </c>
      <c r="P718" s="5">
        <v>0.30716457431041089</v>
      </c>
      <c r="Q718" s="5">
        <v>0.2448563457408115</v>
      </c>
      <c r="R718" s="5">
        <v>0.23077232258022076</v>
      </c>
    </row>
    <row r="719" spans="1:18">
      <c r="A719" t="s">
        <v>3093</v>
      </c>
      <c r="B719" t="s">
        <v>122</v>
      </c>
      <c r="C719" s="10">
        <v>54.96</v>
      </c>
      <c r="D719" s="10">
        <v>50</v>
      </c>
      <c r="E719" s="10">
        <v>0.19</v>
      </c>
      <c r="F719" s="10">
        <v>68.088953205436837</v>
      </c>
      <c r="G719" s="10">
        <v>68.066339091081389</v>
      </c>
      <c r="H719" s="10">
        <v>68.92877</v>
      </c>
      <c r="I719" s="10">
        <v>67.851851851851848</v>
      </c>
      <c r="J719" s="10">
        <v>84.060436056094858</v>
      </c>
      <c r="K719" s="10">
        <v>84.03251739639677</v>
      </c>
      <c r="L719" s="10">
        <v>85.097246913580236</v>
      </c>
      <c r="M719" s="10">
        <v>16.20858420424301</v>
      </c>
      <c r="N719" s="10">
        <v>16.180665544544922</v>
      </c>
      <c r="O719" s="10">
        <v>17.245395061728388</v>
      </c>
      <c r="P719" s="5">
        <v>0.34618469069891189</v>
      </c>
      <c r="Q719" s="5">
        <v>0.34596746946490226</v>
      </c>
      <c r="R719" s="5">
        <v>0.35415066887164814</v>
      </c>
    </row>
    <row r="720" spans="1:18">
      <c r="A720" t="s">
        <v>3094</v>
      </c>
      <c r="B720" t="s">
        <v>122</v>
      </c>
      <c r="C720" s="10">
        <v>82.45</v>
      </c>
      <c r="D720" s="10">
        <v>60</v>
      </c>
      <c r="E720" s="10">
        <v>0.19</v>
      </c>
      <c r="F720" s="10">
        <v>92.666503880779103</v>
      </c>
      <c r="G720" s="10">
        <v>83.110282659804099</v>
      </c>
      <c r="H720" s="10">
        <v>85.811220000000006</v>
      </c>
      <c r="I720" s="10">
        <v>101.79012345679013</v>
      </c>
      <c r="J720" s="10">
        <v>114.4030912108384</v>
      </c>
      <c r="K720" s="10">
        <v>102.60528723432604</v>
      </c>
      <c r="L720" s="10">
        <v>105.93977777777778</v>
      </c>
      <c r="M720" s="10">
        <v>12.61296775404827</v>
      </c>
      <c r="N720" s="10">
        <v>0.81516377753591485</v>
      </c>
      <c r="O720" s="10">
        <v>4.1496543209876506</v>
      </c>
      <c r="P720" s="5">
        <v>0.27930269079836895</v>
      </c>
      <c r="Q720" s="5">
        <v>0.19643517188637816</v>
      </c>
      <c r="R720" s="5">
        <v>0.22172764820264759</v>
      </c>
    </row>
    <row r="721" spans="1:18">
      <c r="A721" t="s">
        <v>3095</v>
      </c>
      <c r="B721" t="s">
        <v>122</v>
      </c>
      <c r="C721" s="10">
        <v>60.64</v>
      </c>
      <c r="D721" s="10">
        <v>50</v>
      </c>
      <c r="E721" s="10">
        <v>0.19</v>
      </c>
      <c r="F721" s="10">
        <v>68.65230503165688</v>
      </c>
      <c r="G721" s="10">
        <v>62.149290707195668</v>
      </c>
      <c r="H721" s="10">
        <v>64.259739999999994</v>
      </c>
      <c r="I721" s="10">
        <v>74.864197530864189</v>
      </c>
      <c r="J721" s="10">
        <v>84.755932137847992</v>
      </c>
      <c r="K721" s="10">
        <v>76.727519391599586</v>
      </c>
      <c r="L721" s="10">
        <v>79.333012345678995</v>
      </c>
      <c r="M721" s="10">
        <v>9.8917346069838032</v>
      </c>
      <c r="N721" s="10">
        <v>1.8633218607353967</v>
      </c>
      <c r="O721" s="10">
        <v>4.4688148148148059</v>
      </c>
      <c r="P721" s="5">
        <v>0.28453385538401693</v>
      </c>
      <c r="Q721" s="5">
        <v>0.20967078721120375</v>
      </c>
      <c r="R721" s="5">
        <v>0.23562715940027129</v>
      </c>
    </row>
    <row r="722" spans="1:18">
      <c r="A722" t="s">
        <v>3096</v>
      </c>
      <c r="B722" t="s">
        <v>122</v>
      </c>
      <c r="C722" s="10">
        <v>44.64</v>
      </c>
      <c r="D722" s="10">
        <v>50</v>
      </c>
      <c r="E722" s="10">
        <v>0.19</v>
      </c>
      <c r="F722" s="10">
        <v>56.26095035689508</v>
      </c>
      <c r="G722" s="10">
        <v>52.372457329913431</v>
      </c>
      <c r="H722" s="10">
        <v>53.209434999999999</v>
      </c>
      <c r="I722" s="10">
        <v>55.111111111111107</v>
      </c>
      <c r="J722" s="10">
        <v>69.457963403574169</v>
      </c>
      <c r="K722" s="10">
        <v>64.657354728288183</v>
      </c>
      <c r="L722" s="10">
        <v>65.690660493827153</v>
      </c>
      <c r="M722" s="10">
        <v>14.346852292463062</v>
      </c>
      <c r="N722" s="10">
        <v>9.5462436171770761</v>
      </c>
      <c r="O722" s="10">
        <v>10.579549382716046</v>
      </c>
      <c r="P722" s="5">
        <v>0.35730911457010966</v>
      </c>
      <c r="Q722" s="5">
        <v>0.30959130345507946</v>
      </c>
      <c r="R722" s="5">
        <v>0.3204513447662054</v>
      </c>
    </row>
    <row r="723" spans="1:18">
      <c r="A723" t="s">
        <v>3097</v>
      </c>
      <c r="B723" t="s">
        <v>122</v>
      </c>
      <c r="C723" s="10">
        <v>75.709999999999994</v>
      </c>
      <c r="D723" s="10">
        <v>50</v>
      </c>
      <c r="E723" s="10">
        <v>0.19</v>
      </c>
      <c r="F723" s="10">
        <v>79.757873094881859</v>
      </c>
      <c r="G723" s="10">
        <v>77.002501262816693</v>
      </c>
      <c r="H723" s="10">
        <v>73.94256</v>
      </c>
      <c r="I723" s="10">
        <v>93.469135802469125</v>
      </c>
      <c r="J723" s="10">
        <v>98.466509993681299</v>
      </c>
      <c r="K723" s="10">
        <v>95.064816373847762</v>
      </c>
      <c r="L723" s="10">
        <v>91.287111111111102</v>
      </c>
      <c r="M723" s="10">
        <v>4.9973741912121739</v>
      </c>
      <c r="N723" s="10">
        <v>1.5956805713786366</v>
      </c>
      <c r="O723" s="10">
        <v>2.1820246913580235</v>
      </c>
      <c r="P723" s="5">
        <v>0.23110913543235781</v>
      </c>
      <c r="Q723" s="5">
        <v>0.20359600020404878</v>
      </c>
      <c r="R723" s="5">
        <v>0.17063866871798866</v>
      </c>
    </row>
    <row r="724" spans="1:18">
      <c r="A724" t="s">
        <v>3098</v>
      </c>
      <c r="B724" t="s">
        <v>122</v>
      </c>
      <c r="C724" s="10">
        <v>48.21</v>
      </c>
      <c r="D724" s="10">
        <v>50</v>
      </c>
      <c r="E724" s="10">
        <v>0.19</v>
      </c>
      <c r="F724" s="10">
        <v>54.95582022745505</v>
      </c>
      <c r="G724" s="10">
        <v>52.186228608296965</v>
      </c>
      <c r="H724" s="10">
        <v>50.960464000000002</v>
      </c>
      <c r="I724" s="10">
        <v>59.518518518518519</v>
      </c>
      <c r="J724" s="10">
        <v>67.846691638833391</v>
      </c>
      <c r="K724" s="10">
        <v>64.42744272629254</v>
      </c>
      <c r="L724" s="10">
        <v>62.914153086419752</v>
      </c>
      <c r="M724" s="10">
        <v>8.3281731203148723</v>
      </c>
      <c r="N724" s="10">
        <v>4.9089242077740209</v>
      </c>
      <c r="O724" s="10">
        <v>3.395634567901233</v>
      </c>
      <c r="P724" s="5">
        <v>0.28942740116739818</v>
      </c>
      <c r="Q724" s="5">
        <v>0.25171638109538491</v>
      </c>
      <c r="R724" s="5">
        <v>0.23371773067058413</v>
      </c>
    </row>
    <row r="725" spans="1:18">
      <c r="A725" t="s">
        <v>3099</v>
      </c>
      <c r="B725" t="s">
        <v>122</v>
      </c>
      <c r="C725" s="10">
        <v>77.290000000000006</v>
      </c>
      <c r="D725" s="10">
        <v>60</v>
      </c>
      <c r="E725" s="10">
        <v>0.19</v>
      </c>
      <c r="F725" s="10">
        <v>85.665180291125893</v>
      </c>
      <c r="G725" s="10">
        <v>74.650629483991437</v>
      </c>
      <c r="H725" s="10">
        <v>79.202340000000007</v>
      </c>
      <c r="I725" s="10">
        <v>95.41975308641976</v>
      </c>
      <c r="J725" s="10">
        <v>105.75948184089616</v>
      </c>
      <c r="K725" s="10">
        <v>92.161270967890658</v>
      </c>
      <c r="L725" s="10">
        <v>97.780666666666662</v>
      </c>
      <c r="M725" s="10">
        <v>10.339728754476397</v>
      </c>
      <c r="N725" s="10">
        <v>3.258482118529102</v>
      </c>
      <c r="O725" s="10">
        <v>2.3609135802469012</v>
      </c>
      <c r="P725" s="5">
        <v>0.26919082190403926</v>
      </c>
      <c r="Q725" s="5">
        <v>0.16136139195684335</v>
      </c>
      <c r="R725" s="5">
        <v>0.20955744489367348</v>
      </c>
    </row>
    <row r="726" spans="1:18">
      <c r="A726" t="s">
        <v>3100</v>
      </c>
      <c r="B726" t="s">
        <v>122</v>
      </c>
      <c r="C726" s="10">
        <v>61.02</v>
      </c>
      <c r="D726" s="10">
        <v>50</v>
      </c>
      <c r="E726" s="10">
        <v>0.19</v>
      </c>
      <c r="F726" s="10">
        <v>64.831591575695143</v>
      </c>
      <c r="G726" s="10">
        <v>59.181325527262516</v>
      </c>
      <c r="H726" s="10">
        <v>58.620705000000001</v>
      </c>
      <c r="I726" s="10">
        <v>75.333333333333329</v>
      </c>
      <c r="J726" s="10">
        <v>80.039001945302644</v>
      </c>
      <c r="K726" s="10">
        <v>73.063364848472233</v>
      </c>
      <c r="L726" s="10">
        <v>72.371240740740731</v>
      </c>
      <c r="M726" s="10">
        <v>4.7056686119693154</v>
      </c>
      <c r="N726" s="10">
        <v>2.2699684848610957</v>
      </c>
      <c r="O726" s="10">
        <v>2.9620925925925974</v>
      </c>
      <c r="P726" s="5">
        <v>0.23762167797019657</v>
      </c>
      <c r="Q726" s="5">
        <v>0.16483452238271856</v>
      </c>
      <c r="R726" s="5">
        <v>0.15684739717818116</v>
      </c>
    </row>
    <row r="727" spans="1:18">
      <c r="A727" t="s">
        <v>3101</v>
      </c>
      <c r="B727" t="s">
        <v>122</v>
      </c>
      <c r="C727" s="10">
        <v>49.69</v>
      </c>
      <c r="D727" s="10">
        <v>50</v>
      </c>
      <c r="E727" s="10">
        <v>0.19</v>
      </c>
      <c r="F727" s="10">
        <v>58.769948470863611</v>
      </c>
      <c r="G727" s="10">
        <v>51.96099205252586</v>
      </c>
      <c r="H727" s="10">
        <v>52.180633999999998</v>
      </c>
      <c r="I727" s="10">
        <v>61.34567901234567</v>
      </c>
      <c r="J727" s="10">
        <v>72.555491939337784</v>
      </c>
      <c r="K727" s="10">
        <v>64.149372904352916</v>
      </c>
      <c r="L727" s="10">
        <v>64.420535802469132</v>
      </c>
      <c r="M727" s="10">
        <v>11.209812926992115</v>
      </c>
      <c r="N727" s="10">
        <v>2.8036938920072458</v>
      </c>
      <c r="O727" s="10">
        <v>3.0748567901234622</v>
      </c>
      <c r="P727" s="5">
        <v>0.3151448819126631</v>
      </c>
      <c r="Q727" s="5">
        <v>0.22540162513999826</v>
      </c>
      <c r="R727" s="5">
        <v>0.2286621124611096</v>
      </c>
    </row>
    <row r="728" spans="1:18">
      <c r="A728" t="s">
        <v>3102</v>
      </c>
      <c r="B728" t="s">
        <v>122</v>
      </c>
      <c r="C728" s="10">
        <v>91.48</v>
      </c>
      <c r="D728" s="10">
        <v>60</v>
      </c>
      <c r="E728" s="10">
        <v>0.19</v>
      </c>
      <c r="F728" s="10">
        <v>99.313586923557139</v>
      </c>
      <c r="G728" s="10">
        <v>98.502553089218509</v>
      </c>
      <c r="H728" s="10">
        <v>97.807119999999998</v>
      </c>
      <c r="I728" s="10">
        <v>112.93827160493827</v>
      </c>
      <c r="J728" s="10">
        <v>122.60936657229276</v>
      </c>
      <c r="K728" s="10">
        <v>121.60809023360309</v>
      </c>
      <c r="L728" s="10">
        <v>120.74953086419752</v>
      </c>
      <c r="M728" s="10">
        <v>9.6710949673544917</v>
      </c>
      <c r="N728" s="10">
        <v>8.669818628664828</v>
      </c>
      <c r="O728" s="10">
        <v>7.8112592592592591</v>
      </c>
      <c r="P728" s="5">
        <v>0.25389060756576293</v>
      </c>
      <c r="Q728" s="5">
        <v>0.24774741693359814</v>
      </c>
      <c r="R728" s="5">
        <v>0.24239871289533924</v>
      </c>
    </row>
    <row r="729" spans="1:18">
      <c r="A729" t="s">
        <v>3103</v>
      </c>
      <c r="B729" t="s">
        <v>122</v>
      </c>
      <c r="C729" s="10">
        <v>55.5</v>
      </c>
      <c r="D729" s="10">
        <v>50</v>
      </c>
      <c r="E729" s="10">
        <v>0.19</v>
      </c>
      <c r="F729" s="10">
        <v>58.883148890946089</v>
      </c>
      <c r="G729" s="10">
        <v>55.289975911871913</v>
      </c>
      <c r="H729" s="10">
        <v>53.853946999999998</v>
      </c>
      <c r="I729" s="10">
        <v>68.518518518518519</v>
      </c>
      <c r="J729" s="10">
        <v>72.695245544377883</v>
      </c>
      <c r="K729" s="10">
        <v>68.259229520829521</v>
      </c>
      <c r="L729" s="10">
        <v>66.486354320987644</v>
      </c>
      <c r="M729" s="10">
        <v>4.1767270258593641</v>
      </c>
      <c r="N729" s="10">
        <v>0.25928899768899782</v>
      </c>
      <c r="O729" s="10">
        <v>2.0321641975308751</v>
      </c>
      <c r="P729" s="5">
        <v>0.23653879171342496</v>
      </c>
      <c r="Q729" s="5">
        <v>0.18692314007054536</v>
      </c>
      <c r="R729" s="5">
        <v>0.16524224306159013</v>
      </c>
    </row>
    <row r="730" spans="1:18">
      <c r="A730" t="s">
        <v>3104</v>
      </c>
      <c r="B730" t="s">
        <v>122</v>
      </c>
      <c r="C730" s="10">
        <v>69.77</v>
      </c>
      <c r="D730" s="10">
        <v>50</v>
      </c>
      <c r="E730" s="10">
        <v>0.19</v>
      </c>
      <c r="F730" s="10">
        <v>82.306155823546632</v>
      </c>
      <c r="G730" s="10">
        <v>80.154184953472395</v>
      </c>
      <c r="H730" s="10">
        <v>79.024410000000003</v>
      </c>
      <c r="I730" s="10">
        <v>86.135802469135797</v>
      </c>
      <c r="J730" s="10">
        <v>101.61253805376127</v>
      </c>
      <c r="K730" s="10">
        <v>98.955783893175791</v>
      </c>
      <c r="L730" s="10">
        <v>97.560999999999993</v>
      </c>
      <c r="M730" s="10">
        <v>15.476735584625473</v>
      </c>
      <c r="N730" s="10">
        <v>12.819981424039995</v>
      </c>
      <c r="O730" s="10">
        <v>11.425197530864196</v>
      </c>
      <c r="P730" s="5">
        <v>0.31337213560115967</v>
      </c>
      <c r="Q730" s="5">
        <v>0.29493762511832833</v>
      </c>
      <c r="R730" s="5">
        <v>0.28485767878558027</v>
      </c>
    </row>
    <row r="731" spans="1:18">
      <c r="A731" t="s">
        <v>3105</v>
      </c>
      <c r="B731" t="s">
        <v>122</v>
      </c>
      <c r="C731" s="10">
        <v>108.34</v>
      </c>
      <c r="D731" s="10">
        <v>50</v>
      </c>
      <c r="E731" s="10">
        <v>0.19</v>
      </c>
      <c r="F731" s="10">
        <v>110.95841915866936</v>
      </c>
      <c r="G731" s="10">
        <v>101.21659034147405</v>
      </c>
      <c r="H731" s="10">
        <v>103.1754</v>
      </c>
      <c r="I731" s="10">
        <v>133.75308641975309</v>
      </c>
      <c r="J731" s="10">
        <v>136.98570266502389</v>
      </c>
      <c r="K731" s="10">
        <v>124.95875350799264</v>
      </c>
      <c r="L731" s="10">
        <v>127.37703703703703</v>
      </c>
      <c r="M731" s="10">
        <v>3.2326162452708047</v>
      </c>
      <c r="N731" s="10">
        <v>8.7943329117604492</v>
      </c>
      <c r="O731" s="10">
        <v>6.3760493827160616</v>
      </c>
      <c r="P731" s="5">
        <v>0.20911454339926455</v>
      </c>
      <c r="Q731" s="5">
        <v>0.13299391232267424</v>
      </c>
      <c r="R731" s="5">
        <v>0.1494542303688669</v>
      </c>
    </row>
    <row r="732" spans="1:18">
      <c r="A732" t="s">
        <v>3106</v>
      </c>
      <c r="B732" t="s">
        <v>122</v>
      </c>
      <c r="C732" s="10">
        <v>102.86</v>
      </c>
      <c r="D732" s="10">
        <v>50</v>
      </c>
      <c r="E732" s="10">
        <v>0.19</v>
      </c>
      <c r="F732" s="10">
        <v>109.8382387442649</v>
      </c>
      <c r="G732" s="10">
        <v>101.89196477181751</v>
      </c>
      <c r="H732" s="10">
        <v>103.28422</v>
      </c>
      <c r="I732" s="10">
        <v>126.98765432098764</v>
      </c>
      <c r="J732" s="10">
        <v>135.6027638818085</v>
      </c>
      <c r="K732" s="10">
        <v>125.79254910100927</v>
      </c>
      <c r="L732" s="10">
        <v>127.51138271604938</v>
      </c>
      <c r="M732" s="10">
        <v>8.615109560820855</v>
      </c>
      <c r="N732" s="10">
        <v>1.1951052199783732</v>
      </c>
      <c r="O732" s="10">
        <v>0.52372839506173818</v>
      </c>
      <c r="P732" s="5">
        <v>0.24146088873488689</v>
      </c>
      <c r="Q732" s="5">
        <v>0.18230451060018527</v>
      </c>
      <c r="R732" s="5">
        <v>0.19332691867160348</v>
      </c>
    </row>
    <row r="733" spans="1:18">
      <c r="A733" t="s">
        <v>3107</v>
      </c>
      <c r="B733" t="s">
        <v>122</v>
      </c>
      <c r="C733" s="10">
        <v>62.39</v>
      </c>
      <c r="D733" s="10">
        <v>50</v>
      </c>
      <c r="E733" s="10">
        <v>0.19</v>
      </c>
      <c r="F733" s="10">
        <v>67.402904485645223</v>
      </c>
      <c r="G733" s="10">
        <v>62.43435742427075</v>
      </c>
      <c r="H733" s="10">
        <v>64.420330000000007</v>
      </c>
      <c r="I733" s="10">
        <v>77.024691358024683</v>
      </c>
      <c r="J733" s="10">
        <v>83.21346232795706</v>
      </c>
      <c r="K733" s="10">
        <v>77.079453610210791</v>
      </c>
      <c r="L733" s="10">
        <v>79.531271604938269</v>
      </c>
      <c r="M733" s="10">
        <v>6.1887709699323779</v>
      </c>
      <c r="N733" s="10">
        <v>5.476225218610864E-2</v>
      </c>
      <c r="O733" s="10">
        <v>2.5065802469135861</v>
      </c>
      <c r="P733" s="5">
        <v>0.25024150834979791</v>
      </c>
      <c r="Q733" s="5">
        <v>0.19057547663084193</v>
      </c>
      <c r="R733" s="5">
        <v>0.21552870033419572</v>
      </c>
    </row>
    <row r="734" spans="1:18">
      <c r="A734" t="s">
        <v>3108</v>
      </c>
      <c r="B734" t="s">
        <v>122</v>
      </c>
      <c r="C734" s="10">
        <v>65.510000000000005</v>
      </c>
      <c r="D734" s="10">
        <v>50</v>
      </c>
      <c r="E734" s="10">
        <v>0.19</v>
      </c>
      <c r="F734" s="10">
        <v>77.519017486532178</v>
      </c>
      <c r="G734" s="10">
        <v>83.574520695970619</v>
      </c>
      <c r="H734" s="10">
        <v>73.335099999999997</v>
      </c>
      <c r="I734" s="10">
        <v>80.876543209876544</v>
      </c>
      <c r="J734" s="10">
        <v>95.702490724113787</v>
      </c>
      <c r="K734" s="10">
        <v>103.1784206123094</v>
      </c>
      <c r="L734" s="10">
        <v>90.537160493827145</v>
      </c>
      <c r="M734" s="10">
        <v>14.825947514237242</v>
      </c>
      <c r="N734" s="10">
        <v>22.301877402432851</v>
      </c>
      <c r="O734" s="10">
        <v>9.6606172839506002</v>
      </c>
      <c r="P734" s="5">
        <v>0.31548281027660124</v>
      </c>
      <c r="Q734" s="5">
        <v>0.36508041496242355</v>
      </c>
      <c r="R734" s="5">
        <v>0.27642970419348972</v>
      </c>
    </row>
    <row r="735" spans="1:18">
      <c r="A735" t="s">
        <v>3109</v>
      </c>
      <c r="B735" t="s">
        <v>122</v>
      </c>
      <c r="C735" s="10">
        <v>52.97</v>
      </c>
      <c r="D735" s="10">
        <v>50</v>
      </c>
      <c r="E735" s="10">
        <v>0.19</v>
      </c>
      <c r="F735" s="10">
        <v>57.801022114208735</v>
      </c>
      <c r="G735" s="10">
        <v>52.11314942302166</v>
      </c>
      <c r="H735" s="10">
        <v>53.717950000000002</v>
      </c>
      <c r="I735" s="10">
        <v>65.395061728395049</v>
      </c>
      <c r="J735" s="10">
        <v>71.359286560751514</v>
      </c>
      <c r="K735" s="10">
        <v>64.337221509903287</v>
      </c>
      <c r="L735" s="10">
        <v>66.318456790123449</v>
      </c>
      <c r="M735" s="10">
        <v>5.9642248323564644</v>
      </c>
      <c r="N735" s="10">
        <v>1.0578402184917621</v>
      </c>
      <c r="O735" s="10">
        <v>0.92339506172839947</v>
      </c>
      <c r="P735" s="5">
        <v>0.25769997777508397</v>
      </c>
      <c r="Q735" s="5">
        <v>0.17668188403432306</v>
      </c>
      <c r="R735" s="5">
        <v>0.20127815748739472</v>
      </c>
    </row>
    <row r="736" spans="1:18">
      <c r="A736" t="s">
        <v>3110</v>
      </c>
      <c r="B736" t="s">
        <v>122</v>
      </c>
      <c r="C736" s="10">
        <v>62.75</v>
      </c>
      <c r="D736" s="10">
        <v>50</v>
      </c>
      <c r="E736" s="10">
        <v>0.19</v>
      </c>
      <c r="F736" s="10">
        <v>68.801595867848548</v>
      </c>
      <c r="G736" s="10">
        <v>62.543058110935348</v>
      </c>
      <c r="H736" s="10">
        <v>63.903190000000002</v>
      </c>
      <c r="I736" s="10">
        <v>77.469135802469125</v>
      </c>
      <c r="J736" s="10">
        <v>84.940241812158689</v>
      </c>
      <c r="K736" s="10">
        <v>77.213651988809062</v>
      </c>
      <c r="L736" s="10">
        <v>78.892827160493823</v>
      </c>
      <c r="M736" s="10">
        <v>7.4711060096895636</v>
      </c>
      <c r="N736" s="10">
        <v>0.25548381366006367</v>
      </c>
      <c r="O736" s="10">
        <v>1.4236913580246977</v>
      </c>
      <c r="P736" s="5">
        <v>0.2612453336456394</v>
      </c>
      <c r="Q736" s="5">
        <v>0.18731987953251256</v>
      </c>
      <c r="R736" s="5">
        <v>0.20461717169361965</v>
      </c>
    </row>
    <row r="737" spans="1:18">
      <c r="A737" t="s">
        <v>3111</v>
      </c>
      <c r="B737" t="s">
        <v>122</v>
      </c>
      <c r="C737" s="10">
        <v>54.78</v>
      </c>
      <c r="D737" s="10">
        <v>50</v>
      </c>
      <c r="E737" s="10">
        <v>0.19</v>
      </c>
      <c r="F737" s="10">
        <v>55.287065962234095</v>
      </c>
      <c r="G737" s="10">
        <v>48.328062485833712</v>
      </c>
      <c r="H737" s="10">
        <v>50.701636999999998</v>
      </c>
      <c r="I737" s="10">
        <v>67.629629629629633</v>
      </c>
      <c r="J737" s="10">
        <v>68.255636990412455</v>
      </c>
      <c r="K737" s="10">
        <v>59.664274673868775</v>
      </c>
      <c r="L737" s="10">
        <v>62.594613580246907</v>
      </c>
      <c r="M737" s="10">
        <v>0.62600736078282182</v>
      </c>
      <c r="N737" s="10">
        <v>7.9653549557608585</v>
      </c>
      <c r="O737" s="10">
        <v>5.0350160493827261</v>
      </c>
      <c r="P737" s="5">
        <v>0.1974289243290677</v>
      </c>
      <c r="Q737" s="5">
        <v>8.1862633888817635E-2</v>
      </c>
      <c r="R737" s="5">
        <v>0.12484482503000829</v>
      </c>
    </row>
    <row r="738" spans="1:18">
      <c r="A738" t="s">
        <v>3112</v>
      </c>
      <c r="B738" t="s">
        <v>122</v>
      </c>
      <c r="C738" s="10">
        <v>56.37</v>
      </c>
      <c r="D738" s="10">
        <v>50</v>
      </c>
      <c r="E738" s="10">
        <v>0.19</v>
      </c>
      <c r="F738" s="10">
        <v>51.774882784311075</v>
      </c>
      <c r="G738" s="10">
        <v>48.753350817515468</v>
      </c>
      <c r="H738" s="10">
        <v>49.048831999999997</v>
      </c>
      <c r="I738" s="10">
        <v>69.592592592592581</v>
      </c>
      <c r="J738" s="10">
        <v>63.919608375692683</v>
      </c>
      <c r="K738" s="10">
        <v>60.189321996932669</v>
      </c>
      <c r="L738" s="10">
        <v>60.554113580246906</v>
      </c>
      <c r="M738" s="10">
        <v>5.6729842168998985</v>
      </c>
      <c r="N738" s="10">
        <v>9.4032705956599116</v>
      </c>
      <c r="O738" s="10">
        <v>9.0384790123456753</v>
      </c>
      <c r="P738" s="5">
        <v>0.11811099234712531</v>
      </c>
      <c r="Q738" s="5">
        <v>6.3455142377701307E-2</v>
      </c>
      <c r="R738" s="5">
        <v>6.9097098989023761E-2</v>
      </c>
    </row>
    <row r="739" spans="1:18">
      <c r="A739" t="s">
        <v>3113</v>
      </c>
      <c r="B739" t="s">
        <v>122</v>
      </c>
      <c r="C739" s="10">
        <v>105.99</v>
      </c>
      <c r="D739" s="10">
        <v>60</v>
      </c>
      <c r="E739" s="10">
        <v>0.19</v>
      </c>
      <c r="F739" s="10">
        <v>102.9336078541175</v>
      </c>
      <c r="G739" s="10">
        <v>101.35595862525896</v>
      </c>
      <c r="H739" s="10">
        <v>103.84077000000001</v>
      </c>
      <c r="I739" s="10">
        <v>130.85185185185185</v>
      </c>
      <c r="J739" s="10">
        <v>127.07852821495986</v>
      </c>
      <c r="K739" s="10">
        <v>125.13081311760365</v>
      </c>
      <c r="L739" s="10">
        <v>128.19848148148148</v>
      </c>
      <c r="M739" s="10">
        <v>3.7733236368919876</v>
      </c>
      <c r="N739" s="10">
        <v>5.7210387342481965</v>
      </c>
      <c r="O739" s="10">
        <v>2.6533703703703679</v>
      </c>
      <c r="P739" s="5">
        <v>0.16594879175251021</v>
      </c>
      <c r="Q739" s="5">
        <v>0.1529664248214726</v>
      </c>
      <c r="R739" s="5">
        <v>0.17323513683498304</v>
      </c>
    </row>
    <row r="740" spans="1:18">
      <c r="A740" t="s">
        <v>3114</v>
      </c>
      <c r="B740" t="s">
        <v>122</v>
      </c>
      <c r="C740" s="10">
        <v>50.72</v>
      </c>
      <c r="D740" s="10">
        <v>50</v>
      </c>
      <c r="E740" s="10">
        <v>0.19</v>
      </c>
      <c r="F740" s="10">
        <v>56.268902048844986</v>
      </c>
      <c r="G740" s="10">
        <v>52.530202894540572</v>
      </c>
      <c r="H740" s="10">
        <v>52.943333000000003</v>
      </c>
      <c r="I740" s="10">
        <v>62.617283950617278</v>
      </c>
      <c r="J740" s="10">
        <v>69.467780307216032</v>
      </c>
      <c r="K740" s="10">
        <v>64.852102338938977</v>
      </c>
      <c r="L740" s="10">
        <v>65.362139506172838</v>
      </c>
      <c r="M740" s="10">
        <v>6.8504963565987538</v>
      </c>
      <c r="N740" s="10">
        <v>2.234818388321699</v>
      </c>
      <c r="O740" s="10">
        <v>2.74485555555556</v>
      </c>
      <c r="P740" s="5">
        <v>0.2698773478050599</v>
      </c>
      <c r="Q740" s="5">
        <v>0.21791278662147051</v>
      </c>
      <c r="R740" s="5">
        <v>0.224015609293053</v>
      </c>
    </row>
    <row r="741" spans="1:18">
      <c r="A741" t="s">
        <v>3279</v>
      </c>
      <c r="B741" t="s">
        <v>128</v>
      </c>
      <c r="C741" s="10">
        <v>288.48</v>
      </c>
      <c r="D741" s="10">
        <v>66</v>
      </c>
      <c r="E741" s="10">
        <v>0.19</v>
      </c>
      <c r="F741" s="10">
        <v>279.51027274381613</v>
      </c>
      <c r="G741" s="10">
        <v>189.37793913308914</v>
      </c>
      <c r="H741" s="10">
        <v>227.84470999999999</v>
      </c>
      <c r="I741" s="10">
        <v>356.14814814814815</v>
      </c>
      <c r="J741" s="10">
        <v>345.07441079483471</v>
      </c>
      <c r="K741" s="10">
        <v>233.79992485566558</v>
      </c>
      <c r="L741" s="10">
        <v>281.28976543209876</v>
      </c>
      <c r="M741" s="10">
        <v>11.073737353313447</v>
      </c>
      <c r="N741" s="10">
        <v>122.34822329248257</v>
      </c>
      <c r="O741" s="10">
        <v>74.858382716049391</v>
      </c>
      <c r="P741" s="5">
        <v>0.1640063969521145</v>
      </c>
      <c r="Q741" s="5">
        <v>-0.23387550350193964</v>
      </c>
      <c r="R741" s="5">
        <v>-2.5561664345860907E-2</v>
      </c>
    </row>
    <row r="742" spans="1:18">
      <c r="A742" t="s">
        <v>3280</v>
      </c>
      <c r="B742" t="s">
        <v>128</v>
      </c>
      <c r="C742" s="10">
        <v>173.5</v>
      </c>
      <c r="D742" s="10">
        <v>66</v>
      </c>
      <c r="E742" s="10">
        <v>0.19</v>
      </c>
      <c r="F742" s="10">
        <v>180.6794427401133</v>
      </c>
      <c r="G742" s="10">
        <v>158.2002913877788</v>
      </c>
      <c r="H742" s="10">
        <v>171.32794000000001</v>
      </c>
      <c r="I742" s="10">
        <v>214.19753086419752</v>
      </c>
      <c r="J742" s="10">
        <v>223.06104041989295</v>
      </c>
      <c r="K742" s="10">
        <v>195.30900171330714</v>
      </c>
      <c r="L742" s="10">
        <v>211.51597530864197</v>
      </c>
      <c r="M742" s="10">
        <v>8.8635095556954298</v>
      </c>
      <c r="N742" s="10">
        <v>18.888529150890378</v>
      </c>
      <c r="O742" s="10">
        <v>2.6815555555555477</v>
      </c>
      <c r="P742" s="5">
        <v>0.22218600041763731</v>
      </c>
      <c r="Q742" s="5">
        <v>0.1116640888130719</v>
      </c>
      <c r="R742" s="5">
        <v>0.17973098841905177</v>
      </c>
    </row>
    <row r="743" spans="1:18">
      <c r="A743" t="s">
        <v>3281</v>
      </c>
      <c r="B743" t="s">
        <v>128</v>
      </c>
      <c r="C743" s="10">
        <v>105.29</v>
      </c>
      <c r="D743" s="10">
        <v>140</v>
      </c>
      <c r="E743" s="10">
        <v>0.19</v>
      </c>
      <c r="F743" s="10">
        <v>114.82909960029541</v>
      </c>
      <c r="G743" s="10">
        <v>105.88391404151415</v>
      </c>
      <c r="H743" s="10">
        <v>108.44668</v>
      </c>
      <c r="I743" s="10">
        <v>140</v>
      </c>
      <c r="J743" s="10">
        <v>141.76432049419185</v>
      </c>
      <c r="K743" s="10">
        <v>140</v>
      </c>
      <c r="L743" s="10">
        <v>140</v>
      </c>
      <c r="M743" s="10">
        <v>1.7643204941918498</v>
      </c>
      <c r="N743" s="10">
        <v>0</v>
      </c>
      <c r="O743" s="10">
        <v>0</v>
      </c>
      <c r="P743" s="5">
        <v>0.25728843736591828</v>
      </c>
      <c r="Q743" s="5">
        <v>0.24792857142857139</v>
      </c>
      <c r="R743" s="5">
        <v>0.24792857142857139</v>
      </c>
    </row>
    <row r="744" spans="1:18">
      <c r="A744" t="s">
        <v>3282</v>
      </c>
      <c r="B744" t="s">
        <v>128</v>
      </c>
      <c r="C744" s="10">
        <v>53.93</v>
      </c>
      <c r="D744" s="10">
        <v>51</v>
      </c>
      <c r="E744" s="10">
        <v>0.19</v>
      </c>
      <c r="F744" s="10">
        <v>48.309069027308986</v>
      </c>
      <c r="G744" s="10">
        <v>49.615709005417187</v>
      </c>
      <c r="H744" s="10">
        <v>49.710921999999997</v>
      </c>
      <c r="I744" s="10">
        <v>66.58024691358024</v>
      </c>
      <c r="J744" s="10">
        <v>59.640825959640722</v>
      </c>
      <c r="K744" s="10">
        <v>61.253961735082946</v>
      </c>
      <c r="L744" s="10">
        <v>61.371508641975304</v>
      </c>
      <c r="M744" s="10">
        <v>6.9394209539395177</v>
      </c>
      <c r="N744" s="10">
        <v>5.3262851784972938</v>
      </c>
      <c r="O744" s="10">
        <v>5.2087382716049362</v>
      </c>
      <c r="P744" s="5">
        <v>9.5753636334702505E-2</v>
      </c>
      <c r="Q744" s="5">
        <v>0.1195671517012781</v>
      </c>
      <c r="R744" s="5">
        <v>0.12125347423650674</v>
      </c>
    </row>
    <row r="745" spans="1:18">
      <c r="A745" t="s">
        <v>3283</v>
      </c>
      <c r="B745" t="s">
        <v>128</v>
      </c>
      <c r="C745" s="10">
        <v>73.7</v>
      </c>
      <c r="D745" s="10">
        <v>51</v>
      </c>
      <c r="E745" s="10">
        <v>0.19</v>
      </c>
      <c r="F745" s="10">
        <v>72.061214776025651</v>
      </c>
      <c r="G745" s="10">
        <v>68.312342660119185</v>
      </c>
      <c r="H745" s="10">
        <v>67.567795000000004</v>
      </c>
      <c r="I745" s="10">
        <v>90.987654320987659</v>
      </c>
      <c r="J745" s="10">
        <v>88.964462686451412</v>
      </c>
      <c r="K745" s="10">
        <v>84.336225506319977</v>
      </c>
      <c r="L745" s="10">
        <v>83.417030864197528</v>
      </c>
      <c r="M745" s="10">
        <v>2.0231916345362464</v>
      </c>
      <c r="N745" s="10">
        <v>6.6514288146676819</v>
      </c>
      <c r="O745" s="10">
        <v>7.5706234567901305</v>
      </c>
      <c r="P745" s="5">
        <v>0.1715793275821815</v>
      </c>
      <c r="Q745" s="5">
        <v>0.12611692594095189</v>
      </c>
      <c r="R745" s="5">
        <v>0.11648737390349938</v>
      </c>
    </row>
    <row r="746" spans="1:18">
      <c r="A746" t="s">
        <v>3284</v>
      </c>
      <c r="B746" t="s">
        <v>128</v>
      </c>
      <c r="C746" s="10">
        <v>64.44</v>
      </c>
      <c r="D746" s="10">
        <v>51</v>
      </c>
      <c r="E746" s="10">
        <v>0.19</v>
      </c>
      <c r="F746" s="10">
        <v>65.773677391887404</v>
      </c>
      <c r="G746" s="10">
        <v>61.342577713443305</v>
      </c>
      <c r="H746" s="10">
        <v>66.268105000000006</v>
      </c>
      <c r="I746" s="10">
        <v>79.555555555555543</v>
      </c>
      <c r="J746" s="10">
        <v>81.202070854181969</v>
      </c>
      <c r="K746" s="10">
        <v>75.731577424004072</v>
      </c>
      <c r="L746" s="10">
        <v>81.812475308641979</v>
      </c>
      <c r="M746" s="10">
        <v>1.6465152986264258</v>
      </c>
      <c r="N746" s="10">
        <v>3.8239781315514705</v>
      </c>
      <c r="O746" s="10">
        <v>2.2569197530864358</v>
      </c>
      <c r="P746" s="5">
        <v>0.20642417955426701</v>
      </c>
      <c r="Q746" s="5">
        <v>0.14909998983363401</v>
      </c>
      <c r="R746" s="5">
        <v>0.21234506403948028</v>
      </c>
    </row>
    <row r="747" spans="1:18">
      <c r="A747" t="s">
        <v>3285</v>
      </c>
      <c r="B747" t="s">
        <v>128</v>
      </c>
      <c r="C747" s="10">
        <v>53.56</v>
      </c>
      <c r="D747" s="10">
        <v>51</v>
      </c>
      <c r="E747" s="10">
        <v>0.19</v>
      </c>
      <c r="F747" s="10">
        <v>61.703339919384746</v>
      </c>
      <c r="G747" s="10">
        <v>59.056827728868484</v>
      </c>
      <c r="H747" s="10">
        <v>57.771610000000003</v>
      </c>
      <c r="I747" s="10">
        <v>66.123456790123456</v>
      </c>
      <c r="J747" s="10">
        <v>76.17696286343795</v>
      </c>
      <c r="K747" s="10">
        <v>72.909663862800599</v>
      </c>
      <c r="L747" s="10">
        <v>71.322975308641972</v>
      </c>
      <c r="M747" s="10">
        <v>10.053506073314495</v>
      </c>
      <c r="N747" s="10">
        <v>6.7862070726771435</v>
      </c>
      <c r="O747" s="10">
        <v>5.1995185185185164</v>
      </c>
      <c r="P747" s="5">
        <v>0.29690029653693678</v>
      </c>
      <c r="Q747" s="5">
        <v>0.26539230655640195</v>
      </c>
      <c r="R747" s="5">
        <v>0.24904983607000042</v>
      </c>
    </row>
    <row r="748" spans="1:18">
      <c r="A748" t="s">
        <v>3286</v>
      </c>
      <c r="B748" t="s">
        <v>128</v>
      </c>
      <c r="C748" s="10">
        <v>127.62</v>
      </c>
      <c r="D748" s="10">
        <v>66</v>
      </c>
      <c r="E748" s="10">
        <v>0.19</v>
      </c>
      <c r="F748" s="10">
        <v>120.84386839577196</v>
      </c>
      <c r="G748" s="10">
        <v>118.76308211233216</v>
      </c>
      <c r="H748" s="10">
        <v>121.04431</v>
      </c>
      <c r="I748" s="10">
        <v>157.55555555555554</v>
      </c>
      <c r="J748" s="10">
        <v>149.18996098243451</v>
      </c>
      <c r="K748" s="10">
        <v>146.62108902757055</v>
      </c>
      <c r="L748" s="10">
        <v>149.4374197530864</v>
      </c>
      <c r="M748" s="10">
        <v>8.3655945731210295</v>
      </c>
      <c r="N748" s="10">
        <v>10.934466527984995</v>
      </c>
      <c r="O748" s="10">
        <v>8.1181358024691406</v>
      </c>
      <c r="P748" s="5">
        <v>0.14458051225694829</v>
      </c>
      <c r="Q748" s="5">
        <v>0.12959315166454391</v>
      </c>
      <c r="R748" s="5">
        <v>0.14599703199596895</v>
      </c>
    </row>
    <row r="749" spans="1:18">
      <c r="A749" t="s">
        <v>3287</v>
      </c>
      <c r="B749" t="s">
        <v>128</v>
      </c>
      <c r="C749" s="10">
        <v>123.06</v>
      </c>
      <c r="D749" s="10">
        <v>66</v>
      </c>
      <c r="E749" s="10">
        <v>0.19</v>
      </c>
      <c r="F749" s="10">
        <v>125.57734084799228</v>
      </c>
      <c r="G749" s="10">
        <v>128.51884346903091</v>
      </c>
      <c r="H749" s="10">
        <v>128.81029000000001</v>
      </c>
      <c r="I749" s="10">
        <v>151.92592592592592</v>
      </c>
      <c r="J749" s="10">
        <v>155.03375413332378</v>
      </c>
      <c r="K749" s="10">
        <v>158.66523885065544</v>
      </c>
      <c r="L749" s="10">
        <v>159.02504938271605</v>
      </c>
      <c r="M749" s="10">
        <v>3.1078282073978585</v>
      </c>
      <c r="N749" s="10">
        <v>6.7393129247295178</v>
      </c>
      <c r="O749" s="10">
        <v>7.0991234567901245</v>
      </c>
      <c r="P749" s="5">
        <v>0.20623737270676831</v>
      </c>
      <c r="Q749" s="5">
        <v>0.22440478524832444</v>
      </c>
      <c r="R749" s="5">
        <v>0.22615964920193873</v>
      </c>
    </row>
    <row r="750" spans="1:18">
      <c r="A750" t="s">
        <v>3288</v>
      </c>
      <c r="B750" t="s">
        <v>128</v>
      </c>
      <c r="C750" s="10">
        <v>56.95</v>
      </c>
      <c r="D750" s="10">
        <v>51</v>
      </c>
      <c r="E750" s="10">
        <v>0.19</v>
      </c>
      <c r="F750" s="10">
        <v>54.786663946874491</v>
      </c>
      <c r="G750" s="10">
        <v>54.236312972634693</v>
      </c>
      <c r="H750" s="10">
        <v>54.093918000000002</v>
      </c>
      <c r="I750" s="10">
        <v>70.308641975308646</v>
      </c>
      <c r="J750" s="10">
        <v>67.637856724536405</v>
      </c>
      <c r="K750" s="10">
        <v>66.958411077326772</v>
      </c>
      <c r="L750" s="10">
        <v>66.782614814814806</v>
      </c>
      <c r="M750" s="10">
        <v>2.6707852507722407</v>
      </c>
      <c r="N750" s="10">
        <v>3.3502308979818736</v>
      </c>
      <c r="O750" s="10">
        <v>3.5260271604938396</v>
      </c>
      <c r="P750" s="5">
        <v>0.1580158988192667</v>
      </c>
      <c r="Q750" s="5">
        <v>0.14947205162572597</v>
      </c>
      <c r="R750" s="5">
        <v>0.14723315105406104</v>
      </c>
    </row>
    <row r="751" spans="1:18">
      <c r="A751" t="s">
        <v>3289</v>
      </c>
      <c r="B751" t="s">
        <v>128</v>
      </c>
      <c r="C751" s="10">
        <v>68.180000000000007</v>
      </c>
      <c r="D751" s="10">
        <v>51</v>
      </c>
      <c r="E751" s="10">
        <v>0.19</v>
      </c>
      <c r="F751" s="10">
        <v>70.386856231777713</v>
      </c>
      <c r="G751" s="10">
        <v>66.297624132534068</v>
      </c>
      <c r="H751" s="10">
        <v>68.606229999999996</v>
      </c>
      <c r="I751" s="10">
        <v>84.172839506172849</v>
      </c>
      <c r="J751" s="10">
        <v>86.897353372565078</v>
      </c>
      <c r="K751" s="10">
        <v>81.84891868214082</v>
      </c>
      <c r="L751" s="10">
        <v>84.699049382716041</v>
      </c>
      <c r="M751" s="10">
        <v>2.724513866392229</v>
      </c>
      <c r="N751" s="10">
        <v>2.3239208240320295</v>
      </c>
      <c r="O751" s="10">
        <v>0.52620987654319151</v>
      </c>
      <c r="P751" s="5">
        <v>0.21539612711006279</v>
      </c>
      <c r="Q751" s="5">
        <v>0.16700182363097399</v>
      </c>
      <c r="R751" s="5">
        <v>0.19503228788405935</v>
      </c>
    </row>
    <row r="752" spans="1:18">
      <c r="A752" t="s">
        <v>3290</v>
      </c>
      <c r="B752" t="s">
        <v>128</v>
      </c>
      <c r="C752" s="10">
        <v>216.33</v>
      </c>
      <c r="D752" s="10">
        <v>66</v>
      </c>
      <c r="E752" s="10">
        <v>0.19</v>
      </c>
      <c r="F752" s="10">
        <v>222.15840883627118</v>
      </c>
      <c r="G752" s="10">
        <v>186.1598652930403</v>
      </c>
      <c r="H752" s="10">
        <v>201.69765000000001</v>
      </c>
      <c r="I752" s="10">
        <v>267.07407407407408</v>
      </c>
      <c r="J752" s="10">
        <v>274.26964053860638</v>
      </c>
      <c r="K752" s="10">
        <v>229.82699418893861</v>
      </c>
      <c r="L752" s="10">
        <v>249.00944444444443</v>
      </c>
      <c r="M752" s="10">
        <v>7.1955664645323054</v>
      </c>
      <c r="N752" s="10">
        <v>37.247079885135463</v>
      </c>
      <c r="O752" s="10">
        <v>18.06462962962965</v>
      </c>
      <c r="P752" s="5">
        <v>0.21125065255062653</v>
      </c>
      <c r="Q752" s="5">
        <v>5.8726757649029029E-2</v>
      </c>
      <c r="R752" s="5">
        <v>0.13123777099039069</v>
      </c>
    </row>
    <row r="753" spans="1:18">
      <c r="A753" t="s">
        <v>3291</v>
      </c>
      <c r="B753" t="s">
        <v>128</v>
      </c>
      <c r="C753" s="10">
        <v>53.27</v>
      </c>
      <c r="D753" s="10">
        <v>51</v>
      </c>
      <c r="E753" s="10">
        <v>0.19</v>
      </c>
      <c r="F753" s="10">
        <v>57.027285579955453</v>
      </c>
      <c r="G753" s="10">
        <v>57.269298120558794</v>
      </c>
      <c r="H753" s="10">
        <v>56.630389999999998</v>
      </c>
      <c r="I753" s="10">
        <v>65.76543209876543</v>
      </c>
      <c r="J753" s="10">
        <v>70.404056271549933</v>
      </c>
      <c r="K753" s="10">
        <v>70.702837185875055</v>
      </c>
      <c r="L753" s="10">
        <v>69.914061728395055</v>
      </c>
      <c r="M753" s="10">
        <v>4.6386241727845032</v>
      </c>
      <c r="N753" s="10">
        <v>4.9374050871096244</v>
      </c>
      <c r="O753" s="10">
        <v>4.1486296296296246</v>
      </c>
      <c r="P753" s="5">
        <v>0.24336745890696287</v>
      </c>
      <c r="Q753" s="5">
        <v>0.24656488876174501</v>
      </c>
      <c r="R753" s="5">
        <v>0.23806457981306492</v>
      </c>
    </row>
    <row r="754" spans="1:18">
      <c r="A754" t="s">
        <v>3292</v>
      </c>
      <c r="B754" t="s">
        <v>128</v>
      </c>
      <c r="C754" s="10">
        <v>91.25</v>
      </c>
      <c r="D754" s="10">
        <v>51</v>
      </c>
      <c r="E754" s="10">
        <v>0.19</v>
      </c>
      <c r="F754" s="10">
        <v>95.926471123171154</v>
      </c>
      <c r="G754" s="10">
        <v>94.337395929284369</v>
      </c>
      <c r="H754" s="10">
        <v>91.862070000000003</v>
      </c>
      <c r="I754" s="10">
        <v>112.65432098765432</v>
      </c>
      <c r="J754" s="10">
        <v>118.42774212737179</v>
      </c>
      <c r="K754" s="10">
        <v>116.46592090035107</v>
      </c>
      <c r="L754" s="10">
        <v>113.40996296296296</v>
      </c>
      <c r="M754" s="10">
        <v>5.7734211397174704</v>
      </c>
      <c r="N754" s="10">
        <v>3.8115999126967495</v>
      </c>
      <c r="O754" s="10">
        <v>0.75564197530864874</v>
      </c>
      <c r="P754" s="5">
        <v>0.22948796995674792</v>
      </c>
      <c r="Q754" s="5">
        <v>0.21650900714489654</v>
      </c>
      <c r="R754" s="5">
        <v>0.19539696852030441</v>
      </c>
    </row>
    <row r="755" spans="1:18">
      <c r="A755" t="s">
        <v>3293</v>
      </c>
      <c r="B755" t="s">
        <v>128</v>
      </c>
      <c r="C755" s="10">
        <v>55.98</v>
      </c>
      <c r="D755" s="10">
        <v>51</v>
      </c>
      <c r="E755" s="10">
        <v>0.19</v>
      </c>
      <c r="F755" s="10">
        <v>63.864844253548505</v>
      </c>
      <c r="G755" s="10">
        <v>63.990671997614271</v>
      </c>
      <c r="H755" s="10">
        <v>63.149796000000002</v>
      </c>
      <c r="I755" s="10">
        <v>69.1111111111111</v>
      </c>
      <c r="J755" s="10">
        <v>78.845486732775925</v>
      </c>
      <c r="K755" s="10">
        <v>79.000829626684279</v>
      </c>
      <c r="L755" s="10">
        <v>77.962711111111105</v>
      </c>
      <c r="M755" s="10">
        <v>9.7343756216648245</v>
      </c>
      <c r="N755" s="10">
        <v>9.889718515573179</v>
      </c>
      <c r="O755" s="10">
        <v>8.8516000000000048</v>
      </c>
      <c r="P755" s="5">
        <v>0.29000374885466701</v>
      </c>
      <c r="Q755" s="5">
        <v>0.29139984650121303</v>
      </c>
      <c r="R755" s="5">
        <v>0.28196442629838425</v>
      </c>
    </row>
    <row r="756" spans="1:18">
      <c r="A756" t="s">
        <v>3294</v>
      </c>
      <c r="B756" t="s">
        <v>128</v>
      </c>
      <c r="C756" s="10">
        <v>158.03</v>
      </c>
      <c r="D756" s="10">
        <v>66</v>
      </c>
      <c r="E756" s="10">
        <v>0.19</v>
      </c>
      <c r="F756" s="10">
        <v>158.21250214099589</v>
      </c>
      <c r="G756" s="10">
        <v>156.68949977106223</v>
      </c>
      <c r="H756" s="10">
        <v>143.02113</v>
      </c>
      <c r="I756" s="10">
        <v>195.09876543209876</v>
      </c>
      <c r="J756" s="10">
        <v>195.32407671727887</v>
      </c>
      <c r="K756" s="10">
        <v>193.4438268778546</v>
      </c>
      <c r="L756" s="10">
        <v>176.56929629629627</v>
      </c>
      <c r="M756" s="10">
        <v>0.22531128518011201</v>
      </c>
      <c r="N756" s="10">
        <v>1.6549385542441541</v>
      </c>
      <c r="O756" s="10">
        <v>18.529469135802486</v>
      </c>
      <c r="P756" s="5">
        <v>0.19093435558003455</v>
      </c>
      <c r="Q756" s="5">
        <v>0.18307033855474644</v>
      </c>
      <c r="R756" s="5">
        <v>0.10499728256936568</v>
      </c>
    </row>
    <row r="757" spans="1:18">
      <c r="A757" t="s">
        <v>3295</v>
      </c>
      <c r="B757" t="s">
        <v>128</v>
      </c>
      <c r="C757" s="10">
        <v>131.21</v>
      </c>
      <c r="D757" s="10">
        <v>66</v>
      </c>
      <c r="E757" s="10">
        <v>0.19</v>
      </c>
      <c r="F757" s="10">
        <v>134.79410995410308</v>
      </c>
      <c r="G757" s="10">
        <v>130.63205045787544</v>
      </c>
      <c r="H757" s="10">
        <v>132.4796</v>
      </c>
      <c r="I757" s="10">
        <v>161.98765432098764</v>
      </c>
      <c r="J757" s="10">
        <v>166.41248142481859</v>
      </c>
      <c r="K757" s="10">
        <v>161.27413636774745</v>
      </c>
      <c r="L757" s="10">
        <v>163.55506172839506</v>
      </c>
      <c r="M757" s="10">
        <v>4.4248271038309497</v>
      </c>
      <c r="N757" s="10">
        <v>0.71351795324019918</v>
      </c>
      <c r="O757" s="10">
        <v>1.5674074074074156</v>
      </c>
      <c r="P757" s="5">
        <v>0.21153750682290182</v>
      </c>
      <c r="Q757" s="5">
        <v>0.18641635320367364</v>
      </c>
      <c r="R757" s="5">
        <v>0.1977625234375707</v>
      </c>
    </row>
    <row r="758" spans="1:18">
      <c r="A758" t="s">
        <v>3296</v>
      </c>
      <c r="B758" t="s">
        <v>128</v>
      </c>
      <c r="C758" s="10">
        <v>74.489999999999995</v>
      </c>
      <c r="D758" s="10">
        <v>51</v>
      </c>
      <c r="E758" s="10">
        <v>0.19</v>
      </c>
      <c r="F758" s="10">
        <v>78.518627994880958</v>
      </c>
      <c r="G758" s="10">
        <v>72.160826086054556</v>
      </c>
      <c r="H758" s="10">
        <v>74.253439999999998</v>
      </c>
      <c r="I758" s="10">
        <v>91.962962962962948</v>
      </c>
      <c r="J758" s="10">
        <v>96.936577771457962</v>
      </c>
      <c r="K758" s="10">
        <v>89.087439612413021</v>
      </c>
      <c r="L758" s="10">
        <v>91.670913580246904</v>
      </c>
      <c r="M758" s="10">
        <v>4.9736148084950145</v>
      </c>
      <c r="N758" s="10">
        <v>2.8755233505499262</v>
      </c>
      <c r="O758" s="10">
        <v>0.29204938271604419</v>
      </c>
      <c r="P758" s="5">
        <v>0.23155942047365266</v>
      </c>
      <c r="Q758" s="5">
        <v>0.16385519300948781</v>
      </c>
      <c r="R758" s="5">
        <v>0.1874194650106446</v>
      </c>
    </row>
    <row r="759" spans="1:18">
      <c r="A759" t="s">
        <v>3297</v>
      </c>
      <c r="B759" t="s">
        <v>128</v>
      </c>
      <c r="C759" s="10">
        <v>121.06</v>
      </c>
      <c r="D759" s="10">
        <v>66</v>
      </c>
      <c r="E759" s="10">
        <v>0.19</v>
      </c>
      <c r="F759" s="10">
        <v>120.2575858838851</v>
      </c>
      <c r="G759" s="10">
        <v>124.05303479853492</v>
      </c>
      <c r="H759" s="10">
        <v>122.41749</v>
      </c>
      <c r="I759" s="10">
        <v>149.45679012345678</v>
      </c>
      <c r="J759" s="10">
        <v>148.46615541220382</v>
      </c>
      <c r="K759" s="10">
        <v>153.15189481300607</v>
      </c>
      <c r="L759" s="10">
        <v>151.1327037037037</v>
      </c>
      <c r="M759" s="10">
        <v>0.99063471125296587</v>
      </c>
      <c r="N759" s="10">
        <v>3.6951046895492823</v>
      </c>
      <c r="O759" s="10">
        <v>1.6759135802469132</v>
      </c>
      <c r="P759" s="5">
        <v>0.18459530615656428</v>
      </c>
      <c r="Q759" s="5">
        <v>0.20954291719465384</v>
      </c>
      <c r="R759" s="5">
        <v>0.19898210623334944</v>
      </c>
    </row>
    <row r="760" spans="1:18">
      <c r="A760" t="s">
        <v>3298</v>
      </c>
      <c r="B760" t="s">
        <v>128</v>
      </c>
      <c r="C760" s="10">
        <v>140.21</v>
      </c>
      <c r="D760" s="10">
        <v>66</v>
      </c>
      <c r="E760" s="10">
        <v>0.19</v>
      </c>
      <c r="F760" s="10">
        <v>139.31238585684025</v>
      </c>
      <c r="G760" s="10">
        <v>132.2875509920635</v>
      </c>
      <c r="H760" s="10">
        <v>132.05356</v>
      </c>
      <c r="I760" s="10">
        <v>173.09876543209876</v>
      </c>
      <c r="J760" s="10">
        <v>171.99059982325957</v>
      </c>
      <c r="K760" s="10">
        <v>163.31796418773271</v>
      </c>
      <c r="L760" s="10">
        <v>163.02908641975307</v>
      </c>
      <c r="M760" s="10">
        <v>1.1081656088391867</v>
      </c>
      <c r="N760" s="10">
        <v>9.7808012443660459</v>
      </c>
      <c r="O760" s="10">
        <v>10.069679012345688</v>
      </c>
      <c r="P760" s="5">
        <v>0.18478102789290718</v>
      </c>
      <c r="Q760" s="5">
        <v>0.14149064557999438</v>
      </c>
      <c r="R760" s="5">
        <v>0.1399694184692937</v>
      </c>
    </row>
    <row r="761" spans="1:18">
      <c r="A761" t="s">
        <v>3299</v>
      </c>
      <c r="B761" t="s">
        <v>128</v>
      </c>
      <c r="C761" s="10">
        <v>133.65</v>
      </c>
      <c r="D761" s="10">
        <v>66</v>
      </c>
      <c r="E761" s="10">
        <v>0.19</v>
      </c>
      <c r="F761" s="10">
        <v>131.78078799227828</v>
      </c>
      <c r="G761" s="10">
        <v>129.29738189865685</v>
      </c>
      <c r="H761" s="10">
        <v>128.80756</v>
      </c>
      <c r="I761" s="10">
        <v>165</v>
      </c>
      <c r="J761" s="10">
        <v>162.69233085466453</v>
      </c>
      <c r="K761" s="10">
        <v>159.6263974057492</v>
      </c>
      <c r="L761" s="10">
        <v>159.02167901234566</v>
      </c>
      <c r="M761" s="10">
        <v>2.307669145335467</v>
      </c>
      <c r="N761" s="10">
        <v>5.3736025942507979</v>
      </c>
      <c r="O761" s="10">
        <v>5.9783209876543424</v>
      </c>
      <c r="P761" s="5">
        <v>0.1785107552525538</v>
      </c>
      <c r="Q761" s="5">
        <v>0.1627324667343123</v>
      </c>
      <c r="R761" s="5">
        <v>0.15954855444820149</v>
      </c>
    </row>
    <row r="762" spans="1:18">
      <c r="A762" t="s">
        <v>3300</v>
      </c>
      <c r="B762" t="s">
        <v>128</v>
      </c>
      <c r="C762" s="10">
        <v>67.739999999999995</v>
      </c>
      <c r="D762" s="10">
        <v>51</v>
      </c>
      <c r="E762" s="10">
        <v>0.19</v>
      </c>
      <c r="F762" s="10">
        <v>62.076482381133523</v>
      </c>
      <c r="G762" s="10">
        <v>63.521671831624388</v>
      </c>
      <c r="H762" s="10">
        <v>63.609836999999999</v>
      </c>
      <c r="I762" s="10">
        <v>83.629629629629619</v>
      </c>
      <c r="J762" s="10">
        <v>76.637632569300635</v>
      </c>
      <c r="K762" s="10">
        <v>78.421817076079492</v>
      </c>
      <c r="L762" s="10">
        <v>78.53066296296295</v>
      </c>
      <c r="M762" s="10">
        <v>6.991997060328984</v>
      </c>
      <c r="N762" s="10">
        <v>5.2078125535501272</v>
      </c>
      <c r="O762" s="10">
        <v>5.0989666666666693</v>
      </c>
      <c r="P762" s="5">
        <v>0.11610004473004608</v>
      </c>
      <c r="Q762" s="5">
        <v>0.13620976246593122</v>
      </c>
      <c r="R762" s="5">
        <v>0.13740700200190728</v>
      </c>
    </row>
    <row r="763" spans="1:18">
      <c r="A763" t="s">
        <v>3301</v>
      </c>
      <c r="B763" t="s">
        <v>128</v>
      </c>
      <c r="C763" s="10">
        <v>51.47</v>
      </c>
      <c r="D763" s="10">
        <v>51</v>
      </c>
      <c r="E763" s="10">
        <v>0.19</v>
      </c>
      <c r="F763" s="10">
        <v>52.679145525733823</v>
      </c>
      <c r="G763" s="10">
        <v>50.576894777098872</v>
      </c>
      <c r="H763" s="10">
        <v>50.732025</v>
      </c>
      <c r="I763" s="10">
        <v>63.543209876543202</v>
      </c>
      <c r="J763" s="10">
        <v>65.035982130535587</v>
      </c>
      <c r="K763" s="10">
        <v>62.440610835924531</v>
      </c>
      <c r="L763" s="10">
        <v>62.632129629629624</v>
      </c>
      <c r="M763" s="10">
        <v>1.4927722539923849</v>
      </c>
      <c r="N763" s="10">
        <v>1.1025990406186708</v>
      </c>
      <c r="O763" s="10">
        <v>0.9110802469135777</v>
      </c>
      <c r="P763" s="5">
        <v>0.20859194689036778</v>
      </c>
      <c r="Q763" s="5">
        <v>0.17569672508092618</v>
      </c>
      <c r="R763" s="5">
        <v>0.17821730948054995</v>
      </c>
    </row>
    <row r="764" spans="1:18">
      <c r="A764" t="s">
        <v>3302</v>
      </c>
      <c r="B764" t="s">
        <v>128</v>
      </c>
      <c r="C764" s="10">
        <v>56.25</v>
      </c>
      <c r="D764" s="10">
        <v>51</v>
      </c>
      <c r="E764" s="10">
        <v>0.19</v>
      </c>
      <c r="F764" s="10">
        <v>55.156871615653394</v>
      </c>
      <c r="G764" s="10">
        <v>53.812932373690323</v>
      </c>
      <c r="H764" s="10">
        <v>52.415399999999998</v>
      </c>
      <c r="I764" s="10">
        <v>69.444444444444443</v>
      </c>
      <c r="J764" s="10">
        <v>68.094903229201719</v>
      </c>
      <c r="K764" s="10">
        <v>66.435718979864589</v>
      </c>
      <c r="L764" s="10">
        <v>64.71037037037037</v>
      </c>
      <c r="M764" s="10">
        <v>1.3495412152427235</v>
      </c>
      <c r="N764" s="10">
        <v>3.0087254645798538</v>
      </c>
      <c r="O764" s="10">
        <v>4.7340740740740728</v>
      </c>
      <c r="P764" s="5">
        <v>0.17394698674191181</v>
      </c>
      <c r="Q764" s="5">
        <v>0.15331690747490348</v>
      </c>
      <c r="R764" s="5">
        <v>0.13074211014320219</v>
      </c>
    </row>
    <row r="765" spans="1:18">
      <c r="A765" t="s">
        <v>3303</v>
      </c>
      <c r="B765" t="s">
        <v>128</v>
      </c>
      <c r="C765" s="10">
        <v>129.4</v>
      </c>
      <c r="D765" s="10">
        <v>66</v>
      </c>
      <c r="E765" s="10">
        <v>0.19</v>
      </c>
      <c r="F765" s="10">
        <v>122.2338259035586</v>
      </c>
      <c r="G765" s="10">
        <v>124.35979065934069</v>
      </c>
      <c r="H765" s="10">
        <v>122.54601</v>
      </c>
      <c r="I765" s="10">
        <v>159.75308641975309</v>
      </c>
      <c r="J765" s="10">
        <v>150.9059579056279</v>
      </c>
      <c r="K765" s="10">
        <v>153.53060575227244</v>
      </c>
      <c r="L765" s="10">
        <v>151.29137037037034</v>
      </c>
      <c r="M765" s="10">
        <v>8.8471285141251883</v>
      </c>
      <c r="N765" s="10">
        <v>6.222480667480653</v>
      </c>
      <c r="O765" s="10">
        <v>8.4617160493827441</v>
      </c>
      <c r="P765" s="5">
        <v>0.14251231829479577</v>
      </c>
      <c r="Q765" s="5">
        <v>0.15717130557804282</v>
      </c>
      <c r="R765" s="5">
        <v>0.14469675512079078</v>
      </c>
    </row>
    <row r="766" spans="1:18">
      <c r="A766" t="s">
        <v>3304</v>
      </c>
      <c r="B766" t="s">
        <v>128</v>
      </c>
      <c r="C766" s="10">
        <v>58.55</v>
      </c>
      <c r="D766" s="10">
        <v>51</v>
      </c>
      <c r="E766" s="10">
        <v>0.19</v>
      </c>
      <c r="F766" s="10">
        <v>58.339747436172964</v>
      </c>
      <c r="G766" s="10">
        <v>61.081389425645845</v>
      </c>
      <c r="H766" s="10">
        <v>59.370944999999999</v>
      </c>
      <c r="I766" s="10">
        <v>72.283950617283949</v>
      </c>
      <c r="J766" s="10">
        <v>72.024379550830815</v>
      </c>
      <c r="K766" s="10">
        <v>75.40912274771091</v>
      </c>
      <c r="L766" s="10">
        <v>73.297462962962953</v>
      </c>
      <c r="M766" s="10">
        <v>0.25957106645313388</v>
      </c>
      <c r="N766" s="10">
        <v>3.1251721304269608</v>
      </c>
      <c r="O766" s="10">
        <v>1.0135123456790041</v>
      </c>
      <c r="P766" s="5">
        <v>0.18708081395302195</v>
      </c>
      <c r="Q766" s="5">
        <v>0.22356874252621753</v>
      </c>
      <c r="R766" s="5">
        <v>0.20120018301881495</v>
      </c>
    </row>
    <row r="767" spans="1:18">
      <c r="A767" t="s">
        <v>3305</v>
      </c>
      <c r="B767" t="s">
        <v>128</v>
      </c>
      <c r="C767" s="10">
        <v>142.97999999999999</v>
      </c>
      <c r="D767" s="10">
        <v>51</v>
      </c>
      <c r="E767" s="10">
        <v>0.19</v>
      </c>
      <c r="F767" s="10">
        <v>149.50303524728133</v>
      </c>
      <c r="G767" s="10">
        <v>149.68035810439565</v>
      </c>
      <c r="H767" s="10">
        <v>148.20438999999999</v>
      </c>
      <c r="I767" s="10">
        <v>176.5185185185185</v>
      </c>
      <c r="J767" s="10">
        <v>184.57164845343374</v>
      </c>
      <c r="K767" s="10">
        <v>184.79056556098229</v>
      </c>
      <c r="L767" s="10">
        <v>182.96838271604935</v>
      </c>
      <c r="M767" s="10">
        <v>8.0531299349152334</v>
      </c>
      <c r="N767" s="10">
        <v>8.2720470424637824</v>
      </c>
      <c r="O767" s="10">
        <v>6.4498641975308431</v>
      </c>
      <c r="P767" s="5">
        <v>0.22534148013489222</v>
      </c>
      <c r="Q767" s="5">
        <v>0.22625920016021864</v>
      </c>
      <c r="R767" s="5">
        <v>0.21855351248367194</v>
      </c>
    </row>
    <row r="768" spans="1:18">
      <c r="A768" t="s">
        <v>3306</v>
      </c>
      <c r="B768" t="s">
        <v>128</v>
      </c>
      <c r="C768" s="10">
        <v>66.08</v>
      </c>
      <c r="D768" s="10">
        <v>51</v>
      </c>
      <c r="E768" s="10">
        <v>0.19</v>
      </c>
      <c r="F768" s="10">
        <v>62.454700309556259</v>
      </c>
      <c r="G768" s="10">
        <v>63.894126370222388</v>
      </c>
      <c r="H768" s="10">
        <v>64.04486</v>
      </c>
      <c r="I768" s="10">
        <v>81.58024691358024</v>
      </c>
      <c r="J768" s="10">
        <v>77.104568283402784</v>
      </c>
      <c r="K768" s="10">
        <v>78.88163749410171</v>
      </c>
      <c r="L768" s="10">
        <v>79.067728395061721</v>
      </c>
      <c r="M768" s="10">
        <v>4.4756786301774554</v>
      </c>
      <c r="N768" s="10">
        <v>2.6986094194785295</v>
      </c>
      <c r="O768" s="10">
        <v>2.5125185185185188</v>
      </c>
      <c r="P768" s="5">
        <v>0.14298203762559539</v>
      </c>
      <c r="Q768" s="5">
        <v>0.16228919556923424</v>
      </c>
      <c r="R768" s="5">
        <v>0.16426080094483766</v>
      </c>
    </row>
    <row r="769" spans="1:18">
      <c r="A769" t="s">
        <v>3307</v>
      </c>
      <c r="B769" t="s">
        <v>128</v>
      </c>
      <c r="C769" s="10">
        <v>56.25</v>
      </c>
      <c r="D769" s="10">
        <v>51</v>
      </c>
      <c r="E769" s="10">
        <v>0.19</v>
      </c>
      <c r="F769" s="10">
        <v>54.097576279512481</v>
      </c>
      <c r="G769" s="10">
        <v>54.359643555401959</v>
      </c>
      <c r="H769" s="10">
        <v>52.680042</v>
      </c>
      <c r="I769" s="10">
        <v>69.444444444444443</v>
      </c>
      <c r="J769" s="10">
        <v>66.787131209274662</v>
      </c>
      <c r="K769" s="10">
        <v>67.1106710560518</v>
      </c>
      <c r="L769" s="10">
        <v>65.037088888888889</v>
      </c>
      <c r="M769" s="10">
        <v>2.6573132351697808</v>
      </c>
      <c r="N769" s="10">
        <v>2.3337733883926433</v>
      </c>
      <c r="O769" s="10">
        <v>4.4073555555555544</v>
      </c>
      <c r="P769" s="5">
        <v>0.1577718793798315</v>
      </c>
      <c r="Q769" s="5">
        <v>0.16183225238473342</v>
      </c>
      <c r="R769" s="5">
        <v>0.13510889000430182</v>
      </c>
    </row>
    <row r="770" spans="1:18">
      <c r="A770" t="s">
        <v>3308</v>
      </c>
      <c r="B770" t="s">
        <v>128</v>
      </c>
      <c r="C770" s="10">
        <v>56.77</v>
      </c>
      <c r="D770" s="10">
        <v>51</v>
      </c>
      <c r="E770" s="10">
        <v>0.19</v>
      </c>
      <c r="F770" s="10">
        <v>55.221480321236648</v>
      </c>
      <c r="G770" s="10">
        <v>55.472700724778846</v>
      </c>
      <c r="H770" s="10">
        <v>55.689419999999998</v>
      </c>
      <c r="I770" s="10">
        <v>70.086419753086417</v>
      </c>
      <c r="J770" s="10">
        <v>68.174667063255114</v>
      </c>
      <c r="K770" s="10">
        <v>68.48481570960351</v>
      </c>
      <c r="L770" s="10">
        <v>68.752370370370357</v>
      </c>
      <c r="M770" s="10">
        <v>1.9117526898313031</v>
      </c>
      <c r="N770" s="10">
        <v>1.601604043482908</v>
      </c>
      <c r="O770" s="10">
        <v>1.33404938271606</v>
      </c>
      <c r="P770" s="5">
        <v>0.16728599573025293</v>
      </c>
      <c r="Q770" s="5">
        <v>0.17105712541124291</v>
      </c>
      <c r="R770" s="5">
        <v>0.17428301461929374</v>
      </c>
    </row>
    <row r="771" spans="1:18">
      <c r="A771" t="s">
        <v>3309</v>
      </c>
      <c r="B771" t="s">
        <v>128</v>
      </c>
      <c r="C771" s="10">
        <v>125.83</v>
      </c>
      <c r="D771" s="10">
        <v>66</v>
      </c>
      <c r="E771" s="10">
        <v>0.19</v>
      </c>
      <c r="F771" s="10">
        <v>118.72764404959139</v>
      </c>
      <c r="G771" s="10">
        <v>114.17994323870572</v>
      </c>
      <c r="H771" s="10">
        <v>117.59277</v>
      </c>
      <c r="I771" s="10">
        <v>155.34567901234567</v>
      </c>
      <c r="J771" s="10">
        <v>146.57733833282887</v>
      </c>
      <c r="K771" s="10">
        <v>140.96289288729099</v>
      </c>
      <c r="L771" s="10">
        <v>145.17625925925924</v>
      </c>
      <c r="M771" s="10">
        <v>8.7683406795167969</v>
      </c>
      <c r="N771" s="10">
        <v>14.382786125054679</v>
      </c>
      <c r="O771" s="10">
        <v>10.16941975308643</v>
      </c>
      <c r="P771" s="5">
        <v>0.14154533414789194</v>
      </c>
      <c r="Q771" s="5">
        <v>0.107353733860944</v>
      </c>
      <c r="R771" s="5">
        <v>0.13326048871882165</v>
      </c>
    </row>
    <row r="772" spans="1:18">
      <c r="A772" t="s">
        <v>3310</v>
      </c>
      <c r="B772" t="s">
        <v>128</v>
      </c>
      <c r="C772" s="10">
        <v>53.36</v>
      </c>
      <c r="D772" s="10">
        <v>51</v>
      </c>
      <c r="E772" s="10">
        <v>0.19</v>
      </c>
      <c r="F772" s="10">
        <v>52.898121984149007</v>
      </c>
      <c r="G772" s="10">
        <v>52.662044300929267</v>
      </c>
      <c r="H772" s="10">
        <v>53.223680000000002</v>
      </c>
      <c r="I772" s="10">
        <v>65.876543209876544</v>
      </c>
      <c r="J772" s="10">
        <v>65.306323437220996</v>
      </c>
      <c r="K772" s="10">
        <v>65.014869507320086</v>
      </c>
      <c r="L772" s="10">
        <v>65.70824691358024</v>
      </c>
      <c r="M772" s="10">
        <v>0.57021977265554824</v>
      </c>
      <c r="N772" s="10">
        <v>0.86167370255645892</v>
      </c>
      <c r="O772" s="10">
        <v>0.1682962962963046</v>
      </c>
      <c r="P772" s="5">
        <v>0.18292751464879206</v>
      </c>
      <c r="Q772" s="5">
        <v>0.17926467584477507</v>
      </c>
      <c r="R772" s="5">
        <v>0.18792537457011607</v>
      </c>
    </row>
    <row r="773" spans="1:18">
      <c r="A773" t="s">
        <v>3311</v>
      </c>
      <c r="B773" t="s">
        <v>128</v>
      </c>
      <c r="C773" s="10">
        <v>153.4</v>
      </c>
      <c r="D773" s="10">
        <v>66</v>
      </c>
      <c r="E773" s="10">
        <v>0.19</v>
      </c>
      <c r="F773" s="10">
        <v>156.01817045615451</v>
      </c>
      <c r="G773" s="10">
        <v>143.71020205627713</v>
      </c>
      <c r="H773" s="10">
        <v>156.01427000000001</v>
      </c>
      <c r="I773" s="10">
        <v>189.38271604938271</v>
      </c>
      <c r="J773" s="10">
        <v>192.61502525451172</v>
      </c>
      <c r="K773" s="10">
        <v>177.42000253861372</v>
      </c>
      <c r="L773" s="10">
        <v>192.61020987654322</v>
      </c>
      <c r="M773" s="10">
        <v>3.2323092051290132</v>
      </c>
      <c r="N773" s="10">
        <v>11.962713510768992</v>
      </c>
      <c r="O773" s="10">
        <v>3.2274938271605151</v>
      </c>
      <c r="P773" s="5">
        <v>0.20359276335111953</v>
      </c>
      <c r="Q773" s="5">
        <v>0.13538497460784329</v>
      </c>
      <c r="R773" s="5">
        <v>0.20357285266277247</v>
      </c>
    </row>
    <row r="774" spans="1:18">
      <c r="A774" t="s">
        <v>3312</v>
      </c>
      <c r="B774" t="s">
        <v>128</v>
      </c>
      <c r="C774" s="10">
        <v>87.19</v>
      </c>
      <c r="D774" s="10">
        <v>51</v>
      </c>
      <c r="E774" s="10">
        <v>0.19</v>
      </c>
      <c r="F774" s="10">
        <v>82.62255791457622</v>
      </c>
      <c r="G774" s="10">
        <v>79.683151923076892</v>
      </c>
      <c r="H774" s="10">
        <v>78.740905999999995</v>
      </c>
      <c r="I774" s="10">
        <v>107.64197530864196</v>
      </c>
      <c r="J774" s="10">
        <v>102.00315791922989</v>
      </c>
      <c r="K774" s="10">
        <v>98.374261633428262</v>
      </c>
      <c r="L774" s="10">
        <v>97.210995061728383</v>
      </c>
      <c r="M774" s="10">
        <v>5.6388173894120683</v>
      </c>
      <c r="N774" s="10">
        <v>9.2677136752136988</v>
      </c>
      <c r="O774" s="10">
        <v>10.430980246913578</v>
      </c>
      <c r="P774" s="5">
        <v>0.14522254233500825</v>
      </c>
      <c r="Q774" s="5">
        <v>0.11369093345883649</v>
      </c>
      <c r="R774" s="5">
        <v>0.10308499625340853</v>
      </c>
    </row>
    <row r="775" spans="1:18">
      <c r="A775" t="s">
        <v>3313</v>
      </c>
      <c r="B775" t="s">
        <v>128</v>
      </c>
      <c r="C775" s="10">
        <v>68.569999999999993</v>
      </c>
      <c r="D775" s="10">
        <v>51</v>
      </c>
      <c r="E775" s="10">
        <v>0.19</v>
      </c>
      <c r="F775" s="10">
        <v>71.175059960460459</v>
      </c>
      <c r="G775" s="10">
        <v>69.418363670879074</v>
      </c>
      <c r="H775" s="10">
        <v>70.905000000000001</v>
      </c>
      <c r="I775" s="10">
        <v>84.654320987654302</v>
      </c>
      <c r="J775" s="10">
        <v>87.870444395630187</v>
      </c>
      <c r="K775" s="10">
        <v>85.70168354429515</v>
      </c>
      <c r="L775" s="10">
        <v>87.537037037037038</v>
      </c>
      <c r="M775" s="10">
        <v>3.2161234079758856</v>
      </c>
      <c r="N775" s="10">
        <v>1.0473625566408487</v>
      </c>
      <c r="O775" s="10">
        <v>2.8827160493827364</v>
      </c>
      <c r="P775" s="5">
        <v>0.21964660049665127</v>
      </c>
      <c r="Q775" s="5">
        <v>0.19989903156850589</v>
      </c>
      <c r="R775" s="5">
        <v>0.2166744235244342</v>
      </c>
    </row>
    <row r="776" spans="1:18">
      <c r="A776" t="s">
        <v>3314</v>
      </c>
      <c r="B776" t="s">
        <v>128</v>
      </c>
      <c r="C776" s="10">
        <v>115.67</v>
      </c>
      <c r="D776" s="10">
        <v>66</v>
      </c>
      <c r="E776" s="10">
        <v>0.19</v>
      </c>
      <c r="F776" s="10">
        <v>118.9791883519607</v>
      </c>
      <c r="G776" s="10">
        <v>117.55667348901105</v>
      </c>
      <c r="H776" s="10">
        <v>115.44970000000001</v>
      </c>
      <c r="I776" s="10">
        <v>142.80246913580245</v>
      </c>
      <c r="J776" s="10">
        <v>146.88788685427247</v>
      </c>
      <c r="K776" s="10">
        <v>145.13169566544573</v>
      </c>
      <c r="L776" s="10">
        <v>142.53049382716048</v>
      </c>
      <c r="M776" s="10">
        <v>4.085417718470012</v>
      </c>
      <c r="N776" s="10">
        <v>2.3292265296432788</v>
      </c>
      <c r="O776" s="10">
        <v>0.27197530864197006</v>
      </c>
      <c r="P776" s="5">
        <v>0.21252866742676843</v>
      </c>
      <c r="Q776" s="5">
        <v>0.2029997343472108</v>
      </c>
      <c r="R776" s="5">
        <v>0.18845436584070804</v>
      </c>
    </row>
    <row r="777" spans="1:18">
      <c r="A777" t="s">
        <v>3315</v>
      </c>
      <c r="B777" t="s">
        <v>128</v>
      </c>
      <c r="C777" s="10">
        <v>67.11</v>
      </c>
      <c r="D777" s="10">
        <v>51</v>
      </c>
      <c r="E777" s="10">
        <v>0.19</v>
      </c>
      <c r="F777" s="10">
        <v>70.199600982014729</v>
      </c>
      <c r="G777" s="10">
        <v>68.412086722658486</v>
      </c>
      <c r="H777" s="10">
        <v>70.457830000000001</v>
      </c>
      <c r="I777" s="10">
        <v>82.851851851851848</v>
      </c>
      <c r="J777" s="10">
        <v>86.66617405187003</v>
      </c>
      <c r="K777" s="10">
        <v>84.459366324269737</v>
      </c>
      <c r="L777" s="10">
        <v>86.984975308641978</v>
      </c>
      <c r="M777" s="10">
        <v>3.8143222000181822</v>
      </c>
      <c r="N777" s="10">
        <v>1.6075144724178898</v>
      </c>
      <c r="O777" s="10">
        <v>4.1331234567901305</v>
      </c>
      <c r="P777" s="5">
        <v>0.22564944473221568</v>
      </c>
      <c r="Q777" s="5">
        <v>0.20541672379661613</v>
      </c>
      <c r="R777" s="5">
        <v>0.22848745128823869</v>
      </c>
    </row>
    <row r="778" spans="1:18">
      <c r="A778" t="s">
        <v>3316</v>
      </c>
      <c r="B778" t="s">
        <v>128</v>
      </c>
      <c r="C778" s="10">
        <v>93.98</v>
      </c>
      <c r="D778" s="10">
        <v>66</v>
      </c>
      <c r="E778" s="10">
        <v>0.19</v>
      </c>
      <c r="F778" s="10">
        <v>101.56515353667585</v>
      </c>
      <c r="G778" s="10">
        <v>90.090832988084756</v>
      </c>
      <c r="H778" s="10">
        <v>87.377920000000003</v>
      </c>
      <c r="I778" s="10">
        <v>116.02469135802468</v>
      </c>
      <c r="J778" s="10">
        <v>125.38907844034055</v>
      </c>
      <c r="K778" s="10">
        <v>111.22325060257377</v>
      </c>
      <c r="L778" s="10">
        <v>107.87397530864197</v>
      </c>
      <c r="M778" s="10">
        <v>9.3643870823158721</v>
      </c>
      <c r="N778" s="10">
        <v>4.801440755450912</v>
      </c>
      <c r="O778" s="10">
        <v>8.1507160493827087</v>
      </c>
      <c r="P778" s="5">
        <v>0.2504929363149026</v>
      </c>
      <c r="Q778" s="5">
        <v>0.15503278774136769</v>
      </c>
      <c r="R778" s="5">
        <v>0.12879821355326376</v>
      </c>
    </row>
    <row r="779" spans="1:18">
      <c r="A779" t="s">
        <v>3317</v>
      </c>
      <c r="B779" t="s">
        <v>128</v>
      </c>
      <c r="C779" s="10">
        <v>61.88</v>
      </c>
      <c r="D779" s="10">
        <v>51</v>
      </c>
      <c r="E779" s="10">
        <v>0.19</v>
      </c>
      <c r="F779" s="10">
        <v>58.694811040877276</v>
      </c>
      <c r="G779" s="10">
        <v>58.579016292727246</v>
      </c>
      <c r="H779" s="10">
        <v>58.273808000000002</v>
      </c>
      <c r="I779" s="10">
        <v>76.395061728395063</v>
      </c>
      <c r="J779" s="10">
        <v>72.462729680095393</v>
      </c>
      <c r="K779" s="10">
        <v>72.319773200897828</v>
      </c>
      <c r="L779" s="10">
        <v>71.942972839506169</v>
      </c>
      <c r="M779" s="10">
        <v>3.9323320482996706</v>
      </c>
      <c r="N779" s="10">
        <v>4.0752885274972357</v>
      </c>
      <c r="O779" s="10">
        <v>4.4520888888888948</v>
      </c>
      <c r="P779" s="5">
        <v>0.14604376245299427</v>
      </c>
      <c r="Q779" s="5">
        <v>0.14435572373681363</v>
      </c>
      <c r="R779" s="5">
        <v>0.13987429824390393</v>
      </c>
    </row>
    <row r="780" spans="1:18">
      <c r="A780" t="s">
        <v>3318</v>
      </c>
      <c r="B780" t="s">
        <v>128</v>
      </c>
      <c r="C780" s="10">
        <v>64.06</v>
      </c>
      <c r="D780" s="10">
        <v>51</v>
      </c>
      <c r="E780" s="10">
        <v>0.19</v>
      </c>
      <c r="F780" s="10">
        <v>64.63562868716464</v>
      </c>
      <c r="G780" s="10">
        <v>63.183050435950392</v>
      </c>
      <c r="H780" s="10">
        <v>65.633835000000005</v>
      </c>
      <c r="I780" s="10">
        <v>79.086419753086417</v>
      </c>
      <c r="J780" s="10">
        <v>79.797072453289672</v>
      </c>
      <c r="K780" s="10">
        <v>78.003765970309118</v>
      </c>
      <c r="L780" s="10">
        <v>81.029425925925921</v>
      </c>
      <c r="M780" s="10">
        <v>0.71065270020325499</v>
      </c>
      <c r="N780" s="10">
        <v>1.0826537827772995</v>
      </c>
      <c r="O780" s="10">
        <v>1.9430061728395032</v>
      </c>
      <c r="P780" s="5">
        <v>0.19721365671029578</v>
      </c>
      <c r="Q780" s="5">
        <v>0.17875759967302843</v>
      </c>
      <c r="R780" s="5">
        <v>0.20942300567992095</v>
      </c>
    </row>
    <row r="781" spans="1:18">
      <c r="A781" t="s">
        <v>3319</v>
      </c>
      <c r="B781" t="s">
        <v>128</v>
      </c>
      <c r="C781" s="10">
        <v>73.930000000000007</v>
      </c>
      <c r="D781" s="10">
        <v>51</v>
      </c>
      <c r="E781" s="10">
        <v>0.19</v>
      </c>
      <c r="F781" s="10">
        <v>72.513353703760941</v>
      </c>
      <c r="G781" s="10">
        <v>68.642202978594597</v>
      </c>
      <c r="H781" s="10">
        <v>71.384439999999998</v>
      </c>
      <c r="I781" s="10">
        <v>91.271604938271608</v>
      </c>
      <c r="J781" s="10">
        <v>89.522658893532025</v>
      </c>
      <c r="K781" s="10">
        <v>84.743460467400737</v>
      </c>
      <c r="L781" s="10">
        <v>88.128938271604923</v>
      </c>
      <c r="M781" s="10">
        <v>1.7489460447395828</v>
      </c>
      <c r="N781" s="10">
        <v>6.5281444708708705</v>
      </c>
      <c r="O781" s="10">
        <v>3.1426666666666847</v>
      </c>
      <c r="P781" s="5">
        <v>0.17417555606872823</v>
      </c>
      <c r="Q781" s="5">
        <v>0.12760230002125617</v>
      </c>
      <c r="R781" s="5">
        <v>0.16111550360274571</v>
      </c>
    </row>
    <row r="782" spans="1:18">
      <c r="A782" t="s">
        <v>3320</v>
      </c>
      <c r="B782" t="s">
        <v>128</v>
      </c>
      <c r="C782" s="10">
        <v>54.4</v>
      </c>
      <c r="D782" s="10">
        <v>51</v>
      </c>
      <c r="E782" s="10">
        <v>0.19</v>
      </c>
      <c r="F782" s="10">
        <v>56.383340314271884</v>
      </c>
      <c r="G782" s="10">
        <v>54.557302867667033</v>
      </c>
      <c r="H782" s="10">
        <v>53.727200000000003</v>
      </c>
      <c r="I782" s="10">
        <v>67.160493827160494</v>
      </c>
      <c r="J782" s="10">
        <v>69.609062116385033</v>
      </c>
      <c r="K782" s="10">
        <v>67.354694898354353</v>
      </c>
      <c r="L782" s="10">
        <v>66.329876543209878</v>
      </c>
      <c r="M782" s="10">
        <v>2.4485682892245393</v>
      </c>
      <c r="N782" s="10">
        <v>0.19420107119385932</v>
      </c>
      <c r="O782" s="10">
        <v>0.83061728395061607</v>
      </c>
      <c r="P782" s="5">
        <v>0.21849255907163023</v>
      </c>
      <c r="Q782" s="5">
        <v>0.19233544028229085</v>
      </c>
      <c r="R782" s="5">
        <v>0.17985675784332705</v>
      </c>
    </row>
    <row r="783" spans="1:18">
      <c r="A783" t="s">
        <v>3321</v>
      </c>
      <c r="B783" t="s">
        <v>128</v>
      </c>
      <c r="C783" s="10">
        <v>100.21</v>
      </c>
      <c r="D783" s="10">
        <v>51</v>
      </c>
      <c r="E783" s="10">
        <v>0.19</v>
      </c>
      <c r="F783" s="10">
        <v>109.18288925200508</v>
      </c>
      <c r="G783" s="10">
        <v>102.47694922536438</v>
      </c>
      <c r="H783" s="10">
        <v>104.15385000000001</v>
      </c>
      <c r="I783" s="10">
        <v>123.71604938271604</v>
      </c>
      <c r="J783" s="10">
        <v>134.79369043457416</v>
      </c>
      <c r="K783" s="10">
        <v>126.51475213007947</v>
      </c>
      <c r="L783" s="10">
        <v>128.58500000000001</v>
      </c>
      <c r="M783" s="10">
        <v>11.077641051858123</v>
      </c>
      <c r="N783" s="10">
        <v>2.7987027473634356</v>
      </c>
      <c r="O783" s="10">
        <v>4.8689506172839714</v>
      </c>
      <c r="P783" s="5">
        <v>0.25656757614600895</v>
      </c>
      <c r="Q783" s="5">
        <v>0.20791845762803657</v>
      </c>
      <c r="R783" s="5">
        <v>0.22067115137846571</v>
      </c>
    </row>
    <row r="784" spans="1:18">
      <c r="A784" t="s">
        <v>3322</v>
      </c>
      <c r="B784" t="s">
        <v>128</v>
      </c>
      <c r="C784" s="10">
        <v>98.37</v>
      </c>
      <c r="D784" s="10">
        <v>61</v>
      </c>
      <c r="E784" s="10">
        <v>0.19</v>
      </c>
      <c r="F784" s="10">
        <v>94.267747588512336</v>
      </c>
      <c r="G784" s="10">
        <v>96.242288143916852</v>
      </c>
      <c r="H784" s="10">
        <v>97.726330000000004</v>
      </c>
      <c r="I784" s="10">
        <v>121.44444444444444</v>
      </c>
      <c r="J784" s="10">
        <v>116.37993529445967</v>
      </c>
      <c r="K784" s="10">
        <v>118.81763968384796</v>
      </c>
      <c r="L784" s="10">
        <v>120.64979012345678</v>
      </c>
      <c r="M784" s="10">
        <v>5.0645091499847723</v>
      </c>
      <c r="N784" s="10">
        <v>2.6268047605964853</v>
      </c>
      <c r="O784" s="10">
        <v>0.79465432098766087</v>
      </c>
      <c r="P784" s="5">
        <v>0.15475120559993161</v>
      </c>
      <c r="Q784" s="5">
        <v>0.17209262646737797</v>
      </c>
      <c r="R784" s="5">
        <v>0.18466497207047466</v>
      </c>
    </row>
    <row r="785" spans="1:18">
      <c r="A785" t="s">
        <v>3323</v>
      </c>
      <c r="B785" t="s">
        <v>128</v>
      </c>
      <c r="C785" s="10">
        <v>52.09</v>
      </c>
      <c r="D785" s="10">
        <v>51</v>
      </c>
      <c r="E785" s="10">
        <v>0.19</v>
      </c>
      <c r="F785" s="10">
        <v>50.607905062554437</v>
      </c>
      <c r="G785" s="10">
        <v>53.498874941242136</v>
      </c>
      <c r="H785" s="10">
        <v>53.570630000000001</v>
      </c>
      <c r="I785" s="10">
        <v>64.308641975308646</v>
      </c>
      <c r="J785" s="10">
        <v>62.478895138956091</v>
      </c>
      <c r="K785" s="10">
        <v>66.04799375461991</v>
      </c>
      <c r="L785" s="10">
        <v>66.136580246913582</v>
      </c>
      <c r="M785" s="10">
        <v>1.8297468363525553</v>
      </c>
      <c r="N785" s="10">
        <v>1.7393517793112636</v>
      </c>
      <c r="O785" s="10">
        <v>1.8279382716049355</v>
      </c>
      <c r="P785" s="5">
        <v>0.1662784707676197</v>
      </c>
      <c r="Q785" s="5">
        <v>0.21133107852566038</v>
      </c>
      <c r="R785" s="5">
        <v>0.21238745932239358</v>
      </c>
    </row>
    <row r="786" spans="1:18">
      <c r="A786" t="s">
        <v>3324</v>
      </c>
      <c r="B786" t="s">
        <v>128</v>
      </c>
      <c r="C786" s="10">
        <v>96.53</v>
      </c>
      <c r="D786" s="10">
        <v>51</v>
      </c>
      <c r="E786" s="10">
        <v>0.19</v>
      </c>
      <c r="F786" s="10">
        <v>105.77333076183848</v>
      </c>
      <c r="G786" s="10">
        <v>101.83472750171181</v>
      </c>
      <c r="H786" s="10">
        <v>96.508240000000001</v>
      </c>
      <c r="I786" s="10">
        <v>119.17283950617283</v>
      </c>
      <c r="J786" s="10">
        <v>130.5843589652327</v>
      </c>
      <c r="K786" s="10">
        <v>125.72188580458247</v>
      </c>
      <c r="L786" s="10">
        <v>119.14597530864197</v>
      </c>
      <c r="M786" s="10">
        <v>11.411519459059861</v>
      </c>
      <c r="N786" s="10">
        <v>6.5490462984096354</v>
      </c>
      <c r="O786" s="10">
        <v>2.686419753086966E-2</v>
      </c>
      <c r="P786" s="5">
        <v>0.26078436372536362</v>
      </c>
      <c r="Q786" s="5">
        <v>0.2321941451781695</v>
      </c>
      <c r="R786" s="5">
        <v>0.18981736689012246</v>
      </c>
    </row>
    <row r="787" spans="1:18">
      <c r="A787" t="s">
        <v>3325</v>
      </c>
      <c r="B787" t="s">
        <v>128</v>
      </c>
      <c r="C787" s="10">
        <v>49.99</v>
      </c>
      <c r="D787" s="10">
        <v>51</v>
      </c>
      <c r="E787" s="10">
        <v>0.19</v>
      </c>
      <c r="F787" s="10">
        <v>52.83810523155924</v>
      </c>
      <c r="G787" s="10">
        <v>49.995288145920156</v>
      </c>
      <c r="H787" s="10">
        <v>50.014316999999998</v>
      </c>
      <c r="I787" s="10">
        <v>61.716049382716051</v>
      </c>
      <c r="J787" s="10">
        <v>65.232228680937325</v>
      </c>
      <c r="K787" s="10">
        <v>61.722577957926113</v>
      </c>
      <c r="L787" s="10">
        <v>61.746070370370362</v>
      </c>
      <c r="M787" s="10">
        <v>3.5161792982212745</v>
      </c>
      <c r="N787" s="10">
        <v>6.5285752100621153E-3</v>
      </c>
      <c r="O787" s="10">
        <v>3.0020987654310716E-2</v>
      </c>
      <c r="P787" s="5">
        <v>0.23366101372206416</v>
      </c>
      <c r="Q787" s="5">
        <v>0.19008567603776619</v>
      </c>
      <c r="R787" s="5">
        <v>0.19039382263282717</v>
      </c>
    </row>
    <row r="788" spans="1:18">
      <c r="A788" t="s">
        <v>3326</v>
      </c>
      <c r="B788" t="s">
        <v>128</v>
      </c>
      <c r="C788" s="10">
        <v>58.34</v>
      </c>
      <c r="D788" s="10">
        <v>51</v>
      </c>
      <c r="E788" s="10">
        <v>0.19</v>
      </c>
      <c r="F788" s="10">
        <v>63.822933495145861</v>
      </c>
      <c r="G788" s="10">
        <v>62.585970705628526</v>
      </c>
      <c r="H788" s="10">
        <v>61.571877000000001</v>
      </c>
      <c r="I788" s="10">
        <v>72.024691358024697</v>
      </c>
      <c r="J788" s="10">
        <v>78.793745055735627</v>
      </c>
      <c r="K788" s="10">
        <v>77.266630500775946</v>
      </c>
      <c r="L788" s="10">
        <v>76.014662962962959</v>
      </c>
      <c r="M788" s="10">
        <v>6.7690536977109304</v>
      </c>
      <c r="N788" s="10">
        <v>5.2419391427512494</v>
      </c>
      <c r="O788" s="10">
        <v>3.9899716049382619</v>
      </c>
      <c r="P788" s="5">
        <v>0.25958589785607272</v>
      </c>
      <c r="Q788" s="5">
        <v>0.24495219188554979</v>
      </c>
      <c r="R788" s="5">
        <v>0.23251649450283926</v>
      </c>
    </row>
    <row r="789" spans="1:18">
      <c r="A789" t="s">
        <v>3327</v>
      </c>
      <c r="B789" t="s">
        <v>128</v>
      </c>
      <c r="C789" s="10">
        <v>188.73</v>
      </c>
      <c r="D789" s="10">
        <v>66</v>
      </c>
      <c r="E789" s="10">
        <v>0.19</v>
      </c>
      <c r="F789" s="10">
        <v>187.7555255150944</v>
      </c>
      <c r="G789" s="10">
        <v>163.14963310439543</v>
      </c>
      <c r="H789" s="10">
        <v>173.38561999999999</v>
      </c>
      <c r="I789" s="10">
        <v>232.99999999999997</v>
      </c>
      <c r="J789" s="10">
        <v>231.79694508036346</v>
      </c>
      <c r="K789" s="10">
        <v>201.41930012888324</v>
      </c>
      <c r="L789" s="10">
        <v>214.05632098765429</v>
      </c>
      <c r="M789" s="10">
        <v>1.2030549196365143</v>
      </c>
      <c r="N789" s="10">
        <v>31.580699871116735</v>
      </c>
      <c r="O789" s="10">
        <v>18.943679012345683</v>
      </c>
      <c r="P789" s="5">
        <v>0.18579599944870825</v>
      </c>
      <c r="Q789" s="5">
        <v>6.2999425183007177E-2</v>
      </c>
      <c r="R789" s="5">
        <v>0.11831615563043801</v>
      </c>
    </row>
    <row r="790" spans="1:18">
      <c r="A790" t="s">
        <v>3328</v>
      </c>
      <c r="B790" t="s">
        <v>128</v>
      </c>
      <c r="C790" s="10">
        <v>50</v>
      </c>
      <c r="D790" s="10">
        <v>51</v>
      </c>
      <c r="E790" s="10">
        <v>0.19</v>
      </c>
      <c r="F790" s="10">
        <v>49.088873790806559</v>
      </c>
      <c r="G790" s="10">
        <v>48.649749726745767</v>
      </c>
      <c r="H790" s="10">
        <v>48.001649999999998</v>
      </c>
      <c r="I790" s="10">
        <v>61.728395061728392</v>
      </c>
      <c r="J790" s="10">
        <v>60.603547889884638</v>
      </c>
      <c r="K790" s="10">
        <v>60.061419415735514</v>
      </c>
      <c r="L790" s="10">
        <v>59.261296296296287</v>
      </c>
      <c r="M790" s="10">
        <v>1.1248471718437543</v>
      </c>
      <c r="N790" s="10">
        <v>1.6669756459928777</v>
      </c>
      <c r="O790" s="10">
        <v>2.4670987654321053</v>
      </c>
      <c r="P790" s="5">
        <v>0.1749657942328898</v>
      </c>
      <c r="Q790" s="5">
        <v>0.16751884177248597</v>
      </c>
      <c r="R790" s="5">
        <v>0.15627900290927485</v>
      </c>
    </row>
    <row r="791" spans="1:18">
      <c r="A791" t="s">
        <v>3329</v>
      </c>
      <c r="B791" t="s">
        <v>128</v>
      </c>
      <c r="C791" s="10">
        <v>142.13999999999999</v>
      </c>
      <c r="D791" s="10">
        <v>66</v>
      </c>
      <c r="E791" s="10">
        <v>0.19</v>
      </c>
      <c r="F791" s="10">
        <v>140.07955427281206</v>
      </c>
      <c r="G791" s="10">
        <v>138.32837960927964</v>
      </c>
      <c r="H791" s="10">
        <v>133.27243000000001</v>
      </c>
      <c r="I791" s="10">
        <v>175.48148148148147</v>
      </c>
      <c r="J791" s="10">
        <v>172.93772132445932</v>
      </c>
      <c r="K791" s="10">
        <v>170.77577729540695</v>
      </c>
      <c r="L791" s="10">
        <v>164.53386419753087</v>
      </c>
      <c r="M791" s="10">
        <v>2.5437601570221489</v>
      </c>
      <c r="N791" s="10">
        <v>4.705704186074513</v>
      </c>
      <c r="O791" s="10">
        <v>10.947617283950592</v>
      </c>
      <c r="P791" s="5">
        <v>0.17808562000581582</v>
      </c>
      <c r="Q791" s="5">
        <v>0.16768055604204901</v>
      </c>
      <c r="R791" s="5">
        <v>0.13610489431309999</v>
      </c>
    </row>
    <row r="792" spans="1:18">
      <c r="A792" t="s">
        <v>3330</v>
      </c>
      <c r="B792" t="s">
        <v>128</v>
      </c>
      <c r="C792" s="10">
        <v>58.81</v>
      </c>
      <c r="D792" s="10">
        <v>51</v>
      </c>
      <c r="E792" s="10">
        <v>0.19</v>
      </c>
      <c r="F792" s="10">
        <v>58.923038998306822</v>
      </c>
      <c r="G792" s="10">
        <v>60.174694676105666</v>
      </c>
      <c r="H792" s="10">
        <v>59.604706</v>
      </c>
      <c r="I792" s="10">
        <v>72.604938271604937</v>
      </c>
      <c r="J792" s="10">
        <v>72.744492590502247</v>
      </c>
      <c r="K792" s="10">
        <v>74.289746513710696</v>
      </c>
      <c r="L792" s="10">
        <v>73.58605679012345</v>
      </c>
      <c r="M792" s="10">
        <v>0.13955431889731074</v>
      </c>
      <c r="N792" s="10">
        <v>1.6848082421057597</v>
      </c>
      <c r="O792" s="10">
        <v>0.98111851851851384</v>
      </c>
      <c r="P792" s="5">
        <v>0.1915539183006354</v>
      </c>
      <c r="Q792" s="5">
        <v>0.20836989275301671</v>
      </c>
      <c r="R792" s="5">
        <v>0.20079968182378072</v>
      </c>
    </row>
    <row r="793" spans="1:18">
      <c r="A793" t="s">
        <v>3331</v>
      </c>
      <c r="B793" t="s">
        <v>128</v>
      </c>
      <c r="C793" s="10">
        <v>58.01</v>
      </c>
      <c r="D793" s="10">
        <v>51</v>
      </c>
      <c r="E793" s="10">
        <v>0.19</v>
      </c>
      <c r="F793" s="10">
        <v>58.41825746732215</v>
      </c>
      <c r="G793" s="10">
        <v>58.41346976637805</v>
      </c>
      <c r="H793" s="10">
        <v>57.535792999999998</v>
      </c>
      <c r="I793" s="10">
        <v>71.617283950617278</v>
      </c>
      <c r="J793" s="10">
        <v>72.121305515212526</v>
      </c>
      <c r="K793" s="10">
        <v>72.115394773306235</v>
      </c>
      <c r="L793" s="10">
        <v>71.031843209876541</v>
      </c>
      <c r="M793" s="10">
        <v>0.50402156459524861</v>
      </c>
      <c r="N793" s="10">
        <v>0.49811082268895746</v>
      </c>
      <c r="O793" s="10">
        <v>0.58544074074073649</v>
      </c>
      <c r="P793" s="5">
        <v>0.19566070545181735</v>
      </c>
      <c r="Q793" s="5">
        <v>0.19559477997238112</v>
      </c>
      <c r="R793" s="5">
        <v>0.18332402231772491</v>
      </c>
    </row>
    <row r="794" spans="1:18">
      <c r="A794" t="s">
        <v>3332</v>
      </c>
      <c r="B794" t="s">
        <v>128</v>
      </c>
      <c r="C794" s="10">
        <v>138.32</v>
      </c>
      <c r="D794" s="10">
        <v>66</v>
      </c>
      <c r="E794" s="10">
        <v>0.19</v>
      </c>
      <c r="F794" s="10">
        <v>138.17956059115363</v>
      </c>
      <c r="G794" s="10">
        <v>145.37674368131871</v>
      </c>
      <c r="H794" s="10">
        <v>139.94792000000001</v>
      </c>
      <c r="I794" s="10">
        <v>170.76543209876542</v>
      </c>
      <c r="J794" s="10">
        <v>170.59205011253533</v>
      </c>
      <c r="K794" s="10">
        <v>179.47746133496136</v>
      </c>
      <c r="L794" s="10">
        <v>172.77520987654322</v>
      </c>
      <c r="M794" s="10">
        <v>0.17338198623008338</v>
      </c>
      <c r="N794" s="10">
        <v>8.7120292361959457</v>
      </c>
      <c r="O794" s="10">
        <v>2.0097777777777992</v>
      </c>
      <c r="P794" s="5">
        <v>0.18917675290991737</v>
      </c>
      <c r="Q794" s="5">
        <v>0.22931827221552131</v>
      </c>
      <c r="R794" s="5">
        <v>0.19942218505283971</v>
      </c>
    </row>
    <row r="795" spans="1:18">
      <c r="A795" t="s">
        <v>3333</v>
      </c>
      <c r="B795" t="s">
        <v>128</v>
      </c>
      <c r="C795" s="10">
        <v>67.03</v>
      </c>
      <c r="D795" s="10">
        <v>51</v>
      </c>
      <c r="E795" s="10">
        <v>0.19</v>
      </c>
      <c r="F795" s="10">
        <v>72.638919521947827</v>
      </c>
      <c r="G795" s="10">
        <v>66.66924972444076</v>
      </c>
      <c r="H795" s="10">
        <v>67.268039999999999</v>
      </c>
      <c r="I795" s="10">
        <v>82.753086419753089</v>
      </c>
      <c r="J795" s="10">
        <v>89.677678422157811</v>
      </c>
      <c r="K795" s="10">
        <v>82.307715709186112</v>
      </c>
      <c r="L795" s="10">
        <v>83.046962962962951</v>
      </c>
      <c r="M795" s="10">
        <v>6.9245920024047223</v>
      </c>
      <c r="N795" s="10">
        <v>0.44537071056697641</v>
      </c>
      <c r="O795" s="10">
        <v>0.29387654320986201</v>
      </c>
      <c r="P795" s="5">
        <v>0.25254532477462038</v>
      </c>
      <c r="Q795" s="5">
        <v>0.18561705397299724</v>
      </c>
      <c r="R795" s="5">
        <v>0.19286632998374847</v>
      </c>
    </row>
    <row r="796" spans="1:18">
      <c r="A796" t="s">
        <v>3334</v>
      </c>
      <c r="B796" t="s">
        <v>128</v>
      </c>
      <c r="C796" s="10">
        <v>129.32</v>
      </c>
      <c r="D796" s="10">
        <v>66</v>
      </c>
      <c r="E796" s="10">
        <v>0.19</v>
      </c>
      <c r="F796" s="10">
        <v>117.39280540408859</v>
      </c>
      <c r="G796" s="10">
        <v>119.77951721611726</v>
      </c>
      <c r="H796" s="10">
        <v>122.30857</v>
      </c>
      <c r="I796" s="10">
        <v>159.6543209876543</v>
      </c>
      <c r="J796" s="10">
        <v>144.92938938776368</v>
      </c>
      <c r="K796" s="10">
        <v>147.87594718039168</v>
      </c>
      <c r="L796" s="10">
        <v>150.99823456790122</v>
      </c>
      <c r="M796" s="10">
        <v>14.724931599890624</v>
      </c>
      <c r="N796" s="10">
        <v>11.778373807262625</v>
      </c>
      <c r="O796" s="10">
        <v>8.6560864197530805</v>
      </c>
      <c r="P796" s="5">
        <v>0.10770340959624286</v>
      </c>
      <c r="Q796" s="5">
        <v>0.12548320084642001</v>
      </c>
      <c r="R796" s="5">
        <v>0.14356614585551933</v>
      </c>
    </row>
    <row r="797" spans="1:18">
      <c r="A797" t="s">
        <v>3335</v>
      </c>
      <c r="B797" t="s">
        <v>128</v>
      </c>
      <c r="C797" s="10">
        <v>107.73</v>
      </c>
      <c r="D797" s="10">
        <v>51</v>
      </c>
      <c r="E797" s="10">
        <v>0.19</v>
      </c>
      <c r="F797" s="10">
        <v>107.6911622190643</v>
      </c>
      <c r="G797" s="10">
        <v>102.84436479208618</v>
      </c>
      <c r="H797" s="10">
        <v>103.37372999999999</v>
      </c>
      <c r="I797" s="10">
        <v>133</v>
      </c>
      <c r="J797" s="10">
        <v>132.95205212230158</v>
      </c>
      <c r="K797" s="10">
        <v>126.96835159516812</v>
      </c>
      <c r="L797" s="10">
        <v>127.62188888888888</v>
      </c>
      <c r="M797" s="10">
        <v>4.7947877698419461E-2</v>
      </c>
      <c r="N797" s="10">
        <v>6.0316484048318841</v>
      </c>
      <c r="O797" s="10">
        <v>5.3781111111111244</v>
      </c>
      <c r="P797" s="5">
        <v>0.1897078812976877</v>
      </c>
      <c r="Q797" s="5">
        <v>0.15152084242621799</v>
      </c>
      <c r="R797" s="5">
        <v>0.1558658084602344</v>
      </c>
    </row>
    <row r="798" spans="1:18">
      <c r="A798" t="s">
        <v>3336</v>
      </c>
      <c r="B798" t="s">
        <v>128</v>
      </c>
      <c r="C798" s="10">
        <v>112.83</v>
      </c>
      <c r="D798" s="10">
        <v>51</v>
      </c>
      <c r="E798" s="10">
        <v>0.19</v>
      </c>
      <c r="F798" s="10">
        <v>119.56052260958425</v>
      </c>
      <c r="G798" s="10">
        <v>112.08047297008547</v>
      </c>
      <c r="H798" s="10">
        <v>111.33202</v>
      </c>
      <c r="I798" s="10">
        <v>139.29629629629628</v>
      </c>
      <c r="J798" s="10">
        <v>147.60558346862251</v>
      </c>
      <c r="K798" s="10">
        <v>138.37095428405613</v>
      </c>
      <c r="L798" s="10">
        <v>137.44693827160492</v>
      </c>
      <c r="M798" s="10">
        <v>8.3092871723262363</v>
      </c>
      <c r="N798" s="10">
        <v>0.92534201224015078</v>
      </c>
      <c r="O798" s="10">
        <v>1.8493580246913552</v>
      </c>
      <c r="P798" s="5">
        <v>0.23559802177818692</v>
      </c>
      <c r="Q798" s="5">
        <v>0.18458320545816384</v>
      </c>
      <c r="R798" s="5">
        <v>0.17910139419009904</v>
      </c>
    </row>
    <row r="799" spans="1:18">
      <c r="A799" t="s">
        <v>3337</v>
      </c>
      <c r="B799" t="s">
        <v>128</v>
      </c>
      <c r="C799" s="10">
        <v>146.46</v>
      </c>
      <c r="D799" s="10">
        <v>66</v>
      </c>
      <c r="E799" s="10">
        <v>0.19</v>
      </c>
      <c r="F799" s="10">
        <v>138.71622629813228</v>
      </c>
      <c r="G799" s="10">
        <v>131.93209421550677</v>
      </c>
      <c r="H799" s="10">
        <v>141.16539</v>
      </c>
      <c r="I799" s="10">
        <v>180.81481481481481</v>
      </c>
      <c r="J799" s="10">
        <v>171.25460036806453</v>
      </c>
      <c r="K799" s="10">
        <v>162.87912866111947</v>
      </c>
      <c r="L799" s="10">
        <v>174.27825925925924</v>
      </c>
      <c r="M799" s="10">
        <v>9.5602144467502796</v>
      </c>
      <c r="N799" s="10">
        <v>17.935686153695343</v>
      </c>
      <c r="O799" s="10">
        <v>6.5365555555555659</v>
      </c>
      <c r="P799" s="5">
        <v>0.14478209820218182</v>
      </c>
      <c r="Q799" s="5">
        <v>0.10080560226522647</v>
      </c>
      <c r="R799" s="5">
        <v>0.15961979065831916</v>
      </c>
    </row>
    <row r="800" spans="1:18">
      <c r="A800" t="s">
        <v>3338</v>
      </c>
      <c r="B800" t="s">
        <v>128</v>
      </c>
      <c r="C800" s="10">
        <v>126.94</v>
      </c>
      <c r="D800" s="10">
        <v>66</v>
      </c>
      <c r="E800" s="10">
        <v>0.19</v>
      </c>
      <c r="F800" s="10">
        <v>126.63961952111575</v>
      </c>
      <c r="G800" s="10">
        <v>129.34238373154625</v>
      </c>
      <c r="H800" s="10">
        <v>127.84912</v>
      </c>
      <c r="I800" s="10">
        <v>156.71604938271602</v>
      </c>
      <c r="J800" s="10">
        <v>156.34520928532808</v>
      </c>
      <c r="K800" s="10">
        <v>159.68195522413117</v>
      </c>
      <c r="L800" s="10">
        <v>157.83841975308641</v>
      </c>
      <c r="M800" s="10">
        <v>0.37084009738794066</v>
      </c>
      <c r="N800" s="10">
        <v>2.9659058414151502</v>
      </c>
      <c r="O800" s="10">
        <v>1.1223703703703904</v>
      </c>
      <c r="P800" s="5">
        <v>0.18807873563726496</v>
      </c>
      <c r="Q800" s="5">
        <v>0.20504480408055026</v>
      </c>
      <c r="R800" s="5">
        <v>0.19575981438120182</v>
      </c>
    </row>
    <row r="801" spans="1:18">
      <c r="A801" t="s">
        <v>3339</v>
      </c>
      <c r="B801" t="s">
        <v>128</v>
      </c>
      <c r="C801" s="10">
        <v>120.54</v>
      </c>
      <c r="D801" s="10">
        <v>66</v>
      </c>
      <c r="E801" s="10">
        <v>0.19</v>
      </c>
      <c r="F801" s="10">
        <v>122.34939202430496</v>
      </c>
      <c r="G801" s="10">
        <v>125.58529363691862</v>
      </c>
      <c r="H801" s="10">
        <v>123.099495</v>
      </c>
      <c r="I801" s="10">
        <v>148.81481481481481</v>
      </c>
      <c r="J801" s="10">
        <v>151.04863212877154</v>
      </c>
      <c r="K801" s="10">
        <v>155.04357239125756</v>
      </c>
      <c r="L801" s="10">
        <v>151.97468518518519</v>
      </c>
      <c r="M801" s="10">
        <v>2.2338173139567346</v>
      </c>
      <c r="N801" s="10">
        <v>6.2287575764427459</v>
      </c>
      <c r="O801" s="10">
        <v>3.1598703703703848</v>
      </c>
      <c r="P801" s="5">
        <v>0.2019788706379175</v>
      </c>
      <c r="Q801" s="5">
        <v>0.22254113381873483</v>
      </c>
      <c r="R801" s="5">
        <v>0.20684158777418218</v>
      </c>
    </row>
    <row r="802" spans="1:18">
      <c r="A802" t="s">
        <v>3340</v>
      </c>
      <c r="B802" t="s">
        <v>128</v>
      </c>
      <c r="C802" s="10">
        <v>65.95</v>
      </c>
      <c r="D802" s="10">
        <v>51</v>
      </c>
      <c r="E802" s="10">
        <v>0.19</v>
      </c>
      <c r="F802" s="10">
        <v>76.399050291852021</v>
      </c>
      <c r="G802" s="10">
        <v>70.210280149350723</v>
      </c>
      <c r="H802" s="10">
        <v>73.683689999999999</v>
      </c>
      <c r="I802" s="10">
        <v>81.419753086419746</v>
      </c>
      <c r="J802" s="10">
        <v>94.319815175125939</v>
      </c>
      <c r="K802" s="10">
        <v>86.679358209074962</v>
      </c>
      <c r="L802" s="10">
        <v>90.967518518518517</v>
      </c>
      <c r="M802" s="10">
        <v>12.900062088706193</v>
      </c>
      <c r="N802" s="10">
        <v>5.2596051226552163</v>
      </c>
      <c r="O802" s="10">
        <v>9.547765432098771</v>
      </c>
      <c r="P802" s="5">
        <v>0.30078319303797402</v>
      </c>
      <c r="Q802" s="5">
        <v>0.23914988109481275</v>
      </c>
      <c r="R802" s="5">
        <v>0.27501594993410344</v>
      </c>
    </row>
    <row r="803" spans="1:18">
      <c r="A803" t="s">
        <v>3341</v>
      </c>
      <c r="B803" t="s">
        <v>128</v>
      </c>
      <c r="C803" s="10">
        <v>64.72</v>
      </c>
      <c r="D803" s="10">
        <v>51</v>
      </c>
      <c r="E803" s="10">
        <v>0.19</v>
      </c>
      <c r="F803" s="10">
        <v>70.338363104391249</v>
      </c>
      <c r="G803" s="10">
        <v>64.951539864814933</v>
      </c>
      <c r="H803" s="10">
        <v>65.260040000000004</v>
      </c>
      <c r="I803" s="10">
        <v>79.901234567901227</v>
      </c>
      <c r="J803" s="10">
        <v>86.837485314063258</v>
      </c>
      <c r="K803" s="10">
        <v>80.187086252857938</v>
      </c>
      <c r="L803" s="10">
        <v>80.567950617283955</v>
      </c>
      <c r="M803" s="10">
        <v>6.9362507461620311</v>
      </c>
      <c r="N803" s="10">
        <v>0.28585168495671098</v>
      </c>
      <c r="O803" s="10">
        <v>0.66671604938272822</v>
      </c>
      <c r="P803" s="5">
        <v>0.25469974440267851</v>
      </c>
      <c r="Q803" s="5">
        <v>0.19288749567585989</v>
      </c>
      <c r="R803" s="5">
        <v>0.19670291345209112</v>
      </c>
    </row>
    <row r="804" spans="1:18">
      <c r="A804" t="s">
        <v>3342</v>
      </c>
      <c r="B804" t="s">
        <v>128</v>
      </c>
      <c r="C804" s="10">
        <v>140.13999999999999</v>
      </c>
      <c r="D804" s="10">
        <v>66</v>
      </c>
      <c r="E804" s="10">
        <v>0.19</v>
      </c>
      <c r="F804" s="10">
        <v>139.42912605759761</v>
      </c>
      <c r="G804" s="10">
        <v>134.21199343711839</v>
      </c>
      <c r="H804" s="10">
        <v>138.13276999999999</v>
      </c>
      <c r="I804" s="10">
        <v>173.01234567901233</v>
      </c>
      <c r="J804" s="10">
        <v>172.13472352789827</v>
      </c>
      <c r="K804" s="10">
        <v>165.69381905817085</v>
      </c>
      <c r="L804" s="10">
        <v>170.53428395061727</v>
      </c>
      <c r="M804" s="10">
        <v>0.87762215111405339</v>
      </c>
      <c r="N804" s="10">
        <v>7.3185266208414816</v>
      </c>
      <c r="O804" s="10">
        <v>2.4780617283950619</v>
      </c>
      <c r="P804" s="5">
        <v>0.18587024670076419</v>
      </c>
      <c r="Q804" s="5">
        <v>0.15422312795626716</v>
      </c>
      <c r="R804" s="5">
        <v>0.17822975677675904</v>
      </c>
    </row>
    <row r="805" spans="1:18">
      <c r="A805" t="s">
        <v>3343</v>
      </c>
      <c r="B805" t="s">
        <v>128</v>
      </c>
      <c r="C805" s="10">
        <v>144.27000000000001</v>
      </c>
      <c r="D805" s="10">
        <v>51</v>
      </c>
      <c r="E805" s="10">
        <v>0.19</v>
      </c>
      <c r="F805" s="10">
        <v>152.27474555184017</v>
      </c>
      <c r="G805" s="10">
        <v>152.08814180402939</v>
      </c>
      <c r="H805" s="10">
        <v>149.74509</v>
      </c>
      <c r="I805" s="10">
        <v>178.11111111111111</v>
      </c>
      <c r="J805" s="10">
        <v>187.99351302696317</v>
      </c>
      <c r="K805" s="10">
        <v>187.7631380296659</v>
      </c>
      <c r="L805" s="10">
        <v>184.87048148148148</v>
      </c>
      <c r="M805" s="10">
        <v>9.8824019158520571</v>
      </c>
      <c r="N805" s="10">
        <v>9.6520269185547818</v>
      </c>
      <c r="O805" s="10">
        <v>6.7593703703703625</v>
      </c>
      <c r="P805" s="5">
        <v>0.23257990301341977</v>
      </c>
      <c r="Q805" s="5">
        <v>0.23163832095091064</v>
      </c>
      <c r="R805" s="5">
        <v>0.2196158151162084</v>
      </c>
    </row>
    <row r="806" spans="1:18">
      <c r="A806" t="s">
        <v>3344</v>
      </c>
      <c r="B806" t="s">
        <v>128</v>
      </c>
      <c r="C806" s="10">
        <v>51.96</v>
      </c>
      <c r="D806" s="10">
        <v>51</v>
      </c>
      <c r="E806" s="10">
        <v>0.19</v>
      </c>
      <c r="F806" s="10">
        <v>50.858264168775897</v>
      </c>
      <c r="G806" s="10">
        <v>49.632572345591825</v>
      </c>
      <c r="H806" s="10">
        <v>50.199084999999997</v>
      </c>
      <c r="I806" s="10">
        <v>64.148148148148138</v>
      </c>
      <c r="J806" s="10">
        <v>62.787980455278877</v>
      </c>
      <c r="K806" s="10">
        <v>61.274780673570149</v>
      </c>
      <c r="L806" s="10">
        <v>61.974179012345672</v>
      </c>
      <c r="M806" s="10">
        <v>1.3601676928692612</v>
      </c>
      <c r="N806" s="10">
        <v>2.8733674745779894</v>
      </c>
      <c r="O806" s="10">
        <v>2.1739691358024658</v>
      </c>
      <c r="P806" s="5">
        <v>0.17245307743241037</v>
      </c>
      <c r="Q806" s="5">
        <v>0.15201654858942518</v>
      </c>
      <c r="R806" s="5">
        <v>0.16158631178237601</v>
      </c>
    </row>
    <row r="807" spans="1:18">
      <c r="A807" t="s">
        <v>3345</v>
      </c>
      <c r="B807" t="s">
        <v>128</v>
      </c>
      <c r="C807" s="10">
        <v>130.19</v>
      </c>
      <c r="D807" s="10">
        <v>66</v>
      </c>
      <c r="E807" s="10">
        <v>0.19</v>
      </c>
      <c r="F807" s="10">
        <v>131.18538628188381</v>
      </c>
      <c r="G807" s="10">
        <v>130.3863590964591</v>
      </c>
      <c r="H807" s="10">
        <v>127.84627999999999</v>
      </c>
      <c r="I807" s="10">
        <v>160.72839506172838</v>
      </c>
      <c r="J807" s="10">
        <v>161.95726701467134</v>
      </c>
      <c r="K807" s="10">
        <v>160.97081369933221</v>
      </c>
      <c r="L807" s="10">
        <v>157.8349135802469</v>
      </c>
      <c r="M807" s="10">
        <v>1.228871952942967</v>
      </c>
      <c r="N807" s="10">
        <v>0.24241863760383353</v>
      </c>
      <c r="O807" s="10">
        <v>2.8934814814814729</v>
      </c>
      <c r="P807" s="5">
        <v>0.19614598097530025</v>
      </c>
      <c r="Q807" s="5">
        <v>0.19121984285192134</v>
      </c>
      <c r="R807" s="5">
        <v>0.17515081393060475</v>
      </c>
    </row>
    <row r="808" spans="1:18">
      <c r="A808" t="s">
        <v>3346</v>
      </c>
      <c r="B808" t="s">
        <v>128</v>
      </c>
      <c r="C808" s="10">
        <v>55.26</v>
      </c>
      <c r="D808" s="10">
        <v>51</v>
      </c>
      <c r="E808" s="10">
        <v>0.19</v>
      </c>
      <c r="F808" s="10">
        <v>50.921464995809401</v>
      </c>
      <c r="G808" s="10">
        <v>51.422383419600536</v>
      </c>
      <c r="H808" s="10">
        <v>52.741849999999999</v>
      </c>
      <c r="I808" s="10">
        <v>68.222222222222214</v>
      </c>
      <c r="J808" s="10">
        <v>62.866006167665923</v>
      </c>
      <c r="K808" s="10">
        <v>63.484423974815471</v>
      </c>
      <c r="L808" s="10">
        <v>65.113395061728397</v>
      </c>
      <c r="M808" s="10">
        <v>5.3562160545562918</v>
      </c>
      <c r="N808" s="10">
        <v>4.7377982474067437</v>
      </c>
      <c r="O808" s="10">
        <v>3.1088271604938171</v>
      </c>
      <c r="P808" s="5">
        <v>0.12098758345456891</v>
      </c>
      <c r="Q808" s="5">
        <v>0.12955026540176429</v>
      </c>
      <c r="R808" s="5">
        <v>0.15132669786895991</v>
      </c>
    </row>
    <row r="809" spans="1:18">
      <c r="A809" t="s">
        <v>3347</v>
      </c>
      <c r="B809" t="s">
        <v>128</v>
      </c>
      <c r="C809" s="10">
        <v>124.59</v>
      </c>
      <c r="D809" s="10">
        <v>66</v>
      </c>
      <c r="E809" s="10">
        <v>0.19</v>
      </c>
      <c r="F809" s="10">
        <v>121.69447198126885</v>
      </c>
      <c r="G809" s="10">
        <v>124.43912820512821</v>
      </c>
      <c r="H809" s="10">
        <v>122.60422</v>
      </c>
      <c r="I809" s="10">
        <v>153.81481481481481</v>
      </c>
      <c r="J809" s="10">
        <v>150.24008886576399</v>
      </c>
      <c r="K809" s="10">
        <v>153.62855333966445</v>
      </c>
      <c r="L809" s="10">
        <v>151.36323456790123</v>
      </c>
      <c r="M809" s="10">
        <v>3.5747259490508156</v>
      </c>
      <c r="N809" s="10">
        <v>0.18626147515035996</v>
      </c>
      <c r="O809" s="10">
        <v>2.4515802469135792</v>
      </c>
      <c r="P809" s="5">
        <v>0.17072732756888706</v>
      </c>
      <c r="Q809" s="5">
        <v>0.18901794431053301</v>
      </c>
      <c r="R809" s="5">
        <v>0.17688069790746186</v>
      </c>
    </row>
    <row r="810" spans="1:18">
      <c r="A810" t="s">
        <v>3348</v>
      </c>
      <c r="B810" t="s">
        <v>128</v>
      </c>
      <c r="C810" s="10">
        <v>48.28</v>
      </c>
      <c r="D810" s="10">
        <v>51</v>
      </c>
      <c r="E810" s="10">
        <v>0.19</v>
      </c>
      <c r="F810" s="10">
        <v>49.974183635684859</v>
      </c>
      <c r="G810" s="10">
        <v>48.538939526356451</v>
      </c>
      <c r="H810" s="10">
        <v>45.867229999999999</v>
      </c>
      <c r="I810" s="10">
        <v>59.604938271604937</v>
      </c>
      <c r="J810" s="10">
        <v>61.696523007018342</v>
      </c>
      <c r="K810" s="10">
        <v>59.924616699205494</v>
      </c>
      <c r="L810" s="10">
        <v>56.626209876543207</v>
      </c>
      <c r="M810" s="10">
        <v>2.0915847354134058</v>
      </c>
      <c r="N810" s="10">
        <v>0.31967842760055731</v>
      </c>
      <c r="O810" s="10">
        <v>2.9787283950617294</v>
      </c>
      <c r="P810" s="5">
        <v>0.21745995322122338</v>
      </c>
      <c r="Q810" s="5">
        <v>0.19432108773688464</v>
      </c>
      <c r="R810" s="5">
        <v>0.14739128567388957</v>
      </c>
    </row>
    <row r="811" spans="1:18">
      <c r="A811" t="s">
        <v>3349</v>
      </c>
      <c r="B811" t="s">
        <v>128</v>
      </c>
      <c r="C811" s="10">
        <v>53.28</v>
      </c>
      <c r="D811" s="10">
        <v>51</v>
      </c>
      <c r="E811" s="10">
        <v>0.19</v>
      </c>
      <c r="F811" s="10">
        <v>55.578227636182682</v>
      </c>
      <c r="G811" s="10">
        <v>54.018809298365106</v>
      </c>
      <c r="H811" s="10">
        <v>53.382350000000002</v>
      </c>
      <c r="I811" s="10">
        <v>65.777777777777771</v>
      </c>
      <c r="J811" s="10">
        <v>68.615095847139102</v>
      </c>
      <c r="K811" s="10">
        <v>66.68988802267296</v>
      </c>
      <c r="L811" s="10">
        <v>65.904135802469128</v>
      </c>
      <c r="M811" s="10">
        <v>2.8373180693613307</v>
      </c>
      <c r="N811" s="10">
        <v>0.91211024489518877</v>
      </c>
      <c r="O811" s="10">
        <v>0.12635802469135626</v>
      </c>
      <c r="P811" s="5">
        <v>0.22349448991957499</v>
      </c>
      <c r="Q811" s="5">
        <v>0.2010782806849806</v>
      </c>
      <c r="R811" s="5">
        <v>0.19155301330870586</v>
      </c>
    </row>
    <row r="812" spans="1:18">
      <c r="A812" t="s">
        <v>3350</v>
      </c>
      <c r="B812" t="s">
        <v>128</v>
      </c>
      <c r="C812" s="10">
        <v>50.09</v>
      </c>
      <c r="D812" s="10">
        <v>51</v>
      </c>
      <c r="E812" s="10">
        <v>0.19</v>
      </c>
      <c r="F812" s="10">
        <v>52.570701101654713</v>
      </c>
      <c r="G812" s="10">
        <v>49.735515913984706</v>
      </c>
      <c r="H812" s="10">
        <v>50.302149999999997</v>
      </c>
      <c r="I812" s="10">
        <v>61.839506172839506</v>
      </c>
      <c r="J812" s="10">
        <v>64.902100125499643</v>
      </c>
      <c r="K812" s="10">
        <v>61.401871498746544</v>
      </c>
      <c r="L812" s="10">
        <v>62.101419753086411</v>
      </c>
      <c r="M812" s="10">
        <v>3.0625939526601371</v>
      </c>
      <c r="N812" s="10">
        <v>0.43763467409296197</v>
      </c>
      <c r="O812" s="10">
        <v>0.26191358024690459</v>
      </c>
      <c r="P812" s="5">
        <v>0.22822220077405561</v>
      </c>
      <c r="Q812" s="5">
        <v>0.18422681951929529</v>
      </c>
      <c r="R812" s="5">
        <v>0.19341618598807389</v>
      </c>
    </row>
    <row r="813" spans="1:18">
      <c r="A813" t="s">
        <v>3351</v>
      </c>
      <c r="B813" t="s">
        <v>128</v>
      </c>
      <c r="C813" s="10">
        <v>125.21</v>
      </c>
      <c r="D813" s="10">
        <v>66</v>
      </c>
      <c r="E813" s="10">
        <v>0.19</v>
      </c>
      <c r="F813" s="10">
        <v>125.95842587204446</v>
      </c>
      <c r="G813" s="10">
        <v>125.42198513431015</v>
      </c>
      <c r="H813" s="10">
        <v>127.58337400000001</v>
      </c>
      <c r="I813" s="10">
        <v>154.58024691358023</v>
      </c>
      <c r="J813" s="10">
        <v>155.50422947165981</v>
      </c>
      <c r="K813" s="10">
        <v>154.84195695593846</v>
      </c>
      <c r="L813" s="10">
        <v>157.51033827160492</v>
      </c>
      <c r="M813" s="10">
        <v>0.92398255807958662</v>
      </c>
      <c r="N813" s="10">
        <v>0.26171004235823148</v>
      </c>
      <c r="O813" s="10">
        <v>2.930091358024697</v>
      </c>
      <c r="P813" s="5">
        <v>0.19481289720920969</v>
      </c>
      <c r="Q813" s="5">
        <v>0.19136904194752899</v>
      </c>
      <c r="R813" s="5">
        <v>0.205068052205611</v>
      </c>
    </row>
    <row r="814" spans="1:18">
      <c r="A814" t="s">
        <v>3352</v>
      </c>
      <c r="B814" t="s">
        <v>128</v>
      </c>
      <c r="C814" s="10">
        <v>105.06</v>
      </c>
      <c r="D814" s="10">
        <v>51</v>
      </c>
      <c r="E814" s="10">
        <v>0.19</v>
      </c>
      <c r="F814" s="10">
        <v>105.66821970432794</v>
      </c>
      <c r="G814" s="10">
        <v>109.61400330364074</v>
      </c>
      <c r="H814" s="10">
        <v>103.31729</v>
      </c>
      <c r="I814" s="10">
        <v>129.7037037037037</v>
      </c>
      <c r="J814" s="10">
        <v>130.45459222756534</v>
      </c>
      <c r="K814" s="10">
        <v>135.32593000449472</v>
      </c>
      <c r="L814" s="10">
        <v>127.5522098765432</v>
      </c>
      <c r="M814" s="10">
        <v>0.75088852386164717</v>
      </c>
      <c r="N814" s="10">
        <v>5.6222263007910271</v>
      </c>
      <c r="O814" s="10">
        <v>2.1514938271604933</v>
      </c>
      <c r="P814" s="5">
        <v>0.19466230965075529</v>
      </c>
      <c r="Q814" s="5">
        <v>0.2236521116351424</v>
      </c>
      <c r="R814" s="5">
        <v>0.17633728101075816</v>
      </c>
    </row>
    <row r="815" spans="1:18">
      <c r="A815" t="s">
        <v>3353</v>
      </c>
      <c r="B815" t="s">
        <v>128</v>
      </c>
      <c r="C815" s="10">
        <v>43.43</v>
      </c>
      <c r="D815" s="10">
        <v>51</v>
      </c>
      <c r="E815" s="10">
        <v>0.19</v>
      </c>
      <c r="F815" s="10">
        <v>49.981879428294292</v>
      </c>
      <c r="G815" s="10">
        <v>52.001330617829296</v>
      </c>
      <c r="H815" s="10">
        <v>48.608310000000003</v>
      </c>
      <c r="I815" s="10">
        <v>53.617283950617278</v>
      </c>
      <c r="J815" s="10">
        <v>61.706023985548505</v>
      </c>
      <c r="K815" s="10">
        <v>64.199173602258384</v>
      </c>
      <c r="L815" s="10">
        <v>60.010259259259257</v>
      </c>
      <c r="M815" s="10">
        <v>8.0887400349312273</v>
      </c>
      <c r="N815" s="10">
        <v>10.581889651641106</v>
      </c>
      <c r="O815" s="10">
        <v>6.3929753086419794</v>
      </c>
      <c r="P815" s="5">
        <v>0.29617892719564515</v>
      </c>
      <c r="Q815" s="5">
        <v>0.32351154130008569</v>
      </c>
      <c r="R815" s="5">
        <v>0.27629041207151617</v>
      </c>
    </row>
    <row r="816" spans="1:18">
      <c r="A816" t="s">
        <v>3354</v>
      </c>
      <c r="B816" t="s">
        <v>128</v>
      </c>
      <c r="C816" s="10">
        <v>134.36000000000001</v>
      </c>
      <c r="D816" s="10">
        <v>66</v>
      </c>
      <c r="E816" s="10">
        <v>0.19</v>
      </c>
      <c r="F816" s="10">
        <v>133.72110781920628</v>
      </c>
      <c r="G816" s="10">
        <v>131.92353395909643</v>
      </c>
      <c r="H816" s="10">
        <v>129.44316000000001</v>
      </c>
      <c r="I816" s="10">
        <v>165.87654320987656</v>
      </c>
      <c r="J816" s="10">
        <v>165.08778743111887</v>
      </c>
      <c r="K816" s="10">
        <v>162.8685604433289</v>
      </c>
      <c r="L816" s="10">
        <v>159.80637037037036</v>
      </c>
      <c r="M816" s="10">
        <v>0.78875577875768954</v>
      </c>
      <c r="N816" s="10">
        <v>3.0079827665476557</v>
      </c>
      <c r="O816" s="10">
        <v>6.0701728395061991</v>
      </c>
      <c r="P816" s="5">
        <v>0.18612998519917592</v>
      </c>
      <c r="Q816" s="5">
        <v>0.17504029240344771</v>
      </c>
      <c r="R816" s="5">
        <v>0.15923251564624955</v>
      </c>
    </row>
    <row r="817" spans="1:18">
      <c r="A817" t="s">
        <v>3355</v>
      </c>
      <c r="B817" t="s">
        <v>128</v>
      </c>
      <c r="C817" s="10">
        <v>55.77</v>
      </c>
      <c r="D817" s="10">
        <v>51</v>
      </c>
      <c r="E817" s="10">
        <v>0.19</v>
      </c>
      <c r="F817" s="10">
        <v>55.181909813614716</v>
      </c>
      <c r="G817" s="10">
        <v>53.119317741651777</v>
      </c>
      <c r="H817" s="10">
        <v>53.608764999999998</v>
      </c>
      <c r="I817" s="10">
        <v>68.851851851851848</v>
      </c>
      <c r="J817" s="10">
        <v>68.125814584709516</v>
      </c>
      <c r="K817" s="10">
        <v>65.579404619323171</v>
      </c>
      <c r="L817" s="10">
        <v>66.183660493827148</v>
      </c>
      <c r="M817" s="10">
        <v>0.72603726714233119</v>
      </c>
      <c r="N817" s="10">
        <v>3.2724472325286769</v>
      </c>
      <c r="O817" s="10">
        <v>2.6681913580246999</v>
      </c>
      <c r="P817" s="5">
        <v>0.18136758672215145</v>
      </c>
      <c r="Q817" s="5">
        <v>0.14958056841572479</v>
      </c>
      <c r="R817" s="5">
        <v>0.15734488567307955</v>
      </c>
    </row>
    <row r="818" spans="1:18">
      <c r="A818" t="s">
        <v>3356</v>
      </c>
      <c r="B818" t="s">
        <v>128</v>
      </c>
      <c r="C818" s="10">
        <v>61.43</v>
      </c>
      <c r="D818" s="10">
        <v>51</v>
      </c>
      <c r="E818" s="10">
        <v>0.19</v>
      </c>
      <c r="F818" s="10">
        <v>60.360959793774896</v>
      </c>
      <c r="G818" s="10">
        <v>58.690473048379474</v>
      </c>
      <c r="H818" s="10">
        <v>57.541460000000001</v>
      </c>
      <c r="I818" s="10">
        <v>75.839506172839506</v>
      </c>
      <c r="J818" s="10">
        <v>74.51970344910481</v>
      </c>
      <c r="K818" s="10">
        <v>72.457374133801821</v>
      </c>
      <c r="L818" s="10">
        <v>71.038839506172835</v>
      </c>
      <c r="M818" s="10">
        <v>1.3198027237346963</v>
      </c>
      <c r="N818" s="10">
        <v>3.3821320390376854</v>
      </c>
      <c r="O818" s="10">
        <v>4.8006666666666717</v>
      </c>
      <c r="P818" s="5">
        <v>0.17565426113168536</v>
      </c>
      <c r="Q818" s="5">
        <v>0.1521911919335962</v>
      </c>
      <c r="R818" s="5">
        <v>0.13526177472730092</v>
      </c>
    </row>
    <row r="819" spans="1:18">
      <c r="A819" t="s">
        <v>3357</v>
      </c>
      <c r="B819" t="s">
        <v>128</v>
      </c>
      <c r="C819" s="10">
        <v>60.03</v>
      </c>
      <c r="D819" s="10">
        <v>51</v>
      </c>
      <c r="E819" s="10">
        <v>0.19</v>
      </c>
      <c r="F819" s="10">
        <v>56.147185704571058</v>
      </c>
      <c r="G819" s="10">
        <v>56.002447352837791</v>
      </c>
      <c r="H819" s="10">
        <v>57.523026000000002</v>
      </c>
      <c r="I819" s="10">
        <v>74.111111111111114</v>
      </c>
      <c r="J819" s="10">
        <v>69.317513215519824</v>
      </c>
      <c r="K819" s="10">
        <v>69.138823892392324</v>
      </c>
      <c r="L819" s="10">
        <v>71.016081481481478</v>
      </c>
      <c r="M819" s="10">
        <v>4.7935978955912901</v>
      </c>
      <c r="N819" s="10">
        <v>4.9722872187187903</v>
      </c>
      <c r="O819" s="10">
        <v>3.0950296296296358</v>
      </c>
      <c r="P819" s="5">
        <v>0.13398508954935212</v>
      </c>
      <c r="Q819" s="5">
        <v>0.13174687360272858</v>
      </c>
      <c r="R819" s="5">
        <v>0.15469850282215677</v>
      </c>
    </row>
    <row r="820" spans="1:18">
      <c r="A820" t="s">
        <v>3358</v>
      </c>
      <c r="B820" t="s">
        <v>128</v>
      </c>
      <c r="C820" s="10">
        <v>174.28</v>
      </c>
      <c r="D820" s="10">
        <v>66</v>
      </c>
      <c r="E820" s="10">
        <v>0.19</v>
      </c>
      <c r="F820" s="10">
        <v>173.83978998840584</v>
      </c>
      <c r="G820" s="10">
        <v>166.14686753662994</v>
      </c>
      <c r="H820" s="10">
        <v>166.73430999999999</v>
      </c>
      <c r="I820" s="10">
        <v>215.16049382716048</v>
      </c>
      <c r="J820" s="10">
        <v>214.61702467704424</v>
      </c>
      <c r="K820" s="10">
        <v>205.11958955139497</v>
      </c>
      <c r="L820" s="10">
        <v>205.84482716049379</v>
      </c>
      <c r="M820" s="10">
        <v>0.54346915011623764</v>
      </c>
      <c r="N820" s="10">
        <v>10.040904275765513</v>
      </c>
      <c r="O820" s="10">
        <v>9.3156666666666865</v>
      </c>
      <c r="P820" s="5">
        <v>0.18794885791443341</v>
      </c>
      <c r="Q820" s="5">
        <v>0.15034931387510292</v>
      </c>
      <c r="R820" s="5">
        <v>0.15334282428133703</v>
      </c>
    </row>
    <row r="821" spans="1:18">
      <c r="A821" t="s">
        <v>3359</v>
      </c>
      <c r="B821" t="s">
        <v>128</v>
      </c>
      <c r="C821" s="10">
        <v>83.84</v>
      </c>
      <c r="D821" s="10">
        <v>51</v>
      </c>
      <c r="E821" s="10">
        <v>0.19</v>
      </c>
      <c r="F821" s="10">
        <v>89.727113737043823</v>
      </c>
      <c r="G821" s="10">
        <v>94.708391197691171</v>
      </c>
      <c r="H821" s="10">
        <v>89.744900000000001</v>
      </c>
      <c r="I821" s="10">
        <v>103.50617283950616</v>
      </c>
      <c r="J821" s="10">
        <v>110.77421449017756</v>
      </c>
      <c r="K821" s="10">
        <v>116.923939750236</v>
      </c>
      <c r="L821" s="10">
        <v>110.79617283950617</v>
      </c>
      <c r="M821" s="10">
        <v>7.2680416506713925</v>
      </c>
      <c r="N821" s="10">
        <v>13.417766910729839</v>
      </c>
      <c r="O821" s="10">
        <v>7.2900000000000063</v>
      </c>
      <c r="P821" s="5">
        <v>0.24314516346731424</v>
      </c>
      <c r="Q821" s="5">
        <v>0.28295265983088996</v>
      </c>
      <c r="R821" s="5">
        <v>0.24329516217634645</v>
      </c>
    </row>
    <row r="822" spans="1:18">
      <c r="A822" t="s">
        <v>3360</v>
      </c>
      <c r="B822" t="s">
        <v>128</v>
      </c>
      <c r="C822" s="10">
        <v>57.56</v>
      </c>
      <c r="D822" s="10">
        <v>51</v>
      </c>
      <c r="E822" s="10">
        <v>0.19</v>
      </c>
      <c r="F822" s="10">
        <v>55.768656582160531</v>
      </c>
      <c r="G822" s="10">
        <v>54.749211510039395</v>
      </c>
      <c r="H822" s="10">
        <v>54.353703000000003</v>
      </c>
      <c r="I822" s="10">
        <v>71.061728395061721</v>
      </c>
      <c r="J822" s="10">
        <v>68.850193311309297</v>
      </c>
      <c r="K822" s="10">
        <v>67.591619148196784</v>
      </c>
      <c r="L822" s="10">
        <v>67.103337037037036</v>
      </c>
      <c r="M822" s="10">
        <v>2.2115350837524232</v>
      </c>
      <c r="N822" s="10">
        <v>3.4701092468649364</v>
      </c>
      <c r="O822" s="10">
        <v>3.9583913580246843</v>
      </c>
      <c r="P822" s="5">
        <v>0.16398201324228923</v>
      </c>
      <c r="Q822" s="5">
        <v>0.14841513303893691</v>
      </c>
      <c r="R822" s="5">
        <v>0.14221851637228833</v>
      </c>
    </row>
    <row r="823" spans="1:18">
      <c r="A823" t="s">
        <v>3361</v>
      </c>
      <c r="B823" t="s">
        <v>128</v>
      </c>
      <c r="C823" s="10">
        <v>61.38</v>
      </c>
      <c r="D823" s="10">
        <v>51</v>
      </c>
      <c r="E823" s="10">
        <v>0.19</v>
      </c>
      <c r="F823" s="10">
        <v>59.732713585790947</v>
      </c>
      <c r="G823" s="10">
        <v>59.142602057204982</v>
      </c>
      <c r="H823" s="10">
        <v>59.28022</v>
      </c>
      <c r="I823" s="10">
        <v>75.777777777777771</v>
      </c>
      <c r="J823" s="10">
        <v>73.744090846655482</v>
      </c>
      <c r="K823" s="10">
        <v>73.015558095314788</v>
      </c>
      <c r="L823" s="10">
        <v>73.185456790123453</v>
      </c>
      <c r="M823" s="10">
        <v>2.0336869311222898</v>
      </c>
      <c r="N823" s="10">
        <v>2.7622196824629839</v>
      </c>
      <c r="O823" s="10">
        <v>2.5923209876543183</v>
      </c>
      <c r="P823" s="5">
        <v>0.16766212322510757</v>
      </c>
      <c r="Q823" s="5">
        <v>0.15935724383734332</v>
      </c>
      <c r="R823" s="5">
        <v>0.16130878056795328</v>
      </c>
    </row>
    <row r="824" spans="1:18">
      <c r="A824" t="s">
        <v>3362</v>
      </c>
      <c r="B824" t="s">
        <v>128</v>
      </c>
      <c r="C824" s="10">
        <v>70.319999999999993</v>
      </c>
      <c r="D824" s="10">
        <v>51</v>
      </c>
      <c r="E824" s="10">
        <v>0.19</v>
      </c>
      <c r="F824" s="10">
        <v>77.782399704932899</v>
      </c>
      <c r="G824" s="10">
        <v>71.730090351484208</v>
      </c>
      <c r="H824" s="10">
        <v>75.267650000000003</v>
      </c>
      <c r="I824" s="10">
        <v>86.814814814814795</v>
      </c>
      <c r="J824" s="10">
        <v>96.027653956707283</v>
      </c>
      <c r="K824" s="10">
        <v>88.555667100597788</v>
      </c>
      <c r="L824" s="10">
        <v>92.923024691358023</v>
      </c>
      <c r="M824" s="10">
        <v>9.2128391418924878</v>
      </c>
      <c r="N824" s="10">
        <v>1.7408522857829922</v>
      </c>
      <c r="O824" s="10">
        <v>6.1082098765432278</v>
      </c>
      <c r="P824" s="5">
        <v>0.26771094468575923</v>
      </c>
      <c r="Q824" s="5">
        <v>0.20592320850434537</v>
      </c>
      <c r="R824" s="5">
        <v>0.24324460774316728</v>
      </c>
    </row>
    <row r="825" spans="1:18">
      <c r="A825" t="s">
        <v>3363</v>
      </c>
      <c r="B825" t="s">
        <v>128</v>
      </c>
      <c r="C825" s="10">
        <v>164.55</v>
      </c>
      <c r="D825" s="10">
        <v>66</v>
      </c>
      <c r="E825" s="10">
        <v>0.19</v>
      </c>
      <c r="F825" s="10">
        <v>166.62773404835781</v>
      </c>
      <c r="G825" s="10">
        <v>149.86855036213791</v>
      </c>
      <c r="H825" s="10">
        <v>161.71526</v>
      </c>
      <c r="I825" s="10">
        <v>203.14814814814815</v>
      </c>
      <c r="J825" s="10">
        <v>205.71325191155285</v>
      </c>
      <c r="K825" s="10">
        <v>185.02290168165172</v>
      </c>
      <c r="L825" s="10">
        <v>199.64846913580246</v>
      </c>
      <c r="M825" s="10">
        <v>2.5651037634046929</v>
      </c>
      <c r="N825" s="10">
        <v>18.125246466496435</v>
      </c>
      <c r="O825" s="10">
        <v>3.4996790123456947</v>
      </c>
      <c r="P825" s="5">
        <v>0.20010014682598631</v>
      </c>
      <c r="Q825" s="5">
        <v>0.11065063565415889</v>
      </c>
      <c r="R825" s="5">
        <v>0.17580134367034986</v>
      </c>
    </row>
    <row r="826" spans="1:18">
      <c r="A826" t="s">
        <v>3364</v>
      </c>
      <c r="B826" t="s">
        <v>128</v>
      </c>
      <c r="C826" s="10">
        <v>137.12</v>
      </c>
      <c r="D826" s="10">
        <v>66</v>
      </c>
      <c r="E826" s="10">
        <v>0.19</v>
      </c>
      <c r="F826" s="10">
        <v>131.4332191972924</v>
      </c>
      <c r="G826" s="10">
        <v>130.76754858058604</v>
      </c>
      <c r="H826" s="10">
        <v>133.39026999999999</v>
      </c>
      <c r="I826" s="10">
        <v>169.28395061728395</v>
      </c>
      <c r="J826" s="10">
        <v>162.26323357690418</v>
      </c>
      <c r="K826" s="10">
        <v>161.4414180007235</v>
      </c>
      <c r="L826" s="10">
        <v>164.67934567901233</v>
      </c>
      <c r="M826" s="10">
        <v>7.0207170403797647</v>
      </c>
      <c r="N826" s="10">
        <v>7.8425326165604474</v>
      </c>
      <c r="O826" s="10">
        <v>4.6046049382716205</v>
      </c>
      <c r="P826" s="5">
        <v>0.1549533620318716</v>
      </c>
      <c r="Q826" s="5">
        <v>0.15065166239195507</v>
      </c>
      <c r="R826" s="5">
        <v>0.16735156169936521</v>
      </c>
    </row>
    <row r="827" spans="1:18">
      <c r="A827" t="s">
        <v>3365</v>
      </c>
      <c r="B827" t="s">
        <v>128</v>
      </c>
      <c r="C827" s="10">
        <v>108.46</v>
      </c>
      <c r="D827" s="10">
        <v>51</v>
      </c>
      <c r="E827" s="10">
        <v>0.19</v>
      </c>
      <c r="F827" s="10">
        <v>102.8918301935298</v>
      </c>
      <c r="G827" s="10">
        <v>105.88908652319904</v>
      </c>
      <c r="H827" s="10">
        <v>102.56853</v>
      </c>
      <c r="I827" s="10">
        <v>133.90123456790121</v>
      </c>
      <c r="J827" s="10">
        <v>127.02695085620962</v>
      </c>
      <c r="K827" s="10">
        <v>130.72726731259141</v>
      </c>
      <c r="L827" s="10">
        <v>126.6278148148148</v>
      </c>
      <c r="M827" s="10">
        <v>6.8742837116915894</v>
      </c>
      <c r="N827" s="10">
        <v>3.1739672553098046</v>
      </c>
      <c r="O827" s="10">
        <v>7.2734197530864151</v>
      </c>
      <c r="P827" s="5">
        <v>0.14616544545123195</v>
      </c>
      <c r="Q827" s="5">
        <v>0.17033376257568777</v>
      </c>
      <c r="R827" s="5">
        <v>0.14347412408074867</v>
      </c>
    </row>
    <row r="828" spans="1:18">
      <c r="A828" t="s">
        <v>3366</v>
      </c>
      <c r="B828" t="s">
        <v>128</v>
      </c>
      <c r="C828" s="10">
        <v>51.84</v>
      </c>
      <c r="D828" s="10">
        <v>51</v>
      </c>
      <c r="E828" s="10">
        <v>0.19</v>
      </c>
      <c r="F828" s="10">
        <v>51.759035485931591</v>
      </c>
      <c r="G828" s="10">
        <v>49.13858249740008</v>
      </c>
      <c r="H828" s="10">
        <v>49.303207</v>
      </c>
      <c r="I828" s="10">
        <v>64</v>
      </c>
      <c r="J828" s="10">
        <v>63.900043809792081</v>
      </c>
      <c r="K828" s="10">
        <v>60.664916663456886</v>
      </c>
      <c r="L828" s="10">
        <v>60.86815679012345</v>
      </c>
      <c r="M828" s="10">
        <v>9.9956190207919349E-2</v>
      </c>
      <c r="N828" s="10">
        <v>3.3350833365431143</v>
      </c>
      <c r="O828" s="10">
        <v>3.1318432098765498</v>
      </c>
      <c r="P828" s="5">
        <v>0.18873295057027784</v>
      </c>
      <c r="Q828" s="5">
        <v>0.14546985554128031</v>
      </c>
      <c r="R828" s="5">
        <v>0.14832315066238982</v>
      </c>
    </row>
    <row r="829" spans="1:18">
      <c r="A829" t="s">
        <v>3367</v>
      </c>
      <c r="B829" t="s">
        <v>128</v>
      </c>
      <c r="C829" s="10">
        <v>136.83000000000001</v>
      </c>
      <c r="D829" s="10">
        <v>66</v>
      </c>
      <c r="E829" s="10">
        <v>0.19</v>
      </c>
      <c r="F829" s="10">
        <v>127.13389965975391</v>
      </c>
      <c r="G829" s="10">
        <v>127.90325016788761</v>
      </c>
      <c r="H829" s="10">
        <v>126.0175</v>
      </c>
      <c r="I829" s="10">
        <v>168.92592592592592</v>
      </c>
      <c r="J829" s="10">
        <v>156.95543167870852</v>
      </c>
      <c r="K829" s="10">
        <v>157.90524712084888</v>
      </c>
      <c r="L829" s="10">
        <v>155.57716049382714</v>
      </c>
      <c r="M829" s="10">
        <v>11.970494247217403</v>
      </c>
      <c r="N829" s="10">
        <v>11.02067880507704</v>
      </c>
      <c r="O829" s="10">
        <v>13.348765432098787</v>
      </c>
      <c r="P829" s="5">
        <v>0.12822386242679223</v>
      </c>
      <c r="Q829" s="5">
        <v>0.13346768080936192</v>
      </c>
      <c r="R829" s="5">
        <v>0.12050072410577875</v>
      </c>
    </row>
    <row r="830" spans="1:18">
      <c r="A830" t="s">
        <v>3368</v>
      </c>
      <c r="B830" t="s">
        <v>128</v>
      </c>
      <c r="C830" s="10">
        <v>96.32</v>
      </c>
      <c r="D830" s="10">
        <v>51</v>
      </c>
      <c r="E830" s="10">
        <v>0.19</v>
      </c>
      <c r="F830" s="10">
        <v>96.566298835472907</v>
      </c>
      <c r="G830" s="10">
        <v>92.389165552503101</v>
      </c>
      <c r="H830" s="10">
        <v>93.034644999999998</v>
      </c>
      <c r="I830" s="10">
        <v>118.91358024691357</v>
      </c>
      <c r="J830" s="10">
        <v>119.21765288329988</v>
      </c>
      <c r="K830" s="10">
        <v>114.06069821296678</v>
      </c>
      <c r="L830" s="10">
        <v>114.85758641975308</v>
      </c>
      <c r="M830" s="10">
        <v>0.30407263638630866</v>
      </c>
      <c r="N830" s="10">
        <v>4.8528820339467842</v>
      </c>
      <c r="O830" s="10">
        <v>4.0559938271604921</v>
      </c>
      <c r="P830" s="5">
        <v>0.19206595944070468</v>
      </c>
      <c r="Q830" s="5">
        <v>0.15553734538642314</v>
      </c>
      <c r="R830" s="5">
        <v>0.16139627339901172</v>
      </c>
    </row>
    <row r="831" spans="1:18">
      <c r="A831" t="s">
        <v>3369</v>
      </c>
      <c r="B831" t="s">
        <v>128</v>
      </c>
      <c r="C831" s="10">
        <v>84.83</v>
      </c>
      <c r="D831" s="10">
        <v>51</v>
      </c>
      <c r="E831" s="10">
        <v>0.19</v>
      </c>
      <c r="F831" s="10">
        <v>89.659446044862023</v>
      </c>
      <c r="G831" s="10">
        <v>87.340127106227087</v>
      </c>
      <c r="H831" s="10">
        <v>93.287925999999999</v>
      </c>
      <c r="I831" s="10">
        <v>104.72839506172839</v>
      </c>
      <c r="J831" s="10">
        <v>110.69067412945928</v>
      </c>
      <c r="K831" s="10">
        <v>107.82731741509517</v>
      </c>
      <c r="L831" s="10">
        <v>115.17027901234567</v>
      </c>
      <c r="M831" s="10">
        <v>5.9622790677308899</v>
      </c>
      <c r="N831" s="10">
        <v>3.098922353366774</v>
      </c>
      <c r="O831" s="10">
        <v>10.441883950617282</v>
      </c>
      <c r="P831" s="5">
        <v>0.23363010780125612</v>
      </c>
      <c r="Q831" s="5">
        <v>0.21327913896405332</v>
      </c>
      <c r="R831" s="5">
        <v>0.26343844325577565</v>
      </c>
    </row>
    <row r="832" spans="1:18">
      <c r="A832" t="s">
        <v>3370</v>
      </c>
      <c r="B832" t="s">
        <v>128</v>
      </c>
      <c r="C832" s="10">
        <v>137.6</v>
      </c>
      <c r="D832" s="10">
        <v>51</v>
      </c>
      <c r="E832" s="10">
        <v>0.19</v>
      </c>
      <c r="F832" s="10">
        <v>124.70493502650933</v>
      </c>
      <c r="G832" s="10">
        <v>139.68363576007317</v>
      </c>
      <c r="H832" s="10">
        <v>139.67856</v>
      </c>
      <c r="I832" s="10">
        <v>169.87654320987653</v>
      </c>
      <c r="J832" s="10">
        <v>153.95670990927076</v>
      </c>
      <c r="K832" s="10">
        <v>172.44893303712738</v>
      </c>
      <c r="L832" s="10">
        <v>172.44266666666667</v>
      </c>
      <c r="M832" s="10">
        <v>15.919833300605774</v>
      </c>
      <c r="N832" s="10">
        <v>2.572389827250845</v>
      </c>
      <c r="O832" s="10">
        <v>2.5661234567901374</v>
      </c>
      <c r="P832" s="5">
        <v>0.10624226718608135</v>
      </c>
      <c r="Q832" s="5">
        <v>0.20208262482914049</v>
      </c>
      <c r="R832" s="5">
        <v>0.20205362941886001</v>
      </c>
    </row>
    <row r="833" spans="1:18">
      <c r="A833" t="s">
        <v>3371</v>
      </c>
      <c r="B833" t="s">
        <v>128</v>
      </c>
      <c r="C833" s="10">
        <v>98.65</v>
      </c>
      <c r="D833" s="10">
        <v>66</v>
      </c>
      <c r="E833" s="10">
        <v>0.19</v>
      </c>
      <c r="F833" s="10">
        <v>107.01061612185913</v>
      </c>
      <c r="G833" s="10">
        <v>96.785055412322706</v>
      </c>
      <c r="H833" s="10">
        <v>94.72475</v>
      </c>
      <c r="I833" s="10">
        <v>121.79012345679013</v>
      </c>
      <c r="J833" s="10">
        <v>132.11187175538163</v>
      </c>
      <c r="K833" s="10">
        <v>119.48772273126259</v>
      </c>
      <c r="L833" s="10">
        <v>116.94413580246913</v>
      </c>
      <c r="M833" s="10">
        <v>10.321748298591501</v>
      </c>
      <c r="N833" s="10">
        <v>2.3024007255275336</v>
      </c>
      <c r="O833" s="10">
        <v>4.845987654320993</v>
      </c>
      <c r="P833" s="5">
        <v>0.25328436658092041</v>
      </c>
      <c r="Q833" s="5">
        <v>0.17439216561293319</v>
      </c>
      <c r="R833" s="5">
        <v>0.15643482827877608</v>
      </c>
    </row>
    <row r="834" spans="1:18">
      <c r="A834" t="s">
        <v>3372</v>
      </c>
      <c r="B834" t="s">
        <v>128</v>
      </c>
      <c r="C834" s="10">
        <v>51.57</v>
      </c>
      <c r="D834" s="10">
        <v>51</v>
      </c>
      <c r="E834" s="10">
        <v>0.19</v>
      </c>
      <c r="F834" s="10">
        <v>49.422180297412503</v>
      </c>
      <c r="G834" s="10">
        <v>49.339986885312079</v>
      </c>
      <c r="H834" s="10">
        <v>49.756740000000001</v>
      </c>
      <c r="I834" s="10">
        <v>63.666666666666664</v>
      </c>
      <c r="J834" s="10">
        <v>61.015037404212961</v>
      </c>
      <c r="K834" s="10">
        <v>60.913564055940832</v>
      </c>
      <c r="L834" s="10">
        <v>61.428074074074068</v>
      </c>
      <c r="M834" s="10">
        <v>2.651629262453703</v>
      </c>
      <c r="N834" s="10">
        <v>2.7531026107258327</v>
      </c>
      <c r="O834" s="10">
        <v>2.238592592592596</v>
      </c>
      <c r="P834" s="5">
        <v>0.15479851862814398</v>
      </c>
      <c r="Q834" s="5">
        <v>0.15339053297488942</v>
      </c>
      <c r="R834" s="5">
        <v>0.16048157495848794</v>
      </c>
    </row>
    <row r="835" spans="1:18">
      <c r="A835" t="s">
        <v>3373</v>
      </c>
      <c r="B835" t="s">
        <v>128</v>
      </c>
      <c r="C835" s="10">
        <v>56.39</v>
      </c>
      <c r="D835" s="10">
        <v>51</v>
      </c>
      <c r="E835" s="10">
        <v>0.19</v>
      </c>
      <c r="F835" s="10">
        <v>52.085524492832654</v>
      </c>
      <c r="G835" s="10">
        <v>49.788239639282629</v>
      </c>
      <c r="H835" s="10">
        <v>50.314053000000001</v>
      </c>
      <c r="I835" s="10">
        <v>69.617283950617278</v>
      </c>
      <c r="J835" s="10">
        <v>64.303116657818094</v>
      </c>
      <c r="K835" s="10">
        <v>61.466962517632872</v>
      </c>
      <c r="L835" s="10">
        <v>62.116114814814814</v>
      </c>
      <c r="M835" s="10">
        <v>5.3141672927991834</v>
      </c>
      <c r="N835" s="10">
        <v>8.1503214329844056</v>
      </c>
      <c r="O835" s="10">
        <v>7.5011691358024635</v>
      </c>
      <c r="P835" s="5">
        <v>0.12305961311217413</v>
      </c>
      <c r="Q835" s="5">
        <v>8.2596606529506914E-2</v>
      </c>
      <c r="R835" s="5">
        <v>9.2184046473059902E-2</v>
      </c>
    </row>
    <row r="836" spans="1:18">
      <c r="A836" t="s">
        <v>3640</v>
      </c>
      <c r="B836" t="s">
        <v>136</v>
      </c>
      <c r="C836" s="10">
        <v>88.01</v>
      </c>
      <c r="D836" s="10">
        <v>105</v>
      </c>
      <c r="E836" s="10">
        <v>0.22</v>
      </c>
      <c r="F836" s="10">
        <v>94.551460399183895</v>
      </c>
      <c r="G836" s="10">
        <v>89.729602589240798</v>
      </c>
      <c r="H836" s="10">
        <v>92.782820000000001</v>
      </c>
      <c r="I836" s="10">
        <v>112.83333333333334</v>
      </c>
      <c r="J836" s="10">
        <v>121.21982102459474</v>
      </c>
      <c r="K836" s="10">
        <v>115.0379520374882</v>
      </c>
      <c r="L836" s="10">
        <v>118.95233333333333</v>
      </c>
      <c r="M836" s="10">
        <v>8.3864876912613937</v>
      </c>
      <c r="N836" s="10">
        <v>2.2046187041548535</v>
      </c>
      <c r="O836" s="10">
        <v>6.1189999999999856</v>
      </c>
      <c r="P836" s="5">
        <v>0.27396362033777188</v>
      </c>
      <c r="Q836" s="5">
        <v>0.23494813284471902</v>
      </c>
      <c r="R836" s="5">
        <v>0.26012380309199473</v>
      </c>
    </row>
    <row r="837" spans="1:18">
      <c r="A837" t="s">
        <v>3641</v>
      </c>
      <c r="B837" t="s">
        <v>136</v>
      </c>
      <c r="C837" s="10">
        <v>57.45</v>
      </c>
      <c r="D837" s="10">
        <v>65</v>
      </c>
      <c r="E837" s="10">
        <v>0.22</v>
      </c>
      <c r="F837" s="10">
        <v>53.668686627066691</v>
      </c>
      <c r="G837" s="10">
        <v>57.203747881828946</v>
      </c>
      <c r="H837" s="10">
        <v>57.734444000000003</v>
      </c>
      <c r="I837" s="10">
        <v>73.65384615384616</v>
      </c>
      <c r="J837" s="10">
        <v>68.806008496239343</v>
      </c>
      <c r="K837" s="10">
        <v>73.33813831003711</v>
      </c>
      <c r="L837" s="10">
        <v>74.018517948717957</v>
      </c>
      <c r="M837" s="10">
        <v>4.8478376576068172</v>
      </c>
      <c r="N837" s="10">
        <v>0.31570784380905081</v>
      </c>
      <c r="O837" s="10">
        <v>0.36467179487179635</v>
      </c>
      <c r="P837" s="5">
        <v>0.16504384928621479</v>
      </c>
      <c r="Q837" s="5">
        <v>0.21664223657914486</v>
      </c>
      <c r="R837" s="5">
        <v>0.22384287618670065</v>
      </c>
    </row>
    <row r="838" spans="1:18">
      <c r="A838" t="s">
        <v>3642</v>
      </c>
      <c r="B838" t="s">
        <v>136</v>
      </c>
      <c r="C838" s="10">
        <v>88.12</v>
      </c>
      <c r="D838" s="10">
        <v>105</v>
      </c>
      <c r="E838" s="10">
        <v>0.22</v>
      </c>
      <c r="F838" s="10">
        <v>87.913934870155543</v>
      </c>
      <c r="G838" s="10">
        <v>81.651954428559549</v>
      </c>
      <c r="H838" s="10">
        <v>85.341909999999999</v>
      </c>
      <c r="I838" s="10">
        <v>112.97435897435898</v>
      </c>
      <c r="J838" s="10">
        <v>112.71017291045582</v>
      </c>
      <c r="K838" s="10">
        <v>105</v>
      </c>
      <c r="L838" s="10">
        <v>109.41270512820512</v>
      </c>
      <c r="M838" s="10">
        <v>0.26418606390315347</v>
      </c>
      <c r="N838" s="10">
        <v>7.974358974358978</v>
      </c>
      <c r="O838" s="10">
        <v>3.5616538461538596</v>
      </c>
      <c r="P838" s="5">
        <v>0.21817172554594363</v>
      </c>
      <c r="Q838" s="5">
        <v>0.16076190476190472</v>
      </c>
      <c r="R838" s="5">
        <v>0.19460907308027195</v>
      </c>
    </row>
    <row r="839" spans="1:18">
      <c r="A839" t="s">
        <v>3643</v>
      </c>
      <c r="B839" t="s">
        <v>136</v>
      </c>
      <c r="C839" s="10">
        <v>101.93</v>
      </c>
      <c r="D839" s="10">
        <v>105</v>
      </c>
      <c r="E839" s="10">
        <v>0.22</v>
      </c>
      <c r="F839" s="10">
        <v>94.768380473257182</v>
      </c>
      <c r="G839" s="10">
        <v>100.75042800171109</v>
      </c>
      <c r="H839" s="10">
        <v>100.85890000000001</v>
      </c>
      <c r="I839" s="10">
        <v>130.67948717948718</v>
      </c>
      <c r="J839" s="10">
        <v>121.49792368366305</v>
      </c>
      <c r="K839" s="10">
        <v>129.16721538680909</v>
      </c>
      <c r="L839" s="10">
        <v>129.30628205128207</v>
      </c>
      <c r="M839" s="10">
        <v>9.1815634958241361</v>
      </c>
      <c r="N839" s="10">
        <v>1.5122717926780922</v>
      </c>
      <c r="O839" s="10">
        <v>1.3732051282051145</v>
      </c>
      <c r="P839" s="5">
        <v>0.16105562210767391</v>
      </c>
      <c r="Q839" s="5">
        <v>0.21086786848538519</v>
      </c>
      <c r="R839" s="5">
        <v>0.21171656641109515</v>
      </c>
    </row>
    <row r="840" spans="1:18">
      <c r="A840" t="s">
        <v>3644</v>
      </c>
      <c r="B840" t="s">
        <v>136</v>
      </c>
      <c r="C840" s="10">
        <v>176.4</v>
      </c>
      <c r="D840" s="10">
        <v>195</v>
      </c>
      <c r="E840" s="10">
        <v>0.22</v>
      </c>
      <c r="F840" s="10">
        <v>184.67633761148534</v>
      </c>
      <c r="G840" s="10">
        <v>176.02187370268618</v>
      </c>
      <c r="H840" s="10">
        <v>176.03717</v>
      </c>
      <c r="I840" s="10">
        <v>226.15384615384616</v>
      </c>
      <c r="J840" s="10">
        <v>236.76453539934016</v>
      </c>
      <c r="K840" s="10">
        <v>225.66906884959766</v>
      </c>
      <c r="L840" s="10">
        <v>225.68867948717948</v>
      </c>
      <c r="M840" s="10">
        <v>10.610689245494001</v>
      </c>
      <c r="N840" s="10">
        <v>0.48477730424849597</v>
      </c>
      <c r="O840" s="10">
        <v>0.46516666666667561</v>
      </c>
      <c r="P840" s="5">
        <v>0.25495598526834262</v>
      </c>
      <c r="Q840" s="5">
        <v>0.21832442124549273</v>
      </c>
      <c r="R840" s="5">
        <v>0.21839234293530163</v>
      </c>
    </row>
    <row r="841" spans="1:18">
      <c r="A841" t="s">
        <v>3645</v>
      </c>
      <c r="B841" t="s">
        <v>136</v>
      </c>
      <c r="C841" s="10">
        <v>104.74</v>
      </c>
      <c r="D841" s="10">
        <v>105</v>
      </c>
      <c r="E841" s="10">
        <v>0.22</v>
      </c>
      <c r="F841" s="10">
        <v>114.39686281377821</v>
      </c>
      <c r="G841" s="10">
        <v>105.1377920195001</v>
      </c>
      <c r="H841" s="10">
        <v>111.05176</v>
      </c>
      <c r="I841" s="10">
        <v>134.28205128205127</v>
      </c>
      <c r="J841" s="10">
        <v>146.66264463304898</v>
      </c>
      <c r="K841" s="10">
        <v>134.79204105064113</v>
      </c>
      <c r="L841" s="10">
        <v>142.37405128205128</v>
      </c>
      <c r="M841" s="10">
        <v>12.380593350997714</v>
      </c>
      <c r="N841" s="10">
        <v>0.50998976858986111</v>
      </c>
      <c r="O841" s="10">
        <v>8.092000000000013</v>
      </c>
      <c r="P841" s="5">
        <v>0.2858440520961541</v>
      </c>
      <c r="Q841" s="5">
        <v>0.22295115361707921</v>
      </c>
      <c r="R841" s="5">
        <v>0.2643322357070253</v>
      </c>
    </row>
    <row r="842" spans="1:18">
      <c r="A842" t="s">
        <v>3646</v>
      </c>
      <c r="B842" t="s">
        <v>136</v>
      </c>
      <c r="C842" s="10">
        <v>87.09</v>
      </c>
      <c r="D842" s="10">
        <v>105</v>
      </c>
      <c r="E842" s="10">
        <v>0.22</v>
      </c>
      <c r="F842" s="10">
        <v>76.461618824949895</v>
      </c>
      <c r="G842" s="10">
        <v>81.427551873997444</v>
      </c>
      <c r="H842" s="10">
        <v>82.684569999999994</v>
      </c>
      <c r="I842" s="10">
        <v>111.65384615384616</v>
      </c>
      <c r="J842" s="10">
        <v>105</v>
      </c>
      <c r="K842" s="10">
        <v>105</v>
      </c>
      <c r="L842" s="10">
        <v>106.00585897435896</v>
      </c>
      <c r="M842" s="10">
        <v>6.6538461538461604</v>
      </c>
      <c r="N842" s="10">
        <v>6.6538461538461604</v>
      </c>
      <c r="O842" s="10">
        <v>5.6479871794872025</v>
      </c>
      <c r="P842" s="5">
        <v>0.17057142857142854</v>
      </c>
      <c r="Q842" s="5">
        <v>0.17057142857142854</v>
      </c>
      <c r="R842" s="5">
        <v>0.17844163669231136</v>
      </c>
    </row>
    <row r="843" spans="1:18">
      <c r="A843" t="s">
        <v>3647</v>
      </c>
      <c r="B843" t="s">
        <v>136</v>
      </c>
      <c r="C843" s="10">
        <v>101.05</v>
      </c>
      <c r="D843" s="10">
        <v>65</v>
      </c>
      <c r="E843" s="10">
        <v>0.22</v>
      </c>
      <c r="F843" s="10">
        <v>102.3924464915208</v>
      </c>
      <c r="G843" s="10">
        <v>107.99995882173384</v>
      </c>
      <c r="H843" s="10">
        <v>103.36292</v>
      </c>
      <c r="I843" s="10">
        <v>129.55128205128204</v>
      </c>
      <c r="J843" s="10">
        <v>131.27236729682153</v>
      </c>
      <c r="K843" s="10">
        <v>138.46148566888954</v>
      </c>
      <c r="L843" s="10">
        <v>132.5165641025641</v>
      </c>
      <c r="M843" s="10">
        <v>1.7210852455394843</v>
      </c>
      <c r="N843" s="10">
        <v>8.9102036176074932</v>
      </c>
      <c r="O843" s="10">
        <v>2.9652820512820597</v>
      </c>
      <c r="P843" s="5">
        <v>0.23022642098382651</v>
      </c>
      <c r="Q843" s="5">
        <v>0.27019416618389935</v>
      </c>
      <c r="R843" s="5">
        <v>0.23745381806164148</v>
      </c>
    </row>
    <row r="844" spans="1:18">
      <c r="A844" t="s">
        <v>3648</v>
      </c>
      <c r="B844" t="s">
        <v>136</v>
      </c>
      <c r="C844" s="10">
        <v>70.150000000000006</v>
      </c>
      <c r="D844" s="10">
        <v>65</v>
      </c>
      <c r="E844" s="10">
        <v>0.22</v>
      </c>
      <c r="F844" s="10">
        <v>57.896567605510214</v>
      </c>
      <c r="G844" s="10">
        <v>64.151463527848051</v>
      </c>
      <c r="H844" s="10">
        <v>63.667534000000003</v>
      </c>
      <c r="I844" s="10">
        <v>89.935897435897445</v>
      </c>
      <c r="J844" s="10">
        <v>74.226368725013089</v>
      </c>
      <c r="K844" s="10">
        <v>82.245466061343649</v>
      </c>
      <c r="L844" s="10">
        <v>81.625043589743598</v>
      </c>
      <c r="M844" s="10">
        <v>15.709528710884356</v>
      </c>
      <c r="N844" s="10">
        <v>7.6904313745537962</v>
      </c>
      <c r="O844" s="10">
        <v>8.3108538461538473</v>
      </c>
      <c r="P844" s="5">
        <v>5.491806746083501E-2</v>
      </c>
      <c r="Q844" s="5">
        <v>0.14706544494893023</v>
      </c>
      <c r="R844" s="5">
        <v>0.14058238850589064</v>
      </c>
    </row>
    <row r="845" spans="1:18">
      <c r="A845" t="s">
        <v>3649</v>
      </c>
      <c r="B845" t="s">
        <v>136</v>
      </c>
      <c r="C845" s="10">
        <v>74.19</v>
      </c>
      <c r="D845" s="10">
        <v>70</v>
      </c>
      <c r="E845" s="10">
        <v>0.22</v>
      </c>
      <c r="F845" s="10">
        <v>73.030287065466368</v>
      </c>
      <c r="G845" s="10">
        <v>71.833048430458433</v>
      </c>
      <c r="H845" s="10">
        <v>70.893280000000004</v>
      </c>
      <c r="I845" s="10">
        <v>95.115384615384613</v>
      </c>
      <c r="J845" s="10">
        <v>93.628573160854316</v>
      </c>
      <c r="K845" s="10">
        <v>92.093651833921058</v>
      </c>
      <c r="L845" s="10">
        <v>90.888820512820516</v>
      </c>
      <c r="M845" s="10">
        <v>1.4868114545302973</v>
      </c>
      <c r="N845" s="10">
        <v>3.0217327814635553</v>
      </c>
      <c r="O845" s="10">
        <v>4.2265641025640974</v>
      </c>
      <c r="P845" s="5">
        <v>0.20761368570103872</v>
      </c>
      <c r="Q845" s="5">
        <v>0.19440701370174757</v>
      </c>
      <c r="R845" s="5">
        <v>0.18372799227232825</v>
      </c>
    </row>
    <row r="846" spans="1:18">
      <c r="A846" t="s">
        <v>3650</v>
      </c>
      <c r="B846" t="s">
        <v>136</v>
      </c>
      <c r="C846" s="10">
        <v>81.12</v>
      </c>
      <c r="D846" s="10">
        <v>105</v>
      </c>
      <c r="E846" s="10">
        <v>0.22</v>
      </c>
      <c r="F846" s="10">
        <v>89.115498571657923</v>
      </c>
      <c r="G846" s="10">
        <v>82.28930448544709</v>
      </c>
      <c r="H846" s="10">
        <v>85.123109999999997</v>
      </c>
      <c r="I846" s="10">
        <v>105</v>
      </c>
      <c r="J846" s="10">
        <v>114.25063919443323</v>
      </c>
      <c r="K846" s="10">
        <v>105.49910831467575</v>
      </c>
      <c r="L846" s="10">
        <v>109.13219230769231</v>
      </c>
      <c r="M846" s="10">
        <v>9.2506391944332336</v>
      </c>
      <c r="N846" s="10">
        <v>0.49910831467575179</v>
      </c>
      <c r="O846" s="10">
        <v>4.1321923076923071</v>
      </c>
      <c r="P846" s="5">
        <v>0.28998209049886431</v>
      </c>
      <c r="Q846" s="5">
        <v>0.23108354851644203</v>
      </c>
      <c r="R846" s="5">
        <v>0.25668129371682963</v>
      </c>
    </row>
    <row r="847" spans="1:18">
      <c r="A847" t="s">
        <v>3651</v>
      </c>
      <c r="B847" t="s">
        <v>136</v>
      </c>
      <c r="C847" s="10">
        <v>118.2</v>
      </c>
      <c r="D847" s="10">
        <v>105</v>
      </c>
      <c r="E847" s="10">
        <v>0.22</v>
      </c>
      <c r="F847" s="10">
        <v>123.60341297382789</v>
      </c>
      <c r="G847" s="10">
        <v>115.16848780525032</v>
      </c>
      <c r="H847" s="10">
        <v>124.19283</v>
      </c>
      <c r="I847" s="10">
        <v>151.53846153846155</v>
      </c>
      <c r="J847" s="10">
        <v>158.4659140690101</v>
      </c>
      <c r="K847" s="10">
        <v>147.65190744262861</v>
      </c>
      <c r="L847" s="10">
        <v>159.22157692307692</v>
      </c>
      <c r="M847" s="10">
        <v>6.9274525305485497</v>
      </c>
      <c r="N847" s="10">
        <v>3.8865540958329348</v>
      </c>
      <c r="O847" s="10">
        <v>7.6831153846153768</v>
      </c>
      <c r="P847" s="5">
        <v>0.25409826652989076</v>
      </c>
      <c r="Q847" s="5">
        <v>0.19946851993139605</v>
      </c>
      <c r="R847" s="5">
        <v>0.25763830327402959</v>
      </c>
    </row>
    <row r="848" spans="1:18">
      <c r="A848" t="s">
        <v>3652</v>
      </c>
      <c r="B848" t="s">
        <v>136</v>
      </c>
      <c r="C848" s="10">
        <v>82.33</v>
      </c>
      <c r="D848" s="10">
        <v>105</v>
      </c>
      <c r="E848" s="10">
        <v>0.22</v>
      </c>
      <c r="F848" s="10">
        <v>92.530105040766273</v>
      </c>
      <c r="G848" s="10">
        <v>82.7808620162957</v>
      </c>
      <c r="H848" s="10">
        <v>86.088549999999998</v>
      </c>
      <c r="I848" s="10">
        <v>105.55128205128204</v>
      </c>
      <c r="J848" s="10">
        <v>118.62833979585419</v>
      </c>
      <c r="K848" s="10">
        <v>106.12931027730218</v>
      </c>
      <c r="L848" s="10">
        <v>110.36993589743589</v>
      </c>
      <c r="M848" s="10">
        <v>13.077057744572144</v>
      </c>
      <c r="N848" s="10">
        <v>0.57802822602013748</v>
      </c>
      <c r="O848" s="10">
        <v>4.8186538461538504</v>
      </c>
      <c r="P848" s="5">
        <v>0.30598371230955002</v>
      </c>
      <c r="Q848" s="5">
        <v>0.22424823279372738</v>
      </c>
      <c r="R848" s="5">
        <v>0.25405411056406457</v>
      </c>
    </row>
    <row r="849" spans="1:18">
      <c r="A849" t="s">
        <v>3653</v>
      </c>
      <c r="B849" t="s">
        <v>136</v>
      </c>
      <c r="C849" s="10">
        <v>70.180000000000007</v>
      </c>
      <c r="D849" s="10">
        <v>70</v>
      </c>
      <c r="E849" s="10">
        <v>0.22</v>
      </c>
      <c r="F849" s="10">
        <v>69.075822262641452</v>
      </c>
      <c r="G849" s="10">
        <v>76.965817387940092</v>
      </c>
      <c r="H849" s="10">
        <v>75.960920000000002</v>
      </c>
      <c r="I849" s="10">
        <v>89.974358974358978</v>
      </c>
      <c r="J849" s="10">
        <v>88.558746490565966</v>
      </c>
      <c r="K849" s="10">
        <v>98.674124856333449</v>
      </c>
      <c r="L849" s="10">
        <v>97.385794871794872</v>
      </c>
      <c r="M849" s="10">
        <v>1.4156124837930122</v>
      </c>
      <c r="N849" s="10">
        <v>8.6997658819744714</v>
      </c>
      <c r="O849" s="10">
        <v>7.4114358974358936</v>
      </c>
      <c r="P849" s="5">
        <v>0.20753169188685186</v>
      </c>
      <c r="Q849" s="5">
        <v>0.2887699779229867</v>
      </c>
      <c r="R849" s="5">
        <v>0.27936101879756059</v>
      </c>
    </row>
    <row r="850" spans="1:18">
      <c r="A850" t="s">
        <v>3654</v>
      </c>
      <c r="B850" t="s">
        <v>136</v>
      </c>
      <c r="C850" s="10">
        <v>73.5</v>
      </c>
      <c r="D850" s="10">
        <v>70</v>
      </c>
      <c r="E850" s="10">
        <v>0.22</v>
      </c>
      <c r="F850" s="10">
        <v>74.230320542348352</v>
      </c>
      <c r="G850" s="10">
        <v>76.957512211279109</v>
      </c>
      <c r="H850" s="10">
        <v>76.55077</v>
      </c>
      <c r="I850" s="10">
        <v>94.230769230769226</v>
      </c>
      <c r="J850" s="10">
        <v>95.167077618395325</v>
      </c>
      <c r="K850" s="10">
        <v>98.663477193947571</v>
      </c>
      <c r="L850" s="10">
        <v>98.142012820512818</v>
      </c>
      <c r="M850" s="10">
        <v>0.93630838762609869</v>
      </c>
      <c r="N850" s="10">
        <v>4.4327079631783448</v>
      </c>
      <c r="O850" s="10">
        <v>3.9112435897435915</v>
      </c>
      <c r="P850" s="5">
        <v>0.22767408814713028</v>
      </c>
      <c r="Q850" s="5">
        <v>0.25504348629921592</v>
      </c>
      <c r="R850" s="5">
        <v>0.25108526014826499</v>
      </c>
    </row>
    <row r="851" spans="1:18">
      <c r="A851" t="s">
        <v>3655</v>
      </c>
      <c r="B851" t="s">
        <v>136</v>
      </c>
      <c r="C851" s="10">
        <v>65.739999999999995</v>
      </c>
      <c r="D851" s="10">
        <v>70</v>
      </c>
      <c r="E851" s="10">
        <v>0.22</v>
      </c>
      <c r="F851" s="10">
        <v>71.090977020538332</v>
      </c>
      <c r="G851" s="10">
        <v>72.146060207359042</v>
      </c>
      <c r="H851" s="10">
        <v>71.215969999999999</v>
      </c>
      <c r="I851" s="10">
        <v>84.28205128205127</v>
      </c>
      <c r="J851" s="10">
        <v>91.1422782314594</v>
      </c>
      <c r="K851" s="10">
        <v>92.494948983793634</v>
      </c>
      <c r="L851" s="10">
        <v>91.302525641025639</v>
      </c>
      <c r="M851" s="10">
        <v>6.8602269494081298</v>
      </c>
      <c r="N851" s="10">
        <v>8.2128977017423637</v>
      </c>
      <c r="O851" s="10">
        <v>7.0204743589743686</v>
      </c>
      <c r="P851" s="5">
        <v>0.27871015213103761</v>
      </c>
      <c r="Q851" s="5">
        <v>0.28925848684430833</v>
      </c>
      <c r="R851" s="5">
        <v>0.27997610648285776</v>
      </c>
    </row>
    <row r="852" spans="1:18">
      <c r="A852" t="s">
        <v>3656</v>
      </c>
      <c r="B852" t="s">
        <v>136</v>
      </c>
      <c r="C852" s="10">
        <v>67.2</v>
      </c>
      <c r="D852" s="10">
        <v>70</v>
      </c>
      <c r="E852" s="10">
        <v>0.22</v>
      </c>
      <c r="F852" s="10">
        <v>66.86403113977525</v>
      </c>
      <c r="G852" s="10">
        <v>69.23360787943453</v>
      </c>
      <c r="H852" s="10">
        <v>68.828810000000004</v>
      </c>
      <c r="I852" s="10">
        <v>86.15384615384616</v>
      </c>
      <c r="J852" s="10">
        <v>85.723116845865704</v>
      </c>
      <c r="K852" s="10">
        <v>88.761035742864777</v>
      </c>
      <c r="L852" s="10">
        <v>88.2420641025641</v>
      </c>
      <c r="M852" s="10">
        <v>0.43072930798045661</v>
      </c>
      <c r="N852" s="10">
        <v>2.607189589018617</v>
      </c>
      <c r="O852" s="10">
        <v>2.08821794871794</v>
      </c>
      <c r="P852" s="5">
        <v>0.21608076709542839</v>
      </c>
      <c r="Q852" s="5">
        <v>0.24291104269361793</v>
      </c>
      <c r="R852" s="5">
        <v>0.23845843041598419</v>
      </c>
    </row>
    <row r="853" spans="1:18">
      <c r="A853" t="s">
        <v>3657</v>
      </c>
      <c r="B853" t="s">
        <v>136</v>
      </c>
      <c r="C853" s="10">
        <v>138.72</v>
      </c>
      <c r="D853" s="10">
        <v>105</v>
      </c>
      <c r="E853" s="10">
        <v>0.22</v>
      </c>
      <c r="F853" s="10">
        <v>137.38749913005842</v>
      </c>
      <c r="G853" s="10">
        <v>135.15010393772891</v>
      </c>
      <c r="H853" s="10">
        <v>141.65326999999999</v>
      </c>
      <c r="I853" s="10">
        <v>177.84615384615384</v>
      </c>
      <c r="J853" s="10">
        <v>176.13781939751078</v>
      </c>
      <c r="K853" s="10">
        <v>173.26936402272938</v>
      </c>
      <c r="L853" s="10">
        <v>181.60675641025639</v>
      </c>
      <c r="M853" s="10">
        <v>1.7083344486430576</v>
      </c>
      <c r="N853" s="10">
        <v>4.5767898234244626</v>
      </c>
      <c r="O853" s="10">
        <v>3.7606025641025553</v>
      </c>
      <c r="P853" s="5">
        <v>0.21243489629598297</v>
      </c>
      <c r="Q853" s="5">
        <v>0.19939684212263406</v>
      </c>
      <c r="R853" s="5">
        <v>0.23615176691649964</v>
      </c>
    </row>
    <row r="854" spans="1:18">
      <c r="A854" t="s">
        <v>3658</v>
      </c>
      <c r="B854" t="s">
        <v>136</v>
      </c>
      <c r="C854" s="10">
        <v>67.010000000000005</v>
      </c>
      <c r="D854" s="10">
        <v>70</v>
      </c>
      <c r="E854" s="10">
        <v>0.22</v>
      </c>
      <c r="F854" s="10">
        <v>66.355222144666342</v>
      </c>
      <c r="G854" s="10">
        <v>68.449253513782679</v>
      </c>
      <c r="H854" s="10">
        <v>66.763040000000004</v>
      </c>
      <c r="I854" s="10">
        <v>85.910256410256409</v>
      </c>
      <c r="J854" s="10">
        <v>85.070797621367106</v>
      </c>
      <c r="K854" s="10">
        <v>87.755453222798309</v>
      </c>
      <c r="L854" s="10">
        <v>85.593641025641034</v>
      </c>
      <c r="M854" s="10">
        <v>0.83945878888930281</v>
      </c>
      <c r="N854" s="10">
        <v>1.8451968125419</v>
      </c>
      <c r="O854" s="10">
        <v>0.31661538461537475</v>
      </c>
      <c r="P854" s="5">
        <v>0.2123031419283507</v>
      </c>
      <c r="Q854" s="5">
        <v>0.23640073022161506</v>
      </c>
      <c r="R854" s="5">
        <v>0.21711473893339789</v>
      </c>
    </row>
    <row r="855" spans="1:18">
      <c r="A855" t="s">
        <v>3659</v>
      </c>
      <c r="B855" t="s">
        <v>136</v>
      </c>
      <c r="C855" s="10">
        <v>67.540000000000006</v>
      </c>
      <c r="D855" s="10">
        <v>70</v>
      </c>
      <c r="E855" s="10">
        <v>0.22</v>
      </c>
      <c r="F855" s="10">
        <v>67.923870927895621</v>
      </c>
      <c r="G855" s="10">
        <v>68.849881639791846</v>
      </c>
      <c r="H855" s="10">
        <v>67.745025999999996</v>
      </c>
      <c r="I855" s="10">
        <v>86.589743589743591</v>
      </c>
      <c r="J855" s="10">
        <v>87.081885804994386</v>
      </c>
      <c r="K855" s="10">
        <v>88.269079025374154</v>
      </c>
      <c r="L855" s="10">
        <v>86.852597435897422</v>
      </c>
      <c r="M855" s="10">
        <v>0.49214221525079438</v>
      </c>
      <c r="N855" s="10">
        <v>1.6793354356305628</v>
      </c>
      <c r="O855" s="10">
        <v>0.26285384615383123</v>
      </c>
      <c r="P855" s="5">
        <v>0.22440816048420484</v>
      </c>
      <c r="Q855" s="5">
        <v>0.23483964321657066</v>
      </c>
      <c r="R855" s="5">
        <v>0.22236062024686487</v>
      </c>
    </row>
    <row r="856" spans="1:18">
      <c r="A856" t="s">
        <v>3660</v>
      </c>
      <c r="B856" t="s">
        <v>136</v>
      </c>
      <c r="C856" s="10">
        <v>69.03</v>
      </c>
      <c r="D856" s="10">
        <v>70</v>
      </c>
      <c r="E856" s="10">
        <v>0.22</v>
      </c>
      <c r="F856" s="10">
        <v>65.31517343984423</v>
      </c>
      <c r="G856" s="10">
        <v>69.009874127221821</v>
      </c>
      <c r="H856" s="10">
        <v>66.94256</v>
      </c>
      <c r="I856" s="10">
        <v>88.5</v>
      </c>
      <c r="J856" s="10">
        <v>83.737401845954139</v>
      </c>
      <c r="K856" s="10">
        <v>88.474197599002338</v>
      </c>
      <c r="L856" s="10">
        <v>85.823794871794874</v>
      </c>
      <c r="M856" s="10">
        <v>4.7625981540458611</v>
      </c>
      <c r="N856" s="10">
        <v>2.5802400997662289E-2</v>
      </c>
      <c r="O856" s="10">
        <v>2.676205128205126</v>
      </c>
      <c r="P856" s="5">
        <v>0.1756371886604545</v>
      </c>
      <c r="Q856" s="5">
        <v>0.21977252268656455</v>
      </c>
      <c r="R856" s="5">
        <v>0.19567760778793045</v>
      </c>
    </row>
    <row r="857" spans="1:18">
      <c r="A857" t="s">
        <v>3661</v>
      </c>
      <c r="B857" t="s">
        <v>136</v>
      </c>
      <c r="C857" s="10">
        <v>60.92</v>
      </c>
      <c r="D857" s="10">
        <v>65</v>
      </c>
      <c r="E857" s="10">
        <v>0.22</v>
      </c>
      <c r="F857" s="10">
        <v>61.037454043228507</v>
      </c>
      <c r="G857" s="10">
        <v>61.860003008714976</v>
      </c>
      <c r="H857" s="10">
        <v>63.275039999999997</v>
      </c>
      <c r="I857" s="10">
        <v>78.102564102564102</v>
      </c>
      <c r="J857" s="10">
        <v>78.253146209267314</v>
      </c>
      <c r="K857" s="10">
        <v>79.307696165019195</v>
      </c>
      <c r="L857" s="10">
        <v>81.12184615384615</v>
      </c>
      <c r="M857" s="10">
        <v>0.15058210670321159</v>
      </c>
      <c r="N857" s="10">
        <v>1.2051320624550925</v>
      </c>
      <c r="O857" s="10">
        <v>3.0192820512820475</v>
      </c>
      <c r="P857" s="5">
        <v>0.22150094978819643</v>
      </c>
      <c r="Q857" s="5">
        <v>0.23185260768083671</v>
      </c>
      <c r="R857" s="5">
        <v>0.249030897491333</v>
      </c>
    </row>
    <row r="858" spans="1:18">
      <c r="A858" t="s">
        <v>3662</v>
      </c>
      <c r="B858" t="s">
        <v>136</v>
      </c>
      <c r="C858" s="10">
        <v>68.180000000000007</v>
      </c>
      <c r="D858" s="10">
        <v>70</v>
      </c>
      <c r="E858" s="10">
        <v>0.22</v>
      </c>
      <c r="F858" s="10">
        <v>62.297838605217187</v>
      </c>
      <c r="G858" s="10">
        <v>67.92044937075643</v>
      </c>
      <c r="H858" s="10">
        <v>67.112830000000002</v>
      </c>
      <c r="I858" s="10">
        <v>87.410256410256423</v>
      </c>
      <c r="J858" s="10">
        <v>79.869023852842545</v>
      </c>
      <c r="K858" s="10">
        <v>87.077499193277475</v>
      </c>
      <c r="L858" s="10">
        <v>86.042089743589742</v>
      </c>
      <c r="M858" s="10">
        <v>7.5412325574138777</v>
      </c>
      <c r="N858" s="10">
        <v>0.33275721697894767</v>
      </c>
      <c r="O858" s="10">
        <v>1.3681666666666814</v>
      </c>
      <c r="P858" s="5">
        <v>0.14635240658981116</v>
      </c>
      <c r="Q858" s="5">
        <v>0.21701931461458859</v>
      </c>
      <c r="R858" s="5">
        <v>0.20759711667649827</v>
      </c>
    </row>
    <row r="859" spans="1:18">
      <c r="A859" t="s">
        <v>3663</v>
      </c>
      <c r="B859" t="s">
        <v>136</v>
      </c>
      <c r="C859" s="10">
        <v>63.62</v>
      </c>
      <c r="D859" s="10">
        <v>70</v>
      </c>
      <c r="E859" s="10">
        <v>0.22</v>
      </c>
      <c r="F859" s="10">
        <v>67.702734877032071</v>
      </c>
      <c r="G859" s="10">
        <v>69.834848530751131</v>
      </c>
      <c r="H859" s="10">
        <v>67.960814999999997</v>
      </c>
      <c r="I859" s="10">
        <v>81.564102564102555</v>
      </c>
      <c r="J859" s="10">
        <v>86.798378047477016</v>
      </c>
      <c r="K859" s="10">
        <v>89.53185709070658</v>
      </c>
      <c r="L859" s="10">
        <v>87.129249999999999</v>
      </c>
      <c r="M859" s="10">
        <v>5.2342754833744607</v>
      </c>
      <c r="N859" s="10">
        <v>7.9677545266040255</v>
      </c>
      <c r="O859" s="10">
        <v>5.565147435897444</v>
      </c>
      <c r="P859" s="5">
        <v>0.26703699503231382</v>
      </c>
      <c r="Q859" s="5">
        <v>0.28941494047704991</v>
      </c>
      <c r="R859" s="5">
        <v>0.26982041048212857</v>
      </c>
    </row>
    <row r="860" spans="1:18">
      <c r="A860" t="s">
        <v>3664</v>
      </c>
      <c r="B860" t="s">
        <v>136</v>
      </c>
      <c r="C860" s="10">
        <v>195.83</v>
      </c>
      <c r="D860" s="10">
        <v>125</v>
      </c>
      <c r="E860" s="10">
        <v>0.22</v>
      </c>
      <c r="F860" s="10">
        <v>188.13298459333933</v>
      </c>
      <c r="G860" s="10">
        <v>168.82095695970708</v>
      </c>
      <c r="H860" s="10">
        <v>171.96198000000001</v>
      </c>
      <c r="I860" s="10">
        <v>251.06410256410257</v>
      </c>
      <c r="J860" s="10">
        <v>241.19613409402479</v>
      </c>
      <c r="K860" s="10">
        <v>216.43712430731676</v>
      </c>
      <c r="L860" s="10">
        <v>220.46407692307693</v>
      </c>
      <c r="M860" s="10">
        <v>9.8679684700777841</v>
      </c>
      <c r="N860" s="10">
        <v>34.626978256785804</v>
      </c>
      <c r="O860" s="10">
        <v>30.600025641025638</v>
      </c>
      <c r="P860" s="5">
        <v>0.18808814769949764</v>
      </c>
      <c r="Q860" s="5">
        <v>9.5210673184037115E-2</v>
      </c>
      <c r="R860" s="5">
        <v>0.1117373735752519</v>
      </c>
    </row>
    <row r="861" spans="1:18">
      <c r="A861" t="s">
        <v>3665</v>
      </c>
      <c r="B861" t="s">
        <v>136</v>
      </c>
      <c r="C861" s="10">
        <v>59.85</v>
      </c>
      <c r="D861" s="10">
        <v>65</v>
      </c>
      <c r="E861" s="10">
        <v>0.22</v>
      </c>
      <c r="F861" s="10">
        <v>53.704733002174322</v>
      </c>
      <c r="G861" s="10">
        <v>56.391852777592021</v>
      </c>
      <c r="H861" s="10">
        <v>57.281314999999999</v>
      </c>
      <c r="I861" s="10">
        <v>76.730769230769226</v>
      </c>
      <c r="J861" s="10">
        <v>68.852221797659382</v>
      </c>
      <c r="K861" s="10">
        <v>72.297247150759006</v>
      </c>
      <c r="L861" s="10">
        <v>73.437583333333336</v>
      </c>
      <c r="M861" s="10">
        <v>7.8785474331098442</v>
      </c>
      <c r="N861" s="10">
        <v>4.4335220800102206</v>
      </c>
      <c r="O861" s="10">
        <v>3.2931858974358903</v>
      </c>
      <c r="P861" s="5">
        <v>0.13074700514552473</v>
      </c>
      <c r="Q861" s="5">
        <v>0.17216765010157553</v>
      </c>
      <c r="R861" s="5">
        <v>0.18502220139324665</v>
      </c>
    </row>
    <row r="862" spans="1:18">
      <c r="A862" t="s">
        <v>3666</v>
      </c>
      <c r="B862" t="s">
        <v>136</v>
      </c>
      <c r="C862" s="10">
        <v>78.97</v>
      </c>
      <c r="D862" s="10">
        <v>70</v>
      </c>
      <c r="E862" s="10">
        <v>0.22</v>
      </c>
      <c r="F862" s="10">
        <v>77.566761970204396</v>
      </c>
      <c r="G862" s="10">
        <v>78.30895713294241</v>
      </c>
      <c r="H862" s="10">
        <v>78.035749999999993</v>
      </c>
      <c r="I862" s="10">
        <v>101.24358974358974</v>
      </c>
      <c r="J862" s="10">
        <v>99.444566628467172</v>
      </c>
      <c r="K862" s="10">
        <v>100.3960988883877</v>
      </c>
      <c r="L862" s="10">
        <v>100.04583333333332</v>
      </c>
      <c r="M862" s="10">
        <v>1.7990231151225657</v>
      </c>
      <c r="N862" s="10">
        <v>0.84749085520203948</v>
      </c>
      <c r="O862" s="10">
        <v>1.1977564102564173</v>
      </c>
      <c r="P862" s="5">
        <v>0.20588924385343027</v>
      </c>
      <c r="Q862" s="5">
        <v>0.21341565185921726</v>
      </c>
      <c r="R862" s="5">
        <v>0.21066178001749189</v>
      </c>
    </row>
    <row r="863" spans="1:18">
      <c r="A863" t="s">
        <v>3667</v>
      </c>
      <c r="B863" t="s">
        <v>136</v>
      </c>
      <c r="C863" s="10">
        <v>76.11</v>
      </c>
      <c r="D863" s="10">
        <v>70</v>
      </c>
      <c r="E863" s="10">
        <v>0.22</v>
      </c>
      <c r="F863" s="10">
        <v>73.558070626692825</v>
      </c>
      <c r="G863" s="10">
        <v>78.01386767164459</v>
      </c>
      <c r="H863" s="10">
        <v>79.295649999999995</v>
      </c>
      <c r="I863" s="10">
        <v>97.576923076923066</v>
      </c>
      <c r="J863" s="10">
        <v>94.30521875217029</v>
      </c>
      <c r="K863" s="10">
        <v>100.01777906621101</v>
      </c>
      <c r="L863" s="10">
        <v>101.66108974358973</v>
      </c>
      <c r="M863" s="10">
        <v>3.2717043247527755</v>
      </c>
      <c r="N863" s="10">
        <v>2.4408559892879396</v>
      </c>
      <c r="O863" s="10">
        <v>4.0841666666666612</v>
      </c>
      <c r="P863" s="5">
        <v>0.19293968025233552</v>
      </c>
      <c r="Q863" s="5">
        <v>0.23903529241920318</v>
      </c>
      <c r="R863" s="5">
        <v>0.25133598122973949</v>
      </c>
    </row>
    <row r="864" spans="1:18">
      <c r="A864" t="s">
        <v>3668</v>
      </c>
      <c r="B864" t="s">
        <v>136</v>
      </c>
      <c r="C864" s="10">
        <v>69.08</v>
      </c>
      <c r="D864" s="10">
        <v>70</v>
      </c>
      <c r="E864" s="10">
        <v>0.22</v>
      </c>
      <c r="F864" s="10">
        <v>55.305328243016675</v>
      </c>
      <c r="G864" s="10">
        <v>68.79194888917975</v>
      </c>
      <c r="H864" s="10">
        <v>61.611989999999999</v>
      </c>
      <c r="I864" s="10">
        <v>88.564102564102555</v>
      </c>
      <c r="J864" s="10">
        <v>70.904266978226502</v>
      </c>
      <c r="K864" s="10">
        <v>88.194806268179164</v>
      </c>
      <c r="L864" s="10">
        <v>78.989730769230761</v>
      </c>
      <c r="M864" s="10">
        <v>17.659835585876053</v>
      </c>
      <c r="N864" s="10">
        <v>0.36929629592339097</v>
      </c>
      <c r="O864" s="10">
        <v>9.5743717948717944</v>
      </c>
      <c r="P864" s="5">
        <v>2.572859231147126E-2</v>
      </c>
      <c r="Q864" s="5">
        <v>0.21673392206402317</v>
      </c>
      <c r="R864" s="5">
        <v>0.12545593804063129</v>
      </c>
    </row>
    <row r="865" spans="1:18">
      <c r="A865" t="s">
        <v>3669</v>
      </c>
      <c r="B865" t="s">
        <v>136</v>
      </c>
      <c r="C865" s="10">
        <v>115.49</v>
      </c>
      <c r="D865" s="10">
        <v>70</v>
      </c>
      <c r="E865" s="10">
        <v>0.22</v>
      </c>
      <c r="F865" s="10">
        <v>117.3131696361235</v>
      </c>
      <c r="G865" s="10">
        <v>113.92264522283261</v>
      </c>
      <c r="H865" s="10">
        <v>117.63812</v>
      </c>
      <c r="I865" s="10">
        <v>148.06410256410254</v>
      </c>
      <c r="J865" s="10">
        <v>150.40149953349166</v>
      </c>
      <c r="K865" s="10">
        <v>146.05467336260591</v>
      </c>
      <c r="L865" s="10">
        <v>150.81810256410256</v>
      </c>
      <c r="M865" s="10">
        <v>2.3373969693891183</v>
      </c>
      <c r="N865" s="10">
        <v>2.00942920149663</v>
      </c>
      <c r="O865" s="10">
        <v>2.7540000000000191</v>
      </c>
      <c r="P865" s="5">
        <v>0.23212201767787238</v>
      </c>
      <c r="Q865" s="5">
        <v>0.20926871190710786</v>
      </c>
      <c r="R865" s="5">
        <v>0.23424311779208987</v>
      </c>
    </row>
    <row r="866" spans="1:18">
      <c r="A866" t="s">
        <v>3670</v>
      </c>
      <c r="B866" t="s">
        <v>136</v>
      </c>
      <c r="C866" s="10">
        <v>68.03</v>
      </c>
      <c r="D866" s="10">
        <v>70</v>
      </c>
      <c r="E866" s="10">
        <v>0.22</v>
      </c>
      <c r="F866" s="10">
        <v>69.74052527528039</v>
      </c>
      <c r="G866" s="10">
        <v>71.16256791586639</v>
      </c>
      <c r="H866" s="10">
        <v>71.472480000000004</v>
      </c>
      <c r="I866" s="10">
        <v>87.217948717948715</v>
      </c>
      <c r="J866" s="10">
        <v>89.410929840103066</v>
      </c>
      <c r="K866" s="10">
        <v>91.234061430597933</v>
      </c>
      <c r="L866" s="10">
        <v>91.631384615384619</v>
      </c>
      <c r="M866" s="10">
        <v>2.1929811221543503</v>
      </c>
      <c r="N866" s="10">
        <v>4.0161127126492175</v>
      </c>
      <c r="O866" s="10">
        <v>4.4134358974359031</v>
      </c>
      <c r="P866" s="5">
        <v>0.23913105342198529</v>
      </c>
      <c r="Q866" s="5">
        <v>0.25433550876444694</v>
      </c>
      <c r="R866" s="5">
        <v>0.25756878731506172</v>
      </c>
    </row>
    <row r="867" spans="1:18">
      <c r="A867" t="s">
        <v>3671</v>
      </c>
      <c r="B867" t="s">
        <v>136</v>
      </c>
      <c r="C867" s="10">
        <v>71.16</v>
      </c>
      <c r="D867" s="10">
        <v>70</v>
      </c>
      <c r="E867" s="10">
        <v>0.22</v>
      </c>
      <c r="F867" s="10">
        <v>64.308467215288132</v>
      </c>
      <c r="G867" s="10">
        <v>71.215049492104868</v>
      </c>
      <c r="H867" s="10">
        <v>71.255939999999995</v>
      </c>
      <c r="I867" s="10">
        <v>91.230769230769226</v>
      </c>
      <c r="J867" s="10">
        <v>82.446752840112993</v>
      </c>
      <c r="K867" s="10">
        <v>91.301345502698538</v>
      </c>
      <c r="L867" s="10">
        <v>91.353769230769217</v>
      </c>
      <c r="M867" s="10">
        <v>8.7840163906562339</v>
      </c>
      <c r="N867" s="10">
        <v>7.0576271929311929E-2</v>
      </c>
      <c r="O867" s="10">
        <v>0.12299999999999045</v>
      </c>
      <c r="P867" s="5">
        <v>0.13689748172376326</v>
      </c>
      <c r="Q867" s="5">
        <v>0.22060294283508927</v>
      </c>
      <c r="R867" s="5">
        <v>0.2210502029725521</v>
      </c>
    </row>
    <row r="868" spans="1:18">
      <c r="A868" t="s">
        <v>3672</v>
      </c>
      <c r="B868" t="s">
        <v>136</v>
      </c>
      <c r="C868" s="10">
        <v>99.77</v>
      </c>
      <c r="D868" s="10">
        <v>70</v>
      </c>
      <c r="E868" s="10">
        <v>0.22</v>
      </c>
      <c r="F868" s="10">
        <v>101.03908093883065</v>
      </c>
      <c r="G868" s="10">
        <v>108.98552841880338</v>
      </c>
      <c r="H868" s="10">
        <v>106.9192</v>
      </c>
      <c r="I868" s="10">
        <v>127.91025641025639</v>
      </c>
      <c r="J868" s="10">
        <v>129.53728325491107</v>
      </c>
      <c r="K868" s="10">
        <v>139.72503643436332</v>
      </c>
      <c r="L868" s="10">
        <v>137.07589743589745</v>
      </c>
      <c r="M868" s="10">
        <v>1.6270268446546794</v>
      </c>
      <c r="N868" s="10">
        <v>11.814780024106923</v>
      </c>
      <c r="O868" s="10">
        <v>9.165641025641051</v>
      </c>
      <c r="P868" s="5">
        <v>0.22979703222842238</v>
      </c>
      <c r="Q868" s="5">
        <v>0.28595473978017133</v>
      </c>
      <c r="R868" s="5">
        <v>0.27215504792403994</v>
      </c>
    </row>
    <row r="869" spans="1:18">
      <c r="A869" t="s">
        <v>3673</v>
      </c>
      <c r="B869" t="s">
        <v>136</v>
      </c>
      <c r="C869" s="10">
        <v>80.64</v>
      </c>
      <c r="D869" s="10">
        <v>70</v>
      </c>
      <c r="E869" s="10">
        <v>0.22</v>
      </c>
      <c r="F869" s="10">
        <v>76.718218198627795</v>
      </c>
      <c r="G869" s="10">
        <v>76.773258835507036</v>
      </c>
      <c r="H869" s="10">
        <v>77.601330000000004</v>
      </c>
      <c r="I869" s="10">
        <v>103.38461538461539</v>
      </c>
      <c r="J869" s="10">
        <v>98.356689998240753</v>
      </c>
      <c r="K869" s="10">
        <v>98.427254917316716</v>
      </c>
      <c r="L869" s="10">
        <v>99.48888461538462</v>
      </c>
      <c r="M869" s="10">
        <v>5.0279253863746334</v>
      </c>
      <c r="N869" s="10">
        <v>4.9573604672986704</v>
      </c>
      <c r="O869" s="10">
        <v>3.8957307692307666</v>
      </c>
      <c r="P869" s="5">
        <v>0.18012694407017601</v>
      </c>
      <c r="Q869" s="5">
        <v>0.18071473122214779</v>
      </c>
      <c r="R869" s="5">
        <v>0.18945719100432948</v>
      </c>
    </row>
    <row r="870" spans="1:18">
      <c r="A870" t="s">
        <v>3674</v>
      </c>
      <c r="B870" t="s">
        <v>136</v>
      </c>
      <c r="C870" s="10">
        <v>69.48</v>
      </c>
      <c r="D870" s="10">
        <v>70</v>
      </c>
      <c r="E870" s="10">
        <v>0.22</v>
      </c>
      <c r="F870" s="10">
        <v>69.88792335337611</v>
      </c>
      <c r="G870" s="10">
        <v>68.431213283820355</v>
      </c>
      <c r="H870" s="10">
        <v>67.318529999999996</v>
      </c>
      <c r="I870" s="10">
        <v>89.07692307692308</v>
      </c>
      <c r="J870" s="10">
        <v>89.599901735097575</v>
      </c>
      <c r="K870" s="10">
        <v>87.732324722846613</v>
      </c>
      <c r="L870" s="10">
        <v>86.305807692307681</v>
      </c>
      <c r="M870" s="10">
        <v>0.52297865817449463</v>
      </c>
      <c r="N870" s="10">
        <v>1.3445983540764672</v>
      </c>
      <c r="O870" s="10">
        <v>2.7711153846153991</v>
      </c>
      <c r="P870" s="5">
        <v>0.22455272099049986</v>
      </c>
      <c r="Q870" s="5">
        <v>0.2080456066849608</v>
      </c>
      <c r="R870" s="5">
        <v>0.19495568307864106</v>
      </c>
    </row>
    <row r="871" spans="1:18">
      <c r="A871" t="s">
        <v>3675</v>
      </c>
      <c r="B871" t="s">
        <v>136</v>
      </c>
      <c r="C871" s="10">
        <v>81.349999999999994</v>
      </c>
      <c r="D871" s="10">
        <v>70</v>
      </c>
      <c r="E871" s="10">
        <v>0.22</v>
      </c>
      <c r="F871" s="10">
        <v>80.723010249312125</v>
      </c>
      <c r="G871" s="10">
        <v>79.578016004508314</v>
      </c>
      <c r="H871" s="10">
        <v>83.258489999999995</v>
      </c>
      <c r="I871" s="10">
        <v>104.29487179487178</v>
      </c>
      <c r="J871" s="10">
        <v>103.49103878116939</v>
      </c>
      <c r="K871" s="10">
        <v>102.02309744167732</v>
      </c>
      <c r="L871" s="10">
        <v>106.74165384615384</v>
      </c>
      <c r="M871" s="10">
        <v>0.80383301370238769</v>
      </c>
      <c r="N871" s="10">
        <v>2.2717743531944592</v>
      </c>
      <c r="O871" s="10">
        <v>2.4467820512820566</v>
      </c>
      <c r="P871" s="5">
        <v>0.21394160346565241</v>
      </c>
      <c r="Q871" s="5">
        <v>0.20263154089685761</v>
      </c>
      <c r="R871" s="5">
        <v>0.23787952435841678</v>
      </c>
    </row>
    <row r="872" spans="1:18">
      <c r="A872" t="s">
        <v>3676</v>
      </c>
      <c r="B872" t="s">
        <v>136</v>
      </c>
      <c r="C872" s="10">
        <v>132.22999999999999</v>
      </c>
      <c r="D872" s="10">
        <v>125</v>
      </c>
      <c r="E872" s="10">
        <v>0.22</v>
      </c>
      <c r="F872" s="10">
        <v>125.17102375910747</v>
      </c>
      <c r="G872" s="10">
        <v>124.79802454212464</v>
      </c>
      <c r="H872" s="10">
        <v>125.79431</v>
      </c>
      <c r="I872" s="10">
        <v>169.52564102564099</v>
      </c>
      <c r="J872" s="10">
        <v>160.47567148603522</v>
      </c>
      <c r="K872" s="10">
        <v>159.99746736169826</v>
      </c>
      <c r="L872" s="10">
        <v>161.2747564102564</v>
      </c>
      <c r="M872" s="10">
        <v>9.0499695396057689</v>
      </c>
      <c r="N872" s="10">
        <v>9.5281736639427379</v>
      </c>
      <c r="O872" s="10">
        <v>8.2508846153845923</v>
      </c>
      <c r="P872" s="5">
        <v>0.17601217196647284</v>
      </c>
      <c r="Q872" s="5">
        <v>0.17354941812251154</v>
      </c>
      <c r="R872" s="5">
        <v>0.1800948707457436</v>
      </c>
    </row>
    <row r="873" spans="1:18">
      <c r="A873" t="s">
        <v>3677</v>
      </c>
      <c r="B873" t="s">
        <v>136</v>
      </c>
      <c r="C873" s="10">
        <v>108.72</v>
      </c>
      <c r="D873" s="10">
        <v>65</v>
      </c>
      <c r="E873" s="10">
        <v>0.22</v>
      </c>
      <c r="F873" s="10">
        <v>106.18985513820761</v>
      </c>
      <c r="G873" s="10">
        <v>107.68442424264272</v>
      </c>
      <c r="H873" s="10">
        <v>107.87977600000001</v>
      </c>
      <c r="I873" s="10">
        <v>139.38461538461539</v>
      </c>
      <c r="J873" s="10">
        <v>136.14083992077897</v>
      </c>
      <c r="K873" s="10">
        <v>138.05695415723426</v>
      </c>
      <c r="L873" s="10">
        <v>138.30740512820512</v>
      </c>
      <c r="M873" s="10">
        <v>3.243775463836414</v>
      </c>
      <c r="N873" s="10">
        <v>1.3276612273811281</v>
      </c>
      <c r="O873" s="10">
        <v>1.0772102564102681</v>
      </c>
      <c r="P873" s="5">
        <v>0.20141523981147241</v>
      </c>
      <c r="Q873" s="5">
        <v>0.21249892362410189</v>
      </c>
      <c r="R873" s="5">
        <v>0.21392495290312796</v>
      </c>
    </row>
    <row r="874" spans="1:18">
      <c r="A874" t="s">
        <v>3678</v>
      </c>
      <c r="B874" t="s">
        <v>136</v>
      </c>
      <c r="C874" s="10">
        <v>80.739999999999995</v>
      </c>
      <c r="D874" s="10">
        <v>70</v>
      </c>
      <c r="E874" s="10">
        <v>0.22</v>
      </c>
      <c r="F874" s="10">
        <v>73.478649674379596</v>
      </c>
      <c r="G874" s="10">
        <v>76.566209089721127</v>
      </c>
      <c r="H874" s="10">
        <v>77.06635</v>
      </c>
      <c r="I874" s="10">
        <v>103.5128205128205</v>
      </c>
      <c r="J874" s="10">
        <v>94.203397018435382</v>
      </c>
      <c r="K874" s="10">
        <v>98.161806525283495</v>
      </c>
      <c r="L874" s="10">
        <v>98.803012820512819</v>
      </c>
      <c r="M874" s="10">
        <v>9.3094234943851149</v>
      </c>
      <c r="N874" s="10">
        <v>5.3510139875370015</v>
      </c>
      <c r="O874" s="10">
        <v>4.7098076923076775</v>
      </c>
      <c r="P874" s="5">
        <v>0.14291838133820833</v>
      </c>
      <c r="Q874" s="5">
        <v>0.1774805002269001</v>
      </c>
      <c r="R874" s="5">
        <v>0.1828184415117623</v>
      </c>
    </row>
    <row r="875" spans="1:18">
      <c r="A875" t="s">
        <v>3679</v>
      </c>
      <c r="B875" t="s">
        <v>136</v>
      </c>
      <c r="C875" s="10">
        <v>130.46</v>
      </c>
      <c r="D875" s="10">
        <v>105</v>
      </c>
      <c r="E875" s="10">
        <v>0.22</v>
      </c>
      <c r="F875" s="10">
        <v>135.36494255003788</v>
      </c>
      <c r="G875" s="10">
        <v>127.6445706959707</v>
      </c>
      <c r="H875" s="10">
        <v>130.98159999999999</v>
      </c>
      <c r="I875" s="10">
        <v>167.25641025641025</v>
      </c>
      <c r="J875" s="10">
        <v>173.54479814107421</v>
      </c>
      <c r="K875" s="10">
        <v>163.64688550765473</v>
      </c>
      <c r="L875" s="10">
        <v>167.92512820512817</v>
      </c>
      <c r="M875" s="10">
        <v>6.2883878846639618</v>
      </c>
      <c r="N875" s="10">
        <v>3.6095247487555184</v>
      </c>
      <c r="O875" s="10">
        <v>0.66871794871792645</v>
      </c>
      <c r="P875" s="5">
        <v>0.24826326460128559</v>
      </c>
      <c r="Q875" s="5">
        <v>0.20279570493935478</v>
      </c>
      <c r="R875" s="5">
        <v>0.22310614620679528</v>
      </c>
    </row>
    <row r="876" spans="1:18">
      <c r="A876" t="s">
        <v>3680</v>
      </c>
      <c r="B876" t="s">
        <v>136</v>
      </c>
      <c r="C876" s="10">
        <v>75.03</v>
      </c>
      <c r="D876" s="10">
        <v>70</v>
      </c>
      <c r="E876" s="10">
        <v>0.22</v>
      </c>
      <c r="F876" s="10">
        <v>68.121387931216134</v>
      </c>
      <c r="G876" s="10">
        <v>72.78008094613223</v>
      </c>
      <c r="H876" s="10">
        <v>68.876914999999997</v>
      </c>
      <c r="I876" s="10">
        <v>96.192307692307693</v>
      </c>
      <c r="J876" s="10">
        <v>87.335112732328369</v>
      </c>
      <c r="K876" s="10">
        <v>93.307796084784911</v>
      </c>
      <c r="L876" s="10">
        <v>88.303737179487172</v>
      </c>
      <c r="M876" s="10">
        <v>8.8571949599793243</v>
      </c>
      <c r="N876" s="10">
        <v>2.8845116075227821</v>
      </c>
      <c r="O876" s="10">
        <v>7.8885705128205217</v>
      </c>
      <c r="P876" s="5">
        <v>0.14089536667848659</v>
      </c>
      <c r="Q876" s="5">
        <v>0.19588712681817752</v>
      </c>
      <c r="R876" s="5">
        <v>0.15031908731684621</v>
      </c>
    </row>
    <row r="877" spans="1:18">
      <c r="A877" t="s">
        <v>3681</v>
      </c>
      <c r="B877" t="s">
        <v>136</v>
      </c>
      <c r="C877" s="10">
        <v>78.19</v>
      </c>
      <c r="D877" s="10">
        <v>70</v>
      </c>
      <c r="E877" s="10">
        <v>0.22</v>
      </c>
      <c r="F877" s="10">
        <v>82.00842786393747</v>
      </c>
      <c r="G877" s="10">
        <v>75.781321349419855</v>
      </c>
      <c r="H877" s="10">
        <v>79.799903999999998</v>
      </c>
      <c r="I877" s="10">
        <v>100.24358974358974</v>
      </c>
      <c r="J877" s="10">
        <v>105.13901008197111</v>
      </c>
      <c r="K877" s="10">
        <v>97.155540191563915</v>
      </c>
      <c r="L877" s="10">
        <v>102.30756923076922</v>
      </c>
      <c r="M877" s="10">
        <v>4.8954203383813706</v>
      </c>
      <c r="N877" s="10">
        <v>3.0880495520258222</v>
      </c>
      <c r="O877" s="10">
        <v>2.0639794871794805</v>
      </c>
      <c r="P877" s="5">
        <v>0.25631789818983886</v>
      </c>
      <c r="Q877" s="5">
        <v>0.19520801545819319</v>
      </c>
      <c r="R877" s="5">
        <v>0.23573592268983173</v>
      </c>
    </row>
    <row r="878" spans="1:18">
      <c r="A878" t="s">
        <v>3682</v>
      </c>
      <c r="B878" t="s">
        <v>136</v>
      </c>
      <c r="C878" s="10">
        <v>135.1</v>
      </c>
      <c r="D878" s="10">
        <v>105</v>
      </c>
      <c r="E878" s="10">
        <v>0.22</v>
      </c>
      <c r="F878" s="10">
        <v>140.72324665367262</v>
      </c>
      <c r="G878" s="10">
        <v>132.9313571886446</v>
      </c>
      <c r="H878" s="10">
        <v>129.94892999999999</v>
      </c>
      <c r="I878" s="10">
        <v>173.2051282051282</v>
      </c>
      <c r="J878" s="10">
        <v>180.41441878675977</v>
      </c>
      <c r="K878" s="10">
        <v>170.42481690851872</v>
      </c>
      <c r="L878" s="10">
        <v>166.60119230769229</v>
      </c>
      <c r="M878" s="10">
        <v>7.2092905816315636</v>
      </c>
      <c r="N878" s="10">
        <v>2.780311296609483</v>
      </c>
      <c r="O878" s="10">
        <v>6.6039358974359175</v>
      </c>
      <c r="P878" s="5">
        <v>0.25116849912267269</v>
      </c>
      <c r="Q878" s="5">
        <v>0.2072750761849462</v>
      </c>
      <c r="R878" s="5">
        <v>0.18908143376017017</v>
      </c>
    </row>
    <row r="879" spans="1:18">
      <c r="A879" t="s">
        <v>3683</v>
      </c>
      <c r="B879" t="s">
        <v>136</v>
      </c>
      <c r="C879" s="10">
        <v>63.48</v>
      </c>
      <c r="D879" s="10">
        <v>70</v>
      </c>
      <c r="E879" s="10">
        <v>0.22</v>
      </c>
      <c r="F879" s="10">
        <v>62.811870004902758</v>
      </c>
      <c r="G879" s="10">
        <v>68.271817646551156</v>
      </c>
      <c r="H879" s="10">
        <v>66.964129999999997</v>
      </c>
      <c r="I879" s="10">
        <v>81.384615384615373</v>
      </c>
      <c r="J879" s="10">
        <v>80.528038467824047</v>
      </c>
      <c r="K879" s="10">
        <v>87.527971341732254</v>
      </c>
      <c r="L879" s="10">
        <v>85.851448717948713</v>
      </c>
      <c r="M879" s="10">
        <v>0.85657691679132597</v>
      </c>
      <c r="N879" s="10">
        <v>6.1433559571168814</v>
      </c>
      <c r="O879" s="10">
        <v>4.4668333333333408</v>
      </c>
      <c r="P879" s="5">
        <v>0.21170313833778281</v>
      </c>
      <c r="Q879" s="5">
        <v>0.27474612941550586</v>
      </c>
      <c r="R879" s="5">
        <v>0.26058324060956217</v>
      </c>
    </row>
    <row r="880" spans="1:18">
      <c r="A880" t="s">
        <v>3684</v>
      </c>
      <c r="B880" t="s">
        <v>136</v>
      </c>
      <c r="C880" s="10">
        <v>62.63</v>
      </c>
      <c r="D880" s="10">
        <v>65</v>
      </c>
      <c r="E880" s="10">
        <v>0.22</v>
      </c>
      <c r="F880" s="10">
        <v>53.607338452585338</v>
      </c>
      <c r="G880" s="10">
        <v>57.37747536495749</v>
      </c>
      <c r="H880" s="10">
        <v>57.387219999999999</v>
      </c>
      <c r="I880" s="10">
        <v>80.294871794871796</v>
      </c>
      <c r="J880" s="10">
        <v>68.727356990494016</v>
      </c>
      <c r="K880" s="10">
        <v>73.560865852509608</v>
      </c>
      <c r="L880" s="10">
        <v>73.573358974358968</v>
      </c>
      <c r="M880" s="10">
        <v>11.56751480437778</v>
      </c>
      <c r="N880" s="10">
        <v>6.7340059423621881</v>
      </c>
      <c r="O880" s="10">
        <v>6.7215128205128281</v>
      </c>
      <c r="P880" s="5">
        <v>8.8718048496137653E-2</v>
      </c>
      <c r="Q880" s="5">
        <v>0.14859620976221402</v>
      </c>
      <c r="R880" s="5">
        <v>0.14874078235537447</v>
      </c>
    </row>
    <row r="881" spans="1:18">
      <c r="A881" t="s">
        <v>3685</v>
      </c>
      <c r="B881" t="s">
        <v>136</v>
      </c>
      <c r="C881" s="10">
        <v>72.39</v>
      </c>
      <c r="D881" s="10">
        <v>65</v>
      </c>
      <c r="E881" s="10">
        <v>0.22</v>
      </c>
      <c r="F881" s="10">
        <v>65.387798297140961</v>
      </c>
      <c r="G881" s="10">
        <v>71.040753489738037</v>
      </c>
      <c r="H881" s="10">
        <v>68.844430000000003</v>
      </c>
      <c r="I881" s="10">
        <v>92.807692307692307</v>
      </c>
      <c r="J881" s="10">
        <v>83.830510637360206</v>
      </c>
      <c r="K881" s="10">
        <v>91.077889089407734</v>
      </c>
      <c r="L881" s="10">
        <v>88.26208974358974</v>
      </c>
      <c r="M881" s="10">
        <v>8.9771816703321008</v>
      </c>
      <c r="N881" s="10">
        <v>1.7298032182845731</v>
      </c>
      <c r="O881" s="10">
        <v>4.5456025641025661</v>
      </c>
      <c r="P881" s="5">
        <v>0.13647191876058531</v>
      </c>
      <c r="Q881" s="5">
        <v>0.20518579510623633</v>
      </c>
      <c r="R881" s="5">
        <v>0.17982907259163883</v>
      </c>
    </row>
    <row r="882" spans="1:18">
      <c r="A882" t="s">
        <v>3686</v>
      </c>
      <c r="B882" t="s">
        <v>136</v>
      </c>
      <c r="C882" s="10">
        <v>66.02</v>
      </c>
      <c r="D882" s="10">
        <v>70</v>
      </c>
      <c r="E882" s="10">
        <v>0.22</v>
      </c>
      <c r="F882" s="10">
        <v>66.467203725450446</v>
      </c>
      <c r="G882" s="10">
        <v>69.238447254732421</v>
      </c>
      <c r="H882" s="10">
        <v>67.511009999999999</v>
      </c>
      <c r="I882" s="10">
        <v>84.641025641025635</v>
      </c>
      <c r="J882" s="10">
        <v>85.21436375057749</v>
      </c>
      <c r="K882" s="10">
        <v>88.767240070169763</v>
      </c>
      <c r="L882" s="10">
        <v>86.552576923076913</v>
      </c>
      <c r="M882" s="10">
        <v>0.57333810955185527</v>
      </c>
      <c r="N882" s="10">
        <v>4.1262144291441274</v>
      </c>
      <c r="O882" s="10">
        <v>1.9115512820512777</v>
      </c>
      <c r="P882" s="5">
        <v>0.22524798526642073</v>
      </c>
      <c r="Q882" s="5">
        <v>0.25625715131154536</v>
      </c>
      <c r="R882" s="5">
        <v>0.23722663903265551</v>
      </c>
    </row>
    <row r="883" spans="1:18">
      <c r="A883" t="s">
        <v>3687</v>
      </c>
      <c r="B883" t="s">
        <v>136</v>
      </c>
      <c r="C883" s="10">
        <v>70.62</v>
      </c>
      <c r="D883" s="10">
        <v>70</v>
      </c>
      <c r="E883" s="10">
        <v>0.22</v>
      </c>
      <c r="F883" s="10">
        <v>80.738608443846147</v>
      </c>
      <c r="G883" s="10">
        <v>79.923871677467844</v>
      </c>
      <c r="H883" s="10">
        <v>79.535613999999995</v>
      </c>
      <c r="I883" s="10">
        <v>90.538461538461547</v>
      </c>
      <c r="J883" s="10">
        <v>103.51103646646942</v>
      </c>
      <c r="K883" s="10">
        <v>102.46650215059979</v>
      </c>
      <c r="L883" s="10">
        <v>101.96873589743589</v>
      </c>
      <c r="M883" s="10">
        <v>12.972574928007873</v>
      </c>
      <c r="N883" s="10">
        <v>11.928040612138247</v>
      </c>
      <c r="O883" s="10">
        <v>11.430274358974344</v>
      </c>
      <c r="P883" s="5">
        <v>0.31775390904450934</v>
      </c>
      <c r="Q883" s="5">
        <v>0.31079915369603911</v>
      </c>
      <c r="R883" s="5">
        <v>0.30743478009737868</v>
      </c>
    </row>
    <row r="884" spans="1:18">
      <c r="A884" t="s">
        <v>3688</v>
      </c>
      <c r="B884" t="s">
        <v>136</v>
      </c>
      <c r="C884" s="10">
        <v>75.86</v>
      </c>
      <c r="D884" s="10">
        <v>70</v>
      </c>
      <c r="E884" s="10">
        <v>0.22</v>
      </c>
      <c r="F884" s="10">
        <v>73.500586409845454</v>
      </c>
      <c r="G884" s="10">
        <v>71.418231053179923</v>
      </c>
      <c r="H884" s="10">
        <v>73.067719999999994</v>
      </c>
      <c r="I884" s="10">
        <v>97.256410256410248</v>
      </c>
      <c r="J884" s="10">
        <v>94.231521038263395</v>
      </c>
      <c r="K884" s="10">
        <v>91.561834683564001</v>
      </c>
      <c r="L884" s="10">
        <v>93.676564102564086</v>
      </c>
      <c r="M884" s="10">
        <v>3.0248892181468534</v>
      </c>
      <c r="N884" s="10">
        <v>5.6945755728462473</v>
      </c>
      <c r="O884" s="10">
        <v>3.5798461538461623</v>
      </c>
      <c r="P884" s="5">
        <v>0.19496152493180605</v>
      </c>
      <c r="Q884" s="5">
        <v>0.17148886037320299</v>
      </c>
      <c r="R884" s="5">
        <v>0.19019233116894835</v>
      </c>
    </row>
    <row r="885" spans="1:18">
      <c r="A885" t="s">
        <v>3689</v>
      </c>
      <c r="B885" t="s">
        <v>136</v>
      </c>
      <c r="C885" s="10">
        <v>79.53</v>
      </c>
      <c r="D885" s="10">
        <v>70</v>
      </c>
      <c r="E885" s="10">
        <v>0.22</v>
      </c>
      <c r="F885" s="10">
        <v>78.28112131858326</v>
      </c>
      <c r="G885" s="10">
        <v>78.73450217835699</v>
      </c>
      <c r="H885" s="10">
        <v>77.507750000000001</v>
      </c>
      <c r="I885" s="10">
        <v>101.96153846153845</v>
      </c>
      <c r="J885" s="10">
        <v>100.36041194690161</v>
      </c>
      <c r="K885" s="10">
        <v>100.94166945943203</v>
      </c>
      <c r="L885" s="10">
        <v>99.36891025641026</v>
      </c>
      <c r="M885" s="10">
        <v>1.6011265146368459</v>
      </c>
      <c r="N885" s="10">
        <v>1.0198690021064181</v>
      </c>
      <c r="O885" s="10">
        <v>2.592628205128193</v>
      </c>
      <c r="P885" s="5">
        <v>0.20755606262280488</v>
      </c>
      <c r="Q885" s="5">
        <v>0.21211923256368648</v>
      </c>
      <c r="R885" s="5">
        <v>0.1996490673513294</v>
      </c>
    </row>
    <row r="886" spans="1:18">
      <c r="A886" t="s">
        <v>3690</v>
      </c>
      <c r="B886" t="s">
        <v>136</v>
      </c>
      <c r="C886" s="10">
        <v>112.68</v>
      </c>
      <c r="D886" s="10">
        <v>70</v>
      </c>
      <c r="E886" s="10">
        <v>0.22</v>
      </c>
      <c r="F886" s="10">
        <v>123.24588863205696</v>
      </c>
      <c r="G886" s="10">
        <v>116.59548162948158</v>
      </c>
      <c r="H886" s="10">
        <v>120.12679</v>
      </c>
      <c r="I886" s="10">
        <v>144.46153846153845</v>
      </c>
      <c r="J886" s="10">
        <v>158.00754952827816</v>
      </c>
      <c r="K886" s="10">
        <v>149.48138670446357</v>
      </c>
      <c r="L886" s="10">
        <v>154.00870512820512</v>
      </c>
      <c r="M886" s="10">
        <v>13.546011066739709</v>
      </c>
      <c r="N886" s="10">
        <v>5.0198482429251214</v>
      </c>
      <c r="O886" s="10">
        <v>9.5471666666666692</v>
      </c>
      <c r="P886" s="5">
        <v>0.28686951771355718</v>
      </c>
      <c r="Q886" s="5">
        <v>0.24619377379220328</v>
      </c>
      <c r="R886" s="5">
        <v>0.2683530459775042</v>
      </c>
    </row>
    <row r="887" spans="1:18">
      <c r="A887" t="s">
        <v>3691</v>
      </c>
      <c r="B887" t="s">
        <v>136</v>
      </c>
      <c r="C887" s="10">
        <v>69.540000000000006</v>
      </c>
      <c r="D887" s="10">
        <v>70</v>
      </c>
      <c r="E887" s="10">
        <v>0.22</v>
      </c>
      <c r="F887" s="10">
        <v>68.260528954739826</v>
      </c>
      <c r="G887" s="10">
        <v>72.07402892107396</v>
      </c>
      <c r="H887" s="10">
        <v>70.116560000000007</v>
      </c>
      <c r="I887" s="10">
        <v>89.15384615384616</v>
      </c>
      <c r="J887" s="10">
        <v>87.513498659922845</v>
      </c>
      <c r="K887" s="10">
        <v>92.402601180864053</v>
      </c>
      <c r="L887" s="10">
        <v>89.893025641025645</v>
      </c>
      <c r="M887" s="10">
        <v>1.6403474939233149</v>
      </c>
      <c r="N887" s="10">
        <v>3.2487550270178929</v>
      </c>
      <c r="O887" s="10">
        <v>0.73917948717948434</v>
      </c>
      <c r="P887" s="5">
        <v>0.20537972924345985</v>
      </c>
      <c r="Q887" s="5">
        <v>0.24742378340750362</v>
      </c>
      <c r="R887" s="5">
        <v>0.22641384574485682</v>
      </c>
    </row>
    <row r="888" spans="1:18">
      <c r="A888" t="s">
        <v>3692</v>
      </c>
      <c r="B888" t="s">
        <v>136</v>
      </c>
      <c r="C888" s="10">
        <v>80.459999999999994</v>
      </c>
      <c r="D888" s="10">
        <v>65</v>
      </c>
      <c r="E888" s="10">
        <v>0.22</v>
      </c>
      <c r="F888" s="10">
        <v>67.551077207588762</v>
      </c>
      <c r="G888" s="10">
        <v>68.59350620000599</v>
      </c>
      <c r="H888" s="10">
        <v>67.002340000000004</v>
      </c>
      <c r="I888" s="10">
        <v>103.15384615384615</v>
      </c>
      <c r="J888" s="10">
        <v>86.603945137934303</v>
      </c>
      <c r="K888" s="10">
        <v>87.94039256411024</v>
      </c>
      <c r="L888" s="10">
        <v>85.900435897435898</v>
      </c>
      <c r="M888" s="10">
        <v>16.549901015911843</v>
      </c>
      <c r="N888" s="10">
        <v>15.213453589735906</v>
      </c>
      <c r="O888" s="10">
        <v>17.253410256410248</v>
      </c>
      <c r="P888" s="5">
        <v>7.0943016835420536E-2</v>
      </c>
      <c r="Q888" s="5">
        <v>8.5062078369241942E-2</v>
      </c>
      <c r="R888" s="5">
        <v>6.3334205939673233E-2</v>
      </c>
    </row>
    <row r="889" spans="1:18">
      <c r="A889" t="s">
        <v>3693</v>
      </c>
      <c r="B889" t="s">
        <v>136</v>
      </c>
      <c r="C889" s="10">
        <v>131.19999999999999</v>
      </c>
      <c r="D889" s="10">
        <v>125</v>
      </c>
      <c r="E889" s="10">
        <v>0.22</v>
      </c>
      <c r="F889" s="10">
        <v>125.81263406200165</v>
      </c>
      <c r="G889" s="10">
        <v>122.38651626984138</v>
      </c>
      <c r="H889" s="10">
        <v>125.88016500000001</v>
      </c>
      <c r="I889" s="10">
        <v>168.20512820512818</v>
      </c>
      <c r="J889" s="10">
        <v>161.29824879743799</v>
      </c>
      <c r="K889" s="10">
        <v>156.90579008954023</v>
      </c>
      <c r="L889" s="10">
        <v>161.38482692307693</v>
      </c>
      <c r="M889" s="10">
        <v>6.9068794076901838</v>
      </c>
      <c r="N889" s="10">
        <v>11.299338115587943</v>
      </c>
      <c r="O889" s="10">
        <v>6.820301282051247</v>
      </c>
      <c r="P889" s="5">
        <v>0.18659997254673277</v>
      </c>
      <c r="Q889" s="5">
        <v>0.16382945508174629</v>
      </c>
      <c r="R889" s="5">
        <v>0.18703633729746075</v>
      </c>
    </row>
    <row r="890" spans="1:18">
      <c r="A890" t="s">
        <v>3694</v>
      </c>
      <c r="B890" t="s">
        <v>136</v>
      </c>
      <c r="C890" s="10">
        <v>170.32</v>
      </c>
      <c r="D890" s="10">
        <v>155</v>
      </c>
      <c r="E890" s="10">
        <v>0.22</v>
      </c>
      <c r="F890" s="10">
        <v>166.4175609470721</v>
      </c>
      <c r="G890" s="10">
        <v>162.01580503662993</v>
      </c>
      <c r="H890" s="10">
        <v>157.9641</v>
      </c>
      <c r="I890" s="10">
        <v>218.35897435897434</v>
      </c>
      <c r="J890" s="10">
        <v>213.35584736804114</v>
      </c>
      <c r="K890" s="10">
        <v>207.71257055978194</v>
      </c>
      <c r="L890" s="10">
        <v>202.51807692307693</v>
      </c>
      <c r="M890" s="10">
        <v>5.0031269909331968</v>
      </c>
      <c r="N890" s="10">
        <v>10.646403799192399</v>
      </c>
      <c r="O890" s="10">
        <v>15.840897435897404</v>
      </c>
      <c r="P890" s="5">
        <v>0.20170924724553643</v>
      </c>
      <c r="Q890" s="5">
        <v>0.18002073952004727</v>
      </c>
      <c r="R890" s="5">
        <v>0.15898865628329481</v>
      </c>
    </row>
    <row r="891" spans="1:18">
      <c r="A891" t="s">
        <v>3695</v>
      </c>
      <c r="B891" t="s">
        <v>136</v>
      </c>
      <c r="C891" s="10">
        <v>67.59</v>
      </c>
      <c r="D891" s="10">
        <v>65</v>
      </c>
      <c r="E891" s="10">
        <v>0.22</v>
      </c>
      <c r="F891" s="10">
        <v>65.421153531018064</v>
      </c>
      <c r="G891" s="10">
        <v>68.850629473592122</v>
      </c>
      <c r="H891" s="10">
        <v>67.084680000000006</v>
      </c>
      <c r="I891" s="10">
        <v>86.65384615384616</v>
      </c>
      <c r="J891" s="10">
        <v>83.873273757715467</v>
      </c>
      <c r="K891" s="10">
        <v>88.270037786656559</v>
      </c>
      <c r="L891" s="10">
        <v>86.006</v>
      </c>
      <c r="M891" s="10">
        <v>2.7805723961306938</v>
      </c>
      <c r="N891" s="10">
        <v>1.6161916328103985</v>
      </c>
      <c r="O891" s="10">
        <v>0.64784615384616018</v>
      </c>
      <c r="P891" s="5">
        <v>0.19414138769344952</v>
      </c>
      <c r="Q891" s="5">
        <v>0.23428151052386517</v>
      </c>
      <c r="R891" s="5">
        <v>0.21412459595842145</v>
      </c>
    </row>
    <row r="892" spans="1:18">
      <c r="A892" t="s">
        <v>3696</v>
      </c>
      <c r="B892" t="s">
        <v>136</v>
      </c>
      <c r="C892" s="10">
        <v>114.92</v>
      </c>
      <c r="D892" s="10">
        <v>105</v>
      </c>
      <c r="E892" s="10">
        <v>0.22</v>
      </c>
      <c r="F892" s="10">
        <v>115.26333450437278</v>
      </c>
      <c r="G892" s="10">
        <v>99.181643209976301</v>
      </c>
      <c r="H892" s="10">
        <v>101.10966000000001</v>
      </c>
      <c r="I892" s="10">
        <v>147.33333333333334</v>
      </c>
      <c r="J892" s="10">
        <v>147.77350577483688</v>
      </c>
      <c r="K892" s="10">
        <v>127.15595283330295</v>
      </c>
      <c r="L892" s="10">
        <v>129.62776923076925</v>
      </c>
      <c r="M892" s="10">
        <v>0.44017244150353463</v>
      </c>
      <c r="N892" s="10">
        <v>20.177380500030395</v>
      </c>
      <c r="O892" s="10">
        <v>17.705564102564097</v>
      </c>
      <c r="P892" s="5">
        <v>0.22232338336004495</v>
      </c>
      <c r="Q892" s="5">
        <v>9.6227919815471449E-2</v>
      </c>
      <c r="R892" s="5">
        <v>0.11346156242637953</v>
      </c>
    </row>
    <row r="893" spans="1:18">
      <c r="A893" t="s">
        <v>3697</v>
      </c>
      <c r="B893" t="s">
        <v>136</v>
      </c>
      <c r="C893" s="10">
        <v>166.63</v>
      </c>
      <c r="D893" s="10">
        <v>160</v>
      </c>
      <c r="E893" s="10">
        <v>0.22</v>
      </c>
      <c r="F893" s="10">
        <v>155.87966366291386</v>
      </c>
      <c r="G893" s="10">
        <v>156.0422842032967</v>
      </c>
      <c r="H893" s="10">
        <v>163.97224</v>
      </c>
      <c r="I893" s="10">
        <v>213.62820512820511</v>
      </c>
      <c r="J893" s="10">
        <v>199.84572264476134</v>
      </c>
      <c r="K893" s="10">
        <v>200.05421051704704</v>
      </c>
      <c r="L893" s="10">
        <v>210.2208205128205</v>
      </c>
      <c r="M893" s="10">
        <v>13.782482483443772</v>
      </c>
      <c r="N893" s="10">
        <v>13.573994611158071</v>
      </c>
      <c r="O893" s="10">
        <v>3.4073846153846148</v>
      </c>
      <c r="P893" s="5">
        <v>0.16620682296915823</v>
      </c>
      <c r="Q893" s="5">
        <v>0.16707576626685844</v>
      </c>
      <c r="R893" s="5">
        <v>0.2073572941371051</v>
      </c>
    </row>
    <row r="894" spans="1:18">
      <c r="A894" t="s">
        <v>3698</v>
      </c>
      <c r="B894" t="s">
        <v>136</v>
      </c>
      <c r="C894" s="10">
        <v>148.94</v>
      </c>
      <c r="D894" s="10">
        <v>105</v>
      </c>
      <c r="E894" s="10">
        <v>0.22</v>
      </c>
      <c r="F894" s="10">
        <v>151.42273630097981</v>
      </c>
      <c r="G894" s="10">
        <v>155.65331011904746</v>
      </c>
      <c r="H894" s="10">
        <v>160.12684999999999</v>
      </c>
      <c r="I894" s="10">
        <v>190.94871794871793</v>
      </c>
      <c r="J894" s="10">
        <v>194.13171320638435</v>
      </c>
      <c r="K894" s="10">
        <v>199.55552579365059</v>
      </c>
      <c r="L894" s="10">
        <v>205.29083333333332</v>
      </c>
      <c r="M894" s="10">
        <v>3.1829952576664198</v>
      </c>
      <c r="N894" s="10">
        <v>8.6068078449326606</v>
      </c>
      <c r="O894" s="10">
        <v>14.342115384615397</v>
      </c>
      <c r="P894" s="5">
        <v>0.23278892696084311</v>
      </c>
      <c r="Q894" s="5">
        <v>0.25364131407711216</v>
      </c>
      <c r="R894" s="5">
        <v>0.27449269126320786</v>
      </c>
    </row>
    <row r="895" spans="1:18">
      <c r="A895" t="s">
        <v>3699</v>
      </c>
      <c r="B895" t="s">
        <v>136</v>
      </c>
      <c r="C895" s="10">
        <v>78.05</v>
      </c>
      <c r="D895" s="10">
        <v>70</v>
      </c>
      <c r="E895" s="10">
        <v>0.22</v>
      </c>
      <c r="F895" s="10">
        <v>77.642990223294419</v>
      </c>
      <c r="G895" s="10">
        <v>78.805678753089481</v>
      </c>
      <c r="H895" s="10">
        <v>79.675439999999995</v>
      </c>
      <c r="I895" s="10">
        <v>100.06410256410255</v>
      </c>
      <c r="J895" s="10">
        <v>99.542295158069763</v>
      </c>
      <c r="K895" s="10">
        <v>101.03292147831985</v>
      </c>
      <c r="L895" s="10">
        <v>102.148</v>
      </c>
      <c r="M895" s="10">
        <v>0.52180740603279219</v>
      </c>
      <c r="N895" s="10">
        <v>0.96881891421729449</v>
      </c>
      <c r="O895" s="10">
        <v>2.0838974358974411</v>
      </c>
      <c r="P895" s="5">
        <v>0.21591118754033886</v>
      </c>
      <c r="Q895" s="5">
        <v>0.22747952986048853</v>
      </c>
      <c r="R895" s="5">
        <v>0.23591259740768297</v>
      </c>
    </row>
    <row r="896" spans="1:18">
      <c r="A896" t="s">
        <v>3700</v>
      </c>
      <c r="B896" t="s">
        <v>136</v>
      </c>
      <c r="C896" s="10">
        <v>75.14</v>
      </c>
      <c r="D896" s="10">
        <v>70</v>
      </c>
      <c r="E896" s="10">
        <v>0.22</v>
      </c>
      <c r="F896" s="10">
        <v>71.757004098514187</v>
      </c>
      <c r="G896" s="10">
        <v>74.467436840725682</v>
      </c>
      <c r="H896" s="10">
        <v>73.706940000000003</v>
      </c>
      <c r="I896" s="10">
        <v>96.333333333333329</v>
      </c>
      <c r="J896" s="10">
        <v>91.996159100659213</v>
      </c>
      <c r="K896" s="10">
        <v>95.47107287272523</v>
      </c>
      <c r="L896" s="10">
        <v>94.496076923076927</v>
      </c>
      <c r="M896" s="10">
        <v>4.3371742326741156</v>
      </c>
      <c r="N896" s="10">
        <v>0.86226046060809836</v>
      </c>
      <c r="O896" s="10">
        <v>1.8372564102564013</v>
      </c>
      <c r="P896" s="5">
        <v>0.18322677017652172</v>
      </c>
      <c r="Q896" s="5">
        <v>0.21295531998293418</v>
      </c>
      <c r="R896" s="5">
        <v>0.20483471434304562</v>
      </c>
    </row>
    <row r="897" spans="1:18">
      <c r="A897" t="s">
        <v>3701</v>
      </c>
      <c r="B897" t="s">
        <v>136</v>
      </c>
      <c r="C897" s="10">
        <v>119.65</v>
      </c>
      <c r="D897" s="10">
        <v>70</v>
      </c>
      <c r="E897" s="10">
        <v>0.22</v>
      </c>
      <c r="F897" s="10">
        <v>115.88081803467766</v>
      </c>
      <c r="G897" s="10">
        <v>114.32890786843872</v>
      </c>
      <c r="H897" s="10">
        <v>116.97965000000001</v>
      </c>
      <c r="I897" s="10">
        <v>153.39743589743591</v>
      </c>
      <c r="J897" s="10">
        <v>148.56515132650981</v>
      </c>
      <c r="K897" s="10">
        <v>146.57552290825475</v>
      </c>
      <c r="L897" s="10">
        <v>149.97391025641025</v>
      </c>
      <c r="M897" s="10">
        <v>4.832284570926106</v>
      </c>
      <c r="N897" s="10">
        <v>6.8219129891811576</v>
      </c>
      <c r="O897" s="10">
        <v>3.4235256410256625</v>
      </c>
      <c r="P897" s="5">
        <v>0.19462943407879943</v>
      </c>
      <c r="Q897" s="5">
        <v>0.18369726659687988</v>
      </c>
      <c r="R897" s="5">
        <v>0.20219456973926656</v>
      </c>
    </row>
    <row r="898" spans="1:18">
      <c r="A898" t="s">
        <v>3702</v>
      </c>
      <c r="B898" t="s">
        <v>136</v>
      </c>
      <c r="C898" s="10">
        <v>65.77</v>
      </c>
      <c r="D898" s="10">
        <v>70</v>
      </c>
      <c r="E898" s="10">
        <v>0.22</v>
      </c>
      <c r="F898" s="10">
        <v>61.012359048810538</v>
      </c>
      <c r="G898" s="10">
        <v>68.473832384658749</v>
      </c>
      <c r="H898" s="10">
        <v>66.433459999999997</v>
      </c>
      <c r="I898" s="10">
        <v>84.320512820512818</v>
      </c>
      <c r="J898" s="10">
        <v>78.220973139500686</v>
      </c>
      <c r="K898" s="10">
        <v>87.786964595716341</v>
      </c>
      <c r="L898" s="10">
        <v>85.171102564102554</v>
      </c>
      <c r="M898" s="10">
        <v>6.0995396810121321</v>
      </c>
      <c r="N898" s="10">
        <v>3.4664517752035238</v>
      </c>
      <c r="O898" s="10">
        <v>0.85058974358973671</v>
      </c>
      <c r="P898" s="5">
        <v>0.15917691432060557</v>
      </c>
      <c r="Q898" s="5">
        <v>0.25079993023008207</v>
      </c>
      <c r="R898" s="5">
        <v>0.22778973125891677</v>
      </c>
    </row>
    <row r="899" spans="1:18">
      <c r="A899" t="s">
        <v>3703</v>
      </c>
      <c r="B899" t="s">
        <v>136</v>
      </c>
      <c r="C899" s="10">
        <v>59.64</v>
      </c>
      <c r="D899" s="10">
        <v>65</v>
      </c>
      <c r="E899" s="10">
        <v>0.22</v>
      </c>
      <c r="F899" s="10">
        <v>54.946068810536147</v>
      </c>
      <c r="G899" s="10">
        <v>60.937613934483636</v>
      </c>
      <c r="H899" s="10">
        <v>61.126488000000002</v>
      </c>
      <c r="I899" s="10">
        <v>76.461538461538453</v>
      </c>
      <c r="J899" s="10">
        <v>70.44367796222582</v>
      </c>
      <c r="K899" s="10">
        <v>78.125146069850814</v>
      </c>
      <c r="L899" s="10">
        <v>78.36729230769231</v>
      </c>
      <c r="M899" s="10">
        <v>6.0178604993126328</v>
      </c>
      <c r="N899" s="10">
        <v>1.6636076083123612</v>
      </c>
      <c r="O899" s="10">
        <v>1.905753846153857</v>
      </c>
      <c r="P899" s="5">
        <v>0.15336618238501262</v>
      </c>
      <c r="Q899" s="5">
        <v>0.23660942730684245</v>
      </c>
      <c r="R899" s="5">
        <v>0.23896821947303762</v>
      </c>
    </row>
    <row r="900" spans="1:18">
      <c r="A900" t="s">
        <v>3704</v>
      </c>
      <c r="B900" t="s">
        <v>136</v>
      </c>
      <c r="C900" s="10">
        <v>82.72</v>
      </c>
      <c r="D900" s="10">
        <v>70</v>
      </c>
      <c r="E900" s="10">
        <v>0.22</v>
      </c>
      <c r="F900" s="10">
        <v>80.709242976861489</v>
      </c>
      <c r="G900" s="10">
        <v>81.965319612332152</v>
      </c>
      <c r="H900" s="10">
        <v>79.12818</v>
      </c>
      <c r="I900" s="10">
        <v>106.05128205128204</v>
      </c>
      <c r="J900" s="10">
        <v>103.4733884318737</v>
      </c>
      <c r="K900" s="10">
        <v>105.08374309273353</v>
      </c>
      <c r="L900" s="10">
        <v>101.44638461538462</v>
      </c>
      <c r="M900" s="10">
        <v>2.5778936194083428</v>
      </c>
      <c r="N900" s="10">
        <v>0.96753895854851635</v>
      </c>
      <c r="O900" s="10">
        <v>4.6048974358974277</v>
      </c>
      <c r="P900" s="5">
        <v>0.20056739946752219</v>
      </c>
      <c r="Q900" s="5">
        <v>0.21281829552834008</v>
      </c>
      <c r="R900" s="5">
        <v>0.18459390826378164</v>
      </c>
    </row>
    <row r="901" spans="1:18">
      <c r="A901" t="s">
        <v>3705</v>
      </c>
      <c r="B901" t="s">
        <v>136</v>
      </c>
      <c r="C901" s="10">
        <v>61.97</v>
      </c>
      <c r="D901" s="10">
        <v>70</v>
      </c>
      <c r="E901" s="10">
        <v>0.22</v>
      </c>
      <c r="F901" s="10">
        <v>65.694391204625532</v>
      </c>
      <c r="G901" s="10">
        <v>67.421623330771254</v>
      </c>
      <c r="H901" s="10">
        <v>65.848070000000007</v>
      </c>
      <c r="I901" s="10">
        <v>79.448717948717942</v>
      </c>
      <c r="J901" s="10">
        <v>84.223578467468627</v>
      </c>
      <c r="K901" s="10">
        <v>86.437978629193907</v>
      </c>
      <c r="L901" s="10">
        <v>84.420602564102566</v>
      </c>
      <c r="M901" s="10">
        <v>4.7748605187506854</v>
      </c>
      <c r="N901" s="10">
        <v>6.9892606804759652</v>
      </c>
      <c r="O901" s="10">
        <v>4.9718846153846243</v>
      </c>
      <c r="P901" s="5">
        <v>0.26422029166172367</v>
      </c>
      <c r="Q901" s="5">
        <v>0.28306976883573254</v>
      </c>
      <c r="R901" s="5">
        <v>0.26593748305759002</v>
      </c>
    </row>
    <row r="902" spans="1:18">
      <c r="A902" t="s">
        <v>3706</v>
      </c>
      <c r="B902" t="s">
        <v>136</v>
      </c>
      <c r="C902" s="10">
        <v>145.54</v>
      </c>
      <c r="D902" s="10">
        <v>125</v>
      </c>
      <c r="E902" s="10">
        <v>0.22</v>
      </c>
      <c r="F902" s="10">
        <v>140.63629978626227</v>
      </c>
      <c r="G902" s="10">
        <v>145.023027045177</v>
      </c>
      <c r="H902" s="10">
        <v>145.36208999999999</v>
      </c>
      <c r="I902" s="10">
        <v>186.58974358974356</v>
      </c>
      <c r="J902" s="10">
        <v>180.30294844392597</v>
      </c>
      <c r="K902" s="10">
        <v>185.92695775022693</v>
      </c>
      <c r="L902" s="10">
        <v>186.36165384615384</v>
      </c>
      <c r="M902" s="10">
        <v>6.2867951458175924</v>
      </c>
      <c r="N902" s="10">
        <v>0.66278583951662995</v>
      </c>
      <c r="O902" s="10">
        <v>0.22808974358972023</v>
      </c>
      <c r="P902" s="5">
        <v>0.19280299487025426</v>
      </c>
      <c r="Q902" s="5">
        <v>0.21721948360217089</v>
      </c>
      <c r="R902" s="5">
        <v>0.21904535082014853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/>
  </sheetViews>
  <sheetFormatPr defaultRowHeight="14"/>
  <cols>
    <col min="1" max="4" width="24" customWidth="1"/>
  </cols>
  <sheetData>
    <row r="1" spans="1:4" ht="19">
      <c r="A1" s="14" t="s">
        <v>4019</v>
      </c>
      <c r="B1" s="14"/>
      <c r="C1" s="14"/>
      <c r="D1" s="14"/>
    </row>
    <row r="3" spans="1:4">
      <c r="A3" s="1" t="s">
        <v>4020</v>
      </c>
      <c r="B3" s="1" t="s">
        <v>4021</v>
      </c>
    </row>
    <row r="4" spans="1:4">
      <c r="A4" t="s">
        <v>4022</v>
      </c>
      <c r="B4">
        <v>80</v>
      </c>
    </row>
    <row r="5" spans="1:4">
      <c r="A5" t="s">
        <v>4023</v>
      </c>
      <c r="B5">
        <v>70</v>
      </c>
    </row>
    <row r="6" spans="1:4">
      <c r="A6" t="s">
        <v>4024</v>
      </c>
      <c r="B6" s="12">
        <v>0.2</v>
      </c>
    </row>
    <row r="7" spans="1:4">
      <c r="A7" t="s">
        <v>3970</v>
      </c>
      <c r="B7">
        <f>MAX(B5,B4/(1-B6))</f>
        <v>100</v>
      </c>
    </row>
    <row r="8" spans="1:4">
      <c r="A8" t="s">
        <v>4025</v>
      </c>
      <c r="B8">
        <v>82</v>
      </c>
    </row>
    <row r="9" spans="1:4">
      <c r="A9" t="s">
        <v>4026</v>
      </c>
      <c r="B9" s="5">
        <f>IFERROR((B7-B8)/B7,0)</f>
        <v>0.18</v>
      </c>
    </row>
    <row r="11" spans="1:4">
      <c r="A11" s="2" t="s">
        <v>4027</v>
      </c>
      <c r="B11" s="2"/>
      <c r="C11" s="2"/>
      <c r="D11" s="2"/>
    </row>
    <row r="12" spans="1:4">
      <c r="A12" t="s">
        <v>14</v>
      </c>
      <c r="B12" t="s">
        <v>4028</v>
      </c>
    </row>
    <row r="13" spans="1:4">
      <c r="A13" t="s">
        <v>16</v>
      </c>
      <c r="B13" t="s">
        <v>4029</v>
      </c>
    </row>
    <row r="14" spans="1:4">
      <c r="A14" t="s">
        <v>18</v>
      </c>
      <c r="B14" t="s">
        <v>4030</v>
      </c>
    </row>
    <row r="15" spans="1:4">
      <c r="A15" t="s">
        <v>20</v>
      </c>
      <c r="B15" t="s">
        <v>4031</v>
      </c>
    </row>
  </sheetData>
  <mergeCells count="1">
    <mergeCell ref="A1:D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README_設計說明</vt:lpstr>
      <vt:lpstr>Customer_Master</vt:lpstr>
      <vt:lpstr>WMS_Package_Data</vt:lpstr>
      <vt:lpstr>Pricing_Rules</vt:lpstr>
      <vt:lpstr>Model_Features</vt:lpstr>
      <vt:lpstr>Model_Comparison</vt:lpstr>
      <vt:lpstr>Test_Predictions</vt:lpstr>
      <vt:lpstr>Quote_Simulator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林家仁 Lin, Chia-Jen</cp:lastModifiedBy>
  <dcterms:modified xsi:type="dcterms:W3CDTF">2026-08-19T12:19:58Z</dcterms:modified>
</cp:coreProperties>
</file>