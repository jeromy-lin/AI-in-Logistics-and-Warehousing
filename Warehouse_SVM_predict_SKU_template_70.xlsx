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a91ff38f8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資料_70" sheetId="1" r:id="R6e77788d0b154866"/>
    <x:sheet xmlns:r="http://schemas.openxmlformats.org/officeDocument/2006/relationships" name="新品待預測_20" sheetId="2" r:id="R76c48a8f5ba74e89"/>
    <x:sheet xmlns:r="http://schemas.openxmlformats.org/officeDocument/2006/relationships" name="KMeans群組摘要" sheetId="3" r:id="R2845d2dfa9974ae1"/>
    <x:sheet xmlns:r="http://schemas.openxmlformats.org/officeDocument/2006/relationships" name="欄位說明" sheetId="4" r:id="R3f7dc2dbcc0d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3763"/>
      </x:patternFill>
    </x:fill>
    <x:fill>
      <x:patternFill patternType="solid">
        <x:fgColor rgb="FFEAF4FF"/>
      </x:patternFill>
    </x:fill>
    <x:fill>
      <x:patternFill patternType="solid">
        <x:fgColor rgb="FF0B5CAD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66A24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7E6F6"/>
      </x:left>
      <x:right style="thin">
        <x:color rgb="FFD7E6F6"/>
      </x:right>
      <x:top style="thin">
        <x:color rgb="FFD7E6F6"/>
      </x:top>
      <x:bottom style="thin">
        <x:color rgb="FFD7E6F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200" fontId="1" fillId="2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201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d6d87f5504cfe" /><Relationship Type="http://schemas.openxmlformats.org/officeDocument/2006/relationships/theme" Target="/xl/theme/theme1.xml" Id="R309c8865a9594c01" /><Relationship Type="http://schemas.openxmlformats.org/officeDocument/2006/relationships/sharedStrings" Target="/xl/sharedStrings.xml" Id="R542123840c044c62" /><Relationship Type="http://schemas.openxmlformats.org/officeDocument/2006/relationships/worksheet" Target="/xl/worksheets/sheet1.xml" Id="R6e77788d0b154866" /><Relationship Type="http://schemas.openxmlformats.org/officeDocument/2006/relationships/worksheet" Target="/xl/worksheets/sheet2.xml" Id="R76c48a8f5ba74e89" /><Relationship Type="http://schemas.openxmlformats.org/officeDocument/2006/relationships/worksheet" Target="/xl/worksheets/sheet3.xml" Id="R2845d2dfa9974ae1" /><Relationship Type="http://schemas.openxmlformats.org/officeDocument/2006/relationships/worksheet" Target="/xl/worksheets/sheet4.xml" Id="R3f7dc2dbcc0d4382" /></Relationships>
</file>

<file path=xl/tables/table1.xml><?xml version="1.0" encoding="utf-8"?>
<x:table xmlns:x="http://schemas.openxmlformats.org/spreadsheetml/2006/main" id="1" name="KMeansPredict70" displayName="KMeansPredict70" ref="A4:Z74" headerRowCount="1" totalsRowCount="0" totalsRowShown="0">
  <x:tableColumns count="26">
    <x:tableColumn id="1" name="SKU編號"/>
    <x:tableColumn id="2" name="商品名稱"/>
    <x:tableColumn id="3" name="商品類別"/>
    <x:tableColumn id="4" name="每日出貨箱數"/>
    <x:tableColumn id="5" name="每日揀貨次數"/>
    <x:tableColumn id="6" name="體積等級"/>
    <x:tableColumn id="7" name="重量等級"/>
    <x:tableColumn id="8" name="是否液體"/>
    <x:tableColumn id="9" name="是否易碎"/>
    <x:tableColumn id="10" name="是否季節性"/>
    <x:tableColumn id="11" name="目前儲位區"/>
    <x:tableColumn id="12" name="目前距離主要作業區m"/>
    <x:tableColumn id="13" name="KMeans群組名稱"/>
    <x:tableColumn id="14" name="Cluster顏色"/>
    <x:tableColumn id="15" name="群組特性說明"/>
    <x:tableColumn id="16" name="建議儲位策略"/>
    <x:tableColumn id="17" name="備註"/>
    <x:tableColumn id="18" name="體積分數"/>
    <x:tableColumn id="19" name="重量分數"/>
    <x:tableColumn id="20" name="液體標記"/>
    <x:tableColumn id="21" name="易碎標記"/>
    <x:tableColumn id="22" name="季節性標記"/>
    <x:tableColumn id="23" name="PCA1"/>
    <x:tableColumn id="24" name="PCA2"/>
    <x:tableColumn id="25" name="資料用途"/>
    <x:tableColumn id="26" name="預測狀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SkuPredict20" displayName="NewSkuPredict20" ref="A3:Z23" headerRowCount="1" totalsRowCount="0" totalsRowShown="0">
  <x:tableColumns count="26">
    <x:tableColumn id="1" name="SKU編號"/>
    <x:tableColumn id="2" name="商品名稱"/>
    <x:tableColumn id="3" name="商品類別"/>
    <x:tableColumn id="4" name="每日出貨箱數"/>
    <x:tableColumn id="5" name="每日揀貨次數"/>
    <x:tableColumn id="6" name="體積等級"/>
    <x:tableColumn id="7" name="重量等級"/>
    <x:tableColumn id="8" name="是否液體"/>
    <x:tableColumn id="9" name="是否易碎"/>
    <x:tableColumn id="10" name="是否季節性"/>
    <x:tableColumn id="11" name="目前儲位區"/>
    <x:tableColumn id="12" name="目前距離主要作業區m"/>
    <x:tableColumn id="13" name="KMeans群組名稱"/>
    <x:tableColumn id="14" name="Cluster顏色"/>
    <x:tableColumn id="15" name="群組特性說明"/>
    <x:tableColumn id="16" name="建議儲位策略"/>
    <x:tableColumn id="17" name="備註"/>
    <x:tableColumn id="18" name="體積分數"/>
    <x:tableColumn id="19" name="重量分數"/>
    <x:tableColumn id="20" name="液體標記"/>
    <x:tableColumn id="21" name="易碎標記"/>
    <x:tableColumn id="22" name="季節性標記"/>
    <x:tableColumn id="23" name="PCA1"/>
    <x:tableColumn id="24" name="PCA2"/>
    <x:tableColumn id="25" name="資料用途"/>
    <x:tableColumn id="26" name="預測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d7eee65bff44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af5647efeb40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4" hidden="0" customWidth="1"/>
    <x:col min="16" max="16" width="24" hidden="0" customWidth="1"/>
    <x:col min="17" max="17" width="24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4" hidden="0" customWidth="1"/>
  </x:cols>
  <x:sheetData>
    <x:row r="1">
      <x:c r="A1" s="2" t="str">
        <x:v>KMeans / SVM 預測準備資料表：50 筆已分群商品 + 20 筆新品待預測</x:v>
      </x:c>
      <x:c r="B1" s="2"/>
      <x:c r="C1" s="2"/>
      <x:c r="D1" s="11"/>
      <x:c r="E1" s="11"/>
      <x:c r="F1" s="2"/>
      <x:c r="G1" s="2"/>
      <x:c r="H1" s="2"/>
      <x:c r="I1" s="2"/>
      <x:c r="J1" s="2"/>
      <x:c r="K1" s="2"/>
      <x:c r="L1" s="11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4" t="str">
        <x:v>資料來源：Warehouse_KMeans_SKU_template_50.xlsx 與 Warehouse_KMeans_分群結果_50.xlsx；NX001-NX020 為新增待預測商品。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4">
      <x:c r="A4" s="7" t="str">
        <x:v>SKU編號</x:v>
      </x:c>
      <x:c r="B4" s="7" t="str">
        <x:v>商品名稱</x:v>
      </x:c>
      <x:c r="C4" s="7" t="str">
        <x:v>商品類別</x:v>
      </x:c>
      <x:c r="D4" s="7" t="str">
        <x:v>每日出貨箱數</x:v>
      </x:c>
      <x:c r="E4" s="7" t="str">
        <x:v>每日揀貨次數</x:v>
      </x:c>
      <x:c r="F4" s="7" t="str">
        <x:v>體積等級</x:v>
      </x:c>
      <x:c r="G4" s="7" t="str">
        <x:v>重量等級</x:v>
      </x:c>
      <x:c r="H4" s="7" t="str">
        <x:v>是否液體</x:v>
      </x:c>
      <x:c r="I4" s="7" t="str">
        <x:v>是否易碎</x:v>
      </x:c>
      <x:c r="J4" s="7" t="str">
        <x:v>是否季節性</x:v>
      </x:c>
      <x:c r="K4" s="7" t="str">
        <x:v>目前儲位區</x:v>
      </x:c>
      <x:c r="L4" s="7" t="str">
        <x:v>目前距離主要作業區m</x:v>
      </x:c>
      <x:c r="M4" s="7" t="str">
        <x:v>KMeans群組名稱</x:v>
      </x:c>
      <x:c r="N4" s="7" t="str">
        <x:v>Cluster顏色</x:v>
      </x:c>
      <x:c r="O4" s="7" t="str">
        <x:v>群組特性說明</x:v>
      </x:c>
      <x:c r="P4" s="7" t="str">
        <x:v>建議儲位策略</x:v>
      </x:c>
      <x:c r="Q4" s="7" t="str">
        <x:v>備註</x:v>
      </x:c>
      <x:c r="R4" s="7" t="str">
        <x:v>體積分數</x:v>
      </x:c>
      <x:c r="S4" s="7" t="str">
        <x:v>重量分數</x:v>
      </x:c>
      <x:c r="T4" s="7" t="str">
        <x:v>液體標記</x:v>
      </x:c>
      <x:c r="U4" s="7" t="str">
        <x:v>易碎標記</x:v>
      </x:c>
      <x:c r="V4" s="7" t="str">
        <x:v>季節性標記</x:v>
      </x:c>
      <x:c r="W4" s="7" t="str">
        <x:v>PCA1</x:v>
      </x:c>
      <x:c r="X4" s="7" t="str">
        <x:v>PCA2</x:v>
      </x:c>
      <x:c r="Y4" s="7" t="str">
        <x:v>資料用途</x:v>
      </x:c>
      <x:c r="Z4" s="7" t="str">
        <x:v>預測狀態</x:v>
      </x:c>
    </x:row>
    <x:row r="5">
      <x:c r="A5" s="9" t="str">
        <x:v>PX001</x:v>
      </x:c>
      <x:c r="B5" s="9" t="str">
        <x:v>抽取式衛生紙</x:v>
      </x:c>
      <x:c r="C5" s="9" t="str">
        <x:v>紙品類</x:v>
      </x:c>
      <x:c r="D5" s="9" t="n">
        <x:v>260</x:v>
      </x:c>
      <x:c r="E5" s="9" t="n">
        <x:v>120</x:v>
      </x:c>
      <x:c r="F5" s="9" t="str">
        <x:v>大</x:v>
      </x:c>
      <x:c r="G5" s="9" t="str">
        <x:v>中</x:v>
      </x:c>
      <x:c r="H5" s="9" t="str">
        <x:v>否</x:v>
      </x:c>
      <x:c r="I5" s="9" t="str">
        <x:v>否</x:v>
      </x:c>
      <x:c r="J5" s="9" t="str">
        <x:v>否</x:v>
      </x:c>
      <x:c r="K5" s="9" t="str">
        <x:v>A區</x:v>
      </x:c>
      <x:c r="L5" s="9" t="n">
        <x:v>60</x:v>
      </x:c>
      <x:c r="M5" s="9" t="str">
        <x:v>Cluster 3</x:v>
      </x:c>
      <x:c r="N5" s="9" t="str">
        <x:v>#27AE60</x:v>
      </x:c>
      <x:c r="O5" s="9" t="str">
        <x:v>高頻重物或液體商品</x:v>
      </x:c>
      <x:c r="P5" s="9" t="str">
        <x:v>近端低層棧板區</x:v>
      </x:c>
      <x:c r="Q5" s="9" t="str">
        <x:v>高頻、體積大</x:v>
      </x:c>
      <x:c r="R5" s="9" t="n">
        <x:f>IF(F5="小",1,IF(F5="中",2,IF(F5="大",3,0)))</x:f>
        <x:v>3</x:v>
      </x:c>
      <x:c r="S5" s="9" t="n">
        <x:f>IF(G5="輕",1,IF(G5="中",2,IF(G5="重",3,0)))</x:f>
        <x:v>2</x:v>
      </x:c>
      <x:c r="T5" s="9" t="n">
        <x:f>IF(H5="是",1,0)</x:f>
        <x:v>0</x:v>
      </x:c>
      <x:c r="U5" s="9" t="n">
        <x:f>IF(I5="是",1,0)</x:f>
        <x:v>0</x:v>
      </x:c>
      <x:c r="V5" s="9" t="n">
        <x:f>IF(J5="是",1,0)</x:f>
        <x:v>0</x:v>
      </x:c>
      <x:c r="W5" s="9" t="n">
        <x:v>3.965801223652922</x:v>
      </x:c>
      <x:c r="X5" s="9" t="n">
        <x:v>0.9135404747024339</x:v>
      </x:c>
      <x:c r="Y5" s="9" t="str">
        <x:v>Train</x:v>
      </x:c>
      <x:c r="Z5" s="9" t="str">
        <x:v>已分群</x:v>
      </x:c>
    </x:row>
    <x:row r="6">
      <x:c r="A6" s="9" t="str">
        <x:v>PX002</x:v>
      </x:c>
      <x:c r="B6" s="9" t="str">
        <x:v>瓶裝水600ml</x:v>
      </x:c>
      <x:c r="C6" s="9" t="str">
        <x:v>飲品類</x:v>
      </x:c>
      <x:c r="D6" s="9" t="n">
        <x:v>240</x:v>
      </x:c>
      <x:c r="E6" s="9" t="n">
        <x:v>115</x:v>
      </x:c>
      <x:c r="F6" s="9" t="str">
        <x:v>中</x:v>
      </x:c>
      <x:c r="G6" s="9" t="str">
        <x:v>重</x:v>
      </x:c>
      <x:c r="H6" s="9" t="str">
        <x:v>是</x:v>
      </x:c>
      <x:c r="I6" s="9" t="str">
        <x:v>否</x:v>
      </x:c>
      <x:c r="J6" s="9" t="str">
        <x:v>否</x:v>
      </x:c>
      <x:c r="K6" s="9" t="str">
        <x:v>K區</x:v>
      </x:c>
      <x:c r="L6" s="9" t="n">
        <x:v>55</x:v>
      </x:c>
      <x:c r="M6" s="9" t="str">
        <x:v>Cluster 3</x:v>
      </x:c>
      <x:c r="N6" s="9" t="str">
        <x:v>#27AE60</x:v>
      </x:c>
      <x:c r="O6" s="9" t="str">
        <x:v>高頻重物或液體商品</x:v>
      </x:c>
      <x:c r="P6" s="9" t="str">
        <x:v>近端低層棧板區</x:v>
      </x:c>
      <x:c r="Q6" s="9" t="str">
        <x:v>高頻、重量重</x:v>
      </x:c>
      <x:c r="R6" s="9" t="n">
        <x:f>IF(F6="小",1,IF(F6="中",2,IF(F6="大",3,0)))</x:f>
        <x:v>2</x:v>
      </x:c>
      <x:c r="S6" s="9" t="n">
        <x:f>IF(G6="輕",1,IF(G6="中",2,IF(G6="重",3,0)))</x:f>
        <x:v>3</x:v>
      </x:c>
      <x:c r="T6" s="9" t="n">
        <x:f>IF(H6="是",1,0)</x:f>
        <x:v>1</x:v>
      </x:c>
      <x:c r="U6" s="9" t="n">
        <x:f>IF(I6="是",1,0)</x:f>
        <x:v>0</x:v>
      </x:c>
      <x:c r="V6" s="9" t="n">
        <x:f>IF(J6="是",1,0)</x:f>
        <x:v>0</x:v>
      </x:c>
      <x:c r="W6" s="9" t="n">
        <x:v>4.39402069366203</x:v>
      </x:c>
      <x:c r="X6" s="9" t="n">
        <x:v>0.3645245889979714</x:v>
      </x:c>
      <x:c r="Y6" s="9" t="str">
        <x:v>Train</x:v>
      </x:c>
      <x:c r="Z6" s="9" t="str">
        <x:v>已分群</x:v>
      </x:c>
    </x:row>
    <x:row r="7">
      <x:c r="A7" s="9" t="str">
        <x:v>PX003</x:v>
      </x:c>
      <x:c r="B7" s="9" t="str">
        <x:v>家庭號礦泉水</x:v>
      </x:c>
      <x:c r="C7" s="9" t="str">
        <x:v>飲品類</x:v>
      </x:c>
      <x:c r="D7" s="9" t="n">
        <x:v>210</x:v>
      </x:c>
      <x:c r="E7" s="9" t="n">
        <x:v>100</x:v>
      </x:c>
      <x:c r="F7" s="9" t="str">
        <x:v>大</x:v>
      </x:c>
      <x:c r="G7" s="9" t="str">
        <x:v>重</x:v>
      </x:c>
      <x:c r="H7" s="9" t="str">
        <x:v>是</x:v>
      </x:c>
      <x:c r="I7" s="9" t="str">
        <x:v>否</x:v>
      </x:c>
      <x:c r="J7" s="9" t="str">
        <x:v>否</x:v>
      </x:c>
      <x:c r="K7" s="9" t="str">
        <x:v>K區</x:v>
      </x:c>
      <x:c r="L7" s="9" t="n">
        <x:v>50</x:v>
      </x:c>
      <x:c r="M7" s="9" t="str">
        <x:v>Cluster 3</x:v>
      </x:c>
      <x:c r="N7" s="9" t="str">
        <x:v>#27AE60</x:v>
      </x:c>
      <x:c r="O7" s="9" t="str">
        <x:v>高頻重物或液體商品</x:v>
      </x:c>
      <x:c r="P7" s="9" t="str">
        <x:v>近端低層棧板區</x:v>
      </x:c>
      <x:c r="Q7" s="9" t="str">
        <x:v>高頻、整箱重</x:v>
      </x:c>
      <x:c r="R7" s="9" t="n">
        <x:f>IF(F7="小",1,IF(F7="中",2,IF(F7="大",3,0)))</x:f>
        <x:v>3</x:v>
      </x:c>
      <x:c r="S7" s="9" t="n">
        <x:f>IF(G7="輕",1,IF(G7="中",2,IF(G7="重",3,0)))</x:f>
        <x:v>3</x:v>
      </x:c>
      <x:c r="T7" s="9" t="n">
        <x:f>IF(H7="是",1,0)</x:f>
        <x:v>1</x:v>
      </x:c>
      <x:c r="U7" s="9" t="n">
        <x:f>IF(I7="是",1,0)</x:f>
        <x:v>0</x:v>
      </x:c>
      <x:c r="V7" s="9" t="n">
        <x:f>IF(J7="是",1,0)</x:f>
        <x:v>0</x:v>
      </x:c>
      <x:c r="W7" s="9" t="n">
        <x:v>4.143019819612038</x:v>
      </x:c>
      <x:c r="X7" s="9" t="n">
        <x:v>0.7123485249458124</x:v>
      </x:c>
      <x:c r="Y7" s="9" t="str">
        <x:v>Train</x:v>
      </x:c>
      <x:c r="Z7" s="9" t="str">
        <x:v>已分群</x:v>
      </x:c>
    </x:row>
    <x:row r="8">
      <x:c r="A8" s="9" t="str">
        <x:v>PX004</x:v>
      </x:c>
      <x:c r="B8" s="9" t="str">
        <x:v>捲筒衛生紙</x:v>
      </x:c>
      <x:c r="C8" s="9" t="str">
        <x:v>紙品類</x:v>
      </x:c>
      <x:c r="D8" s="9" t="n">
        <x:v>190</x:v>
      </x:c>
      <x:c r="E8" s="9" t="n">
        <x:v>92</x:v>
      </x:c>
      <x:c r="F8" s="9" t="str">
        <x:v>大</x:v>
      </x:c>
      <x:c r="G8" s="9" t="str">
        <x:v>中</x:v>
      </x:c>
      <x:c r="H8" s="9" t="str">
        <x:v>否</x:v>
      </x:c>
      <x:c r="I8" s="9" t="str">
        <x:v>否</x:v>
      </x:c>
      <x:c r="J8" s="9" t="str">
        <x:v>否</x:v>
      </x:c>
      <x:c r="K8" s="9" t="str">
        <x:v>1區</x:v>
      </x:c>
      <x:c r="L8" s="9" t="n">
        <x:v>45</x:v>
      </x:c>
      <x:c r="M8" s="9" t="str">
        <x:v>Cluster 3</x:v>
      </x:c>
      <x:c r="N8" s="9" t="str">
        <x:v>#27AE60</x:v>
      </x:c>
      <x:c r="O8" s="9" t="str">
        <x:v>高頻重物或液體商品</x:v>
      </x:c>
      <x:c r="P8" s="9" t="str">
        <x:v>近端低層棧板區</x:v>
      </x:c>
      <x:c r="Q8" s="9" t="str">
        <x:v>高頻、占空間</x:v>
      </x:c>
      <x:c r="R8" s="9" t="n">
        <x:f>IF(F8="小",1,IF(F8="中",2,IF(F8="大",3,0)))</x:f>
        <x:v>3</x:v>
      </x:c>
      <x:c r="S8" s="9" t="n">
        <x:f>IF(G8="輕",1,IF(G8="中",2,IF(G8="重",3,0)))</x:f>
        <x:v>2</x:v>
      </x:c>
      <x:c r="T8" s="9" t="n">
        <x:f>IF(H8="是",1,0)</x:f>
        <x:v>0</x:v>
      </x:c>
      <x:c r="U8" s="9" t="n">
        <x:f>IF(I8="是",1,0)</x:f>
        <x:v>0</x:v>
      </x:c>
      <x:c r="V8" s="9" t="n">
        <x:f>IF(J8="是",1,0)</x:f>
        <x:v>0</x:v>
      </x:c>
      <x:c r="W8" s="9" t="n">
        <x:v>2.647530658289326</x:v>
      </x:c>
      <x:c r="X8" s="9" t="n">
        <x:v>0.2940033803484597</x:v>
      </x:c>
      <x:c r="Y8" s="9" t="str">
        <x:v>Train</x:v>
      </x:c>
      <x:c r="Z8" s="9" t="str">
        <x:v>已分群</x:v>
      </x:c>
    </x:row>
    <x:row r="9">
      <x:c r="A9" s="9" t="str">
        <x:v>PX005</x:v>
      </x:c>
      <x:c r="B9" s="9" t="str">
        <x:v>茶飲料整箱</x:v>
      </x:c>
      <x:c r="C9" s="9" t="str">
        <x:v>飲品類</x:v>
      </x:c>
      <x:c r="D9" s="9" t="n">
        <x:v>170</x:v>
      </x:c>
      <x:c r="E9" s="9" t="n">
        <x:v>86</x:v>
      </x:c>
      <x:c r="F9" s="9" t="str">
        <x:v>中</x:v>
      </x:c>
      <x:c r="G9" s="9" t="str">
        <x:v>重</x:v>
      </x:c>
      <x:c r="H9" s="9" t="str">
        <x:v>是</x:v>
      </x:c>
      <x:c r="I9" s="9" t="str">
        <x:v>否</x:v>
      </x:c>
      <x:c r="J9" s="9" t="str">
        <x:v>否</x:v>
      </x:c>
      <x:c r="K9" s="9" t="str">
        <x:v>1區</x:v>
      </x:c>
      <x:c r="L9" s="9" t="n">
        <x:v>42</x:v>
      </x:c>
      <x:c r="M9" s="9" t="str">
        <x:v>Cluster 3</x:v>
      </x:c>
      <x:c r="N9" s="9" t="str">
        <x:v>#27AE60</x:v>
      </x:c>
      <x:c r="O9" s="9" t="str">
        <x:v>高頻重物或液體商品</x:v>
      </x:c>
      <x:c r="P9" s="9" t="str">
        <x:v>近端低層棧板區</x:v>
      </x:c>
      <x:c r="Q9" s="9" t="str">
        <x:v>高頻、整箱搬運</x:v>
      </x:c>
      <x:c r="R9" s="9" t="n">
        <x:f>IF(F9="小",1,IF(F9="中",2,IF(F9="大",3,0)))</x:f>
        <x:v>2</x:v>
      </x:c>
      <x:c r="S9" s="9" t="n">
        <x:f>IF(G9="輕",1,IF(G9="中",2,IF(G9="重",3,0)))</x:f>
        <x:v>3</x:v>
      </x:c>
      <x:c r="T9" s="9" t="n">
        <x:f>IF(H9="是",1,0)</x:f>
        <x:v>1</x:v>
      </x:c>
      <x:c r="U9" s="9" t="n">
        <x:f>IF(I9="是",1,0)</x:f>
        <x:v>0</x:v>
      </x:c>
      <x:c r="V9" s="9" t="n">
        <x:f>IF(J9="是",1,0)</x:f>
        <x:v>0</x:v>
      </x:c>
      <x:c r="W9" s="9" t="n">
        <x:v>3.071727717177826</x:v>
      </x:c>
      <x:c r="X9" s="9" t="n">
        <x:v>-0.1553921989523531</x:v>
      </x:c>
      <x:c r="Y9" s="9" t="str">
        <x:v>Train</x:v>
      </x:c>
      <x:c r="Z9" s="9" t="str">
        <x:v>已分群</x:v>
      </x:c>
    </x:row>
    <x:row r="10">
      <x:c r="A10" s="9" t="str">
        <x:v>PX006</x:v>
      </x:c>
      <x:c r="B10" s="9" t="str">
        <x:v>泡麵箱</x:v>
      </x:c>
      <x:c r="C10" s="9" t="str">
        <x:v>食品類</x:v>
      </x:c>
      <x:c r="D10" s="9" t="n">
        <x:v>150</x:v>
      </x:c>
      <x:c r="E10" s="9" t="n">
        <x:v>78</x:v>
      </x:c>
      <x:c r="F10" s="9" t="str">
        <x:v>中</x:v>
      </x:c>
      <x:c r="G10" s="9" t="str">
        <x:v>中</x:v>
      </x:c>
      <x:c r="H10" s="9" t="str">
        <x:v>否</x:v>
      </x:c>
      <x:c r="I10" s="9" t="str">
        <x:v>否</x:v>
      </x:c>
      <x:c r="J10" s="9" t="str">
        <x:v>否</x:v>
      </x:c>
      <x:c r="K10" s="9" t="str">
        <x:v>A區</x:v>
      </x:c>
      <x:c r="L10" s="9" t="n">
        <x:v>40</x:v>
      </x:c>
      <x:c r="M10" s="9" t="str">
        <x:v>Cluster 3</x:v>
      </x:c>
      <x:c r="N10" s="9" t="str">
        <x:v>#27AE60</x:v>
      </x:c>
      <x:c r="O10" s="9" t="str">
        <x:v>高頻重物或液體商品</x:v>
      </x:c>
      <x:c r="P10" s="9" t="str">
        <x:v>近端低層棧板區</x:v>
      </x:c>
      <x:c r="Q10" s="9" t="str">
        <x:v>高頻、補貨快</x:v>
      </x:c>
      <x:c r="R10" s="9" t="n">
        <x:f>IF(F10="小",1,IF(F10="中",2,IF(F10="大",3,0)))</x:f>
        <x:v>2</x:v>
      </x:c>
      <x:c r="S10" s="9" t="n">
        <x:f>IF(G10="輕",1,IF(G10="中",2,IF(G10="重",3,0)))</x:f>
        <x:v>2</x:v>
      </x:c>
      <x:c r="T10" s="9" t="n">
        <x:f>IF(H10="是",1,0)</x:f>
        <x:v>0</x:v>
      </x:c>
      <x:c r="U10" s="9" t="n">
        <x:f>IF(I10="是",1,0)</x:f>
        <x:v>0</x:v>
      </x:c>
      <x:c r="V10" s="9" t="n">
        <x:f>IF(J10="是",1,0)</x:f>
        <x:v>0</x:v>
      </x:c>
      <x:c r="W10" s="9" t="n">
        <x:v>1.599969973993698</x:v>
      </x:c>
      <x:c r="X10" s="9" t="n">
        <x:v>-0.4281052360639411</x:v>
      </x:c>
      <x:c r="Y10" s="9" t="str">
        <x:v>Train</x:v>
      </x:c>
      <x:c r="Z10" s="9" t="str">
        <x:v>已分群</x:v>
      </x:c>
    </x:row>
    <x:row r="11">
      <x:c r="A11" s="9" t="str">
        <x:v>PX007</x:v>
      </x:c>
      <x:c r="B11" s="9" t="str">
        <x:v>白米3kg</x:v>
      </x:c>
      <x:c r="C11" s="9" t="str">
        <x:v>米糧類</x:v>
      </x:c>
      <x:c r="D11" s="9" t="n">
        <x:v>130</x:v>
      </x:c>
      <x:c r="E11" s="9" t="n">
        <x:v>70</x:v>
      </x:c>
      <x:c r="F11" s="9" t="str">
        <x:v>中</x:v>
      </x:c>
      <x:c r="G11" s="9" t="str">
        <x:v>重</x:v>
      </x:c>
      <x:c r="H11" s="9" t="str">
        <x:v>否</x:v>
      </x:c>
      <x:c r="I11" s="9" t="str">
        <x:v>否</x:v>
      </x:c>
      <x:c r="J11" s="9" t="str">
        <x:v>否</x:v>
      </x:c>
      <x:c r="K11" s="9" t="str">
        <x:v>K區</x:v>
      </x:c>
      <x:c r="L11" s="9" t="n">
        <x:v>38</x:v>
      </x:c>
      <x:c r="M11" s="9" t="str">
        <x:v>Cluster 3</x:v>
      </x:c>
      <x:c r="N11" s="9" t="str">
        <x:v>#27AE60</x:v>
      </x:c>
      <x:c r="O11" s="9" t="str">
        <x:v>高頻重物或液體商品</x:v>
      </x:c>
      <x:c r="P11" s="9" t="str">
        <x:v>近端低層棧板區</x:v>
      </x:c>
      <x:c r="Q11" s="9" t="str">
        <x:v>高頻、重物</x:v>
      </x:c>
      <x:c r="R11" s="9" t="n">
        <x:f>IF(F11="小",1,IF(F11="中",2,IF(F11="大",3,0)))</x:f>
        <x:v>2</x:v>
      </x:c>
      <x:c r="S11" s="9" t="n">
        <x:f>IF(G11="輕",1,IF(G11="中",2,IF(G11="重",3,0)))</x:f>
        <x:v>3</x:v>
      </x:c>
      <x:c r="T11" s="9" t="n">
        <x:f>IF(H11="是",1,0)</x:f>
        <x:v>0</x:v>
      </x:c>
      <x:c r="U11" s="9" t="n">
        <x:f>IF(I11="是",1,0)</x:f>
        <x:v>0</x:v>
      </x:c>
      <x:c r="V11" s="9" t="n">
        <x:f>IF(J11="是",1,0)</x:f>
        <x:v>0</x:v>
      </x:c>
      <x:c r="W11" s="9" t="n">
        <x:v>1.772803280398061</x:v>
      </x:c>
      <x:c r="X11" s="9" t="n">
        <x:v>-0.2748528671507616</x:v>
      </x:c>
      <x:c r="Y11" s="9" t="str">
        <x:v>Train</x:v>
      </x:c>
      <x:c r="Z11" s="9" t="str">
        <x:v>已分群</x:v>
      </x:c>
    </x:row>
    <x:row r="12">
      <x:c r="A12" s="9" t="str">
        <x:v>PX008</x:v>
      </x:c>
      <x:c r="B12" s="9" t="str">
        <x:v>洗衣精補充包</x:v>
      </x:c>
      <x:c r="C12" s="9" t="str">
        <x:v>清潔用品</x:v>
      </x:c>
      <x:c r="D12" s="9" t="n">
        <x:v>110</x:v>
      </x:c>
      <x:c r="E12" s="9" t="n">
        <x:v>62</x:v>
      </x:c>
      <x:c r="F12" s="9" t="str">
        <x:v>中</x:v>
      </x:c>
      <x:c r="G12" s="9" t="str">
        <x:v>中</x:v>
      </x:c>
      <x:c r="H12" s="9" t="str">
        <x:v>是</x:v>
      </x:c>
      <x:c r="I12" s="9" t="str">
        <x:v>否</x:v>
      </x:c>
      <x:c r="J12" s="9" t="str">
        <x:v>否</x:v>
      </x:c>
      <x:c r="K12" s="9" t="str">
        <x:v>1區</x:v>
      </x:c>
      <x:c r="L12" s="9" t="n">
        <x:v>36</x:v>
      </x:c>
      <x:c r="M12" s="9" t="str">
        <x:v>Cluster 3</x:v>
      </x:c>
      <x:c r="N12" s="9" t="str">
        <x:v>#27AE60</x:v>
      </x:c>
      <x:c r="O12" s="9" t="str">
        <x:v>高頻重物或液體商品</x:v>
      </x:c>
      <x:c r="P12" s="9" t="str">
        <x:v>近端低層棧板區</x:v>
      </x:c>
      <x:c r="Q12" s="9" t="str">
        <x:v>液體、補貨頻繁</x:v>
      </x:c>
      <x:c r="R12" s="9" t="n">
        <x:f>IF(F12="小",1,IF(F12="中",2,IF(F12="大",3,0)))</x:f>
        <x:v>2</x:v>
      </x:c>
      <x:c r="S12" s="9" t="n">
        <x:f>IF(G12="輕",1,IF(G12="中",2,IF(G12="重",3,0)))</x:f>
        <x:v>2</x:v>
      </x:c>
      <x:c r="T12" s="9" t="n">
        <x:f>IF(H12="是",1,0)</x:f>
        <x:v>1</x:v>
      </x:c>
      <x:c r="U12" s="9" t="n">
        <x:f>IF(I12="是",1,0)</x:f>
        <x:v>0</x:v>
      </x:c>
      <x:c r="V12" s="9" t="n">
        <x:f>IF(J12="是",1,0)</x:f>
        <x:v>0</x:v>
      </x:c>
      <x:c r="W12" s="9" t="n">
        <x:v>1.464623800875515</x:v>
      </x:c>
      <x:c r="X12" s="9" t="n">
        <x:v>-0.5728557766944116</x:v>
      </x:c>
      <x:c r="Y12" s="9" t="str">
        <x:v>Train</x:v>
      </x:c>
      <x:c r="Z12" s="9" t="str">
        <x:v>已分群</x:v>
      </x:c>
    </x:row>
    <x:row r="13">
      <x:c r="A13" s="9" t="str">
        <x:v>PX009</x:v>
      </x:c>
      <x:c r="B13" s="9" t="str">
        <x:v>廚房紙巾</x:v>
      </x:c>
      <x:c r="C13" s="9" t="str">
        <x:v>紙品類</x:v>
      </x:c>
      <x:c r="D13" s="9" t="n">
        <x:v>95</x:v>
      </x:c>
      <x:c r="E13" s="9" t="n">
        <x:v>55</x:v>
      </x:c>
      <x:c r="F13" s="9" t="str">
        <x:v>大</x:v>
      </x:c>
      <x:c r="G13" s="9" t="str">
        <x:v>輕</x:v>
      </x:c>
      <x:c r="H13" s="9" t="str">
        <x:v>否</x:v>
      </x:c>
      <x:c r="I13" s="9" t="str">
        <x:v>否</x:v>
      </x:c>
      <x:c r="J13" s="9" t="str">
        <x:v>否</x:v>
      </x:c>
      <x:c r="K13" s="9" t="str">
        <x:v>A區</x:v>
      </x:c>
      <x:c r="L13" s="9" t="n">
        <x:v>35</x:v>
      </x:c>
      <x:c r="M13" s="9" t="str">
        <x:v>Cluster 2</x:v>
      </x:c>
      <x:c r="N13" s="9" t="str">
        <x:v>#F39C12</x:v>
      </x:c>
      <x:c r="O13" s="9" t="str">
        <x:v>中頻一般或補貨商品</x:v>
      </x:c>
      <x:c r="P13" s="9" t="str">
        <x:v>中段一般儲位</x:v>
      </x:c>
      <x:c r="Q13" s="9" t="str">
        <x:v>體積大、重量輕</x:v>
      </x:c>
      <x:c r="R13" s="9" t="n">
        <x:f>IF(F13="小",1,IF(F13="中",2,IF(F13="大",3,0)))</x:f>
        <x:v>3</x:v>
      </x:c>
      <x:c r="S13" s="9" t="n">
        <x:f>IF(G13="輕",1,IF(G13="中",2,IF(G13="重",3,0)))</x:f>
        <x:v>1</x:v>
      </x:c>
      <x:c r="T13" s="9" t="n">
        <x:f>IF(H13="是",1,0)</x:f>
        <x:v>0</x:v>
      </x:c>
      <x:c r="U13" s="9" t="n">
        <x:f>IF(I13="是",1,0)</x:f>
        <x:v>0</x:v>
      </x:c>
      <x:c r="V13" s="9" t="n">
        <x:f>IF(J13="是",1,0)</x:f>
        <x:v>0</x:v>
      </x:c>
      <x:c r="W13" s="9" t="n">
        <x:v>0.4288214703465617</x:v>
      </x:c>
      <x:c r="X13" s="9" t="n">
        <x:v>-0.265856853917002</x:v>
      </x:c>
      <x:c r="Y13" s="9" t="str">
        <x:v>Train</x:v>
      </x:c>
      <x:c r="Z13" s="9" t="str">
        <x:v>已分群</x:v>
      </x:c>
    </x:row>
    <x:row r="14">
      <x:c r="A14" s="9" t="str">
        <x:v>PX010</x:v>
      </x:c>
      <x:c r="B14" s="9" t="str">
        <x:v>餅乾箱</x:v>
      </x:c>
      <x:c r="C14" s="9" t="str">
        <x:v>食品類</x:v>
      </x:c>
      <x:c r="D14" s="9" t="n">
        <x:v>88</x:v>
      </x:c>
      <x:c r="E14" s="9" t="n">
        <x:v>50</x:v>
      </x:c>
      <x:c r="F14" s="9" t="str">
        <x:v>中</x:v>
      </x:c>
      <x:c r="G14" s="9" t="str">
        <x:v>輕</x:v>
      </x:c>
      <x:c r="H14" s="9" t="str">
        <x:v>否</x:v>
      </x:c>
      <x:c r="I14" s="9" t="str">
        <x:v>是</x:v>
      </x:c>
      <x:c r="J14" s="9" t="str">
        <x:v>否</x:v>
      </x:c>
      <x:c r="K14" s="9" t="str">
        <x:v>1區</x:v>
      </x:c>
      <x:c r="L14" s="9" t="n">
        <x:v>34</x:v>
      </x:c>
      <x:c r="M14" s="9" t="str">
        <x:v>Cluster 1</x:v>
      </x:c>
      <x:c r="N14" s="9" t="str">
        <x:v>#2E86DE</x:v>
      </x:c>
      <x:c r="O14" s="9" t="str">
        <x:v>中頻一般或補貨商品</x:v>
      </x:c>
      <x:c r="P14" s="9" t="str">
        <x:v>中段一般儲位</x:v>
      </x:c>
      <x:c r="Q14" s="9" t="str">
        <x:v>易壓、需避免重壓</x:v>
      </x:c>
      <x:c r="R14" s="9" t="n">
        <x:f>IF(F14="小",1,IF(F14="中",2,IF(F14="大",3,0)))</x:f>
        <x:v>2</x:v>
      </x:c>
      <x:c r="S14" s="9" t="n">
        <x:f>IF(G14="輕",1,IF(G14="中",2,IF(G14="重",3,0)))</x:f>
        <x:v>1</x:v>
      </x:c>
      <x:c r="T14" s="9" t="n">
        <x:f>IF(H14="是",1,0)</x:f>
        <x:v>0</x:v>
      </x:c>
      <x:c r="U14" s="9" t="n">
        <x:f>IF(I14="是",1,0)</x:f>
        <x:v>1</x:v>
      </x:c>
      <x:c r="V14" s="9" t="n">
        <x:f>IF(J14="是",1,0)</x:f>
        <x:v>0</x:v>
      </x:c>
      <x:c r="W14" s="9" t="n">
        <x:v>-0.5394446765373697</x:v>
      </x:c>
      <x:c r="X14" s="9" t="n">
        <x:v>0.3432927494764818</x:v>
      </x:c>
      <x:c r="Y14" s="9" t="str">
        <x:v>Train</x:v>
      </x:c>
      <x:c r="Z14" s="9" t="str">
        <x:v>已分群</x:v>
      </x:c>
    </x:row>
    <x:row r="15">
      <x:c r="A15" s="9" t="str">
        <x:v>PX011</x:v>
      </x:c>
      <x:c r="B15" s="9" t="str">
        <x:v>罐頭食品</x:v>
      </x:c>
      <x:c r="C15" s="9" t="str">
        <x:v>食品類</x:v>
      </x:c>
      <x:c r="D15" s="9" t="n">
        <x:v>76</x:v>
      </x:c>
      <x:c r="E15" s="9" t="n">
        <x:v>45</x:v>
      </x:c>
      <x:c r="F15" s="9" t="str">
        <x:v>小</x:v>
      </x:c>
      <x:c r="G15" s="9" t="str">
        <x:v>重</x:v>
      </x:c>
      <x:c r="H15" s="9" t="str">
        <x:v>否</x:v>
      </x:c>
      <x:c r="I15" s="9" t="str">
        <x:v>否</x:v>
      </x:c>
      <x:c r="J15" s="9" t="str">
        <x:v>否</x:v>
      </x:c>
      <x:c r="K15" s="9" t="str">
        <x:v>K區</x:v>
      </x:c>
      <x:c r="L15" s="9" t="n">
        <x:v>32</x:v>
      </x:c>
      <x:c r="M15" s="9" t="str">
        <x:v>Cluster 5</x:v>
      </x:c>
      <x:c r="N15" s="9" t="str">
        <x:v>#E74C3C</x:v>
      </x:c>
      <x:c r="O15" s="9" t="str">
        <x:v>中頻一般或補貨商品</x:v>
      </x:c>
      <x:c r="P15" s="9" t="str">
        <x:v>中段一般儲位</x:v>
      </x:c>
      <x:c r="Q15" s="9" t="str">
        <x:v>小體積、重量高</x:v>
      </x:c>
      <x:c r="R15" s="9" t="n">
        <x:f>IF(F15="小",1,IF(F15="中",2,IF(F15="大",3,0)))</x:f>
        <x:v>1</x:v>
      </x:c>
      <x:c r="S15" s="9" t="n">
        <x:f>IF(G15="輕",1,IF(G15="中",2,IF(G15="重",3,0)))</x:f>
        <x:v>3</x:v>
      </x:c>
      <x:c r="T15" s="9" t="n">
        <x:f>IF(H15="是",1,0)</x:f>
        <x:v>0</x:v>
      </x:c>
      <x:c r="U15" s="9" t="n">
        <x:f>IF(I15="是",1,0)</x:f>
        <x:v>0</x:v>
      </x:c>
      <x:c r="V15" s="9" t="n">
        <x:f>IF(J15="是",1,0)</x:f>
        <x:v>0</x:v>
      </x:c>
      <x:c r="W15" s="9" t="n">
        <x:v>0.3702553031052543</x:v>
      </x:c>
      <x:c r="X15" s="9" t="n">
        <x:v>-1.01010676314582</x:v>
      </x:c>
      <x:c r="Y15" s="9" t="str">
        <x:v>Train</x:v>
      </x:c>
      <x:c r="Z15" s="9" t="str">
        <x:v>已分群</x:v>
      </x:c>
    </x:row>
    <x:row r="16">
      <x:c r="A16" s="9" t="str">
        <x:v>PX012</x:v>
      </x:c>
      <x:c r="B16" s="9" t="str">
        <x:v>牛奶保久乳</x:v>
      </x:c>
      <x:c r="C16" s="9" t="str">
        <x:v>飲品類</x:v>
      </x:c>
      <x:c r="D16" s="9" t="n">
        <x:v>70</x:v>
      </x:c>
      <x:c r="E16" s="9" t="n">
        <x:v>42</x:v>
      </x:c>
      <x:c r="F16" s="9" t="str">
        <x:v>中</x:v>
      </x:c>
      <x:c r="G16" s="9" t="str">
        <x:v>重</x:v>
      </x:c>
      <x:c r="H16" s="9" t="str">
        <x:v>是</x:v>
      </x:c>
      <x:c r="I16" s="9" t="str">
        <x:v>否</x:v>
      </x:c>
      <x:c r="J16" s="9" t="str">
        <x:v>否</x:v>
      </x:c>
      <x:c r="K16" s="9" t="str">
        <x:v>K區</x:v>
      </x:c>
      <x:c r="L16" s="9" t="n">
        <x:v>30</x:v>
      </x:c>
      <x:c r="M16" s="9" t="str">
        <x:v>Cluster 3</x:v>
      </x:c>
      <x:c r="N16" s="9" t="str">
        <x:v>#27AE60</x:v>
      </x:c>
      <x:c r="O16" s="9" t="str">
        <x:v>高頻重物或液體商品</x:v>
      </x:c>
      <x:c r="P16" s="9" t="str">
        <x:v>近端低層棧板區</x:v>
      </x:c>
      <x:c r="Q16" s="9" t="str">
        <x:v>箱裝重物</x:v>
      </x:c>
      <x:c r="R16" s="9" t="n">
        <x:f>IF(F16="小",1,IF(F16="中",2,IF(F16="大",3,0)))</x:f>
        <x:v>2</x:v>
      </x:c>
      <x:c r="S16" s="9" t="n">
        <x:f>IF(G16="輕",1,IF(G16="中",2,IF(G16="重",3,0)))</x:f>
        <x:v>3</x:v>
      </x:c>
      <x:c r="T16" s="9" t="n">
        <x:f>IF(H16="是",1,0)</x:f>
        <x:v>1</x:v>
      </x:c>
      <x:c r="U16" s="9" t="n">
        <x:f>IF(I16="是",1,0)</x:f>
        <x:v>0</x:v>
      </x:c>
      <x:c r="V16" s="9" t="n">
        <x:f>IF(J16="是",1,0)</x:f>
        <x:v>0</x:v>
      </x:c>
      <x:c r="W16" s="9" t="n">
        <x:v>1.183695083194346</x:v>
      </x:c>
      <x:c r="X16" s="9" t="n">
        <x:v>-0.5726153426597302</x:v>
      </x:c>
      <x:c r="Y16" s="9" t="str">
        <x:v>Train</x:v>
      </x:c>
      <x:c r="Z16" s="9" t="str">
        <x:v>已分群</x:v>
      </x:c>
    </x:row>
    <x:row r="17">
      <x:c r="A17" s="9" t="str">
        <x:v>PX013</x:v>
      </x:c>
      <x:c r="B17" s="9" t="str">
        <x:v>沐浴乳</x:v>
      </x:c>
      <x:c r="C17" s="9" t="str">
        <x:v>日用品</x:v>
      </x:c>
      <x:c r="D17" s="9" t="n">
        <x:v>58</x:v>
      </x:c>
      <x:c r="E17" s="9" t="n">
        <x:v>36</x:v>
      </x:c>
      <x:c r="F17" s="9" t="str">
        <x:v>小</x:v>
      </x:c>
      <x:c r="G17" s="9" t="str">
        <x:v>中</x:v>
      </x:c>
      <x:c r="H17" s="9" t="str">
        <x:v>是</x:v>
      </x:c>
      <x:c r="I17" s="9" t="str">
        <x:v>否</x:v>
      </x:c>
      <x:c r="J17" s="9" t="str">
        <x:v>否</x:v>
      </x:c>
      <x:c r="K17" s="9" t="str">
        <x:v>1區</x:v>
      </x:c>
      <x:c r="L17" s="9" t="n">
        <x:v>28</x:v>
      </x:c>
      <x:c r="M17" s="9" t="str">
        <x:v>Cluster 5</x:v>
      </x:c>
      <x:c r="N17" s="9" t="str">
        <x:v>#E74C3C</x:v>
      </x:c>
      <x:c r="O17" s="9" t="str">
        <x:v>中頻一般或補貨商品</x:v>
      </x:c>
      <x:c r="P17" s="9" t="str">
        <x:v>中段一般儲位</x:v>
      </x:c>
      <x:c r="Q17" s="9" t="str">
        <x:v>液體商品</x:v>
      </x:c>
      <x:c r="R17" s="9" t="n">
        <x:f>IF(F17="小",1,IF(F17="中",2,IF(F17="大",3,0)))</x:f>
        <x:v>1</x:v>
      </x:c>
      <x:c r="S17" s="9" t="n">
        <x:f>IF(G17="輕",1,IF(G17="中",2,IF(G17="重",3,0)))</x:f>
        <x:v>2</x:v>
      </x:c>
      <x:c r="T17" s="9" t="n">
        <x:f>IF(H17="是",1,0)</x:f>
        <x:v>1</x:v>
      </x:c>
      <x:c r="U17" s="9" t="n">
        <x:f>IF(I17="是",1,0)</x:f>
        <x:v>0</x:v>
      </x:c>
      <x:c r="V17" s="9" t="n">
        <x:f>IF(J17="是",1,0)</x:f>
        <x:v>0</x:v>
      </x:c>
      <x:c r="W17" s="9" t="n">
        <x:v>0.04481150707846556</x:v>
      </x:c>
      <x:c r="X17" s="9" t="n">
        <x:v>-1.403743248747987</x:v>
      </x:c>
      <x:c r="Y17" s="9" t="str">
        <x:v>Train</x:v>
      </x:c>
      <x:c r="Z17" s="9" t="str">
        <x:v>已分群</x:v>
      </x:c>
    </x:row>
    <x:row r="18">
      <x:c r="A18" s="9" t="str">
        <x:v>PX014</x:v>
      </x:c>
      <x:c r="B18" s="9" t="str">
        <x:v>洗髮精</x:v>
      </x:c>
      <x:c r="C18" s="9" t="str">
        <x:v>日用品</x:v>
      </x:c>
      <x:c r="D18" s="9" t="n">
        <x:v>52</x:v>
      </x:c>
      <x:c r="E18" s="9" t="n">
        <x:v>32</x:v>
      </x:c>
      <x:c r="F18" s="9" t="str">
        <x:v>小</x:v>
      </x:c>
      <x:c r="G18" s="9" t="str">
        <x:v>中</x:v>
      </x:c>
      <x:c r="H18" s="9" t="str">
        <x:v>是</x:v>
      </x:c>
      <x:c r="I18" s="9" t="str">
        <x:v>否</x:v>
      </x:c>
      <x:c r="J18" s="9" t="str">
        <x:v>否</x:v>
      </x:c>
      <x:c r="K18" s="9" t="str">
        <x:v>1區</x:v>
      </x:c>
      <x:c r="L18" s="9" t="n">
        <x:v>27</x:v>
      </x:c>
      <x:c r="M18" s="9" t="str">
        <x:v>Cluster 5</x:v>
      </x:c>
      <x:c r="N18" s="9" t="str">
        <x:v>#E74C3C</x:v>
      </x:c>
      <x:c r="O18" s="9" t="str">
        <x:v>中頻一般或補貨商品</x:v>
      </x:c>
      <x:c r="P18" s="9" t="str">
        <x:v>中段一般儲位</x:v>
      </x:c>
      <x:c r="Q18" s="9" t="str">
        <x:v>液體商品</x:v>
      </x:c>
      <x:c r="R18" s="9" t="n">
        <x:f>IF(F18="小",1,IF(F18="中",2,IF(F18="大",3,0)))</x:f>
        <x:v>1</x:v>
      </x:c>
      <x:c r="S18" s="9" t="n">
        <x:f>IF(G18="輕",1,IF(G18="中",2,IF(G18="重",3,0)))</x:f>
        <x:v>2</x:v>
      </x:c>
      <x:c r="T18" s="9" t="n">
        <x:f>IF(H18="是",1,0)</x:f>
        <x:v>1</x:v>
      </x:c>
      <x:c r="U18" s="9" t="n">
        <x:f>IF(I18="是",1,0)</x:f>
        <x:v>0</x:v>
      </x:c>
      <x:c r="V18" s="9" t="n">
        <x:f>IF(J18="是",1,0)</x:f>
        <x:v>0</x:v>
      </x:c>
      <x:c r="W18" s="9" t="n">
        <x:v>-0.09767234822315365</x:v>
      </x:c>
      <x:c r="X18" s="9" t="n">
        <x:v>-1.438925128147229</x:v>
      </x:c>
      <x:c r="Y18" s="9" t="str">
        <x:v>Train</x:v>
      </x:c>
      <x:c r="Z18" s="9" t="str">
        <x:v>已分群</x:v>
      </x:c>
    </x:row>
    <x:row r="19">
      <x:c r="A19" s="9" t="str">
        <x:v>PX015</x:v>
      </x:c>
      <x:c r="B19" s="9" t="str">
        <x:v>洗碗精</x:v>
      </x:c>
      <x:c r="C19" s="9" t="str">
        <x:v>清潔用品</x:v>
      </x:c>
      <x:c r="D19" s="9" t="n">
        <x:v>48</x:v>
      </x:c>
      <x:c r="E19" s="9" t="n">
        <x:v>30</x:v>
      </x:c>
      <x:c r="F19" s="9" t="str">
        <x:v>小</x:v>
      </x:c>
      <x:c r="G19" s="9" t="str">
        <x:v>中</x:v>
      </x:c>
      <x:c r="H19" s="9" t="str">
        <x:v>是</x:v>
      </x:c>
      <x:c r="I19" s="9" t="str">
        <x:v>否</x:v>
      </x:c>
      <x:c r="J19" s="9" t="str">
        <x:v>否</x:v>
      </x:c>
      <x:c r="K19" s="9" t="str">
        <x:v>A區</x:v>
      </x:c>
      <x:c r="L19" s="9" t="n">
        <x:v>25</x:v>
      </x:c>
      <x:c r="M19" s="9" t="str">
        <x:v>Cluster 5</x:v>
      </x:c>
      <x:c r="N19" s="9" t="str">
        <x:v>#E74C3C</x:v>
      </x:c>
      <x:c r="O19" s="9" t="str">
        <x:v>中頻一般或補貨商品</x:v>
      </x:c>
      <x:c r="P19" s="9" t="str">
        <x:v>中段一般儲位</x:v>
      </x:c>
      <x:c r="Q19" s="9" t="str">
        <x:v>液體、清潔用品</x:v>
      </x:c>
      <x:c r="R19" s="9" t="n">
        <x:f>IF(F19="小",1,IF(F19="中",2,IF(F19="大",3,0)))</x:f>
        <x:v>1</x:v>
      </x:c>
      <x:c r="S19" s="9" t="n">
        <x:f>IF(G19="輕",1,IF(G19="中",2,IF(G19="重",3,0)))</x:f>
        <x:v>2</x:v>
      </x:c>
      <x:c r="T19" s="9" t="n">
        <x:f>IF(H19="是",1,0)</x:f>
        <x:v>1</x:v>
      </x:c>
      <x:c r="U19" s="9" t="n">
        <x:f>IF(I19="是",1,0)</x:f>
        <x:v>0</x:v>
      </x:c>
      <x:c r="V19" s="9" t="n">
        <x:f>IF(J19="是",1,0)</x:f>
        <x:v>0</x:v>
      </x:c>
      <x:c r="W19" s="9" t="n">
        <x:v>-0.1899799776771622</x:v>
      </x:c>
      <x:c r="X19" s="9" t="n">
        <x:v>-1.528793252015824</x:v>
      </x:c>
      <x:c r="Y19" s="9" t="str">
        <x:v>Train</x:v>
      </x:c>
      <x:c r="Z19" s="9" t="str">
        <x:v>已分群</x:v>
      </x:c>
    </x:row>
    <x:row r="20">
      <x:c r="A20" s="9" t="str">
        <x:v>PX016</x:v>
      </x:c>
      <x:c r="B20" s="9" t="str">
        <x:v>牙膏組</x:v>
      </x:c>
      <x:c r="C20" s="9" t="str">
        <x:v>日用品</x:v>
      </x:c>
      <x:c r="D20" s="9" t="n">
        <x:v>42</x:v>
      </x:c>
      <x:c r="E20" s="9" t="n">
        <x:v>26</x:v>
      </x:c>
      <x:c r="F20" s="9" t="str">
        <x:v>小</x:v>
      </x:c>
      <x:c r="G20" s="9" t="str">
        <x:v>輕</x:v>
      </x:c>
      <x:c r="H20" s="9" t="str">
        <x:v>否</x:v>
      </x:c>
      <x:c r="I20" s="9" t="str">
        <x:v>否</x:v>
      </x:c>
      <x:c r="J20" s="9" t="str">
        <x:v>否</x:v>
      </x:c>
      <x:c r="K20" s="9" t="str">
        <x:v>A區</x:v>
      </x:c>
      <x:c r="L20" s="9" t="n">
        <x:v>22</x:v>
      </x:c>
      <x:c r="M20" s="9" t="str">
        <x:v>Cluster 5</x:v>
      </x:c>
      <x:c r="N20" s="9" t="str">
        <x:v>#E74C3C</x:v>
      </x:c>
      <x:c r="O20" s="9" t="str">
        <x:v>中頻一般或補貨商品</x:v>
      </x:c>
      <x:c r="P20" s="9" t="str">
        <x:v>中段一般儲位</x:v>
      </x:c>
      <x:c r="Q20" s="9" t="str">
        <x:v>小品項</x:v>
      </x:c>
      <x:c r="R20" s="9" t="n">
        <x:f>IF(F20="小",1,IF(F20="中",2,IF(F20="大",3,0)))</x:f>
        <x:v>1</x:v>
      </x:c>
      <x:c r="S20" s="9" t="n">
        <x:f>IF(G20="輕",1,IF(G20="中",2,IF(G20="重",3,0)))</x:f>
        <x:v>1</x:v>
      </x:c>
      <x:c r="T20" s="9" t="n">
        <x:f>IF(H20="是",1,0)</x:f>
        <x:v>0</x:v>
      </x:c>
      <x:c r="U20" s="9" t="n">
        <x:f>IF(I20="是",1,0)</x:f>
        <x:v>0</x:v>
      </x:c>
      <x:c r="V20" s="9" t="n">
        <x:f>IF(J20="是",1,0)</x:f>
        <x:v>0</x:v>
      </x:c>
      <x:c r="W20" s="9" t="n">
        <x:v>-1.461474869114145</x:v>
      </x:c>
      <x:c r="X20" s="9" t="n">
        <x:v>-1.867723437976611</x:v>
      </x:c>
      <x:c r="Y20" s="9" t="str">
        <x:v>Train</x:v>
      </x:c>
      <x:c r="Z20" s="9" t="str">
        <x:v>已分群</x:v>
      </x:c>
    </x:row>
    <x:row r="21">
      <x:c r="A21" s="9" t="str">
        <x:v>PX017</x:v>
      </x:c>
      <x:c r="B21" s="9" t="str">
        <x:v>牙刷組</x:v>
      </x:c>
      <x:c r="C21" s="9" t="str">
        <x:v>日用品</x:v>
      </x:c>
      <x:c r="D21" s="9" t="n">
        <x:v>38</x:v>
      </x:c>
      <x:c r="E21" s="9" t="n">
        <x:v>24</x:v>
      </x:c>
      <x:c r="F21" s="9" t="str">
        <x:v>小</x:v>
      </x:c>
      <x:c r="G21" s="9" t="str">
        <x:v>輕</x:v>
      </x:c>
      <x:c r="H21" s="9" t="str">
        <x:v>否</x:v>
      </x:c>
      <x:c r="I21" s="9" t="str">
        <x:v>否</x:v>
      </x:c>
      <x:c r="J21" s="9" t="str">
        <x:v>否</x:v>
      </x:c>
      <x:c r="K21" s="9" t="str">
        <x:v>1區</x:v>
      </x:c>
      <x:c r="L21" s="9" t="n">
        <x:v>20</x:v>
      </x:c>
      <x:c r="M21" s="9" t="str">
        <x:v>Cluster 5</x:v>
      </x:c>
      <x:c r="N21" s="9" t="str">
        <x:v>#E74C3C</x:v>
      </x:c>
      <x:c r="O21" s="9" t="str">
        <x:v>中頻一般或補貨商品</x:v>
      </x:c>
      <x:c r="P21" s="9" t="str">
        <x:v>中段一般儲位</x:v>
      </x:c>
      <x:c r="Q21" s="9" t="str">
        <x:v>小品項</x:v>
      </x:c>
      <x:c r="R21" s="9" t="n">
        <x:f>IF(F21="小",1,IF(F21="中",2,IF(F21="大",3,0)))</x:f>
        <x:v>1</x:v>
      </x:c>
      <x:c r="S21" s="9" t="n">
        <x:f>IF(G21="輕",1,IF(G21="中",2,IF(G21="重",3,0)))</x:f>
        <x:v>1</x:v>
      </x:c>
      <x:c r="T21" s="9" t="n">
        <x:f>IF(H21="是",1,0)</x:f>
        <x:v>0</x:v>
      </x:c>
      <x:c r="U21" s="9" t="n">
        <x:f>IF(I21="是",1,0)</x:f>
        <x:v>0</x:v>
      </x:c>
      <x:c r="V21" s="9" t="n">
        <x:f>IF(J21="是",1,0)</x:f>
        <x:v>0</x:v>
      </x:c>
      <x:c r="W21" s="9" t="n">
        <x:v>-1.553782498568153</x:v>
      </x:c>
      <x:c r="X21" s="9" t="n">
        <x:v>-1.957591561845207</x:v>
      </x:c>
      <x:c r="Y21" s="9" t="str">
        <x:v>Train</x:v>
      </x:c>
      <x:c r="Z21" s="9" t="str">
        <x:v>已分群</x:v>
      </x:c>
    </x:row>
    <x:row r="22">
      <x:c r="A22" s="9" t="str">
        <x:v>PX018</x:v>
      </x:c>
      <x:c r="B22" s="9" t="str">
        <x:v>垃圾袋</x:v>
      </x:c>
      <x:c r="C22" s="9" t="str">
        <x:v>日用品</x:v>
      </x:c>
      <x:c r="D22" s="9" t="n">
        <x:v>34</x:v>
      </x:c>
      <x:c r="E22" s="9" t="n">
        <x:v>22</x:v>
      </x:c>
      <x:c r="F22" s="9" t="str">
        <x:v>小</x:v>
      </x:c>
      <x:c r="G22" s="9" t="str">
        <x:v>輕</x:v>
      </x:c>
      <x:c r="H22" s="9" t="str">
        <x:v>否</x:v>
      </x:c>
      <x:c r="I22" s="9" t="str">
        <x:v>否</x:v>
      </x:c>
      <x:c r="J22" s="9" t="str">
        <x:v>否</x:v>
      </x:c>
      <x:c r="K22" s="9" t="str">
        <x:v>1區</x:v>
      </x:c>
      <x:c r="L22" s="9" t="n">
        <x:v>18</x:v>
      </x:c>
      <x:c r="M22" s="9" t="str">
        <x:v>Cluster 5</x:v>
      </x:c>
      <x:c r="N22" s="9" t="str">
        <x:v>#E74C3C</x:v>
      </x:c>
      <x:c r="O22" s="9" t="str">
        <x:v>中頻一般或補貨商品</x:v>
      </x:c>
      <x:c r="P22" s="9" t="str">
        <x:v>中段一般儲位</x:v>
      </x:c>
      <x:c r="Q22" s="9" t="str">
        <x:v>低重量</x:v>
      </x:c>
      <x:c r="R22" s="9" t="n">
        <x:f>IF(F22="小",1,IF(F22="中",2,IF(F22="大",3,0)))</x:f>
        <x:v>1</x:v>
      </x:c>
      <x:c r="S22" s="9" t="n">
        <x:f>IF(G22="輕",1,IF(G22="中",2,IF(G22="重",3,0)))</x:f>
        <x:v>1</x:v>
      </x:c>
      <x:c r="T22" s="9" t="n">
        <x:f>IF(H22="是",1,0)</x:f>
        <x:v>0</x:v>
      </x:c>
      <x:c r="U22" s="9" t="n">
        <x:f>IF(I22="是",1,0)</x:f>
        <x:v>0</x:v>
      </x:c>
      <x:c r="V22" s="9" t="n">
        <x:f>IF(J22="是",1,0)</x:f>
        <x:v>0</x:v>
      </x:c>
      <x:c r="W22" s="9" t="n">
        <x:v>-1.646090128022162</x:v>
      </x:c>
      <x:c r="X22" s="9" t="n">
        <x:v>-2.047459685713802</x:v>
      </x:c>
      <x:c r="Y22" s="9" t="str">
        <x:v>Train</x:v>
      </x:c>
      <x:c r="Z22" s="9" t="str">
        <x:v>已分群</x:v>
      </x:c>
    </x:row>
    <x:row r="23">
      <x:c r="A23" s="9" t="str">
        <x:v>PX019</x:v>
      </x:c>
      <x:c r="B23" s="9" t="str">
        <x:v>調味醬油</x:v>
      </x:c>
      <x:c r="C23" s="9" t="str">
        <x:v>食品類</x:v>
      </x:c>
      <x:c r="D23" s="9" t="n">
        <x:v>30</x:v>
      </x:c>
      <x:c r="E23" s="9" t="n">
        <x:v>20</x:v>
      </x:c>
      <x:c r="F23" s="9" t="str">
        <x:v>小</x:v>
      </x:c>
      <x:c r="G23" s="9" t="str">
        <x:v>中</x:v>
      </x:c>
      <x:c r="H23" s="9" t="str">
        <x:v>是</x:v>
      </x:c>
      <x:c r="I23" s="9" t="str">
        <x:v>是</x:v>
      </x:c>
      <x:c r="J23" s="9" t="str">
        <x:v>否</x:v>
      </x:c>
      <x:c r="K23" s="9" t="str">
        <x:v>K區</x:v>
      </x:c>
      <x:c r="L23" s="9" t="n">
        <x:v>45</x:v>
      </x:c>
      <x:c r="M23" s="9" t="str">
        <x:v>Cluster 1</x:v>
      </x:c>
      <x:c r="N23" s="9" t="str">
        <x:v>#2E86DE</x:v>
      </x:c>
      <x:c r="O23" s="9" t="str">
        <x:v>中頻一般或補貨商品</x:v>
      </x:c>
      <x:c r="P23" s="9" t="str">
        <x:v>中段一般儲位</x:v>
      </x:c>
      <x:c r="Q23" s="9" t="str">
        <x:v>液體、易破</x:v>
      </x:c>
      <x:c r="R23" s="9" t="n">
        <x:f>IF(F23="小",1,IF(F23="中",2,IF(F23="大",3,0)))</x:f>
        <x:v>1</x:v>
      </x:c>
      <x:c r="S23" s="9" t="n">
        <x:f>IF(G23="輕",1,IF(G23="中",2,IF(G23="重",3,0)))</x:f>
        <x:v>2</x:v>
      </x:c>
      <x:c r="T23" s="9" t="n">
        <x:f>IF(H23="是",1,0)</x:f>
        <x:v>1</x:v>
      </x:c>
      <x:c r="U23" s="9" t="n">
        <x:f>IF(I23="是",1,0)</x:f>
        <x:v>1</x:v>
      </x:c>
      <x:c r="V23" s="9" t="n">
        <x:f>IF(J23="是",1,0)</x:f>
        <x:v>0</x:v>
      </x:c>
      <x:c r="W23" s="9" t="n">
        <x:v>-0.8303412806691641</x:v>
      </x:c>
      <x:c r="X23" s="9" t="n">
        <x:v>0.6547643494997964</x:v>
      </x:c>
      <x:c r="Y23" s="9" t="str">
        <x:v>Train</x:v>
      </x:c>
      <x:c r="Z23" s="9" t="str">
        <x:v>已分群</x:v>
      </x:c>
    </x:row>
    <x:row r="24">
      <x:c r="A24" s="9" t="str">
        <x:v>PX020</x:v>
      </x:c>
      <x:c r="B24" s="9" t="str">
        <x:v>食用油</x:v>
      </x:c>
      <x:c r="C24" s="9" t="str">
        <x:v>食品類</x:v>
      </x:c>
      <x:c r="D24" s="9" t="n">
        <x:v>28</x:v>
      </x:c>
      <x:c r="E24" s="9" t="n">
        <x:v>18</x:v>
      </x:c>
      <x:c r="F24" s="9" t="str">
        <x:v>中</x:v>
      </x:c>
      <x:c r="G24" s="9" t="str">
        <x:v>重</x:v>
      </x:c>
      <x:c r="H24" s="9" t="str">
        <x:v>是</x:v>
      </x:c>
      <x:c r="I24" s="9" t="str">
        <x:v>是</x:v>
      </x:c>
      <x:c r="J24" s="9" t="str">
        <x:v>否</x:v>
      </x:c>
      <x:c r="K24" s="9" t="str">
        <x:v>K區</x:v>
      </x:c>
      <x:c r="L24" s="9" t="n">
        <x:v>48</x:v>
      </x:c>
      <x:c r="M24" s="9" t="str">
        <x:v>Cluster 1</x:v>
      </x:c>
      <x:c r="N24" s="9" t="str">
        <x:v>#2E86DE</x:v>
      </x:c>
      <x:c r="O24" s="9" t="str">
        <x:v>中頻一般或補貨商品</x:v>
      </x:c>
      <x:c r="P24" s="9" t="str">
        <x:v>中段一般儲位</x:v>
      </x:c>
      <x:c r="Q24" s="9" t="str">
        <x:v>液體、重物</x:v>
      </x:c>
      <x:c r="R24" s="9" t="n">
        <x:f>IF(F24="小",1,IF(F24="中",2,IF(F24="大",3,0)))</x:f>
        <x:v>2</x:v>
      </x:c>
      <x:c r="S24" s="9" t="n">
        <x:f>IF(G24="輕",1,IF(G24="中",2,IF(G24="重",3,0)))</x:f>
        <x:v>3</x:v>
      </x:c>
      <x:c r="T24" s="9" t="n">
        <x:f>IF(H24="是",1,0)</x:f>
        <x:v>1</x:v>
      </x:c>
      <x:c r="U24" s="9" t="n">
        <x:f>IF(I24="是",1,0)</x:f>
        <x:v>1</x:v>
      </x:c>
      <x:c r="V24" s="9" t="n">
        <x:f>IF(J24="是",1,0)</x:f>
        <x:v>0</x:v>
      </x:c>
      <x:c r="W24" s="9" t="n">
        <x:v>0.02890601751425073</x:v>
      </x:c>
      <x:c r="X24" s="9" t="n">
        <x:v>1.56223834342315</x:v>
      </x:c>
      <x:c r="Y24" s="9" t="str">
        <x:v>Train</x:v>
      </x:c>
      <x:c r="Z24" s="9" t="str">
        <x:v>已分群</x:v>
      </x:c>
    </x:row>
    <x:row r="25">
      <x:c r="A25" s="9" t="str">
        <x:v>PX021</x:v>
      </x:c>
      <x:c r="B25" s="9" t="str">
        <x:v>季節禮盒</x:v>
      </x:c>
      <x:c r="C25" s="9" t="str">
        <x:v>季節商品</x:v>
      </x:c>
      <x:c r="D25" s="9" t="n">
        <x:v>22</x:v>
      </x:c>
      <x:c r="E25" s="9" t="n">
        <x:v>14</x:v>
      </x:c>
      <x:c r="F25" s="9" t="str">
        <x:v>大</x:v>
      </x:c>
      <x:c r="G25" s="9" t="str">
        <x:v>中</x:v>
      </x:c>
      <x:c r="H25" s="9" t="str">
        <x:v>否</x:v>
      </x:c>
      <x:c r="I25" s="9" t="str">
        <x:v>是</x:v>
      </x:c>
      <x:c r="J25" s="9" t="str">
        <x:v>是</x:v>
      </x:c>
      <x:c r="K25" s="9" t="str">
        <x:v>A區</x:v>
      </x:c>
      <x:c r="L25" s="9" t="n">
        <x:v>50</x:v>
      </x:c>
      <x:c r="M25" s="9" t="str">
        <x:v>Cluster 4</x:v>
      </x:c>
      <x:c r="N25" s="9" t="str">
        <x:v>#8E44AD</x:v>
      </x:c>
      <x:c r="O25" s="9" t="str">
        <x:v>低頻季節性商品</x:v>
      </x:c>
      <x:c r="P25" s="9" t="str">
        <x:v>遠端彈性儲位</x:v>
      </x:c>
      <x:c r="Q25" s="9" t="str">
        <x:v>季節性、易壓</x:v>
      </x:c>
      <x:c r="R25" s="9" t="n">
        <x:f>IF(F25="小",1,IF(F25="中",2,IF(F25="大",3,0)))</x:f>
        <x:v>3</x:v>
      </x:c>
      <x:c r="S25" s="9" t="n">
        <x:f>IF(G25="輕",1,IF(G25="中",2,IF(G25="重",3,0)))</x:f>
        <x:v>2</x:v>
      </x:c>
      <x:c r="T25" s="9" t="n">
        <x:f>IF(H25="是",1,0)</x:f>
        <x:v>0</x:v>
      </x:c>
      <x:c r="U25" s="9" t="n">
        <x:f>IF(I25="是",1,0)</x:f>
        <x:v>1</x:v>
      </x:c>
      <x:c r="V25" s="9" t="n">
        <x:f>IF(J25="是",1,0)</x:f>
        <x:v>1</x:v>
      </x:c>
      <x:c r="W25" s="9" t="n">
        <x:v>-1.660543218125534</x:v>
      </x:c>
      <x:c r="X25" s="9" t="n">
        <x:v>3.580070606367266</x:v>
      </x:c>
      <x:c r="Y25" s="9" t="str">
        <x:v>Train</x:v>
      </x:c>
      <x:c r="Z25" s="9" t="str">
        <x:v>已分群</x:v>
      </x:c>
    </x:row>
    <x:row r="26">
      <x:c r="A26" s="9" t="str">
        <x:v>PX022</x:v>
      </x:c>
      <x:c r="B26" s="9" t="str">
        <x:v>防蚊用品</x:v>
      </x:c>
      <x:c r="C26" s="9" t="str">
        <x:v>季節商品</x:v>
      </x:c>
      <x:c r="D26" s="9" t="n">
        <x:v>18</x:v>
      </x:c>
      <x:c r="E26" s="9" t="n">
        <x:v>12</x:v>
      </x:c>
      <x:c r="F26" s="9" t="str">
        <x:v>小</x:v>
      </x:c>
      <x:c r="G26" s="9" t="str">
        <x:v>輕</x:v>
      </x:c>
      <x:c r="H26" s="9" t="str">
        <x:v>否</x:v>
      </x:c>
      <x:c r="I26" s="9" t="str">
        <x:v>否</x:v>
      </x:c>
      <x:c r="J26" s="9" t="str">
        <x:v>是</x:v>
      </x:c>
      <x:c r="K26" s="9" t="str">
        <x:v>1區</x:v>
      </x:c>
      <x:c r="L26" s="9" t="n">
        <x:v>52</x:v>
      </x:c>
      <x:c r="M26" s="9" t="str">
        <x:v>Cluster 4</x:v>
      </x:c>
      <x:c r="N26" s="9" t="str">
        <x:v>#8E44AD</x:v>
      </x:c>
      <x:c r="O26" s="9" t="str">
        <x:v>低頻季節性商品</x:v>
      </x:c>
      <x:c r="P26" s="9" t="str">
        <x:v>遠端彈性儲位</x:v>
      </x:c>
      <x:c r="Q26" s="9" t="str">
        <x:v>季節性</x:v>
      </x:c>
      <x:c r="R26" s="9" t="n">
        <x:f>IF(F26="小",1,IF(F26="中",2,IF(F26="大",3,0)))</x:f>
        <x:v>1</x:v>
      </x:c>
      <x:c r="S26" s="9" t="n">
        <x:f>IF(G26="輕",1,IF(G26="中",2,IF(G26="重",3,0)))</x:f>
        <x:v>1</x:v>
      </x:c>
      <x:c r="T26" s="9" t="n">
        <x:f>IF(H26="是",1,0)</x:f>
        <x:v>0</x:v>
      </x:c>
      <x:c r="U26" s="9" t="n">
        <x:f>IF(I26="是",1,0)</x:f>
        <x:v>0</x:v>
      </x:c>
      <x:c r="V26" s="9" t="n">
        <x:f>IF(J26="是",1,0)</x:f>
        <x:v>1</x:v>
      </x:c>
      <x:c r="W26" s="9" t="n">
        <x:v>-2.542475832484227</x:v>
      </x:c>
      <x:c r="X26" s="9" t="n">
        <x:v>1.214629556191007</x:v>
      </x:c>
      <x:c r="Y26" s="9" t="str">
        <x:v>Train</x:v>
      </x:c>
      <x:c r="Z26" s="9" t="str">
        <x:v>已分群</x:v>
      </x:c>
    </x:row>
    <x:row r="27">
      <x:c r="A27" s="9" t="str">
        <x:v>PX023</x:v>
      </x:c>
      <x:c r="B27" s="9" t="str">
        <x:v>保鮮盒</x:v>
      </x:c>
      <x:c r="C27" s="9" t="str">
        <x:v>家用品</x:v>
      </x:c>
      <x:c r="D27" s="9" t="n">
        <x:v>15</x:v>
      </x:c>
      <x:c r="E27" s="9" t="n">
        <x:v>10</x:v>
      </x:c>
      <x:c r="F27" s="9" t="str">
        <x:v>中</x:v>
      </x:c>
      <x:c r="G27" s="9" t="str">
        <x:v>輕</x:v>
      </x:c>
      <x:c r="H27" s="9" t="str">
        <x:v>否</x:v>
      </x:c>
      <x:c r="I27" s="9" t="str">
        <x:v>否</x:v>
      </x:c>
      <x:c r="J27" s="9" t="str">
        <x:v>否</x:v>
      </x:c>
      <x:c r="K27" s="9" t="str">
        <x:v>A區</x:v>
      </x:c>
      <x:c r="L27" s="9" t="n">
        <x:v>55</x:v>
      </x:c>
      <x:c r="M27" s="9" t="str">
        <x:v>Cluster 2</x:v>
      </x:c>
      <x:c r="N27" s="9" t="str">
        <x:v>#F39C12</x:v>
      </x:c>
      <x:c r="O27" s="9" t="str">
        <x:v>中頻一般或補貨商品</x:v>
      </x:c>
      <x:c r="P27" s="9" t="str">
        <x:v>中段一般儲位</x:v>
      </x:c>
      <x:c r="Q27" s="9" t="str">
        <x:v>低頻</x:v>
      </x:c>
      <x:c r="R27" s="9" t="n">
        <x:f>IF(F27="小",1,IF(F27="中",2,IF(F27="大",3,0)))</x:f>
        <x:v>2</x:v>
      </x:c>
      <x:c r="S27" s="9" t="n">
        <x:f>IF(G27="輕",1,IF(G27="中",2,IF(G27="重",3,0)))</x:f>
        <x:v>1</x:v>
      </x:c>
      <x:c r="T27" s="9" t="n">
        <x:f>IF(H27="是",1,0)</x:f>
        <x:v>0</x:v>
      </x:c>
      <x:c r="U27" s="9" t="n">
        <x:f>IF(I27="是",1,0)</x:f>
        <x:v>0</x:v>
      </x:c>
      <x:c r="V27" s="9" t="n">
        <x:f>IF(J27="是",1,0)</x:f>
        <x:v>0</x:v>
      </x:c>
      <x:c r="W27" s="9" t="n">
        <x:v>-1.404121158420007</x:v>
      </x:c>
      <x:c r="X27" s="9" t="n">
        <x:v>0.3256894854823316</x:v>
      </x:c>
      <x:c r="Y27" s="9" t="str">
        <x:v>Train</x:v>
      </x:c>
      <x:c r="Z27" s="9" t="str">
        <x:v>已分群</x:v>
      </x:c>
    </x:row>
    <x:row r="28">
      <x:c r="A28" s="9" t="str">
        <x:v>PX024</x:v>
      </x:c>
      <x:c r="B28" s="9" t="str">
        <x:v>收納箱</x:v>
      </x:c>
      <x:c r="C28" s="9" t="str">
        <x:v>家用品</x:v>
      </x:c>
      <x:c r="D28" s="9" t="n">
        <x:v>12</x:v>
      </x:c>
      <x:c r="E28" s="9" t="n">
        <x:v>8</x:v>
      </x:c>
      <x:c r="F28" s="9" t="str">
        <x:v>大</x:v>
      </x:c>
      <x:c r="G28" s="9" t="str">
        <x:v>輕</x:v>
      </x:c>
      <x:c r="H28" s="9" t="str">
        <x:v>否</x:v>
      </x:c>
      <x:c r="I28" s="9" t="str">
        <x:v>否</x:v>
      </x:c>
      <x:c r="J28" s="9" t="str">
        <x:v>否</x:v>
      </x:c>
      <x:c r="K28" s="9" t="str">
        <x:v>A區</x:v>
      </x:c>
      <x:c r="L28" s="9" t="n">
        <x:v>58</x:v>
      </x:c>
      <x:c r="M28" s="9" t="str">
        <x:v>Cluster 2</x:v>
      </x:c>
      <x:c r="N28" s="9" t="str">
        <x:v>#F39C12</x:v>
      </x:c>
      <x:c r="O28" s="9" t="str">
        <x:v>中頻一般或補貨商品</x:v>
      </x:c>
      <x:c r="P28" s="9" t="str">
        <x:v>中段一般儲位</x:v>
      </x:c>
      <x:c r="Q28" s="9" t="str">
        <x:v>低頻、占空間</x:v>
      </x:c>
      <x:c r="R28" s="9" t="n">
        <x:f>IF(F28="小",1,IF(F28="中",2,IF(F28="大",3,0)))</x:f>
        <x:v>3</x:v>
      </x:c>
      <x:c r="S28" s="9" t="n">
        <x:f>IF(G28="輕",1,IF(G28="中",2,IF(G28="重",3,0)))</x:f>
        <x:v>1</x:v>
      </x:c>
      <x:c r="T28" s="9" t="n">
        <x:f>IF(H28="是",1,0)</x:f>
        <x:v>0</x:v>
      </x:c>
      <x:c r="U28" s="9" t="n">
        <x:f>IF(I28="是",1,0)</x:f>
        <x:v>0</x:v>
      </x:c>
      <x:c r="V28" s="9" t="n">
        <x:f>IF(J28="是",1,0)</x:f>
        <x:v>0</x:v>
      </x:c>
      <x:c r="W28" s="9" t="n">
        <x:v>-1.085474811849348</x:v>
      </x:c>
      <x:c r="X28" s="9" t="n">
        <x:v>1.014397177859194</x:v>
      </x:c>
      <x:c r="Y28" s="9" t="str">
        <x:v>Train</x:v>
      </x:c>
      <x:c r="Z28" s="9" t="str">
        <x:v>已分群</x:v>
      </x:c>
    </x:row>
    <x:row r="29">
      <x:c r="A29" s="9" t="str">
        <x:v>PX025</x:v>
      </x:c>
      <x:c r="B29" s="9" t="str">
        <x:v>備用耗材</x:v>
      </x:c>
      <x:c r="C29" s="9" t="str">
        <x:v>耗材類</x:v>
      </x:c>
      <x:c r="D29" s="9" t="n">
        <x:v>8</x:v>
      </x:c>
      <x:c r="E29" s="9" t="n">
        <x:v>5</x:v>
      </x:c>
      <x:c r="F29" s="9" t="str">
        <x:v>小</x:v>
      </x:c>
      <x:c r="G29" s="9" t="str">
        <x:v>輕</x:v>
      </x:c>
      <x:c r="H29" s="9" t="str">
        <x:v>否</x:v>
      </x:c>
      <x:c r="I29" s="9" t="str">
        <x:v>否</x:v>
      </x:c>
      <x:c r="J29" s="9" t="str">
        <x:v>否</x:v>
      </x:c>
      <x:c r="K29" s="9" t="str">
        <x:v>K區</x:v>
      </x:c>
      <x:c r="L29" s="9" t="n">
        <x:v>60</x:v>
      </x:c>
      <x:c r="M29" s="9" t="str">
        <x:v>Cluster 5</x:v>
      </x:c>
      <x:c r="N29" s="9" t="str">
        <x:v>#E74C3C</x:v>
      </x:c>
      <x:c r="O29" s="9" t="str">
        <x:v>中頻一般或補貨商品</x:v>
      </x:c>
      <x:c r="P29" s="9" t="str">
        <x:v>中段一般儲位</x:v>
      </x:c>
      <x:c r="Q29" s="9" t="str">
        <x:v>低頻、備品</x:v>
      </x:c>
      <x:c r="R29" s="9" t="n">
        <x:f>IF(F29="小",1,IF(F29="中",2,IF(F29="大",3,0)))</x:f>
        <x:v>1</x:v>
      </x:c>
      <x:c r="S29" s="9" t="n">
        <x:f>IF(G29="輕",1,IF(G29="中",2,IF(G29="重",3,0)))</x:f>
        <x:v>1</x:v>
      </x:c>
      <x:c r="T29" s="9" t="n">
        <x:f>IF(H29="是",1,0)</x:f>
        <x:v>0</x:v>
      </x:c>
      <x:c r="U29" s="9" t="n">
        <x:f>IF(I29="是",1,0)</x:f>
        <x:v>0</x:v>
      </x:c>
      <x:c r="V29" s="9" t="n">
        <x:f>IF(J29="是",1,0)</x:f>
        <x:v>0</x:v>
      </x:c>
      <x:c r="W29" s="9" t="n">
        <x:v>-1.890387146451144</x:v>
      </x:c>
      <x:c r="X29" s="9" t="n">
        <x:v>0.04844841869857733</x:v>
      </x:c>
      <x:c r="Y29" s="9" t="str">
        <x:v>Train</x:v>
      </x:c>
      <x:c r="Z29" s="9" t="str">
        <x:v>已分群</x:v>
      </x:c>
    </x:row>
    <x:row r="30">
      <x:c r="A30" s="9" t="str">
        <x:v>PX026</x:v>
      </x:c>
      <x:c r="B30" s="9" t="str">
        <x:v>尿布箱</x:v>
      </x:c>
      <x:c r="C30" s="9" t="str">
        <x:v>日用品</x:v>
      </x:c>
      <x:c r="D30" s="9" t="n">
        <x:v>105</x:v>
      </x:c>
      <x:c r="E30" s="9" t="n">
        <x:v>60</x:v>
      </x:c>
      <x:c r="F30" s="9" t="str">
        <x:v>大</x:v>
      </x:c>
      <x:c r="G30" s="9" t="str">
        <x:v>中</x:v>
      </x:c>
      <x:c r="H30" s="9" t="str">
        <x:v>否</x:v>
      </x:c>
      <x:c r="I30" s="9" t="str">
        <x:v>否</x:v>
      </x:c>
      <x:c r="J30" s="9" t="str">
        <x:v>否</x:v>
      </x:c>
      <x:c r="K30" s="9" t="str">
        <x:v>A區</x:v>
      </x:c>
      <x:c r="L30" s="9" t="n">
        <x:v>44</x:v>
      </x:c>
      <x:c r="M30" s="9" t="str">
        <x:v>Cluster 2</x:v>
      </x:c>
      <x:c r="N30" s="9" t="str">
        <x:v>#F39C12</x:v>
      </x:c>
      <x:c r="O30" s="9" t="str">
        <x:v>中頻一般或補貨商品</x:v>
      </x:c>
      <x:c r="P30" s="9" t="str">
        <x:v>中段一般儲位</x:v>
      </x:c>
      <x:c r="Q30" s="9" t="str">
        <x:v>高頻、體積大</x:v>
      </x:c>
      <x:c r="R30" s="9" t="n">
        <x:f>IF(F30="小",1,IF(F30="中",2,IF(F30="大",3,0)))</x:f>
        <x:v>3</x:v>
      </x:c>
      <x:c r="S30" s="9" t="n">
        <x:f>IF(G30="輕",1,IF(G30="中",2,IF(G30="重",3,0)))</x:f>
        <x:v>2</x:v>
      </x:c>
      <x:c r="T30" s="9" t="n">
        <x:f>IF(H30="是",1,0)</x:f>
        <x:v>0</x:v>
      </x:c>
      <x:c r="U30" s="9" t="n">
        <x:f>IF(I30="是",1,0)</x:f>
        <x:v>0</x:v>
      </x:c>
      <x:c r="V30" s="9" t="n">
        <x:f>IF(J30="是",1,0)</x:f>
        <x:v>0</x:v>
      </x:c>
      <x:c r="W30" s="9" t="n">
        <x:v>1.222633393711879</x:v>
      </x:c>
      <x:c r="X30" s="9" t="n">
        <x:v>0.3722947701892382</x:v>
      </x:c>
      <x:c r="Y30" s="9" t="str">
        <x:v>Train</x:v>
      </x:c>
      <x:c r="Z30" s="9" t="str">
        <x:v>已分群</x:v>
      </x:c>
    </x:row>
    <x:row r="31">
      <x:c r="A31" s="9" t="str">
        <x:v>PX027</x:v>
      </x:c>
      <x:c r="B31" s="9" t="str">
        <x:v>咖啡罐裝整箱</x:v>
      </x:c>
      <x:c r="C31" s="9" t="str">
        <x:v>飲品類</x:v>
      </x:c>
      <x:c r="D31" s="9" t="n">
        <x:v>90</x:v>
      </x:c>
      <x:c r="E31" s="9" t="n">
        <x:v>52</x:v>
      </x:c>
      <x:c r="F31" s="9" t="str">
        <x:v>中</x:v>
      </x:c>
      <x:c r="G31" s="9" t="str">
        <x:v>重</x:v>
      </x:c>
      <x:c r="H31" s="9" t="str">
        <x:v>是</x:v>
      </x:c>
      <x:c r="I31" s="9" t="str">
        <x:v>否</x:v>
      </x:c>
      <x:c r="J31" s="9" t="str">
        <x:v>否</x:v>
      </x:c>
      <x:c r="K31" s="9" t="str">
        <x:v>K區</x:v>
      </x:c>
      <x:c r="L31" s="9" t="n">
        <x:v>46</x:v>
      </x:c>
      <x:c r="M31" s="9" t="str">
        <x:v>Cluster 3</x:v>
      </x:c>
      <x:c r="N31" s="9" t="str">
        <x:v>#27AE60</x:v>
      </x:c>
      <x:c r="O31" s="9" t="str">
        <x:v>高頻重物或液體商品</x:v>
      </x:c>
      <x:c r="P31" s="9" t="str">
        <x:v>近端低層棧板區</x:v>
      </x:c>
      <x:c r="Q31" s="9" t="str">
        <x:v>高頻、液體、重物</x:v>
      </x:c>
      <x:c r="R31" s="9" t="n">
        <x:f>IF(F31="小",1,IF(F31="中",2,IF(F31="大",3,0)))</x:f>
        <x:v>2</x:v>
      </x:c>
      <x:c r="S31" s="9" t="n">
        <x:f>IF(G31="輕",1,IF(G31="中",2,IF(G31="重",3,0)))</x:f>
        <x:v>3</x:v>
      </x:c>
      <x:c r="T31" s="9" t="n">
        <x:f>IF(H31="是",1,0)</x:f>
        <x:v>1</x:v>
      </x:c>
      <x:c r="U31" s="9" t="n">
        <x:f>IF(I31="是",1,0)</x:f>
        <x:v>0</x:v>
      </x:c>
      <x:c r="V31" s="9" t="n">
        <x:f>IF(J31="是",1,0)</x:f>
        <x:v>0</x:v>
      </x:c>
      <x:c r="W31" s="9" t="n">
        <x:v>1.692696066741557</x:v>
      </x:c>
      <x:c r="X31" s="9" t="n">
        <x:v>0.1679894916547749</x:v>
      </x:c>
      <x:c r="Y31" s="9" t="str">
        <x:v>Train</x:v>
      </x:c>
      <x:c r="Z31" s="9" t="str">
        <x:v>已分群</x:v>
      </x:c>
    </x:row>
    <x:row r="32">
      <x:c r="A32" s="9" t="str">
        <x:v>PX028</x:v>
      </x:c>
      <x:c r="B32" s="9" t="str">
        <x:v>麥片箱</x:v>
      </x:c>
      <x:c r="C32" s="9" t="str">
        <x:v>食品類</x:v>
      </x:c>
      <x:c r="D32" s="9" t="n">
        <x:v>82</x:v>
      </x:c>
      <x:c r="E32" s="9" t="n">
        <x:v>48</x:v>
      </x:c>
      <x:c r="F32" s="9" t="str">
        <x:v>中</x:v>
      </x:c>
      <x:c r="G32" s="9" t="str">
        <x:v>輕</x:v>
      </x:c>
      <x:c r="H32" s="9" t="str">
        <x:v>否</x:v>
      </x:c>
      <x:c r="I32" s="9" t="str">
        <x:v>否</x:v>
      </x:c>
      <x:c r="J32" s="9" t="str">
        <x:v>否</x:v>
      </x:c>
      <x:c r="K32" s="9" t="str">
        <x:v>1區</x:v>
      </x:c>
      <x:c r="L32" s="9" t="n">
        <x:v>33</x:v>
      </x:c>
      <x:c r="M32" s="9" t="str">
        <x:v>Cluster 2</x:v>
      </x:c>
      <x:c r="N32" s="9" t="str">
        <x:v>#F39C12</x:v>
      </x:c>
      <x:c r="O32" s="9" t="str">
        <x:v>中頻一般或補貨商品</x:v>
      </x:c>
      <x:c r="P32" s="9" t="str">
        <x:v>中段一般儲位</x:v>
      </x:c>
      <x:c r="Q32" s="9" t="str">
        <x:v>中高頻、輕量</x:v>
      </x:c>
      <x:c r="R32" s="9" t="n">
        <x:f>IF(F32="小",1,IF(F32="中",2,IF(F32="大",3,0)))</x:f>
        <x:v>2</x:v>
      </x:c>
      <x:c r="S32" s="9" t="n">
        <x:f>IF(G32="輕",1,IF(G32="中",2,IF(G32="重",3,0)))</x:f>
        <x:v>1</x:v>
      </x:c>
      <x:c r="T32" s="9" t="n">
        <x:f>IF(H32="是",1,0)</x:f>
        <x:v>0</x:v>
      </x:c>
      <x:c r="U32" s="9" t="n">
        <x:f>IF(I32="是",1,0)</x:f>
        <x:v>0</x:v>
      </x:c>
      <x:c r="V32" s="9" t="n">
        <x:f>IF(J32="是",1,0)</x:f>
        <x:v>0</x:v>
      </x:c>
      <x:c r="W32" s="9" t="n">
        <x:v>-0.2077044961707049</x:v>
      </x:c>
      <x:c r="X32" s="9" t="n">
        <x:v>-0.874608484564477</x:v>
      </x:c>
      <x:c r="Y32" s="9" t="str">
        <x:v>Train</x:v>
      </x:c>
      <x:c r="Z32" s="9" t="str">
        <x:v>已分群</x:v>
      </x:c>
    </x:row>
    <x:row r="33">
      <x:c r="A33" s="9" t="str">
        <x:v>PX029</x:v>
      </x:c>
      <x:c r="B33" s="9" t="str">
        <x:v>寵物飼料5kg</x:v>
      </x:c>
      <x:c r="C33" s="9" t="str">
        <x:v>寵物用品</x:v>
      </x:c>
      <x:c r="D33" s="9" t="n">
        <x:v>75</x:v>
      </x:c>
      <x:c r="E33" s="9" t="n">
        <x:v>44</x:v>
      </x:c>
      <x:c r="F33" s="9" t="str">
        <x:v>中</x:v>
      </x:c>
      <x:c r="G33" s="9" t="str">
        <x:v>重</x:v>
      </x:c>
      <x:c r="H33" s="9" t="str">
        <x:v>否</x:v>
      </x:c>
      <x:c r="I33" s="9" t="str">
        <x:v>否</x:v>
      </x:c>
      <x:c r="J33" s="9" t="str">
        <x:v>否</x:v>
      </x:c>
      <x:c r="K33" s="9" t="str">
        <x:v>K區</x:v>
      </x:c>
      <x:c r="L33" s="9" t="n">
        <x:v>49</x:v>
      </x:c>
      <x:c r="M33" s="9" t="str">
        <x:v>Cluster 2</x:v>
      </x:c>
      <x:c r="N33" s="9" t="str">
        <x:v>#F39C12</x:v>
      </x:c>
      <x:c r="O33" s="9" t="str">
        <x:v>中頻一般或補貨商品</x:v>
      </x:c>
      <x:c r="P33" s="9" t="str">
        <x:v>中段一般儲位</x:v>
      </x:c>
      <x:c r="Q33" s="9" t="str">
        <x:v>中高頻、重物</x:v>
      </x:c>
      <x:c r="R33" s="9" t="n">
        <x:f>IF(F33="小",1,IF(F33="中",2,IF(F33="大",3,0)))</x:f>
        <x:v>2</x:v>
      </x:c>
      <x:c r="S33" s="9" t="n">
        <x:f>IF(G33="輕",1,IF(G33="中",2,IF(G33="重",3,0)))</x:f>
        <x:v>3</x:v>
      </x:c>
      <x:c r="T33" s="9" t="n">
        <x:f>IF(H33="是",1,0)</x:f>
        <x:v>0</x:v>
      </x:c>
      <x:c r="U33" s="9" t="n">
        <x:f>IF(I33="是",1,0)</x:f>
        <x:v>0</x:v>
      </x:c>
      <x:c r="V33" s="9" t="n">
        <x:f>IF(J33="是",1,0)</x:f>
        <x:v>0</x:v>
      </x:c>
      <x:c r="W33" s="9" t="n">
        <x:v>0.8378916096701186</x:v>
      </x:c>
      <x:c r="X33" s="9" t="n">
        <x:v>0.3546074569369868</x:v>
      </x:c>
      <x:c r="Y33" s="9" t="str">
        <x:v>Train</x:v>
      </x:c>
      <x:c r="Z33" s="9" t="str">
        <x:v>已分群</x:v>
      </x:c>
    </x:row>
    <x:row r="34">
      <x:c r="A34" s="9" t="str">
        <x:v>PX030</x:v>
      </x:c>
      <x:c r="B34" s="9" t="str">
        <x:v>衛生棉組</x:v>
      </x:c>
      <x:c r="C34" s="9" t="str">
        <x:v>日用品</x:v>
      </x:c>
      <x:c r="D34" s="9" t="n">
        <x:v>68</x:v>
      </x:c>
      <x:c r="E34" s="9" t="n">
        <x:v>40</x:v>
      </x:c>
      <x:c r="F34" s="9" t="str">
        <x:v>小</x:v>
      </x:c>
      <x:c r="G34" s="9" t="str">
        <x:v>輕</x:v>
      </x:c>
      <x:c r="H34" s="9" t="str">
        <x:v>否</x:v>
      </x:c>
      <x:c r="I34" s="9" t="str">
        <x:v>否</x:v>
      </x:c>
      <x:c r="J34" s="9" t="str">
        <x:v>否</x:v>
      </x:c>
      <x:c r="K34" s="9" t="str">
        <x:v>A區</x:v>
      </x:c>
      <x:c r="L34" s="9" t="n">
        <x:v>24</x:v>
      </x:c>
      <x:c r="M34" s="9" t="str">
        <x:v>Cluster 5</x:v>
      </x:c>
      <x:c r="N34" s="9" t="str">
        <x:v>#E74C3C</x:v>
      </x:c>
      <x:c r="O34" s="9" t="str">
        <x:v>中頻一般或補貨商品</x:v>
      </x:c>
      <x:c r="P34" s="9" t="str">
        <x:v>中段一般儲位</x:v>
      </x:c>
      <x:c r="Q34" s="9" t="str">
        <x:v>中高頻、小品項</x:v>
      </x:c>
      <x:c r="R34" s="9" t="n">
        <x:f>IF(F34="小",1,IF(F34="中",2,IF(F34="大",3,0)))</x:f>
        <x:v>1</x:v>
      </x:c>
      <x:c r="S34" s="9" t="n">
        <x:f>IF(G34="輕",1,IF(G34="中",2,IF(G34="重",3,0)))</x:f>
        <x:v>1</x:v>
      </x:c>
      <x:c r="T34" s="9" t="n">
        <x:f>IF(H34="是",1,0)</x:f>
        <x:v>0</x:v>
      </x:c>
      <x:c r="U34" s="9" t="n">
        <x:f>IF(I34="是",1,0)</x:f>
        <x:v>0</x:v>
      </x:c>
      <x:c r="V34" s="9" t="n">
        <x:f>IF(J34="是",1,0)</x:f>
        <x:v>0</x:v>
      </x:c>
      <x:c r="W34" s="9" t="n">
        <x:v>-0.9286471209582396</x:v>
      </x:c>
      <x:c r="X34" s="9" t="n">
        <x:v>-1.820097261691686</x:v>
      </x:c>
      <x:c r="Y34" s="9" t="str">
        <x:v>Train</x:v>
      </x:c>
      <x:c r="Z34" s="9" t="str">
        <x:v>已分群</x:v>
      </x:c>
    </x:row>
    <x:row r="35">
      <x:c r="A35" s="9" t="str">
        <x:v>PX031</x:v>
      </x:c>
      <x:c r="B35" s="9" t="str">
        <x:v>漂白水</x:v>
      </x:c>
      <x:c r="C35" s="9" t="str">
        <x:v>清潔用品</x:v>
      </x:c>
      <x:c r="D35" s="9" t="n">
        <x:v>62</x:v>
      </x:c>
      <x:c r="E35" s="9" t="n">
        <x:v>38</x:v>
      </x:c>
      <x:c r="F35" s="9" t="str">
        <x:v>小</x:v>
      </x:c>
      <x:c r="G35" s="9" t="str">
        <x:v>中</x:v>
      </x:c>
      <x:c r="H35" s="9" t="str">
        <x:v>是</x:v>
      </x:c>
      <x:c r="I35" s="9" t="str">
        <x:v>是</x:v>
      </x:c>
      <x:c r="J35" s="9" t="str">
        <x:v>否</x:v>
      </x:c>
      <x:c r="K35" s="9" t="str">
        <x:v>K區</x:v>
      </x:c>
      <x:c r="L35" s="9" t="n">
        <x:v>47</x:v>
      </x:c>
      <x:c r="M35" s="9" t="str">
        <x:v>Cluster 1</x:v>
      </x:c>
      <x:c r="N35" s="9" t="str">
        <x:v>#2E86DE</x:v>
      </x:c>
      <x:c r="O35" s="9" t="str">
        <x:v>中頻一般或補貨商品</x:v>
      </x:c>
      <x:c r="P35" s="9" t="str">
        <x:v>中段一般儲位</x:v>
      </x:c>
      <x:c r="Q35" s="9" t="str">
        <x:v>液體、需低層</x:v>
      </x:c>
      <x:c r="R35" s="9" t="n">
        <x:f>IF(F35="小",1,IF(F35="中",2,IF(F35="大",3,0)))</x:f>
        <x:v>1</x:v>
      </x:c>
      <x:c r="S35" s="9" t="n">
        <x:f>IF(G35="輕",1,IF(G35="中",2,IF(G35="重",3,0)))</x:f>
        <x:v>2</x:v>
      </x:c>
      <x:c r="T35" s="9" t="n">
        <x:f>IF(H35="是",1,0)</x:f>
        <x:v>1</x:v>
      </x:c>
      <x:c r="U35" s="9" t="n">
        <x:f>IF(I35="是",1,0)</x:f>
        <x:v>1</x:v>
      </x:c>
      <x:c r="V35" s="9" t="n">
        <x:f>IF(J35="是",1,0)</x:f>
        <x:v>0</x:v>
      </x:c>
      <x:c r="W35" s="9" t="n">
        <x:v>-0.162940149924501</x:v>
      </x:c>
      <x:c r="X35" s="9" t="n">
        <x:v>0.689028369355375</x:v>
      </x:c>
      <x:c r="Y35" s="9" t="str">
        <x:v>Train</x:v>
      </x:c>
      <x:c r="Z35" s="9" t="str">
        <x:v>已分群</x:v>
      </x:c>
    </x:row>
    <x:row r="36">
      <x:c r="A36" s="9" t="str">
        <x:v>PX032</x:v>
      </x:c>
      <x:c r="B36" s="9" t="str">
        <x:v>碳酸飲料整箱</x:v>
      </x:c>
      <x:c r="C36" s="9" t="str">
        <x:v>飲品類</x:v>
      </x:c>
      <x:c r="D36" s="9" t="n">
        <x:v>98</x:v>
      </x:c>
      <x:c r="E36" s="9" t="n">
        <x:v>57</x:v>
      </x:c>
      <x:c r="F36" s="9" t="str">
        <x:v>中</x:v>
      </x:c>
      <x:c r="G36" s="9" t="str">
        <x:v>重</x:v>
      </x:c>
      <x:c r="H36" s="9" t="str">
        <x:v>是</x:v>
      </x:c>
      <x:c r="I36" s="9" t="str">
        <x:v>否</x:v>
      </x:c>
      <x:c r="J36" s="9" t="str">
        <x:v>否</x:v>
      </x:c>
      <x:c r="K36" s="9" t="str">
        <x:v>K區</x:v>
      </x:c>
      <x:c r="L36" s="9" t="n">
        <x:v>53</x:v>
      </x:c>
      <x:c r="M36" s="9" t="str">
        <x:v>Cluster 3</x:v>
      </x:c>
      <x:c r="N36" s="9" t="str">
        <x:v>#27AE60</x:v>
      </x:c>
      <x:c r="O36" s="9" t="str">
        <x:v>高頻重物或液體商品</x:v>
      </x:c>
      <x:c r="P36" s="9" t="str">
        <x:v>近端低層棧板區</x:v>
      </x:c>
      <x:c r="Q36" s="9" t="str">
        <x:v>高頻、整箱重</x:v>
      </x:c>
      <x:c r="R36" s="9" t="n">
        <x:f>IF(F36="小",1,IF(F36="中",2,IF(F36="大",3,0)))</x:f>
        <x:v>2</x:v>
      </x:c>
      <x:c r="S36" s="9" t="n">
        <x:f>IF(G36="輕",1,IF(G36="中",2,IF(G36="重",3,0)))</x:f>
        <x:v>3</x:v>
      </x:c>
      <x:c r="T36" s="9" t="n">
        <x:f>IF(H36="是",1,0)</x:f>
        <x:v>1</x:v>
      </x:c>
      <x:c r="U36" s="9" t="n">
        <x:f>IF(I36="是",1,0)</x:f>
        <x:v>0</x:v>
      </x:c>
      <x:c r="V36" s="9" t="n">
        <x:f>IF(J36="是",1,0)</x:f>
        <x:v>0</x:v>
      </x:c>
      <x:c r="W36" s="9" t="n">
        <x:v>1.920886100334489</x:v>
      </x:c>
      <x:c r="X36" s="9" t="n">
        <x:v>0.4908256121312557</x:v>
      </x:c>
      <x:c r="Y36" s="9" t="str">
        <x:v>Train</x:v>
      </x:c>
      <x:c r="Z36" s="9" t="str">
        <x:v>已分群</x:v>
      </x:c>
    </x:row>
    <x:row r="37">
      <x:c r="A37" s="9" t="str">
        <x:v>PX033</x:v>
      </x:c>
      <x:c r="B37" s="9" t="str">
        <x:v>冷泡茶包</x:v>
      </x:c>
      <x:c r="C37" s="9" t="str">
        <x:v>食品類</x:v>
      </x:c>
      <x:c r="D37" s="9" t="n">
        <x:v>44</x:v>
      </x:c>
      <x:c r="E37" s="9" t="n">
        <x:v>28</x:v>
      </x:c>
      <x:c r="F37" s="9" t="str">
        <x:v>小</x:v>
      </x:c>
      <x:c r="G37" s="9" t="str">
        <x:v>輕</x:v>
      </x:c>
      <x:c r="H37" s="9" t="str">
        <x:v>否</x:v>
      </x:c>
      <x:c r="I37" s="9" t="str">
        <x:v>否</x:v>
      </x:c>
      <x:c r="J37" s="9" t="str">
        <x:v>否</x:v>
      </x:c>
      <x:c r="K37" s="9" t="str">
        <x:v>1區</x:v>
      </x:c>
      <x:c r="L37" s="9" t="n">
        <x:v>29</x:v>
      </x:c>
      <x:c r="M37" s="9" t="str">
        <x:v>Cluster 5</x:v>
      </x:c>
      <x:c r="N37" s="9" t="str">
        <x:v>#E74C3C</x:v>
      </x:c>
      <x:c r="O37" s="9" t="str">
        <x:v>中頻一般或補貨商品</x:v>
      </x:c>
      <x:c r="P37" s="9" t="str">
        <x:v>中段一般儲位</x:v>
      </x:c>
      <x:c r="Q37" s="9" t="str">
        <x:v>中頻、小品項</x:v>
      </x:c>
      <x:c r="R37" s="9" t="n">
        <x:f>IF(F37="小",1,IF(F37="中",2,IF(F37="大",3,0)))</x:f>
        <x:v>1</x:v>
      </x:c>
      <x:c r="S37" s="9" t="n">
        <x:f>IF(G37="輕",1,IF(G37="中",2,IF(G37="重",3,0)))</x:f>
        <x:v>1</x:v>
      </x:c>
      <x:c r="T37" s="9" t="n">
        <x:f>IF(H37="是",1,0)</x:f>
        <x:v>0</x:v>
      </x:c>
      <x:c r="U37" s="9" t="n">
        <x:f>IF(I37="是",1,0)</x:f>
        <x:v>0</x:v>
      </x:c>
      <x:c r="V37" s="9" t="n">
        <x:f>IF(J37="是",1,0)</x:f>
        <x:v>0</x:v>
      </x:c>
      <x:c r="W37" s="9" t="n">
        <x:v>-1.348014861563641</x:v>
      </x:c>
      <x:c r="X37" s="9" t="n">
        <x:v>-1.534057395817259</x:v>
      </x:c>
      <x:c r="Y37" s="9" t="str">
        <x:v>Train</x:v>
      </x:c>
      <x:c r="Z37" s="9" t="str">
        <x:v>已分群</x:v>
      </x:c>
    </x:row>
    <x:row r="38">
      <x:c r="A38" s="9" t="str">
        <x:v>PX034</x:v>
      </x:c>
      <x:c r="B38" s="9" t="str">
        <x:v>成人紙尿褲</x:v>
      </x:c>
      <x:c r="C38" s="9" t="str">
        <x:v>日用品</x:v>
      </x:c>
      <x:c r="D38" s="9" t="n">
        <x:v>60</x:v>
      </x:c>
      <x:c r="E38" s="9" t="n">
        <x:v>34</x:v>
      </x:c>
      <x:c r="F38" s="9" t="str">
        <x:v>大</x:v>
      </x:c>
      <x:c r="G38" s="9" t="str">
        <x:v>中</x:v>
      </x:c>
      <x:c r="H38" s="9" t="str">
        <x:v>否</x:v>
      </x:c>
      <x:c r="I38" s="9" t="str">
        <x:v>否</x:v>
      </x:c>
      <x:c r="J38" s="9" t="str">
        <x:v>否</x:v>
      </x:c>
      <x:c r="K38" s="9" t="str">
        <x:v>A區</x:v>
      </x:c>
      <x:c r="L38" s="9" t="n">
        <x:v>43</x:v>
      </x:c>
      <x:c r="M38" s="9" t="str">
        <x:v>Cluster 2</x:v>
      </x:c>
      <x:c r="N38" s="9" t="str">
        <x:v>#F39C12</x:v>
      </x:c>
      <x:c r="O38" s="9" t="str">
        <x:v>中頻一般或補貨商品</x:v>
      </x:c>
      <x:c r="P38" s="9" t="str">
        <x:v>中段一般儲位</x:v>
      </x:c>
      <x:c r="Q38" s="9" t="str">
        <x:v>中頻、體積大</x:v>
      </x:c>
      <x:c r="R38" s="9" t="n">
        <x:f>IF(F38="小",1,IF(F38="中",2,IF(F38="大",3,0)))</x:f>
        <x:v>3</x:v>
      </x:c>
      <x:c r="S38" s="9" t="n">
        <x:f>IF(G38="輕",1,IF(G38="中",2,IF(G38="重",3,0)))</x:f>
        <x:v>2</x:v>
      </x:c>
      <x:c r="T38" s="9" t="n">
        <x:f>IF(H38="是",1,0)</x:f>
        <x:v>0</x:v>
      </x:c>
      <x:c r="U38" s="9" t="n">
        <x:f>IF(I38="是",1,0)</x:f>
        <x:v>0</x:v>
      </x:c>
      <x:c r="V38" s="9" t="n">
        <x:f>IF(J38="是",1,0)</x:f>
        <x:v>0</x:v>
      </x:c>
      <x:c r="W38" s="9" t="n">
        <x:v>0.2847959777686568</x:v>
      </x:c>
      <x:c r="X38" s="9" t="n">
        <x:v>0.4138379685948487</x:v>
      </x:c>
      <x:c r="Y38" s="9" t="str">
        <x:v>Train</x:v>
      </x:c>
      <x:c r="Z38" s="9" t="str">
        <x:v>已分群</x:v>
      </x:c>
    </x:row>
    <x:row r="39">
      <x:c r="A39" s="9" t="str">
        <x:v>PX035</x:v>
      </x:c>
      <x:c r="B39" s="9" t="str">
        <x:v>玻璃瓶醬料</x:v>
      </x:c>
      <x:c r="C39" s="9" t="str">
        <x:v>食品類</x:v>
      </x:c>
      <x:c r="D39" s="9" t="n">
        <x:v>36</x:v>
      </x:c>
      <x:c r="E39" s="9" t="n">
        <x:v>24</x:v>
      </x:c>
      <x:c r="F39" s="9" t="str">
        <x:v>小</x:v>
      </x:c>
      <x:c r="G39" s="9" t="str">
        <x:v>中</x:v>
      </x:c>
      <x:c r="H39" s="9" t="str">
        <x:v>是</x:v>
      </x:c>
      <x:c r="I39" s="9" t="str">
        <x:v>是</x:v>
      </x:c>
      <x:c r="J39" s="9" t="str">
        <x:v>否</x:v>
      </x:c>
      <x:c r="K39" s="9" t="str">
        <x:v>K區</x:v>
      </x:c>
      <x:c r="L39" s="9" t="n">
        <x:v>41</x:v>
      </x:c>
      <x:c r="M39" s="9" t="str">
        <x:v>Cluster 1</x:v>
      </x:c>
      <x:c r="N39" s="9" t="str">
        <x:v>#2E86DE</x:v>
      </x:c>
      <x:c r="O39" s="9" t="str">
        <x:v>中頻一般或補貨商品</x:v>
      </x:c>
      <x:c r="P39" s="9" t="str">
        <x:v>中段一般儲位</x:v>
      </x:c>
      <x:c r="Q39" s="9" t="str">
        <x:v>液體、易碎</x:v>
      </x:c>
      <x:c r="R39" s="9" t="n">
        <x:f>IF(F39="小",1,IF(F39="中",2,IF(F39="大",3,0)))</x:f>
        <x:v>1</x:v>
      </x:c>
      <x:c r="S39" s="9" t="n">
        <x:f>IF(G39="輕",1,IF(G39="中",2,IF(G39="重",3,0)))</x:f>
        <x:v>2</x:v>
      </x:c>
      <x:c r="T39" s="9" t="n">
        <x:f>IF(H39="是",1,0)</x:f>
        <x:v>1</x:v>
      </x:c>
      <x:c r="U39" s="9" t="n">
        <x:f>IF(I39="是",1,0)</x:f>
        <x:v>1</x:v>
      </x:c>
      <x:c r="V39" s="9" t="n">
        <x:f>IF(J39="是",1,0)</x:f>
        <x:v>0</x:v>
      </x:c>
      <x:c r="W39" s="9" t="n">
        <x:v>-0.727409788931853</x:v>
      </x:c>
      <x:c r="X39" s="9" t="n">
        <x:v>0.4472260497560976</x:v>
      </x:c>
      <x:c r="Y39" s="9" t="str">
        <x:v>Train</x:v>
      </x:c>
      <x:c r="Z39" s="9" t="str">
        <x:v>已分群</x:v>
      </x:c>
    </x:row>
    <x:row r="40">
      <x:c r="A40" s="9" t="str">
        <x:v>PX036</x:v>
      </x:c>
      <x:c r="B40" s="9" t="str">
        <x:v>洗衣粉箱</x:v>
      </x:c>
      <x:c r="C40" s="9" t="str">
        <x:v>清潔用品</x:v>
      </x:c>
      <x:c r="D40" s="9" t="n">
        <x:v>55</x:v>
      </x:c>
      <x:c r="E40" s="9" t="n">
        <x:v>35</x:v>
      </x:c>
      <x:c r="F40" s="9" t="str">
        <x:v>中</x:v>
      </x:c>
      <x:c r="G40" s="9" t="str">
        <x:v>中</x:v>
      </x:c>
      <x:c r="H40" s="9" t="str">
        <x:v>否</x:v>
      </x:c>
      <x:c r="I40" s="9" t="str">
        <x:v>否</x:v>
      </x:c>
      <x:c r="J40" s="9" t="str">
        <x:v>否</x:v>
      </x:c>
      <x:c r="K40" s="9" t="str">
        <x:v>3區</x:v>
      </x:c>
      <x:c r="L40" s="9" t="n">
        <x:v>37</x:v>
      </x:c>
      <x:c r="M40" s="9" t="str">
        <x:v>Cluster 2</x:v>
      </x:c>
      <x:c r="N40" s="9" t="str">
        <x:v>#F39C12</x:v>
      </x:c>
      <x:c r="O40" s="9" t="str">
        <x:v>中頻一般或補貨商品</x:v>
      </x:c>
      <x:c r="P40" s="9" t="str">
        <x:v>中段一般儲位</x:v>
      </x:c>
      <x:c r="Q40" s="9" t="str">
        <x:v>中頻、補貨品</x:v>
      </x:c>
      <x:c r="R40" s="9" t="n">
        <x:f>IF(F40="小",1,IF(F40="中",2,IF(F40="大",3,0)))</x:f>
        <x:v>2</x:v>
      </x:c>
      <x:c r="S40" s="9" t="n">
        <x:f>IF(G40="輕",1,IF(G40="中",2,IF(G40="重",3,0)))</x:f>
        <x:v>2</x:v>
      </x:c>
      <x:c r="T40" s="9" t="n">
        <x:f>IF(H40="是",1,0)</x:f>
        <x:v>0</x:v>
      </x:c>
      <x:c r="U40" s="9" t="n">
        <x:f>IF(I40="是",1,0)</x:f>
        <x:v>0</x:v>
      </x:c>
      <x:c r="V40" s="9" t="n">
        <x:f>IF(J40="是",1,0)</x:f>
        <x:v>0</x:v>
      </x:c>
      <x:c r="W40" s="9" t="n">
        <x:v>-0.1510250853581658</x:v>
      </x:c>
      <x:c r="X40" s="9" t="n">
        <x:v>-0.4136586399300397</x:v>
      </x:c>
      <x:c r="Y40" s="9" t="str">
        <x:v>Train</x:v>
      </x:c>
      <x:c r="Z40" s="9" t="str">
        <x:v>已分群</x:v>
      </x:c>
    </x:row>
    <x:row r="41">
      <x:c r="A41" s="9" t="str">
        <x:v>PX037</x:v>
      </x:c>
      <x:c r="B41" s="9" t="str">
        <x:v>蛋捲禮盒</x:v>
      </x:c>
      <x:c r="C41" s="9" t="str">
        <x:v>季節商品</x:v>
      </x:c>
      <x:c r="D41" s="9" t="n">
        <x:v>20</x:v>
      </x:c>
      <x:c r="E41" s="9" t="n">
        <x:v>13</x:v>
      </x:c>
      <x:c r="F41" s="9" t="str">
        <x:v>中</x:v>
      </x:c>
      <x:c r="G41" s="9" t="str">
        <x:v>輕</x:v>
      </x:c>
      <x:c r="H41" s="9" t="str">
        <x:v>否</x:v>
      </x:c>
      <x:c r="I41" s="9" t="str">
        <x:v>是</x:v>
      </x:c>
      <x:c r="J41" s="9" t="str">
        <x:v>是</x:v>
      </x:c>
      <x:c r="K41" s="9" t="str">
        <x:v>A區</x:v>
      </x:c>
      <x:c r="L41" s="9" t="n">
        <x:v>56</x:v>
      </x:c>
      <x:c r="M41" s="9" t="str">
        <x:v>Cluster 4</x:v>
      </x:c>
      <x:c r="N41" s="9" t="str">
        <x:v>#8E44AD</x:v>
      </x:c>
      <x:c r="O41" s="9" t="str">
        <x:v>低頻季節性商品</x:v>
      </x:c>
      <x:c r="P41" s="9" t="str">
        <x:v>遠端彈性儲位</x:v>
      </x:c>
      <x:c r="Q41" s="9" t="str">
        <x:v>季節性、易碎</x:v>
      </x:c>
      <x:c r="R41" s="9" t="n">
        <x:f>IF(F41="小",1,IF(F41="中",2,IF(F41="大",3,0)))</x:f>
        <x:v>2</x:v>
      </x:c>
      <x:c r="S41" s="9" t="n">
        <x:f>IF(G41="輕",1,IF(G41="中",2,IF(G41="重",3,0)))</x:f>
        <x:v>1</x:v>
      </x:c>
      <x:c r="T41" s="9" t="n">
        <x:f>IF(H41="是",1,0)</x:f>
        <x:v>0</x:v>
      </x:c>
      <x:c r="U41" s="9" t="n">
        <x:f>IF(I41="是",1,0)</x:f>
        <x:v>1</x:v>
      </x:c>
      <x:c r="V41" s="9" t="n">
        <x:f>IF(J41="是",1,0)</x:f>
        <x:v>1</x:v>
      </x:c>
      <x:c r="W41" s="9" t="n">
        <x:v>-2.544926302467808</x:v>
      </x:c>
      <x:c r="X41" s="9" t="n">
        <x:v>3.119245117436261</x:v>
      </x:c>
      <x:c r="Y41" s="9" t="str">
        <x:v>Train</x:v>
      </x:c>
      <x:c r="Z41" s="9" t="str">
        <x:v>已分群</x:v>
      </x:c>
    </x:row>
    <x:row r="42">
      <x:c r="A42" s="9" t="str">
        <x:v>PX038</x:v>
      </x:c>
      <x:c r="B42" s="9" t="str">
        <x:v>暖暖包</x:v>
      </x:c>
      <x:c r="C42" s="9" t="str">
        <x:v>季節商品</x:v>
      </x:c>
      <x:c r="D42" s="9" t="n">
        <x:v>26</x:v>
      </x:c>
      <x:c r="E42" s="9" t="n">
        <x:v>17</x:v>
      </x:c>
      <x:c r="F42" s="9" t="str">
        <x:v>小</x:v>
      </x:c>
      <x:c r="G42" s="9" t="str">
        <x:v>輕</x:v>
      </x:c>
      <x:c r="H42" s="9" t="str">
        <x:v>否</x:v>
      </x:c>
      <x:c r="I42" s="9" t="str">
        <x:v>否</x:v>
      </x:c>
      <x:c r="J42" s="9" t="str">
        <x:v>是</x:v>
      </x:c>
      <x:c r="K42" s="9" t="str">
        <x:v>1區</x:v>
      </x:c>
      <x:c r="L42" s="9" t="n">
        <x:v>54</x:v>
      </x:c>
      <x:c r="M42" s="9" t="str">
        <x:v>Cluster 4</x:v>
      </x:c>
      <x:c r="N42" s="9" t="str">
        <x:v>#8E44AD</x:v>
      </x:c>
      <x:c r="O42" s="9" t="str">
        <x:v>低頻季節性商品</x:v>
      </x:c>
      <x:c r="P42" s="9" t="str">
        <x:v>遠端彈性儲位</x:v>
      </x:c>
      <x:c r="Q42" s="9" t="str">
        <x:v>季節性、低頻</x:v>
      </x:c>
      <x:c r="R42" s="9" t="n">
        <x:f>IF(F42="小",1,IF(F42="中",2,IF(F42="大",3,0)))</x:f>
        <x:v>1</x:v>
      </x:c>
      <x:c r="S42" s="9" t="n">
        <x:f>IF(G42="輕",1,IF(G42="中",2,IF(G42="重",3,0)))</x:f>
        <x:v>1</x:v>
      </x:c>
      <x:c r="T42" s="9" t="n">
        <x:f>IF(H42="是",1,0)</x:f>
        <x:v>0</x:v>
      </x:c>
      <x:c r="U42" s="9" t="n">
        <x:f>IF(I42="是",1,0)</x:f>
        <x:v>0</x:v>
      </x:c>
      <x:c r="V42" s="9" t="n">
        <x:f>IF(J42="是",1,0)</x:f>
        <x:v>1</x:v>
      </x:c>
      <x:c r="W42" s="9" t="n">
        <x:v>-2.353838162455603</x:v>
      </x:c>
      <x:c r="X42" s="9" t="n">
        <x:v>1.294745497524547</x:v>
      </x:c>
      <x:c r="Y42" s="9" t="str">
        <x:v>Train</x:v>
      </x:c>
      <x:c r="Z42" s="9" t="str">
        <x:v>已分群</x:v>
      </x:c>
    </x:row>
    <x:row r="43">
      <x:c r="A43" s="9" t="str">
        <x:v>PX039</x:v>
      </x:c>
      <x:c r="B43" s="9" t="str">
        <x:v>保鮮膜</x:v>
      </x:c>
      <x:c r="C43" s="9" t="str">
        <x:v>家用品</x:v>
      </x:c>
      <x:c r="D43" s="9" t="n">
        <x:v>46</x:v>
      </x:c>
      <x:c r="E43" s="9" t="n">
        <x:v>29</x:v>
      </x:c>
      <x:c r="F43" s="9" t="str">
        <x:v>小</x:v>
      </x:c>
      <x:c r="G43" s="9" t="str">
        <x:v>輕</x:v>
      </x:c>
      <x:c r="H43" s="9" t="str">
        <x:v>否</x:v>
      </x:c>
      <x:c r="I43" s="9" t="str">
        <x:v>否</x:v>
      </x:c>
      <x:c r="J43" s="9" t="str">
        <x:v>否</x:v>
      </x:c>
      <x:c r="K43" s="9" t="str">
        <x:v>1區</x:v>
      </x:c>
      <x:c r="L43" s="9" t="n">
        <x:v>26</x:v>
      </x:c>
      <x:c r="M43" s="9" t="str">
        <x:v>Cluster 5</x:v>
      </x:c>
      <x:c r="N43" s="9" t="str">
        <x:v>#E74C3C</x:v>
      </x:c>
      <x:c r="O43" s="9" t="str">
        <x:v>中頻一般或補貨商品</x:v>
      </x:c>
      <x:c r="P43" s="9" t="str">
        <x:v>中段一般儲位</x:v>
      </x:c>
      <x:c r="Q43" s="9" t="str">
        <x:v>中頻、小品項</x:v>
      </x:c>
      <x:c r="R43" s="9" t="n">
        <x:f>IF(F43="小",1,IF(F43="中",2,IF(F43="大",3,0)))</x:f>
        <x:v>1</x:v>
      </x:c>
      <x:c r="S43" s="9" t="n">
        <x:f>IF(G43="輕",1,IF(G43="中",2,IF(G43="重",3,0)))</x:f>
        <x:v>1</x:v>
      </x:c>
      <x:c r="T43" s="9" t="n">
        <x:f>IF(H43="是",1,0)</x:f>
        <x:v>0</x:v>
      </x:c>
      <x:c r="U43" s="9" t="n">
        <x:f>IF(I43="是",1,0)</x:f>
        <x:v>0</x:v>
      </x:c>
      <x:c r="V43" s="9" t="n">
        <x:f>IF(J43="是",1,0)</x:f>
        <x:v>0</x:v>
      </x:c>
      <x:c r="W43" s="9" t="n">
        <x:v>-1.333502937688083</x:v>
      </x:c>
      <x:c r="X43" s="9" t="n">
        <x:v>-1.683299477197314</x:v>
      </x:c>
      <x:c r="Y43" s="9" t="str">
        <x:v>Train</x:v>
      </x:c>
      <x:c r="Z43" s="9" t="str">
        <x:v>已分群</x:v>
      </x:c>
    </x:row>
    <x:row r="44">
      <x:c r="A44" s="9" t="str">
        <x:v>PX040</x:v>
      </x:c>
      <x:c r="B44" s="9" t="str">
        <x:v>鋁箔紙</x:v>
      </x:c>
      <x:c r="C44" s="9" t="str">
        <x:v>家用品</x:v>
      </x:c>
      <x:c r="D44" s="9" t="n">
        <x:v>42</x:v>
      </x:c>
      <x:c r="E44" s="9" t="n">
        <x:v>27</x:v>
      </x:c>
      <x:c r="F44" s="9" t="str">
        <x:v>小</x:v>
      </x:c>
      <x:c r="G44" s="9" t="str">
        <x:v>輕</x:v>
      </x:c>
      <x:c r="H44" s="9" t="str">
        <x:v>否</x:v>
      </x:c>
      <x:c r="I44" s="9" t="str">
        <x:v>否</x:v>
      </x:c>
      <x:c r="J44" s="9" t="str">
        <x:v>否</x:v>
      </x:c>
      <x:c r="K44" s="9" t="str">
        <x:v>A區</x:v>
      </x:c>
      <x:c r="L44" s="9" t="n">
        <x:v>31</x:v>
      </x:c>
      <x:c r="M44" s="9" t="str">
        <x:v>Cluster 5</x:v>
      </x:c>
      <x:c r="N44" s="9" t="str">
        <x:v>#E74C3C</x:v>
      </x:c>
      <x:c r="O44" s="9" t="str">
        <x:v>中頻一般或補貨商品</x:v>
      </x:c>
      <x:c r="P44" s="9" t="str">
        <x:v>中段一般儲位</x:v>
      </x:c>
      <x:c r="Q44" s="9" t="str">
        <x:v>中頻、小品項</x:v>
      </x:c>
      <x:c r="R44" s="9" t="n">
        <x:f>IF(F44="小",1,IF(F44="中",2,IF(F44="大",3,0)))</x:f>
        <x:v>1</x:v>
      </x:c>
      <x:c r="S44" s="9" t="n">
        <x:f>IF(G44="輕",1,IF(G44="中",2,IF(G44="重",3,0)))</x:f>
        <x:v>1</x:v>
      </x:c>
      <x:c r="T44" s="9" t="n">
        <x:f>IF(H44="是",1,0)</x:f>
        <x:v>0</x:v>
      </x:c>
      <x:c r="U44" s="9" t="n">
        <x:f>IF(I44="是",1,0)</x:f>
        <x:v>0</x:v>
      </x:c>
      <x:c r="V44" s="9" t="n">
        <x:f>IF(J44="是",1,0)</x:f>
        <x:v>0</x:v>
      </x:c>
      <x:c r="W44" s="9" t="n">
        <x:v>-1.37043725815206</x:v>
      </x:c>
      <x:c r="X44" s="9" t="n">
        <x:v>-1.433359350265792</x:v>
      </x:c>
      <x:c r="Y44" s="9" t="str">
        <x:v>Train</x:v>
      </x:c>
      <x:c r="Z44" s="9" t="str">
        <x:v>已分群</x:v>
      </x:c>
    </x:row>
    <x:row r="45">
      <x:c r="A45" s="9" t="str">
        <x:v>PX041</x:v>
      </x:c>
      <x:c r="B45" s="9" t="str">
        <x:v>貓砂10L</x:v>
      </x:c>
      <x:c r="C45" s="9" t="str">
        <x:v>寵物用品</x:v>
      </x:c>
      <x:c r="D45" s="9" t="n">
        <x:v>40</x:v>
      </x:c>
      <x:c r="E45" s="9" t="n">
        <x:v>25</x:v>
      </x:c>
      <x:c r="F45" s="9" t="str">
        <x:v>大</x:v>
      </x:c>
      <x:c r="G45" s="9" t="str">
        <x:v>重</x:v>
      </x:c>
      <x:c r="H45" s="9" t="str">
        <x:v>否</x:v>
      </x:c>
      <x:c r="I45" s="9" t="str">
        <x:v>否</x:v>
      </x:c>
      <x:c r="J45" s="9" t="str">
        <x:v>否</x:v>
      </x:c>
      <x:c r="K45" s="9" t="str">
        <x:v>K區</x:v>
      </x:c>
      <x:c r="L45" s="9" t="n">
        <x:v>57</x:v>
      </x:c>
      <x:c r="M45" s="9" t="str">
        <x:v>Cluster 2</x:v>
      </x:c>
      <x:c r="N45" s="9" t="str">
        <x:v>#F39C12</x:v>
      </x:c>
      <x:c r="O45" s="9" t="str">
        <x:v>中頻一般或補貨商品</x:v>
      </x:c>
      <x:c r="P45" s="9" t="str">
        <x:v>中段一般儲位</x:v>
      </x:c>
      <x:c r="Q45" s="9" t="str">
        <x:v>重物、體積大</x:v>
      </x:c>
      <x:c r="R45" s="9" t="n">
        <x:f>IF(F45="小",1,IF(F45="中",2,IF(F45="大",3,0)))</x:f>
        <x:v>3</x:v>
      </x:c>
      <x:c r="S45" s="9" t="n">
        <x:f>IF(G45="輕",1,IF(G45="中",2,IF(G45="重",3,0)))</x:f>
        <x:v>3</x:v>
      </x:c>
      <x:c r="T45" s="9" t="n">
        <x:f>IF(H45="是",1,0)</x:f>
        <x:v>0</x:v>
      </x:c>
      <x:c r="U45" s="9" t="n">
        <x:f>IF(I45="是",1,0)</x:f>
        <x:v>0</x:v>
      </x:c>
      <x:c r="V45" s="9" t="n">
        <x:f>IF(J45="是",1,0)</x:f>
        <x:v>0</x:v>
      </x:c>
      <x:c r="W45" s="9" t="n">
        <x:v>0.5643534910324761</x:v>
      </x:c>
      <x:c r="X45" s="9" t="n">
        <x:v>1.346327145511913</x:v>
      </x:c>
      <x:c r="Y45" s="9" t="str">
        <x:v>Train</x:v>
      </x:c>
      <x:c r="Z45" s="9" t="str">
        <x:v>已分群</x:v>
      </x:c>
    </x:row>
    <x:row r="46">
      <x:c r="A46" s="9" t="str">
        <x:v>PX042</x:v>
      </x:c>
      <x:c r="B46" s="9" t="str">
        <x:v>運動飲料整箱</x:v>
      </x:c>
      <x:c r="C46" s="9" t="str">
        <x:v>飲品類</x:v>
      </x:c>
      <x:c r="D46" s="9" t="n">
        <x:v>112</x:v>
      </x:c>
      <x:c r="E46" s="9" t="n">
        <x:v>64</x:v>
      </x:c>
      <x:c r="F46" s="9" t="str">
        <x:v>中</x:v>
      </x:c>
      <x:c r="G46" s="9" t="str">
        <x:v>重</x:v>
      </x:c>
      <x:c r="H46" s="9" t="str">
        <x:v>是</x:v>
      </x:c>
      <x:c r="I46" s="9" t="str">
        <x:v>否</x:v>
      </x:c>
      <x:c r="J46" s="9" t="str">
        <x:v>否</x:v>
      </x:c>
      <x:c r="K46" s="9" t="str">
        <x:v>K區</x:v>
      </x:c>
      <x:c r="L46" s="9" t="n">
        <x:v>52</x:v>
      </x:c>
      <x:c r="M46" s="9" t="str">
        <x:v>Cluster 3</x:v>
      </x:c>
      <x:c r="N46" s="9" t="str">
        <x:v>#27AE60</x:v>
      </x:c>
      <x:c r="O46" s="9" t="str">
        <x:v>高頻重物或液體商品</x:v>
      </x:c>
      <x:c r="P46" s="9" t="str">
        <x:v>近端低層棧板區</x:v>
      </x:c>
      <x:c r="Q46" s="9" t="str">
        <x:v>高頻、液體重物</x:v>
      </x:c>
      <x:c r="R46" s="9" t="n">
        <x:f>IF(F46="小",1,IF(F46="中",2,IF(F46="大",3,0)))</x:f>
        <x:v>2</x:v>
      </x:c>
      <x:c r="S46" s="9" t="n">
        <x:f>IF(G46="輕",1,IF(G46="中",2,IF(G46="重",3,0)))</x:f>
        <x:v>3</x:v>
      </x:c>
      <x:c r="T46" s="9" t="n">
        <x:f>IF(H46="是",1,0)</x:f>
        <x:v>1</x:v>
      </x:c>
      <x:c r="U46" s="9" t="n">
        <x:f>IF(I46="是",1,0)</x:f>
        <x:v>0</x:v>
      </x:c>
      <x:c r="V46" s="9" t="n">
        <x:f>IF(J46="是",1,0)</x:f>
        <x:v>0</x:v>
      </x:c>
      <x:c r="W46" s="9" t="n">
        <x:v>2.180679021720624</x:v>
      </x:c>
      <x:c r="X46" s="9" t="n">
        <x:v>0.4170117590426332</x:v>
      </x:c>
      <x:c r="Y46" s="9" t="str">
        <x:v>Train</x:v>
      </x:c>
      <x:c r="Z46" s="9" t="str">
        <x:v>已分群</x:v>
      </x:c>
    </x:row>
    <x:row r="47">
      <x:c r="A47" s="9" t="str">
        <x:v>PX043</x:v>
      </x:c>
      <x:c r="B47" s="9" t="str">
        <x:v>乾電池組</x:v>
      </x:c>
      <x:c r="C47" s="9" t="str">
        <x:v>耗材類</x:v>
      </x:c>
      <x:c r="D47" s="9" t="n">
        <x:v>32</x:v>
      </x:c>
      <x:c r="E47" s="9" t="n">
        <x:v>21</x:v>
      </x:c>
      <x:c r="F47" s="9" t="str">
        <x:v>小</x:v>
      </x:c>
      <x:c r="G47" s="9" t="str">
        <x:v>中</x:v>
      </x:c>
      <x:c r="H47" s="9" t="str">
        <x:v>否</x:v>
      </x:c>
      <x:c r="I47" s="9" t="str">
        <x:v>否</x:v>
      </x:c>
      <x:c r="J47" s="9" t="str">
        <x:v>否</x:v>
      </x:c>
      <x:c r="K47" s="9" t="str">
        <x:v>A區</x:v>
      </x:c>
      <x:c r="L47" s="9" t="n">
        <x:v>23</x:v>
      </x:c>
      <x:c r="M47" s="9" t="str">
        <x:v>Cluster 5</x:v>
      </x:c>
      <x:c r="N47" s="9" t="str">
        <x:v>#E74C3C</x:v>
      </x:c>
      <x:c r="O47" s="9" t="str">
        <x:v>中頻一般或補貨商品</x:v>
      </x:c>
      <x:c r="P47" s="9" t="str">
        <x:v>中段一般儲位</x:v>
      </x:c>
      <x:c r="Q47" s="9" t="str">
        <x:v>小型耗材</x:v>
      </x:c>
      <x:c r="R47" s="9" t="n">
        <x:f>IF(F47="小",1,IF(F47="中",2,IF(F47="大",3,0)))</x:f>
        <x:v>1</x:v>
      </x:c>
      <x:c r="S47" s="9" t="n">
        <x:f>IF(G47="輕",1,IF(G47="中",2,IF(G47="重",3,0)))</x:f>
        <x:v>2</x:v>
      </x:c>
      <x:c r="T47" s="9" t="n">
        <x:f>IF(H47="是",1,0)</x:f>
        <x:v>0</x:v>
      </x:c>
      <x:c r="U47" s="9" t="n">
        <x:f>IF(I47="是",1,0)</x:f>
        <x:v>0</x:v>
      </x:c>
      <x:c r="V47" s="9" t="n">
        <x:f>IF(J47="是",1,0)</x:f>
        <x:v>0</x:v>
      </x:c>
      <x:c r="W47" s="9" t="n">
        <x:v>-1.113380147593146</x:v>
      </x:c>
      <x:c r="X47" s="9" t="n">
        <x:v>-1.581824361556171</x:v>
      </x:c>
      <x:c r="Y47" s="9" t="str">
        <x:v>Train</x:v>
      </x:c>
      <x:c r="Z47" s="9" t="str">
        <x:v>已分群</x:v>
      </x:c>
    </x:row>
    <x:row r="48">
      <x:c r="A48" s="9" t="str">
        <x:v>PX044</x:v>
      </x:c>
      <x:c r="B48" s="9" t="str">
        <x:v>手套耗材</x:v>
      </x:c>
      <x:c r="C48" s="9" t="str">
        <x:v>耗材類</x:v>
      </x:c>
      <x:c r="D48" s="9" t="n">
        <x:v>25</x:v>
      </x:c>
      <x:c r="E48" s="9" t="n">
        <x:v>16</x:v>
      </x:c>
      <x:c r="F48" s="9" t="str">
        <x:v>小</x:v>
      </x:c>
      <x:c r="G48" s="9" t="str">
        <x:v>輕</x:v>
      </x:c>
      <x:c r="H48" s="9" t="str">
        <x:v>否</x:v>
      </x:c>
      <x:c r="I48" s="9" t="str">
        <x:v>否</x:v>
      </x:c>
      <x:c r="J48" s="9" t="str">
        <x:v>否</x:v>
      </x:c>
      <x:c r="K48" s="9" t="str">
        <x:v>K區</x:v>
      </x:c>
      <x:c r="L48" s="9" t="n">
        <x:v>59</x:v>
      </x:c>
      <x:c r="M48" s="9" t="str">
        <x:v>Cluster 5</x:v>
      </x:c>
      <x:c r="N48" s="9" t="str">
        <x:v>#E74C3C</x:v>
      </x:c>
      <x:c r="O48" s="9" t="str">
        <x:v>中頻一般或補貨商品</x:v>
      </x:c>
      <x:c r="P48" s="9" t="str">
        <x:v>中段一般儲位</x:v>
      </x:c>
      <x:c r="Q48" s="9" t="str">
        <x:v>低頻、備品</x:v>
      </x:c>
      <x:c r="R48" s="9" t="n">
        <x:f>IF(F48="小",1,IF(F48="中",2,IF(F48="大",3,0)))</x:f>
        <x:v>1</x:v>
      </x:c>
      <x:c r="S48" s="9" t="n">
        <x:f>IF(G48="輕",1,IF(G48="中",2,IF(G48="重",3,0)))</x:f>
        <x:v>1</x:v>
      </x:c>
      <x:c r="T48" s="9" t="n">
        <x:f>IF(H48="是",1,0)</x:f>
        <x:v>0</x:v>
      </x:c>
      <x:c r="U48" s="9" t="n">
        <x:f>IF(I48="是",1,0)</x:f>
        <x:v>0</x:v>
      </x:c>
      <x:c r="V48" s="9" t="n">
        <x:f>IF(J48="是",1,0)</x:f>
        <x:v>0</x:v>
      </x:c>
      <x:c r="W48" s="9" t="n">
        <x:v>-1.52362082067797</x:v>
      </x:c>
      <x:c r="X48" s="9" t="n">
        <x:v>-0.03711098209766696</x:v>
      </x:c>
      <x:c r="Y48" s="9" t="str">
        <x:v>Train</x:v>
      </x:c>
      <x:c r="Z48" s="9" t="str">
        <x:v>已分群</x:v>
      </x:c>
    </x:row>
    <x:row r="49">
      <x:c r="A49" s="9" t="str">
        <x:v>PX045</x:v>
      </x:c>
      <x:c r="B49" s="9" t="str">
        <x:v>口罩盒</x:v>
      </x:c>
      <x:c r="C49" s="9" t="str">
        <x:v>日用品</x:v>
      </x:c>
      <x:c r="D49" s="9" t="n">
        <x:v>50</x:v>
      </x:c>
      <x:c r="E49" s="9" t="n">
        <x:v>31</x:v>
      </x:c>
      <x:c r="F49" s="9" t="str">
        <x:v>小</x:v>
      </x:c>
      <x:c r="G49" s="9" t="str">
        <x:v>輕</x:v>
      </x:c>
      <x:c r="H49" s="9" t="str">
        <x:v>否</x:v>
      </x:c>
      <x:c r="I49" s="9" t="str">
        <x:v>否</x:v>
      </x:c>
      <x:c r="J49" s="9" t="str">
        <x:v>否</x:v>
      </x:c>
      <x:c r="K49" s="9" t="str">
        <x:v>1區</x:v>
      </x:c>
      <x:c r="L49" s="9" t="n">
        <x:v>21</x:v>
      </x:c>
      <x:c r="M49" s="9" t="str">
        <x:v>Cluster 5</x:v>
      </x:c>
      <x:c r="N49" s="9" t="str">
        <x:v>#E74C3C</x:v>
      </x:c>
      <x:c r="O49" s="9" t="str">
        <x:v>中頻一般或補貨商品</x:v>
      </x:c>
      <x:c r="P49" s="9" t="str">
        <x:v>中段一般儲位</x:v>
      </x:c>
      <x:c r="Q49" s="9" t="str">
        <x:v>中頻、小品項</x:v>
      </x:c>
      <x:c r="R49" s="9" t="n">
        <x:f>IF(F49="小",1,IF(F49="中",2,IF(F49="大",3,0)))</x:f>
        <x:v>1</x:v>
      </x:c>
      <x:c r="S49" s="9" t="n">
        <x:f>IF(G49="輕",1,IF(G49="中",2,IF(G49="重",3,0)))</x:f>
        <x:v>1</x:v>
      </x:c>
      <x:c r="T49" s="9" t="n">
        <x:f>IF(H49="是",1,0)</x:f>
        <x:v>0</x:v>
      </x:c>
      <x:c r="U49" s="9" t="n">
        <x:f>IF(I49="是",1,0)</x:f>
        <x:v>0</x:v>
      </x:c>
      <x:c r="V49" s="9" t="n">
        <x:f>IF(J49="是",1,0)</x:f>
        <x:v>0</x:v>
      </x:c>
      <x:c r="W49" s="9" t="n">
        <x:v>-1.296568617224107</x:v>
      </x:c>
      <x:c r="X49" s="9" t="n">
        <x:v>-1.933239604128836</x:v>
      </x:c>
      <x:c r="Y49" s="9" t="str">
        <x:v>Train</x:v>
      </x:c>
      <x:c r="Z49" s="9" t="str">
        <x:v>已分群</x:v>
      </x:c>
    </x:row>
    <x:row r="50">
      <x:c r="A50" s="9" t="str">
        <x:v>PX046</x:v>
      </x:c>
      <x:c r="B50" s="9" t="str">
        <x:v>玻璃保鮮盒</x:v>
      </x:c>
      <x:c r="C50" s="9" t="str">
        <x:v>家用品</x:v>
      </x:c>
      <x:c r="D50" s="9" t="n">
        <x:v>18</x:v>
      </x:c>
      <x:c r="E50" s="9" t="n">
        <x:v>11</x:v>
      </x:c>
      <x:c r="F50" s="9" t="str">
        <x:v>中</x:v>
      </x:c>
      <x:c r="G50" s="9" t="str">
        <x:v>中</x:v>
      </x:c>
      <x:c r="H50" s="9" t="str">
        <x:v>否</x:v>
      </x:c>
      <x:c r="I50" s="9" t="str">
        <x:v>是</x:v>
      </x:c>
      <x:c r="J50" s="9" t="str">
        <x:v>否</x:v>
      </x:c>
      <x:c r="K50" s="9" t="str">
        <x:v>A區</x:v>
      </x:c>
      <x:c r="L50" s="9" t="n">
        <x:v>57</x:v>
      </x:c>
      <x:c r="M50" s="9" t="str">
        <x:v>Cluster 1</x:v>
      </x:c>
      <x:c r="N50" s="9" t="str">
        <x:v>#2E86DE</x:v>
      </x:c>
      <x:c r="O50" s="9" t="str">
        <x:v>中頻一般或補貨商品</x:v>
      </x:c>
      <x:c r="P50" s="9" t="str">
        <x:v>中段一般儲位</x:v>
      </x:c>
      <x:c r="Q50" s="9" t="str">
        <x:v>低頻、易碎</x:v>
      </x:c>
      <x:c r="R50" s="9" t="n">
        <x:f>IF(F50="小",1,IF(F50="中",2,IF(F50="大",3,0)))</x:f>
        <x:v>2</x:v>
      </x:c>
      <x:c r="S50" s="9" t="n">
        <x:f>IF(G50="輕",1,IF(G50="中",2,IF(G50="重",3,0)))</x:f>
        <x:v>2</x:v>
      </x:c>
      <x:c r="T50" s="9" t="n">
        <x:f>IF(H50="是",1,0)</x:f>
        <x:v>0</x:v>
      </x:c>
      <x:c r="U50" s="9" t="n">
        <x:f>IF(I50="是",1,0)</x:f>
        <x:v>1</x:v>
      </x:c>
      <x:c r="V50" s="9" t="n">
        <x:f>IF(J50="是",1,0)</x:f>
        <x:v>0</x:v>
      </x:c>
      <x:c r="W50" s="9" t="n">
        <x:v>-1.243993241943008</x:v>
      </x:c>
      <x:c r="X50" s="9" t="n">
        <x:v>1.815588769940477</x:v>
      </x:c>
      <x:c r="Y50" s="9" t="str">
        <x:v>Train</x:v>
      </x:c>
      <x:c r="Z50" s="9" t="str">
        <x:v>已分群</x:v>
      </x:c>
    </x:row>
    <x:row r="51">
      <x:c r="A51" s="9" t="str">
        <x:v>PX047</x:v>
      </x:c>
      <x:c r="B51" s="9" t="str">
        <x:v>咖哩塊箱</x:v>
      </x:c>
      <x:c r="C51" s="9" t="str">
        <x:v>食品類</x:v>
      </x:c>
      <x:c r="D51" s="9" t="n">
        <x:v>39</x:v>
      </x:c>
      <x:c r="E51" s="9" t="n">
        <x:v>25</x:v>
      </x:c>
      <x:c r="F51" s="9" t="str">
        <x:v>小</x:v>
      </x:c>
      <x:c r="G51" s="9" t="str">
        <x:v>輕</x:v>
      </x:c>
      <x:c r="H51" s="9" t="str">
        <x:v>否</x:v>
      </x:c>
      <x:c r="I51" s="9" t="str">
        <x:v>否</x:v>
      </x:c>
      <x:c r="J51" s="9" t="str">
        <x:v>否</x:v>
      </x:c>
      <x:c r="K51" s="9" t="str">
        <x:v>3區</x:v>
      </x:c>
      <x:c r="L51" s="9" t="n">
        <x:v>39</x:v>
      </x:c>
      <x:c r="M51" s="9" t="str">
        <x:v>Cluster 5</x:v>
      </x:c>
      <x:c r="N51" s="9" t="str">
        <x:v>#E74C3C</x:v>
      </x:c>
      <x:c r="O51" s="9" t="str">
        <x:v>中頻一般或補貨商品</x:v>
      </x:c>
      <x:c r="P51" s="9" t="str">
        <x:v>中段一般儲位</x:v>
      </x:c>
      <x:c r="Q51" s="9" t="str">
        <x:v>中頻、食品</x:v>
      </x:c>
      <x:c r="R51" s="9" t="n">
        <x:f>IF(F51="小",1,IF(F51="中",2,IF(F51="大",3,0)))</x:f>
        <x:v>1</x:v>
      </x:c>
      <x:c r="S51" s="9" t="n">
        <x:f>IF(G51="輕",1,IF(G51="中",2,IF(G51="重",3,0)))</x:f>
        <x:v>1</x:v>
      </x:c>
      <x:c r="T51" s="9" t="n">
        <x:f>IF(H51="是",1,0)</x:f>
        <x:v>0</x:v>
      </x:c>
      <x:c r="U51" s="9" t="n">
        <x:f>IF(I51="是",1,0)</x:f>
        <x:v>0</x:v>
      </x:c>
      <x:c r="V51" s="9" t="n">
        <x:f>IF(J51="是",1,0)</x:f>
        <x:v>0</x:v>
      </x:c>
      <x:c r="W51" s="9" t="n">
        <x:v>-1.374440167743545</x:v>
      </x:c>
      <x:c r="X51" s="9" t="n">
        <x:v>-1.038325985422414</x:v>
      </x:c>
      <x:c r="Y51" s="9" t="str">
        <x:v>Train</x:v>
      </x:c>
      <x:c r="Z51" s="9" t="str">
        <x:v>已分群</x:v>
      </x:c>
    </x:row>
    <x:row r="52">
      <x:c r="A52" s="9" t="str">
        <x:v>PX048</x:v>
      </x:c>
      <x:c r="B52" s="9" t="str">
        <x:v>餐巾紙箱</x:v>
      </x:c>
      <x:c r="C52" s="9" t="str">
        <x:v>紙品類</x:v>
      </x:c>
      <x:c r="D52" s="9" t="n">
        <x:v>72</x:v>
      </x:c>
      <x:c r="E52" s="9" t="n">
        <x:v>43</x:v>
      </x:c>
      <x:c r="F52" s="9" t="str">
        <x:v>大</x:v>
      </x:c>
      <x:c r="G52" s="9" t="str">
        <x:v>輕</x:v>
      </x:c>
      <x:c r="H52" s="9" t="str">
        <x:v>否</x:v>
      </x:c>
      <x:c r="I52" s="9" t="str">
        <x:v>否</x:v>
      </x:c>
      <x:c r="J52" s="9" t="str">
        <x:v>否</x:v>
      </x:c>
      <x:c r="K52" s="9" t="str">
        <x:v>A區</x:v>
      </x:c>
      <x:c r="L52" s="9" t="n">
        <x:v>36</x:v>
      </x:c>
      <x:c r="M52" s="9" t="str">
        <x:v>Cluster 2</x:v>
      </x:c>
      <x:c r="N52" s="9" t="str">
        <x:v>#F39C12</x:v>
      </x:c>
      <x:c r="O52" s="9" t="str">
        <x:v>中頻一般或補貨商品</x:v>
      </x:c>
      <x:c r="P52" s="9" t="str">
        <x:v>中段一般儲位</x:v>
      </x:c>
      <x:c r="Q52" s="9" t="str">
        <x:v>中高頻、體積大</x:v>
      </x:c>
      <x:c r="R52" s="9" t="n">
        <x:f>IF(F52="小",1,IF(F52="中",2,IF(F52="大",3,0)))</x:f>
        <x:v>3</x:v>
      </x:c>
      <x:c r="S52" s="9" t="n">
        <x:f>IF(G52="輕",1,IF(G52="中",2,IF(G52="重",3,0)))</x:f>
        <x:v>1</x:v>
      </x:c>
      <x:c r="T52" s="9" t="n">
        <x:f>IF(H52="是",1,0)</x:f>
        <x:v>0</x:v>
      </x:c>
      <x:c r="U52" s="9" t="n">
        <x:f>IF(I52="是",1,0)</x:f>
        <x:v>0</x:v>
      </x:c>
      <x:c r="V52" s="9" t="n">
        <x:f>IF(J52="是",1,0)</x:f>
        <x:v>0</x:v>
      </x:c>
      <x:c r="W52" s="9" t="n">
        <x:v>-0.01298816837637973</x:v>
      </x:c>
      <x:c r="X52" s="9" t="n">
        <x:v>-0.1745320009308349</x:v>
      </x:c>
      <x:c r="Y52" s="9" t="str">
        <x:v>Train</x:v>
      </x:c>
      <x:c r="Z52" s="9" t="str">
        <x:v>已分群</x:v>
      </x:c>
    </x:row>
    <x:row r="53">
      <x:c r="A53" s="9" t="str">
        <x:v>PX049</x:v>
      </x:c>
      <x:c r="B53" s="9" t="str">
        <x:v>地板清潔劑</x:v>
      </x:c>
      <x:c r="C53" s="9" t="str">
        <x:v>清潔用品</x:v>
      </x:c>
      <x:c r="D53" s="9" t="n">
        <x:v>58</x:v>
      </x:c>
      <x:c r="E53" s="9" t="n">
        <x:v>37</x:v>
      </x:c>
      <x:c r="F53" s="9" t="str">
        <x:v>中</x:v>
      </x:c>
      <x:c r="G53" s="9" t="str">
        <x:v>中</x:v>
      </x:c>
      <x:c r="H53" s="9" t="str">
        <x:v>是</x:v>
      </x:c>
      <x:c r="I53" s="9" t="str">
        <x:v>否</x:v>
      </x:c>
      <x:c r="J53" s="9" t="str">
        <x:v>否</x:v>
      </x:c>
      <x:c r="K53" s="9" t="str">
        <x:v>K區</x:v>
      </x:c>
      <x:c r="L53" s="9" t="n">
        <x:v>44</x:v>
      </x:c>
      <x:c r="M53" s="9" t="str">
        <x:v>Cluster 2</x:v>
      </x:c>
      <x:c r="N53" s="9" t="str">
        <x:v>#F39C12</x:v>
      </x:c>
      <x:c r="O53" s="9" t="str">
        <x:v>中頻一般或補貨商品</x:v>
      </x:c>
      <x:c r="P53" s="9" t="str">
        <x:v>中段一般儲位</x:v>
      </x:c>
      <x:c r="Q53" s="9" t="str">
        <x:v>液體、中頻</x:v>
      </x:c>
      <x:c r="R53" s="9" t="n">
        <x:f>IF(F53="小",1,IF(F53="中",2,IF(F53="大",3,0)))</x:f>
        <x:v>2</x:v>
      </x:c>
      <x:c r="S53" s="9" t="n">
        <x:f>IF(G53="輕",1,IF(G53="中",2,IF(G53="重",3,0)))</x:f>
        <x:v>2</x:v>
      </x:c>
      <x:c r="T53" s="9" t="n">
        <x:f>IF(H53="是",1,0)</x:f>
        <x:v>1</x:v>
      </x:c>
      <x:c r="U53" s="9" t="n">
        <x:f>IF(I53="是",1,0)</x:f>
        <x:v>0</x:v>
      </x:c>
      <x:c r="V53" s="9" t="n">
        <x:f>IF(J53="是",1,0)</x:f>
        <x:v>0</x:v>
      </x:c>
      <x:c r="W53" s="9" t="n">
        <x:v>0.553424046757035</x:v>
      </x:c>
      <x:c r="X53" s="9" t="n">
        <x:v>-0.09317640356062634</x:v>
      </x:c>
      <x:c r="Y53" s="9" t="str">
        <x:v>Train</x:v>
      </x:c>
      <x:c r="Z53" s="9" t="str">
        <x:v>已分群</x:v>
      </x:c>
    </x:row>
    <x:row r="54">
      <x:c r="A54" s="9" t="str">
        <x:v>PX050</x:v>
      </x:c>
      <x:c r="B54" s="9" t="str">
        <x:v>年節禮盒組</x:v>
      </x:c>
      <x:c r="C54" s="9" t="str">
        <x:v>季節商品</x:v>
      </x:c>
      <x:c r="D54" s="9" t="n">
        <x:v>14</x:v>
      </x:c>
      <x:c r="E54" s="9" t="n">
        <x:v>7</x:v>
      </x:c>
      <x:c r="F54" s="9" t="str">
        <x:v>大</x:v>
      </x:c>
      <x:c r="G54" s="9" t="str">
        <x:v>中</x:v>
      </x:c>
      <x:c r="H54" s="9" t="str">
        <x:v>否</x:v>
      </x:c>
      <x:c r="I54" s="9" t="str">
        <x:v>是</x:v>
      </x:c>
      <x:c r="J54" s="9" t="str">
        <x:v>是</x:v>
      </x:c>
      <x:c r="K54" s="9" t="str">
        <x:v>A區</x:v>
      </x:c>
      <x:c r="L54" s="9" t="n">
        <x:v>62</x:v>
      </x:c>
      <x:c r="M54" s="9" t="str">
        <x:v>Cluster 4</x:v>
      </x:c>
      <x:c r="N54" s="9" t="str">
        <x:v>#8E44AD</x:v>
      </x:c>
      <x:c r="O54" s="9" t="str">
        <x:v>低頻季節性商品</x:v>
      </x:c>
      <x:c r="P54" s="9" t="str">
        <x:v>遠端彈性儲位</x:v>
      </x:c>
      <x:c r="Q54" s="9" t="str">
        <x:v>低頻、季節性、占空間</x:v>
      </x:c>
      <x:c r="R54" s="9" t="n">
        <x:f>IF(F54="小",1,IF(F54="中",2,IF(F54="大",3,0)))</x:f>
        <x:v>3</x:v>
      </x:c>
      <x:c r="S54" s="9" t="n">
        <x:f>IF(G54="輕",1,IF(G54="中",2,IF(G54="重",3,0)))</x:f>
        <x:v>2</x:v>
      </x:c>
      <x:c r="T54" s="9" t="n">
        <x:f>IF(H54="是",1,0)</x:f>
        <x:v>0</x:v>
      </x:c>
      <x:c r="U54" s="9" t="n">
        <x:f>IF(I54="是",1,0)</x:f>
        <x:v>1</x:v>
      </x:c>
      <x:c r="V54" s="9" t="n">
        <x:f>IF(J54="是",1,0)</x:f>
        <x:v>1</x:v>
      </x:c>
      <x:c r="W54" s="9" t="n">
        <x:v>-1.778120983266754</x:v>
      </x:c>
      <x:c r="X54" s="9" t="n">
        <x:v>4.184635636126909</x:v>
      </x:c>
      <x:c r="Y54" s="9" t="str">
        <x:v>Train</x:v>
      </x:c>
      <x:c r="Z54" s="9" t="str">
        <x:v>已分群</x:v>
      </x:c>
    </x:row>
    <x:row r="55">
      <x:c r="A55" s="10" t="str">
        <x:v>NX001</x:v>
      </x:c>
      <x:c r="B55" s="10" t="str">
        <x:v>新品氣泡水24入</x:v>
      </x:c>
      <x:c r="C55" s="10" t="str">
        <x:v>飲品類</x:v>
      </x:c>
      <x:c r="D55" s="10" t="n">
        <x:v>145</x:v>
      </x:c>
      <x:c r="E55" s="10" t="n">
        <x:v>74</x:v>
      </x:c>
      <x:c r="F55" s="10" t="str">
        <x:v>中</x:v>
      </x:c>
      <x:c r="G55" s="10" t="str">
        <x:v>重</x:v>
      </x:c>
      <x:c r="H55" s="10" t="str">
        <x:v>是</x:v>
      </x:c>
      <x:c r="I55" s="10" t="str">
        <x:v>否</x:v>
      </x:c>
      <x:c r="J55" s="10" t="str">
        <x:v>否</x:v>
      </x:c>
      <x:c r="K55" s="10" t="str">
        <x:v>待分配</x:v>
      </x:c>
      <x:c r="L55" s="10" t="n">
        <x:v>0</x:v>
      </x:c>
      <x:c r="M55" s="10"/>
      <x:c r="N55" s="10"/>
      <x:c r="O55" s="10"/>
      <x:c r="P55" s="10"/>
      <x:c r="Q55" s="10" t="str">
        <x:v>新品、高頻液體</x:v>
      </x:c>
      <x:c r="R55" s="10" t="n">
        <x:f>IF(F55="小",1,IF(F55="中",2,IF(F55="大",3,0)))</x:f>
        <x:v>2</x:v>
      </x:c>
      <x:c r="S55" s="10" t="n">
        <x:f>IF(G55="輕",1,IF(G55="中",2,IF(G55="重",3,0)))</x:f>
        <x:v>3</x:v>
      </x:c>
      <x:c r="T55" s="10" t="n">
        <x:f>IF(H55="是",1,0)</x:f>
        <x:v>1</x:v>
      </x:c>
      <x:c r="U55" s="10" t="n">
        <x:f>IF(I55="是",1,0)</x:f>
        <x:v>0</x:v>
      </x:c>
      <x:c r="V55" s="10" t="n">
        <x:f>IF(J55="是",1,0)</x:f>
        <x:v>0</x:v>
      </x:c>
      <x:c r="W55" s="10"/>
      <x:c r="X55" s="10"/>
      <x:c r="Y55" s="10" t="str">
        <x:v>Predict</x:v>
      </x:c>
      <x:c r="Z55" s="10" t="str">
        <x:v>待預測</x:v>
      </x:c>
    </x:row>
    <x:row r="56">
      <x:c r="A56" s="10" t="str">
        <x:v>NX002</x:v>
      </x:c>
      <x:c r="B56" s="10" t="str">
        <x:v>新品加厚抽取紙</x:v>
      </x:c>
      <x:c r="C56" s="10" t="str">
        <x:v>紙品類</x:v>
      </x:c>
      <x:c r="D56" s="10" t="n">
        <x:v>125</x:v>
      </x:c>
      <x:c r="E56" s="10" t="n">
        <x:v>62</x:v>
      </x:c>
      <x:c r="F56" s="10" t="str">
        <x:v>大</x:v>
      </x:c>
      <x:c r="G56" s="10" t="str">
        <x:v>輕</x:v>
      </x:c>
      <x:c r="H56" s="10" t="str">
        <x:v>否</x:v>
      </x:c>
      <x:c r="I56" s="10" t="str">
        <x:v>否</x:v>
      </x:c>
      <x:c r="J56" s="10" t="str">
        <x:v>否</x:v>
      </x:c>
      <x:c r="K56" s="10" t="str">
        <x:v>待分配</x:v>
      </x:c>
      <x:c r="L56" s="10" t="n">
        <x:v>0</x:v>
      </x:c>
      <x:c r="M56" s="10"/>
      <x:c r="N56" s="10"/>
      <x:c r="O56" s="10"/>
      <x:c r="P56" s="10"/>
      <x:c r="Q56" s="10" t="str">
        <x:v>新品、大體積紙品</x:v>
      </x:c>
      <x:c r="R56" s="10" t="n">
        <x:f>IF(F56="小",1,IF(F56="中",2,IF(F56="大",3,0)))</x:f>
        <x:v>3</x:v>
      </x:c>
      <x:c r="S56" s="10" t="n">
        <x:f>IF(G56="輕",1,IF(G56="中",2,IF(G56="重",3,0)))</x:f>
        <x:v>1</x:v>
      </x:c>
      <x:c r="T56" s="10" t="n">
        <x:f>IF(H56="是",1,0)</x:f>
        <x:v>0</x:v>
      </x:c>
      <x:c r="U56" s="10" t="n">
        <x:f>IF(I56="是",1,0)</x:f>
        <x:v>0</x:v>
      </x:c>
      <x:c r="V56" s="10" t="n">
        <x:f>IF(J56="是",1,0)</x:f>
        <x:v>0</x:v>
      </x:c>
      <x:c r="W56" s="10"/>
      <x:c r="X56" s="10"/>
      <x:c r="Y56" s="10" t="str">
        <x:v>Predict</x:v>
      </x:c>
      <x:c r="Z56" s="10" t="str">
        <x:v>待預測</x:v>
      </x:c>
    </x:row>
    <x:row r="57">
      <x:c r="A57" s="10" t="str">
        <x:v>NX003</x:v>
      </x:c>
      <x:c r="B57" s="10" t="str">
        <x:v>新品玻璃保鮮罐</x:v>
      </x:c>
      <x:c r="C57" s="10" t="str">
        <x:v>家用品</x:v>
      </x:c>
      <x:c r="D57" s="10" t="n">
        <x:v>42</x:v>
      </x:c>
      <x:c r="E57" s="10" t="n">
        <x:v>24</x:v>
      </x:c>
      <x:c r="F57" s="10" t="str">
        <x:v>中</x:v>
      </x:c>
      <x:c r="G57" s="10" t="str">
        <x:v>中</x:v>
      </x:c>
      <x:c r="H57" s="10" t="str">
        <x:v>否</x:v>
      </x:c>
      <x:c r="I57" s="10" t="str">
        <x:v>是</x:v>
      </x:c>
      <x:c r="J57" s="10" t="str">
        <x:v>否</x:v>
      </x:c>
      <x:c r="K57" s="10" t="str">
        <x:v>待分配</x:v>
      </x:c>
      <x:c r="L57" s="10" t="n">
        <x:v>0</x:v>
      </x:c>
      <x:c r="M57" s="10"/>
      <x:c r="N57" s="10"/>
      <x:c r="O57" s="10"/>
      <x:c r="P57" s="10"/>
      <x:c r="Q57" s="10" t="str">
        <x:v>新品、易碎</x:v>
      </x:c>
      <x:c r="R57" s="10" t="n">
        <x:f>IF(F57="小",1,IF(F57="中",2,IF(F57="大",3,0)))</x:f>
        <x:v>2</x:v>
      </x:c>
      <x:c r="S57" s="10" t="n">
        <x:f>IF(G57="輕",1,IF(G57="中",2,IF(G57="重",3,0)))</x:f>
        <x:v>2</x:v>
      </x:c>
      <x:c r="T57" s="10" t="n">
        <x:f>IF(H57="是",1,0)</x:f>
        <x:v>0</x:v>
      </x:c>
      <x:c r="U57" s="10" t="n">
        <x:f>IF(I57="是",1,0)</x:f>
        <x:v>1</x:v>
      </x:c>
      <x:c r="V57" s="10" t="n">
        <x:f>IF(J57="是",1,0)</x:f>
        <x:v>0</x:v>
      </x:c>
      <x:c r="W57" s="10"/>
      <x:c r="X57" s="10"/>
      <x:c r="Y57" s="10" t="str">
        <x:v>Predict</x:v>
      </x:c>
      <x:c r="Z57" s="10" t="str">
        <x:v>待預測</x:v>
      </x:c>
    </x:row>
    <x:row r="58">
      <x:c r="A58" s="10" t="str">
        <x:v>NX004</x:v>
      </x:c>
      <x:c r="B58" s="10" t="str">
        <x:v>新品冬季暖墊</x:v>
      </x:c>
      <x:c r="C58" s="10" t="str">
        <x:v>季節用品</x:v>
      </x:c>
      <x:c r="D58" s="10" t="n">
        <x:v>38</x:v>
      </x:c>
      <x:c r="E58" s="10" t="n">
        <x:v>21</x:v>
      </x:c>
      <x:c r="F58" s="10" t="str">
        <x:v>大</x:v>
      </x:c>
      <x:c r="G58" s="10" t="str">
        <x:v>中</x:v>
      </x:c>
      <x:c r="H58" s="10" t="str">
        <x:v>否</x:v>
      </x:c>
      <x:c r="I58" s="10" t="str">
        <x:v>否</x:v>
      </x:c>
      <x:c r="J58" s="10" t="str">
        <x:v>是</x:v>
      </x:c>
      <x:c r="K58" s="10" t="str">
        <x:v>待分配</x:v>
      </x:c>
      <x:c r="L58" s="10" t="n">
        <x:v>0</x:v>
      </x:c>
      <x:c r="M58" s="10"/>
      <x:c r="N58" s="10"/>
      <x:c r="O58" s="10"/>
      <x:c r="P58" s="10"/>
      <x:c r="Q58" s="10" t="str">
        <x:v>新品、季節性大件</x:v>
      </x:c>
      <x:c r="R58" s="10" t="n">
        <x:f>IF(F58="小",1,IF(F58="中",2,IF(F58="大",3,0)))</x:f>
        <x:v>3</x:v>
      </x:c>
      <x:c r="S58" s="10" t="n">
        <x:f>IF(G58="輕",1,IF(G58="中",2,IF(G58="重",3,0)))</x:f>
        <x:v>2</x:v>
      </x:c>
      <x:c r="T58" s="10" t="n">
        <x:f>IF(H58="是",1,0)</x:f>
        <x:v>0</x:v>
      </x:c>
      <x:c r="U58" s="10" t="n">
        <x:f>IF(I58="是",1,0)</x:f>
        <x:v>0</x:v>
      </x:c>
      <x:c r="V58" s="10" t="n">
        <x:f>IF(J58="是",1,0)</x:f>
        <x:v>1</x:v>
      </x:c>
      <x:c r="W58" s="10"/>
      <x:c r="X58" s="10"/>
      <x:c r="Y58" s="10" t="str">
        <x:v>Predict</x:v>
      </x:c>
      <x:c r="Z58" s="10" t="str">
        <x:v>待預測</x:v>
      </x:c>
    </x:row>
    <x:row r="59">
      <x:c r="A59" s="10" t="str">
        <x:v>NX005</x:v>
      </x:c>
      <x:c r="B59" s="10" t="str">
        <x:v>新品小型電池組</x:v>
      </x:c>
      <x:c r="C59" s="10" t="str">
        <x:v>耗材類</x:v>
      </x:c>
      <x:c r="D59" s="10" t="n">
        <x:v>48</x:v>
      </x:c>
      <x:c r="E59" s="10" t="n">
        <x:v>28</x:v>
      </x:c>
      <x:c r="F59" s="10" t="str">
        <x:v>小</x:v>
      </x:c>
      <x:c r="G59" s="10" t="str">
        <x:v>中</x:v>
      </x:c>
      <x:c r="H59" s="10" t="str">
        <x:v>否</x:v>
      </x:c>
      <x:c r="I59" s="10" t="str">
        <x:v>否</x:v>
      </x:c>
      <x:c r="J59" s="10" t="str">
        <x:v>否</x:v>
      </x:c>
      <x:c r="K59" s="10" t="str">
        <x:v>待分配</x:v>
      </x:c>
      <x:c r="L59" s="10" t="n">
        <x:v>0</x:v>
      </x:c>
      <x:c r="M59" s="10"/>
      <x:c r="N59" s="10"/>
      <x:c r="O59" s="10"/>
      <x:c r="P59" s="10"/>
      <x:c r="Q59" s="10" t="str">
        <x:v>新品、小件耗材</x:v>
      </x:c>
      <x:c r="R59" s="10" t="n">
        <x:f>IF(F59="小",1,IF(F59="中",2,IF(F59="大",3,0)))</x:f>
        <x:v>1</x:v>
      </x:c>
      <x:c r="S59" s="10" t="n">
        <x:f>IF(G59="輕",1,IF(G59="中",2,IF(G59="重",3,0)))</x:f>
        <x:v>2</x:v>
      </x:c>
      <x:c r="T59" s="10" t="n">
        <x:f>IF(H59="是",1,0)</x:f>
        <x:v>0</x:v>
      </x:c>
      <x:c r="U59" s="10" t="n">
        <x:f>IF(I59="是",1,0)</x:f>
        <x:v>0</x:v>
      </x:c>
      <x:c r="V59" s="10" t="n">
        <x:f>IF(J59="是",1,0)</x:f>
        <x:v>0</x:v>
      </x:c>
      <x:c r="W59" s="10"/>
      <x:c r="X59" s="10"/>
      <x:c r="Y59" s="10" t="str">
        <x:v>Predict</x:v>
      </x:c>
      <x:c r="Z59" s="10" t="str">
        <x:v>待預測</x:v>
      </x:c>
    </x:row>
    <x:row r="60">
      <x:c r="A60" s="10" t="str">
        <x:v>NX006</x:v>
      </x:c>
      <x:c r="B60" s="10" t="str">
        <x:v>新品洗衣凝膠</x:v>
      </x:c>
      <x:c r="C60" s="10" t="str">
        <x:v>清潔用品</x:v>
      </x:c>
      <x:c r="D60" s="10" t="n">
        <x:v>92</x:v>
      </x:c>
      <x:c r="E60" s="10" t="n">
        <x:v>48</x:v>
      </x:c>
      <x:c r="F60" s="10" t="str">
        <x:v>中</x:v>
      </x:c>
      <x:c r="G60" s="10" t="str">
        <x:v>重</x:v>
      </x:c>
      <x:c r="H60" s="10" t="str">
        <x:v>是</x:v>
      </x:c>
      <x:c r="I60" s="10" t="str">
        <x:v>否</x:v>
      </x:c>
      <x:c r="J60" s="10" t="str">
        <x:v>否</x:v>
      </x:c>
      <x:c r="K60" s="10" t="str">
        <x:v>待分配</x:v>
      </x:c>
      <x:c r="L60" s="10" t="n">
        <x:v>0</x:v>
      </x:c>
      <x:c r="M60" s="10"/>
      <x:c r="N60" s="10"/>
      <x:c r="O60" s="10"/>
      <x:c r="P60" s="10"/>
      <x:c r="Q60" s="10" t="str">
        <x:v>新品、液體重物</x:v>
      </x:c>
      <x:c r="R60" s="10" t="n">
        <x:f>IF(F60="小",1,IF(F60="中",2,IF(F60="大",3,0)))</x:f>
        <x:v>2</x:v>
      </x:c>
      <x:c r="S60" s="10" t="n">
        <x:f>IF(G60="輕",1,IF(G60="中",2,IF(G60="重",3,0)))</x:f>
        <x:v>3</x:v>
      </x:c>
      <x:c r="T60" s="10" t="n">
        <x:f>IF(H60="是",1,0)</x:f>
        <x:v>1</x:v>
      </x:c>
      <x:c r="U60" s="10" t="n">
        <x:f>IF(I60="是",1,0)</x:f>
        <x:v>0</x:v>
      </x:c>
      <x:c r="V60" s="10" t="n">
        <x:f>IF(J60="是",1,0)</x:f>
        <x:v>0</x:v>
      </x:c>
      <x:c r="W60" s="10"/>
      <x:c r="X60" s="10"/>
      <x:c r="Y60" s="10" t="str">
        <x:v>Predict</x:v>
      </x:c>
      <x:c r="Z60" s="10" t="str">
        <x:v>待預測</x:v>
      </x:c>
    </x:row>
    <x:row r="61">
      <x:c r="A61" s="10" t="str">
        <x:v>NX007</x:v>
      </x:c>
      <x:c r="B61" s="10" t="str">
        <x:v>新品寵物濕糧箱</x:v>
      </x:c>
      <x:c r="C61" s="10" t="str">
        <x:v>寵物用品</x:v>
      </x:c>
      <x:c r="D61" s="10" t="n">
        <x:v>88</x:v>
      </x:c>
      <x:c r="E61" s="10" t="n">
        <x:v>45</x:v>
      </x:c>
      <x:c r="F61" s="10" t="str">
        <x:v>中</x:v>
      </x:c>
      <x:c r="G61" s="10" t="str">
        <x:v>重</x:v>
      </x:c>
      <x:c r="H61" s="10" t="str">
        <x:v>是</x:v>
      </x:c>
      <x:c r="I61" s="10" t="str">
        <x:v>否</x:v>
      </x:c>
      <x:c r="J61" s="10" t="str">
        <x:v>否</x:v>
      </x:c>
      <x:c r="K61" s="10" t="str">
        <x:v>待分配</x:v>
      </x:c>
      <x:c r="L61" s="10" t="n">
        <x:v>0</x:v>
      </x:c>
      <x:c r="M61" s="10"/>
      <x:c r="N61" s="10"/>
      <x:c r="O61" s="10"/>
      <x:c r="P61" s="10"/>
      <x:c r="Q61" s="10" t="str">
        <x:v>新品、重物液體</x:v>
      </x:c>
      <x:c r="R61" s="10" t="n">
        <x:f>IF(F61="小",1,IF(F61="中",2,IF(F61="大",3,0)))</x:f>
        <x:v>2</x:v>
      </x:c>
      <x:c r="S61" s="10" t="n">
        <x:f>IF(G61="輕",1,IF(G61="中",2,IF(G61="重",3,0)))</x:f>
        <x:v>3</x:v>
      </x:c>
      <x:c r="T61" s="10" t="n">
        <x:f>IF(H61="是",1,0)</x:f>
        <x:v>1</x:v>
      </x:c>
      <x:c r="U61" s="10" t="n">
        <x:f>IF(I61="是",1,0)</x:f>
        <x:v>0</x:v>
      </x:c>
      <x:c r="V61" s="10" t="n">
        <x:f>IF(J61="是",1,0)</x:f>
        <x:v>0</x:v>
      </x:c>
      <x:c r="W61" s="10"/>
      <x:c r="X61" s="10"/>
      <x:c r="Y61" s="10" t="str">
        <x:v>Predict</x:v>
      </x:c>
      <x:c r="Z61" s="10" t="str">
        <x:v>待預測</x:v>
      </x:c>
    </x:row>
    <x:row r="62">
      <x:c r="A62" s="10" t="str">
        <x:v>NX008</x:v>
      </x:c>
      <x:c r="B62" s="10" t="str">
        <x:v>新品大型收納籃</x:v>
      </x:c>
      <x:c r="C62" s="10" t="str">
        <x:v>家用品</x:v>
      </x:c>
      <x:c r="D62" s="10" t="n">
        <x:v>36</x:v>
      </x:c>
      <x:c r="E62" s="10" t="n">
        <x:v>19</x:v>
      </x:c>
      <x:c r="F62" s="10" t="str">
        <x:v>大</x:v>
      </x:c>
      <x:c r="G62" s="10" t="str">
        <x:v>輕</x:v>
      </x:c>
      <x:c r="H62" s="10" t="str">
        <x:v>否</x:v>
      </x:c>
      <x:c r="I62" s="10" t="str">
        <x:v>否</x:v>
      </x:c>
      <x:c r="J62" s="10" t="str">
        <x:v>否</x:v>
      </x:c>
      <x:c r="K62" s="10" t="str">
        <x:v>待分配</x:v>
      </x:c>
      <x:c r="L62" s="10" t="n">
        <x:v>0</x:v>
      </x:c>
      <x:c r="M62" s="10"/>
      <x:c r="N62" s="10"/>
      <x:c r="O62" s="10"/>
      <x:c r="P62" s="10"/>
      <x:c r="Q62" s="10" t="str">
        <x:v>新品、大體積低頻</x:v>
      </x:c>
      <x:c r="R62" s="10" t="n">
        <x:f>IF(F62="小",1,IF(F62="中",2,IF(F62="大",3,0)))</x:f>
        <x:v>3</x:v>
      </x:c>
      <x:c r="S62" s="10" t="n">
        <x:f>IF(G62="輕",1,IF(G62="中",2,IF(G62="重",3,0)))</x:f>
        <x:v>1</x:v>
      </x:c>
      <x:c r="T62" s="10" t="n">
        <x:f>IF(H62="是",1,0)</x:f>
        <x:v>0</x:v>
      </x:c>
      <x:c r="U62" s="10" t="n">
        <x:f>IF(I62="是",1,0)</x:f>
        <x:v>0</x:v>
      </x:c>
      <x:c r="V62" s="10" t="n">
        <x:f>IF(J62="是",1,0)</x:f>
        <x:v>0</x:v>
      </x:c>
      <x:c r="W62" s="10"/>
      <x:c r="X62" s="10"/>
      <x:c r="Y62" s="10" t="str">
        <x:v>Predict</x:v>
      </x:c>
      <x:c r="Z62" s="10" t="str">
        <x:v>待預測</x:v>
      </x:c>
    </x:row>
    <x:row r="63">
      <x:c r="A63" s="10" t="str">
        <x:v>NX009</x:v>
      </x:c>
      <x:c r="B63" s="10" t="str">
        <x:v>新品兒童玻璃杯</x:v>
      </x:c>
      <x:c r="C63" s="10" t="str">
        <x:v>家用品</x:v>
      </x:c>
      <x:c r="D63" s="10" t="n">
        <x:v>32</x:v>
      </x:c>
      <x:c r="E63" s="10" t="n">
        <x:v>18</x:v>
      </x:c>
      <x:c r="F63" s="10" t="str">
        <x:v>小</x:v>
      </x:c>
      <x:c r="G63" s="10" t="str">
        <x:v>中</x:v>
      </x:c>
      <x:c r="H63" s="10" t="str">
        <x:v>否</x:v>
      </x:c>
      <x:c r="I63" s="10" t="str">
        <x:v>是</x:v>
      </x:c>
      <x:c r="J63" s="10" t="str">
        <x:v>是</x:v>
      </x:c>
      <x:c r="K63" s="10" t="str">
        <x:v>待分配</x:v>
      </x:c>
      <x:c r="L63" s="10" t="n">
        <x:v>0</x:v>
      </x:c>
      <x:c r="M63" s="10"/>
      <x:c r="N63" s="10"/>
      <x:c r="O63" s="10"/>
      <x:c r="P63" s="10"/>
      <x:c r="Q63" s="10" t="str">
        <x:v>新品、季節易碎</x:v>
      </x:c>
      <x:c r="R63" s="10" t="n">
        <x:f>IF(F63="小",1,IF(F63="中",2,IF(F63="大",3,0)))</x:f>
        <x:v>1</x:v>
      </x:c>
      <x:c r="S63" s="10" t="n">
        <x:f>IF(G63="輕",1,IF(G63="中",2,IF(G63="重",3,0)))</x:f>
        <x:v>2</x:v>
      </x:c>
      <x:c r="T63" s="10" t="n">
        <x:f>IF(H63="是",1,0)</x:f>
        <x:v>0</x:v>
      </x:c>
      <x:c r="U63" s="10" t="n">
        <x:f>IF(I63="是",1,0)</x:f>
        <x:v>1</x:v>
      </x:c>
      <x:c r="V63" s="10" t="n">
        <x:f>IF(J63="是",1,0)</x:f>
        <x:v>1</x:v>
      </x:c>
      <x:c r="W63" s="10"/>
      <x:c r="X63" s="10"/>
      <x:c r="Y63" s="10" t="str">
        <x:v>Predict</x:v>
      </x:c>
      <x:c r="Z63" s="10" t="str">
        <x:v>待預測</x:v>
      </x:c>
    </x:row>
    <x:row r="64">
      <x:c r="A64" s="10" t="str">
        <x:v>NX010</x:v>
      </x:c>
      <x:c r="B64" s="10" t="str">
        <x:v>新品咖啡豆整箱</x:v>
      </x:c>
      <x:c r="C64" s="10" t="str">
        <x:v>食品類</x:v>
      </x:c>
      <x:c r="D64" s="10" t="n">
        <x:v>76</x:v>
      </x:c>
      <x:c r="E64" s="10" t="n">
        <x:v>39</x:v>
      </x:c>
      <x:c r="F64" s="10" t="str">
        <x:v>中</x:v>
      </x:c>
      <x:c r="G64" s="10" t="str">
        <x:v>中</x:v>
      </x:c>
      <x:c r="H64" s="10" t="str">
        <x:v>否</x:v>
      </x:c>
      <x:c r="I64" s="10" t="str">
        <x:v>否</x:v>
      </x:c>
      <x:c r="J64" s="10" t="str">
        <x:v>否</x:v>
      </x:c>
      <x:c r="K64" s="10" t="str">
        <x:v>待分配</x:v>
      </x:c>
      <x:c r="L64" s="10" t="n">
        <x:v>0</x:v>
      </x:c>
      <x:c r="M64" s="10"/>
      <x:c r="N64" s="10"/>
      <x:c r="O64" s="10"/>
      <x:c r="P64" s="10"/>
      <x:c r="Q64" s="10" t="str">
        <x:v>新品、中頻食品</x:v>
      </x:c>
      <x:c r="R64" s="10" t="n">
        <x:f>IF(F64="小",1,IF(F64="中",2,IF(F64="大",3,0)))</x:f>
        <x:v>2</x:v>
      </x:c>
      <x:c r="S64" s="10" t="n">
        <x:f>IF(G64="輕",1,IF(G64="中",2,IF(G64="重",3,0)))</x:f>
        <x:v>2</x:v>
      </x:c>
      <x:c r="T64" s="10" t="n">
        <x:f>IF(H64="是",1,0)</x:f>
        <x:v>0</x:v>
      </x:c>
      <x:c r="U64" s="10" t="n">
        <x:f>IF(I64="是",1,0)</x:f>
        <x:v>0</x:v>
      </x:c>
      <x:c r="V64" s="10" t="n">
        <x:f>IF(J64="是",1,0)</x:f>
        <x:v>0</x:v>
      </x:c>
      <x:c r="W64" s="10"/>
      <x:c r="X64" s="10"/>
      <x:c r="Y64" s="10" t="str">
        <x:v>Predict</x:v>
      </x:c>
      <x:c r="Z64" s="10" t="str">
        <x:v>待預測</x:v>
      </x:c>
    </x:row>
    <x:row r="65">
      <x:c r="A65" s="10" t="str">
        <x:v>NX011</x:v>
      </x:c>
      <x:c r="B65" s="10" t="str">
        <x:v>新品常溫豆奶箱</x:v>
      </x:c>
      <x:c r="C65" s="10" t="str">
        <x:v>飲品類</x:v>
      </x:c>
      <x:c r="D65" s="10" t="n">
        <x:v>118</x:v>
      </x:c>
      <x:c r="E65" s="10" t="n">
        <x:v>58</x:v>
      </x:c>
      <x:c r="F65" s="10" t="str">
        <x:v>中</x:v>
      </x:c>
      <x:c r="G65" s="10" t="str">
        <x:v>重</x:v>
      </x:c>
      <x:c r="H65" s="10" t="str">
        <x:v>是</x:v>
      </x:c>
      <x:c r="I65" s="10" t="str">
        <x:v>否</x:v>
      </x:c>
      <x:c r="J65" s="10" t="str">
        <x:v>否</x:v>
      </x:c>
      <x:c r="K65" s="10" t="str">
        <x:v>待分配</x:v>
      </x:c>
      <x:c r="L65" s="10" t="n">
        <x:v>0</x:v>
      </x:c>
      <x:c r="M65" s="10"/>
      <x:c r="N65" s="10"/>
      <x:c r="O65" s="10"/>
      <x:c r="P65" s="10"/>
      <x:c r="Q65" s="10" t="str">
        <x:v>新品、液體箱裝</x:v>
      </x:c>
      <x:c r="R65" s="10" t="n">
        <x:f>IF(F65="小",1,IF(F65="中",2,IF(F65="大",3,0)))</x:f>
        <x:v>2</x:v>
      </x:c>
      <x:c r="S65" s="10" t="n">
        <x:f>IF(G65="輕",1,IF(G65="中",2,IF(G65="重",3,0)))</x:f>
        <x:v>3</x:v>
      </x:c>
      <x:c r="T65" s="10" t="n">
        <x:f>IF(H65="是",1,0)</x:f>
        <x:v>1</x:v>
      </x:c>
      <x:c r="U65" s="10" t="n">
        <x:f>IF(I65="是",1,0)</x:f>
        <x:v>0</x:v>
      </x:c>
      <x:c r="V65" s="10" t="n">
        <x:f>IF(J65="是",1,0)</x:f>
        <x:v>0</x:v>
      </x:c>
      <x:c r="W65" s="10"/>
      <x:c r="X65" s="10"/>
      <x:c r="Y65" s="10" t="str">
        <x:v>Predict</x:v>
      </x:c>
      <x:c r="Z65" s="10" t="str">
        <x:v>待預測</x:v>
      </x:c>
    </x:row>
    <x:row r="66">
      <x:c r="A66" s="10" t="str">
        <x:v>NX012</x:v>
      </x:c>
      <x:c r="B66" s="10" t="str">
        <x:v>新品貓砂補充包</x:v>
      </x:c>
      <x:c r="C66" s="10" t="str">
        <x:v>寵物用品</x:v>
      </x:c>
      <x:c r="D66" s="10" t="n">
        <x:v>84</x:v>
      </x:c>
      <x:c r="E66" s="10" t="n">
        <x:v>43</x:v>
      </x:c>
      <x:c r="F66" s="10" t="str">
        <x:v>中</x:v>
      </x:c>
      <x:c r="G66" s="10" t="str">
        <x:v>重</x:v>
      </x:c>
      <x:c r="H66" s="10" t="str">
        <x:v>否</x:v>
      </x:c>
      <x:c r="I66" s="10" t="str">
        <x:v>否</x:v>
      </x:c>
      <x:c r="J66" s="10" t="str">
        <x:v>否</x:v>
      </x:c>
      <x:c r="K66" s="10" t="str">
        <x:v>待分配</x:v>
      </x:c>
      <x:c r="L66" s="10" t="n">
        <x:v>0</x:v>
      </x:c>
      <x:c r="M66" s="10"/>
      <x:c r="N66" s="10"/>
      <x:c r="O66" s="10"/>
      <x:c r="P66" s="10"/>
      <x:c r="Q66" s="10" t="str">
        <x:v>新品、重物寵物用品</x:v>
      </x:c>
      <x:c r="R66" s="10" t="n">
        <x:f>IF(F66="小",1,IF(F66="中",2,IF(F66="大",3,0)))</x:f>
        <x:v>2</x:v>
      </x:c>
      <x:c r="S66" s="10" t="n">
        <x:f>IF(G66="輕",1,IF(G66="中",2,IF(G66="重",3,0)))</x:f>
        <x:v>3</x:v>
      </x:c>
      <x:c r="T66" s="10" t="n">
        <x:f>IF(H66="是",1,0)</x:f>
        <x:v>0</x:v>
      </x:c>
      <x:c r="U66" s="10" t="n">
        <x:f>IF(I66="是",1,0)</x:f>
        <x:v>0</x:v>
      </x:c>
      <x:c r="V66" s="10" t="n">
        <x:f>IF(J66="是",1,0)</x:f>
        <x:v>0</x:v>
      </x:c>
      <x:c r="W66" s="10"/>
      <x:c r="X66" s="10"/>
      <x:c r="Y66" s="10" t="str">
        <x:v>Predict</x:v>
      </x:c>
      <x:c r="Z66" s="10" t="str">
        <x:v>待預測</x:v>
      </x:c>
    </x:row>
    <x:row r="67">
      <x:c r="A67" s="10" t="str">
        <x:v>NX013</x:v>
      </x:c>
      <x:c r="B67" s="10" t="str">
        <x:v>新品嬰兒濕紙巾</x:v>
      </x:c>
      <x:c r="C67" s="10" t="str">
        <x:v>日用品</x:v>
      </x:c>
      <x:c r="D67" s="10" t="n">
        <x:v>102</x:v>
      </x:c>
      <x:c r="E67" s="10" t="n">
        <x:v>52</x:v>
      </x:c>
      <x:c r="F67" s="10" t="str">
        <x:v>中</x:v>
      </x:c>
      <x:c r="G67" s="10" t="str">
        <x:v>中</x:v>
      </x:c>
      <x:c r="H67" s="10" t="str">
        <x:v>是</x:v>
      </x:c>
      <x:c r="I67" s="10" t="str">
        <x:v>否</x:v>
      </x:c>
      <x:c r="J67" s="10" t="str">
        <x:v>否</x:v>
      </x:c>
      <x:c r="K67" s="10" t="str">
        <x:v>待分配</x:v>
      </x:c>
      <x:c r="L67" s="10" t="n">
        <x:v>0</x:v>
      </x:c>
      <x:c r="M67" s="10"/>
      <x:c r="N67" s="10"/>
      <x:c r="O67" s="10"/>
      <x:c r="P67" s="10"/>
      <x:c r="Q67" s="10" t="str">
        <x:v>新品、中高頻液體</x:v>
      </x:c>
      <x:c r="R67" s="10" t="n">
        <x:f>IF(F67="小",1,IF(F67="中",2,IF(F67="大",3,0)))</x:f>
        <x:v>2</x:v>
      </x:c>
      <x:c r="S67" s="10" t="n">
        <x:f>IF(G67="輕",1,IF(G67="中",2,IF(G67="重",3,0)))</x:f>
        <x:v>2</x:v>
      </x:c>
      <x:c r="T67" s="10" t="n">
        <x:f>IF(H67="是",1,0)</x:f>
        <x:v>1</x:v>
      </x:c>
      <x:c r="U67" s="10" t="n">
        <x:f>IF(I67="是",1,0)</x:f>
        <x:v>0</x:v>
      </x:c>
      <x:c r="V67" s="10" t="n">
        <x:f>IF(J67="是",1,0)</x:f>
        <x:v>0</x:v>
      </x:c>
      <x:c r="W67" s="10"/>
      <x:c r="X67" s="10"/>
      <x:c r="Y67" s="10" t="str">
        <x:v>Predict</x:v>
      </x:c>
      <x:c r="Z67" s="10" t="str">
        <x:v>待預測</x:v>
      </x:c>
    </x:row>
    <x:row r="68">
      <x:c r="A68" s="10" t="str">
        <x:v>NX014</x:v>
      </x:c>
      <x:c r="B68" s="10" t="str">
        <x:v>新品節慶糖果禮盒</x:v>
      </x:c>
      <x:c r="C68" s="10" t="str">
        <x:v>季節用品</x:v>
      </x:c>
      <x:c r="D68" s="10" t="n">
        <x:v>30</x:v>
      </x:c>
      <x:c r="E68" s="10" t="n">
        <x:v>16</x:v>
      </x:c>
      <x:c r="F68" s="10" t="str">
        <x:v>中</x:v>
      </x:c>
      <x:c r="G68" s="10" t="str">
        <x:v>輕</x:v>
      </x:c>
      <x:c r="H68" s="10" t="str">
        <x:v>否</x:v>
      </x:c>
      <x:c r="I68" s="10" t="str">
        <x:v>是</x:v>
      </x:c>
      <x:c r="J68" s="10" t="str">
        <x:v>是</x:v>
      </x:c>
      <x:c r="K68" s="10" t="str">
        <x:v>待分配</x:v>
      </x:c>
      <x:c r="L68" s="10" t="n">
        <x:v>0</x:v>
      </x:c>
      <x:c r="M68" s="10"/>
      <x:c r="N68" s="10"/>
      <x:c r="O68" s="10"/>
      <x:c r="P68" s="10"/>
      <x:c r="Q68" s="10" t="str">
        <x:v>新品、季節禮盒</x:v>
      </x:c>
      <x:c r="R68" s="10" t="n">
        <x:f>IF(F68="小",1,IF(F68="中",2,IF(F68="大",3,0)))</x:f>
        <x:v>2</x:v>
      </x:c>
      <x:c r="S68" s="10" t="n">
        <x:f>IF(G68="輕",1,IF(G68="中",2,IF(G68="重",3,0)))</x:f>
        <x:v>1</x:v>
      </x:c>
      <x:c r="T68" s="10" t="n">
        <x:f>IF(H68="是",1,0)</x:f>
        <x:v>0</x:v>
      </x:c>
      <x:c r="U68" s="10" t="n">
        <x:f>IF(I68="是",1,0)</x:f>
        <x:v>1</x:v>
      </x:c>
      <x:c r="V68" s="10" t="n">
        <x:f>IF(J68="是",1,0)</x:f>
        <x:v>1</x:v>
      </x:c>
      <x:c r="W68" s="10"/>
      <x:c r="X68" s="10"/>
      <x:c r="Y68" s="10" t="str">
        <x:v>Predict</x:v>
      </x:c>
      <x:c r="Z68" s="10" t="str">
        <x:v>待預測</x:v>
      </x:c>
    </x:row>
    <x:row r="69">
      <x:c r="A69" s="10" t="str">
        <x:v>NX015</x:v>
      </x:c>
      <x:c r="B69" s="10" t="str">
        <x:v>新品防潮收納箱</x:v>
      </x:c>
      <x:c r="C69" s="10" t="str">
        <x:v>家用品</x:v>
      </x:c>
      <x:c r="D69" s="10" t="n">
        <x:v>24</x:v>
      </x:c>
      <x:c r="E69" s="10" t="n">
        <x:v>12</x:v>
      </x:c>
      <x:c r="F69" s="10" t="str">
        <x:v>大</x:v>
      </x:c>
      <x:c r="G69" s="10" t="str">
        <x:v>輕</x:v>
      </x:c>
      <x:c r="H69" s="10" t="str">
        <x:v>否</x:v>
      </x:c>
      <x:c r="I69" s="10" t="str">
        <x:v>否</x:v>
      </x:c>
      <x:c r="J69" s="10" t="str">
        <x:v>否</x:v>
      </x:c>
      <x:c r="K69" s="10" t="str">
        <x:v>待分配</x:v>
      </x:c>
      <x:c r="L69" s="10" t="n">
        <x:v>0</x:v>
      </x:c>
      <x:c r="M69" s="10"/>
      <x:c r="N69" s="10"/>
      <x:c r="O69" s="10"/>
      <x:c r="P69" s="10"/>
      <x:c r="Q69" s="10" t="str">
        <x:v>新品、低頻大件</x:v>
      </x:c>
      <x:c r="R69" s="10" t="n">
        <x:f>IF(F69="小",1,IF(F69="中",2,IF(F69="大",3,0)))</x:f>
        <x:v>3</x:v>
      </x:c>
      <x:c r="S69" s="10" t="n">
        <x:f>IF(G69="輕",1,IF(G69="中",2,IF(G69="重",3,0)))</x:f>
        <x:v>1</x:v>
      </x:c>
      <x:c r="T69" s="10" t="n">
        <x:f>IF(H69="是",1,0)</x:f>
        <x:v>0</x:v>
      </x:c>
      <x:c r="U69" s="10" t="n">
        <x:f>IF(I69="是",1,0)</x:f>
        <x:v>0</x:v>
      </x:c>
      <x:c r="V69" s="10" t="n">
        <x:f>IF(J69="是",1,0)</x:f>
        <x:v>0</x:v>
      </x:c>
      <x:c r="W69" s="10"/>
      <x:c r="X69" s="10"/>
      <x:c r="Y69" s="10" t="str">
        <x:v>Predict</x:v>
      </x:c>
      <x:c r="Z69" s="10" t="str">
        <x:v>待預測</x:v>
      </x:c>
    </x:row>
    <x:row r="70">
      <x:c r="A70" s="10" t="str">
        <x:v>NX016</x:v>
      </x:c>
      <x:c r="B70" s="10" t="str">
        <x:v>新品洗碗精補充包</x:v>
      </x:c>
      <x:c r="C70" s="10" t="str">
        <x:v>清潔用品</x:v>
      </x:c>
      <x:c r="D70" s="10" t="n">
        <x:v>70</x:v>
      </x:c>
      <x:c r="E70" s="10" t="n">
        <x:v>36</x:v>
      </x:c>
      <x:c r="F70" s="10" t="str">
        <x:v>小</x:v>
      </x:c>
      <x:c r="G70" s="10" t="str">
        <x:v>中</x:v>
      </x:c>
      <x:c r="H70" s="10" t="str">
        <x:v>是</x:v>
      </x:c>
      <x:c r="I70" s="10" t="str">
        <x:v>否</x:v>
      </x:c>
      <x:c r="J70" s="10" t="str">
        <x:v>否</x:v>
      </x:c>
      <x:c r="K70" s="10" t="str">
        <x:v>待分配</x:v>
      </x:c>
      <x:c r="L70" s="10" t="n">
        <x:v>0</x:v>
      </x:c>
      <x:c r="M70" s="10"/>
      <x:c r="N70" s="10"/>
      <x:c r="O70" s="10"/>
      <x:c r="P70" s="10"/>
      <x:c r="Q70" s="10" t="str">
        <x:v>新品、液體清潔</x:v>
      </x:c>
      <x:c r="R70" s="10" t="n">
        <x:f>IF(F70="小",1,IF(F70="中",2,IF(F70="大",3,0)))</x:f>
        <x:v>1</x:v>
      </x:c>
      <x:c r="S70" s="10" t="n">
        <x:f>IF(G70="輕",1,IF(G70="中",2,IF(G70="重",3,0)))</x:f>
        <x:v>2</x:v>
      </x:c>
      <x:c r="T70" s="10" t="n">
        <x:f>IF(H70="是",1,0)</x:f>
        <x:v>1</x:v>
      </x:c>
      <x:c r="U70" s="10" t="n">
        <x:f>IF(I70="是",1,0)</x:f>
        <x:v>0</x:v>
      </x:c>
      <x:c r="V70" s="10" t="n">
        <x:f>IF(J70="是",1,0)</x:f>
        <x:v>0</x:v>
      </x:c>
      <x:c r="W70" s="10"/>
      <x:c r="X70" s="10"/>
      <x:c r="Y70" s="10" t="str">
        <x:v>Predict</x:v>
      </x:c>
      <x:c r="Z70" s="10" t="str">
        <x:v>待預測</x:v>
      </x:c>
    </x:row>
    <x:row r="71">
      <x:c r="A71" s="10" t="str">
        <x:v>NX017</x:v>
      </x:c>
      <x:c r="B71" s="10" t="str">
        <x:v>新品鋁箔餐盒</x:v>
      </x:c>
      <x:c r="C71" s="10" t="str">
        <x:v>耗材類</x:v>
      </x:c>
      <x:c r="D71" s="10" t="n">
        <x:v>58</x:v>
      </x:c>
      <x:c r="E71" s="10" t="n">
        <x:v>31</x:v>
      </x:c>
      <x:c r="F71" s="10" t="str">
        <x:v>中</x:v>
      </x:c>
      <x:c r="G71" s="10" t="str">
        <x:v>輕</x:v>
      </x:c>
      <x:c r="H71" s="10" t="str">
        <x:v>否</x:v>
      </x:c>
      <x:c r="I71" s="10" t="str">
        <x:v>否</x:v>
      </x:c>
      <x:c r="J71" s="10" t="str">
        <x:v>否</x:v>
      </x:c>
      <x:c r="K71" s="10" t="str">
        <x:v>待分配</x:v>
      </x:c>
      <x:c r="L71" s="10" t="n">
        <x:v>0</x:v>
      </x:c>
      <x:c r="M71" s="10"/>
      <x:c r="N71" s="10"/>
      <x:c r="O71" s="10"/>
      <x:c r="P71" s="10"/>
      <x:c r="Q71" s="10" t="str">
        <x:v>新品、中頻耗材</x:v>
      </x:c>
      <x:c r="R71" s="10" t="n">
        <x:f>IF(F71="小",1,IF(F71="中",2,IF(F71="大",3,0)))</x:f>
        <x:v>2</x:v>
      </x:c>
      <x:c r="S71" s="10" t="n">
        <x:f>IF(G71="輕",1,IF(G71="中",2,IF(G71="重",3,0)))</x:f>
        <x:v>1</x:v>
      </x:c>
      <x:c r="T71" s="10" t="n">
        <x:f>IF(H71="是",1,0)</x:f>
        <x:v>0</x:v>
      </x:c>
      <x:c r="U71" s="10" t="n">
        <x:f>IF(I71="是",1,0)</x:f>
        <x:v>0</x:v>
      </x:c>
      <x:c r="V71" s="10" t="n">
        <x:f>IF(J71="是",1,0)</x:f>
        <x:v>0</x:v>
      </x:c>
      <x:c r="W71" s="10"/>
      <x:c r="X71" s="10"/>
      <x:c r="Y71" s="10" t="str">
        <x:v>Predict</x:v>
      </x:c>
      <x:c r="Z71" s="10" t="str">
        <x:v>待預測</x:v>
      </x:c>
    </x:row>
    <x:row r="72">
      <x:c r="A72" s="10" t="str">
        <x:v>NX018</x:v>
      </x:c>
      <x:c r="B72" s="10" t="str">
        <x:v>新品玻璃瓶果醬</x:v>
      </x:c>
      <x:c r="C72" s="10" t="str">
        <x:v>食品類</x:v>
      </x:c>
      <x:c r="D72" s="10" t="n">
        <x:v>44</x:v>
      </x:c>
      <x:c r="E72" s="10" t="n">
        <x:v>25</x:v>
      </x:c>
      <x:c r="F72" s="10" t="str">
        <x:v>小</x:v>
      </x:c>
      <x:c r="G72" s="10" t="str">
        <x:v>中</x:v>
      </x:c>
      <x:c r="H72" s="10" t="str">
        <x:v>是</x:v>
      </x:c>
      <x:c r="I72" s="10" t="str">
        <x:v>是</x:v>
      </x:c>
      <x:c r="J72" s="10" t="str">
        <x:v>否</x:v>
      </x:c>
      <x:c r="K72" s="10" t="str">
        <x:v>待分配</x:v>
      </x:c>
      <x:c r="L72" s="10" t="n">
        <x:v>0</x:v>
      </x:c>
      <x:c r="M72" s="10"/>
      <x:c r="N72" s="10"/>
      <x:c r="O72" s="10"/>
      <x:c r="P72" s="10"/>
      <x:c r="Q72" s="10" t="str">
        <x:v>新品、液體易碎</x:v>
      </x:c>
      <x:c r="R72" s="10" t="n">
        <x:f>IF(F72="小",1,IF(F72="中",2,IF(F72="大",3,0)))</x:f>
        <x:v>1</x:v>
      </x:c>
      <x:c r="S72" s="10" t="n">
        <x:f>IF(G72="輕",1,IF(G72="中",2,IF(G72="重",3,0)))</x:f>
        <x:v>2</x:v>
      </x:c>
      <x:c r="T72" s="10" t="n">
        <x:f>IF(H72="是",1,0)</x:f>
        <x:v>1</x:v>
      </x:c>
      <x:c r="U72" s="10" t="n">
        <x:f>IF(I72="是",1,0)</x:f>
        <x:v>1</x:v>
      </x:c>
      <x:c r="V72" s="10" t="n">
        <x:f>IF(J72="是",1,0)</x:f>
        <x:v>0</x:v>
      </x:c>
      <x:c r="W72" s="10"/>
      <x:c r="X72" s="10"/>
      <x:c r="Y72" s="10" t="str">
        <x:v>Predict</x:v>
      </x:c>
      <x:c r="Z72" s="10" t="str">
        <x:v>待預測</x:v>
      </x:c>
    </x:row>
    <x:row r="73">
      <x:c r="A73" s="10" t="str">
        <x:v>NX019</x:v>
      </x:c>
      <x:c r="B73" s="10" t="str">
        <x:v>新品雨季除濕袋</x:v>
      </x:c>
      <x:c r="C73" s="10" t="str">
        <x:v>季節用品</x:v>
      </x:c>
      <x:c r="D73" s="10" t="n">
        <x:v>52</x:v>
      </x:c>
      <x:c r="E73" s="10" t="n">
        <x:v>29</x:v>
      </x:c>
      <x:c r="F73" s="10" t="str">
        <x:v>小</x:v>
      </x:c>
      <x:c r="G73" s="10" t="str">
        <x:v>中</x:v>
      </x:c>
      <x:c r="H73" s="10" t="str">
        <x:v>否</x:v>
      </x:c>
      <x:c r="I73" s="10" t="str">
        <x:v>否</x:v>
      </x:c>
      <x:c r="J73" s="10" t="str">
        <x:v>是</x:v>
      </x:c>
      <x:c r="K73" s="10" t="str">
        <x:v>待分配</x:v>
      </x:c>
      <x:c r="L73" s="10" t="n">
        <x:v>0</x:v>
      </x:c>
      <x:c r="M73" s="10"/>
      <x:c r="N73" s="10"/>
      <x:c r="O73" s="10"/>
      <x:c r="P73" s="10"/>
      <x:c r="Q73" s="10" t="str">
        <x:v>新品、季節性</x:v>
      </x:c>
      <x:c r="R73" s="10" t="n">
        <x:f>IF(F73="小",1,IF(F73="中",2,IF(F73="大",3,0)))</x:f>
        <x:v>1</x:v>
      </x:c>
      <x:c r="S73" s="10" t="n">
        <x:f>IF(G73="輕",1,IF(G73="中",2,IF(G73="重",3,0)))</x:f>
        <x:v>2</x:v>
      </x:c>
      <x:c r="T73" s="10" t="n">
        <x:f>IF(H73="是",1,0)</x:f>
        <x:v>0</x:v>
      </x:c>
      <x:c r="U73" s="10" t="n">
        <x:f>IF(I73="是",1,0)</x:f>
        <x:v>0</x:v>
      </x:c>
      <x:c r="V73" s="10" t="n">
        <x:f>IF(J73="是",1,0)</x:f>
        <x:v>1</x:v>
      </x:c>
      <x:c r="W73" s="10"/>
      <x:c r="X73" s="10"/>
      <x:c r="Y73" s="10" t="str">
        <x:v>Predict</x:v>
      </x:c>
      <x:c r="Z73" s="10" t="str">
        <x:v>待預測</x:v>
      </x:c>
    </x:row>
    <x:row r="74">
      <x:c r="A74" s="10" t="str">
        <x:v>NX020</x:v>
      </x:c>
      <x:c r="B74" s="10" t="str">
        <x:v>新品口罩家庭盒</x:v>
      </x:c>
      <x:c r="C74" s="10" t="str">
        <x:v>日用品</x:v>
      </x:c>
      <x:c r="D74" s="10" t="n">
        <x:v>66</x:v>
      </x:c>
      <x:c r="E74" s="10" t="n">
        <x:v>34</x:v>
      </x:c>
      <x:c r="F74" s="10" t="str">
        <x:v>小</x:v>
      </x:c>
      <x:c r="G74" s="10" t="str">
        <x:v>輕</x:v>
      </x:c>
      <x:c r="H74" s="10" t="str">
        <x:v>否</x:v>
      </x:c>
      <x:c r="I74" s="10" t="str">
        <x:v>否</x:v>
      </x:c>
      <x:c r="J74" s="10" t="str">
        <x:v>否</x:v>
      </x:c>
      <x:c r="K74" s="10" t="str">
        <x:v>待分配</x:v>
      </x:c>
      <x:c r="L74" s="10" t="n">
        <x:v>0</x:v>
      </x:c>
      <x:c r="M74" s="10"/>
      <x:c r="N74" s="10"/>
      <x:c r="O74" s="10"/>
      <x:c r="P74" s="10"/>
      <x:c r="Q74" s="10" t="str">
        <x:v>新品、小件中頻</x:v>
      </x:c>
      <x:c r="R74" s="10" t="n">
        <x:f>IF(F74="小",1,IF(F74="中",2,IF(F74="大",3,0)))</x:f>
        <x:v>1</x:v>
      </x:c>
      <x:c r="S74" s="10" t="n">
        <x:f>IF(G74="輕",1,IF(G74="中",2,IF(G74="重",3,0)))</x:f>
        <x:v>1</x:v>
      </x:c>
      <x:c r="T74" s="10" t="n">
        <x:f>IF(H74="是",1,0)</x:f>
        <x:v>0</x:v>
      </x:c>
      <x:c r="U74" s="10" t="n">
        <x:f>IF(I74="是",1,0)</x:f>
        <x:v>0</x:v>
      </x:c>
      <x:c r="V74" s="10" t="n">
        <x:f>IF(J74="是",1,0)</x:f>
        <x:v>0</x:v>
      </x:c>
      <x:c r="W74" s="10"/>
      <x:c r="X74" s="10"/>
      <x:c r="Y74" s="10" t="str">
        <x:v>Predict</x:v>
      </x:c>
      <x:c r="Z74" s="10" t="str">
        <x:v>待預測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81d7eee65bff44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4" hidden="0" customWidth="1"/>
    <x:col min="16" max="16" width="24" hidden="0" customWidth="1"/>
    <x:col min="17" max="17" width="24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>
      <x:c r="A1" s="13" t="str">
        <x:v>新品待預測清單：20 項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3">
      <x:c r="A3" s="7" t="str">
        <x:v>SKU編號</x:v>
      </x:c>
      <x:c r="B3" s="7" t="str">
        <x:v>商品名稱</x:v>
      </x:c>
      <x:c r="C3" s="7" t="str">
        <x:v>商品類別</x:v>
      </x:c>
      <x:c r="D3" s="7" t="str">
        <x:v>每日出貨箱數</x:v>
      </x:c>
      <x:c r="E3" s="7" t="str">
        <x:v>每日揀貨次數</x:v>
      </x:c>
      <x:c r="F3" s="7" t="str">
        <x:v>體積等級</x:v>
      </x:c>
      <x:c r="G3" s="7" t="str">
        <x:v>重量等級</x:v>
      </x:c>
      <x:c r="H3" s="7" t="str">
        <x:v>是否液體</x:v>
      </x:c>
      <x:c r="I3" s="7" t="str">
        <x:v>是否易碎</x:v>
      </x:c>
      <x:c r="J3" s="7" t="str">
        <x:v>是否季節性</x:v>
      </x:c>
      <x:c r="K3" s="7" t="str">
        <x:v>目前儲位區</x:v>
      </x:c>
      <x:c r="L3" s="7" t="str">
        <x:v>目前距離主要作業區m</x:v>
      </x:c>
      <x:c r="M3" s="7" t="str">
        <x:v>KMeans群組名稱</x:v>
      </x:c>
      <x:c r="N3" s="7" t="str">
        <x:v>Cluster顏色</x:v>
      </x:c>
      <x:c r="O3" s="7" t="str">
        <x:v>群組特性說明</x:v>
      </x:c>
      <x:c r="P3" s="7" t="str">
        <x:v>建議儲位策略</x:v>
      </x:c>
      <x:c r="Q3" s="7" t="str">
        <x:v>備註</x:v>
      </x:c>
      <x:c r="R3" s="7" t="str">
        <x:v>體積分數</x:v>
      </x:c>
      <x:c r="S3" s="7" t="str">
        <x:v>重量分數</x:v>
      </x:c>
      <x:c r="T3" s="7" t="str">
        <x:v>液體標記</x:v>
      </x:c>
      <x:c r="U3" s="7" t="str">
        <x:v>易碎標記</x:v>
      </x:c>
      <x:c r="V3" s="7" t="str">
        <x:v>季節性標記</x:v>
      </x:c>
      <x:c r="W3" s="7" t="str">
        <x:v>PCA1</x:v>
      </x:c>
      <x:c r="X3" s="7" t="str">
        <x:v>PCA2</x:v>
      </x:c>
      <x:c r="Y3" s="7" t="str">
        <x:v>資料用途</x:v>
      </x:c>
      <x:c r="Z3" s="7" t="str">
        <x:v>預測狀態</x:v>
      </x:c>
    </x:row>
    <x:row r="4">
      <x:c r="A4" s="8" t="str">
        <x:v>NX001</x:v>
      </x:c>
      <x:c r="B4" s="8" t="str">
        <x:v>新品氣泡水24入</x:v>
      </x:c>
      <x:c r="C4" s="8" t="str">
        <x:v>飲品類</x:v>
      </x:c>
      <x:c r="D4" s="8" t="n">
        <x:v>145</x:v>
      </x:c>
      <x:c r="E4" s="8" t="n">
        <x:v>74</x:v>
      </x:c>
      <x:c r="F4" s="8" t="str">
        <x:v>中</x:v>
      </x:c>
      <x:c r="G4" s="8" t="str">
        <x:v>重</x:v>
      </x:c>
      <x:c r="H4" s="8" t="str">
        <x:v>是</x:v>
      </x:c>
      <x:c r="I4" s="8" t="str">
        <x:v>否</x:v>
      </x:c>
      <x:c r="J4" s="8" t="str">
        <x:v>否</x:v>
      </x:c>
      <x:c r="K4" s="8" t="str">
        <x:v>待分配</x:v>
      </x:c>
      <x:c r="L4" s="8" t="n">
        <x:v>0</x:v>
      </x:c>
      <x:c r="M4" s="8"/>
      <x:c r="N4" s="8"/>
      <x:c r="O4" s="8"/>
      <x:c r="P4" s="8"/>
      <x:c r="Q4" s="8" t="str">
        <x:v>新品、高頻液體</x:v>
      </x:c>
      <x:c r="R4" s="8" t="n">
        <x:f>IF(F4="小",1,IF(F4="中",2,IF(F4="大",3,0)))</x:f>
        <x:v>2</x:v>
      </x:c>
      <x:c r="S4" s="8" t="n">
        <x:f>IF(G4="輕",1,IF(G4="中",2,IF(G4="重",3,0)))</x:f>
        <x:v>3</x:v>
      </x:c>
      <x:c r="T4" s="8" t="n">
        <x:f>IF(H4="是",1,0)</x:f>
        <x:v>1</x:v>
      </x:c>
      <x:c r="U4" s="8" t="n">
        <x:f>IF(I4="是",1,0)</x:f>
        <x:v>0</x:v>
      </x:c>
      <x:c r="V4" s="8" t="n">
        <x:f>IF(J4="是",1,0)</x:f>
        <x:v>0</x:v>
      </x:c>
      <x:c r="W4" s="8"/>
      <x:c r="X4" s="8"/>
      <x:c r="Y4" s="8" t="str">
        <x:v>Predict</x:v>
      </x:c>
      <x:c r="Z4" s="8" t="str">
        <x:v>待預測</x:v>
      </x:c>
    </x:row>
    <x:row r="5">
      <x:c r="A5" s="8" t="str">
        <x:v>NX002</x:v>
      </x:c>
      <x:c r="B5" s="8" t="str">
        <x:v>新品加厚抽取紙</x:v>
      </x:c>
      <x:c r="C5" s="8" t="str">
        <x:v>紙品類</x:v>
      </x:c>
      <x:c r="D5" s="8" t="n">
        <x:v>125</x:v>
      </x:c>
      <x:c r="E5" s="8" t="n">
        <x:v>62</x:v>
      </x:c>
      <x:c r="F5" s="8" t="str">
        <x:v>大</x:v>
      </x:c>
      <x:c r="G5" s="8" t="str">
        <x:v>輕</x:v>
      </x:c>
      <x:c r="H5" s="8" t="str">
        <x:v>否</x:v>
      </x:c>
      <x:c r="I5" s="8" t="str">
        <x:v>否</x:v>
      </x:c>
      <x:c r="J5" s="8" t="str">
        <x:v>否</x:v>
      </x:c>
      <x:c r="K5" s="8" t="str">
        <x:v>待分配</x:v>
      </x:c>
      <x:c r="L5" s="8" t="n">
        <x:v>0</x:v>
      </x:c>
      <x:c r="M5" s="8"/>
      <x:c r="N5" s="8"/>
      <x:c r="O5" s="8"/>
      <x:c r="P5" s="8"/>
      <x:c r="Q5" s="8" t="str">
        <x:v>新品、大體積紙品</x:v>
      </x:c>
      <x:c r="R5" s="8" t="n">
        <x:f>IF(F5="小",1,IF(F5="中",2,IF(F5="大",3,0)))</x:f>
        <x:v>3</x:v>
      </x:c>
      <x:c r="S5" s="8" t="n">
        <x:f>IF(G5="輕",1,IF(G5="中",2,IF(G5="重",3,0)))</x:f>
        <x:v>1</x:v>
      </x:c>
      <x:c r="T5" s="8" t="n">
        <x:f>IF(H5="是",1,0)</x:f>
        <x:v>0</x:v>
      </x:c>
      <x:c r="U5" s="8" t="n">
        <x:f>IF(I5="是",1,0)</x:f>
        <x:v>0</x:v>
      </x:c>
      <x:c r="V5" s="8" t="n">
        <x:f>IF(J5="是",1,0)</x:f>
        <x:v>0</x:v>
      </x:c>
      <x:c r="W5" s="8"/>
      <x:c r="X5" s="8"/>
      <x:c r="Y5" s="8" t="str">
        <x:v>Predict</x:v>
      </x:c>
      <x:c r="Z5" s="8" t="str">
        <x:v>待預測</x:v>
      </x:c>
    </x:row>
    <x:row r="6">
      <x:c r="A6" s="8" t="str">
        <x:v>NX003</x:v>
      </x:c>
      <x:c r="B6" s="8" t="str">
        <x:v>新品玻璃保鮮罐</x:v>
      </x:c>
      <x:c r="C6" s="8" t="str">
        <x:v>家用品</x:v>
      </x:c>
      <x:c r="D6" s="8" t="n">
        <x:v>42</x:v>
      </x:c>
      <x:c r="E6" s="8" t="n">
        <x:v>24</x:v>
      </x:c>
      <x:c r="F6" s="8" t="str">
        <x:v>中</x:v>
      </x:c>
      <x:c r="G6" s="8" t="str">
        <x:v>中</x:v>
      </x:c>
      <x:c r="H6" s="8" t="str">
        <x:v>否</x:v>
      </x:c>
      <x:c r="I6" s="8" t="str">
        <x:v>是</x:v>
      </x:c>
      <x:c r="J6" s="8" t="str">
        <x:v>否</x:v>
      </x:c>
      <x:c r="K6" s="8" t="str">
        <x:v>待分配</x:v>
      </x:c>
      <x:c r="L6" s="8" t="n">
        <x:v>0</x:v>
      </x:c>
      <x:c r="M6" s="8"/>
      <x:c r="N6" s="8"/>
      <x:c r="O6" s="8"/>
      <x:c r="P6" s="8"/>
      <x:c r="Q6" s="8" t="str">
        <x:v>新品、易碎</x:v>
      </x:c>
      <x:c r="R6" s="8" t="n">
        <x:f>IF(F6="小",1,IF(F6="中",2,IF(F6="大",3,0)))</x:f>
        <x:v>2</x:v>
      </x:c>
      <x:c r="S6" s="8" t="n">
        <x:f>IF(G6="輕",1,IF(G6="中",2,IF(G6="重",3,0)))</x:f>
        <x:v>2</x:v>
      </x:c>
      <x:c r="T6" s="8" t="n">
        <x:f>IF(H6="是",1,0)</x:f>
        <x:v>0</x:v>
      </x:c>
      <x:c r="U6" s="8" t="n">
        <x:f>IF(I6="是",1,0)</x:f>
        <x:v>1</x:v>
      </x:c>
      <x:c r="V6" s="8" t="n">
        <x:f>IF(J6="是",1,0)</x:f>
        <x:v>0</x:v>
      </x:c>
      <x:c r="W6" s="8"/>
      <x:c r="X6" s="8"/>
      <x:c r="Y6" s="8" t="str">
        <x:v>Predict</x:v>
      </x:c>
      <x:c r="Z6" s="8" t="str">
        <x:v>待預測</x:v>
      </x:c>
    </x:row>
    <x:row r="7">
      <x:c r="A7" s="8" t="str">
        <x:v>NX004</x:v>
      </x:c>
      <x:c r="B7" s="8" t="str">
        <x:v>新品冬季暖墊</x:v>
      </x:c>
      <x:c r="C7" s="8" t="str">
        <x:v>季節用品</x:v>
      </x:c>
      <x:c r="D7" s="8" t="n">
        <x:v>38</x:v>
      </x:c>
      <x:c r="E7" s="8" t="n">
        <x:v>21</x:v>
      </x:c>
      <x:c r="F7" s="8" t="str">
        <x:v>大</x:v>
      </x:c>
      <x:c r="G7" s="8" t="str">
        <x:v>中</x:v>
      </x:c>
      <x:c r="H7" s="8" t="str">
        <x:v>否</x:v>
      </x:c>
      <x:c r="I7" s="8" t="str">
        <x:v>否</x:v>
      </x:c>
      <x:c r="J7" s="8" t="str">
        <x:v>是</x:v>
      </x:c>
      <x:c r="K7" s="8" t="str">
        <x:v>待分配</x:v>
      </x:c>
      <x:c r="L7" s="8" t="n">
        <x:v>0</x:v>
      </x:c>
      <x:c r="M7" s="8"/>
      <x:c r="N7" s="8"/>
      <x:c r="O7" s="8"/>
      <x:c r="P7" s="8"/>
      <x:c r="Q7" s="8" t="str">
        <x:v>新品、季節性大件</x:v>
      </x:c>
      <x:c r="R7" s="8" t="n">
        <x:f>IF(F7="小",1,IF(F7="中",2,IF(F7="大",3,0)))</x:f>
        <x:v>3</x:v>
      </x:c>
      <x:c r="S7" s="8" t="n">
        <x:f>IF(G7="輕",1,IF(G7="中",2,IF(G7="重",3,0)))</x:f>
        <x:v>2</x:v>
      </x:c>
      <x:c r="T7" s="8" t="n">
        <x:f>IF(H7="是",1,0)</x:f>
        <x:v>0</x:v>
      </x:c>
      <x:c r="U7" s="8" t="n">
        <x:f>IF(I7="是",1,0)</x:f>
        <x:v>0</x:v>
      </x:c>
      <x:c r="V7" s="8" t="n">
        <x:f>IF(J7="是",1,0)</x:f>
        <x:v>1</x:v>
      </x:c>
      <x:c r="W7" s="8"/>
      <x:c r="X7" s="8"/>
      <x:c r="Y7" s="8" t="str">
        <x:v>Predict</x:v>
      </x:c>
      <x:c r="Z7" s="8" t="str">
        <x:v>待預測</x:v>
      </x:c>
    </x:row>
    <x:row r="8">
      <x:c r="A8" s="8" t="str">
        <x:v>NX005</x:v>
      </x:c>
      <x:c r="B8" s="8" t="str">
        <x:v>新品小型電池組</x:v>
      </x:c>
      <x:c r="C8" s="8" t="str">
        <x:v>耗材類</x:v>
      </x:c>
      <x:c r="D8" s="8" t="n">
        <x:v>48</x:v>
      </x:c>
      <x:c r="E8" s="8" t="n">
        <x:v>28</x:v>
      </x:c>
      <x:c r="F8" s="8" t="str">
        <x:v>小</x:v>
      </x:c>
      <x:c r="G8" s="8" t="str">
        <x:v>中</x:v>
      </x:c>
      <x:c r="H8" s="8" t="str">
        <x:v>否</x:v>
      </x:c>
      <x:c r="I8" s="8" t="str">
        <x:v>否</x:v>
      </x:c>
      <x:c r="J8" s="8" t="str">
        <x:v>否</x:v>
      </x:c>
      <x:c r="K8" s="8" t="str">
        <x:v>待分配</x:v>
      </x:c>
      <x:c r="L8" s="8" t="n">
        <x:v>0</x:v>
      </x:c>
      <x:c r="M8" s="8"/>
      <x:c r="N8" s="8"/>
      <x:c r="O8" s="8"/>
      <x:c r="P8" s="8"/>
      <x:c r="Q8" s="8" t="str">
        <x:v>新品、小件耗材</x:v>
      </x:c>
      <x:c r="R8" s="8" t="n">
        <x:f>IF(F8="小",1,IF(F8="中",2,IF(F8="大",3,0)))</x:f>
        <x:v>1</x:v>
      </x:c>
      <x:c r="S8" s="8" t="n">
        <x:f>IF(G8="輕",1,IF(G8="中",2,IF(G8="重",3,0)))</x:f>
        <x:v>2</x:v>
      </x:c>
      <x:c r="T8" s="8" t="n">
        <x:f>IF(H8="是",1,0)</x:f>
        <x:v>0</x:v>
      </x:c>
      <x:c r="U8" s="8" t="n">
        <x:f>IF(I8="是",1,0)</x:f>
        <x:v>0</x:v>
      </x:c>
      <x:c r="V8" s="8" t="n">
        <x:f>IF(J8="是",1,0)</x:f>
        <x:v>0</x:v>
      </x:c>
      <x:c r="W8" s="8"/>
      <x:c r="X8" s="8"/>
      <x:c r="Y8" s="8" t="str">
        <x:v>Predict</x:v>
      </x:c>
      <x:c r="Z8" s="8" t="str">
        <x:v>待預測</x:v>
      </x:c>
    </x:row>
    <x:row r="9">
      <x:c r="A9" s="8" t="str">
        <x:v>NX006</x:v>
      </x:c>
      <x:c r="B9" s="8" t="str">
        <x:v>新品洗衣凝膠</x:v>
      </x:c>
      <x:c r="C9" s="8" t="str">
        <x:v>清潔用品</x:v>
      </x:c>
      <x:c r="D9" s="8" t="n">
        <x:v>92</x:v>
      </x:c>
      <x:c r="E9" s="8" t="n">
        <x:v>48</x:v>
      </x:c>
      <x:c r="F9" s="8" t="str">
        <x:v>中</x:v>
      </x:c>
      <x:c r="G9" s="8" t="str">
        <x:v>重</x:v>
      </x:c>
      <x:c r="H9" s="8" t="str">
        <x:v>是</x:v>
      </x:c>
      <x:c r="I9" s="8" t="str">
        <x:v>否</x:v>
      </x:c>
      <x:c r="J9" s="8" t="str">
        <x:v>否</x:v>
      </x:c>
      <x:c r="K9" s="8" t="str">
        <x:v>待分配</x:v>
      </x:c>
      <x:c r="L9" s="8" t="n">
        <x:v>0</x:v>
      </x:c>
      <x:c r="M9" s="8"/>
      <x:c r="N9" s="8"/>
      <x:c r="O9" s="8"/>
      <x:c r="P9" s="8"/>
      <x:c r="Q9" s="8" t="str">
        <x:v>新品、液體重物</x:v>
      </x:c>
      <x:c r="R9" s="8" t="n">
        <x:f>IF(F9="小",1,IF(F9="中",2,IF(F9="大",3,0)))</x:f>
        <x:v>2</x:v>
      </x:c>
      <x:c r="S9" s="8" t="n">
        <x:f>IF(G9="輕",1,IF(G9="中",2,IF(G9="重",3,0)))</x:f>
        <x:v>3</x:v>
      </x:c>
      <x:c r="T9" s="8" t="n">
        <x:f>IF(H9="是",1,0)</x:f>
        <x:v>1</x:v>
      </x:c>
      <x:c r="U9" s="8" t="n">
        <x:f>IF(I9="是",1,0)</x:f>
        <x:v>0</x:v>
      </x:c>
      <x:c r="V9" s="8" t="n">
        <x:f>IF(J9="是",1,0)</x:f>
        <x:v>0</x:v>
      </x:c>
      <x:c r="W9" s="8"/>
      <x:c r="X9" s="8"/>
      <x:c r="Y9" s="8" t="str">
        <x:v>Predict</x:v>
      </x:c>
      <x:c r="Z9" s="8" t="str">
        <x:v>待預測</x:v>
      </x:c>
    </x:row>
    <x:row r="10">
      <x:c r="A10" s="8" t="str">
        <x:v>NX007</x:v>
      </x:c>
      <x:c r="B10" s="8" t="str">
        <x:v>新品寵物濕糧箱</x:v>
      </x:c>
      <x:c r="C10" s="8" t="str">
        <x:v>寵物用品</x:v>
      </x:c>
      <x:c r="D10" s="8" t="n">
        <x:v>88</x:v>
      </x:c>
      <x:c r="E10" s="8" t="n">
        <x:v>45</x:v>
      </x:c>
      <x:c r="F10" s="8" t="str">
        <x:v>中</x:v>
      </x:c>
      <x:c r="G10" s="8" t="str">
        <x:v>重</x:v>
      </x:c>
      <x:c r="H10" s="8" t="str">
        <x:v>是</x:v>
      </x:c>
      <x:c r="I10" s="8" t="str">
        <x:v>否</x:v>
      </x:c>
      <x:c r="J10" s="8" t="str">
        <x:v>否</x:v>
      </x:c>
      <x:c r="K10" s="8" t="str">
        <x:v>待分配</x:v>
      </x:c>
      <x:c r="L10" s="8" t="n">
        <x:v>0</x:v>
      </x:c>
      <x:c r="M10" s="8"/>
      <x:c r="N10" s="8"/>
      <x:c r="O10" s="8"/>
      <x:c r="P10" s="8"/>
      <x:c r="Q10" s="8" t="str">
        <x:v>新品、重物液體</x:v>
      </x:c>
      <x:c r="R10" s="8" t="n">
        <x:f>IF(F10="小",1,IF(F10="中",2,IF(F10="大",3,0)))</x:f>
        <x:v>2</x:v>
      </x:c>
      <x:c r="S10" s="8" t="n">
        <x:f>IF(G10="輕",1,IF(G10="中",2,IF(G10="重",3,0)))</x:f>
        <x:v>3</x:v>
      </x:c>
      <x:c r="T10" s="8" t="n">
        <x:f>IF(H10="是",1,0)</x:f>
        <x:v>1</x:v>
      </x:c>
      <x:c r="U10" s="8" t="n">
        <x:f>IF(I10="是",1,0)</x:f>
        <x:v>0</x:v>
      </x:c>
      <x:c r="V10" s="8" t="n">
        <x:f>IF(J10="是",1,0)</x:f>
        <x:v>0</x:v>
      </x:c>
      <x:c r="W10" s="8"/>
      <x:c r="X10" s="8"/>
      <x:c r="Y10" s="8" t="str">
        <x:v>Predict</x:v>
      </x:c>
      <x:c r="Z10" s="8" t="str">
        <x:v>待預測</x:v>
      </x:c>
    </x:row>
    <x:row r="11">
      <x:c r="A11" s="8" t="str">
        <x:v>NX008</x:v>
      </x:c>
      <x:c r="B11" s="8" t="str">
        <x:v>新品大型收納籃</x:v>
      </x:c>
      <x:c r="C11" s="8" t="str">
        <x:v>家用品</x:v>
      </x:c>
      <x:c r="D11" s="8" t="n">
        <x:v>36</x:v>
      </x:c>
      <x:c r="E11" s="8" t="n">
        <x:v>19</x:v>
      </x:c>
      <x:c r="F11" s="8" t="str">
        <x:v>大</x:v>
      </x:c>
      <x:c r="G11" s="8" t="str">
        <x:v>輕</x:v>
      </x:c>
      <x:c r="H11" s="8" t="str">
        <x:v>否</x:v>
      </x:c>
      <x:c r="I11" s="8" t="str">
        <x:v>否</x:v>
      </x:c>
      <x:c r="J11" s="8" t="str">
        <x:v>否</x:v>
      </x:c>
      <x:c r="K11" s="8" t="str">
        <x:v>待分配</x:v>
      </x:c>
      <x:c r="L11" s="8" t="n">
        <x:v>0</x:v>
      </x:c>
      <x:c r="M11" s="8"/>
      <x:c r="N11" s="8"/>
      <x:c r="O11" s="8"/>
      <x:c r="P11" s="8"/>
      <x:c r="Q11" s="8" t="str">
        <x:v>新品、大體積低頻</x:v>
      </x:c>
      <x:c r="R11" s="8" t="n">
        <x:f>IF(F11="小",1,IF(F11="中",2,IF(F11="大",3,0)))</x:f>
        <x:v>3</x:v>
      </x:c>
      <x:c r="S11" s="8" t="n">
        <x:f>IF(G11="輕",1,IF(G11="中",2,IF(G11="重",3,0)))</x:f>
        <x:v>1</x:v>
      </x:c>
      <x:c r="T11" s="8" t="n">
        <x:f>IF(H11="是",1,0)</x:f>
        <x:v>0</x:v>
      </x:c>
      <x:c r="U11" s="8" t="n">
        <x:f>IF(I11="是",1,0)</x:f>
        <x:v>0</x:v>
      </x:c>
      <x:c r="V11" s="8" t="n">
        <x:f>IF(J11="是",1,0)</x:f>
        <x:v>0</x:v>
      </x:c>
      <x:c r="W11" s="8"/>
      <x:c r="X11" s="8"/>
      <x:c r="Y11" s="8" t="str">
        <x:v>Predict</x:v>
      </x:c>
      <x:c r="Z11" s="8" t="str">
        <x:v>待預測</x:v>
      </x:c>
    </x:row>
    <x:row r="12">
      <x:c r="A12" s="8" t="str">
        <x:v>NX009</x:v>
      </x:c>
      <x:c r="B12" s="8" t="str">
        <x:v>新品兒童玻璃杯</x:v>
      </x:c>
      <x:c r="C12" s="8" t="str">
        <x:v>家用品</x:v>
      </x:c>
      <x:c r="D12" s="8" t="n">
        <x:v>32</x:v>
      </x:c>
      <x:c r="E12" s="8" t="n">
        <x:v>18</x:v>
      </x:c>
      <x:c r="F12" s="8" t="str">
        <x:v>小</x:v>
      </x:c>
      <x:c r="G12" s="8" t="str">
        <x:v>中</x:v>
      </x:c>
      <x:c r="H12" s="8" t="str">
        <x:v>否</x:v>
      </x:c>
      <x:c r="I12" s="8" t="str">
        <x:v>是</x:v>
      </x:c>
      <x:c r="J12" s="8" t="str">
        <x:v>是</x:v>
      </x:c>
      <x:c r="K12" s="8" t="str">
        <x:v>待分配</x:v>
      </x:c>
      <x:c r="L12" s="8" t="n">
        <x:v>0</x:v>
      </x:c>
      <x:c r="M12" s="8"/>
      <x:c r="N12" s="8"/>
      <x:c r="O12" s="8"/>
      <x:c r="P12" s="8"/>
      <x:c r="Q12" s="8" t="str">
        <x:v>新品、季節易碎</x:v>
      </x:c>
      <x:c r="R12" s="8" t="n">
        <x:f>IF(F12="小",1,IF(F12="中",2,IF(F12="大",3,0)))</x:f>
        <x:v>1</x:v>
      </x:c>
      <x:c r="S12" s="8" t="n">
        <x:f>IF(G12="輕",1,IF(G12="中",2,IF(G12="重",3,0)))</x:f>
        <x:v>2</x:v>
      </x:c>
      <x:c r="T12" s="8" t="n">
        <x:f>IF(H12="是",1,0)</x:f>
        <x:v>0</x:v>
      </x:c>
      <x:c r="U12" s="8" t="n">
        <x:f>IF(I12="是",1,0)</x:f>
        <x:v>1</x:v>
      </x:c>
      <x:c r="V12" s="8" t="n">
        <x:f>IF(J12="是",1,0)</x:f>
        <x:v>1</x:v>
      </x:c>
      <x:c r="W12" s="8"/>
      <x:c r="X12" s="8"/>
      <x:c r="Y12" s="8" t="str">
        <x:v>Predict</x:v>
      </x:c>
      <x:c r="Z12" s="8" t="str">
        <x:v>待預測</x:v>
      </x:c>
    </x:row>
    <x:row r="13">
      <x:c r="A13" s="8" t="str">
        <x:v>NX010</x:v>
      </x:c>
      <x:c r="B13" s="8" t="str">
        <x:v>新品咖啡豆整箱</x:v>
      </x:c>
      <x:c r="C13" s="8" t="str">
        <x:v>食品類</x:v>
      </x:c>
      <x:c r="D13" s="8" t="n">
        <x:v>76</x:v>
      </x:c>
      <x:c r="E13" s="8" t="n">
        <x:v>39</x:v>
      </x:c>
      <x:c r="F13" s="8" t="str">
        <x:v>中</x:v>
      </x:c>
      <x:c r="G13" s="8" t="str">
        <x:v>中</x:v>
      </x:c>
      <x:c r="H13" s="8" t="str">
        <x:v>否</x:v>
      </x:c>
      <x:c r="I13" s="8" t="str">
        <x:v>否</x:v>
      </x:c>
      <x:c r="J13" s="8" t="str">
        <x:v>否</x:v>
      </x:c>
      <x:c r="K13" s="8" t="str">
        <x:v>待分配</x:v>
      </x:c>
      <x:c r="L13" s="8" t="n">
        <x:v>0</x:v>
      </x:c>
      <x:c r="M13" s="8"/>
      <x:c r="N13" s="8"/>
      <x:c r="O13" s="8"/>
      <x:c r="P13" s="8"/>
      <x:c r="Q13" s="8" t="str">
        <x:v>新品、中頻食品</x:v>
      </x:c>
      <x:c r="R13" s="8" t="n">
        <x:f>IF(F13="小",1,IF(F13="中",2,IF(F13="大",3,0)))</x:f>
        <x:v>2</x:v>
      </x:c>
      <x:c r="S13" s="8" t="n">
        <x:f>IF(G13="輕",1,IF(G13="中",2,IF(G13="重",3,0)))</x:f>
        <x:v>2</x:v>
      </x:c>
      <x:c r="T13" s="8" t="n">
        <x:f>IF(H13="是",1,0)</x:f>
        <x:v>0</x:v>
      </x:c>
      <x:c r="U13" s="8" t="n">
        <x:f>IF(I13="是",1,0)</x:f>
        <x:v>0</x:v>
      </x:c>
      <x:c r="V13" s="8" t="n">
        <x:f>IF(J13="是",1,0)</x:f>
        <x:v>0</x:v>
      </x:c>
      <x:c r="W13" s="8"/>
      <x:c r="X13" s="8"/>
      <x:c r="Y13" s="8" t="str">
        <x:v>Predict</x:v>
      </x:c>
      <x:c r="Z13" s="8" t="str">
        <x:v>待預測</x:v>
      </x:c>
    </x:row>
    <x:row r="14">
      <x:c r="A14" s="8" t="str">
        <x:v>NX011</x:v>
      </x:c>
      <x:c r="B14" s="8" t="str">
        <x:v>新品常溫豆奶箱</x:v>
      </x:c>
      <x:c r="C14" s="8" t="str">
        <x:v>飲品類</x:v>
      </x:c>
      <x:c r="D14" s="8" t="n">
        <x:v>118</x:v>
      </x:c>
      <x:c r="E14" s="8" t="n">
        <x:v>58</x:v>
      </x:c>
      <x:c r="F14" s="8" t="str">
        <x:v>中</x:v>
      </x:c>
      <x:c r="G14" s="8" t="str">
        <x:v>重</x:v>
      </x:c>
      <x:c r="H14" s="8" t="str">
        <x:v>是</x:v>
      </x:c>
      <x:c r="I14" s="8" t="str">
        <x:v>否</x:v>
      </x:c>
      <x:c r="J14" s="8" t="str">
        <x:v>否</x:v>
      </x:c>
      <x:c r="K14" s="8" t="str">
        <x:v>待分配</x:v>
      </x:c>
      <x:c r="L14" s="8" t="n">
        <x:v>0</x:v>
      </x:c>
      <x:c r="M14" s="8"/>
      <x:c r="N14" s="8"/>
      <x:c r="O14" s="8"/>
      <x:c r="P14" s="8"/>
      <x:c r="Q14" s="8" t="str">
        <x:v>新品、液體箱裝</x:v>
      </x:c>
      <x:c r="R14" s="8" t="n">
        <x:f>IF(F14="小",1,IF(F14="中",2,IF(F14="大",3,0)))</x:f>
        <x:v>2</x:v>
      </x:c>
      <x:c r="S14" s="8" t="n">
        <x:f>IF(G14="輕",1,IF(G14="中",2,IF(G14="重",3,0)))</x:f>
        <x:v>3</x:v>
      </x:c>
      <x:c r="T14" s="8" t="n">
        <x:f>IF(H14="是",1,0)</x:f>
        <x:v>1</x:v>
      </x:c>
      <x:c r="U14" s="8" t="n">
        <x:f>IF(I14="是",1,0)</x:f>
        <x:v>0</x:v>
      </x:c>
      <x:c r="V14" s="8" t="n">
        <x:f>IF(J14="是",1,0)</x:f>
        <x:v>0</x:v>
      </x:c>
      <x:c r="W14" s="8"/>
      <x:c r="X14" s="8"/>
      <x:c r="Y14" s="8" t="str">
        <x:v>Predict</x:v>
      </x:c>
      <x:c r="Z14" s="8" t="str">
        <x:v>待預測</x:v>
      </x:c>
    </x:row>
    <x:row r="15">
      <x:c r="A15" s="8" t="str">
        <x:v>NX012</x:v>
      </x:c>
      <x:c r="B15" s="8" t="str">
        <x:v>新品貓砂補充包</x:v>
      </x:c>
      <x:c r="C15" s="8" t="str">
        <x:v>寵物用品</x:v>
      </x:c>
      <x:c r="D15" s="8" t="n">
        <x:v>84</x:v>
      </x:c>
      <x:c r="E15" s="8" t="n">
        <x:v>43</x:v>
      </x:c>
      <x:c r="F15" s="8" t="str">
        <x:v>中</x:v>
      </x:c>
      <x:c r="G15" s="8" t="str">
        <x:v>重</x:v>
      </x:c>
      <x:c r="H15" s="8" t="str">
        <x:v>否</x:v>
      </x:c>
      <x:c r="I15" s="8" t="str">
        <x:v>否</x:v>
      </x:c>
      <x:c r="J15" s="8" t="str">
        <x:v>否</x:v>
      </x:c>
      <x:c r="K15" s="8" t="str">
        <x:v>待分配</x:v>
      </x:c>
      <x:c r="L15" s="8" t="n">
        <x:v>0</x:v>
      </x:c>
      <x:c r="M15" s="8"/>
      <x:c r="N15" s="8"/>
      <x:c r="O15" s="8"/>
      <x:c r="P15" s="8"/>
      <x:c r="Q15" s="8" t="str">
        <x:v>新品、重物寵物用品</x:v>
      </x:c>
      <x:c r="R15" s="8" t="n">
        <x:f>IF(F15="小",1,IF(F15="中",2,IF(F15="大",3,0)))</x:f>
        <x:v>2</x:v>
      </x:c>
      <x:c r="S15" s="8" t="n">
        <x:f>IF(G15="輕",1,IF(G15="中",2,IF(G15="重",3,0)))</x:f>
        <x:v>3</x:v>
      </x:c>
      <x:c r="T15" s="8" t="n">
        <x:f>IF(H15="是",1,0)</x:f>
        <x:v>0</x:v>
      </x:c>
      <x:c r="U15" s="8" t="n">
        <x:f>IF(I15="是",1,0)</x:f>
        <x:v>0</x:v>
      </x:c>
      <x:c r="V15" s="8" t="n">
        <x:f>IF(J15="是",1,0)</x:f>
        <x:v>0</x:v>
      </x:c>
      <x:c r="W15" s="8"/>
      <x:c r="X15" s="8"/>
      <x:c r="Y15" s="8" t="str">
        <x:v>Predict</x:v>
      </x:c>
      <x:c r="Z15" s="8" t="str">
        <x:v>待預測</x:v>
      </x:c>
    </x:row>
    <x:row r="16">
      <x:c r="A16" s="8" t="str">
        <x:v>NX013</x:v>
      </x:c>
      <x:c r="B16" s="8" t="str">
        <x:v>新品嬰兒濕紙巾</x:v>
      </x:c>
      <x:c r="C16" s="8" t="str">
        <x:v>日用品</x:v>
      </x:c>
      <x:c r="D16" s="8" t="n">
        <x:v>102</x:v>
      </x:c>
      <x:c r="E16" s="8" t="n">
        <x:v>52</x:v>
      </x:c>
      <x:c r="F16" s="8" t="str">
        <x:v>中</x:v>
      </x:c>
      <x:c r="G16" s="8" t="str">
        <x:v>中</x:v>
      </x:c>
      <x:c r="H16" s="8" t="str">
        <x:v>是</x:v>
      </x:c>
      <x:c r="I16" s="8" t="str">
        <x:v>否</x:v>
      </x:c>
      <x:c r="J16" s="8" t="str">
        <x:v>否</x:v>
      </x:c>
      <x:c r="K16" s="8" t="str">
        <x:v>待分配</x:v>
      </x:c>
      <x:c r="L16" s="8" t="n">
        <x:v>0</x:v>
      </x:c>
      <x:c r="M16" s="8"/>
      <x:c r="N16" s="8"/>
      <x:c r="O16" s="8"/>
      <x:c r="P16" s="8"/>
      <x:c r="Q16" s="8" t="str">
        <x:v>新品、中高頻液體</x:v>
      </x:c>
      <x:c r="R16" s="8" t="n">
        <x:f>IF(F16="小",1,IF(F16="中",2,IF(F16="大",3,0)))</x:f>
        <x:v>2</x:v>
      </x:c>
      <x:c r="S16" s="8" t="n">
        <x:f>IF(G16="輕",1,IF(G16="中",2,IF(G16="重",3,0)))</x:f>
        <x:v>2</x:v>
      </x:c>
      <x:c r="T16" s="8" t="n">
        <x:f>IF(H16="是",1,0)</x:f>
        <x:v>1</x:v>
      </x:c>
      <x:c r="U16" s="8" t="n">
        <x:f>IF(I16="是",1,0)</x:f>
        <x:v>0</x:v>
      </x:c>
      <x:c r="V16" s="8" t="n">
        <x:f>IF(J16="是",1,0)</x:f>
        <x:v>0</x:v>
      </x:c>
      <x:c r="W16" s="8"/>
      <x:c r="X16" s="8"/>
      <x:c r="Y16" s="8" t="str">
        <x:v>Predict</x:v>
      </x:c>
      <x:c r="Z16" s="8" t="str">
        <x:v>待預測</x:v>
      </x:c>
    </x:row>
    <x:row r="17">
      <x:c r="A17" s="8" t="str">
        <x:v>NX014</x:v>
      </x:c>
      <x:c r="B17" s="8" t="str">
        <x:v>新品節慶糖果禮盒</x:v>
      </x:c>
      <x:c r="C17" s="8" t="str">
        <x:v>季節用品</x:v>
      </x:c>
      <x:c r="D17" s="8" t="n">
        <x:v>30</x:v>
      </x:c>
      <x:c r="E17" s="8" t="n">
        <x:v>16</x:v>
      </x:c>
      <x:c r="F17" s="8" t="str">
        <x:v>中</x:v>
      </x:c>
      <x:c r="G17" s="8" t="str">
        <x:v>輕</x:v>
      </x:c>
      <x:c r="H17" s="8" t="str">
        <x:v>否</x:v>
      </x:c>
      <x:c r="I17" s="8" t="str">
        <x:v>是</x:v>
      </x:c>
      <x:c r="J17" s="8" t="str">
        <x:v>是</x:v>
      </x:c>
      <x:c r="K17" s="8" t="str">
        <x:v>待分配</x:v>
      </x:c>
      <x:c r="L17" s="8" t="n">
        <x:v>0</x:v>
      </x:c>
      <x:c r="M17" s="8"/>
      <x:c r="N17" s="8"/>
      <x:c r="O17" s="8"/>
      <x:c r="P17" s="8"/>
      <x:c r="Q17" s="8" t="str">
        <x:v>新品、季節禮盒</x:v>
      </x:c>
      <x:c r="R17" s="8" t="n">
        <x:f>IF(F17="小",1,IF(F17="中",2,IF(F17="大",3,0)))</x:f>
        <x:v>2</x:v>
      </x:c>
      <x:c r="S17" s="8" t="n">
        <x:f>IF(G17="輕",1,IF(G17="中",2,IF(G17="重",3,0)))</x:f>
        <x:v>1</x:v>
      </x:c>
      <x:c r="T17" s="8" t="n">
        <x:f>IF(H17="是",1,0)</x:f>
        <x:v>0</x:v>
      </x:c>
      <x:c r="U17" s="8" t="n">
        <x:f>IF(I17="是",1,0)</x:f>
        <x:v>1</x:v>
      </x:c>
      <x:c r="V17" s="8" t="n">
        <x:f>IF(J17="是",1,0)</x:f>
        <x:v>1</x:v>
      </x:c>
      <x:c r="W17" s="8"/>
      <x:c r="X17" s="8"/>
      <x:c r="Y17" s="8" t="str">
        <x:v>Predict</x:v>
      </x:c>
      <x:c r="Z17" s="8" t="str">
        <x:v>待預測</x:v>
      </x:c>
    </x:row>
    <x:row r="18">
      <x:c r="A18" s="8" t="str">
        <x:v>NX015</x:v>
      </x:c>
      <x:c r="B18" s="8" t="str">
        <x:v>新品防潮收納箱</x:v>
      </x:c>
      <x:c r="C18" s="8" t="str">
        <x:v>家用品</x:v>
      </x:c>
      <x:c r="D18" s="8" t="n">
        <x:v>24</x:v>
      </x:c>
      <x:c r="E18" s="8" t="n">
        <x:v>12</x:v>
      </x:c>
      <x:c r="F18" s="8" t="str">
        <x:v>大</x:v>
      </x:c>
      <x:c r="G18" s="8" t="str">
        <x:v>輕</x:v>
      </x:c>
      <x:c r="H18" s="8" t="str">
        <x:v>否</x:v>
      </x:c>
      <x:c r="I18" s="8" t="str">
        <x:v>否</x:v>
      </x:c>
      <x:c r="J18" s="8" t="str">
        <x:v>否</x:v>
      </x:c>
      <x:c r="K18" s="8" t="str">
        <x:v>待分配</x:v>
      </x:c>
      <x:c r="L18" s="8" t="n">
        <x:v>0</x:v>
      </x:c>
      <x:c r="M18" s="8"/>
      <x:c r="N18" s="8"/>
      <x:c r="O18" s="8"/>
      <x:c r="P18" s="8"/>
      <x:c r="Q18" s="8" t="str">
        <x:v>新品、低頻大件</x:v>
      </x:c>
      <x:c r="R18" s="8" t="n">
        <x:f>IF(F18="小",1,IF(F18="中",2,IF(F18="大",3,0)))</x:f>
        <x:v>3</x:v>
      </x:c>
      <x:c r="S18" s="8" t="n">
        <x:f>IF(G18="輕",1,IF(G18="中",2,IF(G18="重",3,0)))</x:f>
        <x:v>1</x:v>
      </x:c>
      <x:c r="T18" s="8" t="n">
        <x:f>IF(H18="是",1,0)</x:f>
        <x:v>0</x:v>
      </x:c>
      <x:c r="U18" s="8" t="n">
        <x:f>IF(I18="是",1,0)</x:f>
        <x:v>0</x:v>
      </x:c>
      <x:c r="V18" s="8" t="n">
        <x:f>IF(J18="是",1,0)</x:f>
        <x:v>0</x:v>
      </x:c>
      <x:c r="W18" s="8"/>
      <x:c r="X18" s="8"/>
      <x:c r="Y18" s="8" t="str">
        <x:v>Predict</x:v>
      </x:c>
      <x:c r="Z18" s="8" t="str">
        <x:v>待預測</x:v>
      </x:c>
    </x:row>
    <x:row r="19">
      <x:c r="A19" s="8" t="str">
        <x:v>NX016</x:v>
      </x:c>
      <x:c r="B19" s="8" t="str">
        <x:v>新品洗碗精補充包</x:v>
      </x:c>
      <x:c r="C19" s="8" t="str">
        <x:v>清潔用品</x:v>
      </x:c>
      <x:c r="D19" s="8" t="n">
        <x:v>70</x:v>
      </x:c>
      <x:c r="E19" s="8" t="n">
        <x:v>36</x:v>
      </x:c>
      <x:c r="F19" s="8" t="str">
        <x:v>小</x:v>
      </x:c>
      <x:c r="G19" s="8" t="str">
        <x:v>中</x:v>
      </x:c>
      <x:c r="H19" s="8" t="str">
        <x:v>是</x:v>
      </x:c>
      <x:c r="I19" s="8" t="str">
        <x:v>否</x:v>
      </x:c>
      <x:c r="J19" s="8" t="str">
        <x:v>否</x:v>
      </x:c>
      <x:c r="K19" s="8" t="str">
        <x:v>待分配</x:v>
      </x:c>
      <x:c r="L19" s="8" t="n">
        <x:v>0</x:v>
      </x:c>
      <x:c r="M19" s="8"/>
      <x:c r="N19" s="8"/>
      <x:c r="O19" s="8"/>
      <x:c r="P19" s="8"/>
      <x:c r="Q19" s="8" t="str">
        <x:v>新品、液體清潔</x:v>
      </x:c>
      <x:c r="R19" s="8" t="n">
        <x:f>IF(F19="小",1,IF(F19="中",2,IF(F19="大",3,0)))</x:f>
        <x:v>1</x:v>
      </x:c>
      <x:c r="S19" s="8" t="n">
        <x:f>IF(G19="輕",1,IF(G19="中",2,IF(G19="重",3,0)))</x:f>
        <x:v>2</x:v>
      </x:c>
      <x:c r="T19" s="8" t="n">
        <x:f>IF(H19="是",1,0)</x:f>
        <x:v>1</x:v>
      </x:c>
      <x:c r="U19" s="8" t="n">
        <x:f>IF(I19="是",1,0)</x:f>
        <x:v>0</x:v>
      </x:c>
      <x:c r="V19" s="8" t="n">
        <x:f>IF(J19="是",1,0)</x:f>
        <x:v>0</x:v>
      </x:c>
      <x:c r="W19" s="8"/>
      <x:c r="X19" s="8"/>
      <x:c r="Y19" s="8" t="str">
        <x:v>Predict</x:v>
      </x:c>
      <x:c r="Z19" s="8" t="str">
        <x:v>待預測</x:v>
      </x:c>
    </x:row>
    <x:row r="20">
      <x:c r="A20" s="8" t="str">
        <x:v>NX017</x:v>
      </x:c>
      <x:c r="B20" s="8" t="str">
        <x:v>新品鋁箔餐盒</x:v>
      </x:c>
      <x:c r="C20" s="8" t="str">
        <x:v>耗材類</x:v>
      </x:c>
      <x:c r="D20" s="8" t="n">
        <x:v>58</x:v>
      </x:c>
      <x:c r="E20" s="8" t="n">
        <x:v>31</x:v>
      </x:c>
      <x:c r="F20" s="8" t="str">
        <x:v>中</x:v>
      </x:c>
      <x:c r="G20" s="8" t="str">
        <x:v>輕</x:v>
      </x:c>
      <x:c r="H20" s="8" t="str">
        <x:v>否</x:v>
      </x:c>
      <x:c r="I20" s="8" t="str">
        <x:v>否</x:v>
      </x:c>
      <x:c r="J20" s="8" t="str">
        <x:v>否</x:v>
      </x:c>
      <x:c r="K20" s="8" t="str">
        <x:v>待分配</x:v>
      </x:c>
      <x:c r="L20" s="8" t="n">
        <x:v>0</x:v>
      </x:c>
      <x:c r="M20" s="8"/>
      <x:c r="N20" s="8"/>
      <x:c r="O20" s="8"/>
      <x:c r="P20" s="8"/>
      <x:c r="Q20" s="8" t="str">
        <x:v>新品、中頻耗材</x:v>
      </x:c>
      <x:c r="R20" s="8" t="n">
        <x:f>IF(F20="小",1,IF(F20="中",2,IF(F20="大",3,0)))</x:f>
        <x:v>2</x:v>
      </x:c>
      <x:c r="S20" s="8" t="n">
        <x:f>IF(G20="輕",1,IF(G20="中",2,IF(G20="重",3,0)))</x:f>
        <x:v>1</x:v>
      </x:c>
      <x:c r="T20" s="8" t="n">
        <x:f>IF(H20="是",1,0)</x:f>
        <x:v>0</x:v>
      </x:c>
      <x:c r="U20" s="8" t="n">
        <x:f>IF(I20="是",1,0)</x:f>
        <x:v>0</x:v>
      </x:c>
      <x:c r="V20" s="8" t="n">
        <x:f>IF(J20="是",1,0)</x:f>
        <x:v>0</x:v>
      </x:c>
      <x:c r="W20" s="8"/>
      <x:c r="X20" s="8"/>
      <x:c r="Y20" s="8" t="str">
        <x:v>Predict</x:v>
      </x:c>
      <x:c r="Z20" s="8" t="str">
        <x:v>待預測</x:v>
      </x:c>
    </x:row>
    <x:row r="21">
      <x:c r="A21" s="8" t="str">
        <x:v>NX018</x:v>
      </x:c>
      <x:c r="B21" s="8" t="str">
        <x:v>新品玻璃瓶果醬</x:v>
      </x:c>
      <x:c r="C21" s="8" t="str">
        <x:v>食品類</x:v>
      </x:c>
      <x:c r="D21" s="8" t="n">
        <x:v>44</x:v>
      </x:c>
      <x:c r="E21" s="8" t="n">
        <x:v>25</x:v>
      </x:c>
      <x:c r="F21" s="8" t="str">
        <x:v>小</x:v>
      </x:c>
      <x:c r="G21" s="8" t="str">
        <x:v>中</x:v>
      </x:c>
      <x:c r="H21" s="8" t="str">
        <x:v>是</x:v>
      </x:c>
      <x:c r="I21" s="8" t="str">
        <x:v>是</x:v>
      </x:c>
      <x:c r="J21" s="8" t="str">
        <x:v>否</x:v>
      </x:c>
      <x:c r="K21" s="8" t="str">
        <x:v>待分配</x:v>
      </x:c>
      <x:c r="L21" s="8" t="n">
        <x:v>0</x:v>
      </x:c>
      <x:c r="M21" s="8"/>
      <x:c r="N21" s="8"/>
      <x:c r="O21" s="8"/>
      <x:c r="P21" s="8"/>
      <x:c r="Q21" s="8" t="str">
        <x:v>新品、液體易碎</x:v>
      </x:c>
      <x:c r="R21" s="8" t="n">
        <x:f>IF(F21="小",1,IF(F21="中",2,IF(F21="大",3,0)))</x:f>
        <x:v>1</x:v>
      </x:c>
      <x:c r="S21" s="8" t="n">
        <x:f>IF(G21="輕",1,IF(G21="中",2,IF(G21="重",3,0)))</x:f>
        <x:v>2</x:v>
      </x:c>
      <x:c r="T21" s="8" t="n">
        <x:f>IF(H21="是",1,0)</x:f>
        <x:v>1</x:v>
      </x:c>
      <x:c r="U21" s="8" t="n">
        <x:f>IF(I21="是",1,0)</x:f>
        <x:v>1</x:v>
      </x:c>
      <x:c r="V21" s="8" t="n">
        <x:f>IF(J21="是",1,0)</x:f>
        <x:v>0</x:v>
      </x:c>
      <x:c r="W21" s="8"/>
      <x:c r="X21" s="8"/>
      <x:c r="Y21" s="8" t="str">
        <x:v>Predict</x:v>
      </x:c>
      <x:c r="Z21" s="8" t="str">
        <x:v>待預測</x:v>
      </x:c>
    </x:row>
    <x:row r="22">
      <x:c r="A22" s="8" t="str">
        <x:v>NX019</x:v>
      </x:c>
      <x:c r="B22" s="8" t="str">
        <x:v>新品雨季除濕袋</x:v>
      </x:c>
      <x:c r="C22" s="8" t="str">
        <x:v>季節用品</x:v>
      </x:c>
      <x:c r="D22" s="8" t="n">
        <x:v>52</x:v>
      </x:c>
      <x:c r="E22" s="8" t="n">
        <x:v>29</x:v>
      </x:c>
      <x:c r="F22" s="8" t="str">
        <x:v>小</x:v>
      </x:c>
      <x:c r="G22" s="8" t="str">
        <x:v>中</x:v>
      </x:c>
      <x:c r="H22" s="8" t="str">
        <x:v>否</x:v>
      </x:c>
      <x:c r="I22" s="8" t="str">
        <x:v>否</x:v>
      </x:c>
      <x:c r="J22" s="8" t="str">
        <x:v>是</x:v>
      </x:c>
      <x:c r="K22" s="8" t="str">
        <x:v>待分配</x:v>
      </x:c>
      <x:c r="L22" s="8" t="n">
        <x:v>0</x:v>
      </x:c>
      <x:c r="M22" s="8"/>
      <x:c r="N22" s="8"/>
      <x:c r="O22" s="8"/>
      <x:c r="P22" s="8"/>
      <x:c r="Q22" s="8" t="str">
        <x:v>新品、季節性</x:v>
      </x:c>
      <x:c r="R22" s="8" t="n">
        <x:f>IF(F22="小",1,IF(F22="中",2,IF(F22="大",3,0)))</x:f>
        <x:v>1</x:v>
      </x:c>
      <x:c r="S22" s="8" t="n">
        <x:f>IF(G22="輕",1,IF(G22="中",2,IF(G22="重",3,0)))</x:f>
        <x:v>2</x:v>
      </x:c>
      <x:c r="T22" s="8" t="n">
        <x:f>IF(H22="是",1,0)</x:f>
        <x:v>0</x:v>
      </x:c>
      <x:c r="U22" s="8" t="n">
        <x:f>IF(I22="是",1,0)</x:f>
        <x:v>0</x:v>
      </x:c>
      <x:c r="V22" s="8" t="n">
        <x:f>IF(J22="是",1,0)</x:f>
        <x:v>1</x:v>
      </x:c>
      <x:c r="W22" s="8"/>
      <x:c r="X22" s="8"/>
      <x:c r="Y22" s="8" t="str">
        <x:v>Predict</x:v>
      </x:c>
      <x:c r="Z22" s="8" t="str">
        <x:v>待預測</x:v>
      </x:c>
    </x:row>
    <x:row r="23">
      <x:c r="A23" s="8" t="str">
        <x:v>NX020</x:v>
      </x:c>
      <x:c r="B23" s="8" t="str">
        <x:v>新品口罩家庭盒</x:v>
      </x:c>
      <x:c r="C23" s="8" t="str">
        <x:v>日用品</x:v>
      </x:c>
      <x:c r="D23" s="8" t="n">
        <x:v>66</x:v>
      </x:c>
      <x:c r="E23" s="8" t="n">
        <x:v>34</x:v>
      </x:c>
      <x:c r="F23" s="8" t="str">
        <x:v>小</x:v>
      </x:c>
      <x:c r="G23" s="8" t="str">
        <x:v>輕</x:v>
      </x:c>
      <x:c r="H23" s="8" t="str">
        <x:v>否</x:v>
      </x:c>
      <x:c r="I23" s="8" t="str">
        <x:v>否</x:v>
      </x:c>
      <x:c r="J23" s="8" t="str">
        <x:v>否</x:v>
      </x:c>
      <x:c r="K23" s="8" t="str">
        <x:v>待分配</x:v>
      </x:c>
      <x:c r="L23" s="8" t="n">
        <x:v>0</x:v>
      </x:c>
      <x:c r="M23" s="8"/>
      <x:c r="N23" s="8"/>
      <x:c r="O23" s="8"/>
      <x:c r="P23" s="8"/>
      <x:c r="Q23" s="8" t="str">
        <x:v>新品、小件中頻</x:v>
      </x:c>
      <x:c r="R23" s="8" t="n">
        <x:f>IF(F23="小",1,IF(F23="中",2,IF(F23="大",3,0)))</x:f>
        <x:v>1</x:v>
      </x:c>
      <x:c r="S23" s="8" t="n">
        <x:f>IF(G23="輕",1,IF(G23="中",2,IF(G23="重",3,0)))</x:f>
        <x:v>1</x:v>
      </x:c>
      <x:c r="T23" s="8" t="n">
        <x:f>IF(H23="是",1,0)</x:f>
        <x:v>0</x:v>
      </x:c>
      <x:c r="U23" s="8" t="n">
        <x:f>IF(I23="是",1,0)</x:f>
        <x:v>0</x:v>
      </x:c>
      <x:c r="V23" s="8" t="n">
        <x:f>IF(J23="是",1,0)</x:f>
        <x:v>0</x:v>
      </x:c>
      <x:c r="W23" s="8"/>
      <x:c r="X23" s="8"/>
      <x:c r="Y23" s="8" t="str">
        <x:v>Predict</x:v>
      </x:c>
      <x:c r="Z23" s="8" t="str">
        <x:v>待預測</x:v>
      </x:c>
    </x:row>
  </x:sheetData>
  <x:mergeCells>
    <x:mergeCell ref="A1:Z1"/>
  </x:mergeCells>
  <x:pageMargins left="0.7" right="0.7" top="0.75" bottom="0.75" header="0.3" footer="0.3"/>
  <x:tableParts count="1">
    <x:tablePart xmlns:r="http://schemas.openxmlformats.org/officeDocument/2006/relationships" r:id="R3baf5647efeb40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6" hidden="0" customWidth="1"/>
    <x:col min="13" max="13" width="26" hidden="0" customWidth="1"/>
  </x:cols>
  <x:sheetData>
    <x:row r="1">
      <x:c r="A1" s="2" t="str">
        <x:v>KMeans 群組摘要</x:v>
      </x:c>
      <x:c r="B1" s="2"/>
      <x:c r="C1" s="2"/>
      <x:c r="D1" s="2"/>
      <x:c r="E1" s="2"/>
      <x:c r="F1" s="2"/>
      <x:c r="G1" s="2"/>
      <x:c r="H1" s="17"/>
      <x:c r="I1" s="17"/>
      <x:c r="J1" s="17"/>
      <x:c r="K1" s="2"/>
      <x:c r="L1" s="2"/>
      <x:c r="M1" s="2"/>
    </x:row>
    <x:row r="3">
      <x:c r="A3" s="16" t="str">
        <x:v>KMeans群組名稱</x:v>
      </x:c>
      <x:c r="B3" s="16" t="str">
        <x:v>Cluster顏色</x:v>
      </x:c>
      <x:c r="C3" s="16" t="str">
        <x:v>SKU數量</x:v>
      </x:c>
      <x:c r="D3" s="16" t="str">
        <x:v>平均每日出貨箱數</x:v>
      </x:c>
      <x:c r="E3" s="16" t="str">
        <x:v>平均每日揀貨次數</x:v>
      </x:c>
      <x:c r="F3" s="16" t="str">
        <x:v>平均體積分數</x:v>
      </x:c>
      <x:c r="G3" s="16" t="str">
        <x:v>平均重量分數</x:v>
      </x:c>
      <x:c r="H3" s="16" t="str">
        <x:v>液體比例</x:v>
      </x:c>
      <x:c r="I3" s="16" t="str">
        <x:v>易碎比例</x:v>
      </x:c>
      <x:c r="J3" s="16" t="str">
        <x:v>季節性比例</x:v>
      </x:c>
      <x:c r="K3" s="16" t="str">
        <x:v>平均目前距離m</x:v>
      </x:c>
      <x:c r="L3" s="16" t="str">
        <x:v>群組特性說明</x:v>
      </x:c>
      <x:c r="M3" s="16" t="str">
        <x:v>建議儲位策略</x:v>
      </x:c>
    </x:row>
    <x:row r="4">
      <x:c r="A4" s="8" t="str">
        <x:v>Cluster 1</x:v>
      </x:c>
      <x:c r="B4" s="8" t="str">
        <x:v>#2E86DE</x:v>
      </x:c>
      <x:c r="C4" s="8" t="n">
        <x:v>6</x:v>
      </x:c>
      <x:c r="D4" s="8" t="n">
        <x:v>43.66666666666666</x:v>
      </x:c>
      <x:c r="E4" s="8" t="n">
        <x:v>26.83333333333333</x:v>
      </x:c>
      <x:c r="F4" s="8" t="n">
        <x:v>1.5</x:v>
      </x:c>
      <x:c r="G4" s="8" t="n">
        <x:v>2</x:v>
      </x:c>
      <x:c r="H4" s="8" t="n">
        <x:v>0.6666666666666666</x:v>
      </x:c>
      <x:c r="I4" s="8" t="n">
        <x:v>1</x:v>
      </x:c>
      <x:c r="J4" s="8" t="n">
        <x:v>0</x:v>
      </x:c>
      <x:c r="K4" s="8" t="n">
        <x:v>45.33333333333334</x:v>
      </x:c>
      <x:c r="L4" s="8" t="str">
        <x:v>中頻一般或補貨商品</x:v>
      </x:c>
      <x:c r="M4" s="8" t="str">
        <x:v>中段一般儲位</x:v>
      </x:c>
    </x:row>
    <x:row r="5">
      <x:c r="A5" s="8" t="str">
        <x:v>Cluster 2</x:v>
      </x:c>
      <x:c r="B5" s="8" t="str">
        <x:v>#F39C12</x:v>
      </x:c>
      <x:c r="C5" s="8" t="n">
        <x:v>11</x:v>
      </x:c>
      <x:c r="D5" s="8" t="n">
        <x:v>60.81818181818182</x:v>
      </x:c>
      <x:c r="E5" s="8" t="n">
        <x:v>36.27272727272727</x:v>
      </x:c>
      <x:c r="F5" s="8" t="n">
        <x:v>2.545454545454545</x:v>
      </x:c>
      <x:c r="G5" s="8" t="n">
        <x:v>1.727272727272727</x:v>
      </x:c>
      <x:c r="H5" s="8" t="n">
        <x:v>0.09090909090909091</x:v>
      </x:c>
      <x:c r="I5" s="8" t="n">
        <x:v>0</x:v>
      </x:c>
      <x:c r="J5" s="8" t="n">
        <x:v>0</x:v>
      </x:c>
      <x:c r="K5" s="8" t="n">
        <x:v>44.63636363636363</x:v>
      </x:c>
      <x:c r="L5" s="8" t="str">
        <x:v>中頻一般或補貨商品</x:v>
      </x:c>
      <x:c r="M5" s="8" t="str">
        <x:v>中段一般儲位</x:v>
      </x:c>
    </x:row>
    <x:row r="6">
      <x:c r="A6" s="8" t="str">
        <x:v>Cluster 3</x:v>
      </x:c>
      <x:c r="B6" s="8" t="str">
        <x:v>#27AE60</x:v>
      </x:c>
      <x:c r="C6" s="8" t="n">
        <x:v>12</x:v>
      </x:c>
      <x:c r="D6" s="8" t="n">
        <x:v>152.5</x:v>
      </x:c>
      <x:c r="E6" s="8" t="n">
        <x:v>78.16666666666667</x:v>
      </x:c>
      <x:c r="F6" s="8" t="n">
        <x:v>2.25</x:v>
      </x:c>
      <x:c r="G6" s="8" t="n">
        <x:v>2.666666666666667</x:v>
      </x:c>
      <x:c r="H6" s="8" t="n">
        <x:v>0.6666666666666666</x:v>
      </x:c>
      <x:c r="I6" s="8" t="n">
        <x:v>0</x:v>
      </x:c>
      <x:c r="J6" s="8" t="n">
        <x:v>0</x:v>
      </x:c>
      <x:c r="K6" s="8" t="n">
        <x:v>45.58333333333334</x:v>
      </x:c>
      <x:c r="L6" s="8" t="str">
        <x:v>高頻重物或液體商品</x:v>
      </x:c>
      <x:c r="M6" s="8" t="str">
        <x:v>近端低層棧板區</x:v>
      </x:c>
    </x:row>
    <x:row r="7">
      <x:c r="A7" s="8" t="str">
        <x:v>Cluster 4</x:v>
      </x:c>
      <x:c r="B7" s="8" t="str">
        <x:v>#8E44AD</x:v>
      </x:c>
      <x:c r="C7" s="8" t="n">
        <x:v>5</x:v>
      </x:c>
      <x:c r="D7" s="8" t="n">
        <x:v>20</x:v>
      </x:c>
      <x:c r="E7" s="8" t="n">
        <x:v>12.6</x:v>
      </x:c>
      <x:c r="F7" s="8" t="n">
        <x:v>2</x:v>
      </x:c>
      <x:c r="G7" s="8" t="n">
        <x:v>1.4</x:v>
      </x:c>
      <x:c r="H7" s="8" t="n">
        <x:v>0</x:v>
      </x:c>
      <x:c r="I7" s="8" t="n">
        <x:v>0.6</x:v>
      </x:c>
      <x:c r="J7" s="8" t="n">
        <x:v>1</x:v>
      </x:c>
      <x:c r="K7" s="8" t="n">
        <x:v>54.8</x:v>
      </x:c>
      <x:c r="L7" s="8" t="str">
        <x:v>低頻季節性商品</x:v>
      </x:c>
      <x:c r="M7" s="8" t="str">
        <x:v>遠端彈性儲位</x:v>
      </x:c>
    </x:row>
    <x:row r="8">
      <x:c r="A8" s="8" t="str">
        <x:v>Cluster 5</x:v>
      </x:c>
      <x:c r="B8" s="8" t="str">
        <x:v>#E74C3C</x:v>
      </x:c>
      <x:c r="C8" s="8" t="n">
        <x:v>16</x:v>
      </x:c>
      <x:c r="D8" s="8" t="n">
        <x:v>43.875</x:v>
      </x:c>
      <x:c r="E8" s="8" t="n">
        <x:v>27.3125</x:v>
      </x:c>
      <x:c r="F8" s="8" t="n">
        <x:v>1</x:v>
      </x:c>
      <x:c r="G8" s="8" t="n">
        <x:v>1.375</x:v>
      </x:c>
      <x:c r="H8" s="8" t="n">
        <x:v>0.1875</x:v>
      </x:c>
      <x:c r="I8" s="8" t="n">
        <x:v>0</x:v>
      </x:c>
      <x:c r="J8" s="8" t="n">
        <x:v>0</x:v>
      </x:c>
      <x:c r="K8" s="8" t="n">
        <x:v>30.25</x:v>
      </x:c>
      <x:c r="L8" s="8" t="str">
        <x:v>中頻一般或補貨商品</x:v>
      </x:c>
      <x:c r="M8" s="8" t="str">
        <x:v>中段一般儲位</x:v>
      </x:c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</x:cols>
  <x:sheetData>
    <x:row r="1">
      <x:c r="A1" s="2" t="str">
        <x:v>欄位說明與使用方式</x:v>
      </x:c>
      <x:c r="B1" s="2"/>
      <x:c r="C1" s="2"/>
      <x:c r="D1" s="2"/>
      <x:c r="E1" s="2"/>
    </x:row>
    <x:row r="3">
      <x:c r="A3" s="7" t="str">
        <x:v>區塊</x:v>
      </x:c>
      <x:c r="B3" s="7" t="str">
        <x:v>欄位</x:v>
      </x:c>
      <x:c r="C3" s="7" t="str">
        <x:v>用途</x:v>
      </x:c>
      <x:c r="D3" s="7" t="str">
        <x:v>Train 資料</x:v>
      </x:c>
      <x:c r="E3" s="7" t="str">
        <x:v>Predict 資料</x:v>
      </x:c>
    </x:row>
    <x:row r="4">
      <x:c r="A4" s="8" t="str">
        <x:v>原始特徵</x:v>
      </x:c>
      <x:c r="B4" s="8" t="str">
        <x:v>SKU編號到目前距離主要作業區m</x:v>
      </x:c>
      <x:c r="C4" s="8" t="str">
        <x:v>KMeans / SVM 模型輸入</x:v>
      </x:c>
      <x:c r="D4" s="8" t="str">
        <x:v>已填寫</x:v>
      </x:c>
      <x:c r="E4" s="8" t="str">
        <x:v>已填寫</x:v>
      </x:c>
    </x:row>
    <x:row r="5">
      <x:c r="A5" s="8" t="str">
        <x:v>KMeans結果</x:v>
      </x:c>
      <x:c r="B5" s="8" t="str">
        <x:v>KMeans群組名稱、Cluster顏色、群組特性說明、建議儲位策略</x:v>
      </x:c>
      <x:c r="C5" s="8" t="str">
        <x:v>分群模型輸出</x:v>
      </x:c>
      <x:c r="D5" s="8" t="str">
        <x:v>已填寫</x:v>
      </x:c>
      <x:c r="E5" s="8" t="str">
        <x:v>留白，待模型預測</x:v>
      </x:c>
    </x:row>
    <x:row r="6">
      <x:c r="A6" s="8" t="str">
        <x:v>前處理分數</x:v>
      </x:c>
      <x:c r="B6" s="8" t="str">
        <x:v>體積分數、重量分數、液體標記、易碎標記、季節性標記</x:v>
      </x:c>
      <x:c r="C6" s="8" t="str">
        <x:v>給模型使用的數值化欄位</x:v>
      </x:c>
      <x:c r="D6" s="8" t="str">
        <x:v>公式計算</x:v>
      </x:c>
      <x:c r="E6" s="8" t="str">
        <x:v>公式計算</x:v>
      </x:c>
    </x:row>
    <x:row r="7">
      <x:c r="A7" s="8" t="str">
        <x:v>降維欄位</x:v>
      </x:c>
      <x:c r="B7" s="8" t="str">
        <x:v>PCA1、PCA2</x:v>
      </x:c>
      <x:c r="C7" s="8" t="str">
        <x:v>視覺化散佈圖座標</x:v>
      </x:c>
      <x:c r="D7" s="8" t="str">
        <x:v>保留既有結果</x:v>
      </x:c>
      <x:c r="E7" s="8" t="str">
        <x:v>留白，待程式產生</x:v>
      </x:c>
    </x:row>
    <x:row r="8">
      <x:c r="A8" s="8" t="str">
        <x:v>資料用途</x:v>
      </x:c>
      <x:c r="B8" s="8" t="str">
        <x:v>Train / Predict</x:v>
      </x:c>
      <x:c r="C8" s="8" t="str">
        <x:v>區分模型訓練資料與待預測資料</x:v>
      </x:c>
      <x:c r="D8" s="8" t="str">
        <x:v>Train</x:v>
      </x:c>
      <x:c r="E8" s="8" t="str">
        <x:v>Predict</x:v>
      </x:c>
    </x:row>
    <x:row r="9">
      <x:c r="A9" s="8" t="str">
        <x:v>預測狀態</x:v>
      </x:c>
      <x:c r="B9" s="8" t="str">
        <x:v>已分群 / 待預測</x:v>
      </x:c>
      <x:c r="C9" s="8" t="str">
        <x:v>方便教學篩選與檢查</x:v>
      </x:c>
      <x:c r="D9" s="8" t="str">
        <x:v>已分群</x:v>
      </x:c>
      <x:c r="E9" s="8" t="str">
        <x:v>待預測</x:v>
      </x:c>
    </x:row>
    <x:row r="10">
      <x:c r="A10" s="8" t="str">
        <x:v>建議流程</x:v>
      </x:c>
      <x:c r="B10" s="8" t="str">
        <x:v>先對 Predict 20 筆執行 KMeans，再把群組結果帶入 SVM 儲位類別預測。</x:v>
      </x:c>
      <x:c r="C10" s="8" t="str">
        <x:v>串接 Unit 3 與 Unit 4</x:v>
      </x:c>
      <x:c r="D10" s="8" t="str"/>
      <x:c r="E10" s="8" t="str"/>
    </x:row>
  </x:sheetData>
  <x:mergeCells>
    <x:mergeCell ref="A1:E1"/>
  </x:mergeCells>
  <x:pageMargins left="0.7" right="0.7" top="0.75" bottom="0.75" header="0.3" footer="0.3"/>
</x:worksheet>
</file>